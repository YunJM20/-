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광합성/RAW/2026-10-17 lettuce park/"/>
    </mc:Choice>
  </mc:AlternateContent>
  <xr:revisionPtr revIDLastSave="0" documentId="11_ACE07100BA3357A921AFF489B928C59604E0B040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28" i="1" l="1"/>
  <c r="CV28" i="1"/>
  <c r="CT28" i="1"/>
  <c r="BI28" i="1"/>
  <c r="BH28" i="1"/>
  <c r="AZ28" i="1"/>
  <c r="AT28" i="1"/>
  <c r="AX28" i="1" s="1"/>
  <c r="AN28" i="1"/>
  <c r="BA28" i="1" s="1"/>
  <c r="BD28" i="1" s="1"/>
  <c r="AI28" i="1"/>
  <c r="AG28" i="1"/>
  <c r="AH28" i="1" s="1"/>
  <c r="Y28" i="1"/>
  <c r="X28" i="1"/>
  <c r="W28" i="1"/>
  <c r="P28" i="1"/>
  <c r="N28" i="1"/>
  <c r="K28" i="1"/>
  <c r="J28" i="1"/>
  <c r="AW28" i="1" s="1"/>
  <c r="I28" i="1"/>
  <c r="H28" i="1"/>
  <c r="CW27" i="1"/>
  <c r="CV27" i="1"/>
  <c r="CT27" i="1"/>
  <c r="BI27" i="1"/>
  <c r="BH27" i="1"/>
  <c r="AZ27" i="1"/>
  <c r="AT27" i="1"/>
  <c r="AX27" i="1" s="1"/>
  <c r="AN27" i="1"/>
  <c r="BA27" i="1" s="1"/>
  <c r="BD27" i="1" s="1"/>
  <c r="AI27" i="1"/>
  <c r="AG27" i="1"/>
  <c r="AH27" i="1" s="1"/>
  <c r="Y27" i="1"/>
  <c r="X27" i="1"/>
  <c r="W27" i="1" s="1"/>
  <c r="P27" i="1"/>
  <c r="N27" i="1"/>
  <c r="K27" i="1"/>
  <c r="J27" i="1"/>
  <c r="AW27" i="1" s="1"/>
  <c r="AY27" i="1" s="1"/>
  <c r="I27" i="1"/>
  <c r="H27" i="1"/>
  <c r="CW26" i="1"/>
  <c r="CV26" i="1"/>
  <c r="CT26" i="1"/>
  <c r="BI26" i="1"/>
  <c r="BH26" i="1"/>
  <c r="AZ26" i="1"/>
  <c r="AT26" i="1"/>
  <c r="AN26" i="1"/>
  <c r="BA26" i="1" s="1"/>
  <c r="BD26" i="1" s="1"/>
  <c r="AI26" i="1"/>
  <c r="AG26" i="1" s="1"/>
  <c r="Y26" i="1"/>
  <c r="X26" i="1"/>
  <c r="W26" i="1" s="1"/>
  <c r="P26" i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 s="1"/>
  <c r="Y25" i="1"/>
  <c r="X25" i="1"/>
  <c r="W25" i="1" s="1"/>
  <c r="P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AH24" i="1" s="1"/>
  <c r="Y24" i="1"/>
  <c r="X24" i="1"/>
  <c r="W24" i="1"/>
  <c r="P24" i="1"/>
  <c r="N24" i="1"/>
  <c r="K24" i="1"/>
  <c r="J24" i="1"/>
  <c r="AW24" i="1" s="1"/>
  <c r="AY24" i="1" s="1"/>
  <c r="I24" i="1"/>
  <c r="H24" i="1" s="1"/>
  <c r="CW23" i="1"/>
  <c r="CV23" i="1"/>
  <c r="CT23" i="1"/>
  <c r="BI23" i="1"/>
  <c r="BH23" i="1"/>
  <c r="AZ23" i="1"/>
  <c r="AT23" i="1"/>
  <c r="AN23" i="1"/>
  <c r="BA23" i="1" s="1"/>
  <c r="BD23" i="1" s="1"/>
  <c r="AI23" i="1"/>
  <c r="AG23" i="1" s="1"/>
  <c r="Y23" i="1"/>
  <c r="X23" i="1"/>
  <c r="W23" i="1"/>
  <c r="S23" i="1"/>
  <c r="P23" i="1"/>
  <c r="CW22" i="1"/>
  <c r="CV22" i="1"/>
  <c r="CT22" i="1"/>
  <c r="BI22" i="1"/>
  <c r="BH22" i="1"/>
  <c r="AZ22" i="1"/>
  <c r="AT22" i="1"/>
  <c r="AN22" i="1"/>
  <c r="BA22" i="1" s="1"/>
  <c r="BD22" i="1" s="1"/>
  <c r="AI22" i="1"/>
  <c r="AG22" i="1" s="1"/>
  <c r="Y22" i="1"/>
  <c r="W22" i="1" s="1"/>
  <c r="X22" i="1"/>
  <c r="S22" i="1"/>
  <c r="P22" i="1"/>
  <c r="CW21" i="1"/>
  <c r="CV21" i="1"/>
  <c r="CT21" i="1"/>
  <c r="BI21" i="1"/>
  <c r="BH21" i="1"/>
  <c r="AZ21" i="1"/>
  <c r="AT21" i="1"/>
  <c r="AN21" i="1"/>
  <c r="BA21" i="1" s="1"/>
  <c r="BD21" i="1" s="1"/>
  <c r="AI21" i="1"/>
  <c r="AG21" i="1" s="1"/>
  <c r="Y21" i="1"/>
  <c r="W21" i="1" s="1"/>
  <c r="X21" i="1"/>
  <c r="S21" i="1"/>
  <c r="P21" i="1"/>
  <c r="CW20" i="1"/>
  <c r="CV20" i="1"/>
  <c r="CT20" i="1"/>
  <c r="BI20" i="1"/>
  <c r="BH20" i="1"/>
  <c r="AZ20" i="1"/>
  <c r="AT20" i="1"/>
  <c r="AN20" i="1"/>
  <c r="BA20" i="1" s="1"/>
  <c r="BD20" i="1" s="1"/>
  <c r="AI20" i="1"/>
  <c r="AG20" i="1" s="1"/>
  <c r="Y20" i="1"/>
  <c r="W20" i="1" s="1"/>
  <c r="X20" i="1"/>
  <c r="S20" i="1"/>
  <c r="P20" i="1"/>
  <c r="CW19" i="1"/>
  <c r="CV19" i="1"/>
  <c r="CT19" i="1"/>
  <c r="BI19" i="1"/>
  <c r="BH19" i="1"/>
  <c r="AZ19" i="1"/>
  <c r="AT19" i="1"/>
  <c r="AN19" i="1"/>
  <c r="BA19" i="1" s="1"/>
  <c r="BD19" i="1" s="1"/>
  <c r="AI19" i="1"/>
  <c r="AG19" i="1" s="1"/>
  <c r="Y19" i="1"/>
  <c r="X19" i="1"/>
  <c r="W19" i="1"/>
  <c r="S19" i="1"/>
  <c r="P19" i="1"/>
  <c r="CW18" i="1"/>
  <c r="CV18" i="1"/>
  <c r="CT18" i="1"/>
  <c r="BI18" i="1"/>
  <c r="BH18" i="1"/>
  <c r="AZ18" i="1"/>
  <c r="AT18" i="1"/>
  <c r="AN18" i="1"/>
  <c r="BA18" i="1" s="1"/>
  <c r="BD18" i="1" s="1"/>
  <c r="AI18" i="1"/>
  <c r="AG18" i="1" s="1"/>
  <c r="Y18" i="1"/>
  <c r="W18" i="1" s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G17" i="1" s="1"/>
  <c r="Y17" i="1"/>
  <c r="W17" i="1" s="1"/>
  <c r="X17" i="1"/>
  <c r="S17" i="1"/>
  <c r="P17" i="1"/>
  <c r="CU21" i="1" l="1"/>
  <c r="AV21" i="1" s="1"/>
  <c r="AX21" i="1" s="1"/>
  <c r="CU19" i="1"/>
  <c r="AV19" i="1" s="1"/>
  <c r="AX19" i="1" s="1"/>
  <c r="CU22" i="1"/>
  <c r="AV22" i="1" s="1"/>
  <c r="AX22" i="1" s="1"/>
  <c r="CU17" i="1"/>
  <c r="AV17" i="1" s="1"/>
  <c r="AX17" i="1" s="1"/>
  <c r="CU23" i="1"/>
  <c r="AV23" i="1" s="1"/>
  <c r="AX23" i="1" s="1"/>
  <c r="CU20" i="1"/>
  <c r="AV20" i="1" s="1"/>
  <c r="AX20" i="1" s="1"/>
  <c r="CU18" i="1"/>
  <c r="AV18" i="1" s="1"/>
  <c r="AX18" i="1" s="1"/>
  <c r="CU28" i="1"/>
  <c r="AV28" i="1" s="1"/>
  <c r="S28" i="1"/>
  <c r="T28" i="1" s="1"/>
  <c r="U28" i="1" s="1"/>
  <c r="Q28" i="1" s="1"/>
  <c r="O28" i="1" s="1"/>
  <c r="R28" i="1" s="1"/>
  <c r="L28" i="1" s="1"/>
  <c r="M28" i="1" s="1"/>
  <c r="CU27" i="1"/>
  <c r="AV27" i="1" s="1"/>
  <c r="S27" i="1"/>
  <c r="T27" i="1" s="1"/>
  <c r="U27" i="1" s="1"/>
  <c r="Q27" i="1" s="1"/>
  <c r="O27" i="1" s="1"/>
  <c r="R27" i="1" s="1"/>
  <c r="L27" i="1" s="1"/>
  <c r="M27" i="1" s="1"/>
  <c r="CU26" i="1"/>
  <c r="AV26" i="1" s="1"/>
  <c r="AX26" i="1" s="1"/>
  <c r="S26" i="1"/>
  <c r="T26" i="1" s="1"/>
  <c r="U26" i="1" s="1"/>
  <c r="CU24" i="1"/>
  <c r="AV24" i="1" s="1"/>
  <c r="S24" i="1"/>
  <c r="T24" i="1" s="1"/>
  <c r="U24" i="1" s="1"/>
  <c r="Q24" i="1" s="1"/>
  <c r="O24" i="1" s="1"/>
  <c r="R24" i="1" s="1"/>
  <c r="L24" i="1" s="1"/>
  <c r="M24" i="1" s="1"/>
  <c r="I23" i="1"/>
  <c r="H23" i="1" s="1"/>
  <c r="K23" i="1"/>
  <c r="J23" i="1"/>
  <c r="AW23" i="1" s="1"/>
  <c r="N23" i="1"/>
  <c r="AH23" i="1"/>
  <c r="K22" i="1"/>
  <c r="I22" i="1"/>
  <c r="H22" i="1" s="1"/>
  <c r="J22" i="1"/>
  <c r="AW22" i="1" s="1"/>
  <c r="N22" i="1"/>
  <c r="AH22" i="1"/>
  <c r="J21" i="1"/>
  <c r="AW21" i="1" s="1"/>
  <c r="I21" i="1"/>
  <c r="H21" i="1" s="1"/>
  <c r="K21" i="1"/>
  <c r="N21" i="1"/>
  <c r="AH21" i="1"/>
  <c r="N20" i="1"/>
  <c r="I20" i="1"/>
  <c r="H20" i="1" s="1"/>
  <c r="K20" i="1"/>
  <c r="J20" i="1"/>
  <c r="AW20" i="1" s="1"/>
  <c r="AH20" i="1"/>
  <c r="J19" i="1"/>
  <c r="AW19" i="1" s="1"/>
  <c r="N19" i="1"/>
  <c r="K19" i="1"/>
  <c r="I19" i="1"/>
  <c r="H19" i="1" s="1"/>
  <c r="AH19" i="1"/>
  <c r="I18" i="1"/>
  <c r="H18" i="1" s="1"/>
  <c r="K18" i="1"/>
  <c r="N18" i="1"/>
  <c r="J18" i="1"/>
  <c r="AW18" i="1" s="1"/>
  <c r="AH18" i="1"/>
  <c r="I17" i="1"/>
  <c r="H17" i="1" s="1"/>
  <c r="K17" i="1"/>
  <c r="N17" i="1"/>
  <c r="J17" i="1"/>
  <c r="AW17" i="1" s="1"/>
  <c r="AH17" i="1"/>
  <c r="BE28" i="1"/>
  <c r="BF28" i="1"/>
  <c r="BJ28" i="1" s="1"/>
  <c r="BK28" i="1" s="1"/>
  <c r="BG28" i="1"/>
  <c r="AA28" i="1"/>
  <c r="BE27" i="1"/>
  <c r="BF27" i="1"/>
  <c r="BJ27" i="1" s="1"/>
  <c r="BK27" i="1" s="1"/>
  <c r="BG27" i="1"/>
  <c r="AA27" i="1"/>
  <c r="BE26" i="1"/>
  <c r="BF26" i="1"/>
  <c r="BJ26" i="1" s="1"/>
  <c r="BK26" i="1" s="1"/>
  <c r="BG26" i="1"/>
  <c r="I26" i="1"/>
  <c r="H26" i="1" s="1"/>
  <c r="K26" i="1"/>
  <c r="N26" i="1"/>
  <c r="AH26" i="1"/>
  <c r="J26" i="1"/>
  <c r="AW26" i="1" s="1"/>
  <c r="AY26" i="1" s="1"/>
  <c r="CU25" i="1"/>
  <c r="AV25" i="1" s="1"/>
  <c r="AX25" i="1" s="1"/>
  <c r="S25" i="1"/>
  <c r="BE25" i="1"/>
  <c r="BF25" i="1"/>
  <c r="BJ25" i="1" s="1"/>
  <c r="BK25" i="1" s="1"/>
  <c r="BG25" i="1"/>
  <c r="I25" i="1"/>
  <c r="H25" i="1" s="1"/>
  <c r="J25" i="1"/>
  <c r="AW25" i="1" s="1"/>
  <c r="K25" i="1"/>
  <c r="N25" i="1"/>
  <c r="AH25" i="1"/>
  <c r="BE24" i="1"/>
  <c r="BF24" i="1"/>
  <c r="BJ24" i="1" s="1"/>
  <c r="BK24" i="1" s="1"/>
  <c r="BG24" i="1"/>
  <c r="AA24" i="1"/>
  <c r="BE23" i="1"/>
  <c r="BF23" i="1"/>
  <c r="BJ23" i="1" s="1"/>
  <c r="BK23" i="1" s="1"/>
  <c r="BG23" i="1"/>
  <c r="T23" i="1"/>
  <c r="U23" i="1" s="1"/>
  <c r="Q23" i="1" s="1"/>
  <c r="O23" i="1" s="1"/>
  <c r="R23" i="1" s="1"/>
  <c r="L23" i="1" s="1"/>
  <c r="M23" i="1" s="1"/>
  <c r="AA23" i="1"/>
  <c r="BE22" i="1"/>
  <c r="BF22" i="1"/>
  <c r="BJ22" i="1" s="1"/>
  <c r="BK22" i="1" s="1"/>
  <c r="BG22" i="1"/>
  <c r="T22" i="1"/>
  <c r="U22" i="1" s="1"/>
  <c r="Q22" i="1"/>
  <c r="O22" i="1" s="1"/>
  <c r="R22" i="1" s="1"/>
  <c r="L22" i="1" s="1"/>
  <c r="M22" i="1" s="1"/>
  <c r="AA22" i="1"/>
  <c r="BE21" i="1"/>
  <c r="BF21" i="1"/>
  <c r="BJ21" i="1" s="1"/>
  <c r="BK21" i="1" s="1"/>
  <c r="BG21" i="1"/>
  <c r="T21" i="1"/>
  <c r="U21" i="1" s="1"/>
  <c r="BE20" i="1"/>
  <c r="BF20" i="1"/>
  <c r="BJ20" i="1" s="1"/>
  <c r="BK20" i="1" s="1"/>
  <c r="BG20" i="1"/>
  <c r="BE19" i="1"/>
  <c r="BF19" i="1"/>
  <c r="BJ19" i="1" s="1"/>
  <c r="BK19" i="1" s="1"/>
  <c r="BG19" i="1"/>
  <c r="BE18" i="1"/>
  <c r="BF18" i="1"/>
  <c r="BJ18" i="1" s="1"/>
  <c r="BK18" i="1" s="1"/>
  <c r="BG18" i="1"/>
  <c r="BE17" i="1"/>
  <c r="BF17" i="1"/>
  <c r="BJ17" i="1" s="1"/>
  <c r="BK17" i="1" s="1"/>
  <c r="BG17" i="1"/>
  <c r="T17" i="1"/>
  <c r="U17" i="1" s="1"/>
  <c r="AA17" i="1"/>
  <c r="Q17" i="1"/>
  <c r="O17" i="1" s="1"/>
  <c r="R17" i="1" s="1"/>
  <c r="L17" i="1" s="1"/>
  <c r="M17" i="1" s="1"/>
  <c r="AY28" i="1"/>
  <c r="AX24" i="1"/>
  <c r="AY23" i="1" l="1"/>
  <c r="AY22" i="1"/>
  <c r="AY20" i="1"/>
  <c r="AY21" i="1"/>
  <c r="AY19" i="1"/>
  <c r="AY18" i="1"/>
  <c r="AY17" i="1"/>
  <c r="AY25" i="1"/>
  <c r="AA21" i="1"/>
  <c r="Q21" i="1"/>
  <c r="O21" i="1" s="1"/>
  <c r="R21" i="1" s="1"/>
  <c r="L21" i="1" s="1"/>
  <c r="M21" i="1" s="1"/>
  <c r="T20" i="1"/>
  <c r="U20" i="1" s="1"/>
  <c r="AA20" i="1"/>
  <c r="T19" i="1"/>
  <c r="U19" i="1" s="1"/>
  <c r="AA19" i="1"/>
  <c r="Q19" i="1"/>
  <c r="O19" i="1" s="1"/>
  <c r="R19" i="1" s="1"/>
  <c r="L19" i="1" s="1"/>
  <c r="M19" i="1" s="1"/>
  <c r="T18" i="1"/>
  <c r="U18" i="1" s="1"/>
  <c r="AA18" i="1"/>
  <c r="AB28" i="1"/>
  <c r="V28" i="1"/>
  <c r="Z28" i="1" s="1"/>
  <c r="AC28" i="1"/>
  <c r="AD28" i="1" s="1"/>
  <c r="AB27" i="1"/>
  <c r="V27" i="1"/>
  <c r="Z27" i="1" s="1"/>
  <c r="AC27" i="1"/>
  <c r="Q26" i="1"/>
  <c r="O26" i="1" s="1"/>
  <c r="R26" i="1" s="1"/>
  <c r="L26" i="1" s="1"/>
  <c r="M26" i="1" s="1"/>
  <c r="AA26" i="1"/>
  <c r="AB26" i="1"/>
  <c r="AC26" i="1"/>
  <c r="AD26" i="1" s="1"/>
  <c r="V26" i="1"/>
  <c r="Z26" i="1" s="1"/>
  <c r="T25" i="1"/>
  <c r="U25" i="1" s="1"/>
  <c r="Q25" i="1" s="1"/>
  <c r="O25" i="1" s="1"/>
  <c r="R25" i="1" s="1"/>
  <c r="L25" i="1" s="1"/>
  <c r="M25" i="1" s="1"/>
  <c r="AA25" i="1"/>
  <c r="AB24" i="1"/>
  <c r="V24" i="1"/>
  <c r="Z24" i="1" s="1"/>
  <c r="AC24" i="1"/>
  <c r="AD24" i="1" s="1"/>
  <c r="AB23" i="1"/>
  <c r="V23" i="1"/>
  <c r="Z23" i="1" s="1"/>
  <c r="AC23" i="1"/>
  <c r="AD23" i="1" s="1"/>
  <c r="AB22" i="1"/>
  <c r="V22" i="1"/>
  <c r="Z22" i="1" s="1"/>
  <c r="AC22" i="1"/>
  <c r="AD22" i="1" s="1"/>
  <c r="AB21" i="1"/>
  <c r="V21" i="1"/>
  <c r="Z21" i="1" s="1"/>
  <c r="AC21" i="1"/>
  <c r="AB17" i="1"/>
  <c r="V17" i="1"/>
  <c r="Z17" i="1" s="1"/>
  <c r="AC17" i="1"/>
  <c r="AD17" i="1" s="1"/>
  <c r="AD27" i="1" l="1"/>
  <c r="AD21" i="1"/>
  <c r="V20" i="1"/>
  <c r="Z20" i="1" s="1"/>
  <c r="AC20" i="1"/>
  <c r="AB20" i="1"/>
  <c r="Q20" i="1"/>
  <c r="O20" i="1" s="1"/>
  <c r="R20" i="1" s="1"/>
  <c r="L20" i="1" s="1"/>
  <c r="M20" i="1" s="1"/>
  <c r="V19" i="1"/>
  <c r="Z19" i="1" s="1"/>
  <c r="AB19" i="1"/>
  <c r="AC19" i="1"/>
  <c r="AB18" i="1"/>
  <c r="V18" i="1"/>
  <c r="Z18" i="1" s="1"/>
  <c r="AC18" i="1"/>
  <c r="AD18" i="1" s="1"/>
  <c r="Q18" i="1"/>
  <c r="O18" i="1" s="1"/>
  <c r="R18" i="1" s="1"/>
  <c r="L18" i="1" s="1"/>
  <c r="M18" i="1" s="1"/>
  <c r="V25" i="1"/>
  <c r="Z25" i="1" s="1"/>
  <c r="AC25" i="1"/>
  <c r="AB25" i="1"/>
  <c r="AD19" i="1"/>
  <c r="AD20" i="1" l="1"/>
  <c r="AD25" i="1"/>
</calcChain>
</file>

<file path=xl/sharedStrings.xml><?xml version="1.0" encoding="utf-8"?>
<sst xmlns="http://schemas.openxmlformats.org/spreadsheetml/2006/main" count="786" uniqueCount="382">
  <si>
    <t>File opened</t>
  </si>
  <si>
    <t>2026-10-17 10:01:50</t>
  </si>
  <si>
    <t>Console s/n</t>
  </si>
  <si>
    <t>68C-812153</t>
  </si>
  <si>
    <t>Console ver</t>
  </si>
  <si>
    <t>Bluestem v.2.1.13</t>
  </si>
  <si>
    <t>Scripts ver</t>
  </si>
  <si>
    <t>2024.01  2.1.13, Apr 2024</t>
  </si>
  <si>
    <t>Head s/n</t>
  </si>
  <si>
    <t>68H-982143</t>
  </si>
  <si>
    <t>Head ver</t>
  </si>
  <si>
    <t>1.4.23</t>
  </si>
  <si>
    <t>Head cal</t>
  </si>
  <si>
    <t>{"co2bspanconc1": "437.6", "h2oaspan2a": "0.0964052", "co2bspan1": "1.00005", "h2oaspan1": "1.02308", "h2obspanconc1": "17.96", "flowbzero": "0.30473", "co2bspan2b": "0.105618", "co2aspan1": "1.00082", "tazero": "0.15448", "co2aspan2a": "0.106022", "h2oaspan2b": "0.0986302", "h2obspanconc2": "0", "co2azero": "0.931334", "flowazero": "0.276", "co2aspan2b": "0.105998", "co2aspanconc2": "1516", "co2aspanconc1": "437.6", "h2obzero": "1.01897", "h2obspan2b": "0.0971974", "co2bspan2a": "0.105708", "h2obspan2a": "0.0961931", "ssb_ref": "36242.9", "oxygen": "21", "flowmeterzero": "2.483", "co2bspanconc2": "1516", "h2obspan1": "1.01044", "ssa_ref": "37830.5", "h2oaspanconc1": "17.96", "tbzero": "0.143742", "h2oazero": "1.03097", "co2bspan2": "-0.00857283", "co2bzero": "0.953041", "h2obspan2": "0", "h2oaspanconc2": "0", "co2aspan2": "-0.00988168", "h2oaspan2": "0", "chamberpressurezero": "2.71033"}</t>
  </si>
  <si>
    <t>Factory cal date</t>
  </si>
  <si>
    <t>14 Dec 2023</t>
  </si>
  <si>
    <t>CO2 rangematch</t>
  </si>
  <si>
    <t>Fri Oct 16 09:42</t>
  </si>
  <si>
    <t>H2O rangematch</t>
  </si>
  <si>
    <t>Fri Oct 16 09:48</t>
  </si>
  <si>
    <t>Chamber type</t>
  </si>
  <si>
    <t>6800-01A</t>
  </si>
  <si>
    <t>Chamber s/n</t>
  </si>
  <si>
    <t>MPF-742752</t>
  </si>
  <si>
    <t>Chamber rev</t>
  </si>
  <si>
    <t>0</t>
  </si>
  <si>
    <t>Chamber cal</t>
  </si>
  <si>
    <t>Fluorometer</t>
  </si>
  <si>
    <t>Flr. Version</t>
  </si>
  <si>
    <t>10:01:50</t>
  </si>
  <si>
    <t>Stability Definition:	F (FlrLS): Slp&lt;1 Per=20	ΔCO2 (Meas2): Slp&lt;0.5 Per=20	A (GasEx): Slp&lt;0.6 Per=20</t>
  </si>
  <si>
    <t>SysConst</t>
  </si>
  <si>
    <t>AvgTime</t>
  </si>
  <si>
    <t>4</t>
  </si>
  <si>
    <t>Oxygen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</si>
  <si>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</si>
  <si>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</si>
  <si>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</si>
  <si>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</si>
  <si>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</si>
  <si>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</si>
  <si>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</si>
  <si>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</si>
  <si>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</si>
  <si>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</si>
  <si>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</si>
  <si>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</si>
  <si>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</si>
  <si>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</si>
  <si>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</si>
  <si>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</si>
  <si>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</si>
  <si>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</si>
  <si>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</si>
  <si>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</si>
  <si>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</si>
  <si>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</si>
  <si>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</si>
  <si>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</si>
  <si>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</si>
  <si>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</si>
  <si>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</si>
  <si>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</si>
  <si>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</si>
  <si>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</si>
  <si>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</si>
  <si>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</si>
  <si>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</si>
  <si>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</si>
  <si>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</si>
  <si>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</si>
  <si>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</si>
  <si>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</si>
  <si>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</si>
  <si>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</si>
  <si>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</si>
  <si>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</si>
  <si>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</si>
  <si>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</si>
  <si>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</si>
  <si>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</si>
  <si>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</si>
  <si>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</si>
  <si>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4.11497 200.008 352.137 581.816 845.455 1058.69 1250.8 1364.04</t>
  </si>
  <si>
    <t>Fs_true</t>
  </si>
  <si>
    <t>0.208878 227.229 384.124 588.385 810.893 1001.58 1202.49 1400.6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</si>
  <si>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</si>
  <si>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</si>
  <si>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</si>
  <si>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</si>
  <si>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</si>
  <si>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</si>
  <si>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</si>
  <si>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</si>
  <si>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</si>
  <si>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</si>
  <si>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FlrLS</t>
  </si>
  <si>
    <t>FlrStats</t>
  </si>
  <si>
    <t>MchEvent</t>
  </si>
  <si>
    <t>Stability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</si>
  <si>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</si>
  <si>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</si>
  <si>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</si>
  <si>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</si>
  <si>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</si>
  <si>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</si>
  <si>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</si>
  <si>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</si>
  <si>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</si>
  <si>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</si>
  <si>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</si>
  <si>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</si>
  <si>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</si>
  <si>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</si>
  <si>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</si>
  <si>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</si>
  <si>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</si>
  <si>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</si>
  <si>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</si>
  <si>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</si>
  <si>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</si>
  <si>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</si>
  <si>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</si>
  <si>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</si>
  <si>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</si>
  <si>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</si>
  <si>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</si>
  <si>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</si>
  <si>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</si>
  <si>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</si>
  <si>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</si>
  <si>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</si>
  <si>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</si>
  <si>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</si>
  <si>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</si>
  <si>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</si>
  <si>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</si>
  <si>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</si>
  <si>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</si>
  <si>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</si>
  <si>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</si>
  <si>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</si>
  <si>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</si>
  <si>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</si>
  <si>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</si>
  <si>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</si>
  <si>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</si>
  <si>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</si>
  <si>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</si>
  <si>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</si>
  <si>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</si>
  <si>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</si>
  <si>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</si>
  <si>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</si>
  <si>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</si>
  <si>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</si>
  <si>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</si>
  <si>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</si>
  <si>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</si>
  <si>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</si>
  <si>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</si>
  <si>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</si>
  <si>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</si>
  <si>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</si>
  <si>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</si>
  <si>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</si>
  <si>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</si>
  <si>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</si>
  <si>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</si>
  <si>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</si>
  <si>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</si>
  <si>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</si>
  <si>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</si>
  <si>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</si>
  <si>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</si>
  <si>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</si>
  <si>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</si>
  <si>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</si>
  <si>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</si>
  <si>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</si>
  <si>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</si>
  <si>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</si>
  <si>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</si>
  <si>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</si>
  <si>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</si>
  <si>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</si>
  <si>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</si>
  <si>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</si>
  <si>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</si>
  <si>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</si>
  <si>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</si>
  <si>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</si>
  <si>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</si>
  <si>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</si>
  <si>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</si>
  <si>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</si>
  <si>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</si>
  <si>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</si>
  <si>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</si>
  <si>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</si>
  <si>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</si>
  <si>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</si>
  <si>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</si>
  <si>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</si>
  <si>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</si>
  <si>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</si>
  <si>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</si>
  <si>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</si>
  <si>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</si>
  <si>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</si>
  <si>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</si>
  <si>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</si>
  <si>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</si>
  <si>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</si>
  <si>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</si>
  <si>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</si>
  <si>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</si>
  <si>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</si>
  <si>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</si>
  <si>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</si>
  <si>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</si>
  <si>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</si>
  <si>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</si>
  <si>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</si>
  <si>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</si>
  <si>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</si>
  <si>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</si>
  <si>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</si>
  <si>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</si>
  <si>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</si>
  <si>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</si>
  <si>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</si>
  <si>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</si>
  <si>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</si>
  <si>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</si>
  <si>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</si>
  <si>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</si>
  <si>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</si>
  <si>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</si>
  <si>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</si>
  <si>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</si>
  <si>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</si>
  <si>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</si>
  <si>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</si>
  <si>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</si>
  <si>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</si>
  <si>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</si>
  <si>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</si>
  <si>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</si>
  <si>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</si>
  <si>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</si>
  <si>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</si>
  <si>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</si>
  <si>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</si>
  <si>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</si>
  <si>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</si>
  <si>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</si>
  <si>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</si>
  <si>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</si>
  <si>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</si>
  <si>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</si>
  <si>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</si>
  <si>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</si>
  <si>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</si>
  <si>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</si>
  <si>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</si>
  <si>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</si>
  <si>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</si>
  <si>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Stable</t>
  </si>
  <si>
    <t>Total</t>
  </si>
  <si>
    <t>State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</si>
  <si>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</si>
  <si>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</si>
  <si>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</si>
  <si>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</si>
  <si>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</si>
  <si>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</si>
  <si>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</si>
  <si>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</si>
  <si>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</si>
  <si>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</si>
  <si>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</si>
  <si>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</si>
  <si>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</si>
  <si>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</si>
  <si>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</si>
  <si>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</si>
  <si>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</si>
  <si>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</si>
  <si>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</si>
  <si>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</si>
  <si>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</si>
  <si>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</si>
  <si>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</si>
  <si>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</si>
  <si>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</si>
  <si>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</si>
  <si>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</si>
  <si>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</si>
  <si>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</si>
  <si>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</si>
  <si>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</si>
  <si>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</si>
  <si>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</si>
  <si>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</si>
  <si>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</si>
  <si>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</si>
  <si>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</si>
  <si>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</si>
  <si>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</si>
  <si>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</si>
  <si>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</si>
  <si>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</si>
  <si>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</si>
  <si>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</si>
  <si>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</si>
  <si>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</si>
  <si>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</si>
  <si>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</si>
  <si>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</si>
  <si>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</si>
  <si>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</si>
  <si>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</si>
  <si>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</si>
  <si>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</si>
  <si>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</si>
  <si>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</si>
  <si>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</si>
  <si>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</si>
  <si>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</si>
  <si>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</si>
  <si>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</si>
  <si>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</si>
  <si>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</si>
  <si>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</si>
  <si>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</si>
  <si>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</si>
  <si>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</si>
  <si>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</si>
  <si>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min</t>
  </si>
  <si>
    <t>V</t>
  </si>
  <si>
    <t>20261017 10:31:23</t>
  </si>
  <si>
    <t>10:31:23</t>
  </si>
  <si>
    <t>-</t>
  </si>
  <si>
    <t>0: Broadleaf</t>
  </si>
  <si>
    <t>10:30:17</t>
  </si>
  <si>
    <t>3/3</t>
  </si>
  <si>
    <t>20261017 10:33:24</t>
  </si>
  <si>
    <t>10:33:24</t>
  </si>
  <si>
    <t>10:32:30</t>
  </si>
  <si>
    <t>20261017 10:35:25</t>
  </si>
  <si>
    <t>10:35:25</t>
  </si>
  <si>
    <t>10:34:32</t>
  </si>
  <si>
    <t>20261017 10:37:26</t>
  </si>
  <si>
    <t>10:37:26</t>
  </si>
  <si>
    <t>10:36:31</t>
  </si>
  <si>
    <t>2/3</t>
  </si>
  <si>
    <t>20261017 10:39:31</t>
  </si>
  <si>
    <t>10:39:31</t>
  </si>
  <si>
    <t>10:38:29</t>
  </si>
  <si>
    <t>20261017 10:42:02</t>
  </si>
  <si>
    <t>10:42:02</t>
  </si>
  <si>
    <t>10:40:39</t>
  </si>
  <si>
    <t>1/3</t>
  </si>
  <si>
    <t>20261017 10:44:04</t>
  </si>
  <si>
    <t>10:44:04</t>
  </si>
  <si>
    <t>10:43:00</t>
  </si>
  <si>
    <t>20261017 10:46:12</t>
  </si>
  <si>
    <t>10:46:12</t>
  </si>
  <si>
    <t>10:45:20</t>
  </si>
  <si>
    <t>20261017 10:48:43</t>
  </si>
  <si>
    <t>10:48:43</t>
  </si>
  <si>
    <t>10:47:17</t>
  </si>
  <si>
    <t>20261017 10:50:50</t>
  </si>
  <si>
    <t>10:50:50</t>
  </si>
  <si>
    <t>10:50:03</t>
  </si>
  <si>
    <t>20261017 10:52:59</t>
  </si>
  <si>
    <t>10:52:59</t>
  </si>
  <si>
    <t>10:51:56</t>
  </si>
  <si>
    <t>20261017 10:55:21</t>
  </si>
  <si>
    <t>10:55:21</t>
  </si>
  <si>
    <t>10:54:03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</si>
</sst>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H28"/>
  <sheetViews>
    <sheetView tabSelected="1" workbookViewId="0"/>
  </sheetViews>
  <sheetFormatPr defaultRowHeight="16.5" x14ac:dyDescent="0.3"/>
  <sheetData>
    <row r="2" spans="1:216" x14ac:dyDescent="0.3">
      <c r="A2" t="s">
        <v>31</v>
      </c>
      <c r="B2" t="s">
        <v>32</v>
      </c>
      <c r="C2" t="s">
        <v>34</v>
      </c>
    </row>
    <row r="3" spans="1:216" x14ac:dyDescent="0.3">
      <c r="B3" t="s">
        <v>33</v>
      </c>
      <c r="C3">
        <v>21</v>
      </c>
    </row>
    <row r="4" spans="1:216" x14ac:dyDescent="0.3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16" x14ac:dyDescent="0.3">
      <c r="B5" t="s">
        <v>21</v>
      </c>
      <c r="C5" t="s">
        <v>38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16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16" x14ac:dyDescent="0.3">
      <c r="B7">
        <v>0</v>
      </c>
      <c r="C7">
        <v>1</v>
      </c>
      <c r="D7">
        <v>0</v>
      </c>
      <c r="E7">
        <v>0</v>
      </c>
    </row>
    <row r="8" spans="1:216" x14ac:dyDescent="0.3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16" x14ac:dyDescent="0.3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16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16" x14ac:dyDescent="0.3">
      <c r="B11">
        <v>0</v>
      </c>
      <c r="C11">
        <v>0</v>
      </c>
      <c r="D11">
        <v>0</v>
      </c>
      <c r="E11">
        <v>0</v>
      </c>
      <c r="F11">
        <v>1</v>
      </c>
    </row>
    <row r="12" spans="1:216" x14ac:dyDescent="0.3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16" x14ac:dyDescent="0.3">
      <c r="B13">
        <v>-6276</v>
      </c>
      <c r="C13">
        <v>6.6</v>
      </c>
      <c r="D13">
        <v>1.7090000000000001E-5</v>
      </c>
      <c r="E13">
        <v>3.11</v>
      </c>
      <c r="F13" t="s">
        <v>83</v>
      </c>
      <c r="G13" t="s">
        <v>85</v>
      </c>
      <c r="H13">
        <v>0</v>
      </c>
    </row>
    <row r="14" spans="1:216" x14ac:dyDescent="0.3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89</v>
      </c>
      <c r="AF14" t="s">
        <v>89</v>
      </c>
      <c r="AG14" t="s">
        <v>89</v>
      </c>
      <c r="AH14" t="s">
        <v>89</v>
      </c>
      <c r="AI14" t="s">
        <v>89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90</v>
      </c>
      <c r="AY14" t="s">
        <v>90</v>
      </c>
      <c r="AZ14" t="s">
        <v>90</v>
      </c>
      <c r="BA14" t="s">
        <v>90</v>
      </c>
      <c r="BB14" t="s">
        <v>90</v>
      </c>
      <c r="BC14" t="s">
        <v>90</v>
      </c>
      <c r="BD14" t="s">
        <v>90</v>
      </c>
      <c r="BE14" t="s">
        <v>90</v>
      </c>
      <c r="BF14" t="s">
        <v>90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93</v>
      </c>
      <c r="CU14" t="s">
        <v>93</v>
      </c>
      <c r="CV14" t="s">
        <v>93</v>
      </c>
      <c r="CW14" t="s">
        <v>93</v>
      </c>
      <c r="CX14" t="s">
        <v>94</v>
      </c>
      <c r="CY14" t="s">
        <v>94</v>
      </c>
      <c r="CZ14" t="s">
        <v>94</v>
      </c>
      <c r="DA14" t="s">
        <v>94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95</v>
      </c>
      <c r="DI14" t="s">
        <v>95</v>
      </c>
      <c r="DJ14" t="s">
        <v>95</v>
      </c>
      <c r="DK14" t="s">
        <v>95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95</v>
      </c>
      <c r="DR14" t="s">
        <v>95</v>
      </c>
      <c r="DS14" t="s">
        <v>95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99</v>
      </c>
      <c r="FQ14" t="s">
        <v>99</v>
      </c>
      <c r="FR14" t="s">
        <v>99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101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</row>
    <row r="15" spans="1:216" x14ac:dyDescent="0.3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110</v>
      </c>
      <c r="I15" t="s">
        <v>111</v>
      </c>
      <c r="J15" t="s">
        <v>112</v>
      </c>
      <c r="K15" t="s">
        <v>113</v>
      </c>
      <c r="L15" t="s">
        <v>114</v>
      </c>
      <c r="M15" t="s">
        <v>115</v>
      </c>
      <c r="N15" t="s">
        <v>116</v>
      </c>
      <c r="O15" t="s">
        <v>117</v>
      </c>
      <c r="P15" t="s">
        <v>118</v>
      </c>
      <c r="Q15" t="s">
        <v>119</v>
      </c>
      <c r="R15" t="s">
        <v>120</v>
      </c>
      <c r="S15" t="s">
        <v>121</v>
      </c>
      <c r="T15" t="s">
        <v>122</v>
      </c>
      <c r="U15" t="s">
        <v>123</v>
      </c>
      <c r="V15" t="s">
        <v>124</v>
      </c>
      <c r="W15" t="s">
        <v>125</v>
      </c>
      <c r="X15" t="s">
        <v>126</v>
      </c>
      <c r="Y15" t="s">
        <v>127</v>
      </c>
      <c r="Z15" t="s">
        <v>128</v>
      </c>
      <c r="AA15" t="s">
        <v>129</v>
      </c>
      <c r="AB15" t="s">
        <v>130</v>
      </c>
      <c r="AC15" t="s">
        <v>131</v>
      </c>
      <c r="AD15" t="s">
        <v>132</v>
      </c>
      <c r="AE15" t="s">
        <v>89</v>
      </c>
      <c r="AF15" t="s">
        <v>133</v>
      </c>
      <c r="AG15" t="s">
        <v>134</v>
      </c>
      <c r="AH15" t="s">
        <v>135</v>
      </c>
      <c r="AI15" t="s">
        <v>136</v>
      </c>
      <c r="AJ15" t="s">
        <v>137</v>
      </c>
      <c r="AK15" t="s">
        <v>138</v>
      </c>
      <c r="AL15" t="s">
        <v>139</v>
      </c>
      <c r="AM15" t="s">
        <v>140</v>
      </c>
      <c r="AN15" t="s">
        <v>141</v>
      </c>
      <c r="AO15" t="s">
        <v>142</v>
      </c>
      <c r="AP15" t="s">
        <v>143</v>
      </c>
      <c r="AQ15" t="s">
        <v>144</v>
      </c>
      <c r="AR15" t="s">
        <v>145</v>
      </c>
      <c r="AS15" t="s">
        <v>146</v>
      </c>
      <c r="AT15" t="s">
        <v>147</v>
      </c>
      <c r="AU15" t="s">
        <v>148</v>
      </c>
      <c r="AV15" t="s">
        <v>149</v>
      </c>
      <c r="AW15" t="s">
        <v>150</v>
      </c>
      <c r="AX15" t="s">
        <v>151</v>
      </c>
      <c r="AY15" t="s">
        <v>152</v>
      </c>
      <c r="AZ15" t="s">
        <v>153</v>
      </c>
      <c r="BA15" t="s">
        <v>154</v>
      </c>
      <c r="BB15" t="s">
        <v>155</v>
      </c>
      <c r="BC15" t="s">
        <v>156</v>
      </c>
      <c r="BD15" t="s">
        <v>157</v>
      </c>
      <c r="BE15" t="s">
        <v>158</v>
      </c>
      <c r="BF15" t="s">
        <v>159</v>
      </c>
      <c r="BG15" t="s">
        <v>160</v>
      </c>
      <c r="BH15" t="s">
        <v>161</v>
      </c>
      <c r="BI15" t="s">
        <v>162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165</v>
      </c>
      <c r="CH15" t="s">
        <v>186</v>
      </c>
      <c r="CI15" t="s">
        <v>187</v>
      </c>
      <c r="CJ15" t="s">
        <v>188</v>
      </c>
      <c r="CK15" t="s">
        <v>139</v>
      </c>
      <c r="CL15" t="s">
        <v>189</v>
      </c>
      <c r="CM15" t="s">
        <v>190</v>
      </c>
      <c r="CN15" t="s">
        <v>191</v>
      </c>
      <c r="CO15" t="s">
        <v>192</v>
      </c>
      <c r="CP15" t="s">
        <v>193</v>
      </c>
      <c r="CQ15" t="s">
        <v>194</v>
      </c>
      <c r="CR15" t="s">
        <v>195</v>
      </c>
      <c r="CS15" t="s">
        <v>196</v>
      </c>
      <c r="CT15" t="s">
        <v>197</v>
      </c>
      <c r="CU15" t="s">
        <v>198</v>
      </c>
      <c r="CV15" t="s">
        <v>199</v>
      </c>
      <c r="CW15" t="s">
        <v>200</v>
      </c>
      <c r="CX15" t="s">
        <v>201</v>
      </c>
      <c r="CY15" t="s">
        <v>202</v>
      </c>
      <c r="CZ15" t="s">
        <v>203</v>
      </c>
      <c r="DA15" t="s">
        <v>204</v>
      </c>
      <c r="DB15" t="s">
        <v>109</v>
      </c>
      <c r="DC15" t="s">
        <v>205</v>
      </c>
      <c r="DD15" t="s">
        <v>206</v>
      </c>
      <c r="DE15" t="s">
        <v>207</v>
      </c>
      <c r="DF15" t="s">
        <v>208</v>
      </c>
      <c r="DG15" t="s">
        <v>209</v>
      </c>
      <c r="DH15" t="s">
        <v>210</v>
      </c>
      <c r="DI15" t="s">
        <v>211</v>
      </c>
      <c r="DJ15" t="s">
        <v>212</v>
      </c>
      <c r="DK15" t="s">
        <v>213</v>
      </c>
      <c r="DL15" t="s">
        <v>214</v>
      </c>
      <c r="DM15" t="s">
        <v>215</v>
      </c>
      <c r="DN15" t="s">
        <v>216</v>
      </c>
      <c r="DO15" t="s">
        <v>217</v>
      </c>
      <c r="DP15" t="s">
        <v>218</v>
      </c>
      <c r="DQ15" t="s">
        <v>219</v>
      </c>
      <c r="DR15" t="s">
        <v>220</v>
      </c>
      <c r="DS15" t="s">
        <v>221</v>
      </c>
      <c r="DT15" t="s">
        <v>222</v>
      </c>
      <c r="DU15" t="s">
        <v>223</v>
      </c>
      <c r="DV15" t="s">
        <v>224</v>
      </c>
      <c r="DW15" t="s">
        <v>225</v>
      </c>
      <c r="DX15" t="s">
        <v>226</v>
      </c>
      <c r="DY15" t="s">
        <v>227</v>
      </c>
      <c r="DZ15" t="s">
        <v>228</v>
      </c>
      <c r="EA15" t="s">
        <v>229</v>
      </c>
      <c r="EB15" t="s">
        <v>230</v>
      </c>
      <c r="EC15" t="s">
        <v>231</v>
      </c>
      <c r="ED15" t="s">
        <v>232</v>
      </c>
      <c r="EE15" t="s">
        <v>233</v>
      </c>
      <c r="EF15" t="s">
        <v>234</v>
      </c>
      <c r="EG15" t="s">
        <v>235</v>
      </c>
      <c r="EH15" t="s">
        <v>236</v>
      </c>
      <c r="EI15" t="s">
        <v>237</v>
      </c>
      <c r="EJ15" t="s">
        <v>238</v>
      </c>
      <c r="EK15" t="s">
        <v>239</v>
      </c>
      <c r="EL15" t="s">
        <v>240</v>
      </c>
      <c r="EM15" t="s">
        <v>241</v>
      </c>
      <c r="EN15" t="s">
        <v>242</v>
      </c>
      <c r="EO15" t="s">
        <v>243</v>
      </c>
      <c r="EP15" t="s">
        <v>244</v>
      </c>
      <c r="EQ15" t="s">
        <v>104</v>
      </c>
      <c r="ER15" t="s">
        <v>107</v>
      </c>
      <c r="ES15" t="s">
        <v>245</v>
      </c>
      <c r="ET15" t="s">
        <v>246</v>
      </c>
      <c r="EU15" t="s">
        <v>247</v>
      </c>
      <c r="EV15" t="s">
        <v>248</v>
      </c>
      <c r="EW15" t="s">
        <v>249</v>
      </c>
      <c r="EX15" t="s">
        <v>250</v>
      </c>
      <c r="EY15" t="s">
        <v>251</v>
      </c>
      <c r="EZ15" t="s">
        <v>252</v>
      </c>
      <c r="FA15" t="s">
        <v>253</v>
      </c>
      <c r="FB15" t="s">
        <v>254</v>
      </c>
      <c r="FC15" t="s">
        <v>255</v>
      </c>
      <c r="FD15" t="s">
        <v>256</v>
      </c>
      <c r="FE15" t="s">
        <v>257</v>
      </c>
      <c r="FF15" t="s">
        <v>258</v>
      </c>
      <c r="FG15" t="s">
        <v>259</v>
      </c>
      <c r="FH15" t="s">
        <v>260</v>
      </c>
      <c r="FI15" t="s">
        <v>261</v>
      </c>
      <c r="FJ15" t="s">
        <v>262</v>
      </c>
      <c r="FK15" t="s">
        <v>263</v>
      </c>
      <c r="FL15" t="s">
        <v>264</v>
      </c>
      <c r="FM15" t="s">
        <v>265</v>
      </c>
      <c r="FN15" t="s">
        <v>266</v>
      </c>
      <c r="FO15" t="s">
        <v>267</v>
      </c>
      <c r="FP15" t="s">
        <v>268</v>
      </c>
      <c r="FQ15" t="s">
        <v>269</v>
      </c>
      <c r="FR15" t="s">
        <v>270</v>
      </c>
      <c r="FS15" t="s">
        <v>271</v>
      </c>
      <c r="FT15" t="s">
        <v>272</v>
      </c>
      <c r="FU15" t="s">
        <v>273</v>
      </c>
      <c r="FV15" t="s">
        <v>274</v>
      </c>
      <c r="FW15" t="s">
        <v>275</v>
      </c>
      <c r="FX15" t="s">
        <v>276</v>
      </c>
      <c r="FY15" t="s">
        <v>277</v>
      </c>
      <c r="FZ15" t="s">
        <v>278</v>
      </c>
      <c r="GA15" t="s">
        <v>279</v>
      </c>
      <c r="GB15" t="s">
        <v>280</v>
      </c>
      <c r="GC15" t="s">
        <v>281</v>
      </c>
      <c r="GD15" t="s">
        <v>282</v>
      </c>
      <c r="GE15" t="s">
        <v>283</v>
      </c>
      <c r="GF15" t="s">
        <v>284</v>
      </c>
      <c r="GG15" t="s">
        <v>285</v>
      </c>
      <c r="GH15" t="s">
        <v>286</v>
      </c>
      <c r="GI15" t="s">
        <v>287</v>
      </c>
      <c r="GJ15" t="s">
        <v>288</v>
      </c>
      <c r="GK15" t="s">
        <v>289</v>
      </c>
      <c r="GL15" t="s">
        <v>290</v>
      </c>
      <c r="GM15" t="s">
        <v>291</v>
      </c>
      <c r="GN15" t="s">
        <v>292</v>
      </c>
      <c r="GO15" t="s">
        <v>293</v>
      </c>
      <c r="GP15" t="s">
        <v>294</v>
      </c>
      <c r="GQ15" t="s">
        <v>295</v>
      </c>
      <c r="GR15" t="s">
        <v>296</v>
      </c>
      <c r="GS15" t="s">
        <v>297</v>
      </c>
      <c r="GT15" t="s">
        <v>298</v>
      </c>
      <c r="GU15" t="s">
        <v>299</v>
      </c>
      <c r="GV15" t="s">
        <v>300</v>
      </c>
      <c r="GW15" t="s">
        <v>301</v>
      </c>
      <c r="GX15" t="s">
        <v>302</v>
      </c>
      <c r="GY15" t="s">
        <v>303</v>
      </c>
      <c r="GZ15" t="s">
        <v>304</v>
      </c>
      <c r="HA15" t="s">
        <v>305</v>
      </c>
      <c r="HB15" t="s">
        <v>306</v>
      </c>
      <c r="HC15" t="s">
        <v>307</v>
      </c>
      <c r="HD15" t="s">
        <v>308</v>
      </c>
      <c r="HE15" t="s">
        <v>309</v>
      </c>
      <c r="HF15" t="s">
        <v>310</v>
      </c>
      <c r="HG15" t="s">
        <v>311</v>
      </c>
      <c r="HH15" t="s">
        <v>312</v>
      </c>
    </row>
    <row r="16" spans="1:216" x14ac:dyDescent="0.3">
      <c r="B16" t="s">
        <v>313</v>
      </c>
      <c r="C16" t="s">
        <v>313</v>
      </c>
      <c r="F16" t="s">
        <v>313</v>
      </c>
      <c r="G16" t="s">
        <v>313</v>
      </c>
      <c r="H16" t="s">
        <v>314</v>
      </c>
      <c r="I16" t="s">
        <v>315</v>
      </c>
      <c r="J16" t="s">
        <v>316</v>
      </c>
      <c r="K16" t="s">
        <v>317</v>
      </c>
      <c r="L16" t="s">
        <v>317</v>
      </c>
      <c r="M16" t="s">
        <v>212</v>
      </c>
      <c r="N16" t="s">
        <v>212</v>
      </c>
      <c r="O16" t="s">
        <v>314</v>
      </c>
      <c r="P16" t="s">
        <v>314</v>
      </c>
      <c r="Q16" t="s">
        <v>314</v>
      </c>
      <c r="R16" t="s">
        <v>314</v>
      </c>
      <c r="S16" t="s">
        <v>318</v>
      </c>
      <c r="T16" t="s">
        <v>319</v>
      </c>
      <c r="U16" t="s">
        <v>319</v>
      </c>
      <c r="V16" t="s">
        <v>320</v>
      </c>
      <c r="W16" t="s">
        <v>321</v>
      </c>
      <c r="X16" t="s">
        <v>320</v>
      </c>
      <c r="Y16" t="s">
        <v>320</v>
      </c>
      <c r="Z16" t="s">
        <v>320</v>
      </c>
      <c r="AA16" t="s">
        <v>318</v>
      </c>
      <c r="AB16" t="s">
        <v>318</v>
      </c>
      <c r="AC16" t="s">
        <v>318</v>
      </c>
      <c r="AD16" t="s">
        <v>318</v>
      </c>
      <c r="AE16" t="s">
        <v>322</v>
      </c>
      <c r="AF16" t="s">
        <v>321</v>
      </c>
      <c r="AH16" t="s">
        <v>321</v>
      </c>
      <c r="AI16" t="s">
        <v>322</v>
      </c>
      <c r="AO16" t="s">
        <v>316</v>
      </c>
      <c r="AV16" t="s">
        <v>316</v>
      </c>
      <c r="AW16" t="s">
        <v>316</v>
      </c>
      <c r="AX16" t="s">
        <v>316</v>
      </c>
      <c r="AY16" t="s">
        <v>323</v>
      </c>
      <c r="BM16" t="s">
        <v>324</v>
      </c>
      <c r="BO16" t="s">
        <v>324</v>
      </c>
      <c r="BP16" t="s">
        <v>316</v>
      </c>
      <c r="BS16" t="s">
        <v>324</v>
      </c>
      <c r="BT16" t="s">
        <v>321</v>
      </c>
      <c r="BW16" t="s">
        <v>325</v>
      </c>
      <c r="BX16" t="s">
        <v>325</v>
      </c>
      <c r="BZ16" t="s">
        <v>326</v>
      </c>
      <c r="CA16" t="s">
        <v>324</v>
      </c>
      <c r="CC16" t="s">
        <v>324</v>
      </c>
      <c r="CD16" t="s">
        <v>316</v>
      </c>
      <c r="CH16" t="s">
        <v>324</v>
      </c>
      <c r="CJ16" t="s">
        <v>327</v>
      </c>
      <c r="CM16" t="s">
        <v>324</v>
      </c>
      <c r="CN16" t="s">
        <v>324</v>
      </c>
      <c r="CP16" t="s">
        <v>324</v>
      </c>
      <c r="CR16" t="s">
        <v>324</v>
      </c>
      <c r="CT16" t="s">
        <v>316</v>
      </c>
      <c r="CU16" t="s">
        <v>316</v>
      </c>
      <c r="CW16" t="s">
        <v>328</v>
      </c>
      <c r="CX16" t="s">
        <v>329</v>
      </c>
      <c r="DA16" t="s">
        <v>314</v>
      </c>
      <c r="DB16" t="s">
        <v>313</v>
      </c>
      <c r="DC16" t="s">
        <v>317</v>
      </c>
      <c r="DD16" t="s">
        <v>317</v>
      </c>
      <c r="DE16" t="s">
        <v>330</v>
      </c>
      <c r="DF16" t="s">
        <v>330</v>
      </c>
      <c r="DG16" t="s">
        <v>317</v>
      </c>
      <c r="DH16" t="s">
        <v>330</v>
      </c>
      <c r="DI16" t="s">
        <v>322</v>
      </c>
      <c r="DJ16" t="s">
        <v>320</v>
      </c>
      <c r="DK16" t="s">
        <v>320</v>
      </c>
      <c r="DL16" t="s">
        <v>319</v>
      </c>
      <c r="DM16" t="s">
        <v>319</v>
      </c>
      <c r="DN16" t="s">
        <v>319</v>
      </c>
      <c r="DO16" t="s">
        <v>319</v>
      </c>
      <c r="DP16" t="s">
        <v>319</v>
      </c>
      <c r="DQ16" t="s">
        <v>331</v>
      </c>
      <c r="DR16" t="s">
        <v>316</v>
      </c>
      <c r="DS16" t="s">
        <v>316</v>
      </c>
      <c r="DT16" t="s">
        <v>316</v>
      </c>
      <c r="DY16" t="s">
        <v>316</v>
      </c>
      <c r="EB16" t="s">
        <v>319</v>
      </c>
      <c r="EC16" t="s">
        <v>319</v>
      </c>
      <c r="ED16" t="s">
        <v>319</v>
      </c>
      <c r="EE16" t="s">
        <v>319</v>
      </c>
      <c r="EF16" t="s">
        <v>319</v>
      </c>
      <c r="EG16" t="s">
        <v>316</v>
      </c>
      <c r="EH16" t="s">
        <v>316</v>
      </c>
      <c r="EI16" t="s">
        <v>316</v>
      </c>
      <c r="EJ16" t="s">
        <v>313</v>
      </c>
      <c r="EM16" t="s">
        <v>332</v>
      </c>
      <c r="EN16" t="s">
        <v>332</v>
      </c>
      <c r="EP16" t="s">
        <v>313</v>
      </c>
      <c r="EQ16" t="s">
        <v>333</v>
      </c>
      <c r="ES16" t="s">
        <v>313</v>
      </c>
      <c r="ET16" t="s">
        <v>313</v>
      </c>
      <c r="EV16" t="s">
        <v>334</v>
      </c>
      <c r="EW16" t="s">
        <v>335</v>
      </c>
      <c r="EX16" t="s">
        <v>334</v>
      </c>
      <c r="EY16" t="s">
        <v>335</v>
      </c>
      <c r="EZ16" t="s">
        <v>334</v>
      </c>
      <c r="FA16" t="s">
        <v>335</v>
      </c>
      <c r="FB16" t="s">
        <v>321</v>
      </c>
      <c r="FC16" t="s">
        <v>321</v>
      </c>
      <c r="FD16" t="s">
        <v>316</v>
      </c>
      <c r="FE16" t="s">
        <v>336</v>
      </c>
      <c r="FF16" t="s">
        <v>316</v>
      </c>
      <c r="FH16" t="s">
        <v>317</v>
      </c>
      <c r="FI16" t="s">
        <v>337</v>
      </c>
      <c r="FJ16" t="s">
        <v>317</v>
      </c>
      <c r="FM16" t="s">
        <v>338</v>
      </c>
      <c r="FS16" t="s">
        <v>321</v>
      </c>
      <c r="FT16" t="s">
        <v>321</v>
      </c>
      <c r="FU16" t="s">
        <v>334</v>
      </c>
      <c r="FV16" t="s">
        <v>335</v>
      </c>
      <c r="FW16" t="s">
        <v>334</v>
      </c>
      <c r="GA16" t="s">
        <v>335</v>
      </c>
      <c r="GE16" t="s">
        <v>317</v>
      </c>
      <c r="GF16" t="s">
        <v>317</v>
      </c>
      <c r="GG16" t="s">
        <v>330</v>
      </c>
      <c r="GH16" t="s">
        <v>330</v>
      </c>
      <c r="GI16" t="s">
        <v>339</v>
      </c>
      <c r="GJ16" t="s">
        <v>339</v>
      </c>
      <c r="GK16" t="s">
        <v>340</v>
      </c>
      <c r="GL16" t="s">
        <v>340</v>
      </c>
      <c r="GM16" t="s">
        <v>340</v>
      </c>
      <c r="GN16" t="s">
        <v>340</v>
      </c>
      <c r="GO16" t="s">
        <v>340</v>
      </c>
      <c r="GP16" t="s">
        <v>340</v>
      </c>
      <c r="GQ16" t="s">
        <v>319</v>
      </c>
      <c r="GR16" t="s">
        <v>340</v>
      </c>
      <c r="GT16" t="s">
        <v>322</v>
      </c>
      <c r="GU16" t="s">
        <v>322</v>
      </c>
      <c r="GV16" t="s">
        <v>319</v>
      </c>
      <c r="GW16" t="s">
        <v>319</v>
      </c>
      <c r="GX16" t="s">
        <v>319</v>
      </c>
      <c r="GY16" t="s">
        <v>319</v>
      </c>
      <c r="GZ16" t="s">
        <v>319</v>
      </c>
      <c r="HA16" t="s">
        <v>321</v>
      </c>
      <c r="HB16" t="s">
        <v>321</v>
      </c>
      <c r="HC16" t="s">
        <v>321</v>
      </c>
      <c r="HD16" t="s">
        <v>319</v>
      </c>
      <c r="HE16" t="s">
        <v>317</v>
      </c>
      <c r="HF16" t="s">
        <v>330</v>
      </c>
      <c r="HG16" t="s">
        <v>321</v>
      </c>
      <c r="HH16" t="s">
        <v>321</v>
      </c>
    </row>
    <row r="17" spans="1:216" x14ac:dyDescent="0.3">
      <c r="A17">
        <v>1</v>
      </c>
      <c r="B17">
        <v>1792200683.0999999</v>
      </c>
      <c r="C17">
        <v>0</v>
      </c>
      <c r="D17" t="s">
        <v>341</v>
      </c>
      <c r="E17" t="s">
        <v>342</v>
      </c>
      <c r="F17">
        <v>5</v>
      </c>
      <c r="G17">
        <v>1792200674.5999999</v>
      </c>
      <c r="H17">
        <f t="shared" ref="H17:H28" si="0">(I17)/1000</f>
        <v>4.6094632317070297E-3</v>
      </c>
      <c r="I17">
        <f t="shared" ref="I17:I28" si="1">1000*DI17*AG17*(DE17-DF17)/(100*CX17*(1000-AG17*DE17))</f>
        <v>4.6094632317070294</v>
      </c>
      <c r="J17">
        <f t="shared" ref="J17:J28" si="2">DI17*AG17*(DD17-DC17*(1000-AG17*DF17)/(1000-AG17*DE17))/(100*CX17)</f>
        <v>19.397673199239577</v>
      </c>
      <c r="K17">
        <f t="shared" ref="K17:K28" si="3">DC17 - IF(AG17&gt;1, J17*CX17*100/(AI17), 0)</f>
        <v>391.51549999999997</v>
      </c>
      <c r="L17">
        <f t="shared" ref="L17:L28" si="4">((R17-H17/2)*K17-J17)/(R17+H17/2)</f>
        <v>288.99887483042085</v>
      </c>
      <c r="M17">
        <f t="shared" ref="M17:M28" si="5">L17*(DJ17+DK17)/1000</f>
        <v>29.484028586547286</v>
      </c>
      <c r="N17">
        <f t="shared" ref="N17:N28" si="6">(DC17 - IF(AG17&gt;1, J17*CX17*100/(AI17), 0))*(DJ17+DK17)/1000</f>
        <v>39.942903586907867</v>
      </c>
      <c r="O17">
        <f t="shared" ref="O17:O28" si="7">2/((1/Q17-1/P17)+SIGN(Q17)*SQRT((1/Q17-1/P17)*(1/Q17-1/P17) + 4*CY17/((CY17+1)*(CY17+1))*(2*1/Q17*1/P17-1/P17*1/P17)))</f>
        <v>0.34479221438521729</v>
      </c>
      <c r="P17">
        <f t="shared" ref="P17:P28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3.041993151381559</v>
      </c>
      <c r="Q17">
        <f t="shared" ref="Q17:Q28" si="9">H17*(1000-(1000*0.61365*EXP(17.502*U17/(240.97+U17))/(DJ17+DK17)+DE17)/2)/(1000*0.61365*EXP(17.502*U17/(240.97+U17))/(DJ17+DK17)-DE17)</f>
        <v>0.32445932402220135</v>
      </c>
      <c r="R17">
        <f t="shared" ref="R17:R28" si="10">1/((CY17+1)/(O17/1.6)+1/(P17/1.37)) + CY17/((CY17+1)/(O17/1.6) + CY17/(P17/1.37))</f>
        <v>0.2045139133215978</v>
      </c>
      <c r="S17">
        <f t="shared" ref="S17:S28" si="11">(CT17*CW17)</f>
        <v>241.73769098506455</v>
      </c>
      <c r="T17">
        <f t="shared" ref="T17:T28" si="12">(DL17+(S17+2*0.95*0.0000000567*(((DL17+$B$7)+273)^4-(DL17+273)^4)-44100*H17)/(1.84*29.3*P17+8*0.95*0.0000000567*(DL17+273)^3))</f>
        <v>25.321953030579483</v>
      </c>
      <c r="U17">
        <f t="shared" ref="U17:U28" si="13">($C$7*DM17+$D$7*DN17+$E$7*T17)</f>
        <v>24.98216875</v>
      </c>
      <c r="V17">
        <f t="shared" ref="V17:V28" si="14">0.61365*EXP(17.502*U17/(240.97+U17))</f>
        <v>3.1762988987666931</v>
      </c>
      <c r="W17">
        <f t="shared" ref="W17:W28" si="15">(X17/Y17*100)</f>
        <v>55.076360530647904</v>
      </c>
      <c r="X17">
        <f t="shared" ref="X17:X28" si="16">DE17*(DJ17+DK17)/1000</f>
        <v>1.7620021219462938</v>
      </c>
      <c r="Y17">
        <f t="shared" ref="Y17:Y28" si="17">0.61365*EXP(17.502*DL17/(240.97+DL17))</f>
        <v>3.1991985399358525</v>
      </c>
      <c r="Z17">
        <f t="shared" ref="Z17:Z28" si="18">(V17-DE17*(DJ17+DK17)/1000)</f>
        <v>1.4142967768203993</v>
      </c>
      <c r="AA17">
        <f t="shared" ref="AA17:AA28" si="19">(-H17*44100)</f>
        <v>-203.27732851828</v>
      </c>
      <c r="AB17">
        <f t="shared" ref="AB17:AB28" si="20">2*29.3*P17*0.92*(DL17-U17)</f>
        <v>19.767117138624197</v>
      </c>
      <c r="AC17">
        <f t="shared" ref="AC17:AC28" si="21">2*0.95*0.0000000567*(((DL17+$B$7)+273)^4-(U17+273)^4)</f>
        <v>1.3750884539445092</v>
      </c>
      <c r="AD17">
        <f t="shared" ref="AD17:AD28" si="22">S17+AC17+AA17+AB17</f>
        <v>59.602568059353246</v>
      </c>
      <c r="AE17">
        <v>0</v>
      </c>
      <c r="AF17">
        <v>0</v>
      </c>
      <c r="AG17">
        <f t="shared" ref="AG17:AG28" si="23">IF(AE17*$H$13&gt;=AI17,1,(AI17/(AI17-AE17*$H$13)))</f>
        <v>1</v>
      </c>
      <c r="AH17">
        <f t="shared" ref="AH17:AH28" si="24">(AG17-1)*100</f>
        <v>0</v>
      </c>
      <c r="AI17">
        <f t="shared" ref="AI17:AI28" si="25">MAX(0,($B$13+$C$13*DQ17)/(1+$D$13*DQ17)*DJ17/(DL17+273)*$E$13)</f>
        <v>54216.172868160043</v>
      </c>
      <c r="AJ17" t="s">
        <v>343</v>
      </c>
      <c r="AK17" t="s">
        <v>343</v>
      </c>
      <c r="AL17">
        <v>0</v>
      </c>
      <c r="AM17">
        <v>0</v>
      </c>
      <c r="AN17" t="e">
        <f t="shared" ref="AN17:AN28" si="26">1-AL17/AM17</f>
        <v>#DIV/0!</v>
      </c>
      <c r="AO17">
        <v>0</v>
      </c>
      <c r="AP17" t="s">
        <v>343</v>
      </c>
      <c r="AQ17" t="s">
        <v>343</v>
      </c>
      <c r="AR17">
        <v>0</v>
      </c>
      <c r="AS17">
        <v>0</v>
      </c>
      <c r="AT17" t="e">
        <f t="shared" ref="AT17:AT28" si="27">1-AR17/AS17</f>
        <v>#DIV/0!</v>
      </c>
      <c r="AU17">
        <v>0.5</v>
      </c>
      <c r="AV17">
        <f t="shared" ref="AV17:AV28" si="28">CU17</f>
        <v>1261.2107655363029</v>
      </c>
      <c r="AW17">
        <f t="shared" ref="AW17:AW28" si="29">J17</f>
        <v>19.397673199239577</v>
      </c>
      <c r="AX17" t="e">
        <f t="shared" ref="AX17:AX28" si="30">AT17*AU17*AV17</f>
        <v>#DIV/0!</v>
      </c>
      <c r="AY17">
        <f t="shared" ref="AY17:AY28" si="31">(AW17-AO17)/AV17</f>
        <v>1.5380199510897079E-2</v>
      </c>
      <c r="AZ17" t="e">
        <f t="shared" ref="AZ17:AZ28" si="32">(AM17-AS17)/AS17</f>
        <v>#DIV/0!</v>
      </c>
      <c r="BA17" t="e">
        <f t="shared" ref="BA17:BA28" si="33">AL17/(AN17+AL17/AS17)</f>
        <v>#DIV/0!</v>
      </c>
      <c r="BB17" t="s">
        <v>343</v>
      </c>
      <c r="BC17">
        <v>0</v>
      </c>
      <c r="BD17" t="e">
        <f t="shared" ref="BD17:BD28" si="34">IF(BC17&lt;&gt;0, BC17, BA17)</f>
        <v>#DIV/0!</v>
      </c>
      <c r="BE17" t="e">
        <f t="shared" ref="BE17:BE28" si="35">1-BD17/AS17</f>
        <v>#DIV/0!</v>
      </c>
      <c r="BF17" t="e">
        <f t="shared" ref="BF17:BF28" si="36">(AS17-AR17)/(AS17-BD17)</f>
        <v>#DIV/0!</v>
      </c>
      <c r="BG17" t="e">
        <f t="shared" ref="BG17:BG28" si="37">(AM17-AS17)/(AM17-BD17)</f>
        <v>#DIV/0!</v>
      </c>
      <c r="BH17" t="e">
        <f t="shared" ref="BH17:BH28" si="38">(AS17-AR17)/(AS17-AL17)</f>
        <v>#DIV/0!</v>
      </c>
      <c r="BI17" t="e">
        <f t="shared" ref="BI17:BI28" si="39">(AM17-AS17)/(AM17-AL17)</f>
        <v>#DIV/0!</v>
      </c>
      <c r="BJ17" t="e">
        <f t="shared" ref="BJ17:BJ28" si="40">(BF17*BD17/AR17)</f>
        <v>#DIV/0!</v>
      </c>
      <c r="BK17" t="e">
        <f t="shared" ref="BK17:BK28" si="41">(1-BJ17)</f>
        <v>#DIV/0!</v>
      </c>
      <c r="CT17">
        <f t="shared" ref="CT17:CT28" si="42">$B$11*DR17+$C$11*DS17+$F$11*DT17*(1-DW17)</f>
        <v>1499.9993750000001</v>
      </c>
      <c r="CU17">
        <f t="shared" ref="CU17:CU28" si="43">CT17*CV17</f>
        <v>1261.2107655363029</v>
      </c>
      <c r="CV17">
        <f t="shared" ref="CV17:CV28" si="44">($B$11*$D$9+$C$11*$D$9+$F$11*((EG17+DY17)/MAX(EG17+DY17+EH17, 0.1)*$I$9+EH17/MAX(EG17+DY17+EH17, 0.1)*$J$9))/($B$11+$C$11+$F$11)</f>
        <v>0.84080752736067155</v>
      </c>
      <c r="CW17">
        <f t="shared" ref="CW17:CW28" si="45">($B$11*$K$9+$C$11*$K$9+$F$11*((EG17+DY17)/MAX(EG17+DY17+EH17, 0.1)*$P$9+EH17/MAX(EG17+DY17+EH17, 0.1)*$Q$9))/($B$11+$C$11+$F$11)</f>
        <v>0.16115852780609627</v>
      </c>
      <c r="CX17">
        <v>2</v>
      </c>
      <c r="CY17">
        <v>0.5</v>
      </c>
      <c r="CZ17" t="s">
        <v>344</v>
      </c>
      <c r="DA17">
        <v>2</v>
      </c>
      <c r="DB17">
        <v>1792200674.5999999</v>
      </c>
      <c r="DC17">
        <v>391.51549999999997</v>
      </c>
      <c r="DD17">
        <v>399.99618750000002</v>
      </c>
      <c r="DE17">
        <v>17.27093125</v>
      </c>
      <c r="DF17">
        <v>15.459043749999999</v>
      </c>
      <c r="DG17">
        <v>391.98237499999999</v>
      </c>
      <c r="DH17">
        <v>17.430099999999999</v>
      </c>
      <c r="DI17">
        <v>500.01487500000002</v>
      </c>
      <c r="DJ17">
        <v>101.92125</v>
      </c>
      <c r="DK17">
        <v>0.1000073625</v>
      </c>
      <c r="DL17">
        <v>25.102699999999999</v>
      </c>
      <c r="DM17">
        <v>24.98216875</v>
      </c>
      <c r="DN17">
        <v>999.9</v>
      </c>
      <c r="DO17">
        <v>0</v>
      </c>
      <c r="DP17">
        <v>0</v>
      </c>
      <c r="DQ17">
        <v>9996.1731249999993</v>
      </c>
      <c r="DR17">
        <v>0</v>
      </c>
      <c r="DS17">
        <v>7.8387431249999997</v>
      </c>
      <c r="DT17">
        <v>1499.9993750000001</v>
      </c>
      <c r="DU17">
        <v>0.97299274999999996</v>
      </c>
      <c r="DV17">
        <v>2.7006906250000001E-2</v>
      </c>
      <c r="DW17">
        <v>0</v>
      </c>
      <c r="DX17">
        <v>259.9620625</v>
      </c>
      <c r="DY17">
        <v>4.9999900000000004</v>
      </c>
      <c r="DZ17">
        <v>3870.6574999999998</v>
      </c>
      <c r="EA17">
        <v>14882.5375</v>
      </c>
      <c r="EB17">
        <v>37.722437499999998</v>
      </c>
      <c r="EC17">
        <v>39.0895625</v>
      </c>
      <c r="ED17">
        <v>38.339624999999998</v>
      </c>
      <c r="EE17">
        <v>38.382687500000003</v>
      </c>
      <c r="EF17">
        <v>39.257624999999997</v>
      </c>
      <c r="EG17">
        <v>1454.619375</v>
      </c>
      <c r="EH17">
        <v>40.376249999999999</v>
      </c>
      <c r="EI17">
        <v>0</v>
      </c>
      <c r="EJ17">
        <v>1792200683.3</v>
      </c>
      <c r="EK17">
        <v>0</v>
      </c>
      <c r="EL17">
        <v>259.96719230769202</v>
      </c>
      <c r="EM17">
        <v>-1.12434186052973</v>
      </c>
      <c r="EN17">
        <v>-2.0523076940653602</v>
      </c>
      <c r="EO17">
        <v>3870.5634615384602</v>
      </c>
      <c r="EP17">
        <v>15</v>
      </c>
      <c r="EQ17">
        <v>1792200617.0999999</v>
      </c>
      <c r="ER17" t="s">
        <v>345</v>
      </c>
      <c r="ES17">
        <v>1792200615.0999999</v>
      </c>
      <c r="ET17">
        <v>1792200617.0999999</v>
      </c>
      <c r="EU17">
        <v>2</v>
      </c>
      <c r="EV17">
        <v>1.7999999999999999E-2</v>
      </c>
      <c r="EW17">
        <v>2E-3</v>
      </c>
      <c r="EX17">
        <v>-0.46300000000000002</v>
      </c>
      <c r="EY17">
        <v>-0.18099999999999999</v>
      </c>
      <c r="EZ17">
        <v>400</v>
      </c>
      <c r="FA17">
        <v>15</v>
      </c>
      <c r="FB17">
        <v>0.19</v>
      </c>
      <c r="FC17">
        <v>0.05</v>
      </c>
      <c r="FD17">
        <v>19.387944019681999</v>
      </c>
      <c r="FE17">
        <v>0.106560724795043</v>
      </c>
      <c r="FF17">
        <v>7.8565374054678394E-2</v>
      </c>
      <c r="FG17">
        <v>1</v>
      </c>
      <c r="FH17">
        <v>-8.4767465000000009</v>
      </c>
      <c r="FI17">
        <v>-5.26199999999954E-2</v>
      </c>
      <c r="FJ17">
        <v>3.10826646661767E-2</v>
      </c>
      <c r="FK17">
        <v>1</v>
      </c>
      <c r="FL17">
        <v>259.89094117647102</v>
      </c>
      <c r="FM17">
        <v>0.84788388162051098</v>
      </c>
      <c r="FN17">
        <v>0.49758291896494899</v>
      </c>
      <c r="FO17">
        <v>1</v>
      </c>
      <c r="FP17">
        <v>3</v>
      </c>
      <c r="FQ17">
        <v>3</v>
      </c>
      <c r="FR17" t="s">
        <v>346</v>
      </c>
      <c r="FS17">
        <v>100</v>
      </c>
      <c r="FT17">
        <v>100</v>
      </c>
      <c r="FU17">
        <v>-0.46600000000000003</v>
      </c>
      <c r="FV17">
        <v>-0.15920000000000001</v>
      </c>
      <c r="FW17">
        <v>-0.53792486899026204</v>
      </c>
      <c r="FX17">
        <v>-6.1673298426602905E-5</v>
      </c>
      <c r="FY17">
        <v>6.1939807181674203E-7</v>
      </c>
      <c r="FZ17">
        <v>3.19222985850634E-12</v>
      </c>
      <c r="GA17">
        <v>-7.68346465195099E-2</v>
      </c>
      <c r="GB17">
        <v>-2.57783215012692E-2</v>
      </c>
      <c r="GC17">
        <v>1.33723821780375E-3</v>
      </c>
      <c r="GD17">
        <v>-7.42160749481374E-6</v>
      </c>
      <c r="GE17">
        <v>7</v>
      </c>
      <c r="GF17">
        <v>2154</v>
      </c>
      <c r="GG17">
        <v>2</v>
      </c>
      <c r="GH17">
        <v>20</v>
      </c>
      <c r="GI17">
        <v>1.1000000000000001</v>
      </c>
      <c r="GJ17">
        <v>1.1000000000000001</v>
      </c>
      <c r="GK17">
        <v>1.0363800000000001</v>
      </c>
      <c r="GL17">
        <v>2.6110799999999998</v>
      </c>
      <c r="GM17">
        <v>1.65161</v>
      </c>
      <c r="GN17">
        <v>2.2741699999999998</v>
      </c>
      <c r="GO17">
        <v>1.5979000000000001</v>
      </c>
      <c r="GP17">
        <v>2.5549300000000001</v>
      </c>
      <c r="GQ17">
        <v>31.063600000000001</v>
      </c>
      <c r="GR17">
        <v>15.9358</v>
      </c>
      <c r="GS17">
        <v>18</v>
      </c>
      <c r="GT17">
        <v>500.62599999999998</v>
      </c>
      <c r="GU17">
        <v>572.55999999999995</v>
      </c>
      <c r="GV17">
        <v>21.6875</v>
      </c>
      <c r="GW17">
        <v>28.0322</v>
      </c>
      <c r="GX17">
        <v>30.0001</v>
      </c>
      <c r="GY17">
        <v>28.141400000000001</v>
      </c>
      <c r="GZ17">
        <v>28.192599999999999</v>
      </c>
      <c r="HA17">
        <v>20.731000000000002</v>
      </c>
      <c r="HB17">
        <v>33.2288</v>
      </c>
      <c r="HC17">
        <v>70.028700000000001</v>
      </c>
      <c r="HD17">
        <v>21.702200000000001</v>
      </c>
      <c r="HE17">
        <v>400</v>
      </c>
      <c r="HF17">
        <v>15.495799999999999</v>
      </c>
      <c r="HG17">
        <v>98.392899999999997</v>
      </c>
      <c r="HH17">
        <v>94.873400000000004</v>
      </c>
    </row>
    <row r="18" spans="1:216" x14ac:dyDescent="0.3">
      <c r="A18">
        <v>2</v>
      </c>
      <c r="B18">
        <v>1792200804.0999999</v>
      </c>
      <c r="C18">
        <v>121</v>
      </c>
      <c r="D18" t="s">
        <v>347</v>
      </c>
      <c r="E18" t="s">
        <v>348</v>
      </c>
      <c r="F18">
        <v>5</v>
      </c>
      <c r="G18">
        <v>1792200795.5999999</v>
      </c>
      <c r="H18">
        <f t="shared" si="0"/>
        <v>4.7821455306017143E-3</v>
      </c>
      <c r="I18">
        <f t="shared" si="1"/>
        <v>4.7821455306017144</v>
      </c>
      <c r="J18">
        <f t="shared" si="2"/>
        <v>14.448540944928272</v>
      </c>
      <c r="K18">
        <f t="shared" si="3"/>
        <v>293.66649999999998</v>
      </c>
      <c r="L18">
        <f t="shared" si="4"/>
        <v>219.92692832951423</v>
      </c>
      <c r="M18">
        <f t="shared" si="5"/>
        <v>22.437890515351299</v>
      </c>
      <c r="N18">
        <f t="shared" si="6"/>
        <v>29.961118563679467</v>
      </c>
      <c r="O18">
        <f t="shared" si="7"/>
        <v>0.35916699779423539</v>
      </c>
      <c r="P18">
        <f t="shared" si="8"/>
        <v>3.0428904635466658</v>
      </c>
      <c r="Q18">
        <f t="shared" si="9"/>
        <v>0.33716748177844008</v>
      </c>
      <c r="R18">
        <f t="shared" si="10"/>
        <v>0.21259386037522929</v>
      </c>
      <c r="S18">
        <f t="shared" si="11"/>
        <v>241.73888214058516</v>
      </c>
      <c r="T18">
        <f t="shared" si="12"/>
        <v>25.28377909710181</v>
      </c>
      <c r="U18">
        <f t="shared" si="13"/>
        <v>24.972168750000002</v>
      </c>
      <c r="V18">
        <f t="shared" si="14"/>
        <v>3.1744054576580152</v>
      </c>
      <c r="W18">
        <f t="shared" si="15"/>
        <v>55.070679059302094</v>
      </c>
      <c r="X18">
        <f t="shared" si="16"/>
        <v>1.7623747410613755</v>
      </c>
      <c r="Y18">
        <f t="shared" si="17"/>
        <v>3.2002052111316561</v>
      </c>
      <c r="Z18">
        <f t="shared" si="18"/>
        <v>1.4120307165966397</v>
      </c>
      <c r="AA18">
        <f t="shared" si="19"/>
        <v>-210.89261789953559</v>
      </c>
      <c r="AB18">
        <f t="shared" si="20"/>
        <v>22.279811192968246</v>
      </c>
      <c r="AC18">
        <f t="shared" si="21"/>
        <v>1.5493887898212868</v>
      </c>
      <c r="AD18">
        <f t="shared" si="22"/>
        <v>54.675464223839093</v>
      </c>
      <c r="AE18">
        <v>0</v>
      </c>
      <c r="AF18">
        <v>0</v>
      </c>
      <c r="AG18">
        <f t="shared" si="23"/>
        <v>1</v>
      </c>
      <c r="AH18">
        <f t="shared" si="24"/>
        <v>0</v>
      </c>
      <c r="AI18">
        <f t="shared" si="25"/>
        <v>54243.483122869126</v>
      </c>
      <c r="AJ18" t="s">
        <v>343</v>
      </c>
      <c r="AK18" t="s">
        <v>343</v>
      </c>
      <c r="AL18">
        <v>0</v>
      </c>
      <c r="AM18">
        <v>0</v>
      </c>
      <c r="AN18" t="e">
        <f t="shared" si="26"/>
        <v>#DIV/0!</v>
      </c>
      <c r="AO18">
        <v>0</v>
      </c>
      <c r="AP18" t="s">
        <v>343</v>
      </c>
      <c r="AQ18" t="s">
        <v>343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1261.2170625080753</v>
      </c>
      <c r="AW18">
        <f t="shared" si="29"/>
        <v>14.448540944928272</v>
      </c>
      <c r="AX18" t="e">
        <f t="shared" si="30"/>
        <v>#DIV/0!</v>
      </c>
      <c r="AY18">
        <f t="shared" si="31"/>
        <v>1.1456030349126173E-2</v>
      </c>
      <c r="AZ18" t="e">
        <f t="shared" si="32"/>
        <v>#DIV/0!</v>
      </c>
      <c r="BA18" t="e">
        <f t="shared" si="33"/>
        <v>#DIV/0!</v>
      </c>
      <c r="BB18" t="s">
        <v>343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 t="e">
        <f t="shared" si="38"/>
        <v>#DIV/0!</v>
      </c>
      <c r="BI18" t="e">
        <f t="shared" si="39"/>
        <v>#DIV/0!</v>
      </c>
      <c r="BJ18" t="e">
        <f t="shared" si="40"/>
        <v>#DIV/0!</v>
      </c>
      <c r="BK18" t="e">
        <f t="shared" si="41"/>
        <v>#DIV/0!</v>
      </c>
      <c r="CT18">
        <f t="shared" si="42"/>
        <v>1500.006875</v>
      </c>
      <c r="CU18">
        <f t="shared" si="43"/>
        <v>1261.2170625080753</v>
      </c>
      <c r="CV18">
        <f t="shared" si="44"/>
        <v>0.84080752130424419</v>
      </c>
      <c r="CW18">
        <f t="shared" si="45"/>
        <v>0.16115851611719123</v>
      </c>
      <c r="CX18">
        <v>2</v>
      </c>
      <c r="CY18">
        <v>0.5</v>
      </c>
      <c r="CZ18" t="s">
        <v>344</v>
      </c>
      <c r="DA18">
        <v>2</v>
      </c>
      <c r="DB18">
        <v>1792200795.5999999</v>
      </c>
      <c r="DC18">
        <v>293.66649999999998</v>
      </c>
      <c r="DD18">
        <v>300.00737500000002</v>
      </c>
      <c r="DE18">
        <v>17.274068750000001</v>
      </c>
      <c r="DF18">
        <v>15.394337500000001</v>
      </c>
      <c r="DG18">
        <v>294.19274999999999</v>
      </c>
      <c r="DH18">
        <v>17.430350000000001</v>
      </c>
      <c r="DI18">
        <v>500.02237500000001</v>
      </c>
      <c r="DJ18">
        <v>101.9243125</v>
      </c>
      <c r="DK18">
        <v>9.9985687500000003E-2</v>
      </c>
      <c r="DL18">
        <v>25.107981250000002</v>
      </c>
      <c r="DM18">
        <v>24.972168750000002</v>
      </c>
      <c r="DN18">
        <v>999.9</v>
      </c>
      <c r="DO18">
        <v>0</v>
      </c>
      <c r="DP18">
        <v>0</v>
      </c>
      <c r="DQ18">
        <v>10001.294374999999</v>
      </c>
      <c r="DR18">
        <v>0</v>
      </c>
      <c r="DS18">
        <v>7.8489800000000001</v>
      </c>
      <c r="DT18">
        <v>1500.006875</v>
      </c>
      <c r="DU18">
        <v>0.97299150000000001</v>
      </c>
      <c r="DV18">
        <v>2.7008299999999999E-2</v>
      </c>
      <c r="DW18">
        <v>0</v>
      </c>
      <c r="DX18">
        <v>260.59674999999999</v>
      </c>
      <c r="DY18">
        <v>4.9999900000000004</v>
      </c>
      <c r="DZ18">
        <v>3870.7175000000002</v>
      </c>
      <c r="EA18">
        <v>14882.59375</v>
      </c>
      <c r="EB18">
        <v>37.132750000000001</v>
      </c>
      <c r="EC18">
        <v>38.609250000000003</v>
      </c>
      <c r="ED18">
        <v>37.75</v>
      </c>
      <c r="EE18">
        <v>37.890500000000003</v>
      </c>
      <c r="EF18">
        <v>38.722437499999998</v>
      </c>
      <c r="EG18">
        <v>1454.630625</v>
      </c>
      <c r="EH18">
        <v>40.376249999999999</v>
      </c>
      <c r="EI18">
        <v>0</v>
      </c>
      <c r="EJ18">
        <v>1792200803.9000001</v>
      </c>
      <c r="EK18">
        <v>0</v>
      </c>
      <c r="EL18">
        <v>260.61676</v>
      </c>
      <c r="EM18">
        <v>1.7766154144408901</v>
      </c>
      <c r="EN18">
        <v>-7.5076923129187101</v>
      </c>
      <c r="EO18">
        <v>3870.5835999999999</v>
      </c>
      <c r="EP18">
        <v>15</v>
      </c>
      <c r="EQ18">
        <v>1792200750.0999999</v>
      </c>
      <c r="ER18" t="s">
        <v>349</v>
      </c>
      <c r="ES18">
        <v>1792200748.0999999</v>
      </c>
      <c r="ET18">
        <v>1792200750.0999999</v>
      </c>
      <c r="EU18">
        <v>3</v>
      </c>
      <c r="EV18">
        <v>-2.4E-2</v>
      </c>
      <c r="EW18">
        <v>3.0000000000000001E-3</v>
      </c>
      <c r="EX18">
        <v>-0.52400000000000002</v>
      </c>
      <c r="EY18">
        <v>-0.17799999999999999</v>
      </c>
      <c r="EZ18">
        <v>300</v>
      </c>
      <c r="FA18">
        <v>15</v>
      </c>
      <c r="FB18">
        <v>0.26</v>
      </c>
      <c r="FC18">
        <v>0.04</v>
      </c>
      <c r="FD18">
        <v>14.421782296533101</v>
      </c>
      <c r="FE18">
        <v>0.32098198945324802</v>
      </c>
      <c r="FF18">
        <v>6.8113711151135806E-2</v>
      </c>
      <c r="FG18">
        <v>1</v>
      </c>
      <c r="FH18">
        <v>-6.3324461904761904</v>
      </c>
      <c r="FI18">
        <v>-0.133561558441566</v>
      </c>
      <c r="FJ18">
        <v>2.62154304754155E-2</v>
      </c>
      <c r="FK18">
        <v>1</v>
      </c>
      <c r="FL18">
        <v>260.59514705882299</v>
      </c>
      <c r="FM18">
        <v>0.52013752516228695</v>
      </c>
      <c r="FN18">
        <v>0.44652100486479601</v>
      </c>
      <c r="FO18">
        <v>1</v>
      </c>
      <c r="FP18">
        <v>3</v>
      </c>
      <c r="FQ18">
        <v>3</v>
      </c>
      <c r="FR18" t="s">
        <v>346</v>
      </c>
      <c r="FS18">
        <v>100</v>
      </c>
      <c r="FT18">
        <v>100</v>
      </c>
      <c r="FU18">
        <v>-0.52600000000000002</v>
      </c>
      <c r="FV18">
        <v>-0.15640000000000001</v>
      </c>
      <c r="FW18">
        <v>-0.56197011891920901</v>
      </c>
      <c r="FX18">
        <v>-6.1673298426602905E-5</v>
      </c>
      <c r="FY18">
        <v>6.1939807181674203E-7</v>
      </c>
      <c r="FZ18">
        <v>3.19222985850634E-12</v>
      </c>
      <c r="GA18">
        <v>-7.3906904886364394E-2</v>
      </c>
      <c r="GB18">
        <v>-2.57783215012692E-2</v>
      </c>
      <c r="GC18">
        <v>1.33723821780375E-3</v>
      </c>
      <c r="GD18">
        <v>-7.42160749481374E-6</v>
      </c>
      <c r="GE18">
        <v>7</v>
      </c>
      <c r="GF18">
        <v>2154</v>
      </c>
      <c r="GG18">
        <v>2</v>
      </c>
      <c r="GH18">
        <v>20</v>
      </c>
      <c r="GI18">
        <v>0.9</v>
      </c>
      <c r="GJ18">
        <v>0.9</v>
      </c>
      <c r="GK18">
        <v>0.82763699999999996</v>
      </c>
      <c r="GL18">
        <v>2.6171899999999999</v>
      </c>
      <c r="GM18">
        <v>1.65161</v>
      </c>
      <c r="GN18">
        <v>2.2741699999999998</v>
      </c>
      <c r="GO18">
        <v>1.5979000000000001</v>
      </c>
      <c r="GP18">
        <v>2.52075</v>
      </c>
      <c r="GQ18">
        <v>31.150400000000001</v>
      </c>
      <c r="GR18">
        <v>15.918200000000001</v>
      </c>
      <c r="GS18">
        <v>18</v>
      </c>
      <c r="GT18">
        <v>500.55200000000002</v>
      </c>
      <c r="GU18">
        <v>571.38800000000003</v>
      </c>
      <c r="GV18">
        <v>21.837800000000001</v>
      </c>
      <c r="GW18">
        <v>28.063800000000001</v>
      </c>
      <c r="GX18">
        <v>30.0001</v>
      </c>
      <c r="GY18">
        <v>28.174800000000001</v>
      </c>
      <c r="GZ18">
        <v>28.226600000000001</v>
      </c>
      <c r="HA18">
        <v>16.544899999999998</v>
      </c>
      <c r="HB18">
        <v>33.280200000000001</v>
      </c>
      <c r="HC18">
        <v>68.528899999999993</v>
      </c>
      <c r="HD18">
        <v>21.854399999999998</v>
      </c>
      <c r="HE18">
        <v>300</v>
      </c>
      <c r="HF18">
        <v>15.444100000000001</v>
      </c>
      <c r="HG18">
        <v>98.388000000000005</v>
      </c>
      <c r="HH18">
        <v>94.867900000000006</v>
      </c>
    </row>
    <row r="19" spans="1:216" x14ac:dyDescent="0.3">
      <c r="A19">
        <v>3</v>
      </c>
      <c r="B19">
        <v>1792200925.0999999</v>
      </c>
      <c r="C19">
        <v>242</v>
      </c>
      <c r="D19" t="s">
        <v>350</v>
      </c>
      <c r="E19" t="s">
        <v>351</v>
      </c>
      <c r="F19">
        <v>5</v>
      </c>
      <c r="G19">
        <v>1792200917.0999999</v>
      </c>
      <c r="H19">
        <f t="shared" si="0"/>
        <v>5.0186686934427065E-3</v>
      </c>
      <c r="I19">
        <f t="shared" si="1"/>
        <v>5.0186686934427067</v>
      </c>
      <c r="J19">
        <f t="shared" si="2"/>
        <v>8.6632587809851564</v>
      </c>
      <c r="K19">
        <f t="shared" si="3"/>
        <v>196.12653333333299</v>
      </c>
      <c r="L19">
        <f t="shared" si="4"/>
        <v>153.44436685434064</v>
      </c>
      <c r="M19">
        <f t="shared" si="5"/>
        <v>15.655781828190076</v>
      </c>
      <c r="N19">
        <f t="shared" si="6"/>
        <v>20.010602406151808</v>
      </c>
      <c r="O19">
        <f t="shared" si="7"/>
        <v>0.37871509072538839</v>
      </c>
      <c r="P19">
        <f t="shared" si="8"/>
        <v>3.0428577382119042</v>
      </c>
      <c r="Q19">
        <f t="shared" si="9"/>
        <v>0.35434262547797468</v>
      </c>
      <c r="R19">
        <f t="shared" si="10"/>
        <v>0.22352307379092567</v>
      </c>
      <c r="S19">
        <f t="shared" si="11"/>
        <v>241.72780001557905</v>
      </c>
      <c r="T19">
        <f t="shared" si="12"/>
        <v>25.303277090320865</v>
      </c>
      <c r="U19">
        <f t="shared" si="13"/>
        <v>24.979053333333301</v>
      </c>
      <c r="V19">
        <f t="shared" si="14"/>
        <v>3.1757089071545535</v>
      </c>
      <c r="W19">
        <f t="shared" si="15"/>
        <v>54.913451085996599</v>
      </c>
      <c r="X19">
        <f t="shared" si="16"/>
        <v>1.7656316259991378</v>
      </c>
      <c r="Y19">
        <f t="shared" si="17"/>
        <v>3.215298967886921</v>
      </c>
      <c r="Z19">
        <f t="shared" si="18"/>
        <v>1.4100772811554156</v>
      </c>
      <c r="AA19">
        <f t="shared" si="19"/>
        <v>-221.32328938082335</v>
      </c>
      <c r="AB19">
        <f t="shared" si="20"/>
        <v>34.11183885477304</v>
      </c>
      <c r="AC19">
        <f t="shared" si="21"/>
        <v>2.3732662924273771</v>
      </c>
      <c r="AD19">
        <f t="shared" si="22"/>
        <v>56.889615781956124</v>
      </c>
      <c r="AE19">
        <v>0</v>
      </c>
      <c r="AF19">
        <v>0</v>
      </c>
      <c r="AG19">
        <f t="shared" si="23"/>
        <v>1</v>
      </c>
      <c r="AH19">
        <f t="shared" si="24"/>
        <v>0</v>
      </c>
      <c r="AI19">
        <f t="shared" si="25"/>
        <v>54228.18340637954</v>
      </c>
      <c r="AJ19" t="s">
        <v>343</v>
      </c>
      <c r="AK19" t="s">
        <v>343</v>
      </c>
      <c r="AL19">
        <v>0</v>
      </c>
      <c r="AM19">
        <v>0</v>
      </c>
      <c r="AN19" t="e">
        <f t="shared" si="26"/>
        <v>#DIV/0!</v>
      </c>
      <c r="AO19">
        <v>0</v>
      </c>
      <c r="AP19" t="s">
        <v>343</v>
      </c>
      <c r="AQ19" t="s">
        <v>343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1261.1632000080697</v>
      </c>
      <c r="AW19">
        <f t="shared" si="29"/>
        <v>8.6632587809851564</v>
      </c>
      <c r="AX19" t="e">
        <f t="shared" si="30"/>
        <v>#DIV/0!</v>
      </c>
      <c r="AY19">
        <f t="shared" si="31"/>
        <v>6.8692606800846425E-3</v>
      </c>
      <c r="AZ19" t="e">
        <f t="shared" si="32"/>
        <v>#DIV/0!</v>
      </c>
      <c r="BA19" t="e">
        <f t="shared" si="33"/>
        <v>#DIV/0!</v>
      </c>
      <c r="BB19" t="s">
        <v>343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 t="e">
        <f t="shared" si="38"/>
        <v>#DIV/0!</v>
      </c>
      <c r="BI19" t="e">
        <f t="shared" si="39"/>
        <v>#DIV/0!</v>
      </c>
      <c r="BJ19" t="e">
        <f t="shared" si="40"/>
        <v>#DIV/0!</v>
      </c>
      <c r="BK19" t="e">
        <f t="shared" si="41"/>
        <v>#DIV/0!</v>
      </c>
      <c r="CT19">
        <f t="shared" si="42"/>
        <v>1499.94333333333</v>
      </c>
      <c r="CU19">
        <f t="shared" si="43"/>
        <v>1261.1632000080697</v>
      </c>
      <c r="CV19">
        <f t="shared" si="44"/>
        <v>0.84080723050075612</v>
      </c>
      <c r="CW19">
        <f t="shared" si="45"/>
        <v>0.16115795486645912</v>
      </c>
      <c r="CX19">
        <v>2</v>
      </c>
      <c r="CY19">
        <v>0.5</v>
      </c>
      <c r="CZ19" t="s">
        <v>344</v>
      </c>
      <c r="DA19">
        <v>2</v>
      </c>
      <c r="DB19">
        <v>1792200917.0999999</v>
      </c>
      <c r="DC19">
        <v>196.12653333333299</v>
      </c>
      <c r="DD19">
        <v>199.98519999999999</v>
      </c>
      <c r="DE19">
        <v>17.3051866666667</v>
      </c>
      <c r="DF19">
        <v>15.33264</v>
      </c>
      <c r="DG19">
        <v>196.62180000000001</v>
      </c>
      <c r="DH19">
        <v>17.461453333333299</v>
      </c>
      <c r="DI19">
        <v>500.04593333333298</v>
      </c>
      <c r="DJ19">
        <v>101.929</v>
      </c>
      <c r="DK19">
        <v>0.100042506666667</v>
      </c>
      <c r="DL19">
        <v>25.186993333333302</v>
      </c>
      <c r="DM19">
        <v>24.979053333333301</v>
      </c>
      <c r="DN19">
        <v>999.9</v>
      </c>
      <c r="DO19">
        <v>0</v>
      </c>
      <c r="DP19">
        <v>0</v>
      </c>
      <c r="DQ19">
        <v>10000.6366666667</v>
      </c>
      <c r="DR19">
        <v>0</v>
      </c>
      <c r="DS19">
        <v>7.8489800000000001</v>
      </c>
      <c r="DT19">
        <v>1499.94333333333</v>
      </c>
      <c r="DU19">
        <v>0.97300500000000001</v>
      </c>
      <c r="DV19">
        <v>2.69948466666667E-2</v>
      </c>
      <c r="DW19">
        <v>0</v>
      </c>
      <c r="DX19">
        <v>261.23500000000001</v>
      </c>
      <c r="DY19">
        <v>4.9999900000000004</v>
      </c>
      <c r="DZ19">
        <v>3873.2926666666699</v>
      </c>
      <c r="EA19">
        <v>14882.0333333333</v>
      </c>
      <c r="EB19">
        <v>36.737400000000001</v>
      </c>
      <c r="EC19">
        <v>38.291333333333299</v>
      </c>
      <c r="ED19">
        <v>37.337200000000003</v>
      </c>
      <c r="EE19">
        <v>37.620800000000003</v>
      </c>
      <c r="EF19">
        <v>38.370800000000003</v>
      </c>
      <c r="EG19">
        <v>1454.5833333333301</v>
      </c>
      <c r="EH19">
        <v>40.36</v>
      </c>
      <c r="EI19">
        <v>0</v>
      </c>
      <c r="EJ19">
        <v>1792200925.0999999</v>
      </c>
      <c r="EK19">
        <v>0</v>
      </c>
      <c r="EL19">
        <v>261.24844000000002</v>
      </c>
      <c r="EM19">
        <v>1.5466923058055499</v>
      </c>
      <c r="EN19">
        <v>-10.4476923132775</v>
      </c>
      <c r="EO19">
        <v>3873.2264</v>
      </c>
      <c r="EP19">
        <v>15</v>
      </c>
      <c r="EQ19">
        <v>1792200872.0999999</v>
      </c>
      <c r="ER19" t="s">
        <v>352</v>
      </c>
      <c r="ES19">
        <v>1792200872.0999999</v>
      </c>
      <c r="ET19">
        <v>1792200870.0999999</v>
      </c>
      <c r="EU19">
        <v>4</v>
      </c>
      <c r="EV19">
        <v>5.5E-2</v>
      </c>
      <c r="EW19">
        <v>0</v>
      </c>
      <c r="EX19">
        <v>-0.495</v>
      </c>
      <c r="EY19">
        <v>-0.18</v>
      </c>
      <c r="EZ19">
        <v>200</v>
      </c>
      <c r="FA19">
        <v>15</v>
      </c>
      <c r="FB19">
        <v>0.3</v>
      </c>
      <c r="FC19">
        <v>0.05</v>
      </c>
      <c r="FD19">
        <v>8.6593299851244296</v>
      </c>
      <c r="FE19">
        <v>0.20298260508271601</v>
      </c>
      <c r="FF19">
        <v>7.1431345329490303E-2</v>
      </c>
      <c r="FG19">
        <v>1</v>
      </c>
      <c r="FH19">
        <v>-3.8572495</v>
      </c>
      <c r="FI19">
        <v>-6.52786466165515E-2</v>
      </c>
      <c r="FJ19">
        <v>2.6412958462656101E-2</v>
      </c>
      <c r="FK19">
        <v>1</v>
      </c>
      <c r="FL19">
        <v>261.38788235294101</v>
      </c>
      <c r="FM19">
        <v>-0.63000763971009699</v>
      </c>
      <c r="FN19">
        <v>0.54109229204647502</v>
      </c>
      <c r="FO19">
        <v>1</v>
      </c>
      <c r="FP19">
        <v>3</v>
      </c>
      <c r="FQ19">
        <v>3</v>
      </c>
      <c r="FR19" t="s">
        <v>346</v>
      </c>
      <c r="FS19">
        <v>100</v>
      </c>
      <c r="FT19">
        <v>100</v>
      </c>
      <c r="FU19">
        <v>-0.495</v>
      </c>
      <c r="FV19">
        <v>-0.15620000000000001</v>
      </c>
      <c r="FW19">
        <v>-0.50725455999838298</v>
      </c>
      <c r="FX19">
        <v>-6.1673298426602905E-5</v>
      </c>
      <c r="FY19">
        <v>6.1939807181674203E-7</v>
      </c>
      <c r="FZ19">
        <v>3.19222985850634E-12</v>
      </c>
      <c r="GA19">
        <v>-7.4373076216179196E-2</v>
      </c>
      <c r="GB19">
        <v>-2.57783215012692E-2</v>
      </c>
      <c r="GC19">
        <v>1.33723821780375E-3</v>
      </c>
      <c r="GD19">
        <v>-7.42160749481374E-6</v>
      </c>
      <c r="GE19">
        <v>7</v>
      </c>
      <c r="GF19">
        <v>2154</v>
      </c>
      <c r="GG19">
        <v>2</v>
      </c>
      <c r="GH19">
        <v>20</v>
      </c>
      <c r="GI19">
        <v>0.9</v>
      </c>
      <c r="GJ19">
        <v>0.9</v>
      </c>
      <c r="GK19">
        <v>0.60790999999999995</v>
      </c>
      <c r="GL19">
        <v>2.6355</v>
      </c>
      <c r="GM19">
        <v>1.65161</v>
      </c>
      <c r="GN19">
        <v>2.2741699999999998</v>
      </c>
      <c r="GO19">
        <v>1.5979000000000001</v>
      </c>
      <c r="GP19">
        <v>2.47925</v>
      </c>
      <c r="GQ19">
        <v>31.215599999999998</v>
      </c>
      <c r="GR19">
        <v>15.900700000000001</v>
      </c>
      <c r="GS19">
        <v>18</v>
      </c>
      <c r="GT19">
        <v>500.66199999999998</v>
      </c>
      <c r="GU19">
        <v>570.49599999999998</v>
      </c>
      <c r="GV19">
        <v>22.291</v>
      </c>
      <c r="GW19">
        <v>28.0943</v>
      </c>
      <c r="GX19">
        <v>30.000299999999999</v>
      </c>
      <c r="GY19">
        <v>28.2088</v>
      </c>
      <c r="GZ19">
        <v>28.2607</v>
      </c>
      <c r="HA19">
        <v>12.1578</v>
      </c>
      <c r="HB19">
        <v>32.978499999999997</v>
      </c>
      <c r="HC19">
        <v>67.026799999999994</v>
      </c>
      <c r="HD19">
        <v>22.2957</v>
      </c>
      <c r="HE19">
        <v>200</v>
      </c>
      <c r="HF19">
        <v>15.394600000000001</v>
      </c>
      <c r="HG19">
        <v>98.38</v>
      </c>
      <c r="HH19">
        <v>94.862499999999997</v>
      </c>
    </row>
    <row r="20" spans="1:216" x14ac:dyDescent="0.3">
      <c r="A20">
        <v>4</v>
      </c>
      <c r="B20">
        <v>1792201046.0999999</v>
      </c>
      <c r="C20">
        <v>363</v>
      </c>
      <c r="D20" t="s">
        <v>353</v>
      </c>
      <c r="E20" t="s">
        <v>354</v>
      </c>
      <c r="F20">
        <v>5</v>
      </c>
      <c r="G20">
        <v>1792201038.0999999</v>
      </c>
      <c r="H20">
        <f t="shared" si="0"/>
        <v>5.3192006235159581E-3</v>
      </c>
      <c r="I20">
        <f t="shared" si="1"/>
        <v>5.3192006235159583</v>
      </c>
      <c r="J20">
        <f t="shared" si="2"/>
        <v>2.4991704882156616</v>
      </c>
      <c r="K20">
        <f t="shared" si="3"/>
        <v>98.780953333333301</v>
      </c>
      <c r="L20">
        <f t="shared" si="4"/>
        <v>86.256935398917605</v>
      </c>
      <c r="M20">
        <f t="shared" si="5"/>
        <v>8.8007435940337722</v>
      </c>
      <c r="N20">
        <f t="shared" si="6"/>
        <v>10.078561662785333</v>
      </c>
      <c r="O20">
        <f t="shared" si="7"/>
        <v>0.40630983252149339</v>
      </c>
      <c r="P20">
        <f t="shared" si="8"/>
        <v>3.0426635561958619</v>
      </c>
      <c r="Q20">
        <f t="shared" si="9"/>
        <v>0.37839492318108392</v>
      </c>
      <c r="R20">
        <f t="shared" si="10"/>
        <v>0.2388448603666547</v>
      </c>
      <c r="S20">
        <f t="shared" si="11"/>
        <v>241.73184321557983</v>
      </c>
      <c r="T20">
        <f t="shared" si="12"/>
        <v>25.285763897323378</v>
      </c>
      <c r="U20">
        <f t="shared" si="13"/>
        <v>24.956026666666698</v>
      </c>
      <c r="V20">
        <f t="shared" si="14"/>
        <v>3.1713511303746813</v>
      </c>
      <c r="W20">
        <f t="shared" si="15"/>
        <v>54.916641703102989</v>
      </c>
      <c r="X20">
        <f t="shared" si="16"/>
        <v>1.7718398858094859</v>
      </c>
      <c r="Y20">
        <f t="shared" si="17"/>
        <v>3.22641704019088</v>
      </c>
      <c r="Z20">
        <f t="shared" si="18"/>
        <v>1.3995112445651954</v>
      </c>
      <c r="AA20">
        <f t="shared" si="19"/>
        <v>-234.57674749705376</v>
      </c>
      <c r="AB20">
        <f t="shared" si="20"/>
        <v>47.399864995326276</v>
      </c>
      <c r="AC20">
        <f t="shared" si="21"/>
        <v>3.2985466033742292</v>
      </c>
      <c r="AD20">
        <f t="shared" si="22"/>
        <v>57.85350731722658</v>
      </c>
      <c r="AE20">
        <v>0</v>
      </c>
      <c r="AF20">
        <v>0</v>
      </c>
      <c r="AG20">
        <f t="shared" si="23"/>
        <v>1</v>
      </c>
      <c r="AH20">
        <f t="shared" si="24"/>
        <v>0</v>
      </c>
      <c r="AI20">
        <f t="shared" si="25"/>
        <v>54211.545879115794</v>
      </c>
      <c r="AJ20" t="s">
        <v>343</v>
      </c>
      <c r="AK20" t="s">
        <v>343</v>
      </c>
      <c r="AL20">
        <v>0</v>
      </c>
      <c r="AM20">
        <v>0</v>
      </c>
      <c r="AN20" t="e">
        <f t="shared" si="26"/>
        <v>#DIV/0!</v>
      </c>
      <c r="AO20">
        <v>0</v>
      </c>
      <c r="AP20" t="s">
        <v>343</v>
      </c>
      <c r="AQ20" t="s">
        <v>343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1261.1844800080751</v>
      </c>
      <c r="AW20">
        <f t="shared" si="29"/>
        <v>2.4991704882156616</v>
      </c>
      <c r="AX20" t="e">
        <f t="shared" si="30"/>
        <v>#DIV/0!</v>
      </c>
      <c r="AY20">
        <f t="shared" si="31"/>
        <v>1.9816058061542748E-3</v>
      </c>
      <c r="AZ20" t="e">
        <f t="shared" si="32"/>
        <v>#DIV/0!</v>
      </c>
      <c r="BA20" t="e">
        <f t="shared" si="33"/>
        <v>#DIV/0!</v>
      </c>
      <c r="BB20" t="s">
        <v>343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 t="e">
        <f t="shared" si="38"/>
        <v>#DIV/0!</v>
      </c>
      <c r="BI20" t="e">
        <f t="shared" si="39"/>
        <v>#DIV/0!</v>
      </c>
      <c r="BJ20" t="e">
        <f t="shared" si="40"/>
        <v>#DIV/0!</v>
      </c>
      <c r="BK20" t="e">
        <f t="shared" si="41"/>
        <v>#DIV/0!</v>
      </c>
      <c r="CT20">
        <f t="shared" si="42"/>
        <v>1499.9686666666701</v>
      </c>
      <c r="CU20">
        <f t="shared" si="43"/>
        <v>1261.1844800080751</v>
      </c>
      <c r="CV20">
        <f t="shared" si="44"/>
        <v>0.84080721686724491</v>
      </c>
      <c r="CW20">
        <f t="shared" si="45"/>
        <v>0.16115792855378264</v>
      </c>
      <c r="CX20">
        <v>2</v>
      </c>
      <c r="CY20">
        <v>0.5</v>
      </c>
      <c r="CZ20" t="s">
        <v>344</v>
      </c>
      <c r="DA20">
        <v>2</v>
      </c>
      <c r="DB20">
        <v>1792201038.0999999</v>
      </c>
      <c r="DC20">
        <v>98.780953333333301</v>
      </c>
      <c r="DD20">
        <v>99.990719999999996</v>
      </c>
      <c r="DE20">
        <v>17.365973333333301</v>
      </c>
      <c r="DF20">
        <v>15.275373333333301</v>
      </c>
      <c r="DG20">
        <v>99.235253333333304</v>
      </c>
      <c r="DH20">
        <v>17.524139999999999</v>
      </c>
      <c r="DI20">
        <v>500.03133333333301</v>
      </c>
      <c r="DJ20">
        <v>101.9294</v>
      </c>
      <c r="DK20">
        <v>0.10000265999999999</v>
      </c>
      <c r="DL20">
        <v>25.244986666666701</v>
      </c>
      <c r="DM20">
        <v>24.956026666666698</v>
      </c>
      <c r="DN20">
        <v>999.9</v>
      </c>
      <c r="DO20">
        <v>0</v>
      </c>
      <c r="DP20">
        <v>0</v>
      </c>
      <c r="DQ20">
        <v>9999.4240000000009</v>
      </c>
      <c r="DR20">
        <v>0</v>
      </c>
      <c r="DS20">
        <v>7.8565053333333301</v>
      </c>
      <c r="DT20">
        <v>1499.9686666666701</v>
      </c>
      <c r="DU20">
        <v>0.97300266666666602</v>
      </c>
      <c r="DV20">
        <v>2.6997259999999999E-2</v>
      </c>
      <c r="DW20">
        <v>0</v>
      </c>
      <c r="DX20">
        <v>263.56933333333302</v>
      </c>
      <c r="DY20">
        <v>4.9999900000000004</v>
      </c>
      <c r="DZ20">
        <v>3902.8926666666698</v>
      </c>
      <c r="EA20">
        <v>14882.2933333333</v>
      </c>
      <c r="EB20">
        <v>36.432866666666698</v>
      </c>
      <c r="EC20">
        <v>38.0041333333333</v>
      </c>
      <c r="ED20">
        <v>37.037199999999999</v>
      </c>
      <c r="EE20">
        <v>37.375</v>
      </c>
      <c r="EF20">
        <v>38.082999999999998</v>
      </c>
      <c r="EG20">
        <v>1454.6086666666699</v>
      </c>
      <c r="EH20">
        <v>40.36</v>
      </c>
      <c r="EI20">
        <v>0</v>
      </c>
      <c r="EJ20">
        <v>1792201046.3</v>
      </c>
      <c r="EK20">
        <v>0</v>
      </c>
      <c r="EL20">
        <v>263.50592</v>
      </c>
      <c r="EM20">
        <v>-2.14853846788523</v>
      </c>
      <c r="EN20">
        <v>-4.7915384559553296</v>
      </c>
      <c r="EO20">
        <v>3902.9164000000001</v>
      </c>
      <c r="EP20">
        <v>15</v>
      </c>
      <c r="EQ20">
        <v>1792200991.0999999</v>
      </c>
      <c r="ER20" t="s">
        <v>355</v>
      </c>
      <c r="ES20">
        <v>1792200987.0999999</v>
      </c>
      <c r="ET20">
        <v>1792200991.0999999</v>
      </c>
      <c r="EU20">
        <v>5</v>
      </c>
      <c r="EV20">
        <v>5.2999999999999999E-2</v>
      </c>
      <c r="EW20">
        <v>-3.0000000000000001E-3</v>
      </c>
      <c r="EX20">
        <v>-0.45400000000000001</v>
      </c>
      <c r="EY20">
        <v>-0.182</v>
      </c>
      <c r="EZ20">
        <v>100</v>
      </c>
      <c r="FA20">
        <v>15</v>
      </c>
      <c r="FB20">
        <v>0.1</v>
      </c>
      <c r="FC20">
        <v>0.06</v>
      </c>
      <c r="FD20">
        <v>2.50553993046631</v>
      </c>
      <c r="FE20">
        <v>-9.1346195628247306E-2</v>
      </c>
      <c r="FF20">
        <v>4.7430143236239501E-2</v>
      </c>
      <c r="FG20">
        <v>1</v>
      </c>
      <c r="FH20">
        <v>-1.2104364999999999</v>
      </c>
      <c r="FI20">
        <v>5.1110526315789301E-2</v>
      </c>
      <c r="FJ20">
        <v>1.9904005947296102E-2</v>
      </c>
      <c r="FK20">
        <v>1</v>
      </c>
      <c r="FL20">
        <v>263.57835294117598</v>
      </c>
      <c r="FM20">
        <v>-1.3400152769877001</v>
      </c>
      <c r="FN20">
        <v>0.47960798221984902</v>
      </c>
      <c r="FO20">
        <v>0</v>
      </c>
      <c r="FP20">
        <v>2</v>
      </c>
      <c r="FQ20">
        <v>3</v>
      </c>
      <c r="FR20" t="s">
        <v>356</v>
      </c>
      <c r="FS20">
        <v>100</v>
      </c>
      <c r="FT20">
        <v>100</v>
      </c>
      <c r="FU20">
        <v>-0.45400000000000001</v>
      </c>
      <c r="FV20">
        <v>-0.1583</v>
      </c>
      <c r="FW20">
        <v>-0.45429638327945598</v>
      </c>
      <c r="FX20">
        <v>-6.1673298426602905E-5</v>
      </c>
      <c r="FY20">
        <v>6.1939807181674203E-7</v>
      </c>
      <c r="FZ20">
        <v>3.19222985850634E-12</v>
      </c>
      <c r="GA20">
        <v>-7.7141849552828906E-2</v>
      </c>
      <c r="GB20">
        <v>-2.57783215012692E-2</v>
      </c>
      <c r="GC20">
        <v>1.33723821780375E-3</v>
      </c>
      <c r="GD20">
        <v>-7.42160749481374E-6</v>
      </c>
      <c r="GE20">
        <v>7</v>
      </c>
      <c r="GF20">
        <v>2154</v>
      </c>
      <c r="GG20">
        <v>2</v>
      </c>
      <c r="GH20">
        <v>20</v>
      </c>
      <c r="GI20">
        <v>1</v>
      </c>
      <c r="GJ20">
        <v>0.9</v>
      </c>
      <c r="GK20">
        <v>0.380859</v>
      </c>
      <c r="GL20">
        <v>2.65625</v>
      </c>
      <c r="GM20">
        <v>1.65161</v>
      </c>
      <c r="GN20">
        <v>2.2729499999999998</v>
      </c>
      <c r="GO20">
        <v>1.5979000000000001</v>
      </c>
      <c r="GP20">
        <v>2.47803</v>
      </c>
      <c r="GQ20">
        <v>31.280899999999999</v>
      </c>
      <c r="GR20">
        <v>15.8832</v>
      </c>
      <c r="GS20">
        <v>18</v>
      </c>
      <c r="GT20">
        <v>500.75099999999998</v>
      </c>
      <c r="GU20">
        <v>569.54399999999998</v>
      </c>
      <c r="GV20">
        <v>22.635000000000002</v>
      </c>
      <c r="GW20">
        <v>28.1159</v>
      </c>
      <c r="GX20">
        <v>30.0002</v>
      </c>
      <c r="GY20">
        <v>28.234500000000001</v>
      </c>
      <c r="GZ20">
        <v>28.286999999999999</v>
      </c>
      <c r="HA20">
        <v>7.6123900000000004</v>
      </c>
      <c r="HB20">
        <v>33.122</v>
      </c>
      <c r="HC20">
        <v>65.903400000000005</v>
      </c>
      <c r="HD20">
        <v>22.642399999999999</v>
      </c>
      <c r="HE20">
        <v>100</v>
      </c>
      <c r="HF20">
        <v>15.3081</v>
      </c>
      <c r="HG20">
        <v>98.376599999999996</v>
      </c>
      <c r="HH20">
        <v>94.859399999999994</v>
      </c>
    </row>
    <row r="21" spans="1:216" x14ac:dyDescent="0.3">
      <c r="A21">
        <v>5</v>
      </c>
      <c r="B21">
        <v>1792201171</v>
      </c>
      <c r="C21">
        <v>487.90000009536698</v>
      </c>
      <c r="D21" t="s">
        <v>357</v>
      </c>
      <c r="E21" t="s">
        <v>358</v>
      </c>
      <c r="F21">
        <v>5</v>
      </c>
      <c r="G21">
        <v>1792201162.5</v>
      </c>
      <c r="H21">
        <f t="shared" si="0"/>
        <v>5.585818472217602E-3</v>
      </c>
      <c r="I21">
        <f t="shared" si="1"/>
        <v>5.5858184722176016</v>
      </c>
      <c r="J21">
        <f t="shared" si="2"/>
        <v>-0.70320076037501666</v>
      </c>
      <c r="K21">
        <f t="shared" si="3"/>
        <v>50.169287500000003</v>
      </c>
      <c r="L21">
        <f t="shared" si="4"/>
        <v>51.812916977627211</v>
      </c>
      <c r="M21">
        <f t="shared" si="5"/>
        <v>5.2863352471149012</v>
      </c>
      <c r="N21">
        <f t="shared" si="6"/>
        <v>5.1186400670784327</v>
      </c>
      <c r="O21">
        <f t="shared" si="7"/>
        <v>0.43481323046048548</v>
      </c>
      <c r="P21">
        <f t="shared" si="8"/>
        <v>3.0424356554171856</v>
      </c>
      <c r="Q21">
        <f t="shared" si="9"/>
        <v>0.40300648109006548</v>
      </c>
      <c r="R21">
        <f t="shared" si="10"/>
        <v>0.2545425993300453</v>
      </c>
      <c r="S21">
        <f t="shared" si="11"/>
        <v>241.73956276558363</v>
      </c>
      <c r="T21">
        <f t="shared" si="12"/>
        <v>25.326462709641007</v>
      </c>
      <c r="U21">
        <f t="shared" si="13"/>
        <v>24.964312499999998</v>
      </c>
      <c r="V21">
        <f t="shared" si="14"/>
        <v>3.1729186149110689</v>
      </c>
      <c r="W21">
        <f t="shared" si="15"/>
        <v>55.223803356725888</v>
      </c>
      <c r="X21">
        <f t="shared" si="16"/>
        <v>1.793197846121444</v>
      </c>
      <c r="Y21">
        <f t="shared" si="17"/>
        <v>3.2471465873837619</v>
      </c>
      <c r="Z21">
        <f t="shared" si="18"/>
        <v>1.3797207687896249</v>
      </c>
      <c r="AA21">
        <f t="shared" si="19"/>
        <v>-246.33459462479624</v>
      </c>
      <c r="AB21">
        <f t="shared" si="20"/>
        <v>63.696588958763684</v>
      </c>
      <c r="AC21">
        <f t="shared" si="21"/>
        <v>4.4355519326997133</v>
      </c>
      <c r="AD21">
        <f t="shared" si="22"/>
        <v>63.537109032250797</v>
      </c>
      <c r="AE21">
        <v>0</v>
      </c>
      <c r="AF21">
        <v>0</v>
      </c>
      <c r="AG21">
        <f t="shared" si="23"/>
        <v>1</v>
      </c>
      <c r="AH21">
        <f t="shared" si="24"/>
        <v>0</v>
      </c>
      <c r="AI21">
        <f t="shared" si="25"/>
        <v>54184.781256390059</v>
      </c>
      <c r="AJ21" t="s">
        <v>343</v>
      </c>
      <c r="AK21" t="s">
        <v>343</v>
      </c>
      <c r="AL21">
        <v>0</v>
      </c>
      <c r="AM21">
        <v>0</v>
      </c>
      <c r="AN21" t="e">
        <f t="shared" si="26"/>
        <v>#DIV/0!</v>
      </c>
      <c r="AO21">
        <v>0</v>
      </c>
      <c r="AP21" t="s">
        <v>343</v>
      </c>
      <c r="AQ21" t="s">
        <v>343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1261.2216750080743</v>
      </c>
      <c r="AW21">
        <f t="shared" si="29"/>
        <v>-0.70320076037501666</v>
      </c>
      <c r="AX21" t="e">
        <f t="shared" si="30"/>
        <v>#DIV/0!</v>
      </c>
      <c r="AY21">
        <f t="shared" si="31"/>
        <v>-5.5755524529065427E-4</v>
      </c>
      <c r="AZ21" t="e">
        <f t="shared" si="32"/>
        <v>#DIV/0!</v>
      </c>
      <c r="BA21" t="e">
        <f t="shared" si="33"/>
        <v>#DIV/0!</v>
      </c>
      <c r="BB21" t="s">
        <v>343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 t="e">
        <f t="shared" si="38"/>
        <v>#DIV/0!</v>
      </c>
      <c r="BI21" t="e">
        <f t="shared" si="39"/>
        <v>#DIV/0!</v>
      </c>
      <c r="BJ21" t="e">
        <f t="shared" si="40"/>
        <v>#DIV/0!</v>
      </c>
      <c r="BK21" t="e">
        <f t="shared" si="41"/>
        <v>#DIV/0!</v>
      </c>
      <c r="CT21">
        <f t="shared" si="42"/>
        <v>1500.0125</v>
      </c>
      <c r="CU21">
        <f t="shared" si="43"/>
        <v>1261.2216750080743</v>
      </c>
      <c r="CV21">
        <f t="shared" si="44"/>
        <v>0.84080744327668888</v>
      </c>
      <c r="CW21">
        <f t="shared" si="45"/>
        <v>0.16115836552400972</v>
      </c>
      <c r="CX21">
        <v>2</v>
      </c>
      <c r="CY21">
        <v>0.5</v>
      </c>
      <c r="CZ21" t="s">
        <v>344</v>
      </c>
      <c r="DA21">
        <v>2</v>
      </c>
      <c r="DB21">
        <v>1792201162.5</v>
      </c>
      <c r="DC21">
        <v>50.169287500000003</v>
      </c>
      <c r="DD21">
        <v>50.000106250000002</v>
      </c>
      <c r="DE21">
        <v>17.575656250000002</v>
      </c>
      <c r="DF21">
        <v>15.380656249999999</v>
      </c>
      <c r="DG21">
        <v>50.643762500000001</v>
      </c>
      <c r="DH21">
        <v>17.73115</v>
      </c>
      <c r="DI21">
        <v>500.013125</v>
      </c>
      <c r="DJ21">
        <v>101.927375</v>
      </c>
      <c r="DK21">
        <v>9.9987199999999998E-2</v>
      </c>
      <c r="DL21">
        <v>25.352650000000001</v>
      </c>
      <c r="DM21">
        <v>24.964312499999998</v>
      </c>
      <c r="DN21">
        <v>999.9</v>
      </c>
      <c r="DO21">
        <v>0</v>
      </c>
      <c r="DP21">
        <v>0</v>
      </c>
      <c r="DQ21">
        <v>9998.2456249999996</v>
      </c>
      <c r="DR21">
        <v>0</v>
      </c>
      <c r="DS21">
        <v>7.9034118749999998</v>
      </c>
      <c r="DT21">
        <v>1500.0125</v>
      </c>
      <c r="DU21">
        <v>0.9729965625</v>
      </c>
      <c r="DV21">
        <v>2.7003581249999999E-2</v>
      </c>
      <c r="DW21">
        <v>0</v>
      </c>
      <c r="DX21">
        <v>265.55306250000001</v>
      </c>
      <c r="DY21">
        <v>4.9999900000000004</v>
      </c>
      <c r="DZ21">
        <v>3946.5762500000001</v>
      </c>
      <c r="EA21">
        <v>14882.706249999999</v>
      </c>
      <c r="EB21">
        <v>37.491999999999997</v>
      </c>
      <c r="EC21">
        <v>39.616999999999997</v>
      </c>
      <c r="ED21">
        <v>38.116937499999999</v>
      </c>
      <c r="EE21">
        <v>39.484124999999999</v>
      </c>
      <c r="EF21">
        <v>39.499812499999997</v>
      </c>
      <c r="EG21">
        <v>1454.64</v>
      </c>
      <c r="EH21">
        <v>40.372500000000002</v>
      </c>
      <c r="EI21">
        <v>0</v>
      </c>
      <c r="EJ21">
        <v>1792201171.0999999</v>
      </c>
      <c r="EK21">
        <v>0</v>
      </c>
      <c r="EL21">
        <v>265.61363999999998</v>
      </c>
      <c r="EM21">
        <v>-3.0006923215717398</v>
      </c>
      <c r="EN21">
        <v>7.9484615886717398</v>
      </c>
      <c r="EO21">
        <v>3946.56</v>
      </c>
      <c r="EP21">
        <v>15</v>
      </c>
      <c r="EQ21">
        <v>1792201109</v>
      </c>
      <c r="ER21" t="s">
        <v>359</v>
      </c>
      <c r="ES21">
        <v>1792201103</v>
      </c>
      <c r="ET21">
        <v>1792201109</v>
      </c>
      <c r="EU21">
        <v>6</v>
      </c>
      <c r="EV21">
        <v>-1.9E-2</v>
      </c>
      <c r="EW21">
        <v>0</v>
      </c>
      <c r="EX21">
        <v>-0.47399999999999998</v>
      </c>
      <c r="EY21">
        <v>-0.184</v>
      </c>
      <c r="EZ21">
        <v>50</v>
      </c>
      <c r="FA21">
        <v>15</v>
      </c>
      <c r="FB21">
        <v>0.24</v>
      </c>
      <c r="FC21">
        <v>0.02</v>
      </c>
      <c r="FD21">
        <v>-0.71833585841394998</v>
      </c>
      <c r="FE21">
        <v>0.231986436565354</v>
      </c>
      <c r="FF21">
        <v>5.6385600853208297E-2</v>
      </c>
      <c r="FG21">
        <v>1</v>
      </c>
      <c r="FH21">
        <v>0.17495504761904801</v>
      </c>
      <c r="FI21">
        <v>-0.10219893506493501</v>
      </c>
      <c r="FJ21">
        <v>2.29861902319346E-2</v>
      </c>
      <c r="FK21">
        <v>1</v>
      </c>
      <c r="FL21">
        <v>265.67988235294098</v>
      </c>
      <c r="FM21">
        <v>-0.69255921114748598</v>
      </c>
      <c r="FN21">
        <v>0.47180808440732802</v>
      </c>
      <c r="FO21">
        <v>1</v>
      </c>
      <c r="FP21">
        <v>3</v>
      </c>
      <c r="FQ21">
        <v>3</v>
      </c>
      <c r="FR21" t="s">
        <v>346</v>
      </c>
      <c r="FS21">
        <v>100</v>
      </c>
      <c r="FT21">
        <v>100</v>
      </c>
      <c r="FU21">
        <v>-0.47399999999999998</v>
      </c>
      <c r="FV21">
        <v>-0.15579999999999999</v>
      </c>
      <c r="FW21">
        <v>-0.472935423273594</v>
      </c>
      <c r="FX21">
        <v>-6.1673298426602905E-5</v>
      </c>
      <c r="FY21">
        <v>6.1939807181674203E-7</v>
      </c>
      <c r="FZ21">
        <v>3.19222985850634E-12</v>
      </c>
      <c r="GA21">
        <v>-7.7464384318167198E-2</v>
      </c>
      <c r="GB21">
        <v>-2.57783215012692E-2</v>
      </c>
      <c r="GC21">
        <v>1.33723821780375E-3</v>
      </c>
      <c r="GD21">
        <v>-7.42160749481374E-6</v>
      </c>
      <c r="GE21">
        <v>7</v>
      </c>
      <c r="GF21">
        <v>2154</v>
      </c>
      <c r="GG21">
        <v>2</v>
      </c>
      <c r="GH21">
        <v>20</v>
      </c>
      <c r="GI21">
        <v>1.1000000000000001</v>
      </c>
      <c r="GJ21">
        <v>1</v>
      </c>
      <c r="GK21">
        <v>0.26855499999999999</v>
      </c>
      <c r="GL21">
        <v>2.66113</v>
      </c>
      <c r="GM21">
        <v>1.65161</v>
      </c>
      <c r="GN21">
        <v>2.2729499999999998</v>
      </c>
      <c r="GO21">
        <v>1.5979000000000001</v>
      </c>
      <c r="GP21">
        <v>2.63306</v>
      </c>
      <c r="GQ21">
        <v>31.3462</v>
      </c>
      <c r="GR21">
        <v>15.891999999999999</v>
      </c>
      <c r="GS21">
        <v>18</v>
      </c>
      <c r="GT21">
        <v>500.94299999999998</v>
      </c>
      <c r="GU21">
        <v>569.21400000000006</v>
      </c>
      <c r="GV21">
        <v>22.5032</v>
      </c>
      <c r="GW21">
        <v>28.123100000000001</v>
      </c>
      <c r="GX21">
        <v>30.0002</v>
      </c>
      <c r="GY21">
        <v>28.248799999999999</v>
      </c>
      <c r="GZ21">
        <v>28.302700000000002</v>
      </c>
      <c r="HA21">
        <v>5.36111</v>
      </c>
      <c r="HB21">
        <v>32.6629</v>
      </c>
      <c r="HC21">
        <v>64.403000000000006</v>
      </c>
      <c r="HD21">
        <v>22.509699999999999</v>
      </c>
      <c r="HE21">
        <v>50</v>
      </c>
      <c r="HF21">
        <v>15.3291</v>
      </c>
      <c r="HG21">
        <v>98.374799999999993</v>
      </c>
      <c r="HH21">
        <v>94.864599999999996</v>
      </c>
    </row>
    <row r="22" spans="1:216" x14ac:dyDescent="0.3">
      <c r="A22">
        <v>6</v>
      </c>
      <c r="B22">
        <v>1792201322</v>
      </c>
      <c r="C22">
        <v>638.90000009536698</v>
      </c>
      <c r="D22" t="s">
        <v>360</v>
      </c>
      <c r="E22" t="s">
        <v>361</v>
      </c>
      <c r="F22">
        <v>5</v>
      </c>
      <c r="G22">
        <v>1792201314</v>
      </c>
      <c r="H22">
        <f t="shared" si="0"/>
        <v>5.9181111049729646E-3</v>
      </c>
      <c r="I22">
        <f t="shared" si="1"/>
        <v>5.9181111049729642</v>
      </c>
      <c r="J22">
        <f t="shared" si="2"/>
        <v>19.590132918297645</v>
      </c>
      <c r="K22">
        <f t="shared" si="3"/>
        <v>391.23453333333299</v>
      </c>
      <c r="L22">
        <f t="shared" si="4"/>
        <v>310.85872866702141</v>
      </c>
      <c r="M22">
        <f t="shared" si="5"/>
        <v>31.714591793109459</v>
      </c>
      <c r="N22">
        <f t="shared" si="6"/>
        <v>39.91473417278587</v>
      </c>
      <c r="O22">
        <f t="shared" si="7"/>
        <v>0.46233838927569737</v>
      </c>
      <c r="P22">
        <f t="shared" si="8"/>
        <v>3.0422476468195141</v>
      </c>
      <c r="Q22">
        <f t="shared" si="9"/>
        <v>0.42655272372890041</v>
      </c>
      <c r="R22">
        <f t="shared" si="10"/>
        <v>0.26957945831508223</v>
      </c>
      <c r="S22">
        <f t="shared" si="11"/>
        <v>241.73375841557967</v>
      </c>
      <c r="T22">
        <f t="shared" si="12"/>
        <v>25.501424180887362</v>
      </c>
      <c r="U22">
        <f t="shared" si="13"/>
        <v>25.025773333333301</v>
      </c>
      <c r="V22">
        <f t="shared" si="14"/>
        <v>3.184566709111627</v>
      </c>
      <c r="W22">
        <f t="shared" si="15"/>
        <v>54.700237474891757</v>
      </c>
      <c r="X22">
        <f t="shared" si="16"/>
        <v>1.8036820297049561</v>
      </c>
      <c r="Y22">
        <f t="shared" si="17"/>
        <v>3.2973934172276191</v>
      </c>
      <c r="Z22">
        <f t="shared" si="18"/>
        <v>1.3808846794066709</v>
      </c>
      <c r="AA22">
        <f t="shared" si="19"/>
        <v>-260.98869972930771</v>
      </c>
      <c r="AB22">
        <f t="shared" si="20"/>
        <v>96.009220018764495</v>
      </c>
      <c r="AC22">
        <f t="shared" si="21"/>
        <v>6.6968471824761311</v>
      </c>
      <c r="AD22">
        <f t="shared" si="22"/>
        <v>83.451125887512575</v>
      </c>
      <c r="AE22">
        <v>0</v>
      </c>
      <c r="AF22">
        <v>0</v>
      </c>
      <c r="AG22">
        <f t="shared" si="23"/>
        <v>1</v>
      </c>
      <c r="AH22">
        <f t="shared" si="24"/>
        <v>0</v>
      </c>
      <c r="AI22">
        <f t="shared" si="25"/>
        <v>54131.87121983058</v>
      </c>
      <c r="AJ22" t="s">
        <v>343</v>
      </c>
      <c r="AK22" t="s">
        <v>343</v>
      </c>
      <c r="AL22">
        <v>0</v>
      </c>
      <c r="AM22">
        <v>0</v>
      </c>
      <c r="AN22" t="e">
        <f t="shared" si="26"/>
        <v>#DIV/0!</v>
      </c>
      <c r="AO22">
        <v>0</v>
      </c>
      <c r="AP22" t="s">
        <v>343</v>
      </c>
      <c r="AQ22" t="s">
        <v>343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1261.1945600080749</v>
      </c>
      <c r="AW22">
        <f t="shared" si="29"/>
        <v>19.590132918297645</v>
      </c>
      <c r="AX22" t="e">
        <f t="shared" si="30"/>
        <v>#DIV/0!</v>
      </c>
      <c r="AY22">
        <f t="shared" si="31"/>
        <v>1.5532998269650178E-2</v>
      </c>
      <c r="AZ22" t="e">
        <f t="shared" si="32"/>
        <v>#DIV/0!</v>
      </c>
      <c r="BA22" t="e">
        <f t="shared" si="33"/>
        <v>#DIV/0!</v>
      </c>
      <c r="BB22" t="s">
        <v>343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 t="e">
        <f t="shared" si="38"/>
        <v>#DIV/0!</v>
      </c>
      <c r="BI22" t="e">
        <f t="shared" si="39"/>
        <v>#DIV/0!</v>
      </c>
      <c r="BJ22" t="e">
        <f t="shared" si="40"/>
        <v>#DIV/0!</v>
      </c>
      <c r="BK22" t="e">
        <f t="shared" si="41"/>
        <v>#DIV/0!</v>
      </c>
      <c r="CT22">
        <f t="shared" si="42"/>
        <v>1499.98066666667</v>
      </c>
      <c r="CU22">
        <f t="shared" si="43"/>
        <v>1261.1945600080749</v>
      </c>
      <c r="CV22">
        <f t="shared" si="44"/>
        <v>0.84080721040942663</v>
      </c>
      <c r="CW22">
        <f t="shared" si="45"/>
        <v>0.16115791609019348</v>
      </c>
      <c r="CX22">
        <v>2</v>
      </c>
      <c r="CY22">
        <v>0.5</v>
      </c>
      <c r="CZ22" t="s">
        <v>344</v>
      </c>
      <c r="DA22">
        <v>2</v>
      </c>
      <c r="DB22">
        <v>1792201314</v>
      </c>
      <c r="DC22">
        <v>391.23453333333299</v>
      </c>
      <c r="DD22">
        <v>399.99653333333299</v>
      </c>
      <c r="DE22">
        <v>17.6792533333333</v>
      </c>
      <c r="DF22">
        <v>15.353913333333301</v>
      </c>
      <c r="DG22">
        <v>391.65866666666699</v>
      </c>
      <c r="DH22">
        <v>17.832066666666702</v>
      </c>
      <c r="DI22">
        <v>500.01146666666699</v>
      </c>
      <c r="DJ22">
        <v>101.92253333333301</v>
      </c>
      <c r="DK22">
        <v>9.9989659999999994E-2</v>
      </c>
      <c r="DL22">
        <v>25.611146666666698</v>
      </c>
      <c r="DM22">
        <v>25.025773333333301</v>
      </c>
      <c r="DN22">
        <v>999.9</v>
      </c>
      <c r="DO22">
        <v>0</v>
      </c>
      <c r="DP22">
        <v>0</v>
      </c>
      <c r="DQ22">
        <v>9997.5846666666694</v>
      </c>
      <c r="DR22">
        <v>0</v>
      </c>
      <c r="DS22">
        <v>6.7681899999999997</v>
      </c>
      <c r="DT22">
        <v>1499.98066666667</v>
      </c>
      <c r="DU22">
        <v>0.973001</v>
      </c>
      <c r="DV22">
        <v>2.6999446666666701E-2</v>
      </c>
      <c r="DW22">
        <v>0</v>
      </c>
      <c r="DX22">
        <v>255.72526666666701</v>
      </c>
      <c r="DY22">
        <v>4.9999900000000004</v>
      </c>
      <c r="DZ22">
        <v>3824.5306666666702</v>
      </c>
      <c r="EA22">
        <v>14882.4</v>
      </c>
      <c r="EB22">
        <v>38.683133333333302</v>
      </c>
      <c r="EC22">
        <v>40.028866666666701</v>
      </c>
      <c r="ED22">
        <v>39.233133333333299</v>
      </c>
      <c r="EE22">
        <v>39.9164666666667</v>
      </c>
      <c r="EF22">
        <v>40.274666666666697</v>
      </c>
      <c r="EG22">
        <v>1454.6206666666701</v>
      </c>
      <c r="EH22">
        <v>40.36</v>
      </c>
      <c r="EI22">
        <v>0</v>
      </c>
      <c r="EJ22">
        <v>1792201322.3</v>
      </c>
      <c r="EK22">
        <v>0</v>
      </c>
      <c r="EL22">
        <v>255.71428</v>
      </c>
      <c r="EM22">
        <v>2.7209230787413499</v>
      </c>
      <c r="EN22">
        <v>35.741538507879604</v>
      </c>
      <c r="EO22">
        <v>3825.2271999999998</v>
      </c>
      <c r="EP22">
        <v>15</v>
      </c>
      <c r="EQ22">
        <v>1792201239</v>
      </c>
      <c r="ER22" t="s">
        <v>362</v>
      </c>
      <c r="ES22">
        <v>1792201239</v>
      </c>
      <c r="ET22">
        <v>1792201237</v>
      </c>
      <c r="EU22">
        <v>7</v>
      </c>
      <c r="EV22">
        <v>-2.1999999999999999E-2</v>
      </c>
      <c r="EW22">
        <v>1E-3</v>
      </c>
      <c r="EX22">
        <v>-0.42099999999999999</v>
      </c>
      <c r="EY22">
        <v>-0.182</v>
      </c>
      <c r="EZ22">
        <v>400</v>
      </c>
      <c r="FA22">
        <v>15</v>
      </c>
      <c r="FB22">
        <v>0.23</v>
      </c>
      <c r="FC22">
        <v>0.02</v>
      </c>
      <c r="FD22">
        <v>19.538530446088199</v>
      </c>
      <c r="FE22">
        <v>1.1544291621415601</v>
      </c>
      <c r="FF22">
        <v>0.13101752944819001</v>
      </c>
      <c r="FG22">
        <v>0</v>
      </c>
      <c r="FH22">
        <v>-8.7431223809523804</v>
      </c>
      <c r="FI22">
        <v>-0.410203636363633</v>
      </c>
      <c r="FJ22">
        <v>5.0680269186412802E-2</v>
      </c>
      <c r="FK22">
        <v>1</v>
      </c>
      <c r="FL22">
        <v>255.52047058823501</v>
      </c>
      <c r="FM22">
        <v>3.2343468426461599</v>
      </c>
      <c r="FN22">
        <v>0.51123295227116505</v>
      </c>
      <c r="FO22">
        <v>0</v>
      </c>
      <c r="FP22">
        <v>1</v>
      </c>
      <c r="FQ22">
        <v>3</v>
      </c>
      <c r="FR22" t="s">
        <v>363</v>
      </c>
      <c r="FS22">
        <v>100</v>
      </c>
      <c r="FT22">
        <v>100</v>
      </c>
      <c r="FU22">
        <v>-0.42399999999999999</v>
      </c>
      <c r="FV22">
        <v>-0.1527</v>
      </c>
      <c r="FW22">
        <v>-0.49537962913892097</v>
      </c>
      <c r="FX22">
        <v>-6.1673298426602905E-5</v>
      </c>
      <c r="FY22">
        <v>6.1939807181674203E-7</v>
      </c>
      <c r="FZ22">
        <v>3.19222985850634E-12</v>
      </c>
      <c r="GA22">
        <v>-7.6264071652115004E-2</v>
      </c>
      <c r="GB22">
        <v>-2.57783215012692E-2</v>
      </c>
      <c r="GC22">
        <v>1.33723821780375E-3</v>
      </c>
      <c r="GD22">
        <v>-7.42160749481374E-6</v>
      </c>
      <c r="GE22">
        <v>7</v>
      </c>
      <c r="GF22">
        <v>2154</v>
      </c>
      <c r="GG22">
        <v>2</v>
      </c>
      <c r="GH22">
        <v>20</v>
      </c>
      <c r="GI22">
        <v>1.4</v>
      </c>
      <c r="GJ22">
        <v>1.4</v>
      </c>
      <c r="GK22">
        <v>1.0363800000000001</v>
      </c>
      <c r="GL22">
        <v>2.6208499999999999</v>
      </c>
      <c r="GM22">
        <v>1.65161</v>
      </c>
      <c r="GN22">
        <v>2.2729499999999998</v>
      </c>
      <c r="GO22">
        <v>1.5979000000000001</v>
      </c>
      <c r="GP22">
        <v>2.52563</v>
      </c>
      <c r="GQ22">
        <v>31.433299999999999</v>
      </c>
      <c r="GR22">
        <v>15.8569</v>
      </c>
      <c r="GS22">
        <v>18</v>
      </c>
      <c r="GT22">
        <v>501.18</v>
      </c>
      <c r="GU22">
        <v>569.04700000000003</v>
      </c>
      <c r="GV22">
        <v>22.529299999999999</v>
      </c>
      <c r="GW22">
        <v>28.1374</v>
      </c>
      <c r="GX22">
        <v>30.0001</v>
      </c>
      <c r="GY22">
        <v>28.263200000000001</v>
      </c>
      <c r="GZ22">
        <v>28.3172</v>
      </c>
      <c r="HA22">
        <v>20.748100000000001</v>
      </c>
      <c r="HB22">
        <v>31.900700000000001</v>
      </c>
      <c r="HC22">
        <v>62.904800000000002</v>
      </c>
      <c r="HD22">
        <v>22.504300000000001</v>
      </c>
      <c r="HE22">
        <v>400</v>
      </c>
      <c r="HF22">
        <v>15.433199999999999</v>
      </c>
      <c r="HG22">
        <v>98.37</v>
      </c>
      <c r="HH22">
        <v>94.859099999999998</v>
      </c>
    </row>
    <row r="23" spans="1:216" x14ac:dyDescent="0.3">
      <c r="A23">
        <v>7</v>
      </c>
      <c r="B23">
        <v>1792201444</v>
      </c>
      <c r="C23">
        <v>760.90000009536698</v>
      </c>
      <c r="D23" t="s">
        <v>364</v>
      </c>
      <c r="E23" t="s">
        <v>365</v>
      </c>
      <c r="F23">
        <v>5</v>
      </c>
      <c r="G23">
        <v>1792201435.5</v>
      </c>
      <c r="H23">
        <f t="shared" si="0"/>
        <v>6.1201134075171398E-3</v>
      </c>
      <c r="I23">
        <f t="shared" si="1"/>
        <v>6.1201134075171399</v>
      </c>
      <c r="J23">
        <f t="shared" si="2"/>
        <v>20.386411580588071</v>
      </c>
      <c r="K23">
        <f t="shared" si="3"/>
        <v>390.88049999999998</v>
      </c>
      <c r="L23">
        <f t="shared" si="4"/>
        <v>310.84692263915406</v>
      </c>
      <c r="M23">
        <f t="shared" si="5"/>
        <v>31.712970725157767</v>
      </c>
      <c r="N23">
        <f t="shared" si="6"/>
        <v>39.878090953227407</v>
      </c>
      <c r="O23">
        <f t="shared" si="7"/>
        <v>0.48441124149552894</v>
      </c>
      <c r="P23">
        <f t="shared" si="8"/>
        <v>3.0423402645719131</v>
      </c>
      <c r="Q23">
        <f t="shared" si="9"/>
        <v>0.44528300241854152</v>
      </c>
      <c r="R23">
        <f t="shared" si="10"/>
        <v>0.28155354324409132</v>
      </c>
      <c r="S23">
        <f t="shared" si="11"/>
        <v>241.73865916200796</v>
      </c>
      <c r="T23">
        <f t="shared" si="12"/>
        <v>25.405129580163642</v>
      </c>
      <c r="U23">
        <f t="shared" si="13"/>
        <v>24.998718749999998</v>
      </c>
      <c r="V23">
        <f t="shared" si="14"/>
        <v>3.1794347121785513</v>
      </c>
      <c r="W23">
        <f t="shared" si="15"/>
        <v>55.086743631124747</v>
      </c>
      <c r="X23">
        <f t="shared" si="16"/>
        <v>1.8115212791251181</v>
      </c>
      <c r="Y23">
        <f t="shared" si="17"/>
        <v>3.288488590386716</v>
      </c>
      <c r="Z23">
        <f t="shared" si="18"/>
        <v>1.3679134330534333</v>
      </c>
      <c r="AA23">
        <f t="shared" si="19"/>
        <v>-269.89700127150587</v>
      </c>
      <c r="AB23">
        <f t="shared" si="20"/>
        <v>92.977046163226859</v>
      </c>
      <c r="AC23">
        <f t="shared" si="21"/>
        <v>6.48278125192713</v>
      </c>
      <c r="AD23">
        <f t="shared" si="22"/>
        <v>71.301485305656072</v>
      </c>
      <c r="AE23">
        <v>0</v>
      </c>
      <c r="AF23">
        <v>0</v>
      </c>
      <c r="AG23">
        <f t="shared" si="23"/>
        <v>1</v>
      </c>
      <c r="AH23">
        <f t="shared" si="24"/>
        <v>0</v>
      </c>
      <c r="AI23">
        <f t="shared" si="25"/>
        <v>54143.008705063396</v>
      </c>
      <c r="AJ23" t="s">
        <v>343</v>
      </c>
      <c r="AK23" t="s">
        <v>343</v>
      </c>
      <c r="AL23">
        <v>0</v>
      </c>
      <c r="AM23">
        <v>0</v>
      </c>
      <c r="AN23" t="e">
        <f t="shared" si="26"/>
        <v>#DIV/0!</v>
      </c>
      <c r="AO23">
        <v>0</v>
      </c>
      <c r="AP23" t="s">
        <v>343</v>
      </c>
      <c r="AQ23" t="s">
        <v>343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1261.215527026947</v>
      </c>
      <c r="AW23">
        <f t="shared" si="29"/>
        <v>20.386411580588071</v>
      </c>
      <c r="AX23" t="e">
        <f t="shared" si="30"/>
        <v>#DIV/0!</v>
      </c>
      <c r="AY23">
        <f t="shared" si="31"/>
        <v>1.6164098160640943E-2</v>
      </c>
      <c r="AZ23" t="e">
        <f t="shared" si="32"/>
        <v>#DIV/0!</v>
      </c>
      <c r="BA23" t="e">
        <f t="shared" si="33"/>
        <v>#DIV/0!</v>
      </c>
      <c r="BB23" t="s">
        <v>343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 t="e">
        <f t="shared" si="38"/>
        <v>#DIV/0!</v>
      </c>
      <c r="BI23" t="e">
        <f t="shared" si="39"/>
        <v>#DIV/0!</v>
      </c>
      <c r="BJ23" t="e">
        <f t="shared" si="40"/>
        <v>#DIV/0!</v>
      </c>
      <c r="BK23" t="e">
        <f t="shared" si="41"/>
        <v>#DIV/0!</v>
      </c>
      <c r="CT23">
        <f t="shared" si="42"/>
        <v>1500.0050000000001</v>
      </c>
      <c r="CU23">
        <f t="shared" si="43"/>
        <v>1261.215527026947</v>
      </c>
      <c r="CV23">
        <f t="shared" si="44"/>
        <v>0.84080754865946916</v>
      </c>
      <c r="CW23">
        <f t="shared" si="45"/>
        <v>0.16115856891277558</v>
      </c>
      <c r="CX23">
        <v>2</v>
      </c>
      <c r="CY23">
        <v>0.5</v>
      </c>
      <c r="CZ23" t="s">
        <v>344</v>
      </c>
      <c r="DA23">
        <v>2</v>
      </c>
      <c r="DB23">
        <v>1792201435.5</v>
      </c>
      <c r="DC23">
        <v>390.88049999999998</v>
      </c>
      <c r="DD23">
        <v>399.99149999999997</v>
      </c>
      <c r="DE23">
        <v>17.756325</v>
      </c>
      <c r="DF23">
        <v>15.35186875</v>
      </c>
      <c r="DG23">
        <v>391.29149999999998</v>
      </c>
      <c r="DH23">
        <v>17.908931249999998</v>
      </c>
      <c r="DI23">
        <v>500.025125</v>
      </c>
      <c r="DJ23">
        <v>101.9211875</v>
      </c>
      <c r="DK23">
        <v>9.9995324999999996E-2</v>
      </c>
      <c r="DL23">
        <v>25.565587499999999</v>
      </c>
      <c r="DM23">
        <v>24.998718749999998</v>
      </c>
      <c r="DN23">
        <v>999.9</v>
      </c>
      <c r="DO23">
        <v>0</v>
      </c>
      <c r="DP23">
        <v>0</v>
      </c>
      <c r="DQ23">
        <v>9998.2762500000008</v>
      </c>
      <c r="DR23">
        <v>0</v>
      </c>
      <c r="DS23">
        <v>7.9054399999999996</v>
      </c>
      <c r="DT23">
        <v>1500.0050000000001</v>
      </c>
      <c r="DU23">
        <v>0.97299274999999996</v>
      </c>
      <c r="DV23">
        <v>2.70069E-2</v>
      </c>
      <c r="DW23">
        <v>0</v>
      </c>
      <c r="DX23">
        <v>257.24556250000001</v>
      </c>
      <c r="DY23">
        <v>4.9999900000000004</v>
      </c>
      <c r="DZ23">
        <v>3835.089375</v>
      </c>
      <c r="EA23">
        <v>14882.56875</v>
      </c>
      <c r="EB23">
        <v>37.804375</v>
      </c>
      <c r="EC23">
        <v>39.136625000000002</v>
      </c>
      <c r="ED23">
        <v>38.405999999999999</v>
      </c>
      <c r="EE23">
        <v>38.4333125</v>
      </c>
      <c r="EF23">
        <v>39.378812500000002</v>
      </c>
      <c r="EG23">
        <v>1454.625</v>
      </c>
      <c r="EH23">
        <v>40.377499999999998</v>
      </c>
      <c r="EI23">
        <v>0</v>
      </c>
      <c r="EJ23">
        <v>1792201444.0999999</v>
      </c>
      <c r="EK23">
        <v>0</v>
      </c>
      <c r="EL23">
        <v>257.22623076923099</v>
      </c>
      <c r="EM23">
        <v>0.291008529980603</v>
      </c>
      <c r="EN23">
        <v>-4.0605128480379404</v>
      </c>
      <c r="EO23">
        <v>3835.05269230769</v>
      </c>
      <c r="EP23">
        <v>15</v>
      </c>
      <c r="EQ23">
        <v>1792201380</v>
      </c>
      <c r="ER23" t="s">
        <v>366</v>
      </c>
      <c r="ES23">
        <v>1792201378</v>
      </c>
      <c r="ET23">
        <v>1792201380</v>
      </c>
      <c r="EU23">
        <v>8</v>
      </c>
      <c r="EV23">
        <v>1.4E-2</v>
      </c>
      <c r="EW23">
        <v>-1E-3</v>
      </c>
      <c r="EX23">
        <v>-0.40699999999999997</v>
      </c>
      <c r="EY23">
        <v>-0.182</v>
      </c>
      <c r="EZ23">
        <v>400</v>
      </c>
      <c r="FA23">
        <v>15</v>
      </c>
      <c r="FB23">
        <v>0.11</v>
      </c>
      <c r="FC23">
        <v>0.03</v>
      </c>
      <c r="FD23">
        <v>20.3974026335795</v>
      </c>
      <c r="FE23">
        <v>-1.24048810229241E-2</v>
      </c>
      <c r="FF23">
        <v>9.3897421586596502E-2</v>
      </c>
      <c r="FG23">
        <v>1</v>
      </c>
      <c r="FH23">
        <v>-9.1147285</v>
      </c>
      <c r="FI23">
        <v>-4.96055639097659E-2</v>
      </c>
      <c r="FJ23">
        <v>3.1152536216976001E-2</v>
      </c>
      <c r="FK23">
        <v>1</v>
      </c>
      <c r="FL23">
        <v>257.20955882352899</v>
      </c>
      <c r="FM23">
        <v>0.57187165916215199</v>
      </c>
      <c r="FN23">
        <v>0.410004102646365</v>
      </c>
      <c r="FO23">
        <v>1</v>
      </c>
      <c r="FP23">
        <v>3</v>
      </c>
      <c r="FQ23">
        <v>3</v>
      </c>
      <c r="FR23" t="s">
        <v>346</v>
      </c>
      <c r="FS23">
        <v>100</v>
      </c>
      <c r="FT23">
        <v>100</v>
      </c>
      <c r="FU23">
        <v>-0.41099999999999998</v>
      </c>
      <c r="FV23">
        <v>-0.15310000000000001</v>
      </c>
      <c r="FW23">
        <v>-0.48183345666240801</v>
      </c>
      <c r="FX23">
        <v>-6.1673298426602905E-5</v>
      </c>
      <c r="FY23">
        <v>6.1939807181674203E-7</v>
      </c>
      <c r="FZ23">
        <v>3.19222985850634E-12</v>
      </c>
      <c r="GA23">
        <v>-7.7210503461317095E-2</v>
      </c>
      <c r="GB23">
        <v>-2.57783215012692E-2</v>
      </c>
      <c r="GC23">
        <v>1.33723821780375E-3</v>
      </c>
      <c r="GD23">
        <v>-7.42160749481374E-6</v>
      </c>
      <c r="GE23">
        <v>7</v>
      </c>
      <c r="GF23">
        <v>2154</v>
      </c>
      <c r="GG23">
        <v>2</v>
      </c>
      <c r="GH23">
        <v>20</v>
      </c>
      <c r="GI23">
        <v>1.1000000000000001</v>
      </c>
      <c r="GJ23">
        <v>1.1000000000000001</v>
      </c>
      <c r="GK23">
        <v>1.0376000000000001</v>
      </c>
      <c r="GL23">
        <v>2.63306</v>
      </c>
      <c r="GM23">
        <v>1.65161</v>
      </c>
      <c r="GN23">
        <v>2.2729499999999998</v>
      </c>
      <c r="GO23">
        <v>1.5979000000000001</v>
      </c>
      <c r="GP23">
        <v>2.6000999999999999</v>
      </c>
      <c r="GQ23">
        <v>31.498799999999999</v>
      </c>
      <c r="GR23">
        <v>15.839399999999999</v>
      </c>
      <c r="GS23">
        <v>18</v>
      </c>
      <c r="GT23">
        <v>501.33699999999999</v>
      </c>
      <c r="GU23">
        <v>568.53499999999997</v>
      </c>
      <c r="GV23">
        <v>22.293600000000001</v>
      </c>
      <c r="GW23">
        <v>28.154199999999999</v>
      </c>
      <c r="GX23">
        <v>29.999400000000001</v>
      </c>
      <c r="GY23">
        <v>28.275099999999998</v>
      </c>
      <c r="GZ23">
        <v>28.3307</v>
      </c>
      <c r="HA23">
        <v>20.748200000000001</v>
      </c>
      <c r="HB23">
        <v>31.903700000000001</v>
      </c>
      <c r="HC23">
        <v>61.781199999999998</v>
      </c>
      <c r="HD23">
        <v>22.3339</v>
      </c>
      <c r="HE23">
        <v>400</v>
      </c>
      <c r="HF23">
        <v>15.391</v>
      </c>
      <c r="HG23">
        <v>98.366600000000005</v>
      </c>
      <c r="HH23">
        <v>94.8596</v>
      </c>
    </row>
    <row r="24" spans="1:216" x14ac:dyDescent="0.3">
      <c r="A24">
        <v>8</v>
      </c>
      <c r="B24">
        <v>1792201572</v>
      </c>
      <c r="C24">
        <v>888.90000009536698</v>
      </c>
      <c r="D24" t="s">
        <v>367</v>
      </c>
      <c r="E24" t="s">
        <v>368</v>
      </c>
      <c r="F24">
        <v>5</v>
      </c>
      <c r="G24">
        <v>1792201563.5</v>
      </c>
      <c r="H24">
        <f t="shared" si="0"/>
        <v>5.9031627944141143E-3</v>
      </c>
      <c r="I24">
        <f t="shared" si="1"/>
        <v>5.9031627944141141</v>
      </c>
      <c r="J24">
        <f t="shared" si="2"/>
        <v>27.396519493000611</v>
      </c>
      <c r="K24">
        <f t="shared" si="3"/>
        <v>687.423</v>
      </c>
      <c r="L24">
        <f t="shared" si="4"/>
        <v>572.43548219282775</v>
      </c>
      <c r="M24">
        <f t="shared" si="5"/>
        <v>58.400622180814004</v>
      </c>
      <c r="N24">
        <f t="shared" si="6"/>
        <v>70.13180026439791</v>
      </c>
      <c r="O24">
        <f t="shared" si="7"/>
        <v>0.46420098968333312</v>
      </c>
      <c r="P24">
        <f t="shared" si="8"/>
        <v>3.0426920241493591</v>
      </c>
      <c r="Q24">
        <f t="shared" si="9"/>
        <v>0.42814328043890576</v>
      </c>
      <c r="R24">
        <f t="shared" si="10"/>
        <v>0.27059540848888314</v>
      </c>
      <c r="S24">
        <f t="shared" si="11"/>
        <v>241.73798439058521</v>
      </c>
      <c r="T24">
        <f t="shared" si="12"/>
        <v>25.428679739522373</v>
      </c>
      <c r="U24">
        <f t="shared" si="13"/>
        <v>25.00956875</v>
      </c>
      <c r="V24">
        <f t="shared" si="14"/>
        <v>3.181491985227404</v>
      </c>
      <c r="W24">
        <f t="shared" si="15"/>
        <v>55.1188309931524</v>
      </c>
      <c r="X24">
        <f t="shared" si="16"/>
        <v>1.8092460477592875</v>
      </c>
      <c r="Y24">
        <f t="shared" si="17"/>
        <v>3.2824463348724797</v>
      </c>
      <c r="Z24">
        <f t="shared" si="18"/>
        <v>1.3722459374681164</v>
      </c>
      <c r="AA24">
        <f t="shared" si="19"/>
        <v>-260.32947923366243</v>
      </c>
      <c r="AB24">
        <f t="shared" si="20"/>
        <v>86.126923158661683</v>
      </c>
      <c r="AC24">
        <f t="shared" si="21"/>
        <v>6.0038569417882321</v>
      </c>
      <c r="AD24">
        <f t="shared" si="22"/>
        <v>73.539285257372697</v>
      </c>
      <c r="AE24">
        <v>0</v>
      </c>
      <c r="AF24">
        <v>0</v>
      </c>
      <c r="AG24">
        <f t="shared" si="23"/>
        <v>1</v>
      </c>
      <c r="AH24">
        <f t="shared" si="24"/>
        <v>0</v>
      </c>
      <c r="AI24">
        <f t="shared" si="25"/>
        <v>54159.66872046551</v>
      </c>
      <c r="AJ24" t="s">
        <v>343</v>
      </c>
      <c r="AK24" t="s">
        <v>343</v>
      </c>
      <c r="AL24">
        <v>0</v>
      </c>
      <c r="AM24">
        <v>0</v>
      </c>
      <c r="AN24" t="e">
        <f t="shared" si="26"/>
        <v>#DIV/0!</v>
      </c>
      <c r="AO24">
        <v>0</v>
      </c>
      <c r="AP24" t="s">
        <v>343</v>
      </c>
      <c r="AQ24" t="s">
        <v>343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1261.2123375080753</v>
      </c>
      <c r="AW24">
        <f t="shared" si="29"/>
        <v>27.396519493000611</v>
      </c>
      <c r="AX24" t="e">
        <f t="shared" si="30"/>
        <v>#DIV/0!</v>
      </c>
      <c r="AY24">
        <f t="shared" si="31"/>
        <v>2.1722368770298518E-2</v>
      </c>
      <c r="AZ24" t="e">
        <f t="shared" si="32"/>
        <v>#DIV/0!</v>
      </c>
      <c r="BA24" t="e">
        <f t="shared" si="33"/>
        <v>#DIV/0!</v>
      </c>
      <c r="BB24" t="s">
        <v>343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 t="e">
        <f t="shared" si="38"/>
        <v>#DIV/0!</v>
      </c>
      <c r="BI24" t="e">
        <f t="shared" si="39"/>
        <v>#DIV/0!</v>
      </c>
      <c r="BJ24" t="e">
        <f t="shared" si="40"/>
        <v>#DIV/0!</v>
      </c>
      <c r="BK24" t="e">
        <f t="shared" si="41"/>
        <v>#DIV/0!</v>
      </c>
      <c r="CT24">
        <f t="shared" si="42"/>
        <v>1500.00125</v>
      </c>
      <c r="CU24">
        <f t="shared" si="43"/>
        <v>1261.2123375080753</v>
      </c>
      <c r="CV24">
        <f t="shared" si="44"/>
        <v>0.84080752433244654</v>
      </c>
      <c r="CW24">
        <f t="shared" si="45"/>
        <v>0.16115852196162184</v>
      </c>
      <c r="CX24">
        <v>2</v>
      </c>
      <c r="CY24">
        <v>0.5</v>
      </c>
      <c r="CZ24" t="s">
        <v>344</v>
      </c>
      <c r="DA24">
        <v>2</v>
      </c>
      <c r="DB24">
        <v>1792201563.5</v>
      </c>
      <c r="DC24">
        <v>687.423</v>
      </c>
      <c r="DD24">
        <v>700.00400000000002</v>
      </c>
      <c r="DE24">
        <v>17.734000000000002</v>
      </c>
      <c r="DF24">
        <v>15.41475625</v>
      </c>
      <c r="DG24">
        <v>687.34762499999999</v>
      </c>
      <c r="DH24">
        <v>17.887381250000001</v>
      </c>
      <c r="DI24">
        <v>500.03162500000002</v>
      </c>
      <c r="DJ24">
        <v>101.92125</v>
      </c>
      <c r="DK24">
        <v>0.10006768125</v>
      </c>
      <c r="DL24">
        <v>25.534612500000001</v>
      </c>
      <c r="DM24">
        <v>25.00956875</v>
      </c>
      <c r="DN24">
        <v>999.9</v>
      </c>
      <c r="DO24">
        <v>0</v>
      </c>
      <c r="DP24">
        <v>0</v>
      </c>
      <c r="DQ24">
        <v>10000.395624999999</v>
      </c>
      <c r="DR24">
        <v>0</v>
      </c>
      <c r="DS24">
        <v>8.0963743749999999</v>
      </c>
      <c r="DT24">
        <v>1500.00125</v>
      </c>
      <c r="DU24">
        <v>0.97299150000000001</v>
      </c>
      <c r="DV24">
        <v>2.7008299999999999E-2</v>
      </c>
      <c r="DW24">
        <v>0</v>
      </c>
      <c r="DX24">
        <v>256.34131250000002</v>
      </c>
      <c r="DY24">
        <v>4.9999900000000004</v>
      </c>
      <c r="DZ24">
        <v>3816.6868749999999</v>
      </c>
      <c r="EA24">
        <v>14882.55625</v>
      </c>
      <c r="EB24">
        <v>37.202750000000002</v>
      </c>
      <c r="EC24">
        <v>38.644374999999997</v>
      </c>
      <c r="ED24">
        <v>37.780999999999999</v>
      </c>
      <c r="EE24">
        <v>37.948812500000003</v>
      </c>
      <c r="EF24">
        <v>38.815937499999997</v>
      </c>
      <c r="EG24">
        <v>1454.625</v>
      </c>
      <c r="EH24">
        <v>40.376249999999999</v>
      </c>
      <c r="EI24">
        <v>0</v>
      </c>
      <c r="EJ24">
        <v>1792201571.9000001</v>
      </c>
      <c r="EK24">
        <v>0</v>
      </c>
      <c r="EL24">
        <v>256.42196000000001</v>
      </c>
      <c r="EM24">
        <v>-0.56238460626217601</v>
      </c>
      <c r="EN24">
        <v>-0.94769230691683803</v>
      </c>
      <c r="EO24">
        <v>3816.5183999999999</v>
      </c>
      <c r="EP24">
        <v>15</v>
      </c>
      <c r="EQ24">
        <v>1792201520</v>
      </c>
      <c r="ER24" t="s">
        <v>369</v>
      </c>
      <c r="ES24">
        <v>1792201514</v>
      </c>
      <c r="ET24">
        <v>1792201520</v>
      </c>
      <c r="EU24">
        <v>9</v>
      </c>
      <c r="EV24">
        <v>0.30599999999999999</v>
      </c>
      <c r="EW24">
        <v>0</v>
      </c>
      <c r="EX24">
        <v>8.5999999999999993E-2</v>
      </c>
      <c r="EY24">
        <v>-0.183</v>
      </c>
      <c r="EZ24">
        <v>700</v>
      </c>
      <c r="FA24">
        <v>15</v>
      </c>
      <c r="FB24">
        <v>0.14000000000000001</v>
      </c>
      <c r="FC24">
        <v>0.05</v>
      </c>
      <c r="FD24">
        <v>27.376930501631598</v>
      </c>
      <c r="FE24">
        <v>0.52349847345370504</v>
      </c>
      <c r="FF24">
        <v>0.11739711586422399</v>
      </c>
      <c r="FG24">
        <v>1</v>
      </c>
      <c r="FH24">
        <v>-12.581720000000001</v>
      </c>
      <c r="FI24">
        <v>1.1530827067666701E-2</v>
      </c>
      <c r="FJ24">
        <v>4.5063140148018897E-2</v>
      </c>
      <c r="FK24">
        <v>1</v>
      </c>
      <c r="FL24">
        <v>256.48444117647102</v>
      </c>
      <c r="FM24">
        <v>-0.40481284430648201</v>
      </c>
      <c r="FN24">
        <v>0.43196896614949698</v>
      </c>
      <c r="FO24">
        <v>1</v>
      </c>
      <c r="FP24">
        <v>3</v>
      </c>
      <c r="FQ24">
        <v>3</v>
      </c>
      <c r="FR24" t="s">
        <v>346</v>
      </c>
      <c r="FS24">
        <v>100</v>
      </c>
      <c r="FT24">
        <v>100</v>
      </c>
      <c r="FU24">
        <v>7.5999999999999998E-2</v>
      </c>
      <c r="FV24">
        <v>-0.15359999999999999</v>
      </c>
      <c r="FW24">
        <v>-0.17589123049638</v>
      </c>
      <c r="FX24">
        <v>-6.1673298426602905E-5</v>
      </c>
      <c r="FY24">
        <v>6.1939807181674203E-7</v>
      </c>
      <c r="FZ24">
        <v>3.19222985850634E-12</v>
      </c>
      <c r="GA24">
        <v>-7.7669877634100798E-2</v>
      </c>
      <c r="GB24">
        <v>-2.57783215012692E-2</v>
      </c>
      <c r="GC24">
        <v>1.33723821780375E-3</v>
      </c>
      <c r="GD24">
        <v>-7.42160749481374E-6</v>
      </c>
      <c r="GE24">
        <v>7</v>
      </c>
      <c r="GF24">
        <v>2154</v>
      </c>
      <c r="GG24">
        <v>2</v>
      </c>
      <c r="GH24">
        <v>20</v>
      </c>
      <c r="GI24">
        <v>1</v>
      </c>
      <c r="GJ24">
        <v>0.9</v>
      </c>
      <c r="GK24">
        <v>1.6223099999999999</v>
      </c>
      <c r="GL24">
        <v>2.6184099999999999</v>
      </c>
      <c r="GM24">
        <v>1.65161</v>
      </c>
      <c r="GN24">
        <v>2.2729499999999998</v>
      </c>
      <c r="GO24">
        <v>1.5979000000000001</v>
      </c>
      <c r="GP24">
        <v>2.47559</v>
      </c>
      <c r="GQ24">
        <v>31.542400000000001</v>
      </c>
      <c r="GR24">
        <v>15.8132</v>
      </c>
      <c r="GS24">
        <v>18</v>
      </c>
      <c r="GT24">
        <v>501.21300000000002</v>
      </c>
      <c r="GU24">
        <v>568.41099999999994</v>
      </c>
      <c r="GV24">
        <v>22.402000000000001</v>
      </c>
      <c r="GW24">
        <v>28.170999999999999</v>
      </c>
      <c r="GX24">
        <v>30.0001</v>
      </c>
      <c r="GY24">
        <v>28.2896</v>
      </c>
      <c r="GZ24">
        <v>28.343499999999999</v>
      </c>
      <c r="HA24">
        <v>32.422499999999999</v>
      </c>
      <c r="HB24">
        <v>31.447900000000001</v>
      </c>
      <c r="HC24">
        <v>60.732500000000002</v>
      </c>
      <c r="HD24">
        <v>22.383500000000002</v>
      </c>
      <c r="HE24">
        <v>700</v>
      </c>
      <c r="HF24">
        <v>15.4072</v>
      </c>
      <c r="HG24">
        <v>98.362499999999997</v>
      </c>
      <c r="HH24">
        <v>94.857900000000001</v>
      </c>
    </row>
    <row r="25" spans="1:216" x14ac:dyDescent="0.3">
      <c r="A25">
        <v>9</v>
      </c>
      <c r="B25">
        <v>1792201723</v>
      </c>
      <c r="C25">
        <v>1039.9000000953699</v>
      </c>
      <c r="D25" t="s">
        <v>370</v>
      </c>
      <c r="E25" t="s">
        <v>371</v>
      </c>
      <c r="F25">
        <v>5</v>
      </c>
      <c r="G25">
        <v>1792201714.5</v>
      </c>
      <c r="H25">
        <f t="shared" si="0"/>
        <v>5.0859778860544965E-3</v>
      </c>
      <c r="I25">
        <f t="shared" si="1"/>
        <v>5.0859778860544962</v>
      </c>
      <c r="J25">
        <f t="shared" si="2"/>
        <v>29.20664814981658</v>
      </c>
      <c r="K25">
        <f t="shared" si="3"/>
        <v>986.31006249999996</v>
      </c>
      <c r="L25">
        <f t="shared" si="4"/>
        <v>838.16386237223992</v>
      </c>
      <c r="M25">
        <f t="shared" si="5"/>
        <v>85.508088244540232</v>
      </c>
      <c r="N25">
        <f t="shared" si="6"/>
        <v>100.6217180755433</v>
      </c>
      <c r="O25">
        <f t="shared" si="7"/>
        <v>0.38759394021721177</v>
      </c>
      <c r="P25">
        <f t="shared" si="8"/>
        <v>3.0425265063214795</v>
      </c>
      <c r="Q25">
        <f t="shared" si="9"/>
        <v>0.36210393465340168</v>
      </c>
      <c r="R25">
        <f t="shared" si="10"/>
        <v>0.22846529400294741</v>
      </c>
      <c r="S25">
        <f t="shared" si="11"/>
        <v>241.74183151557864</v>
      </c>
      <c r="T25">
        <f t="shared" si="12"/>
        <v>25.42929196347788</v>
      </c>
      <c r="U25">
        <f t="shared" si="13"/>
        <v>25.0058875</v>
      </c>
      <c r="V25">
        <f t="shared" si="14"/>
        <v>3.1807938515246583</v>
      </c>
      <c r="W25">
        <f t="shared" si="15"/>
        <v>54.976247273167736</v>
      </c>
      <c r="X25">
        <f t="shared" si="16"/>
        <v>1.7827399351455935</v>
      </c>
      <c r="Y25">
        <f t="shared" si="17"/>
        <v>3.2427457739839141</v>
      </c>
      <c r="Z25">
        <f t="shared" si="18"/>
        <v>1.3980539163790648</v>
      </c>
      <c r="AA25">
        <f t="shared" si="19"/>
        <v>-224.2916247750033</v>
      </c>
      <c r="AB25">
        <f t="shared" si="20"/>
        <v>53.138118983707969</v>
      </c>
      <c r="AC25">
        <f t="shared" si="21"/>
        <v>3.7005446782153677</v>
      </c>
      <c r="AD25">
        <f t="shared" si="22"/>
        <v>74.288870402498688</v>
      </c>
      <c r="AE25">
        <v>0</v>
      </c>
      <c r="AF25">
        <v>0</v>
      </c>
      <c r="AG25">
        <f t="shared" si="23"/>
        <v>1</v>
      </c>
      <c r="AH25">
        <f t="shared" si="24"/>
        <v>0</v>
      </c>
      <c r="AI25">
        <f t="shared" si="25"/>
        <v>54191.581565512184</v>
      </c>
      <c r="AJ25" t="s">
        <v>343</v>
      </c>
      <c r="AK25" t="s">
        <v>343</v>
      </c>
      <c r="AL25">
        <v>0</v>
      </c>
      <c r="AM25">
        <v>0</v>
      </c>
      <c r="AN25" t="e">
        <f t="shared" si="26"/>
        <v>#DIV/0!</v>
      </c>
      <c r="AO25">
        <v>0</v>
      </c>
      <c r="AP25" t="s">
        <v>343</v>
      </c>
      <c r="AQ25" t="s">
        <v>343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1261.2370500080717</v>
      </c>
      <c r="AW25">
        <f t="shared" si="29"/>
        <v>29.20664814981658</v>
      </c>
      <c r="AX25" t="e">
        <f t="shared" si="30"/>
        <v>#DIV/0!</v>
      </c>
      <c r="AY25">
        <f t="shared" si="31"/>
        <v>2.3157144130542043E-2</v>
      </c>
      <c r="AZ25" t="e">
        <f t="shared" si="32"/>
        <v>#DIV/0!</v>
      </c>
      <c r="BA25" t="e">
        <f t="shared" si="33"/>
        <v>#DIV/0!</v>
      </c>
      <c r="BB25" t="s">
        <v>343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 t="e">
        <f t="shared" si="38"/>
        <v>#DIV/0!</v>
      </c>
      <c r="BI25" t="e">
        <f t="shared" si="39"/>
        <v>#DIV/0!</v>
      </c>
      <c r="BJ25" t="e">
        <f t="shared" si="40"/>
        <v>#DIV/0!</v>
      </c>
      <c r="BK25" t="e">
        <f t="shared" si="41"/>
        <v>#DIV/0!</v>
      </c>
      <c r="CT25">
        <f t="shared" si="42"/>
        <v>1500.03125</v>
      </c>
      <c r="CU25">
        <f t="shared" si="43"/>
        <v>1261.2370500080717</v>
      </c>
      <c r="CV25">
        <f t="shared" si="44"/>
        <v>0.84080718318906478</v>
      </c>
      <c r="CW25">
        <f t="shared" si="45"/>
        <v>0.16115786355489503</v>
      </c>
      <c r="CX25">
        <v>2</v>
      </c>
      <c r="CY25">
        <v>0.5</v>
      </c>
      <c r="CZ25" t="s">
        <v>344</v>
      </c>
      <c r="DA25">
        <v>2</v>
      </c>
      <c r="DB25">
        <v>1792201714.5</v>
      </c>
      <c r="DC25">
        <v>986.31006249999996</v>
      </c>
      <c r="DD25">
        <v>999.99962500000004</v>
      </c>
      <c r="DE25">
        <v>17.474699999999999</v>
      </c>
      <c r="DF25">
        <v>15.47580625</v>
      </c>
      <c r="DG25">
        <v>985.8493125</v>
      </c>
      <c r="DH25">
        <v>17.63233125</v>
      </c>
      <c r="DI25">
        <v>499.98674999999997</v>
      </c>
      <c r="DJ25">
        <v>101.918375</v>
      </c>
      <c r="DK25">
        <v>9.9967812500000003E-2</v>
      </c>
      <c r="DL25">
        <v>25.329843749999998</v>
      </c>
      <c r="DM25">
        <v>25.0058875</v>
      </c>
      <c r="DN25">
        <v>999.9</v>
      </c>
      <c r="DO25">
        <v>0</v>
      </c>
      <c r="DP25">
        <v>0</v>
      </c>
      <c r="DQ25">
        <v>9999.6774999999998</v>
      </c>
      <c r="DR25">
        <v>0</v>
      </c>
      <c r="DS25">
        <v>8.1948387500000006</v>
      </c>
      <c r="DT25">
        <v>1500.03125</v>
      </c>
      <c r="DU25">
        <v>0.97300618750000001</v>
      </c>
      <c r="DV25">
        <v>2.6993625E-2</v>
      </c>
      <c r="DW25">
        <v>0</v>
      </c>
      <c r="DX25">
        <v>256.7555625</v>
      </c>
      <c r="DY25">
        <v>4.9999900000000004</v>
      </c>
      <c r="DZ25">
        <v>3815.1237500000002</v>
      </c>
      <c r="EA25">
        <v>14882.9125</v>
      </c>
      <c r="EB25">
        <v>36.742125000000001</v>
      </c>
      <c r="EC25">
        <v>38.25</v>
      </c>
      <c r="ED25">
        <v>37.347437499999998</v>
      </c>
      <c r="EE25">
        <v>37.625</v>
      </c>
      <c r="EF25">
        <v>38.378875000000001</v>
      </c>
      <c r="EG25">
        <v>1454.6712500000001</v>
      </c>
      <c r="EH25">
        <v>40.36</v>
      </c>
      <c r="EI25">
        <v>0</v>
      </c>
      <c r="EJ25">
        <v>1792201723.0999999</v>
      </c>
      <c r="EK25">
        <v>0</v>
      </c>
      <c r="EL25">
        <v>256.80959999999999</v>
      </c>
      <c r="EM25">
        <v>1.30423074176487</v>
      </c>
      <c r="EN25">
        <v>8.2538461627489799</v>
      </c>
      <c r="EO25">
        <v>3815.1896000000002</v>
      </c>
      <c r="EP25">
        <v>15</v>
      </c>
      <c r="EQ25">
        <v>1792201637</v>
      </c>
      <c r="ER25" t="s">
        <v>372</v>
      </c>
      <c r="ES25">
        <v>1792201632</v>
      </c>
      <c r="ET25">
        <v>1792201637</v>
      </c>
      <c r="EU25">
        <v>10</v>
      </c>
      <c r="EV25">
        <v>0.09</v>
      </c>
      <c r="EW25">
        <v>-1E-3</v>
      </c>
      <c r="EX25">
        <v>0.47699999999999998</v>
      </c>
      <c r="EY25">
        <v>-0.183</v>
      </c>
      <c r="EZ25">
        <v>1000</v>
      </c>
      <c r="FA25">
        <v>15</v>
      </c>
      <c r="FB25">
        <v>7.0000000000000007E-2</v>
      </c>
      <c r="FC25">
        <v>0.04</v>
      </c>
      <c r="FD25">
        <v>29.131761830862299</v>
      </c>
      <c r="FE25">
        <v>1.83153167267554</v>
      </c>
      <c r="FF25">
        <v>0.238075975970725</v>
      </c>
      <c r="FG25">
        <v>0</v>
      </c>
      <c r="FH25">
        <v>-13.6807380952381</v>
      </c>
      <c r="FI25">
        <v>-0.23321298701298199</v>
      </c>
      <c r="FJ25">
        <v>7.1843974305371802E-2</v>
      </c>
      <c r="FK25">
        <v>1</v>
      </c>
      <c r="FL25">
        <v>256.863235294118</v>
      </c>
      <c r="FM25">
        <v>-0.478594360963288</v>
      </c>
      <c r="FN25">
        <v>0.489684836149056</v>
      </c>
      <c r="FO25">
        <v>1</v>
      </c>
      <c r="FP25">
        <v>2</v>
      </c>
      <c r="FQ25">
        <v>3</v>
      </c>
      <c r="FR25" t="s">
        <v>356</v>
      </c>
      <c r="FS25">
        <v>100</v>
      </c>
      <c r="FT25">
        <v>100</v>
      </c>
      <c r="FU25">
        <v>0.46</v>
      </c>
      <c r="FV25">
        <v>-0.15770000000000001</v>
      </c>
      <c r="FW25">
        <v>-8.3407548146123098E-2</v>
      </c>
      <c r="FX25">
        <v>-6.1673298426602905E-5</v>
      </c>
      <c r="FY25">
        <v>6.1939807181674203E-7</v>
      </c>
      <c r="FZ25">
        <v>3.19222985850634E-12</v>
      </c>
      <c r="GA25">
        <v>-7.8164269852757498E-2</v>
      </c>
      <c r="GB25">
        <v>-2.57783215012692E-2</v>
      </c>
      <c r="GC25">
        <v>1.33723821780375E-3</v>
      </c>
      <c r="GD25">
        <v>-7.42160749481374E-6</v>
      </c>
      <c r="GE25">
        <v>7</v>
      </c>
      <c r="GF25">
        <v>2154</v>
      </c>
      <c r="GG25">
        <v>2</v>
      </c>
      <c r="GH25">
        <v>20</v>
      </c>
      <c r="GI25">
        <v>1.5</v>
      </c>
      <c r="GJ25">
        <v>1.4</v>
      </c>
      <c r="GK25">
        <v>2.16553</v>
      </c>
      <c r="GL25">
        <v>2.6159699999999999</v>
      </c>
      <c r="GM25">
        <v>1.65161</v>
      </c>
      <c r="GN25">
        <v>2.2729499999999998</v>
      </c>
      <c r="GO25">
        <v>1.5979000000000001</v>
      </c>
      <c r="GP25">
        <v>2.6135299999999999</v>
      </c>
      <c r="GQ25">
        <v>31.608000000000001</v>
      </c>
      <c r="GR25">
        <v>15.7957</v>
      </c>
      <c r="GS25">
        <v>18</v>
      </c>
      <c r="GT25">
        <v>501.45</v>
      </c>
      <c r="GU25">
        <v>568.678</v>
      </c>
      <c r="GV25">
        <v>21.688700000000001</v>
      </c>
      <c r="GW25">
        <v>28.185400000000001</v>
      </c>
      <c r="GX25">
        <v>30</v>
      </c>
      <c r="GY25">
        <v>28.303899999999999</v>
      </c>
      <c r="GZ25">
        <v>28.358000000000001</v>
      </c>
      <c r="HA25">
        <v>43.289900000000003</v>
      </c>
      <c r="HB25">
        <v>30.492999999999999</v>
      </c>
      <c r="HC25">
        <v>59.614100000000001</v>
      </c>
      <c r="HD25">
        <v>21.688800000000001</v>
      </c>
      <c r="HE25">
        <v>1000</v>
      </c>
      <c r="HF25">
        <v>15.579499999999999</v>
      </c>
      <c r="HG25">
        <v>98.361599999999996</v>
      </c>
      <c r="HH25">
        <v>94.852599999999995</v>
      </c>
    </row>
    <row r="26" spans="1:216" x14ac:dyDescent="0.3">
      <c r="A26">
        <v>10</v>
      </c>
      <c r="B26">
        <v>1792201850</v>
      </c>
      <c r="C26">
        <v>1166.9000000953699</v>
      </c>
      <c r="D26" t="s">
        <v>373</v>
      </c>
      <c r="E26" t="s">
        <v>374</v>
      </c>
      <c r="F26">
        <v>5</v>
      </c>
      <c r="G26">
        <v>1792201842</v>
      </c>
      <c r="H26">
        <f t="shared" si="0"/>
        <v>4.1457144614283174E-3</v>
      </c>
      <c r="I26">
        <f t="shared" si="1"/>
        <v>4.1457144614283177</v>
      </c>
      <c r="J26">
        <f t="shared" si="2"/>
        <v>29.332710192882288</v>
      </c>
      <c r="K26">
        <f t="shared" si="3"/>
        <v>1186.30866666667</v>
      </c>
      <c r="L26">
        <f t="shared" si="4"/>
        <v>1001.5357515848689</v>
      </c>
      <c r="M26">
        <f t="shared" si="5"/>
        <v>102.17660382390306</v>
      </c>
      <c r="N26">
        <f t="shared" si="6"/>
        <v>121.02712305082558</v>
      </c>
      <c r="O26">
        <f t="shared" si="7"/>
        <v>0.30730627617402045</v>
      </c>
      <c r="P26">
        <f t="shared" si="8"/>
        <v>3.0431768406329134</v>
      </c>
      <c r="Q26">
        <f t="shared" si="9"/>
        <v>0.29104826915757637</v>
      </c>
      <c r="R26">
        <f t="shared" si="10"/>
        <v>0.18329417652981728</v>
      </c>
      <c r="S26">
        <f t="shared" si="11"/>
        <v>241.74141921557921</v>
      </c>
      <c r="T26">
        <f t="shared" si="12"/>
        <v>25.428288972710163</v>
      </c>
      <c r="U26">
        <f t="shared" si="13"/>
        <v>25.0223266666667</v>
      </c>
      <c r="V26">
        <f t="shared" si="14"/>
        <v>3.1839125071594485</v>
      </c>
      <c r="W26">
        <f t="shared" si="15"/>
        <v>55.234288787447639</v>
      </c>
      <c r="X26">
        <f t="shared" si="16"/>
        <v>1.765986012871765</v>
      </c>
      <c r="Y26">
        <f t="shared" si="17"/>
        <v>3.1972639670760041</v>
      </c>
      <c r="Z26">
        <f t="shared" si="18"/>
        <v>1.4179264942876835</v>
      </c>
      <c r="AA26">
        <f t="shared" si="19"/>
        <v>-182.82600774898879</v>
      </c>
      <c r="AB26">
        <f t="shared" si="20"/>
        <v>11.520556513217045</v>
      </c>
      <c r="AC26">
        <f t="shared" si="21"/>
        <v>0.80123030771029013</v>
      </c>
      <c r="AD26">
        <f t="shared" si="22"/>
        <v>71.237198287517757</v>
      </c>
      <c r="AE26">
        <v>0</v>
      </c>
      <c r="AF26">
        <v>0</v>
      </c>
      <c r="AG26">
        <f t="shared" si="23"/>
        <v>1</v>
      </c>
      <c r="AH26">
        <f t="shared" si="24"/>
        <v>0</v>
      </c>
      <c r="AI26">
        <f t="shared" si="25"/>
        <v>54255.203283896924</v>
      </c>
      <c r="AJ26" t="s">
        <v>343</v>
      </c>
      <c r="AK26" t="s">
        <v>343</v>
      </c>
      <c r="AL26">
        <v>0</v>
      </c>
      <c r="AM26">
        <v>0</v>
      </c>
      <c r="AN26" t="e">
        <f t="shared" si="26"/>
        <v>#DIV/0!</v>
      </c>
      <c r="AO26">
        <v>0</v>
      </c>
      <c r="AP26" t="s">
        <v>343</v>
      </c>
      <c r="AQ26" t="s">
        <v>343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1261.2348800080747</v>
      </c>
      <c r="AW26">
        <f t="shared" si="29"/>
        <v>29.332710192882288</v>
      </c>
      <c r="AX26" t="e">
        <f t="shared" si="30"/>
        <v>#DIV/0!</v>
      </c>
      <c r="AY26">
        <f t="shared" si="31"/>
        <v>2.3257135255167139E-2</v>
      </c>
      <c r="AZ26" t="e">
        <f t="shared" si="32"/>
        <v>#DIV/0!</v>
      </c>
      <c r="BA26" t="e">
        <f t="shared" si="33"/>
        <v>#DIV/0!</v>
      </c>
      <c r="BB26" t="s">
        <v>343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 t="e">
        <f t="shared" si="38"/>
        <v>#DIV/0!</v>
      </c>
      <c r="BI26" t="e">
        <f t="shared" si="39"/>
        <v>#DIV/0!</v>
      </c>
      <c r="BJ26" t="e">
        <f t="shared" si="40"/>
        <v>#DIV/0!</v>
      </c>
      <c r="BK26" t="e">
        <f t="shared" si="41"/>
        <v>#DIV/0!</v>
      </c>
      <c r="CT26">
        <f t="shared" si="42"/>
        <v>1500.02866666667</v>
      </c>
      <c r="CU26">
        <f t="shared" si="43"/>
        <v>1261.2348800080747</v>
      </c>
      <c r="CV26">
        <f t="shared" si="44"/>
        <v>0.84080718457918713</v>
      </c>
      <c r="CW26">
        <f t="shared" si="45"/>
        <v>0.16115786623783102</v>
      </c>
      <c r="CX26">
        <v>2</v>
      </c>
      <c r="CY26">
        <v>0.5</v>
      </c>
      <c r="CZ26" t="s">
        <v>344</v>
      </c>
      <c r="DA26">
        <v>2</v>
      </c>
      <c r="DB26">
        <v>1792201842</v>
      </c>
      <c r="DC26">
        <v>1186.30866666667</v>
      </c>
      <c r="DD26">
        <v>1200.01066666667</v>
      </c>
      <c r="DE26">
        <v>17.310206666666701</v>
      </c>
      <c r="DF26">
        <v>15.680426666666699</v>
      </c>
      <c r="DG26">
        <v>1185.4159999999999</v>
      </c>
      <c r="DH26">
        <v>17.469940000000001</v>
      </c>
      <c r="DI26">
        <v>499.93880000000001</v>
      </c>
      <c r="DJ26">
        <v>101.920066666667</v>
      </c>
      <c r="DK26">
        <v>9.9859893333333297E-2</v>
      </c>
      <c r="DL26">
        <v>25.092546666666699</v>
      </c>
      <c r="DM26">
        <v>25.0223266666667</v>
      </c>
      <c r="DN26">
        <v>999.9</v>
      </c>
      <c r="DO26">
        <v>0</v>
      </c>
      <c r="DP26">
        <v>0</v>
      </c>
      <c r="DQ26">
        <v>10003.441999999999</v>
      </c>
      <c r="DR26">
        <v>0</v>
      </c>
      <c r="DS26">
        <v>8.1985113333333306</v>
      </c>
      <c r="DT26">
        <v>1500.02866666667</v>
      </c>
      <c r="DU26">
        <v>0.97300366666666604</v>
      </c>
      <c r="DV26">
        <v>2.6996240000000001E-2</v>
      </c>
      <c r="DW26">
        <v>0</v>
      </c>
      <c r="DX26">
        <v>257.70326666666699</v>
      </c>
      <c r="DY26">
        <v>4.9999900000000004</v>
      </c>
      <c r="DZ26">
        <v>3822.902</v>
      </c>
      <c r="EA26">
        <v>14882.8866666667</v>
      </c>
      <c r="EB26">
        <v>36.436999999999998</v>
      </c>
      <c r="EC26">
        <v>38</v>
      </c>
      <c r="ED26">
        <v>37.053733333333298</v>
      </c>
      <c r="EE26">
        <v>37.403933333333299</v>
      </c>
      <c r="EF26">
        <v>38.125</v>
      </c>
      <c r="EG26">
        <v>1454.6686666666701</v>
      </c>
      <c r="EH26">
        <v>40.36</v>
      </c>
      <c r="EI26">
        <v>0</v>
      </c>
      <c r="EJ26">
        <v>1792201850.3</v>
      </c>
      <c r="EK26">
        <v>0</v>
      </c>
      <c r="EL26">
        <v>257.67624000000001</v>
      </c>
      <c r="EM26">
        <v>-1.2083846202950601</v>
      </c>
      <c r="EN26">
        <v>0.51076920965114303</v>
      </c>
      <c r="EO26">
        <v>3822.9056</v>
      </c>
      <c r="EP26">
        <v>15</v>
      </c>
      <c r="EQ26">
        <v>1792201803</v>
      </c>
      <c r="ER26" t="s">
        <v>375</v>
      </c>
      <c r="ES26">
        <v>1792201801</v>
      </c>
      <c r="ET26">
        <v>1792201803</v>
      </c>
      <c r="EU26">
        <v>11</v>
      </c>
      <c r="EV26">
        <v>0.17399999999999999</v>
      </c>
      <c r="EW26">
        <v>0</v>
      </c>
      <c r="EX26">
        <v>0.91300000000000003</v>
      </c>
      <c r="EY26">
        <v>-0.18099999999999999</v>
      </c>
      <c r="EZ26">
        <v>1200</v>
      </c>
      <c r="FA26">
        <v>16</v>
      </c>
      <c r="FB26">
        <v>0.12</v>
      </c>
      <c r="FC26">
        <v>0.04</v>
      </c>
      <c r="FD26">
        <v>29.3314295092772</v>
      </c>
      <c r="FE26">
        <v>0.15758802612609099</v>
      </c>
      <c r="FF26">
        <v>9.5683581593164702E-2</v>
      </c>
      <c r="FG26">
        <v>1</v>
      </c>
      <c r="FH26">
        <v>-13.729950000000001</v>
      </c>
      <c r="FI26">
        <v>0.36865263157892803</v>
      </c>
      <c r="FJ26">
        <v>4.6880385024016202E-2</v>
      </c>
      <c r="FK26">
        <v>1</v>
      </c>
      <c r="FL26">
        <v>257.62</v>
      </c>
      <c r="FM26">
        <v>0.15841100330425001</v>
      </c>
      <c r="FN26">
        <v>0.445384103892354</v>
      </c>
      <c r="FO26">
        <v>1</v>
      </c>
      <c r="FP26">
        <v>3</v>
      </c>
      <c r="FQ26">
        <v>3</v>
      </c>
      <c r="FR26" t="s">
        <v>346</v>
      </c>
      <c r="FS26">
        <v>100</v>
      </c>
      <c r="FT26">
        <v>100</v>
      </c>
      <c r="FU26">
        <v>0.9</v>
      </c>
      <c r="FV26">
        <v>-0.16020000000000001</v>
      </c>
      <c r="FW26">
        <v>9.0733535828022294E-2</v>
      </c>
      <c r="FX26">
        <v>-6.1673298426602905E-5</v>
      </c>
      <c r="FY26">
        <v>6.1939807181674203E-7</v>
      </c>
      <c r="FZ26">
        <v>3.19222985850634E-12</v>
      </c>
      <c r="GA26">
        <v>-7.7949067140308706E-2</v>
      </c>
      <c r="GB26">
        <v>-2.57783215012692E-2</v>
      </c>
      <c r="GC26">
        <v>1.33723821780375E-3</v>
      </c>
      <c r="GD26">
        <v>-7.42160749481374E-6</v>
      </c>
      <c r="GE26">
        <v>7</v>
      </c>
      <c r="GF26">
        <v>2154</v>
      </c>
      <c r="GG26">
        <v>2</v>
      </c>
      <c r="GH26">
        <v>20</v>
      </c>
      <c r="GI26">
        <v>0.8</v>
      </c>
      <c r="GJ26">
        <v>0.8</v>
      </c>
      <c r="GK26">
        <v>2.5122100000000001</v>
      </c>
      <c r="GL26">
        <v>2.6037599999999999</v>
      </c>
      <c r="GM26">
        <v>1.65161</v>
      </c>
      <c r="GN26">
        <v>2.2729499999999998</v>
      </c>
      <c r="GO26">
        <v>1.5979000000000001</v>
      </c>
      <c r="GP26">
        <v>2.6403799999999999</v>
      </c>
      <c r="GQ26">
        <v>31.6736</v>
      </c>
      <c r="GR26">
        <v>15.769399999999999</v>
      </c>
      <c r="GS26">
        <v>18</v>
      </c>
      <c r="GT26">
        <v>501.10899999999998</v>
      </c>
      <c r="GU26">
        <v>568.66800000000001</v>
      </c>
      <c r="GV26">
        <v>21.015899999999998</v>
      </c>
      <c r="GW26">
        <v>28.1859</v>
      </c>
      <c r="GX26">
        <v>30</v>
      </c>
      <c r="GY26">
        <v>28.308199999999999</v>
      </c>
      <c r="GZ26">
        <v>28.3628</v>
      </c>
      <c r="HA26">
        <v>50.216999999999999</v>
      </c>
      <c r="HB26">
        <v>29.923999999999999</v>
      </c>
      <c r="HC26">
        <v>58.868200000000002</v>
      </c>
      <c r="HD26">
        <v>21.015799999999999</v>
      </c>
      <c r="HE26">
        <v>1200</v>
      </c>
      <c r="HF26">
        <v>15.6891</v>
      </c>
      <c r="HG26">
        <v>98.358800000000002</v>
      </c>
      <c r="HH26">
        <v>94.856099999999998</v>
      </c>
    </row>
    <row r="27" spans="1:216" x14ac:dyDescent="0.3">
      <c r="A27">
        <v>11</v>
      </c>
      <c r="B27">
        <v>1792201979</v>
      </c>
      <c r="C27">
        <v>1295.9000000953699</v>
      </c>
      <c r="D27" t="s">
        <v>376</v>
      </c>
      <c r="E27" t="s">
        <v>377</v>
      </c>
      <c r="F27">
        <v>5</v>
      </c>
      <c r="G27">
        <v>1792201971</v>
      </c>
      <c r="H27">
        <f t="shared" si="0"/>
        <v>3.1416371622886132E-3</v>
      </c>
      <c r="I27">
        <f t="shared" si="1"/>
        <v>3.141637162288613</v>
      </c>
      <c r="J27">
        <f t="shared" si="2"/>
        <v>29.773444088894326</v>
      </c>
      <c r="K27">
        <f t="shared" si="3"/>
        <v>1486.22</v>
      </c>
      <c r="L27">
        <f t="shared" si="4"/>
        <v>1236.2245058203118</v>
      </c>
      <c r="M27">
        <f t="shared" si="5"/>
        <v>126.1166237586711</v>
      </c>
      <c r="N27">
        <f t="shared" si="6"/>
        <v>151.62055733415187</v>
      </c>
      <c r="O27">
        <f t="shared" si="7"/>
        <v>0.22558835211772441</v>
      </c>
      <c r="P27">
        <f t="shared" si="8"/>
        <v>3.0425878118256495</v>
      </c>
      <c r="Q27">
        <f t="shared" si="9"/>
        <v>0.2166911286324569</v>
      </c>
      <c r="R27">
        <f t="shared" si="10"/>
        <v>0.13620209682778198</v>
      </c>
      <c r="S27">
        <f t="shared" si="11"/>
        <v>241.73332041558749</v>
      </c>
      <c r="T27">
        <f t="shared" si="12"/>
        <v>25.446064384655045</v>
      </c>
      <c r="U27">
        <f t="shared" si="13"/>
        <v>25.008746666666699</v>
      </c>
      <c r="V27">
        <f t="shared" si="14"/>
        <v>3.1813360689420191</v>
      </c>
      <c r="W27">
        <f t="shared" si="15"/>
        <v>55.122674187849931</v>
      </c>
      <c r="X27">
        <f t="shared" si="16"/>
        <v>1.73792240507939</v>
      </c>
      <c r="Y27">
        <f t="shared" si="17"/>
        <v>3.1528267281750653</v>
      </c>
      <c r="Z27">
        <f t="shared" si="18"/>
        <v>1.4434136638626291</v>
      </c>
      <c r="AA27">
        <f t="shared" si="19"/>
        <v>-138.54619885692784</v>
      </c>
      <c r="AB27">
        <f t="shared" si="20"/>
        <v>-24.754615004637312</v>
      </c>
      <c r="AC27">
        <f t="shared" si="21"/>
        <v>-1.7198136363633436</v>
      </c>
      <c r="AD27">
        <f t="shared" si="22"/>
        <v>76.712692917658984</v>
      </c>
      <c r="AE27">
        <v>0</v>
      </c>
      <c r="AF27">
        <v>0</v>
      </c>
      <c r="AG27">
        <f t="shared" si="23"/>
        <v>1</v>
      </c>
      <c r="AH27">
        <f t="shared" si="24"/>
        <v>0</v>
      </c>
      <c r="AI27">
        <f t="shared" si="25"/>
        <v>54279.369837170671</v>
      </c>
      <c r="AJ27" t="s">
        <v>343</v>
      </c>
      <c r="AK27" t="s">
        <v>343</v>
      </c>
      <c r="AL27">
        <v>0</v>
      </c>
      <c r="AM27">
        <v>0</v>
      </c>
      <c r="AN27" t="e">
        <f t="shared" si="26"/>
        <v>#DIV/0!</v>
      </c>
      <c r="AO27">
        <v>0</v>
      </c>
      <c r="AP27" t="s">
        <v>343</v>
      </c>
      <c r="AQ27" t="s">
        <v>343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1261.1867600080789</v>
      </c>
      <c r="AW27">
        <f t="shared" si="29"/>
        <v>29.773444088894326</v>
      </c>
      <c r="AX27" t="e">
        <f t="shared" si="30"/>
        <v>#DIV/0!</v>
      </c>
      <c r="AY27">
        <f t="shared" si="31"/>
        <v>2.3607482280184739E-2</v>
      </c>
      <c r="AZ27" t="e">
        <f t="shared" si="32"/>
        <v>#DIV/0!</v>
      </c>
      <c r="BA27" t="e">
        <f t="shared" si="33"/>
        <v>#DIV/0!</v>
      </c>
      <c r="BB27" t="s">
        <v>343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 t="e">
        <f t="shared" si="38"/>
        <v>#DIV/0!</v>
      </c>
      <c r="BI27" t="e">
        <f t="shared" si="39"/>
        <v>#DIV/0!</v>
      </c>
      <c r="BJ27" t="e">
        <f t="shared" si="40"/>
        <v>#DIV/0!</v>
      </c>
      <c r="BK27" t="e">
        <f t="shared" si="41"/>
        <v>#DIV/0!</v>
      </c>
      <c r="CT27">
        <f t="shared" si="42"/>
        <v>1499.97066666667</v>
      </c>
      <c r="CU27">
        <f t="shared" si="43"/>
        <v>1261.1867600080789</v>
      </c>
      <c r="CV27">
        <f t="shared" si="44"/>
        <v>0.84080761579875962</v>
      </c>
      <c r="CW27">
        <f t="shared" si="45"/>
        <v>0.16115869849160624</v>
      </c>
      <c r="CX27">
        <v>2</v>
      </c>
      <c r="CY27">
        <v>0.5</v>
      </c>
      <c r="CZ27" t="s">
        <v>344</v>
      </c>
      <c r="DA27">
        <v>2</v>
      </c>
      <c r="DB27">
        <v>1792201971</v>
      </c>
      <c r="DC27">
        <v>1486.22</v>
      </c>
      <c r="DD27">
        <v>1499.9966666666701</v>
      </c>
      <c r="DE27">
        <v>17.035520000000002</v>
      </c>
      <c r="DF27">
        <v>15.8003066666667</v>
      </c>
      <c r="DG27">
        <v>1484.71133333333</v>
      </c>
      <c r="DH27">
        <v>17.197966666666701</v>
      </c>
      <c r="DI27">
        <v>500.01366666666701</v>
      </c>
      <c r="DJ27">
        <v>101.91759999999999</v>
      </c>
      <c r="DK27">
        <v>9.9972993333333302E-2</v>
      </c>
      <c r="DL27">
        <v>24.8578333333333</v>
      </c>
      <c r="DM27">
        <v>25.008746666666699</v>
      </c>
      <c r="DN27">
        <v>999.9</v>
      </c>
      <c r="DO27">
        <v>0</v>
      </c>
      <c r="DP27">
        <v>0</v>
      </c>
      <c r="DQ27">
        <v>10000.124</v>
      </c>
      <c r="DR27">
        <v>0</v>
      </c>
      <c r="DS27">
        <v>8.1467460000000003</v>
      </c>
      <c r="DT27">
        <v>1499.97066666667</v>
      </c>
      <c r="DU27">
        <v>0.97299100000000005</v>
      </c>
      <c r="DV27">
        <v>2.7009180000000001E-2</v>
      </c>
      <c r="DW27">
        <v>0</v>
      </c>
      <c r="DX27">
        <v>257.390066666667</v>
      </c>
      <c r="DY27">
        <v>4.9999900000000004</v>
      </c>
      <c r="DZ27">
        <v>3836.71</v>
      </c>
      <c r="EA27">
        <v>14882.2733333333</v>
      </c>
      <c r="EB27">
        <v>37.5497333333333</v>
      </c>
      <c r="EC27">
        <v>39.649799999999999</v>
      </c>
      <c r="ED27">
        <v>38.158066666666699</v>
      </c>
      <c r="EE27">
        <v>39.5914</v>
      </c>
      <c r="EF27">
        <v>39.541400000000003</v>
      </c>
      <c r="EG27">
        <v>1454.5906666666699</v>
      </c>
      <c r="EH27">
        <v>40.380000000000003</v>
      </c>
      <c r="EI27">
        <v>0</v>
      </c>
      <c r="EJ27">
        <v>1792201979.3</v>
      </c>
      <c r="EK27">
        <v>0</v>
      </c>
      <c r="EL27">
        <v>257.34242307692301</v>
      </c>
      <c r="EM27">
        <v>-0.17124787835208</v>
      </c>
      <c r="EN27">
        <v>14.403076976247499</v>
      </c>
      <c r="EO27">
        <v>3836.8249999999998</v>
      </c>
      <c r="EP27">
        <v>15</v>
      </c>
      <c r="EQ27">
        <v>1792201916</v>
      </c>
      <c r="ER27" t="s">
        <v>378</v>
      </c>
      <c r="ES27">
        <v>1792201916</v>
      </c>
      <c r="ET27">
        <v>1792201908</v>
      </c>
      <c r="EU27">
        <v>12</v>
      </c>
      <c r="EV27">
        <v>0.13200000000000001</v>
      </c>
      <c r="EW27">
        <v>1E-3</v>
      </c>
      <c r="EX27">
        <v>1.5329999999999999</v>
      </c>
      <c r="EY27">
        <v>-0.17899999999999999</v>
      </c>
      <c r="EZ27">
        <v>1500</v>
      </c>
      <c r="FA27">
        <v>16</v>
      </c>
      <c r="FB27">
        <v>0.14000000000000001</v>
      </c>
      <c r="FC27">
        <v>0.04</v>
      </c>
      <c r="FD27">
        <v>29.758510579166401</v>
      </c>
      <c r="FE27">
        <v>0.28573762606748898</v>
      </c>
      <c r="FF27">
        <v>0.186065768653709</v>
      </c>
      <c r="FG27">
        <v>1</v>
      </c>
      <c r="FH27">
        <v>-13.7930095238095</v>
      </c>
      <c r="FI27">
        <v>0.148332467532451</v>
      </c>
      <c r="FJ27">
        <v>7.2889864111887401E-2</v>
      </c>
      <c r="FK27">
        <v>1</v>
      </c>
      <c r="FL27">
        <v>257.352647058824</v>
      </c>
      <c r="FM27">
        <v>-0.87453017688335</v>
      </c>
      <c r="FN27">
        <v>0.421055528149747</v>
      </c>
      <c r="FO27">
        <v>1</v>
      </c>
      <c r="FP27">
        <v>3</v>
      </c>
      <c r="FQ27">
        <v>3</v>
      </c>
      <c r="FR27" t="s">
        <v>346</v>
      </c>
      <c r="FS27">
        <v>100</v>
      </c>
      <c r="FT27">
        <v>100</v>
      </c>
      <c r="FU27">
        <v>1.51</v>
      </c>
      <c r="FV27">
        <v>-0.1628</v>
      </c>
      <c r="FW27">
        <v>0.223274912920743</v>
      </c>
      <c r="FX27">
        <v>-6.1673298426602905E-5</v>
      </c>
      <c r="FY27">
        <v>6.1939807181674203E-7</v>
      </c>
      <c r="FZ27">
        <v>3.19222985850634E-12</v>
      </c>
      <c r="GA27">
        <v>-7.6883422053589001E-2</v>
      </c>
      <c r="GB27">
        <v>-2.57783215012692E-2</v>
      </c>
      <c r="GC27">
        <v>1.33723821780375E-3</v>
      </c>
      <c r="GD27">
        <v>-7.42160749481374E-6</v>
      </c>
      <c r="GE27">
        <v>7</v>
      </c>
      <c r="GF27">
        <v>2154</v>
      </c>
      <c r="GG27">
        <v>2</v>
      </c>
      <c r="GH27">
        <v>20</v>
      </c>
      <c r="GI27">
        <v>1.1000000000000001</v>
      </c>
      <c r="GJ27">
        <v>1.2</v>
      </c>
      <c r="GK27">
        <v>3.0127000000000002</v>
      </c>
      <c r="GL27">
        <v>2.6122999999999998</v>
      </c>
      <c r="GM27">
        <v>1.65161</v>
      </c>
      <c r="GN27">
        <v>2.2729499999999998</v>
      </c>
      <c r="GO27">
        <v>1.5979000000000001</v>
      </c>
      <c r="GP27">
        <v>2.4267599999999998</v>
      </c>
      <c r="GQ27">
        <v>31.695499999999999</v>
      </c>
      <c r="GR27">
        <v>15.7431</v>
      </c>
      <c r="GS27">
        <v>18</v>
      </c>
      <c r="GT27">
        <v>501.15499999999997</v>
      </c>
      <c r="GU27">
        <v>569.18399999999997</v>
      </c>
      <c r="GV27">
        <v>20.8597</v>
      </c>
      <c r="GW27">
        <v>28.171700000000001</v>
      </c>
      <c r="GX27">
        <v>29.9998</v>
      </c>
      <c r="GY27">
        <v>28.299099999999999</v>
      </c>
      <c r="GZ27">
        <v>28.355599999999999</v>
      </c>
      <c r="HA27">
        <v>60.215400000000002</v>
      </c>
      <c r="HB27">
        <v>29.412600000000001</v>
      </c>
      <c r="HC27">
        <v>58.121299999999998</v>
      </c>
      <c r="HD27">
        <v>20.8613</v>
      </c>
      <c r="HE27">
        <v>1500</v>
      </c>
      <c r="HF27">
        <v>15.798</v>
      </c>
      <c r="HG27">
        <v>98.364400000000003</v>
      </c>
      <c r="HH27">
        <v>94.859099999999998</v>
      </c>
    </row>
    <row r="28" spans="1:216" x14ac:dyDescent="0.3">
      <c r="A28">
        <v>12</v>
      </c>
      <c r="B28">
        <v>1792202121</v>
      </c>
      <c r="C28">
        <v>1437.9000000953699</v>
      </c>
      <c r="D28" t="s">
        <v>379</v>
      </c>
      <c r="E28" t="s">
        <v>380</v>
      </c>
      <c r="F28">
        <v>5</v>
      </c>
      <c r="G28">
        <v>1792202112.5</v>
      </c>
      <c r="H28">
        <f t="shared" si="0"/>
        <v>2.0620782560599768E-3</v>
      </c>
      <c r="I28">
        <f t="shared" si="1"/>
        <v>2.0620782560599769</v>
      </c>
      <c r="J28">
        <f t="shared" si="2"/>
        <v>30.522773969924078</v>
      </c>
      <c r="K28">
        <f t="shared" si="3"/>
        <v>1786.274375</v>
      </c>
      <c r="L28">
        <f t="shared" si="4"/>
        <v>1403.7841678612172</v>
      </c>
      <c r="M28">
        <f t="shared" si="5"/>
        <v>143.2002494904192</v>
      </c>
      <c r="N28">
        <f t="shared" si="6"/>
        <v>182.21813724261307</v>
      </c>
      <c r="O28">
        <f t="shared" si="7"/>
        <v>0.14463134581630013</v>
      </c>
      <c r="P28">
        <f t="shared" si="8"/>
        <v>3.0426400182623938</v>
      </c>
      <c r="Q28">
        <f t="shared" si="9"/>
        <v>0.14091765875547554</v>
      </c>
      <c r="R28">
        <f t="shared" si="10"/>
        <v>8.8399254457388027E-2</v>
      </c>
      <c r="S28">
        <f t="shared" si="11"/>
        <v>241.74297181813918</v>
      </c>
      <c r="T28">
        <f t="shared" si="12"/>
        <v>25.59852512881934</v>
      </c>
      <c r="U28">
        <f t="shared" si="13"/>
        <v>25.013306249999999</v>
      </c>
      <c r="V28">
        <f t="shared" si="14"/>
        <v>3.1822009234910036</v>
      </c>
      <c r="W28">
        <f t="shared" si="15"/>
        <v>55.114957829006393</v>
      </c>
      <c r="X28">
        <f t="shared" si="16"/>
        <v>1.7253711790331527</v>
      </c>
      <c r="Y28">
        <f t="shared" si="17"/>
        <v>3.1304953264884996</v>
      </c>
      <c r="Z28">
        <f t="shared" si="18"/>
        <v>1.4568297444578509</v>
      </c>
      <c r="AA28">
        <f t="shared" si="19"/>
        <v>-90.937651092244977</v>
      </c>
      <c r="AB28">
        <f t="shared" si="20"/>
        <v>-45.030630631084549</v>
      </c>
      <c r="AC28">
        <f t="shared" si="21"/>
        <v>-3.1266228760581214</v>
      </c>
      <c r="AD28">
        <f t="shared" si="22"/>
        <v>102.64806721875154</v>
      </c>
      <c r="AE28">
        <v>0</v>
      </c>
      <c r="AF28">
        <v>0</v>
      </c>
      <c r="AG28">
        <f t="shared" si="23"/>
        <v>1</v>
      </c>
      <c r="AH28">
        <f t="shared" si="24"/>
        <v>0</v>
      </c>
      <c r="AI28">
        <f t="shared" si="25"/>
        <v>54302.55409540172</v>
      </c>
      <c r="AJ28" t="s">
        <v>343</v>
      </c>
      <c r="AK28" t="s">
        <v>343</v>
      </c>
      <c r="AL28">
        <v>0</v>
      </c>
      <c r="AM28">
        <v>0</v>
      </c>
      <c r="AN28" t="e">
        <f t="shared" si="26"/>
        <v>#DIV/0!</v>
      </c>
      <c r="AO28">
        <v>0</v>
      </c>
      <c r="AP28" t="s">
        <v>343</v>
      </c>
      <c r="AQ28" t="s">
        <v>343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1261.2423739990359</v>
      </c>
      <c r="AW28">
        <f t="shared" si="29"/>
        <v>30.522773969924078</v>
      </c>
      <c r="AX28" t="e">
        <f t="shared" si="30"/>
        <v>#DIV/0!</v>
      </c>
      <c r="AY28">
        <f t="shared" si="31"/>
        <v>2.4200561762879217E-2</v>
      </c>
      <c r="AZ28" t="e">
        <f t="shared" si="32"/>
        <v>#DIV/0!</v>
      </c>
      <c r="BA28" t="e">
        <f t="shared" si="33"/>
        <v>#DIV/0!</v>
      </c>
      <c r="BB28" t="s">
        <v>343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 t="e">
        <f t="shared" si="38"/>
        <v>#DIV/0!</v>
      </c>
      <c r="BI28" t="e">
        <f t="shared" si="39"/>
        <v>#DIV/0!</v>
      </c>
      <c r="BJ28" t="e">
        <f t="shared" si="40"/>
        <v>#DIV/0!</v>
      </c>
      <c r="BK28" t="e">
        <f t="shared" si="41"/>
        <v>#DIV/0!</v>
      </c>
      <c r="CT28">
        <f t="shared" si="42"/>
        <v>1500.0374999999999</v>
      </c>
      <c r="CU28">
        <f t="shared" si="43"/>
        <v>1261.2423739990359</v>
      </c>
      <c r="CV28">
        <f t="shared" si="44"/>
        <v>0.84080722915196182</v>
      </c>
      <c r="CW28">
        <f t="shared" si="45"/>
        <v>0.16115795226328622</v>
      </c>
      <c r="CX28">
        <v>2</v>
      </c>
      <c r="CY28">
        <v>0.5</v>
      </c>
      <c r="CZ28" t="s">
        <v>344</v>
      </c>
      <c r="DA28">
        <v>2</v>
      </c>
      <c r="DB28">
        <v>1792202112.5</v>
      </c>
      <c r="DC28">
        <v>1786.274375</v>
      </c>
      <c r="DD28">
        <v>1799.9568750000001</v>
      </c>
      <c r="DE28">
        <v>16.913718750000001</v>
      </c>
      <c r="DF28">
        <v>16.1028375</v>
      </c>
      <c r="DG28">
        <v>1784.50875</v>
      </c>
      <c r="DH28">
        <v>17.077943749999999</v>
      </c>
      <c r="DI28">
        <v>499.9994375</v>
      </c>
      <c r="DJ28">
        <v>101.91018750000001</v>
      </c>
      <c r="DK28">
        <v>9.997386875E-2</v>
      </c>
      <c r="DL28">
        <v>24.738787500000001</v>
      </c>
      <c r="DM28">
        <v>25.013306249999999</v>
      </c>
      <c r="DN28">
        <v>999.9</v>
      </c>
      <c r="DO28">
        <v>0</v>
      </c>
      <c r="DP28">
        <v>0</v>
      </c>
      <c r="DQ28">
        <v>10001.166875000001</v>
      </c>
      <c r="DR28">
        <v>0</v>
      </c>
      <c r="DS28">
        <v>8.1313099999999991</v>
      </c>
      <c r="DT28">
        <v>1500.0374999999999</v>
      </c>
      <c r="DU28">
        <v>0.97300156250000003</v>
      </c>
      <c r="DV28">
        <v>2.6998881249999999E-2</v>
      </c>
      <c r="DW28">
        <v>0</v>
      </c>
      <c r="DX28">
        <v>256.63018749999998</v>
      </c>
      <c r="DY28">
        <v>4.9999900000000004</v>
      </c>
      <c r="DZ28">
        <v>3841.6168750000002</v>
      </c>
      <c r="EA28">
        <v>14882.95</v>
      </c>
      <c r="EB28">
        <v>38.710749999999997</v>
      </c>
      <c r="EC28">
        <v>40.066187499999998</v>
      </c>
      <c r="ED28">
        <v>39.2614375</v>
      </c>
      <c r="EE28">
        <v>40.066125</v>
      </c>
      <c r="EF28">
        <v>40.2653125</v>
      </c>
      <c r="EG28">
        <v>1454.67625</v>
      </c>
      <c r="EH28">
        <v>40.362499999999997</v>
      </c>
      <c r="EI28">
        <v>0</v>
      </c>
      <c r="EJ28">
        <v>1792202120.9000001</v>
      </c>
      <c r="EK28">
        <v>0</v>
      </c>
      <c r="EL28">
        <v>256.56411538461498</v>
      </c>
      <c r="EM28">
        <v>-1.6980854747054701</v>
      </c>
      <c r="EN28">
        <v>0.12923076767061401</v>
      </c>
      <c r="EO28">
        <v>3841.6438461538501</v>
      </c>
      <c r="EP28">
        <v>15</v>
      </c>
      <c r="EQ28">
        <v>1792202043</v>
      </c>
      <c r="ER28" t="s">
        <v>381</v>
      </c>
      <c r="ES28">
        <v>1792202043</v>
      </c>
      <c r="ET28">
        <v>1792202031</v>
      </c>
      <c r="EU28">
        <v>13</v>
      </c>
      <c r="EV28">
        <v>-0.33800000000000002</v>
      </c>
      <c r="EW28">
        <v>0</v>
      </c>
      <c r="EX28">
        <v>1.796</v>
      </c>
      <c r="EY28">
        <v>-0.17799999999999999</v>
      </c>
      <c r="EZ28">
        <v>1800</v>
      </c>
      <c r="FA28">
        <v>16</v>
      </c>
      <c r="FB28">
        <v>0.17</v>
      </c>
      <c r="FC28">
        <v>0.06</v>
      </c>
      <c r="FD28">
        <v>30.4398463077477</v>
      </c>
      <c r="FE28">
        <v>-0.44073436176208203</v>
      </c>
      <c r="FF28">
        <v>0.22306084465937401</v>
      </c>
      <c r="FG28">
        <v>1</v>
      </c>
      <c r="FH28">
        <v>-13.6795857142857</v>
      </c>
      <c r="FI28">
        <v>0.28256883116882298</v>
      </c>
      <c r="FJ28">
        <v>9.42395644631491E-2</v>
      </c>
      <c r="FK28">
        <v>1</v>
      </c>
      <c r="FL28">
        <v>256.62541176470597</v>
      </c>
      <c r="FM28">
        <v>-0.26184873600874797</v>
      </c>
      <c r="FN28">
        <v>0.36546264938688999</v>
      </c>
      <c r="FO28">
        <v>1</v>
      </c>
      <c r="FP28">
        <v>3</v>
      </c>
      <c r="FQ28">
        <v>3</v>
      </c>
      <c r="FR28" t="s">
        <v>346</v>
      </c>
      <c r="FS28">
        <v>100</v>
      </c>
      <c r="FT28">
        <v>100</v>
      </c>
      <c r="FU28">
        <v>1.76</v>
      </c>
      <c r="FV28">
        <v>-0.16400000000000001</v>
      </c>
      <c r="FW28">
        <v>-0.11522127172957</v>
      </c>
      <c r="FX28">
        <v>-6.1673298426602905E-5</v>
      </c>
      <c r="FY28">
        <v>6.1939807181674203E-7</v>
      </c>
      <c r="FZ28">
        <v>3.19222985850634E-12</v>
      </c>
      <c r="GA28">
        <v>-7.7031131640948297E-2</v>
      </c>
      <c r="GB28">
        <v>-2.57783215012692E-2</v>
      </c>
      <c r="GC28">
        <v>1.33723821780375E-3</v>
      </c>
      <c r="GD28">
        <v>-7.42160749481374E-6</v>
      </c>
      <c r="GE28">
        <v>7</v>
      </c>
      <c r="GF28">
        <v>2154</v>
      </c>
      <c r="GG28">
        <v>2</v>
      </c>
      <c r="GH28">
        <v>20</v>
      </c>
      <c r="GI28">
        <v>1.3</v>
      </c>
      <c r="GJ28">
        <v>1.5</v>
      </c>
      <c r="GK28">
        <v>3.4887700000000001</v>
      </c>
      <c r="GL28">
        <v>2.6025399999999999</v>
      </c>
      <c r="GM28">
        <v>1.65161</v>
      </c>
      <c r="GN28">
        <v>2.2729499999999998</v>
      </c>
      <c r="GO28">
        <v>1.5979000000000001</v>
      </c>
      <c r="GP28">
        <v>2.64771</v>
      </c>
      <c r="GQ28">
        <v>31.7392</v>
      </c>
      <c r="GR28">
        <v>15.7256</v>
      </c>
      <c r="GS28">
        <v>18</v>
      </c>
      <c r="GT28">
        <v>501.36900000000003</v>
      </c>
      <c r="GU28">
        <v>569.99699999999996</v>
      </c>
      <c r="GV28">
        <v>20.503599999999999</v>
      </c>
      <c r="GW28">
        <v>28.120699999999999</v>
      </c>
      <c r="GX28">
        <v>30</v>
      </c>
      <c r="GY28">
        <v>28.268000000000001</v>
      </c>
      <c r="GZ28">
        <v>28.3292</v>
      </c>
      <c r="HA28">
        <v>69.747600000000006</v>
      </c>
      <c r="HB28">
        <v>28.2087</v>
      </c>
      <c r="HC28">
        <v>57.749000000000002</v>
      </c>
      <c r="HD28">
        <v>20.497699999999998</v>
      </c>
      <c r="HE28">
        <v>1800</v>
      </c>
      <c r="HF28">
        <v>16.063600000000001</v>
      </c>
      <c r="HG28">
        <v>98.371499999999997</v>
      </c>
      <c r="HH28">
        <v>94.8626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/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25</v>
      </c>
    </row>
    <row r="15" spans="1:2" x14ac:dyDescent="0.3">
      <c r="A15" t="s">
        <v>27</v>
      </c>
      <c r="B15" t="s">
        <v>23</v>
      </c>
    </row>
    <row r="16" spans="1:2" x14ac:dyDescent="0.3">
      <c r="A16" t="s">
        <v>28</v>
      </c>
      <c r="B16" t="s">
        <v>11</v>
      </c>
    </row>
    <row r="17" spans="1:2" x14ac:dyDescent="0.3">
      <c r="A17" t="s">
        <v>29</v>
      </c>
      <c r="B1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박은빈</cp:lastModifiedBy>
  <dcterms:created xsi:type="dcterms:W3CDTF">2026-10-17T10:55:54Z</dcterms:created>
  <dcterms:modified xsi:type="dcterms:W3CDTF">2026-10-17T10:08:09Z</dcterms:modified>
</cp:coreProperties>
</file>