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<sst xmlns="http://schemas.openxmlformats.org/spreadsheetml/2006/main" count="1121" uniqueCount="458">
  <si>
    <t>File opened</t>
  </si>
  <si>
    <t>2026-10-18 15:04:35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</si>
  <si>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</si>
  <si>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</si>
  <si>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</si>
  <si>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</si>
  <si>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</si>
  <si>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</si>
  <si>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</si>
  <si>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</si>
  <si>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</si>
  <si>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</si>
  <si>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</si>
  <si>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{"flowazero": "0.316", "h2oaspan2b": "0.111609", "h2obspan2": "0", "chamberpressurezero": "2.61687", "co2bspanconc1": "437.6", "h2obspan1": "0.995823", "co2bzero": "1.02053", "h2oaspan2": "0", "tbzero": "0.145187", "ssb_ref": "37478.9", "tazero": "0.0951138", "h2oaspanconc1": "21.96", "ssa_ref": "32366.8", "h2obspanconc1": "21.96", "co2aspan2": "0.0108874", "h2oaspanconc2": "0", "h2oazero": "1.14957", "co2aspan2a": "0.0929659", "co2bspan2a": "0.0952815", "co2bspanconc2": "1516", "h2oaspan2a": "0.108347", "co2azero": "1.16194", "co2aspan2b": "0.0924399", "h2obspan2b": "0.111633", "co2aspan1": "0.99333", "co2aspanconc2": "1516", "flowmeterzero": "2.5072", "flowbzero": "0.27399", "h2obzero": "1.13925", "co2aspanconc1": "437.6", "co2bspan2": "0.00898303", "co2bspan1": "0.993892", "oxygen": "21", "h2obspan2a": "0.112101", "co2bspan2b": "0.0947811", "h2oaspan1": "1.0301", "h2obspanconc2": "0"}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</si>
  <si>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</si>
  <si>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</si>
  <si>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</si>
  <si>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</si>
  <si>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</si>
  <si>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</si>
  <si>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</si>
  <si>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</si>
  <si>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</si>
  <si>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</si>
  <si>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</si>
  <si>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</si>
  <si>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</si>
  <si>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</si>
  <si>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</si>
  <si>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15:04:35</t>
  </si>
  <si>
    <t>Stability Definition:	ΔCO2 (Meas2): Slp&lt;0.5 Per=20	F (FlrLS): Slp&lt;1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</si>
  <si>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</si>
  <si>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</si>
  <si>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</si>
  <si>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</si>
  <si>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</si>
  <si>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</si>
  <si>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</si>
  <si>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</si>
  <si>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</si>
  <si>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</si>
  <si>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</si>
  <si>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</si>
  <si>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</si>
  <si>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</si>
  <si>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</si>
  <si>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</si>
  <si>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</si>
  <si>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</si>
  <si>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</si>
  <si>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</si>
  <si>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</si>
  <si>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</si>
  <si>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</si>
  <si>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</si>
  <si>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</si>
  <si>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</si>
  <si>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</si>
  <si>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</si>
  <si>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</si>
  <si>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</si>
  <si>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</si>
  <si>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</si>
  <si>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</si>
  <si>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</si>
  <si>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</si>
  <si>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</si>
  <si>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</si>
  <si>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</si>
  <si>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</si>
  <si>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</si>
  <si>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</si>
  <si>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</si>
  <si>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</si>
  <si>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</si>
  <si>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</si>
  <si>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</si>
  <si>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</si>
  <si>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</si>
  <si>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</si>
  <si>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</si>
  <si>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</si>
  <si>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</si>
  <si>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3.82642 210.635 344.448 576.537 864.353 1069.63 1239.45 1353.65</t>
  </si>
  <si>
    <t>Fs_true</t>
  </si>
  <si>
    <t>0.0458087 241.35 374.672 579.544 813.883 1001.14 1204.16 1400.88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</si>
  <si>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</si>
  <si>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</si>
  <si>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</si>
  <si>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</si>
  <si>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</si>
  <si>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</si>
  <si>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</si>
  <si>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</si>
  <si>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</si>
  <si>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</si>
  <si>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</si>
  <si>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</si>
  <si>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</si>
  <si>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</si>
  <si>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</si>
  <si>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</si>
  <si>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</si>
  <si>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</si>
  <si>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</si>
  <si>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</si>
  <si>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</si>
  <si>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</si>
  <si>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</si>
  <si>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</si>
  <si>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</si>
  <si>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</si>
  <si>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</si>
  <si>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</si>
  <si>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</si>
  <si>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</si>
  <si>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</si>
  <si>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</si>
  <si>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</si>
  <si>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</si>
  <si>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</si>
  <si>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</si>
  <si>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</si>
  <si>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</si>
  <si>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</si>
  <si>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</si>
  <si>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</si>
  <si>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</si>
  <si>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</si>
  <si>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</si>
  <si>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</si>
  <si>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</si>
  <si>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</si>
  <si>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</si>
  <si>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</si>
  <si>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</si>
  <si>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</si>
  <si>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</si>
  <si>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</si>
  <si>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</si>
  <si>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</si>
  <si>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</si>
  <si>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</si>
  <si>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</si>
  <si>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</si>
  <si>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</si>
  <si>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</si>
  <si>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</si>
  <si>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</si>
  <si>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</si>
  <si>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</si>
  <si>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</si>
  <si>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</si>
  <si>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</si>
  <si>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</si>
  <si>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</si>
  <si>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</si>
  <si>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</si>
  <si>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</si>
  <si>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</si>
  <si>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</si>
  <si>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</si>
  <si>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</si>
  <si>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</si>
  <si>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</si>
  <si>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</si>
  <si>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</si>
  <si>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</si>
  <si>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</si>
  <si>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</si>
  <si>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</si>
  <si>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</si>
  <si>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</si>
  <si>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</si>
  <si>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</si>
  <si>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</si>
  <si>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</si>
  <si>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</si>
  <si>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</si>
  <si>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</si>
  <si>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</si>
  <si>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</si>
  <si>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</si>
  <si>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</si>
  <si>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</si>
  <si>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</si>
  <si>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</si>
  <si>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</si>
  <si>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</si>
  <si>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</si>
  <si>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</si>
  <si>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</si>
  <si>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</si>
  <si>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</si>
  <si>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</si>
  <si>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</si>
  <si>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</si>
  <si>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</si>
  <si>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</si>
  <si>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</si>
  <si>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</si>
  <si>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</si>
  <si>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</si>
  <si>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</si>
  <si>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</si>
  <si>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</si>
  <si>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</si>
  <si>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</si>
  <si>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</si>
  <si>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</si>
  <si>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</si>
  <si>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</si>
  <si>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</si>
  <si>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</si>
  <si>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</si>
  <si>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</si>
  <si>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</si>
  <si>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</si>
  <si>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</si>
  <si>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</si>
  <si>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</si>
  <si>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</si>
  <si>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</si>
  <si>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</si>
  <si>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</si>
  <si>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</si>
  <si>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</si>
  <si>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</si>
  <si>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</si>
  <si>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</si>
  <si>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</si>
  <si>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</si>
  <si>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</si>
  <si>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</si>
  <si>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</si>
  <si>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</si>
  <si>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</si>
  <si>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</si>
  <si>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</si>
  <si>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</si>
  <si>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</si>
  <si>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</si>
  <si>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</si>
  <si>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</si>
  <si>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</si>
  <si>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</si>
  <si>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</si>
  <si>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</si>
  <si>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</si>
  <si>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</si>
  <si>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</si>
  <si>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</si>
  <si>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</si>
  <si>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</si>
  <si>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</si>
  <si>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</si>
  <si>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</si>
  <si>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</si>
  <si>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</si>
  <si>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</si>
  <si>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</si>
  <si>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</si>
  <si>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</si>
  <si>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</si>
  <si>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</si>
  <si>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</si>
  <si>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</si>
  <si>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</si>
  <si>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</si>
  <si>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</si>
  <si>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</si>
  <si>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</si>
  <si>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</si>
  <si>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</si>
  <si>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</si>
  <si>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</si>
  <si>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</si>
  <si>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</si>
  <si>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</si>
  <si>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</si>
  <si>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</si>
  <si>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</si>
  <si>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</si>
  <si>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</si>
  <si>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</si>
  <si>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</si>
  <si>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</si>
  <si>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</si>
  <si>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</si>
  <si>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</si>
  <si>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</si>
  <si>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</si>
  <si>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</si>
  <si>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</si>
  <si>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</si>
  <si>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</si>
  <si>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</si>
  <si>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</si>
  <si>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</si>
  <si>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</si>
  <si>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</si>
  <si>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</si>
  <si>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</si>
  <si>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</si>
  <si>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</si>
  <si>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</si>
  <si>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</si>
  <si>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</si>
  <si>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</si>
  <si>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</si>
  <si>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</si>
  <si>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</si>
  <si>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</si>
  <si>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</si>
  <si>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</si>
  <si>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</si>
  <si>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</si>
  <si>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</si>
  <si>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</si>
  <si>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</si>
  <si>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</si>
  <si>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</si>
  <si>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</si>
  <si>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</si>
  <si>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</si>
  <si>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</si>
  <si>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</si>
  <si>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</si>
  <si>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</si>
  <si>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</si>
  <si>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</si>
  <si>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</si>
  <si>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</si>
  <si>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</si>
  <si>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</si>
  <si>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</si>
  <si>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</si>
  <si>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</si>
  <si>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</si>
  <si>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</si>
  <si>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</si>
  <si>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</si>
  <si>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</si>
  <si>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</si>
  <si>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</si>
  <si>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</si>
  <si>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</si>
  <si>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</si>
  <si>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</si>
  <si>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</si>
  <si>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</si>
  <si>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</si>
  <si>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</si>
  <si>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</si>
  <si>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</si>
  <si>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</si>
  <si>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</si>
  <si>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</si>
  <si>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</si>
  <si>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</si>
  <si>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</si>
  <si>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</si>
  <si>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</si>
  <si>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</si>
  <si>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</si>
  <si>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</si>
  <si>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</si>
  <si>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</si>
  <si>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</si>
  <si>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</si>
  <si>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</si>
  <si>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</si>
  <si>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</si>
  <si>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</si>
  <si>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</si>
  <si>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</si>
  <si>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</si>
  <si>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</si>
  <si>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</si>
  <si>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</si>
  <si>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</si>
  <si>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</si>
  <si>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</si>
  <si>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</si>
  <si>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</si>
  <si>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</si>
  <si>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</si>
  <si>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</si>
  <si>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</si>
  <si>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</si>
  <si>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</si>
  <si>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</si>
  <si>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</si>
  <si>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</si>
  <si>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</si>
  <si>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</si>
  <si>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</si>
  <si>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</si>
  <si>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</si>
  <si>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</si>
  <si>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</si>
  <si>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</si>
  <si>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</si>
  <si>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</si>
  <si>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</si>
  <si>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</si>
  <si>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</si>
  <si>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</si>
  <si>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</si>
  <si>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</si>
  <si>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</si>
  <si>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mg</t>
  </si>
  <si>
    <t>hrs</t>
  </si>
  <si>
    <t>min</t>
  </si>
  <si>
    <t>20261018 15:18:50</t>
  </si>
  <si>
    <t>15:18:50</t>
  </si>
  <si>
    <t>-</t>
  </si>
  <si>
    <t>0: Broadleaf</t>
  </si>
  <si>
    <t>15:17:12</t>
  </si>
  <si>
    <t>0/3</t>
  </si>
  <si>
    <t>11111111</t>
  </si>
  <si>
    <t>oooooooo</t>
  </si>
  <si>
    <t>on</t>
  </si>
  <si>
    <t>20261018 15:20:51</t>
  </si>
  <si>
    <t>15:20:51</t>
  </si>
  <si>
    <t>15:19:52</t>
  </si>
  <si>
    <t>3/3</t>
  </si>
  <si>
    <t>20261018 15:22:52</t>
  </si>
  <si>
    <t>15:22:52</t>
  </si>
  <si>
    <t>15:22:09</t>
  </si>
  <si>
    <t>20261018 15:24:53</t>
  </si>
  <si>
    <t>15:24:53</t>
  </si>
  <si>
    <t>15:23:58</t>
  </si>
  <si>
    <t>2/3</t>
  </si>
  <si>
    <t>20261018 15:26:54</t>
  </si>
  <si>
    <t>15:26:54</t>
  </si>
  <si>
    <t>15:25:59</t>
  </si>
  <si>
    <t>20261018 15:28:55</t>
  </si>
  <si>
    <t>15:28:55</t>
  </si>
  <si>
    <t>15:28:01</t>
  </si>
  <si>
    <t>20261018 15:30:56</t>
  </si>
  <si>
    <t>15:30:56</t>
  </si>
  <si>
    <t>15:29:54</t>
  </si>
  <si>
    <t>20261018 15:33:15</t>
  </si>
  <si>
    <t>15:33:15</t>
  </si>
  <si>
    <t>15:32:10</t>
  </si>
  <si>
    <t>20261018 15:35:27</t>
  </si>
  <si>
    <t>15:35:27</t>
  </si>
  <si>
    <t>15:34:21</t>
  </si>
  <si>
    <t>20261018 15:37:28</t>
  </si>
  <si>
    <t>15:37:28</t>
  </si>
  <si>
    <t>15:36:41</t>
  </si>
  <si>
    <t>20261018 15:39:37</t>
  </si>
  <si>
    <t>15:39:37</t>
  </si>
  <si>
    <t>15:39:05</t>
  </si>
  <si>
    <t>20261018 15:41:49</t>
  </si>
  <si>
    <t>15:41:49</t>
  </si>
  <si>
    <t>15:40:41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</si>
</sst>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V28"/>
  <sheetViews>
    <sheetView tabSelected="1" workbookViewId="0"/>
  </sheetViews>
  <sheetFormatPr defaultRowHeight="15"/>
  <sheetData>
    <row r="2" spans="1:282">
      <c r="A2" t="s">
        <v>31</v>
      </c>
      <c r="B2" t="s">
        <v>32</v>
      </c>
      <c r="C2" t="s">
        <v>34</v>
      </c>
    </row>
    <row r="3" spans="1:282">
      <c r="B3" t="s">
        <v>33</v>
      </c>
      <c r="C3">
        <v>21</v>
      </c>
    </row>
    <row r="4" spans="1:282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8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>
      <c r="B7">
        <v>0</v>
      </c>
      <c r="C7">
        <v>1</v>
      </c>
      <c r="D7">
        <v>0</v>
      </c>
      <c r="E7">
        <v>0</v>
      </c>
    </row>
    <row r="8" spans="1:282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>
      <c r="B11">
        <v>0</v>
      </c>
      <c r="C11">
        <v>0</v>
      </c>
      <c r="D11">
        <v>0</v>
      </c>
      <c r="E11">
        <v>0</v>
      </c>
      <c r="F11">
        <v>1</v>
      </c>
    </row>
    <row r="12" spans="1:28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82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411</v>
      </c>
      <c r="HL16" t="s">
        <v>411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>
      <c r="A17">
        <v>1</v>
      </c>
      <c r="B17">
        <v>1792304330.1</v>
      </c>
      <c r="C17">
        <v>0</v>
      </c>
      <c r="D17" t="s">
        <v>414</v>
      </c>
      <c r="E17" t="s">
        <v>415</v>
      </c>
      <c r="F17">
        <v>5</v>
      </c>
      <c r="G17">
        <v>1792304326.6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416</v>
      </c>
      <c r="AK17" t="s">
        <v>416</v>
      </c>
      <c r="AL17">
        <v>0</v>
      </c>
      <c r="AM17">
        <v>0</v>
      </c>
      <c r="AN17">
        <f>1-AL17/AM17</f>
        <v>0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416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1175</v>
      </c>
      <c r="BM17">
        <v>290</v>
      </c>
      <c r="BN17">
        <v>887.35</v>
      </c>
      <c r="BO17">
        <v>135</v>
      </c>
      <c r="BP17">
        <v>8121.66</v>
      </c>
      <c r="BQ17">
        <v>881.59</v>
      </c>
      <c r="BR17">
        <v>5.76</v>
      </c>
      <c r="BS17">
        <v>300</v>
      </c>
      <c r="BT17">
        <v>19.3</v>
      </c>
      <c r="BU17">
        <v>908.614235416086</v>
      </c>
      <c r="BV17">
        <v>1.93255245593186</v>
      </c>
      <c r="BW17">
        <v>-21.9452405948332</v>
      </c>
      <c r="BX17">
        <v>1.40143366589652</v>
      </c>
      <c r="BY17">
        <v>0.897514186586577</v>
      </c>
      <c r="BZ17">
        <v>-0.00538132458286985</v>
      </c>
      <c r="CA17">
        <v>290</v>
      </c>
      <c r="CB17">
        <v>872.99</v>
      </c>
      <c r="CC17">
        <v>615</v>
      </c>
      <c r="CD17">
        <v>8102.77</v>
      </c>
      <c r="CE17">
        <v>881.53</v>
      </c>
      <c r="CF17">
        <v>-8.54</v>
      </c>
      <c r="CT17">
        <f>$B$11*DR17+$C$11*DS17+$F$11*ED17*(1-EG17)</f>
        <v>0</v>
      </c>
      <c r="CU17">
        <f>CT17*CV17</f>
        <v>0</v>
      </c>
      <c r="CV17">
        <f>($B$11*$D$9+$C$11*$D$9+$F$11*((EQ17+EI17)/MAX(EQ17+EI17+ER17, 0.1)*$I$9+ER17/MAX(EQ17+EI17+ER17, 0.1)*$J$9))/($B$11+$C$11+$F$11)</f>
        <v>0</v>
      </c>
      <c r="CW17">
        <f>($B$11*$K$9+$C$11*$K$9+$F$11*((EQ17+EI17)/MAX(EQ17+EI17+ER17, 0.1)*$P$9+ER17/MAX(EQ17+EI17+ER17, 0.1)*$Q$9))/($B$11+$C$11+$F$11)</f>
        <v>0</v>
      </c>
      <c r="CX17">
        <v>2</v>
      </c>
      <c r="CY17">
        <v>0.5</v>
      </c>
      <c r="CZ17" t="s">
        <v>417</v>
      </c>
      <c r="DA17">
        <v>2</v>
      </c>
      <c r="DB17">
        <v>1792304326.6</v>
      </c>
      <c r="DC17">
        <v>393.041333333333</v>
      </c>
      <c r="DD17">
        <v>400.016666666667</v>
      </c>
      <c r="DE17">
        <v>17.0477666666667</v>
      </c>
      <c r="DF17">
        <v>15.7543166666667</v>
      </c>
      <c r="DG17">
        <v>392.249166666667</v>
      </c>
      <c r="DH17">
        <v>17.1647166666667</v>
      </c>
      <c r="DI17">
        <v>499.995666666667</v>
      </c>
      <c r="DJ17">
        <v>100.900666666667</v>
      </c>
      <c r="DK17">
        <v>0.100035483333333</v>
      </c>
      <c r="DL17">
        <v>24.76225</v>
      </c>
      <c r="DM17">
        <v>25.01175</v>
      </c>
      <c r="DN17">
        <v>999.9</v>
      </c>
      <c r="DO17">
        <v>0</v>
      </c>
      <c r="DP17">
        <v>0</v>
      </c>
      <c r="DQ17">
        <v>9995.72</v>
      </c>
      <c r="DR17">
        <v>0</v>
      </c>
      <c r="DS17">
        <v>6.27441</v>
      </c>
      <c r="DT17">
        <v>-6.975285</v>
      </c>
      <c r="DU17">
        <v>399.858166666667</v>
      </c>
      <c r="DV17">
        <v>406.419666666667</v>
      </c>
      <c r="DW17">
        <v>1.29346166666667</v>
      </c>
      <c r="DX17">
        <v>400.016666666667</v>
      </c>
      <c r="DY17">
        <v>15.7543166666667</v>
      </c>
      <c r="DZ17">
        <v>1.72013166666667</v>
      </c>
      <c r="EA17">
        <v>1.58961833333333</v>
      </c>
      <c r="EB17">
        <v>15.0793</v>
      </c>
      <c r="EC17">
        <v>13.8585333333333</v>
      </c>
      <c r="ED17">
        <v>1499.995</v>
      </c>
      <c r="EE17">
        <v>0.972996</v>
      </c>
      <c r="EF17">
        <v>0.027004</v>
      </c>
      <c r="EG17">
        <v>0</v>
      </c>
      <c r="EH17">
        <v>348.832166666667</v>
      </c>
      <c r="EI17">
        <v>5.00064</v>
      </c>
      <c r="EJ17">
        <v>5372.52</v>
      </c>
      <c r="EK17">
        <v>15439.15</v>
      </c>
      <c r="EL17">
        <v>39.937</v>
      </c>
      <c r="EM17">
        <v>40.625</v>
      </c>
      <c r="EN17">
        <v>40.25</v>
      </c>
      <c r="EO17">
        <v>40.3016666666667</v>
      </c>
      <c r="EP17">
        <v>41.5</v>
      </c>
      <c r="EQ17">
        <v>1454.625</v>
      </c>
      <c r="ER17">
        <v>40.37</v>
      </c>
      <c r="ES17">
        <v>0</v>
      </c>
      <c r="ET17">
        <v>1009.59999990463</v>
      </c>
      <c r="EU17">
        <v>0</v>
      </c>
      <c r="EV17">
        <v>349.0072</v>
      </c>
      <c r="EW17">
        <v>-2.65684614628905</v>
      </c>
      <c r="EX17">
        <v>-39.9146153275589</v>
      </c>
      <c r="EY17">
        <v>5375.16</v>
      </c>
      <c r="EZ17">
        <v>15</v>
      </c>
      <c r="FA17">
        <v>1792304232.1</v>
      </c>
      <c r="FB17" t="s">
        <v>418</v>
      </c>
      <c r="FC17">
        <v>1792304228.1</v>
      </c>
      <c r="FD17">
        <v>1792304232.1</v>
      </c>
      <c r="FE17">
        <v>60</v>
      </c>
      <c r="FF17">
        <v>-0.011</v>
      </c>
      <c r="FG17">
        <v>-0.001</v>
      </c>
      <c r="FH17">
        <v>0.795</v>
      </c>
      <c r="FI17">
        <v>-0.164</v>
      </c>
      <c r="FJ17">
        <v>400</v>
      </c>
      <c r="FK17">
        <v>16</v>
      </c>
      <c r="FL17">
        <v>0.25</v>
      </c>
      <c r="FM17">
        <v>0.05</v>
      </c>
      <c r="FN17">
        <v>16.2427915212082</v>
      </c>
      <c r="FO17">
        <v>-0.733000667924606</v>
      </c>
      <c r="FP17">
        <v>0.152831930170657</v>
      </c>
      <c r="FQ17">
        <v>0</v>
      </c>
      <c r="FR17">
        <v>-7.0235065</v>
      </c>
      <c r="FS17">
        <v>0.527162255639085</v>
      </c>
      <c r="FT17">
        <v>0.0636990719928478</v>
      </c>
      <c r="FU17">
        <v>0</v>
      </c>
      <c r="FV17">
        <v>349.216558823529</v>
      </c>
      <c r="FW17">
        <v>-2.78684491867098</v>
      </c>
      <c r="FX17">
        <v>0.350315336197381</v>
      </c>
      <c r="FY17">
        <v>0</v>
      </c>
      <c r="FZ17">
        <v>0</v>
      </c>
      <c r="GA17">
        <v>3</v>
      </c>
      <c r="GB17" t="s">
        <v>419</v>
      </c>
      <c r="GC17">
        <v>3.12362</v>
      </c>
      <c r="GD17">
        <v>2.7652</v>
      </c>
      <c r="GE17">
        <v>0.0863087</v>
      </c>
      <c r="GF17">
        <v>0.0897776</v>
      </c>
      <c r="GG17">
        <v>0.0914065</v>
      </c>
      <c r="GH17">
        <v>0.0893626</v>
      </c>
      <c r="GI17">
        <v>17789.8</v>
      </c>
      <c r="GJ17">
        <v>26733.3</v>
      </c>
      <c r="GK17">
        <v>22751.7</v>
      </c>
      <c r="GL17">
        <v>30095.8</v>
      </c>
      <c r="GM17">
        <v>33910.8</v>
      </c>
      <c r="GN17">
        <v>34149.2</v>
      </c>
      <c r="GO17">
        <v>43048.9</v>
      </c>
      <c r="GP17">
        <v>42872</v>
      </c>
      <c r="GQ17">
        <v>1.97015</v>
      </c>
      <c r="GR17">
        <v>1.797</v>
      </c>
      <c r="GS17">
        <v>0.0880808</v>
      </c>
      <c r="GT17">
        <v>0</v>
      </c>
      <c r="GU17">
        <v>23.5434</v>
      </c>
      <c r="GV17">
        <v>999.9</v>
      </c>
      <c r="GW17">
        <v>39.116</v>
      </c>
      <c r="GX17">
        <v>33.445</v>
      </c>
      <c r="GY17">
        <v>20.0805</v>
      </c>
      <c r="GZ17">
        <v>62.7364</v>
      </c>
      <c r="HA17">
        <v>35.8494</v>
      </c>
      <c r="HB17">
        <v>1</v>
      </c>
      <c r="HC17">
        <v>0.0842759</v>
      </c>
      <c r="HD17">
        <v>2.73446</v>
      </c>
      <c r="HE17">
        <v>20.141</v>
      </c>
      <c r="HF17">
        <v>5.23451</v>
      </c>
      <c r="HG17">
        <v>11.962</v>
      </c>
      <c r="HH17">
        <v>4.96935</v>
      </c>
      <c r="HI17">
        <v>3.295</v>
      </c>
      <c r="HJ17">
        <v>9999</v>
      </c>
      <c r="HK17">
        <v>9999</v>
      </c>
      <c r="HL17">
        <v>9999</v>
      </c>
      <c r="HM17">
        <v>999.9</v>
      </c>
      <c r="HN17">
        <v>4.96983</v>
      </c>
      <c r="HO17">
        <v>1.86392</v>
      </c>
      <c r="HP17">
        <v>1.86544</v>
      </c>
      <c r="HQ17">
        <v>1.86729</v>
      </c>
      <c r="HR17">
        <v>1.86432</v>
      </c>
      <c r="HS17">
        <v>1.86798</v>
      </c>
      <c r="HT17">
        <v>1.86478</v>
      </c>
      <c r="HU17">
        <v>1.86664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0.792</v>
      </c>
      <c r="IJ17">
        <v>-0.117</v>
      </c>
      <c r="IK17">
        <v>0.668666454987388</v>
      </c>
      <c r="IL17">
        <v>0.000216929631606078</v>
      </c>
      <c r="IM17">
        <v>2.72263024731635e-07</v>
      </c>
      <c r="IN17">
        <v>-5.43792051235154e-11</v>
      </c>
      <c r="IO17">
        <v>-0.0134573378563266</v>
      </c>
      <c r="IP17">
        <v>-0.0584433849545669</v>
      </c>
      <c r="IQ17">
        <v>0.00341568706061026</v>
      </c>
      <c r="IR17">
        <v>-2.10952612506686e-05</v>
      </c>
      <c r="IS17">
        <v>-0</v>
      </c>
      <c r="IT17">
        <v>1734</v>
      </c>
      <c r="IU17">
        <v>2</v>
      </c>
      <c r="IV17">
        <v>19</v>
      </c>
      <c r="IW17">
        <v>1.7</v>
      </c>
      <c r="IX17">
        <v>1.6</v>
      </c>
      <c r="IY17">
        <v>1.05225</v>
      </c>
      <c r="IZ17">
        <v>2.56104</v>
      </c>
      <c r="JA17">
        <v>1.34644</v>
      </c>
      <c r="JB17">
        <v>2.26074</v>
      </c>
      <c r="JC17">
        <v>1.55029</v>
      </c>
      <c r="JD17">
        <v>2.7417</v>
      </c>
      <c r="JE17">
        <v>39.3667</v>
      </c>
      <c r="JF17">
        <v>23.746</v>
      </c>
      <c r="JG17">
        <v>18</v>
      </c>
      <c r="JH17">
        <v>501.306</v>
      </c>
      <c r="JI17">
        <v>466.691</v>
      </c>
      <c r="JJ17">
        <v>20.9143</v>
      </c>
      <c r="JK17">
        <v>28.301</v>
      </c>
      <c r="JL17">
        <v>30.0001</v>
      </c>
      <c r="JM17">
        <v>28.2949</v>
      </c>
      <c r="JN17">
        <v>28.3102</v>
      </c>
      <c r="JO17">
        <v>21.0764</v>
      </c>
      <c r="JP17">
        <v>29.1711</v>
      </c>
      <c r="JQ17">
        <v>20.0857</v>
      </c>
      <c r="JR17">
        <v>20.9148</v>
      </c>
      <c r="JS17">
        <v>400</v>
      </c>
      <c r="JT17">
        <v>15.8359</v>
      </c>
      <c r="JU17">
        <v>101.648</v>
      </c>
      <c r="JV17">
        <v>97.3453</v>
      </c>
    </row>
    <row r="18" spans="1:282">
      <c r="A18">
        <v>2</v>
      </c>
      <c r="B18">
        <v>1792304451.1</v>
      </c>
      <c r="C18">
        <v>121</v>
      </c>
      <c r="D18" t="s">
        <v>423</v>
      </c>
      <c r="E18" t="s">
        <v>424</v>
      </c>
      <c r="F18">
        <v>5</v>
      </c>
      <c r="G18">
        <v>1792304448.1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416</v>
      </c>
      <c r="AK18" t="s">
        <v>416</v>
      </c>
      <c r="AL18">
        <v>0</v>
      </c>
      <c r="AM18">
        <v>0</v>
      </c>
      <c r="AN18">
        <f>1-AL18/AM18</f>
        <v>0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416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1175</v>
      </c>
      <c r="BM18">
        <v>290</v>
      </c>
      <c r="BN18">
        <v>887.35</v>
      </c>
      <c r="BO18">
        <v>135</v>
      </c>
      <c r="BP18">
        <v>8121.66</v>
      </c>
      <c r="BQ18">
        <v>881.59</v>
      </c>
      <c r="BR18">
        <v>5.76</v>
      </c>
      <c r="BS18">
        <v>300</v>
      </c>
      <c r="BT18">
        <v>19.3</v>
      </c>
      <c r="BU18">
        <v>908.614235416086</v>
      </c>
      <c r="BV18">
        <v>1.93255245593186</v>
      </c>
      <c r="BW18">
        <v>-21.9452405948332</v>
      </c>
      <c r="BX18">
        <v>1.40143366589652</v>
      </c>
      <c r="BY18">
        <v>0.897514186586577</v>
      </c>
      <c r="BZ18">
        <v>-0.00538132458286985</v>
      </c>
      <c r="CA18">
        <v>290</v>
      </c>
      <c r="CB18">
        <v>872.99</v>
      </c>
      <c r="CC18">
        <v>615</v>
      </c>
      <c r="CD18">
        <v>8102.77</v>
      </c>
      <c r="CE18">
        <v>881.53</v>
      </c>
      <c r="CF18">
        <v>-8.54</v>
      </c>
      <c r="CT18">
        <f>$B$11*DR18+$C$11*DS18+$F$11*ED18*(1-EG18)</f>
        <v>0</v>
      </c>
      <c r="CU18">
        <f>CT18*CV18</f>
        <v>0</v>
      </c>
      <c r="CV18">
        <f>($B$11*$D$9+$C$11*$D$9+$F$11*((EQ18+EI18)/MAX(EQ18+EI18+ER18, 0.1)*$I$9+ER18/MAX(EQ18+EI18+ER18, 0.1)*$J$9))/($B$11+$C$11+$F$11)</f>
        <v>0</v>
      </c>
      <c r="CW18">
        <f>($B$11*$K$9+$C$11*$K$9+$F$11*((EQ18+EI18)/MAX(EQ18+EI18+ER18, 0.1)*$P$9+ER18/MAX(EQ18+EI18+ER18, 0.1)*$Q$9))/($B$11+$C$11+$F$11)</f>
        <v>0</v>
      </c>
      <c r="CX18">
        <v>2</v>
      </c>
      <c r="CY18">
        <v>0.5</v>
      </c>
      <c r="CZ18" t="s">
        <v>417</v>
      </c>
      <c r="DA18">
        <v>2</v>
      </c>
      <c r="DB18">
        <v>1792304448.1</v>
      </c>
      <c r="DC18">
        <v>295.2892</v>
      </c>
      <c r="DD18">
        <v>299.9898</v>
      </c>
      <c r="DE18">
        <v>16.98388</v>
      </c>
      <c r="DF18">
        <v>15.81204</v>
      </c>
      <c r="DG18">
        <v>294.6766</v>
      </c>
      <c r="DH18">
        <v>17.1016</v>
      </c>
      <c r="DI18">
        <v>500.0336</v>
      </c>
      <c r="DJ18">
        <v>100.9026</v>
      </c>
      <c r="DK18">
        <v>0.1000648</v>
      </c>
      <c r="DL18">
        <v>24.65014</v>
      </c>
      <c r="DM18">
        <v>25.02444</v>
      </c>
      <c r="DN18">
        <v>999.9</v>
      </c>
      <c r="DO18">
        <v>0</v>
      </c>
      <c r="DP18">
        <v>0</v>
      </c>
      <c r="DQ18">
        <v>9994.628</v>
      </c>
      <c r="DR18">
        <v>0</v>
      </c>
      <c r="DS18">
        <v>6.326242</v>
      </c>
      <c r="DT18">
        <v>-4.70048</v>
      </c>
      <c r="DU18">
        <v>300.3912</v>
      </c>
      <c r="DV18">
        <v>304.8096</v>
      </c>
      <c r="DW18">
        <v>1.171832</v>
      </c>
      <c r="DX18">
        <v>299.9898</v>
      </c>
      <c r="DY18">
        <v>15.81204</v>
      </c>
      <c r="DZ18">
        <v>1.71372</v>
      </c>
      <c r="EA18">
        <v>1.595478</v>
      </c>
      <c r="EB18">
        <v>15.02126</v>
      </c>
      <c r="EC18">
        <v>13.91518</v>
      </c>
      <c r="ED18">
        <v>1500.002</v>
      </c>
      <c r="EE18">
        <v>0.9730008</v>
      </c>
      <c r="EF18">
        <v>0.0269992</v>
      </c>
      <c r="EG18">
        <v>0</v>
      </c>
      <c r="EH18">
        <v>344.0214</v>
      </c>
      <c r="EI18">
        <v>5.00064</v>
      </c>
      <c r="EJ18">
        <v>5303.596</v>
      </c>
      <c r="EK18">
        <v>15439.24</v>
      </c>
      <c r="EL18">
        <v>40.0746</v>
      </c>
      <c r="EM18">
        <v>40.812</v>
      </c>
      <c r="EN18">
        <v>40.4246</v>
      </c>
      <c r="EO18">
        <v>40.437</v>
      </c>
      <c r="EP18">
        <v>41.625</v>
      </c>
      <c r="EQ18">
        <v>1454.642</v>
      </c>
      <c r="ER18">
        <v>40.36</v>
      </c>
      <c r="ES18">
        <v>0</v>
      </c>
      <c r="ET18">
        <v>1130.79999995232</v>
      </c>
      <c r="EU18">
        <v>0</v>
      </c>
      <c r="EV18">
        <v>344.11256</v>
      </c>
      <c r="EW18">
        <v>-1.25923076794676</v>
      </c>
      <c r="EX18">
        <v>-6.43923077674069</v>
      </c>
      <c r="EY18">
        <v>5304.1784</v>
      </c>
      <c r="EZ18">
        <v>15</v>
      </c>
      <c r="FA18">
        <v>1792304392.1</v>
      </c>
      <c r="FB18" t="s">
        <v>425</v>
      </c>
      <c r="FC18">
        <v>1792304392.1</v>
      </c>
      <c r="FD18">
        <v>1792304392.1</v>
      </c>
      <c r="FE18">
        <v>61</v>
      </c>
      <c r="FF18">
        <v>-0.142</v>
      </c>
      <c r="FG18">
        <v>0.002</v>
      </c>
      <c r="FH18">
        <v>0.614</v>
      </c>
      <c r="FI18">
        <v>-0.159</v>
      </c>
      <c r="FJ18">
        <v>300</v>
      </c>
      <c r="FK18">
        <v>16</v>
      </c>
      <c r="FL18">
        <v>0.22</v>
      </c>
      <c r="FM18">
        <v>0.06</v>
      </c>
      <c r="FN18">
        <v>11.0395220326323</v>
      </c>
      <c r="FO18">
        <v>-0.470381439373585</v>
      </c>
      <c r="FP18">
        <v>0.11341607844669</v>
      </c>
      <c r="FQ18">
        <v>1</v>
      </c>
      <c r="FR18">
        <v>-4.7642185</v>
      </c>
      <c r="FS18">
        <v>0.278568270676694</v>
      </c>
      <c r="FT18">
        <v>0.050529359116755</v>
      </c>
      <c r="FU18">
        <v>1</v>
      </c>
      <c r="FV18">
        <v>344.193970588235</v>
      </c>
      <c r="FW18">
        <v>-0.949167306672394</v>
      </c>
      <c r="FX18">
        <v>0.244290989130263</v>
      </c>
      <c r="FY18">
        <v>1</v>
      </c>
      <c r="FZ18">
        <v>3</v>
      </c>
      <c r="GA18">
        <v>3</v>
      </c>
      <c r="GB18" t="s">
        <v>426</v>
      </c>
      <c r="GC18">
        <v>3.12371</v>
      </c>
      <c r="GD18">
        <v>2.76528</v>
      </c>
      <c r="GE18">
        <v>0.0688871</v>
      </c>
      <c r="GF18">
        <v>0.0716113</v>
      </c>
      <c r="GG18">
        <v>0.0911423</v>
      </c>
      <c r="GH18">
        <v>0.0895517</v>
      </c>
      <c r="GI18">
        <v>18130.4</v>
      </c>
      <c r="GJ18">
        <v>27268</v>
      </c>
      <c r="GK18">
        <v>22753.4</v>
      </c>
      <c r="GL18">
        <v>30097</v>
      </c>
      <c r="GM18">
        <v>33921.8</v>
      </c>
      <c r="GN18">
        <v>34142</v>
      </c>
      <c r="GO18">
        <v>43051.4</v>
      </c>
      <c r="GP18">
        <v>42873.5</v>
      </c>
      <c r="GQ18">
        <v>1.97</v>
      </c>
      <c r="GR18">
        <v>1.79722</v>
      </c>
      <c r="GS18">
        <v>0.0922903</v>
      </c>
      <c r="GT18">
        <v>0</v>
      </c>
      <c r="GU18">
        <v>23.4751</v>
      </c>
      <c r="GV18">
        <v>999.9</v>
      </c>
      <c r="GW18">
        <v>38.902</v>
      </c>
      <c r="GX18">
        <v>33.516</v>
      </c>
      <c r="GY18">
        <v>20.05</v>
      </c>
      <c r="GZ18">
        <v>63.4164</v>
      </c>
      <c r="HA18">
        <v>35.8373</v>
      </c>
      <c r="HB18">
        <v>1</v>
      </c>
      <c r="HC18">
        <v>0.0811687</v>
      </c>
      <c r="HD18">
        <v>2.62525</v>
      </c>
      <c r="HE18">
        <v>20.1432</v>
      </c>
      <c r="HF18">
        <v>5.23436</v>
      </c>
      <c r="HG18">
        <v>11.962</v>
      </c>
      <c r="HH18">
        <v>4.96925</v>
      </c>
      <c r="HI18">
        <v>3.29505</v>
      </c>
      <c r="HJ18">
        <v>9999</v>
      </c>
      <c r="HK18">
        <v>9999</v>
      </c>
      <c r="HL18">
        <v>9999</v>
      </c>
      <c r="HM18">
        <v>999.9</v>
      </c>
      <c r="HN18">
        <v>4.96985</v>
      </c>
      <c r="HO18">
        <v>1.86393</v>
      </c>
      <c r="HP18">
        <v>1.86547</v>
      </c>
      <c r="HQ18">
        <v>1.86732</v>
      </c>
      <c r="HR18">
        <v>1.86432</v>
      </c>
      <c r="HS18">
        <v>1.86799</v>
      </c>
      <c r="HT18">
        <v>1.86478</v>
      </c>
      <c r="HU18">
        <v>1.86663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0.613</v>
      </c>
      <c r="IJ18">
        <v>-0.118</v>
      </c>
      <c r="IK18">
        <v>0.526533235206297</v>
      </c>
      <c r="IL18">
        <v>0.000216929631606078</v>
      </c>
      <c r="IM18">
        <v>2.72263024731635e-07</v>
      </c>
      <c r="IN18">
        <v>-5.43792051235154e-11</v>
      </c>
      <c r="IO18">
        <v>-0.011728586091497</v>
      </c>
      <c r="IP18">
        <v>-0.0584433849545669</v>
      </c>
      <c r="IQ18">
        <v>0.00341568706061026</v>
      </c>
      <c r="IR18">
        <v>-2.10952612506686e-05</v>
      </c>
      <c r="IS18">
        <v>-0</v>
      </c>
      <c r="IT18">
        <v>1734</v>
      </c>
      <c r="IU18">
        <v>2</v>
      </c>
      <c r="IV18">
        <v>19</v>
      </c>
      <c r="IW18">
        <v>1</v>
      </c>
      <c r="IX18">
        <v>1</v>
      </c>
      <c r="IY18">
        <v>0.845947</v>
      </c>
      <c r="IZ18">
        <v>2.56226</v>
      </c>
      <c r="JA18">
        <v>1.34644</v>
      </c>
      <c r="JB18">
        <v>2.26196</v>
      </c>
      <c r="JC18">
        <v>1.55029</v>
      </c>
      <c r="JD18">
        <v>2.69653</v>
      </c>
      <c r="JE18">
        <v>39.3917</v>
      </c>
      <c r="JF18">
        <v>23.7373</v>
      </c>
      <c r="JG18">
        <v>18</v>
      </c>
      <c r="JH18">
        <v>501.024</v>
      </c>
      <c r="JI18">
        <v>466.668</v>
      </c>
      <c r="JJ18">
        <v>20.9012</v>
      </c>
      <c r="JK18">
        <v>28.2745</v>
      </c>
      <c r="JL18">
        <v>30</v>
      </c>
      <c r="JM18">
        <v>28.2732</v>
      </c>
      <c r="JN18">
        <v>28.2898</v>
      </c>
      <c r="JO18">
        <v>16.9499</v>
      </c>
      <c r="JP18">
        <v>28.6335</v>
      </c>
      <c r="JQ18">
        <v>19.3416</v>
      </c>
      <c r="JR18">
        <v>20.8677</v>
      </c>
      <c r="JS18">
        <v>300</v>
      </c>
      <c r="JT18">
        <v>15.8079</v>
      </c>
      <c r="JU18">
        <v>101.655</v>
      </c>
      <c r="JV18">
        <v>97.3487</v>
      </c>
    </row>
    <row r="19" spans="1:282">
      <c r="A19">
        <v>3</v>
      </c>
      <c r="B19">
        <v>1792304572.1</v>
      </c>
      <c r="C19">
        <v>242</v>
      </c>
      <c r="D19" t="s">
        <v>427</v>
      </c>
      <c r="E19" t="s">
        <v>428</v>
      </c>
      <c r="F19">
        <v>5</v>
      </c>
      <c r="G19">
        <v>1792304569.1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416</v>
      </c>
      <c r="AK19" t="s">
        <v>416</v>
      </c>
      <c r="AL19">
        <v>0</v>
      </c>
      <c r="AM19">
        <v>0</v>
      </c>
      <c r="AN19">
        <f>1-AL19/AM19</f>
        <v>0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416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1175</v>
      </c>
      <c r="BM19">
        <v>290</v>
      </c>
      <c r="BN19">
        <v>887.35</v>
      </c>
      <c r="BO19">
        <v>135</v>
      </c>
      <c r="BP19">
        <v>8121.66</v>
      </c>
      <c r="BQ19">
        <v>881.59</v>
      </c>
      <c r="BR19">
        <v>5.76</v>
      </c>
      <c r="BS19">
        <v>300</v>
      </c>
      <c r="BT19">
        <v>19.3</v>
      </c>
      <c r="BU19">
        <v>908.614235416086</v>
      </c>
      <c r="BV19">
        <v>1.93255245593186</v>
      </c>
      <c r="BW19">
        <v>-21.9452405948332</v>
      </c>
      <c r="BX19">
        <v>1.40143366589652</v>
      </c>
      <c r="BY19">
        <v>0.897514186586577</v>
      </c>
      <c r="BZ19">
        <v>-0.00538132458286985</v>
      </c>
      <c r="CA19">
        <v>290</v>
      </c>
      <c r="CB19">
        <v>872.99</v>
      </c>
      <c r="CC19">
        <v>615</v>
      </c>
      <c r="CD19">
        <v>8102.77</v>
      </c>
      <c r="CE19">
        <v>881.53</v>
      </c>
      <c r="CF19">
        <v>-8.54</v>
      </c>
      <c r="CT19">
        <f>$B$11*DR19+$C$11*DS19+$F$11*ED19*(1-EG19)</f>
        <v>0</v>
      </c>
      <c r="CU19">
        <f>CT19*CV19</f>
        <v>0</v>
      </c>
      <c r="CV19">
        <f>($B$11*$D$9+$C$11*$D$9+$F$11*((EQ19+EI19)/MAX(EQ19+EI19+ER19, 0.1)*$I$9+ER19/MAX(EQ19+EI19+ER19, 0.1)*$J$9))/($B$11+$C$11+$F$11)</f>
        <v>0</v>
      </c>
      <c r="CW19">
        <f>($B$11*$K$9+$C$11*$K$9+$F$11*((EQ19+EI19)/MAX(EQ19+EI19+ER19, 0.1)*$P$9+ER19/MAX(EQ19+EI19+ER19, 0.1)*$Q$9))/($B$11+$C$11+$F$11)</f>
        <v>0</v>
      </c>
      <c r="CX19">
        <v>2</v>
      </c>
      <c r="CY19">
        <v>0.5</v>
      </c>
      <c r="CZ19" t="s">
        <v>417</v>
      </c>
      <c r="DA19">
        <v>2</v>
      </c>
      <c r="DB19">
        <v>1792304569.1</v>
      </c>
      <c r="DC19">
        <v>197.333</v>
      </c>
      <c r="DD19">
        <v>199.9312</v>
      </c>
      <c r="DE19">
        <v>16.962</v>
      </c>
      <c r="DF19">
        <v>15.8728</v>
      </c>
      <c r="DG19">
        <v>196.938</v>
      </c>
      <c r="DH19">
        <v>17.0865</v>
      </c>
      <c r="DI19">
        <v>500.1016</v>
      </c>
      <c r="DJ19">
        <v>100.9134</v>
      </c>
      <c r="DK19">
        <v>0.10017912</v>
      </c>
      <c r="DL19">
        <v>24.59178</v>
      </c>
      <c r="DM19">
        <v>24.99618</v>
      </c>
      <c r="DN19">
        <v>999.9</v>
      </c>
      <c r="DO19">
        <v>0</v>
      </c>
      <c r="DP19">
        <v>0</v>
      </c>
      <c r="DQ19">
        <v>10002.866</v>
      </c>
      <c r="DR19">
        <v>0</v>
      </c>
      <c r="DS19">
        <v>6.26541</v>
      </c>
      <c r="DT19">
        <v>-2.597836</v>
      </c>
      <c r="DU19">
        <v>200.7384</v>
      </c>
      <c r="DV19">
        <v>203.1558</v>
      </c>
      <c r="DW19">
        <v>1.089202</v>
      </c>
      <c r="DX19">
        <v>199.9312</v>
      </c>
      <c r="DY19">
        <v>15.8728</v>
      </c>
      <c r="DZ19">
        <v>1.711696</v>
      </c>
      <c r="EA19">
        <v>1.601778</v>
      </c>
      <c r="EB19">
        <v>15.00292</v>
      </c>
      <c r="EC19">
        <v>13.97596</v>
      </c>
      <c r="ED19">
        <v>1499.98</v>
      </c>
      <c r="EE19">
        <v>0.9730048</v>
      </c>
      <c r="EF19">
        <v>0.02699522</v>
      </c>
      <c r="EG19">
        <v>0</v>
      </c>
      <c r="EH19">
        <v>343.699</v>
      </c>
      <c r="EI19">
        <v>5.00064</v>
      </c>
      <c r="EJ19">
        <v>5300.158</v>
      </c>
      <c r="EK19">
        <v>15439.04</v>
      </c>
      <c r="EL19">
        <v>40.2374</v>
      </c>
      <c r="EM19">
        <v>40.937</v>
      </c>
      <c r="EN19">
        <v>40.562</v>
      </c>
      <c r="EO19">
        <v>40.562</v>
      </c>
      <c r="EP19">
        <v>41.75</v>
      </c>
      <c r="EQ19">
        <v>1454.62</v>
      </c>
      <c r="ER19">
        <v>40.36</v>
      </c>
      <c r="ES19">
        <v>0</v>
      </c>
      <c r="ET19">
        <v>1252</v>
      </c>
      <c r="EU19">
        <v>0</v>
      </c>
      <c r="EV19">
        <v>343.77676</v>
      </c>
      <c r="EW19">
        <v>0.135230780727329</v>
      </c>
      <c r="EX19">
        <v>-0.660769251836544</v>
      </c>
      <c r="EY19">
        <v>5300.3616</v>
      </c>
      <c r="EZ19">
        <v>15</v>
      </c>
      <c r="FA19">
        <v>1792304529.1</v>
      </c>
      <c r="FB19" t="s">
        <v>429</v>
      </c>
      <c r="FC19">
        <v>1792304529.1</v>
      </c>
      <c r="FD19">
        <v>1792304525.1</v>
      </c>
      <c r="FE19">
        <v>62</v>
      </c>
      <c r="FF19">
        <v>-0.183</v>
      </c>
      <c r="FG19">
        <v>-0.006</v>
      </c>
      <c r="FH19">
        <v>0.396</v>
      </c>
      <c r="FI19">
        <v>-0.163</v>
      </c>
      <c r="FJ19">
        <v>200</v>
      </c>
      <c r="FK19">
        <v>16</v>
      </c>
      <c r="FL19">
        <v>0.16</v>
      </c>
      <c r="FM19">
        <v>0.06</v>
      </c>
      <c r="FN19">
        <v>6.10366013088836</v>
      </c>
      <c r="FO19">
        <v>-0.319425176021937</v>
      </c>
      <c r="FP19">
        <v>0.117008437433483</v>
      </c>
      <c r="FQ19">
        <v>1</v>
      </c>
      <c r="FR19">
        <v>-2.658823</v>
      </c>
      <c r="FS19">
        <v>0.198737142857144</v>
      </c>
      <c r="FT19">
        <v>0.0503663137523484</v>
      </c>
      <c r="FU19">
        <v>1</v>
      </c>
      <c r="FV19">
        <v>343.817529411765</v>
      </c>
      <c r="FW19">
        <v>-0.8383193231749</v>
      </c>
      <c r="FX19">
        <v>0.236247158127209</v>
      </c>
      <c r="FY19">
        <v>1</v>
      </c>
      <c r="FZ19">
        <v>3</v>
      </c>
      <c r="GA19">
        <v>3</v>
      </c>
      <c r="GB19" t="s">
        <v>426</v>
      </c>
      <c r="GC19">
        <v>3.12383</v>
      </c>
      <c r="GD19">
        <v>2.76546</v>
      </c>
      <c r="GE19">
        <v>0.0490642</v>
      </c>
      <c r="GF19">
        <v>0.0509665</v>
      </c>
      <c r="GG19">
        <v>0.0910919</v>
      </c>
      <c r="GH19">
        <v>0.089812</v>
      </c>
      <c r="GI19">
        <v>18517.6</v>
      </c>
      <c r="GJ19">
        <v>27875.9</v>
      </c>
      <c r="GK19">
        <v>22754.6</v>
      </c>
      <c r="GL19">
        <v>30098.3</v>
      </c>
      <c r="GM19">
        <v>33924.1</v>
      </c>
      <c r="GN19">
        <v>34132.4</v>
      </c>
      <c r="GO19">
        <v>43053.6</v>
      </c>
      <c r="GP19">
        <v>42875.6</v>
      </c>
      <c r="GQ19">
        <v>1.97025</v>
      </c>
      <c r="GR19">
        <v>1.79705</v>
      </c>
      <c r="GS19">
        <v>0.0951812</v>
      </c>
      <c r="GT19">
        <v>0</v>
      </c>
      <c r="GU19">
        <v>23.4219</v>
      </c>
      <c r="GV19">
        <v>999.9</v>
      </c>
      <c r="GW19">
        <v>38.713</v>
      </c>
      <c r="GX19">
        <v>33.556</v>
      </c>
      <c r="GY19">
        <v>19.9948</v>
      </c>
      <c r="GZ19">
        <v>62.8964</v>
      </c>
      <c r="HA19">
        <v>35.9856</v>
      </c>
      <c r="HB19">
        <v>1</v>
      </c>
      <c r="HC19">
        <v>0.0786509</v>
      </c>
      <c r="HD19">
        <v>2.43368</v>
      </c>
      <c r="HE19">
        <v>20.1457</v>
      </c>
      <c r="HF19">
        <v>5.22942</v>
      </c>
      <c r="HG19">
        <v>11.962</v>
      </c>
      <c r="HH19">
        <v>4.9694</v>
      </c>
      <c r="HI19">
        <v>3.29505</v>
      </c>
      <c r="HJ19">
        <v>9999</v>
      </c>
      <c r="HK19">
        <v>9999</v>
      </c>
      <c r="HL19">
        <v>9999</v>
      </c>
      <c r="HM19">
        <v>999.9</v>
      </c>
      <c r="HN19">
        <v>4.96982</v>
      </c>
      <c r="HO19">
        <v>1.86392</v>
      </c>
      <c r="HP19">
        <v>1.86544</v>
      </c>
      <c r="HQ19">
        <v>1.86733</v>
      </c>
      <c r="HR19">
        <v>1.86432</v>
      </c>
      <c r="HS19">
        <v>1.86798</v>
      </c>
      <c r="HT19">
        <v>1.86478</v>
      </c>
      <c r="HU19">
        <v>1.86667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0.396</v>
      </c>
      <c r="IJ19">
        <v>-0.1248</v>
      </c>
      <c r="IK19">
        <v>0.342796323686705</v>
      </c>
      <c r="IL19">
        <v>0.000216929631606078</v>
      </c>
      <c r="IM19">
        <v>2.72263024731635e-07</v>
      </c>
      <c r="IN19">
        <v>-5.43792051235154e-11</v>
      </c>
      <c r="IO19">
        <v>-0.0178732815469585</v>
      </c>
      <c r="IP19">
        <v>-0.0584433849545669</v>
      </c>
      <c r="IQ19">
        <v>0.00341568706061026</v>
      </c>
      <c r="IR19">
        <v>-2.10952612506686e-05</v>
      </c>
      <c r="IS19">
        <v>-0</v>
      </c>
      <c r="IT19">
        <v>1734</v>
      </c>
      <c r="IU19">
        <v>2</v>
      </c>
      <c r="IV19">
        <v>19</v>
      </c>
      <c r="IW19">
        <v>0.7</v>
      </c>
      <c r="IX19">
        <v>0.8</v>
      </c>
      <c r="IY19">
        <v>0.632324</v>
      </c>
      <c r="IZ19">
        <v>2.57446</v>
      </c>
      <c r="JA19">
        <v>1.34644</v>
      </c>
      <c r="JB19">
        <v>2.26074</v>
      </c>
      <c r="JC19">
        <v>1.55029</v>
      </c>
      <c r="JD19">
        <v>2.66113</v>
      </c>
      <c r="JE19">
        <v>39.4416</v>
      </c>
      <c r="JF19">
        <v>23.7373</v>
      </c>
      <c r="JG19">
        <v>18</v>
      </c>
      <c r="JH19">
        <v>500.952</v>
      </c>
      <c r="JI19">
        <v>466.341</v>
      </c>
      <c r="JJ19">
        <v>20.8544</v>
      </c>
      <c r="JK19">
        <v>28.2425</v>
      </c>
      <c r="JL19">
        <v>29.9998</v>
      </c>
      <c r="JM19">
        <v>28.2469</v>
      </c>
      <c r="JN19">
        <v>28.2659</v>
      </c>
      <c r="JO19">
        <v>12.6592</v>
      </c>
      <c r="JP19">
        <v>27.9487</v>
      </c>
      <c r="JQ19">
        <v>18.5979</v>
      </c>
      <c r="JR19">
        <v>20.8565</v>
      </c>
      <c r="JS19">
        <v>200</v>
      </c>
      <c r="JT19">
        <v>15.861</v>
      </c>
      <c r="JU19">
        <v>101.66</v>
      </c>
      <c r="JV19">
        <v>97.3534</v>
      </c>
    </row>
    <row r="20" spans="1:282">
      <c r="A20">
        <v>4</v>
      </c>
      <c r="B20">
        <v>1792304693.1</v>
      </c>
      <c r="C20">
        <v>363</v>
      </c>
      <c r="D20" t="s">
        <v>430</v>
      </c>
      <c r="E20" t="s">
        <v>431</v>
      </c>
      <c r="F20">
        <v>5</v>
      </c>
      <c r="G20">
        <v>1792304690.1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416</v>
      </c>
      <c r="AK20" t="s">
        <v>416</v>
      </c>
      <c r="AL20">
        <v>0</v>
      </c>
      <c r="AM20">
        <v>0</v>
      </c>
      <c r="AN20">
        <f>1-AL20/AM20</f>
        <v>0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416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1175</v>
      </c>
      <c r="BM20">
        <v>290</v>
      </c>
      <c r="BN20">
        <v>887.35</v>
      </c>
      <c r="BO20">
        <v>135</v>
      </c>
      <c r="BP20">
        <v>8121.66</v>
      </c>
      <c r="BQ20">
        <v>881.59</v>
      </c>
      <c r="BR20">
        <v>5.76</v>
      </c>
      <c r="BS20">
        <v>300</v>
      </c>
      <c r="BT20">
        <v>19.3</v>
      </c>
      <c r="BU20">
        <v>908.614235416086</v>
      </c>
      <c r="BV20">
        <v>1.93255245593186</v>
      </c>
      <c r="BW20">
        <v>-21.9452405948332</v>
      </c>
      <c r="BX20">
        <v>1.40143366589652</v>
      </c>
      <c r="BY20">
        <v>0.897514186586577</v>
      </c>
      <c r="BZ20">
        <v>-0.00538132458286985</v>
      </c>
      <c r="CA20">
        <v>290</v>
      </c>
      <c r="CB20">
        <v>872.99</v>
      </c>
      <c r="CC20">
        <v>615</v>
      </c>
      <c r="CD20">
        <v>8102.77</v>
      </c>
      <c r="CE20">
        <v>881.53</v>
      </c>
      <c r="CF20">
        <v>-8.54</v>
      </c>
      <c r="CT20">
        <f>$B$11*DR20+$C$11*DS20+$F$11*ED20*(1-EG20)</f>
        <v>0</v>
      </c>
      <c r="CU20">
        <f>CT20*CV20</f>
        <v>0</v>
      </c>
      <c r="CV20">
        <f>($B$11*$D$9+$C$11*$D$9+$F$11*((EQ20+EI20)/MAX(EQ20+EI20+ER20, 0.1)*$I$9+ER20/MAX(EQ20+EI20+ER20, 0.1)*$J$9))/($B$11+$C$11+$F$11)</f>
        <v>0</v>
      </c>
      <c r="CW20">
        <f>($B$11*$K$9+$C$11*$K$9+$F$11*((EQ20+EI20)/MAX(EQ20+EI20+ER20, 0.1)*$P$9+ER20/MAX(EQ20+EI20+ER20, 0.1)*$Q$9))/($B$11+$C$11+$F$11)</f>
        <v>0</v>
      </c>
      <c r="CX20">
        <v>2</v>
      </c>
      <c r="CY20">
        <v>0.5</v>
      </c>
      <c r="CZ20" t="s">
        <v>417</v>
      </c>
      <c r="DA20">
        <v>2</v>
      </c>
      <c r="DB20">
        <v>1792304690.1</v>
      </c>
      <c r="DC20">
        <v>99.26152</v>
      </c>
      <c r="DD20">
        <v>100.01006</v>
      </c>
      <c r="DE20">
        <v>16.93166</v>
      </c>
      <c r="DF20">
        <v>15.92608</v>
      </c>
      <c r="DG20">
        <v>99.21982</v>
      </c>
      <c r="DH20">
        <v>17.05598</v>
      </c>
      <c r="DI20">
        <v>500.0962</v>
      </c>
      <c r="DJ20">
        <v>100.9068</v>
      </c>
      <c r="DK20">
        <v>0.1001119</v>
      </c>
      <c r="DL20">
        <v>24.6047</v>
      </c>
      <c r="DM20">
        <v>25.02262</v>
      </c>
      <c r="DN20">
        <v>999.9</v>
      </c>
      <c r="DO20">
        <v>0</v>
      </c>
      <c r="DP20">
        <v>0</v>
      </c>
      <c r="DQ20">
        <v>10000.37</v>
      </c>
      <c r="DR20">
        <v>0</v>
      </c>
      <c r="DS20">
        <v>6.27441</v>
      </c>
      <c r="DT20">
        <v>-0.7486026</v>
      </c>
      <c r="DU20">
        <v>100.9712</v>
      </c>
      <c r="DV20">
        <v>101.6288</v>
      </c>
      <c r="DW20">
        <v>1.00556</v>
      </c>
      <c r="DX20">
        <v>100.01006</v>
      </c>
      <c r="DY20">
        <v>15.92608</v>
      </c>
      <c r="DZ20">
        <v>1.708514</v>
      </c>
      <c r="EA20">
        <v>1.607048</v>
      </c>
      <c r="EB20">
        <v>14.974</v>
      </c>
      <c r="EC20">
        <v>14.02656</v>
      </c>
      <c r="ED20">
        <v>1500</v>
      </c>
      <c r="EE20">
        <v>0.973008</v>
      </c>
      <c r="EF20">
        <v>0.0269921</v>
      </c>
      <c r="EG20">
        <v>0</v>
      </c>
      <c r="EH20">
        <v>345.7994</v>
      </c>
      <c r="EI20">
        <v>5.00064</v>
      </c>
      <c r="EJ20">
        <v>5330.774</v>
      </c>
      <c r="EK20">
        <v>15439.26</v>
      </c>
      <c r="EL20">
        <v>40.312</v>
      </c>
      <c r="EM20">
        <v>41</v>
      </c>
      <c r="EN20">
        <v>40.625</v>
      </c>
      <c r="EO20">
        <v>40.625</v>
      </c>
      <c r="EP20">
        <v>41.812</v>
      </c>
      <c r="EQ20">
        <v>1454.65</v>
      </c>
      <c r="ER20">
        <v>40.35</v>
      </c>
      <c r="ES20">
        <v>0</v>
      </c>
      <c r="ET20">
        <v>1372.59999990463</v>
      </c>
      <c r="EU20">
        <v>0</v>
      </c>
      <c r="EV20">
        <v>345.868807692308</v>
      </c>
      <c r="EW20">
        <v>-0.667384611499475</v>
      </c>
      <c r="EX20">
        <v>0.942222223703341</v>
      </c>
      <c r="EY20">
        <v>5330.63</v>
      </c>
      <c r="EZ20">
        <v>15</v>
      </c>
      <c r="FA20">
        <v>1792304638.1</v>
      </c>
      <c r="FB20" t="s">
        <v>432</v>
      </c>
      <c r="FC20">
        <v>1792304634.1</v>
      </c>
      <c r="FD20">
        <v>1792304638.1</v>
      </c>
      <c r="FE20">
        <v>63</v>
      </c>
      <c r="FF20">
        <v>-0.325</v>
      </c>
      <c r="FG20">
        <v>0.001</v>
      </c>
      <c r="FH20">
        <v>0.042</v>
      </c>
      <c r="FI20">
        <v>-0.162</v>
      </c>
      <c r="FJ20">
        <v>100</v>
      </c>
      <c r="FK20">
        <v>16</v>
      </c>
      <c r="FL20">
        <v>0.47</v>
      </c>
      <c r="FM20">
        <v>0.1</v>
      </c>
      <c r="FN20">
        <v>1.71946696607612</v>
      </c>
      <c r="FO20">
        <v>-0.791155241079093</v>
      </c>
      <c r="FP20">
        <v>0.113175807553605</v>
      </c>
      <c r="FQ20">
        <v>0</v>
      </c>
      <c r="FR20">
        <v>-0.7853021</v>
      </c>
      <c r="FS20">
        <v>0.402382736842105</v>
      </c>
      <c r="FT20">
        <v>0.0479806254032813</v>
      </c>
      <c r="FU20">
        <v>1</v>
      </c>
      <c r="FV20">
        <v>345.817705882353</v>
      </c>
      <c r="FW20">
        <v>0.332223074381611</v>
      </c>
      <c r="FX20">
        <v>0.182192453096711</v>
      </c>
      <c r="FY20">
        <v>1</v>
      </c>
      <c r="FZ20">
        <v>2</v>
      </c>
      <c r="GA20">
        <v>3</v>
      </c>
      <c r="GB20" t="s">
        <v>433</v>
      </c>
      <c r="GC20">
        <v>3.12363</v>
      </c>
      <c r="GD20">
        <v>2.76514</v>
      </c>
      <c r="GE20">
        <v>0.0262753</v>
      </c>
      <c r="GF20">
        <v>0.0271566</v>
      </c>
      <c r="GG20">
        <v>0.0909812</v>
      </c>
      <c r="GH20">
        <v>0.0900276</v>
      </c>
      <c r="GI20">
        <v>18961.4</v>
      </c>
      <c r="GJ20">
        <v>28575.8</v>
      </c>
      <c r="GK20">
        <v>22754.4</v>
      </c>
      <c r="GL20">
        <v>30098.6</v>
      </c>
      <c r="GM20">
        <v>33926.6</v>
      </c>
      <c r="GN20">
        <v>34123.3</v>
      </c>
      <c r="GO20">
        <v>43053.1</v>
      </c>
      <c r="GP20">
        <v>42876.5</v>
      </c>
      <c r="GQ20">
        <v>1.97018</v>
      </c>
      <c r="GR20">
        <v>1.79708</v>
      </c>
      <c r="GS20">
        <v>0.100449</v>
      </c>
      <c r="GT20">
        <v>0</v>
      </c>
      <c r="GU20">
        <v>23.3589</v>
      </c>
      <c r="GV20">
        <v>999.9</v>
      </c>
      <c r="GW20">
        <v>38.567</v>
      </c>
      <c r="GX20">
        <v>33.596</v>
      </c>
      <c r="GY20">
        <v>19.9634</v>
      </c>
      <c r="GZ20">
        <v>63.3064</v>
      </c>
      <c r="HA20">
        <v>35.9455</v>
      </c>
      <c r="HB20">
        <v>1</v>
      </c>
      <c r="HC20">
        <v>0.0788542</v>
      </c>
      <c r="HD20">
        <v>2.63286</v>
      </c>
      <c r="HE20">
        <v>20.1422</v>
      </c>
      <c r="HF20">
        <v>5.23481</v>
      </c>
      <c r="HG20">
        <v>11.962</v>
      </c>
      <c r="HH20">
        <v>4.96945</v>
      </c>
      <c r="HI20">
        <v>3.295</v>
      </c>
      <c r="HJ20">
        <v>9999</v>
      </c>
      <c r="HK20">
        <v>9999</v>
      </c>
      <c r="HL20">
        <v>9999</v>
      </c>
      <c r="HM20">
        <v>999.9</v>
      </c>
      <c r="HN20">
        <v>4.96984</v>
      </c>
      <c r="HO20">
        <v>1.86394</v>
      </c>
      <c r="HP20">
        <v>1.86548</v>
      </c>
      <c r="HQ20">
        <v>1.86736</v>
      </c>
      <c r="HR20">
        <v>1.86432</v>
      </c>
      <c r="HS20">
        <v>1.868</v>
      </c>
      <c r="HT20">
        <v>1.86481</v>
      </c>
      <c r="HU20">
        <v>1.86669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0.042</v>
      </c>
      <c r="IJ20">
        <v>-0.1245</v>
      </c>
      <c r="IK20">
        <v>0.01757956912891</v>
      </c>
      <c r="IL20">
        <v>0.000216929631606078</v>
      </c>
      <c r="IM20">
        <v>2.72263024731635e-07</v>
      </c>
      <c r="IN20">
        <v>-5.43792051235154e-11</v>
      </c>
      <c r="IO20">
        <v>-0.0164765651942499</v>
      </c>
      <c r="IP20">
        <v>-0.0584433849545669</v>
      </c>
      <c r="IQ20">
        <v>0.00341568706061026</v>
      </c>
      <c r="IR20">
        <v>-2.10952612506686e-05</v>
      </c>
      <c r="IS20">
        <v>-0</v>
      </c>
      <c r="IT20">
        <v>1734</v>
      </c>
      <c r="IU20">
        <v>2</v>
      </c>
      <c r="IV20">
        <v>19</v>
      </c>
      <c r="IW20">
        <v>1</v>
      </c>
      <c r="IX20">
        <v>0.9</v>
      </c>
      <c r="IY20">
        <v>0.411377</v>
      </c>
      <c r="IZ20">
        <v>2.59399</v>
      </c>
      <c r="JA20">
        <v>1.34644</v>
      </c>
      <c r="JB20">
        <v>2.26196</v>
      </c>
      <c r="JC20">
        <v>1.55029</v>
      </c>
      <c r="JD20">
        <v>2.48413</v>
      </c>
      <c r="JE20">
        <v>39.4916</v>
      </c>
      <c r="JF20">
        <v>23.7285</v>
      </c>
      <c r="JG20">
        <v>18</v>
      </c>
      <c r="JH20">
        <v>500.776</v>
      </c>
      <c r="JI20">
        <v>466.212</v>
      </c>
      <c r="JJ20">
        <v>20.9809</v>
      </c>
      <c r="JK20">
        <v>28.2232</v>
      </c>
      <c r="JL20">
        <v>30.0005</v>
      </c>
      <c r="JM20">
        <v>28.2319</v>
      </c>
      <c r="JN20">
        <v>28.2491</v>
      </c>
      <c r="JO20">
        <v>8.2442</v>
      </c>
      <c r="JP20">
        <v>27.1772</v>
      </c>
      <c r="JQ20">
        <v>18.2276</v>
      </c>
      <c r="JR20">
        <v>20.9643</v>
      </c>
      <c r="JS20">
        <v>100</v>
      </c>
      <c r="JT20">
        <v>15.8965</v>
      </c>
      <c r="JU20">
        <v>101.659</v>
      </c>
      <c r="JV20">
        <v>97.3549</v>
      </c>
    </row>
    <row r="21" spans="1:282">
      <c r="A21">
        <v>5</v>
      </c>
      <c r="B21">
        <v>1792304814.1</v>
      </c>
      <c r="C21">
        <v>484</v>
      </c>
      <c r="D21" t="s">
        <v>434</v>
      </c>
      <c r="E21" t="s">
        <v>435</v>
      </c>
      <c r="F21">
        <v>5</v>
      </c>
      <c r="G21">
        <v>1792304811.1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416</v>
      </c>
      <c r="AK21" t="s">
        <v>416</v>
      </c>
      <c r="AL21">
        <v>0</v>
      </c>
      <c r="AM21">
        <v>0</v>
      </c>
      <c r="AN21">
        <f>1-AL21/AM21</f>
        <v>0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416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1175</v>
      </c>
      <c r="BM21">
        <v>290</v>
      </c>
      <c r="BN21">
        <v>887.35</v>
      </c>
      <c r="BO21">
        <v>135</v>
      </c>
      <c r="BP21">
        <v>8121.66</v>
      </c>
      <c r="BQ21">
        <v>881.59</v>
      </c>
      <c r="BR21">
        <v>5.76</v>
      </c>
      <c r="BS21">
        <v>300</v>
      </c>
      <c r="BT21">
        <v>19.3</v>
      </c>
      <c r="BU21">
        <v>908.614235416086</v>
      </c>
      <c r="BV21">
        <v>1.93255245593186</v>
      </c>
      <c r="BW21">
        <v>-21.9452405948332</v>
      </c>
      <c r="BX21">
        <v>1.40143366589652</v>
      </c>
      <c r="BY21">
        <v>0.897514186586577</v>
      </c>
      <c r="BZ21">
        <v>-0.00538132458286985</v>
      </c>
      <c r="CA21">
        <v>290</v>
      </c>
      <c r="CB21">
        <v>872.99</v>
      </c>
      <c r="CC21">
        <v>615</v>
      </c>
      <c r="CD21">
        <v>8102.77</v>
      </c>
      <c r="CE21">
        <v>881.53</v>
      </c>
      <c r="CF21">
        <v>-8.54</v>
      </c>
      <c r="CT21">
        <f>$B$11*DR21+$C$11*DS21+$F$11*ED21*(1-EG21)</f>
        <v>0</v>
      </c>
      <c r="CU21">
        <f>CT21*CV21</f>
        <v>0</v>
      </c>
      <c r="CV21">
        <f>($B$11*$D$9+$C$11*$D$9+$F$11*((EQ21+EI21)/MAX(EQ21+EI21+ER21, 0.1)*$I$9+ER21/MAX(EQ21+EI21+ER21, 0.1)*$J$9))/($B$11+$C$11+$F$11)</f>
        <v>0</v>
      </c>
      <c r="CW21">
        <f>($B$11*$K$9+$C$11*$K$9+$F$11*((EQ21+EI21)/MAX(EQ21+EI21+ER21, 0.1)*$P$9+ER21/MAX(EQ21+EI21+ER21, 0.1)*$Q$9))/($B$11+$C$11+$F$11)</f>
        <v>0</v>
      </c>
      <c r="CX21">
        <v>2</v>
      </c>
      <c r="CY21">
        <v>0.5</v>
      </c>
      <c r="CZ21" t="s">
        <v>417</v>
      </c>
      <c r="DA21">
        <v>2</v>
      </c>
      <c r="DB21">
        <v>1792304811.1</v>
      </c>
      <c r="DC21">
        <v>50.13466</v>
      </c>
      <c r="DD21">
        <v>50.00154</v>
      </c>
      <c r="DE21">
        <v>16.94716</v>
      </c>
      <c r="DF21">
        <v>15.99818</v>
      </c>
      <c r="DG21">
        <v>50.13234</v>
      </c>
      <c r="DH21">
        <v>17.07244</v>
      </c>
      <c r="DI21">
        <v>500.0602</v>
      </c>
      <c r="DJ21">
        <v>100.9082</v>
      </c>
      <c r="DK21">
        <v>0.09980056</v>
      </c>
      <c r="DL21">
        <v>24.61888</v>
      </c>
      <c r="DM21">
        <v>24.95138</v>
      </c>
      <c r="DN21">
        <v>999.9</v>
      </c>
      <c r="DO21">
        <v>0</v>
      </c>
      <c r="DP21">
        <v>0</v>
      </c>
      <c r="DQ21">
        <v>10007.134</v>
      </c>
      <c r="DR21">
        <v>0</v>
      </c>
      <c r="DS21">
        <v>5.812836</v>
      </c>
      <c r="DT21">
        <v>0.13311936</v>
      </c>
      <c r="DU21">
        <v>50.99892</v>
      </c>
      <c r="DV21">
        <v>50.81446</v>
      </c>
      <c r="DW21">
        <v>0.9489866</v>
      </c>
      <c r="DX21">
        <v>50.00154</v>
      </c>
      <c r="DY21">
        <v>15.99818</v>
      </c>
      <c r="DZ21">
        <v>1.710104</v>
      </c>
      <c r="EA21">
        <v>1.614346</v>
      </c>
      <c r="EB21">
        <v>14.98844</v>
      </c>
      <c r="EC21">
        <v>14.0964</v>
      </c>
      <c r="ED21">
        <v>1499.97</v>
      </c>
      <c r="EE21">
        <v>0.972996</v>
      </c>
      <c r="EF21">
        <v>0.02700398</v>
      </c>
      <c r="EG21">
        <v>0</v>
      </c>
      <c r="EH21">
        <v>347.7336</v>
      </c>
      <c r="EI21">
        <v>5.00064</v>
      </c>
      <c r="EJ21">
        <v>5354.826</v>
      </c>
      <c r="EK21">
        <v>15438.92</v>
      </c>
      <c r="EL21">
        <v>40.375</v>
      </c>
      <c r="EM21">
        <v>41.062</v>
      </c>
      <c r="EN21">
        <v>40.687</v>
      </c>
      <c r="EO21">
        <v>40.687</v>
      </c>
      <c r="EP21">
        <v>41.875</v>
      </c>
      <c r="EQ21">
        <v>1454.596</v>
      </c>
      <c r="ER21">
        <v>40.374</v>
      </c>
      <c r="ES21">
        <v>0</v>
      </c>
      <c r="ET21">
        <v>1493.79999995232</v>
      </c>
      <c r="EU21">
        <v>0</v>
      </c>
      <c r="EV21">
        <v>347.500076923077</v>
      </c>
      <c r="EW21">
        <v>0.308854721341685</v>
      </c>
      <c r="EX21">
        <v>1.04239312123116</v>
      </c>
      <c r="EY21">
        <v>5355.17423076923</v>
      </c>
      <c r="EZ21">
        <v>15</v>
      </c>
      <c r="FA21">
        <v>1792304759.1</v>
      </c>
      <c r="FB21" t="s">
        <v>436</v>
      </c>
      <c r="FC21">
        <v>1792304759.1</v>
      </c>
      <c r="FD21">
        <v>1792304755.1</v>
      </c>
      <c r="FE21">
        <v>64</v>
      </c>
      <c r="FF21">
        <v>-0.027</v>
      </c>
      <c r="FG21">
        <v>-0.002</v>
      </c>
      <c r="FH21">
        <v>0.002</v>
      </c>
      <c r="FI21">
        <v>-0.164</v>
      </c>
      <c r="FJ21">
        <v>50</v>
      </c>
      <c r="FK21">
        <v>16</v>
      </c>
      <c r="FL21">
        <v>0.19</v>
      </c>
      <c r="FM21">
        <v>0.06</v>
      </c>
      <c r="FN21">
        <v>-0.432404287343296</v>
      </c>
      <c r="FO21">
        <v>0.0888358703527021</v>
      </c>
      <c r="FP21">
        <v>0.0515570823036283</v>
      </c>
      <c r="FQ21">
        <v>1</v>
      </c>
      <c r="FR21">
        <v>0.127397555</v>
      </c>
      <c r="FS21">
        <v>-0.0503182691729324</v>
      </c>
      <c r="FT21">
        <v>0.0210524622215188</v>
      </c>
      <c r="FU21">
        <v>1</v>
      </c>
      <c r="FV21">
        <v>347.523941176471</v>
      </c>
      <c r="FW21">
        <v>0.284339191304942</v>
      </c>
      <c r="FX21">
        <v>0.228447051553137</v>
      </c>
      <c r="FY21">
        <v>1</v>
      </c>
      <c r="FZ21">
        <v>3</v>
      </c>
      <c r="GA21">
        <v>3</v>
      </c>
      <c r="GB21" t="s">
        <v>426</v>
      </c>
      <c r="GC21">
        <v>3.12347</v>
      </c>
      <c r="GD21">
        <v>2.7652</v>
      </c>
      <c r="GE21">
        <v>0.0136312</v>
      </c>
      <c r="GF21">
        <v>0.0139728</v>
      </c>
      <c r="GG21">
        <v>0.091073</v>
      </c>
      <c r="GH21">
        <v>0.0903205</v>
      </c>
      <c r="GI21">
        <v>19207.3</v>
      </c>
      <c r="GJ21">
        <v>28961.6</v>
      </c>
      <c r="GK21">
        <v>22753.9</v>
      </c>
      <c r="GL21">
        <v>30097</v>
      </c>
      <c r="GM21">
        <v>33921.4</v>
      </c>
      <c r="GN21">
        <v>34109.4</v>
      </c>
      <c r="GO21">
        <v>43052</v>
      </c>
      <c r="GP21">
        <v>42874</v>
      </c>
      <c r="GQ21">
        <v>1.96968</v>
      </c>
      <c r="GR21">
        <v>1.79702</v>
      </c>
      <c r="GS21">
        <v>0.0999942</v>
      </c>
      <c r="GT21">
        <v>0</v>
      </c>
      <c r="GU21">
        <v>23.3455</v>
      </c>
      <c r="GV21">
        <v>999.9</v>
      </c>
      <c r="GW21">
        <v>38.408</v>
      </c>
      <c r="GX21">
        <v>33.667</v>
      </c>
      <c r="GY21">
        <v>19.962</v>
      </c>
      <c r="GZ21">
        <v>63.1464</v>
      </c>
      <c r="HA21">
        <v>35.9255</v>
      </c>
      <c r="HB21">
        <v>1</v>
      </c>
      <c r="HC21">
        <v>0.0784096</v>
      </c>
      <c r="HD21">
        <v>2.2938</v>
      </c>
      <c r="HE21">
        <v>20.1474</v>
      </c>
      <c r="HF21">
        <v>5.23197</v>
      </c>
      <c r="HG21">
        <v>11.9622</v>
      </c>
      <c r="HH21">
        <v>4.9676</v>
      </c>
      <c r="HI21">
        <v>3.295</v>
      </c>
      <c r="HJ21">
        <v>9999</v>
      </c>
      <c r="HK21">
        <v>9999</v>
      </c>
      <c r="HL21">
        <v>9999</v>
      </c>
      <c r="HM21">
        <v>999.9</v>
      </c>
      <c r="HN21">
        <v>4.96985</v>
      </c>
      <c r="HO21">
        <v>1.86398</v>
      </c>
      <c r="HP21">
        <v>1.86545</v>
      </c>
      <c r="HQ21">
        <v>1.86737</v>
      </c>
      <c r="HR21">
        <v>1.86432</v>
      </c>
      <c r="HS21">
        <v>1.86799</v>
      </c>
      <c r="HT21">
        <v>1.86478</v>
      </c>
      <c r="HU21">
        <v>1.86669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0.002</v>
      </c>
      <c r="IJ21">
        <v>-0.1252</v>
      </c>
      <c r="IK21">
        <v>-0.00924295165979855</v>
      </c>
      <c r="IL21">
        <v>0.000216929631606078</v>
      </c>
      <c r="IM21">
        <v>2.72263024731635e-07</v>
      </c>
      <c r="IN21">
        <v>-5.43792051235154e-11</v>
      </c>
      <c r="IO21">
        <v>-0.0180937545299359</v>
      </c>
      <c r="IP21">
        <v>-0.0584433849545669</v>
      </c>
      <c r="IQ21">
        <v>0.00341568706061026</v>
      </c>
      <c r="IR21">
        <v>-2.10952612506686e-05</v>
      </c>
      <c r="IS21">
        <v>-0</v>
      </c>
      <c r="IT21">
        <v>1734</v>
      </c>
      <c r="IU21">
        <v>2</v>
      </c>
      <c r="IV21">
        <v>19</v>
      </c>
      <c r="IW21">
        <v>0.9</v>
      </c>
      <c r="IX21">
        <v>1</v>
      </c>
      <c r="IY21">
        <v>0.299072</v>
      </c>
      <c r="IZ21">
        <v>2.59399</v>
      </c>
      <c r="JA21">
        <v>1.34644</v>
      </c>
      <c r="JB21">
        <v>2.26196</v>
      </c>
      <c r="JC21">
        <v>1.55029</v>
      </c>
      <c r="JD21">
        <v>2.73315</v>
      </c>
      <c r="JE21">
        <v>39.5416</v>
      </c>
      <c r="JF21">
        <v>23.746</v>
      </c>
      <c r="JG21">
        <v>18</v>
      </c>
      <c r="JH21">
        <v>500.438</v>
      </c>
      <c r="JI21">
        <v>466.179</v>
      </c>
      <c r="JJ21">
        <v>20.9974</v>
      </c>
      <c r="JK21">
        <v>28.2167</v>
      </c>
      <c r="JL21">
        <v>30</v>
      </c>
      <c r="JM21">
        <v>28.2289</v>
      </c>
      <c r="JN21">
        <v>28.2491</v>
      </c>
      <c r="JO21">
        <v>6.00246</v>
      </c>
      <c r="JP21">
        <v>26.6012</v>
      </c>
      <c r="JQ21">
        <v>17.8556</v>
      </c>
      <c r="JR21">
        <v>21.0344</v>
      </c>
      <c r="JS21">
        <v>50</v>
      </c>
      <c r="JT21">
        <v>15.9575</v>
      </c>
      <c r="JU21">
        <v>101.656</v>
      </c>
      <c r="JV21">
        <v>97.3494</v>
      </c>
    </row>
    <row r="22" spans="1:282">
      <c r="A22">
        <v>6</v>
      </c>
      <c r="B22">
        <v>1792304935.1</v>
      </c>
      <c r="C22">
        <v>605</v>
      </c>
      <c r="D22" t="s">
        <v>437</v>
      </c>
      <c r="E22" t="s">
        <v>438</v>
      </c>
      <c r="F22">
        <v>5</v>
      </c>
      <c r="G22">
        <v>1792304931.6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416</v>
      </c>
      <c r="AK22" t="s">
        <v>416</v>
      </c>
      <c r="AL22">
        <v>0</v>
      </c>
      <c r="AM22">
        <v>0</v>
      </c>
      <c r="AN22">
        <f>1-AL22/AM22</f>
        <v>0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416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1175</v>
      </c>
      <c r="BM22">
        <v>290</v>
      </c>
      <c r="BN22">
        <v>887.35</v>
      </c>
      <c r="BO22">
        <v>135</v>
      </c>
      <c r="BP22">
        <v>8121.66</v>
      </c>
      <c r="BQ22">
        <v>881.59</v>
      </c>
      <c r="BR22">
        <v>5.76</v>
      </c>
      <c r="BS22">
        <v>300</v>
      </c>
      <c r="BT22">
        <v>19.3</v>
      </c>
      <c r="BU22">
        <v>908.614235416086</v>
      </c>
      <c r="BV22">
        <v>1.93255245593186</v>
      </c>
      <c r="BW22">
        <v>-21.9452405948332</v>
      </c>
      <c r="BX22">
        <v>1.40143366589652</v>
      </c>
      <c r="BY22">
        <v>0.897514186586577</v>
      </c>
      <c r="BZ22">
        <v>-0.00538132458286985</v>
      </c>
      <c r="CA22">
        <v>290</v>
      </c>
      <c r="CB22">
        <v>872.99</v>
      </c>
      <c r="CC22">
        <v>615</v>
      </c>
      <c r="CD22">
        <v>8102.77</v>
      </c>
      <c r="CE22">
        <v>881.53</v>
      </c>
      <c r="CF22">
        <v>-8.54</v>
      </c>
      <c r="CT22">
        <f>$B$11*DR22+$C$11*DS22+$F$11*ED22*(1-EG22)</f>
        <v>0</v>
      </c>
      <c r="CU22">
        <f>CT22*CV22</f>
        <v>0</v>
      </c>
      <c r="CV22">
        <f>($B$11*$D$9+$C$11*$D$9+$F$11*((EQ22+EI22)/MAX(EQ22+EI22+ER22, 0.1)*$I$9+ER22/MAX(EQ22+EI22+ER22, 0.1)*$J$9))/($B$11+$C$11+$F$11)</f>
        <v>0</v>
      </c>
      <c r="CW22">
        <f>($B$11*$K$9+$C$11*$K$9+$F$11*((EQ22+EI22)/MAX(EQ22+EI22+ER22, 0.1)*$P$9+ER22/MAX(EQ22+EI22+ER22, 0.1)*$Q$9))/($B$11+$C$11+$F$11)</f>
        <v>0</v>
      </c>
      <c r="CX22">
        <v>2</v>
      </c>
      <c r="CY22">
        <v>0.5</v>
      </c>
      <c r="CZ22" t="s">
        <v>417</v>
      </c>
      <c r="DA22">
        <v>2</v>
      </c>
      <c r="DB22">
        <v>1792304931.6</v>
      </c>
      <c r="DC22">
        <v>394.697666666667</v>
      </c>
      <c r="DD22">
        <v>399.991166666667</v>
      </c>
      <c r="DE22">
        <v>16.9652166666667</v>
      </c>
      <c r="DF22">
        <v>16.0514833333333</v>
      </c>
      <c r="DG22">
        <v>393.849666666667</v>
      </c>
      <c r="DH22">
        <v>17.08405</v>
      </c>
      <c r="DI22">
        <v>500.0545</v>
      </c>
      <c r="DJ22">
        <v>100.913666666667</v>
      </c>
      <c r="DK22">
        <v>0.10003085</v>
      </c>
      <c r="DL22">
        <v>24.6758333333333</v>
      </c>
      <c r="DM22">
        <v>25.0358</v>
      </c>
      <c r="DN22">
        <v>999.9</v>
      </c>
      <c r="DO22">
        <v>0</v>
      </c>
      <c r="DP22">
        <v>0</v>
      </c>
      <c r="DQ22">
        <v>10001.2383333333</v>
      </c>
      <c r="DR22">
        <v>0</v>
      </c>
      <c r="DS22">
        <v>6.27441</v>
      </c>
      <c r="DT22">
        <v>-5.29371166666667</v>
      </c>
      <c r="DU22">
        <v>401.509</v>
      </c>
      <c r="DV22">
        <v>406.516333333333</v>
      </c>
      <c r="DW22">
        <v>0.913745166666667</v>
      </c>
      <c r="DX22">
        <v>399.991166666667</v>
      </c>
      <c r="DY22">
        <v>16.0514833333333</v>
      </c>
      <c r="DZ22">
        <v>1.71202166666667</v>
      </c>
      <c r="EA22">
        <v>1.619815</v>
      </c>
      <c r="EB22">
        <v>15.0058833333333</v>
      </c>
      <c r="EC22">
        <v>14.1485833333333</v>
      </c>
      <c r="ED22">
        <v>1500.02333333333</v>
      </c>
      <c r="EE22">
        <v>0.972995</v>
      </c>
      <c r="EF22">
        <v>0.0270049</v>
      </c>
      <c r="EG22">
        <v>0</v>
      </c>
      <c r="EH22">
        <v>340.380666666667</v>
      </c>
      <c r="EI22">
        <v>5.00064</v>
      </c>
      <c r="EJ22">
        <v>5252.89666666667</v>
      </c>
      <c r="EK22">
        <v>15439.4333333333</v>
      </c>
      <c r="EL22">
        <v>40.437</v>
      </c>
      <c r="EM22">
        <v>41.1766666666667</v>
      </c>
      <c r="EN22">
        <v>40.812</v>
      </c>
      <c r="EO22">
        <v>40.812</v>
      </c>
      <c r="EP22">
        <v>41.937</v>
      </c>
      <c r="EQ22">
        <v>1454.65333333333</v>
      </c>
      <c r="ER22">
        <v>40.37</v>
      </c>
      <c r="ES22">
        <v>0</v>
      </c>
      <c r="ET22">
        <v>1615</v>
      </c>
      <c r="EU22">
        <v>0</v>
      </c>
      <c r="EV22">
        <v>340.277115384615</v>
      </c>
      <c r="EW22">
        <v>0.0297777928020046</v>
      </c>
      <c r="EX22">
        <v>2.19589742600532</v>
      </c>
      <c r="EY22">
        <v>5252.69423076923</v>
      </c>
      <c r="EZ22">
        <v>15</v>
      </c>
      <c r="FA22">
        <v>1792304881.1</v>
      </c>
      <c r="FB22" t="s">
        <v>439</v>
      </c>
      <c r="FC22">
        <v>1792304881.1</v>
      </c>
      <c r="FD22">
        <v>1792304876.1</v>
      </c>
      <c r="FE22">
        <v>65</v>
      </c>
      <c r="FF22">
        <v>0.733</v>
      </c>
      <c r="FG22">
        <v>0.006</v>
      </c>
      <c r="FH22">
        <v>0.85</v>
      </c>
      <c r="FI22">
        <v>-0.154</v>
      </c>
      <c r="FJ22">
        <v>400</v>
      </c>
      <c r="FK22">
        <v>16</v>
      </c>
      <c r="FL22">
        <v>0.23</v>
      </c>
      <c r="FM22">
        <v>0.09</v>
      </c>
      <c r="FN22">
        <v>12.2395141873601</v>
      </c>
      <c r="FO22">
        <v>-0.0395195512520501</v>
      </c>
      <c r="FP22">
        <v>0.0919292720279467</v>
      </c>
      <c r="FQ22">
        <v>1</v>
      </c>
      <c r="FR22">
        <v>-5.26338761904762</v>
      </c>
      <c r="FS22">
        <v>0.000340519480514439</v>
      </c>
      <c r="FT22">
        <v>0.0364320682790995</v>
      </c>
      <c r="FU22">
        <v>1</v>
      </c>
      <c r="FV22">
        <v>340.257470588235</v>
      </c>
      <c r="FW22">
        <v>0.44956455940418</v>
      </c>
      <c r="FX22">
        <v>0.203364094710203</v>
      </c>
      <c r="FY22">
        <v>1</v>
      </c>
      <c r="FZ22">
        <v>3</v>
      </c>
      <c r="GA22">
        <v>3</v>
      </c>
      <c r="GB22" t="s">
        <v>426</v>
      </c>
      <c r="GC22">
        <v>3.12369</v>
      </c>
      <c r="GD22">
        <v>2.76517</v>
      </c>
      <c r="GE22">
        <v>0.0866081</v>
      </c>
      <c r="GF22">
        <v>0.0898233</v>
      </c>
      <c r="GG22">
        <v>0.0910903</v>
      </c>
      <c r="GH22">
        <v>0.0904182</v>
      </c>
      <c r="GI22">
        <v>17785.4</v>
      </c>
      <c r="GJ22">
        <v>26733.3</v>
      </c>
      <c r="GK22">
        <v>22753.3</v>
      </c>
      <c r="GL22">
        <v>30097.1</v>
      </c>
      <c r="GM22">
        <v>33925</v>
      </c>
      <c r="GN22">
        <v>34110.5</v>
      </c>
      <c r="GO22">
        <v>43051.7</v>
      </c>
      <c r="GP22">
        <v>42873.4</v>
      </c>
      <c r="GQ22">
        <v>1.9703</v>
      </c>
      <c r="GR22">
        <v>1.797</v>
      </c>
      <c r="GS22">
        <v>0.0992417</v>
      </c>
      <c r="GT22">
        <v>0</v>
      </c>
      <c r="GU22">
        <v>23.4139</v>
      </c>
      <c r="GV22">
        <v>999.9</v>
      </c>
      <c r="GW22">
        <v>38.28</v>
      </c>
      <c r="GX22">
        <v>33.727</v>
      </c>
      <c r="GY22">
        <v>19.9626</v>
      </c>
      <c r="GZ22">
        <v>63.1964</v>
      </c>
      <c r="HA22">
        <v>35.8534</v>
      </c>
      <c r="HB22">
        <v>1</v>
      </c>
      <c r="HC22">
        <v>0.0797129</v>
      </c>
      <c r="HD22">
        <v>2.66691</v>
      </c>
      <c r="HE22">
        <v>20.1416</v>
      </c>
      <c r="HF22">
        <v>5.23271</v>
      </c>
      <c r="HG22">
        <v>11.962</v>
      </c>
      <c r="HH22">
        <v>4.9693</v>
      </c>
      <c r="HI22">
        <v>3.295</v>
      </c>
      <c r="HJ22">
        <v>9999</v>
      </c>
      <c r="HK22">
        <v>9999</v>
      </c>
      <c r="HL22">
        <v>9999</v>
      </c>
      <c r="HM22">
        <v>999.9</v>
      </c>
      <c r="HN22">
        <v>4.96984</v>
      </c>
      <c r="HO22">
        <v>1.86396</v>
      </c>
      <c r="HP22">
        <v>1.86549</v>
      </c>
      <c r="HQ22">
        <v>1.86737</v>
      </c>
      <c r="HR22">
        <v>1.86432</v>
      </c>
      <c r="HS22">
        <v>1.86798</v>
      </c>
      <c r="HT22">
        <v>1.86478</v>
      </c>
      <c r="HU22">
        <v>1.86674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0.848</v>
      </c>
      <c r="IJ22">
        <v>-0.1191</v>
      </c>
      <c r="IK22">
        <v>0.723755893955536</v>
      </c>
      <c r="IL22">
        <v>0.000216929631606078</v>
      </c>
      <c r="IM22">
        <v>2.72263024731635e-07</v>
      </c>
      <c r="IN22">
        <v>-5.43792051235154e-11</v>
      </c>
      <c r="IO22">
        <v>-0.0121091664045102</v>
      </c>
      <c r="IP22">
        <v>-0.0584433849545669</v>
      </c>
      <c r="IQ22">
        <v>0.00341568706061026</v>
      </c>
      <c r="IR22">
        <v>-2.10952612506686e-05</v>
      </c>
      <c r="IS22">
        <v>-0</v>
      </c>
      <c r="IT22">
        <v>1734</v>
      </c>
      <c r="IU22">
        <v>2</v>
      </c>
      <c r="IV22">
        <v>19</v>
      </c>
      <c r="IW22">
        <v>0.9</v>
      </c>
      <c r="IX22">
        <v>1</v>
      </c>
      <c r="IY22">
        <v>1.05225</v>
      </c>
      <c r="IZ22">
        <v>2.57935</v>
      </c>
      <c r="JA22">
        <v>1.34644</v>
      </c>
      <c r="JB22">
        <v>2.26196</v>
      </c>
      <c r="JC22">
        <v>1.55029</v>
      </c>
      <c r="JD22">
        <v>2.62939</v>
      </c>
      <c r="JE22">
        <v>39.5416</v>
      </c>
      <c r="JF22">
        <v>23.7373</v>
      </c>
      <c r="JG22">
        <v>18</v>
      </c>
      <c r="JH22">
        <v>500.839</v>
      </c>
      <c r="JI22">
        <v>466.142</v>
      </c>
      <c r="JJ22">
        <v>20.9858</v>
      </c>
      <c r="JK22">
        <v>28.2263</v>
      </c>
      <c r="JL22">
        <v>30.0003</v>
      </c>
      <c r="JM22">
        <v>28.2302</v>
      </c>
      <c r="JN22">
        <v>28.2468</v>
      </c>
      <c r="JO22">
        <v>21.0758</v>
      </c>
      <c r="JP22">
        <v>26.5254</v>
      </c>
      <c r="JQ22">
        <v>17.1127</v>
      </c>
      <c r="JR22">
        <v>20.947</v>
      </c>
      <c r="JS22">
        <v>400</v>
      </c>
      <c r="JT22">
        <v>16.0208</v>
      </c>
      <c r="JU22">
        <v>101.655</v>
      </c>
      <c r="JV22">
        <v>97.3488</v>
      </c>
    </row>
    <row r="23" spans="1:282">
      <c r="A23">
        <v>7</v>
      </c>
      <c r="B23">
        <v>1792305056.1</v>
      </c>
      <c r="C23">
        <v>726</v>
      </c>
      <c r="D23" t="s">
        <v>440</v>
      </c>
      <c r="E23" t="s">
        <v>441</v>
      </c>
      <c r="F23">
        <v>5</v>
      </c>
      <c r="G23">
        <v>1792305052.6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416</v>
      </c>
      <c r="AK23" t="s">
        <v>416</v>
      </c>
      <c r="AL23">
        <v>0</v>
      </c>
      <c r="AM23">
        <v>0</v>
      </c>
      <c r="AN23">
        <f>1-AL23/AM23</f>
        <v>0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416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1175</v>
      </c>
      <c r="BM23">
        <v>290</v>
      </c>
      <c r="BN23">
        <v>887.35</v>
      </c>
      <c r="BO23">
        <v>135</v>
      </c>
      <c r="BP23">
        <v>8121.66</v>
      </c>
      <c r="BQ23">
        <v>881.59</v>
      </c>
      <c r="BR23">
        <v>5.76</v>
      </c>
      <c r="BS23">
        <v>300</v>
      </c>
      <c r="BT23">
        <v>19.3</v>
      </c>
      <c r="BU23">
        <v>908.614235416086</v>
      </c>
      <c r="BV23">
        <v>1.93255245593186</v>
      </c>
      <c r="BW23">
        <v>-21.9452405948332</v>
      </c>
      <c r="BX23">
        <v>1.40143366589652</v>
      </c>
      <c r="BY23">
        <v>0.897514186586577</v>
      </c>
      <c r="BZ23">
        <v>-0.00538132458286985</v>
      </c>
      <c r="CA23">
        <v>290</v>
      </c>
      <c r="CB23">
        <v>872.99</v>
      </c>
      <c r="CC23">
        <v>615</v>
      </c>
      <c r="CD23">
        <v>8102.77</v>
      </c>
      <c r="CE23">
        <v>881.53</v>
      </c>
      <c r="CF23">
        <v>-8.54</v>
      </c>
      <c r="CT23">
        <f>$B$11*DR23+$C$11*DS23+$F$11*ED23*(1-EG23)</f>
        <v>0</v>
      </c>
      <c r="CU23">
        <f>CT23*CV23</f>
        <v>0</v>
      </c>
      <c r="CV23">
        <f>($B$11*$D$9+$C$11*$D$9+$F$11*((EQ23+EI23)/MAX(EQ23+EI23+ER23, 0.1)*$I$9+ER23/MAX(EQ23+EI23+ER23, 0.1)*$J$9))/($B$11+$C$11+$F$11)</f>
        <v>0</v>
      </c>
      <c r="CW23">
        <f>($B$11*$K$9+$C$11*$K$9+$F$11*((EQ23+EI23)/MAX(EQ23+EI23+ER23, 0.1)*$P$9+ER23/MAX(EQ23+EI23+ER23, 0.1)*$Q$9))/($B$11+$C$11+$F$11)</f>
        <v>0</v>
      </c>
      <c r="CX23">
        <v>2</v>
      </c>
      <c r="CY23">
        <v>0.5</v>
      </c>
      <c r="CZ23" t="s">
        <v>417</v>
      </c>
      <c r="DA23">
        <v>2</v>
      </c>
      <c r="DB23">
        <v>1792305052.6</v>
      </c>
      <c r="DC23">
        <v>394.832666666667</v>
      </c>
      <c r="DD23">
        <v>399.9655</v>
      </c>
      <c r="DE23">
        <v>16.9962666666667</v>
      </c>
      <c r="DF23">
        <v>16.1067833333333</v>
      </c>
      <c r="DG23">
        <v>394.011833333333</v>
      </c>
      <c r="DH23">
        <v>17.1145833333333</v>
      </c>
      <c r="DI23">
        <v>500.086833333333</v>
      </c>
      <c r="DJ23">
        <v>100.912833333333</v>
      </c>
      <c r="DK23">
        <v>0.100044133333333</v>
      </c>
      <c r="DL23">
        <v>24.6505833333333</v>
      </c>
      <c r="DM23">
        <v>24.9730666666667</v>
      </c>
      <c r="DN23">
        <v>999.9</v>
      </c>
      <c r="DO23">
        <v>0</v>
      </c>
      <c r="DP23">
        <v>0</v>
      </c>
      <c r="DQ23">
        <v>10001.4683333333</v>
      </c>
      <c r="DR23">
        <v>0</v>
      </c>
      <c r="DS23">
        <v>6.313965</v>
      </c>
      <c r="DT23">
        <v>-5.13277666666667</v>
      </c>
      <c r="DU23">
        <v>401.6595</v>
      </c>
      <c r="DV23">
        <v>406.513333333333</v>
      </c>
      <c r="DW23">
        <v>0.889471833333333</v>
      </c>
      <c r="DX23">
        <v>399.9655</v>
      </c>
      <c r="DY23">
        <v>16.1067833333333</v>
      </c>
      <c r="DZ23">
        <v>1.71514333333333</v>
      </c>
      <c r="EA23">
        <v>1.62538333333333</v>
      </c>
      <c r="EB23">
        <v>15.0341333333333</v>
      </c>
      <c r="EC23">
        <v>14.20155</v>
      </c>
      <c r="ED23">
        <v>1500.03833333333</v>
      </c>
      <c r="EE23">
        <v>0.972996333333333</v>
      </c>
      <c r="EF23">
        <v>0.0270036</v>
      </c>
      <c r="EG23">
        <v>0</v>
      </c>
      <c r="EH23">
        <v>338.187</v>
      </c>
      <c r="EI23">
        <v>5.00064</v>
      </c>
      <c r="EJ23">
        <v>5222.275</v>
      </c>
      <c r="EK23">
        <v>15439.5833333333</v>
      </c>
      <c r="EL23">
        <v>40.5</v>
      </c>
      <c r="EM23">
        <v>41.25</v>
      </c>
      <c r="EN23">
        <v>40.875</v>
      </c>
      <c r="EO23">
        <v>40.833</v>
      </c>
      <c r="EP23">
        <v>42</v>
      </c>
      <c r="EQ23">
        <v>1454.66833333333</v>
      </c>
      <c r="ER23">
        <v>40.37</v>
      </c>
      <c r="ES23">
        <v>0</v>
      </c>
      <c r="ET23">
        <v>1735.59999990463</v>
      </c>
      <c r="EU23">
        <v>0</v>
      </c>
      <c r="EV23">
        <v>338.14116</v>
      </c>
      <c r="EW23">
        <v>-0.175153839842442</v>
      </c>
      <c r="EX23">
        <v>-7.15999997739133</v>
      </c>
      <c r="EY23">
        <v>5222.6256</v>
      </c>
      <c r="EZ23">
        <v>15</v>
      </c>
      <c r="FA23">
        <v>1792304994.1</v>
      </c>
      <c r="FB23" t="s">
        <v>442</v>
      </c>
      <c r="FC23">
        <v>1792304994.1</v>
      </c>
      <c r="FD23">
        <v>1792304986.1</v>
      </c>
      <c r="FE23">
        <v>66</v>
      </c>
      <c r="FF23">
        <v>-0.027</v>
      </c>
      <c r="FG23">
        <v>-0.001</v>
      </c>
      <c r="FH23">
        <v>0.823</v>
      </c>
      <c r="FI23">
        <v>-0.154</v>
      </c>
      <c r="FJ23">
        <v>400</v>
      </c>
      <c r="FK23">
        <v>16</v>
      </c>
      <c r="FL23">
        <v>0.37</v>
      </c>
      <c r="FM23">
        <v>0.07</v>
      </c>
      <c r="FN23">
        <v>12.0790536031517</v>
      </c>
      <c r="FO23">
        <v>-0.792850683982</v>
      </c>
      <c r="FP23">
        <v>0.113012294768961</v>
      </c>
      <c r="FQ23">
        <v>0</v>
      </c>
      <c r="FR23">
        <v>-5.17761380952381</v>
      </c>
      <c r="FS23">
        <v>0.262801558441564</v>
      </c>
      <c r="FT23">
        <v>0.0443909598772189</v>
      </c>
      <c r="FU23">
        <v>1</v>
      </c>
      <c r="FV23">
        <v>338.153441176471</v>
      </c>
      <c r="FW23">
        <v>-0.253124518494951</v>
      </c>
      <c r="FX23">
        <v>0.239121085642017</v>
      </c>
      <c r="FY23">
        <v>1</v>
      </c>
      <c r="FZ23">
        <v>2</v>
      </c>
      <c r="GA23">
        <v>3</v>
      </c>
      <c r="GB23" t="s">
        <v>433</v>
      </c>
      <c r="GC23">
        <v>3.12354</v>
      </c>
      <c r="GD23">
        <v>2.76522</v>
      </c>
      <c r="GE23">
        <v>0.0866429</v>
      </c>
      <c r="GF23">
        <v>0.0898083</v>
      </c>
      <c r="GG23">
        <v>0.0911941</v>
      </c>
      <c r="GH23">
        <v>0.0907574</v>
      </c>
      <c r="GI23">
        <v>17785.3</v>
      </c>
      <c r="GJ23">
        <v>26734.9</v>
      </c>
      <c r="GK23">
        <v>22754.1</v>
      </c>
      <c r="GL23">
        <v>30098.4</v>
      </c>
      <c r="GM23">
        <v>33921.7</v>
      </c>
      <c r="GN23">
        <v>34099</v>
      </c>
      <c r="GO23">
        <v>43052.7</v>
      </c>
      <c r="GP23">
        <v>42875.1</v>
      </c>
      <c r="GQ23">
        <v>1.97018</v>
      </c>
      <c r="GR23">
        <v>1.79725</v>
      </c>
      <c r="GS23">
        <v>0.0928715</v>
      </c>
      <c r="GT23">
        <v>0</v>
      </c>
      <c r="GU23">
        <v>23.4362</v>
      </c>
      <c r="GV23">
        <v>999.9</v>
      </c>
      <c r="GW23">
        <v>38.17</v>
      </c>
      <c r="GX23">
        <v>33.778</v>
      </c>
      <c r="GY23">
        <v>19.9624</v>
      </c>
      <c r="GZ23">
        <v>63.1565</v>
      </c>
      <c r="HA23">
        <v>35.8774</v>
      </c>
      <c r="HB23">
        <v>1</v>
      </c>
      <c r="HC23">
        <v>0.0782063</v>
      </c>
      <c r="HD23">
        <v>2.49548</v>
      </c>
      <c r="HE23">
        <v>20.1451</v>
      </c>
      <c r="HF23">
        <v>5.22942</v>
      </c>
      <c r="HG23">
        <v>11.962</v>
      </c>
      <c r="HH23">
        <v>4.96765</v>
      </c>
      <c r="HI23">
        <v>3.295</v>
      </c>
      <c r="HJ23">
        <v>9999</v>
      </c>
      <c r="HK23">
        <v>9999</v>
      </c>
      <c r="HL23">
        <v>9999</v>
      </c>
      <c r="HM23">
        <v>999.9</v>
      </c>
      <c r="HN23">
        <v>4.96983</v>
      </c>
      <c r="HO23">
        <v>1.86398</v>
      </c>
      <c r="HP23">
        <v>1.86549</v>
      </c>
      <c r="HQ23">
        <v>1.86737</v>
      </c>
      <c r="HR23">
        <v>1.86434</v>
      </c>
      <c r="HS23">
        <v>1.86801</v>
      </c>
      <c r="HT23">
        <v>1.86479</v>
      </c>
      <c r="HU23">
        <v>1.86674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0.821</v>
      </c>
      <c r="IJ23">
        <v>-0.1187</v>
      </c>
      <c r="IK23">
        <v>0.696457308661663</v>
      </c>
      <c r="IL23">
        <v>0.000216929631606078</v>
      </c>
      <c r="IM23">
        <v>2.72263024731635e-07</v>
      </c>
      <c r="IN23">
        <v>-5.43792051235154e-11</v>
      </c>
      <c r="IO23">
        <v>-0.0128118884683201</v>
      </c>
      <c r="IP23">
        <v>-0.0584433849545669</v>
      </c>
      <c r="IQ23">
        <v>0.00341568706061026</v>
      </c>
      <c r="IR23">
        <v>-2.10952612506686e-05</v>
      </c>
      <c r="IS23">
        <v>-0</v>
      </c>
      <c r="IT23">
        <v>1734</v>
      </c>
      <c r="IU23">
        <v>2</v>
      </c>
      <c r="IV23">
        <v>19</v>
      </c>
      <c r="IW23">
        <v>1</v>
      </c>
      <c r="IX23">
        <v>1.2</v>
      </c>
      <c r="IY23">
        <v>1.05225</v>
      </c>
      <c r="IZ23">
        <v>2.59888</v>
      </c>
      <c r="JA23">
        <v>1.34766</v>
      </c>
      <c r="JB23">
        <v>2.26196</v>
      </c>
      <c r="JC23">
        <v>1.55029</v>
      </c>
      <c r="JD23">
        <v>2.4292</v>
      </c>
      <c r="JE23">
        <v>39.6167</v>
      </c>
      <c r="JF23">
        <v>23.7285</v>
      </c>
      <c r="JG23">
        <v>18</v>
      </c>
      <c r="JH23">
        <v>500.698</v>
      </c>
      <c r="JI23">
        <v>466.249</v>
      </c>
      <c r="JJ23">
        <v>20.8974</v>
      </c>
      <c r="JK23">
        <v>28.2166</v>
      </c>
      <c r="JL23">
        <v>30.0001</v>
      </c>
      <c r="JM23">
        <v>28.223</v>
      </c>
      <c r="JN23">
        <v>28.2395</v>
      </c>
      <c r="JO23">
        <v>21.0725</v>
      </c>
      <c r="JP23">
        <v>25.9942</v>
      </c>
      <c r="JQ23">
        <v>17.1127</v>
      </c>
      <c r="JR23">
        <v>20.9027</v>
      </c>
      <c r="JS23">
        <v>400</v>
      </c>
      <c r="JT23">
        <v>16.1028</v>
      </c>
      <c r="JU23">
        <v>101.658</v>
      </c>
      <c r="JV23">
        <v>97.3529</v>
      </c>
    </row>
    <row r="24" spans="1:282">
      <c r="A24">
        <v>8</v>
      </c>
      <c r="B24">
        <v>1792305195</v>
      </c>
      <c r="C24">
        <v>864.900000095367</v>
      </c>
      <c r="D24" t="s">
        <v>443</v>
      </c>
      <c r="E24" t="s">
        <v>444</v>
      </c>
      <c r="F24">
        <v>5</v>
      </c>
      <c r="G24">
        <v>1792305192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416</v>
      </c>
      <c r="AK24" t="s">
        <v>416</v>
      </c>
      <c r="AL24">
        <v>0</v>
      </c>
      <c r="AM24">
        <v>0</v>
      </c>
      <c r="AN24">
        <f>1-AL24/AM24</f>
        <v>0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416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1175</v>
      </c>
      <c r="BM24">
        <v>290</v>
      </c>
      <c r="BN24">
        <v>887.35</v>
      </c>
      <c r="BO24">
        <v>135</v>
      </c>
      <c r="BP24">
        <v>8121.66</v>
      </c>
      <c r="BQ24">
        <v>881.59</v>
      </c>
      <c r="BR24">
        <v>5.76</v>
      </c>
      <c r="BS24">
        <v>300</v>
      </c>
      <c r="BT24">
        <v>19.3</v>
      </c>
      <c r="BU24">
        <v>908.614235416086</v>
      </c>
      <c r="BV24">
        <v>1.93255245593186</v>
      </c>
      <c r="BW24">
        <v>-21.9452405948332</v>
      </c>
      <c r="BX24">
        <v>1.40143366589652</v>
      </c>
      <c r="BY24">
        <v>0.897514186586577</v>
      </c>
      <c r="BZ24">
        <v>-0.00538132458286985</v>
      </c>
      <c r="CA24">
        <v>290</v>
      </c>
      <c r="CB24">
        <v>872.99</v>
      </c>
      <c r="CC24">
        <v>615</v>
      </c>
      <c r="CD24">
        <v>8102.77</v>
      </c>
      <c r="CE24">
        <v>881.53</v>
      </c>
      <c r="CF24">
        <v>-8.54</v>
      </c>
      <c r="CT24">
        <f>$B$11*DR24+$C$11*DS24+$F$11*ED24*(1-EG24)</f>
        <v>0</v>
      </c>
      <c r="CU24">
        <f>CT24*CV24</f>
        <v>0</v>
      </c>
      <c r="CV24">
        <f>($B$11*$D$9+$C$11*$D$9+$F$11*((EQ24+EI24)/MAX(EQ24+EI24+ER24, 0.1)*$I$9+ER24/MAX(EQ24+EI24+ER24, 0.1)*$J$9))/($B$11+$C$11+$F$11)</f>
        <v>0</v>
      </c>
      <c r="CW24">
        <f>($B$11*$K$9+$C$11*$K$9+$F$11*((EQ24+EI24)/MAX(EQ24+EI24+ER24, 0.1)*$P$9+ER24/MAX(EQ24+EI24+ER24, 0.1)*$Q$9))/($B$11+$C$11+$F$11)</f>
        <v>0</v>
      </c>
      <c r="CX24">
        <v>2</v>
      </c>
      <c r="CY24">
        <v>0.5</v>
      </c>
      <c r="CZ24" t="s">
        <v>417</v>
      </c>
      <c r="DA24">
        <v>2</v>
      </c>
      <c r="DB24">
        <v>1792305192</v>
      </c>
      <c r="DC24">
        <v>691.7746</v>
      </c>
      <c r="DD24">
        <v>700.0052</v>
      </c>
      <c r="DE24">
        <v>16.96976</v>
      </c>
      <c r="DF24">
        <v>16.1193</v>
      </c>
      <c r="DG24">
        <v>690.7556</v>
      </c>
      <c r="DH24">
        <v>17.08686</v>
      </c>
      <c r="DI24">
        <v>500.0586</v>
      </c>
      <c r="DJ24">
        <v>100.8976</v>
      </c>
      <c r="DK24">
        <v>0.10016982</v>
      </c>
      <c r="DL24">
        <v>24.6739</v>
      </c>
      <c r="DM24">
        <v>25.0198</v>
      </c>
      <c r="DN24">
        <v>999.9</v>
      </c>
      <c r="DO24">
        <v>0</v>
      </c>
      <c r="DP24">
        <v>0</v>
      </c>
      <c r="DQ24">
        <v>10000.128</v>
      </c>
      <c r="DR24">
        <v>0</v>
      </c>
      <c r="DS24">
        <v>6.38162</v>
      </c>
      <c r="DT24">
        <v>-8.230638</v>
      </c>
      <c r="DU24">
        <v>703.7166</v>
      </c>
      <c r="DV24">
        <v>711.4736</v>
      </c>
      <c r="DW24">
        <v>0.8504668</v>
      </c>
      <c r="DX24">
        <v>700.0052</v>
      </c>
      <c r="DY24">
        <v>16.1193</v>
      </c>
      <c r="DZ24">
        <v>1.712212</v>
      </c>
      <c r="EA24">
        <v>1.6264</v>
      </c>
      <c r="EB24">
        <v>15.0076</v>
      </c>
      <c r="EC24">
        <v>14.21124</v>
      </c>
      <c r="ED24">
        <v>1500.016</v>
      </c>
      <c r="EE24">
        <v>0.9729966</v>
      </c>
      <c r="EF24">
        <v>0.0270033</v>
      </c>
      <c r="EG24">
        <v>0</v>
      </c>
      <c r="EH24">
        <v>337.3528</v>
      </c>
      <c r="EI24">
        <v>5.00064</v>
      </c>
      <c r="EJ24">
        <v>5215.952</v>
      </c>
      <c r="EK24">
        <v>15439.38</v>
      </c>
      <c r="EL24">
        <v>40.562</v>
      </c>
      <c r="EM24">
        <v>41.312</v>
      </c>
      <c r="EN24">
        <v>40.937</v>
      </c>
      <c r="EO24">
        <v>40.937</v>
      </c>
      <c r="EP24">
        <v>42.062</v>
      </c>
      <c r="EQ24">
        <v>1454.646</v>
      </c>
      <c r="ER24">
        <v>40.37</v>
      </c>
      <c r="ES24">
        <v>0</v>
      </c>
      <c r="ET24">
        <v>1874.79999995232</v>
      </c>
      <c r="EU24">
        <v>0</v>
      </c>
      <c r="EV24">
        <v>337.4442</v>
      </c>
      <c r="EW24">
        <v>0.0716923058951364</v>
      </c>
      <c r="EX24">
        <v>-14.700000032709</v>
      </c>
      <c r="EY24">
        <v>5217.0516</v>
      </c>
      <c r="EZ24">
        <v>15</v>
      </c>
      <c r="FA24">
        <v>1792305130</v>
      </c>
      <c r="FB24" t="s">
        <v>445</v>
      </c>
      <c r="FC24">
        <v>1792305130</v>
      </c>
      <c r="FD24">
        <v>1792305113</v>
      </c>
      <c r="FE24">
        <v>67</v>
      </c>
      <c r="FF24">
        <v>0.061</v>
      </c>
      <c r="FG24">
        <v>0.002</v>
      </c>
      <c r="FH24">
        <v>1.023</v>
      </c>
      <c r="FI24">
        <v>-0.149</v>
      </c>
      <c r="FJ24">
        <v>700</v>
      </c>
      <c r="FK24">
        <v>16</v>
      </c>
      <c r="FL24">
        <v>0.2</v>
      </c>
      <c r="FM24">
        <v>0.05</v>
      </c>
      <c r="FN24">
        <v>19.1147125513002</v>
      </c>
      <c r="FO24">
        <v>0.447710426035814</v>
      </c>
      <c r="FP24">
        <v>0.144669731135545</v>
      </c>
      <c r="FQ24">
        <v>1</v>
      </c>
      <c r="FR24">
        <v>-8.24020142857143</v>
      </c>
      <c r="FS24">
        <v>-0.141264935064948</v>
      </c>
      <c r="FT24">
        <v>0.0545636105220069</v>
      </c>
      <c r="FU24">
        <v>1</v>
      </c>
      <c r="FV24">
        <v>337.484558823529</v>
      </c>
      <c r="FW24">
        <v>-0.491321617708698</v>
      </c>
      <c r="FX24">
        <v>0.195052058085331</v>
      </c>
      <c r="FY24">
        <v>1</v>
      </c>
      <c r="FZ24">
        <v>3</v>
      </c>
      <c r="GA24">
        <v>3</v>
      </c>
      <c r="GB24" t="s">
        <v>426</v>
      </c>
      <c r="GC24">
        <v>3.12369</v>
      </c>
      <c r="GD24">
        <v>2.7653</v>
      </c>
      <c r="GE24">
        <v>0.129788</v>
      </c>
      <c r="GF24">
        <v>0.134268</v>
      </c>
      <c r="GG24">
        <v>0.0910749</v>
      </c>
      <c r="GH24">
        <v>0.0908005</v>
      </c>
      <c r="GI24">
        <v>16942.9</v>
      </c>
      <c r="GJ24">
        <v>25426.9</v>
      </c>
      <c r="GK24">
        <v>22751.2</v>
      </c>
      <c r="GL24">
        <v>30096.2</v>
      </c>
      <c r="GM24">
        <v>33925.8</v>
      </c>
      <c r="GN24">
        <v>34098.6</v>
      </c>
      <c r="GO24">
        <v>43048.7</v>
      </c>
      <c r="GP24">
        <v>42872.8</v>
      </c>
      <c r="GQ24">
        <v>1.97045</v>
      </c>
      <c r="GR24">
        <v>1.79695</v>
      </c>
      <c r="GS24">
        <v>0.0947192</v>
      </c>
      <c r="GT24">
        <v>0</v>
      </c>
      <c r="GU24">
        <v>23.4311</v>
      </c>
      <c r="GV24">
        <v>999.9</v>
      </c>
      <c r="GW24">
        <v>38.048</v>
      </c>
      <c r="GX24">
        <v>33.818</v>
      </c>
      <c r="GY24">
        <v>19.9464</v>
      </c>
      <c r="GZ24">
        <v>63.3265</v>
      </c>
      <c r="HA24">
        <v>35.8133</v>
      </c>
      <c r="HB24">
        <v>1</v>
      </c>
      <c r="HC24">
        <v>0.0811484</v>
      </c>
      <c r="HD24">
        <v>2.68286</v>
      </c>
      <c r="HE24">
        <v>20.1421</v>
      </c>
      <c r="HF24">
        <v>5.23421</v>
      </c>
      <c r="HG24">
        <v>11.962</v>
      </c>
      <c r="HH24">
        <v>4.96905</v>
      </c>
      <c r="HI24">
        <v>3.295</v>
      </c>
      <c r="HJ24">
        <v>9999</v>
      </c>
      <c r="HK24">
        <v>9999</v>
      </c>
      <c r="HL24">
        <v>9999</v>
      </c>
      <c r="HM24">
        <v>999.9</v>
      </c>
      <c r="HN24">
        <v>4.96984</v>
      </c>
      <c r="HO24">
        <v>1.86399</v>
      </c>
      <c r="HP24">
        <v>1.86547</v>
      </c>
      <c r="HQ24">
        <v>1.86735</v>
      </c>
      <c r="HR24">
        <v>1.86432</v>
      </c>
      <c r="HS24">
        <v>1.86801</v>
      </c>
      <c r="HT24">
        <v>1.86478</v>
      </c>
      <c r="HU24">
        <v>1.86672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1.019</v>
      </c>
      <c r="IJ24">
        <v>-0.1174</v>
      </c>
      <c r="IK24">
        <v>0.757174226144204</v>
      </c>
      <c r="IL24">
        <v>0.000216929631606078</v>
      </c>
      <c r="IM24">
        <v>2.72263024731635e-07</v>
      </c>
      <c r="IN24">
        <v>-5.43792051235154e-11</v>
      </c>
      <c r="IO24">
        <v>-0.0104827104246776</v>
      </c>
      <c r="IP24">
        <v>-0.0584433849545669</v>
      </c>
      <c r="IQ24">
        <v>0.00341568706061026</v>
      </c>
      <c r="IR24">
        <v>-2.10952612506686e-05</v>
      </c>
      <c r="IS24">
        <v>-0</v>
      </c>
      <c r="IT24">
        <v>1734</v>
      </c>
      <c r="IU24">
        <v>2</v>
      </c>
      <c r="IV24">
        <v>19</v>
      </c>
      <c r="IW24">
        <v>1.1</v>
      </c>
      <c r="IX24">
        <v>1.4</v>
      </c>
      <c r="IY24">
        <v>1.63574</v>
      </c>
      <c r="IZ24">
        <v>2.59155</v>
      </c>
      <c r="JA24">
        <v>1.34766</v>
      </c>
      <c r="JB24">
        <v>2.26196</v>
      </c>
      <c r="JC24">
        <v>1.55029</v>
      </c>
      <c r="JD24">
        <v>2.4646</v>
      </c>
      <c r="JE24">
        <v>39.6669</v>
      </c>
      <c r="JF24">
        <v>23.7285</v>
      </c>
      <c r="JG24">
        <v>18</v>
      </c>
      <c r="JH24">
        <v>500.973</v>
      </c>
      <c r="JI24">
        <v>466.151</v>
      </c>
      <c r="JJ24">
        <v>21.0651</v>
      </c>
      <c r="JK24">
        <v>28.2335</v>
      </c>
      <c r="JL24">
        <v>30.0012</v>
      </c>
      <c r="JM24">
        <v>28.2349</v>
      </c>
      <c r="JN24">
        <v>28.2519</v>
      </c>
      <c r="JO24">
        <v>32.7302</v>
      </c>
      <c r="JP24">
        <v>26.0849</v>
      </c>
      <c r="JQ24">
        <v>16.7413</v>
      </c>
      <c r="JR24">
        <v>21.0184</v>
      </c>
      <c r="JS24">
        <v>700</v>
      </c>
      <c r="JT24">
        <v>16.0905</v>
      </c>
      <c r="JU24">
        <v>101.647</v>
      </c>
      <c r="JV24">
        <v>97.3467</v>
      </c>
    </row>
    <row r="25" spans="1:282">
      <c r="A25">
        <v>9</v>
      </c>
      <c r="B25">
        <v>1792305327</v>
      </c>
      <c r="C25">
        <v>996.900000095367</v>
      </c>
      <c r="D25" t="s">
        <v>446</v>
      </c>
      <c r="E25" t="s">
        <v>447</v>
      </c>
      <c r="F25">
        <v>5</v>
      </c>
      <c r="G25">
        <v>1792305323.5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416</v>
      </c>
      <c r="AK25" t="s">
        <v>416</v>
      </c>
      <c r="AL25">
        <v>0</v>
      </c>
      <c r="AM25">
        <v>0</v>
      </c>
      <c r="AN25">
        <f>1-AL25/AM25</f>
        <v>0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416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1175</v>
      </c>
      <c r="BM25">
        <v>290</v>
      </c>
      <c r="BN25">
        <v>887.35</v>
      </c>
      <c r="BO25">
        <v>135</v>
      </c>
      <c r="BP25">
        <v>8121.66</v>
      </c>
      <c r="BQ25">
        <v>881.59</v>
      </c>
      <c r="BR25">
        <v>5.76</v>
      </c>
      <c r="BS25">
        <v>300</v>
      </c>
      <c r="BT25">
        <v>19.3</v>
      </c>
      <c r="BU25">
        <v>908.614235416086</v>
      </c>
      <c r="BV25">
        <v>1.93255245593186</v>
      </c>
      <c r="BW25">
        <v>-21.9452405948332</v>
      </c>
      <c r="BX25">
        <v>1.40143366589652</v>
      </c>
      <c r="BY25">
        <v>0.897514186586577</v>
      </c>
      <c r="BZ25">
        <v>-0.00538132458286985</v>
      </c>
      <c r="CA25">
        <v>290</v>
      </c>
      <c r="CB25">
        <v>872.99</v>
      </c>
      <c r="CC25">
        <v>615</v>
      </c>
      <c r="CD25">
        <v>8102.77</v>
      </c>
      <c r="CE25">
        <v>881.53</v>
      </c>
      <c r="CF25">
        <v>-8.54</v>
      </c>
      <c r="CT25">
        <f>$B$11*DR25+$C$11*DS25+$F$11*ED25*(1-EG25)</f>
        <v>0</v>
      </c>
      <c r="CU25">
        <f>CT25*CV25</f>
        <v>0</v>
      </c>
      <c r="CV25">
        <f>($B$11*$D$9+$C$11*$D$9+$F$11*((EQ25+EI25)/MAX(EQ25+EI25+ER25, 0.1)*$I$9+ER25/MAX(EQ25+EI25+ER25, 0.1)*$J$9))/($B$11+$C$11+$F$11)</f>
        <v>0</v>
      </c>
      <c r="CW25">
        <f>($B$11*$K$9+$C$11*$K$9+$F$11*((EQ25+EI25)/MAX(EQ25+EI25+ER25, 0.1)*$P$9+ER25/MAX(EQ25+EI25+ER25, 0.1)*$Q$9))/($B$11+$C$11+$F$11)</f>
        <v>0</v>
      </c>
      <c r="CX25">
        <v>2</v>
      </c>
      <c r="CY25">
        <v>0.5</v>
      </c>
      <c r="CZ25" t="s">
        <v>417</v>
      </c>
      <c r="DA25">
        <v>2</v>
      </c>
      <c r="DB25">
        <v>1792305323.5</v>
      </c>
      <c r="DC25">
        <v>989.6975</v>
      </c>
      <c r="DD25">
        <v>1000.02166666667</v>
      </c>
      <c r="DE25">
        <v>16.9835</v>
      </c>
      <c r="DF25">
        <v>16.2256666666667</v>
      </c>
      <c r="DG25">
        <v>988.794166666667</v>
      </c>
      <c r="DH25">
        <v>17.09615</v>
      </c>
      <c r="DI25">
        <v>499.982833333333</v>
      </c>
      <c r="DJ25">
        <v>100.895166666667</v>
      </c>
      <c r="DK25">
        <v>0.09994535</v>
      </c>
      <c r="DL25">
        <v>24.6732666666667</v>
      </c>
      <c r="DM25">
        <v>24.9676</v>
      </c>
      <c r="DN25">
        <v>999.9</v>
      </c>
      <c r="DO25">
        <v>0</v>
      </c>
      <c r="DP25">
        <v>0</v>
      </c>
      <c r="DQ25">
        <v>9993.43</v>
      </c>
      <c r="DR25">
        <v>0</v>
      </c>
      <c r="DS25">
        <v>6.339655</v>
      </c>
      <c r="DT25">
        <v>-10.32475</v>
      </c>
      <c r="DU25">
        <v>1006.79833333333</v>
      </c>
      <c r="DV25">
        <v>1016.515</v>
      </c>
      <c r="DW25">
        <v>0.757843833333333</v>
      </c>
      <c r="DX25">
        <v>1000.02166666667</v>
      </c>
      <c r="DY25">
        <v>16.2256666666667</v>
      </c>
      <c r="DZ25">
        <v>1.71355166666667</v>
      </c>
      <c r="EA25">
        <v>1.63709</v>
      </c>
      <c r="EB25">
        <v>15.01975</v>
      </c>
      <c r="EC25">
        <v>14.3124166666667</v>
      </c>
      <c r="ED25">
        <v>1500.035</v>
      </c>
      <c r="EE25">
        <v>0.972997666666667</v>
      </c>
      <c r="EF25">
        <v>0.0270022666666667</v>
      </c>
      <c r="EG25">
        <v>0</v>
      </c>
      <c r="EH25">
        <v>337.251166666667</v>
      </c>
      <c r="EI25">
        <v>5.00064</v>
      </c>
      <c r="EJ25">
        <v>5214.78666666667</v>
      </c>
      <c r="EK25">
        <v>15439.5333333333</v>
      </c>
      <c r="EL25">
        <v>40.687</v>
      </c>
      <c r="EM25">
        <v>41.375</v>
      </c>
      <c r="EN25">
        <v>41</v>
      </c>
      <c r="EO25">
        <v>41</v>
      </c>
      <c r="EP25">
        <v>42.1663333333333</v>
      </c>
      <c r="EQ25">
        <v>1454.665</v>
      </c>
      <c r="ER25">
        <v>40.37</v>
      </c>
      <c r="ES25">
        <v>0</v>
      </c>
      <c r="ET25">
        <v>2006.79999995232</v>
      </c>
      <c r="EU25">
        <v>0</v>
      </c>
      <c r="EV25">
        <v>337.1814</v>
      </c>
      <c r="EW25">
        <v>-0.754538453756651</v>
      </c>
      <c r="EX25">
        <v>-12.6107692116313</v>
      </c>
      <c r="EY25">
        <v>5215.51</v>
      </c>
      <c r="EZ25">
        <v>15</v>
      </c>
      <c r="FA25">
        <v>1792305261</v>
      </c>
      <c r="FB25" t="s">
        <v>448</v>
      </c>
      <c r="FC25">
        <v>1792305261</v>
      </c>
      <c r="FD25">
        <v>1792305255</v>
      </c>
      <c r="FE25">
        <v>68</v>
      </c>
      <c r="FF25">
        <v>-0.282</v>
      </c>
      <c r="FG25">
        <v>0.004</v>
      </c>
      <c r="FH25">
        <v>0.91</v>
      </c>
      <c r="FI25">
        <v>-0.144</v>
      </c>
      <c r="FJ25">
        <v>1000</v>
      </c>
      <c r="FK25">
        <v>16</v>
      </c>
      <c r="FL25">
        <v>0.28</v>
      </c>
      <c r="FM25">
        <v>0.13</v>
      </c>
      <c r="FN25">
        <v>23.888688458924</v>
      </c>
      <c r="FO25">
        <v>-0.311895110921727</v>
      </c>
      <c r="FP25">
        <v>0.173073407383006</v>
      </c>
      <c r="FQ25">
        <v>1</v>
      </c>
      <c r="FR25">
        <v>-10.3160714285714</v>
      </c>
      <c r="FS25">
        <v>0.103059740259745</v>
      </c>
      <c r="FT25">
        <v>0.0683319777532706</v>
      </c>
      <c r="FU25">
        <v>1</v>
      </c>
      <c r="FV25">
        <v>337.237970588235</v>
      </c>
      <c r="FW25">
        <v>-0.629258974506956</v>
      </c>
      <c r="FX25">
        <v>0.191050422247194</v>
      </c>
      <c r="FY25">
        <v>1</v>
      </c>
      <c r="FZ25">
        <v>3</v>
      </c>
      <c r="GA25">
        <v>3</v>
      </c>
      <c r="GB25" t="s">
        <v>426</v>
      </c>
      <c r="GC25">
        <v>3.12357</v>
      </c>
      <c r="GD25">
        <v>2.76511</v>
      </c>
      <c r="GE25">
        <v>0.16408</v>
      </c>
      <c r="GF25">
        <v>0.169436</v>
      </c>
      <c r="GG25">
        <v>0.0911334</v>
      </c>
      <c r="GH25">
        <v>0.0912194</v>
      </c>
      <c r="GI25">
        <v>16273.2</v>
      </c>
      <c r="GJ25">
        <v>24391.2</v>
      </c>
      <c r="GK25">
        <v>22748.6</v>
      </c>
      <c r="GL25">
        <v>30092.9</v>
      </c>
      <c r="GM25">
        <v>33922.6</v>
      </c>
      <c r="GN25">
        <v>34082.1</v>
      </c>
      <c r="GO25">
        <v>43044.7</v>
      </c>
      <c r="GP25">
        <v>42868.7</v>
      </c>
      <c r="GQ25">
        <v>1.96998</v>
      </c>
      <c r="GR25">
        <v>1.79665</v>
      </c>
      <c r="GS25">
        <v>0.0907257</v>
      </c>
      <c r="GT25">
        <v>0</v>
      </c>
      <c r="GU25">
        <v>23.4653</v>
      </c>
      <c r="GV25">
        <v>999.9</v>
      </c>
      <c r="GW25">
        <v>37.969</v>
      </c>
      <c r="GX25">
        <v>33.878</v>
      </c>
      <c r="GY25">
        <v>19.9687</v>
      </c>
      <c r="GZ25">
        <v>63.2065</v>
      </c>
      <c r="HA25">
        <v>35.8614</v>
      </c>
      <c r="HB25">
        <v>1</v>
      </c>
      <c r="HC25">
        <v>0.0838643</v>
      </c>
      <c r="HD25">
        <v>2.46805</v>
      </c>
      <c r="HE25">
        <v>20.1454</v>
      </c>
      <c r="HF25">
        <v>5.23331</v>
      </c>
      <c r="HG25">
        <v>11.962</v>
      </c>
      <c r="HH25">
        <v>4.96775</v>
      </c>
      <c r="HI25">
        <v>3.295</v>
      </c>
      <c r="HJ25">
        <v>9999</v>
      </c>
      <c r="HK25">
        <v>9999</v>
      </c>
      <c r="HL25">
        <v>9999</v>
      </c>
      <c r="HM25">
        <v>999.9</v>
      </c>
      <c r="HN25">
        <v>4.96983</v>
      </c>
      <c r="HO25">
        <v>1.864</v>
      </c>
      <c r="HP25">
        <v>1.86549</v>
      </c>
      <c r="HQ25">
        <v>1.86736</v>
      </c>
      <c r="HR25">
        <v>1.86434</v>
      </c>
      <c r="HS25">
        <v>1.868</v>
      </c>
      <c r="HT25">
        <v>1.86478</v>
      </c>
      <c r="HU25">
        <v>1.86674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0.904</v>
      </c>
      <c r="IJ25">
        <v>-0.1127</v>
      </c>
      <c r="IK25">
        <v>0.475669487453714</v>
      </c>
      <c r="IL25">
        <v>0.000216929631606078</v>
      </c>
      <c r="IM25">
        <v>2.72263024731635e-07</v>
      </c>
      <c r="IN25">
        <v>-5.43792051235154e-11</v>
      </c>
      <c r="IO25">
        <v>-0.00638328834687176</v>
      </c>
      <c r="IP25">
        <v>-0.0584433849545669</v>
      </c>
      <c r="IQ25">
        <v>0.00341568706061026</v>
      </c>
      <c r="IR25">
        <v>-2.10952612506686e-05</v>
      </c>
      <c r="IS25">
        <v>-0</v>
      </c>
      <c r="IT25">
        <v>1734</v>
      </c>
      <c r="IU25">
        <v>2</v>
      </c>
      <c r="IV25">
        <v>19</v>
      </c>
      <c r="IW25">
        <v>1.1</v>
      </c>
      <c r="IX25">
        <v>1.2</v>
      </c>
      <c r="IY25">
        <v>2.17651</v>
      </c>
      <c r="IZ25">
        <v>2.5647</v>
      </c>
      <c r="JA25">
        <v>1.34766</v>
      </c>
      <c r="JB25">
        <v>2.26196</v>
      </c>
      <c r="JC25">
        <v>1.55029</v>
      </c>
      <c r="JD25">
        <v>2.69409</v>
      </c>
      <c r="JE25">
        <v>39.7422</v>
      </c>
      <c r="JF25">
        <v>23.7373</v>
      </c>
      <c r="JG25">
        <v>18</v>
      </c>
      <c r="JH25">
        <v>500.967</v>
      </c>
      <c r="JI25">
        <v>466.237</v>
      </c>
      <c r="JJ25">
        <v>20.9637</v>
      </c>
      <c r="JK25">
        <v>28.2738</v>
      </c>
      <c r="JL25">
        <v>30.0004</v>
      </c>
      <c r="JM25">
        <v>28.2685</v>
      </c>
      <c r="JN25">
        <v>28.2854</v>
      </c>
      <c r="JO25">
        <v>43.563</v>
      </c>
      <c r="JP25">
        <v>25.6907</v>
      </c>
      <c r="JQ25">
        <v>16.3701</v>
      </c>
      <c r="JR25">
        <v>20.9619</v>
      </c>
      <c r="JS25">
        <v>1000</v>
      </c>
      <c r="JT25">
        <v>16.1664</v>
      </c>
      <c r="JU25">
        <v>101.637</v>
      </c>
      <c r="JV25">
        <v>97.337</v>
      </c>
    </row>
    <row r="26" spans="1:282">
      <c r="A26">
        <v>10</v>
      </c>
      <c r="B26">
        <v>1792305448</v>
      </c>
      <c r="C26">
        <v>1117.90000009537</v>
      </c>
      <c r="D26" t="s">
        <v>449</v>
      </c>
      <c r="E26" t="s">
        <v>450</v>
      </c>
      <c r="F26">
        <v>5</v>
      </c>
      <c r="G26">
        <v>1792305445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416</v>
      </c>
      <c r="AK26" t="s">
        <v>416</v>
      </c>
      <c r="AL26">
        <v>0</v>
      </c>
      <c r="AM26">
        <v>0</v>
      </c>
      <c r="AN26">
        <f>1-AL26/AM26</f>
        <v>0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416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BL26">
        <v>1175</v>
      </c>
      <c r="BM26">
        <v>290</v>
      </c>
      <c r="BN26">
        <v>887.35</v>
      </c>
      <c r="BO26">
        <v>135</v>
      </c>
      <c r="BP26">
        <v>8121.66</v>
      </c>
      <c r="BQ26">
        <v>881.59</v>
      </c>
      <c r="BR26">
        <v>5.76</v>
      </c>
      <c r="BS26">
        <v>300</v>
      </c>
      <c r="BT26">
        <v>19.3</v>
      </c>
      <c r="BU26">
        <v>908.614235416086</v>
      </c>
      <c r="BV26">
        <v>1.93255245593186</v>
      </c>
      <c r="BW26">
        <v>-21.9452405948332</v>
      </c>
      <c r="BX26">
        <v>1.40143366589652</v>
      </c>
      <c r="BY26">
        <v>0.897514186586577</v>
      </c>
      <c r="BZ26">
        <v>-0.00538132458286985</v>
      </c>
      <c r="CA26">
        <v>290</v>
      </c>
      <c r="CB26">
        <v>872.99</v>
      </c>
      <c r="CC26">
        <v>615</v>
      </c>
      <c r="CD26">
        <v>8102.77</v>
      </c>
      <c r="CE26">
        <v>881.53</v>
      </c>
      <c r="CF26">
        <v>-8.54</v>
      </c>
      <c r="CT26">
        <f>$B$11*DR26+$C$11*DS26+$F$11*ED26*(1-EG26)</f>
        <v>0</v>
      </c>
      <c r="CU26">
        <f>CT26*CV26</f>
        <v>0</v>
      </c>
      <c r="CV26">
        <f>($B$11*$D$9+$C$11*$D$9+$F$11*((EQ26+EI26)/MAX(EQ26+EI26+ER26, 0.1)*$I$9+ER26/MAX(EQ26+EI26+ER26, 0.1)*$J$9))/($B$11+$C$11+$F$11)</f>
        <v>0</v>
      </c>
      <c r="CW26">
        <f>($B$11*$K$9+$C$11*$K$9+$F$11*((EQ26+EI26)/MAX(EQ26+EI26+ER26, 0.1)*$P$9+ER26/MAX(EQ26+EI26+ER26, 0.1)*$Q$9))/($B$11+$C$11+$F$11)</f>
        <v>0</v>
      </c>
      <c r="CX26">
        <v>2</v>
      </c>
      <c r="CY26">
        <v>0.5</v>
      </c>
      <c r="CZ26" t="s">
        <v>417</v>
      </c>
      <c r="DA26">
        <v>2</v>
      </c>
      <c r="DB26">
        <v>1792305445</v>
      </c>
      <c r="DC26">
        <v>1188.662</v>
      </c>
      <c r="DD26">
        <v>1200.054</v>
      </c>
      <c r="DE26">
        <v>16.93826</v>
      </c>
      <c r="DF26">
        <v>16.2299</v>
      </c>
      <c r="DG26">
        <v>1187.172</v>
      </c>
      <c r="DH26">
        <v>17.05404</v>
      </c>
      <c r="DI26">
        <v>500.0498</v>
      </c>
      <c r="DJ26">
        <v>100.903</v>
      </c>
      <c r="DK26">
        <v>0.09996884</v>
      </c>
      <c r="DL26">
        <v>24.6872</v>
      </c>
      <c r="DM26">
        <v>25.04276</v>
      </c>
      <c r="DN26">
        <v>999.9</v>
      </c>
      <c r="DO26">
        <v>0</v>
      </c>
      <c r="DP26">
        <v>0</v>
      </c>
      <c r="DQ26">
        <v>9999.02</v>
      </c>
      <c r="DR26">
        <v>0</v>
      </c>
      <c r="DS26">
        <v>6.38353</v>
      </c>
      <c r="DT26">
        <v>-11.39356</v>
      </c>
      <c r="DU26">
        <v>1209.14</v>
      </c>
      <c r="DV26">
        <v>1219.852</v>
      </c>
      <c r="DW26">
        <v>0.7083784</v>
      </c>
      <c r="DX26">
        <v>1200.054</v>
      </c>
      <c r="DY26">
        <v>16.2299</v>
      </c>
      <c r="DZ26">
        <v>1.709124</v>
      </c>
      <c r="EA26">
        <v>1.637644</v>
      </c>
      <c r="EB26">
        <v>14.97952</v>
      </c>
      <c r="EC26">
        <v>14.31766</v>
      </c>
      <c r="ED26">
        <v>1499.994</v>
      </c>
      <c r="EE26">
        <v>0.9729974</v>
      </c>
      <c r="EF26">
        <v>0.02700248</v>
      </c>
      <c r="EG26">
        <v>0</v>
      </c>
      <c r="EH26">
        <v>337.2686</v>
      </c>
      <c r="EI26">
        <v>5.00064</v>
      </c>
      <c r="EJ26">
        <v>5218.692</v>
      </c>
      <c r="EK26">
        <v>15439.18</v>
      </c>
      <c r="EL26">
        <v>40.75</v>
      </c>
      <c r="EM26">
        <v>41.5</v>
      </c>
      <c r="EN26">
        <v>41.125</v>
      </c>
      <c r="EO26">
        <v>41.125</v>
      </c>
      <c r="EP26">
        <v>42.25</v>
      </c>
      <c r="EQ26">
        <v>1454.624</v>
      </c>
      <c r="ER26">
        <v>40.37</v>
      </c>
      <c r="ES26">
        <v>0</v>
      </c>
      <c r="ET26">
        <v>2128</v>
      </c>
      <c r="EU26">
        <v>0</v>
      </c>
      <c r="EV26">
        <v>337.23468</v>
      </c>
      <c r="EW26">
        <v>-0.421615356187949</v>
      </c>
      <c r="EX26">
        <v>0.661538417705677</v>
      </c>
      <c r="EY26">
        <v>5218.5484</v>
      </c>
      <c r="EZ26">
        <v>15</v>
      </c>
      <c r="FA26">
        <v>1792305401</v>
      </c>
      <c r="FB26" t="s">
        <v>451</v>
      </c>
      <c r="FC26">
        <v>1792305401</v>
      </c>
      <c r="FD26">
        <v>1792305381</v>
      </c>
      <c r="FE26">
        <v>69</v>
      </c>
      <c r="FF26">
        <v>0.459</v>
      </c>
      <c r="FG26">
        <v>-0.001</v>
      </c>
      <c r="FH26">
        <v>1.494</v>
      </c>
      <c r="FI26">
        <v>-0.142</v>
      </c>
      <c r="FJ26">
        <v>1200</v>
      </c>
      <c r="FK26">
        <v>16</v>
      </c>
      <c r="FL26">
        <v>0.16</v>
      </c>
      <c r="FM26">
        <v>0.08</v>
      </c>
      <c r="FN26">
        <v>26.273565078729</v>
      </c>
      <c r="FO26">
        <v>0.511881418136799</v>
      </c>
      <c r="FP26">
        <v>0.153686292027845</v>
      </c>
      <c r="FQ26">
        <v>1</v>
      </c>
      <c r="FR26">
        <v>-11.3670095238095</v>
      </c>
      <c r="FS26">
        <v>-0.155002597402615</v>
      </c>
      <c r="FT26">
        <v>0.0622123621520285</v>
      </c>
      <c r="FU26">
        <v>1</v>
      </c>
      <c r="FV26">
        <v>337.271882352941</v>
      </c>
      <c r="FW26">
        <v>-0.678838799200338</v>
      </c>
      <c r="FX26">
        <v>0.231457881406211</v>
      </c>
      <c r="FY26">
        <v>1</v>
      </c>
      <c r="FZ26">
        <v>3</v>
      </c>
      <c r="GA26">
        <v>3</v>
      </c>
      <c r="GB26" t="s">
        <v>426</v>
      </c>
      <c r="GC26">
        <v>3.12366</v>
      </c>
      <c r="GD26">
        <v>2.76563</v>
      </c>
      <c r="GE26">
        <v>0.18375</v>
      </c>
      <c r="GF26">
        <v>0.18964</v>
      </c>
      <c r="GG26">
        <v>0.0909503</v>
      </c>
      <c r="GH26">
        <v>0.0912367</v>
      </c>
      <c r="GI26">
        <v>15887.9</v>
      </c>
      <c r="GJ26">
        <v>23795</v>
      </c>
      <c r="GK26">
        <v>22745.4</v>
      </c>
      <c r="GL26">
        <v>30089.5</v>
      </c>
      <c r="GM26">
        <v>33926.9</v>
      </c>
      <c r="GN26">
        <v>34079.3</v>
      </c>
      <c r="GO26">
        <v>43039.6</v>
      </c>
      <c r="GP26">
        <v>42864.2</v>
      </c>
      <c r="GQ26">
        <v>1.96927</v>
      </c>
      <c r="GR26">
        <v>1.79557</v>
      </c>
      <c r="GS26">
        <v>0.0942945</v>
      </c>
      <c r="GT26">
        <v>0</v>
      </c>
      <c r="GU26">
        <v>23.4976</v>
      </c>
      <c r="GV26">
        <v>999.9</v>
      </c>
      <c r="GW26">
        <v>37.883</v>
      </c>
      <c r="GX26">
        <v>33.939</v>
      </c>
      <c r="GY26">
        <v>19.9918</v>
      </c>
      <c r="GZ26">
        <v>62.7765</v>
      </c>
      <c r="HA26">
        <v>35.8093</v>
      </c>
      <c r="HB26">
        <v>1</v>
      </c>
      <c r="HC26">
        <v>0.0884477</v>
      </c>
      <c r="HD26">
        <v>2.52562</v>
      </c>
      <c r="HE26">
        <v>20.1447</v>
      </c>
      <c r="HF26">
        <v>5.23406</v>
      </c>
      <c r="HG26">
        <v>11.962</v>
      </c>
      <c r="HH26">
        <v>4.96935</v>
      </c>
      <c r="HI26">
        <v>3.29503</v>
      </c>
      <c r="HJ26">
        <v>9999</v>
      </c>
      <c r="HK26">
        <v>9999</v>
      </c>
      <c r="HL26">
        <v>9999</v>
      </c>
      <c r="HM26">
        <v>999.9</v>
      </c>
      <c r="HN26">
        <v>4.96983</v>
      </c>
      <c r="HO26">
        <v>1.86398</v>
      </c>
      <c r="HP26">
        <v>1.86551</v>
      </c>
      <c r="HQ26">
        <v>1.86737</v>
      </c>
      <c r="HR26">
        <v>1.86434</v>
      </c>
      <c r="HS26">
        <v>1.868</v>
      </c>
      <c r="HT26">
        <v>1.86478</v>
      </c>
      <c r="HU26">
        <v>1.86675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1.49</v>
      </c>
      <c r="IJ26">
        <v>-0.116</v>
      </c>
      <c r="IK26">
        <v>0.936303917457947</v>
      </c>
      <c r="IL26">
        <v>0.000216929631606078</v>
      </c>
      <c r="IM26">
        <v>2.72263024731635e-07</v>
      </c>
      <c r="IN26">
        <v>-5.43792051235154e-11</v>
      </c>
      <c r="IO26">
        <v>-0.00784355908645048</v>
      </c>
      <c r="IP26">
        <v>-0.0584433849545669</v>
      </c>
      <c r="IQ26">
        <v>0.00341568706061026</v>
      </c>
      <c r="IR26">
        <v>-2.10952612506686e-05</v>
      </c>
      <c r="IS26">
        <v>-0</v>
      </c>
      <c r="IT26">
        <v>1734</v>
      </c>
      <c r="IU26">
        <v>2</v>
      </c>
      <c r="IV26">
        <v>19</v>
      </c>
      <c r="IW26">
        <v>0.8</v>
      </c>
      <c r="IX26">
        <v>1.1</v>
      </c>
      <c r="IY26">
        <v>2.51831</v>
      </c>
      <c r="IZ26">
        <v>2.55371</v>
      </c>
      <c r="JA26">
        <v>1.34644</v>
      </c>
      <c r="JB26">
        <v>2.26196</v>
      </c>
      <c r="JC26">
        <v>1.55029</v>
      </c>
      <c r="JD26">
        <v>2.73315</v>
      </c>
      <c r="JE26">
        <v>39.8177</v>
      </c>
      <c r="JF26">
        <v>23.7373</v>
      </c>
      <c r="JG26">
        <v>18</v>
      </c>
      <c r="JH26">
        <v>500.925</v>
      </c>
      <c r="JI26">
        <v>465.886</v>
      </c>
      <c r="JJ26">
        <v>20.9361</v>
      </c>
      <c r="JK26">
        <v>28.33</v>
      </c>
      <c r="JL26">
        <v>30.0002</v>
      </c>
      <c r="JM26">
        <v>28.3142</v>
      </c>
      <c r="JN26">
        <v>28.3298</v>
      </c>
      <c r="JO26">
        <v>50.4067</v>
      </c>
      <c r="JP26">
        <v>25.4798</v>
      </c>
      <c r="JQ26">
        <v>15.9981</v>
      </c>
      <c r="JR26">
        <v>20.9367</v>
      </c>
      <c r="JS26">
        <v>1200</v>
      </c>
      <c r="JT26">
        <v>16.2754</v>
      </c>
      <c r="JU26">
        <v>101.624</v>
      </c>
      <c r="JV26">
        <v>97.3264</v>
      </c>
    </row>
    <row r="27" spans="1:282">
      <c r="A27">
        <v>11</v>
      </c>
      <c r="B27">
        <v>1792305577</v>
      </c>
      <c r="C27">
        <v>1246.90000009537</v>
      </c>
      <c r="D27" t="s">
        <v>452</v>
      </c>
      <c r="E27" t="s">
        <v>453</v>
      </c>
      <c r="F27">
        <v>5</v>
      </c>
      <c r="G27">
        <v>1792305573.5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416</v>
      </c>
      <c r="AK27" t="s">
        <v>416</v>
      </c>
      <c r="AL27">
        <v>0</v>
      </c>
      <c r="AM27">
        <v>0</v>
      </c>
      <c r="AN27">
        <f>1-AL27/AM27</f>
        <v>0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416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BL27">
        <v>1175</v>
      </c>
      <c r="BM27">
        <v>290</v>
      </c>
      <c r="BN27">
        <v>887.35</v>
      </c>
      <c r="BO27">
        <v>135</v>
      </c>
      <c r="BP27">
        <v>8121.66</v>
      </c>
      <c r="BQ27">
        <v>881.59</v>
      </c>
      <c r="BR27">
        <v>5.76</v>
      </c>
      <c r="BS27">
        <v>300</v>
      </c>
      <c r="BT27">
        <v>19.3</v>
      </c>
      <c r="BU27">
        <v>908.614235416086</v>
      </c>
      <c r="BV27">
        <v>1.93255245593186</v>
      </c>
      <c r="BW27">
        <v>-21.9452405948332</v>
      </c>
      <c r="BX27">
        <v>1.40143366589652</v>
      </c>
      <c r="BY27">
        <v>0.897514186586577</v>
      </c>
      <c r="BZ27">
        <v>-0.00538132458286985</v>
      </c>
      <c r="CA27">
        <v>290</v>
      </c>
      <c r="CB27">
        <v>872.99</v>
      </c>
      <c r="CC27">
        <v>615</v>
      </c>
      <c r="CD27">
        <v>8102.77</v>
      </c>
      <c r="CE27">
        <v>881.53</v>
      </c>
      <c r="CF27">
        <v>-8.54</v>
      </c>
      <c r="CT27">
        <f>$B$11*DR27+$C$11*DS27+$F$11*ED27*(1-EG27)</f>
        <v>0</v>
      </c>
      <c r="CU27">
        <f>CT27*CV27</f>
        <v>0</v>
      </c>
      <c r="CV27">
        <f>($B$11*$D$9+$C$11*$D$9+$F$11*((EQ27+EI27)/MAX(EQ27+EI27+ER27, 0.1)*$I$9+ER27/MAX(EQ27+EI27+ER27, 0.1)*$J$9))/($B$11+$C$11+$F$11)</f>
        <v>0</v>
      </c>
      <c r="CW27">
        <f>($B$11*$K$9+$C$11*$K$9+$F$11*((EQ27+EI27)/MAX(EQ27+EI27+ER27, 0.1)*$P$9+ER27/MAX(EQ27+EI27+ER27, 0.1)*$Q$9))/($B$11+$C$11+$F$11)</f>
        <v>0</v>
      </c>
      <c r="CX27">
        <v>2</v>
      </c>
      <c r="CY27">
        <v>0.5</v>
      </c>
      <c r="CZ27" t="s">
        <v>417</v>
      </c>
      <c r="DA27">
        <v>2</v>
      </c>
      <c r="DB27">
        <v>1792305573.5</v>
      </c>
      <c r="DC27">
        <v>1487.85666666667</v>
      </c>
      <c r="DD27">
        <v>1500.03333333333</v>
      </c>
      <c r="DE27">
        <v>17.03625</v>
      </c>
      <c r="DF27">
        <v>16.3799166666667</v>
      </c>
      <c r="DG27">
        <v>1485.855</v>
      </c>
      <c r="DH27">
        <v>17.14695</v>
      </c>
      <c r="DI27">
        <v>500.046666666667</v>
      </c>
      <c r="DJ27">
        <v>100.907</v>
      </c>
      <c r="DK27">
        <v>0.100052733333333</v>
      </c>
      <c r="DL27">
        <v>24.69</v>
      </c>
      <c r="DM27">
        <v>25.0338833333333</v>
      </c>
      <c r="DN27">
        <v>999.9</v>
      </c>
      <c r="DO27">
        <v>0</v>
      </c>
      <c r="DP27">
        <v>0</v>
      </c>
      <c r="DQ27">
        <v>9997.7</v>
      </c>
      <c r="DR27">
        <v>0</v>
      </c>
      <c r="DS27">
        <v>6.27441</v>
      </c>
      <c r="DT27">
        <v>-12.1782666666667</v>
      </c>
      <c r="DU27">
        <v>1513.64166666667</v>
      </c>
      <c r="DV27">
        <v>1525.01333333333</v>
      </c>
      <c r="DW27">
        <v>0.656318833333333</v>
      </c>
      <c r="DX27">
        <v>1500.03333333333</v>
      </c>
      <c r="DY27">
        <v>16.3799166666667</v>
      </c>
      <c r="DZ27">
        <v>1.71907333333333</v>
      </c>
      <c r="EA27">
        <v>1.65284666666667</v>
      </c>
      <c r="EB27">
        <v>15.06975</v>
      </c>
      <c r="EC27">
        <v>14.4605166666667</v>
      </c>
      <c r="ED27">
        <v>1499.98166666667</v>
      </c>
      <c r="EE27">
        <v>0.972997666666667</v>
      </c>
      <c r="EF27">
        <v>0.0270022166666667</v>
      </c>
      <c r="EG27">
        <v>0</v>
      </c>
      <c r="EH27">
        <v>336.607333333333</v>
      </c>
      <c r="EI27">
        <v>5.00064</v>
      </c>
      <c r="EJ27">
        <v>5213.225</v>
      </c>
      <c r="EK27">
        <v>15439.0166666667</v>
      </c>
      <c r="EL27">
        <v>40.875</v>
      </c>
      <c r="EM27">
        <v>41.562</v>
      </c>
      <c r="EN27">
        <v>41.1975</v>
      </c>
      <c r="EO27">
        <v>41.1975</v>
      </c>
      <c r="EP27">
        <v>42.3225</v>
      </c>
      <c r="EQ27">
        <v>1454.61166666667</v>
      </c>
      <c r="ER27">
        <v>40.37</v>
      </c>
      <c r="ES27">
        <v>0</v>
      </c>
      <c r="ET27">
        <v>2257</v>
      </c>
      <c r="EU27">
        <v>0</v>
      </c>
      <c r="EV27">
        <v>336.709153846154</v>
      </c>
      <c r="EW27">
        <v>-1.26659828434452</v>
      </c>
      <c r="EX27">
        <v>-6.00820514312908</v>
      </c>
      <c r="EY27">
        <v>5213.36923076923</v>
      </c>
      <c r="EZ27">
        <v>15</v>
      </c>
      <c r="FA27">
        <v>1792305545</v>
      </c>
      <c r="FB27" t="s">
        <v>454</v>
      </c>
      <c r="FC27">
        <v>1792305545</v>
      </c>
      <c r="FD27">
        <v>1792305524</v>
      </c>
      <c r="FE27">
        <v>70</v>
      </c>
      <c r="FF27">
        <v>0.319</v>
      </c>
      <c r="FG27">
        <v>0.001</v>
      </c>
      <c r="FH27">
        <v>2.01</v>
      </c>
      <c r="FI27">
        <v>-0.136</v>
      </c>
      <c r="FJ27">
        <v>1500</v>
      </c>
      <c r="FK27">
        <v>16</v>
      </c>
      <c r="FL27">
        <v>0.33</v>
      </c>
      <c r="FM27">
        <v>0.11</v>
      </c>
      <c r="FN27">
        <v>27.8450372717672</v>
      </c>
      <c r="FO27">
        <v>-0.0720813407180168</v>
      </c>
      <c r="FP27">
        <v>0.197870030573688</v>
      </c>
      <c r="FQ27">
        <v>1</v>
      </c>
      <c r="FR27">
        <v>-12.102219047619</v>
      </c>
      <c r="FS27">
        <v>-0.409145454545458</v>
      </c>
      <c r="FT27">
        <v>0.0775808249446537</v>
      </c>
      <c r="FU27">
        <v>1</v>
      </c>
      <c r="FV27">
        <v>336.767029411765</v>
      </c>
      <c r="FW27">
        <v>-0.855202444319534</v>
      </c>
      <c r="FX27">
        <v>0.247855921774076</v>
      </c>
      <c r="FY27">
        <v>1</v>
      </c>
      <c r="FZ27">
        <v>3</v>
      </c>
      <c r="GA27">
        <v>3</v>
      </c>
      <c r="GB27" t="s">
        <v>426</v>
      </c>
      <c r="GC27">
        <v>3.12358</v>
      </c>
      <c r="GD27">
        <v>2.76499</v>
      </c>
      <c r="GE27">
        <v>0.210017</v>
      </c>
      <c r="GF27">
        <v>0.216512</v>
      </c>
      <c r="GG27">
        <v>0.0912822</v>
      </c>
      <c r="GH27">
        <v>0.0918303</v>
      </c>
      <c r="GI27">
        <v>15374.4</v>
      </c>
      <c r="GJ27">
        <v>23002.2</v>
      </c>
      <c r="GK27">
        <v>22742.5</v>
      </c>
      <c r="GL27">
        <v>30084.9</v>
      </c>
      <c r="GM27">
        <v>33912.1</v>
      </c>
      <c r="GN27">
        <v>34053.9</v>
      </c>
      <c r="GO27">
        <v>43034.7</v>
      </c>
      <c r="GP27">
        <v>42858</v>
      </c>
      <c r="GQ27">
        <v>1.96828</v>
      </c>
      <c r="GR27">
        <v>1.7952</v>
      </c>
      <c r="GS27">
        <v>0.0906214</v>
      </c>
      <c r="GT27">
        <v>0</v>
      </c>
      <c r="GU27">
        <v>23.5244</v>
      </c>
      <c r="GV27">
        <v>999.9</v>
      </c>
      <c r="GW27">
        <v>37.804</v>
      </c>
      <c r="GX27">
        <v>34.009</v>
      </c>
      <c r="GY27">
        <v>20.0271</v>
      </c>
      <c r="GZ27">
        <v>63.0465</v>
      </c>
      <c r="HA27">
        <v>36.3502</v>
      </c>
      <c r="HB27">
        <v>1</v>
      </c>
      <c r="HC27">
        <v>0.0947967</v>
      </c>
      <c r="HD27">
        <v>2.92607</v>
      </c>
      <c r="HE27">
        <v>20.1373</v>
      </c>
      <c r="HF27">
        <v>5.23002</v>
      </c>
      <c r="HG27">
        <v>11.962</v>
      </c>
      <c r="HH27">
        <v>4.9678</v>
      </c>
      <c r="HI27">
        <v>3.29472</v>
      </c>
      <c r="HJ27">
        <v>9999</v>
      </c>
      <c r="HK27">
        <v>9999</v>
      </c>
      <c r="HL27">
        <v>9999</v>
      </c>
      <c r="HM27">
        <v>999.9</v>
      </c>
      <c r="HN27">
        <v>4.96983</v>
      </c>
      <c r="HO27">
        <v>1.86401</v>
      </c>
      <c r="HP27">
        <v>1.86549</v>
      </c>
      <c r="HQ27">
        <v>1.86735</v>
      </c>
      <c r="HR27">
        <v>1.86432</v>
      </c>
      <c r="HS27">
        <v>1.868</v>
      </c>
      <c r="HT27">
        <v>1.86478</v>
      </c>
      <c r="HU27">
        <v>1.86675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2</v>
      </c>
      <c r="IJ27">
        <v>-0.1111</v>
      </c>
      <c r="IK27">
        <v>1.25665377793119</v>
      </c>
      <c r="IL27">
        <v>0.000216929631606078</v>
      </c>
      <c r="IM27">
        <v>2.72263024731635e-07</v>
      </c>
      <c r="IN27">
        <v>-5.43792051235154e-11</v>
      </c>
      <c r="IO27">
        <v>-0.00648807949982263</v>
      </c>
      <c r="IP27">
        <v>-0.0584433849545669</v>
      </c>
      <c r="IQ27">
        <v>0.00341568706061026</v>
      </c>
      <c r="IR27">
        <v>-2.10952612506686e-05</v>
      </c>
      <c r="IS27">
        <v>-0</v>
      </c>
      <c r="IT27">
        <v>1734</v>
      </c>
      <c r="IU27">
        <v>2</v>
      </c>
      <c r="IV27">
        <v>19</v>
      </c>
      <c r="IW27">
        <v>0.5</v>
      </c>
      <c r="IX27">
        <v>0.9</v>
      </c>
      <c r="IY27">
        <v>3.00781</v>
      </c>
      <c r="IZ27">
        <v>2.55127</v>
      </c>
      <c r="JA27">
        <v>1.34766</v>
      </c>
      <c r="JB27">
        <v>2.26196</v>
      </c>
      <c r="JC27">
        <v>1.55029</v>
      </c>
      <c r="JD27">
        <v>2.62207</v>
      </c>
      <c r="JE27">
        <v>39.8932</v>
      </c>
      <c r="JF27">
        <v>23.7285</v>
      </c>
      <c r="JG27">
        <v>18</v>
      </c>
      <c r="JH27">
        <v>500.802</v>
      </c>
      <c r="JI27">
        <v>466.113</v>
      </c>
      <c r="JJ27">
        <v>20.7984</v>
      </c>
      <c r="JK27">
        <v>28.3958</v>
      </c>
      <c r="JL27">
        <v>30.0005</v>
      </c>
      <c r="JM27">
        <v>28.3725</v>
      </c>
      <c r="JN27">
        <v>28.3857</v>
      </c>
      <c r="JO27">
        <v>60.2026</v>
      </c>
      <c r="JP27">
        <v>24.9291</v>
      </c>
      <c r="JQ27">
        <v>15.9981</v>
      </c>
      <c r="JR27">
        <v>20.7744</v>
      </c>
      <c r="JS27">
        <v>1500</v>
      </c>
      <c r="JT27">
        <v>16.3554</v>
      </c>
      <c r="JU27">
        <v>101.612</v>
      </c>
      <c r="JV27">
        <v>97.312</v>
      </c>
    </row>
    <row r="28" spans="1:282">
      <c r="A28">
        <v>12</v>
      </c>
      <c r="B28">
        <v>1792305709</v>
      </c>
      <c r="C28">
        <v>1378.90000009537</v>
      </c>
      <c r="D28" t="s">
        <v>455</v>
      </c>
      <c r="E28" t="s">
        <v>456</v>
      </c>
      <c r="F28">
        <v>5</v>
      </c>
      <c r="G28">
        <v>1792305705.5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416</v>
      </c>
      <c r="AK28" t="s">
        <v>416</v>
      </c>
      <c r="AL28">
        <v>0</v>
      </c>
      <c r="AM28">
        <v>0</v>
      </c>
      <c r="AN28">
        <f>1-AL28/AM28</f>
        <v>0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416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BL28">
        <v>1175</v>
      </c>
      <c r="BM28">
        <v>290</v>
      </c>
      <c r="BN28">
        <v>887.35</v>
      </c>
      <c r="BO28">
        <v>135</v>
      </c>
      <c r="BP28">
        <v>8121.66</v>
      </c>
      <c r="BQ28">
        <v>881.59</v>
      </c>
      <c r="BR28">
        <v>5.76</v>
      </c>
      <c r="BS28">
        <v>300</v>
      </c>
      <c r="BT28">
        <v>19.3</v>
      </c>
      <c r="BU28">
        <v>908.614235416086</v>
      </c>
      <c r="BV28">
        <v>1.93255245593186</v>
      </c>
      <c r="BW28">
        <v>-21.9452405948332</v>
      </c>
      <c r="BX28">
        <v>1.40143366589652</v>
      </c>
      <c r="BY28">
        <v>0.897514186586577</v>
      </c>
      <c r="BZ28">
        <v>-0.00538132458286985</v>
      </c>
      <c r="CA28">
        <v>290</v>
      </c>
      <c r="CB28">
        <v>872.99</v>
      </c>
      <c r="CC28">
        <v>615</v>
      </c>
      <c r="CD28">
        <v>8102.77</v>
      </c>
      <c r="CE28">
        <v>881.53</v>
      </c>
      <c r="CF28">
        <v>-8.54</v>
      </c>
      <c r="CT28">
        <f>$B$11*DR28+$C$11*DS28+$F$11*ED28*(1-EG28)</f>
        <v>0</v>
      </c>
      <c r="CU28">
        <f>CT28*CV28</f>
        <v>0</v>
      </c>
      <c r="CV28">
        <f>($B$11*$D$9+$C$11*$D$9+$F$11*((EQ28+EI28)/MAX(EQ28+EI28+ER28, 0.1)*$I$9+ER28/MAX(EQ28+EI28+ER28, 0.1)*$J$9))/($B$11+$C$11+$F$11)</f>
        <v>0</v>
      </c>
      <c r="CW28">
        <f>($B$11*$K$9+$C$11*$K$9+$F$11*((EQ28+EI28)/MAX(EQ28+EI28+ER28, 0.1)*$P$9+ER28/MAX(EQ28+EI28+ER28, 0.1)*$Q$9))/($B$11+$C$11+$F$11)</f>
        <v>0</v>
      </c>
      <c r="CX28">
        <v>2</v>
      </c>
      <c r="CY28">
        <v>0.5</v>
      </c>
      <c r="CZ28" t="s">
        <v>417</v>
      </c>
      <c r="DA28">
        <v>2</v>
      </c>
      <c r="DB28">
        <v>1792305705.5</v>
      </c>
      <c r="DC28">
        <v>1787.42166666667</v>
      </c>
      <c r="DD28">
        <v>1799.95833333333</v>
      </c>
      <c r="DE28">
        <v>17.0120333333333</v>
      </c>
      <c r="DF28">
        <v>16.392</v>
      </c>
      <c r="DG28">
        <v>1784.985</v>
      </c>
      <c r="DH28">
        <v>17.1227333333333</v>
      </c>
      <c r="DI28">
        <v>500.059833333333</v>
      </c>
      <c r="DJ28">
        <v>100.913833333333</v>
      </c>
      <c r="DK28">
        <v>0.0999488833333333</v>
      </c>
      <c r="DL28">
        <v>24.6669333333333</v>
      </c>
      <c r="DM28">
        <v>25.0094166666667</v>
      </c>
      <c r="DN28">
        <v>999.9</v>
      </c>
      <c r="DO28">
        <v>0</v>
      </c>
      <c r="DP28">
        <v>0</v>
      </c>
      <c r="DQ28">
        <v>10021.0666666667</v>
      </c>
      <c r="DR28">
        <v>0</v>
      </c>
      <c r="DS28">
        <v>6.27441</v>
      </c>
      <c r="DT28">
        <v>-12.53915</v>
      </c>
      <c r="DU28">
        <v>1818.35333333333</v>
      </c>
      <c r="DV28">
        <v>1829.95666666667</v>
      </c>
      <c r="DW28">
        <v>0.620013666666667</v>
      </c>
      <c r="DX28">
        <v>1799.95833333333</v>
      </c>
      <c r="DY28">
        <v>16.392</v>
      </c>
      <c r="DZ28">
        <v>1.71675</v>
      </c>
      <c r="EA28">
        <v>1.65417833333333</v>
      </c>
      <c r="EB28">
        <v>15.0487166666667</v>
      </c>
      <c r="EC28">
        <v>14.473</v>
      </c>
      <c r="ED28">
        <v>1500.01166666667</v>
      </c>
      <c r="EE28">
        <v>0.972999</v>
      </c>
      <c r="EF28">
        <v>0.0270009</v>
      </c>
      <c r="EG28">
        <v>0</v>
      </c>
      <c r="EH28">
        <v>336.546</v>
      </c>
      <c r="EI28">
        <v>5.00064</v>
      </c>
      <c r="EJ28">
        <v>5213.39</v>
      </c>
      <c r="EK28">
        <v>15439.35</v>
      </c>
      <c r="EL28">
        <v>40.937</v>
      </c>
      <c r="EM28">
        <v>41.687</v>
      </c>
      <c r="EN28">
        <v>41.312</v>
      </c>
      <c r="EO28">
        <v>41.3225</v>
      </c>
      <c r="EP28">
        <v>42.437</v>
      </c>
      <c r="EQ28">
        <v>1454.64166666667</v>
      </c>
      <c r="ER28">
        <v>40.37</v>
      </c>
      <c r="ES28">
        <v>0</v>
      </c>
      <c r="ET28">
        <v>2389</v>
      </c>
      <c r="EU28">
        <v>0</v>
      </c>
      <c r="EV28">
        <v>336.481576923077</v>
      </c>
      <c r="EW28">
        <v>-0.29199998807289</v>
      </c>
      <c r="EX28">
        <v>3.23213676181172</v>
      </c>
      <c r="EY28">
        <v>5213.13538461538</v>
      </c>
      <c r="EZ28">
        <v>15</v>
      </c>
      <c r="FA28">
        <v>1792305641</v>
      </c>
      <c r="FB28" t="s">
        <v>457</v>
      </c>
      <c r="FC28">
        <v>1792305641</v>
      </c>
      <c r="FD28">
        <v>1792305629</v>
      </c>
      <c r="FE28">
        <v>71</v>
      </c>
      <c r="FF28">
        <v>0.188</v>
      </c>
      <c r="FG28">
        <v>0.001</v>
      </c>
      <c r="FH28">
        <v>2.399</v>
      </c>
      <c r="FI28">
        <v>-0.133</v>
      </c>
      <c r="FJ28">
        <v>1800</v>
      </c>
      <c r="FK28">
        <v>16</v>
      </c>
      <c r="FL28">
        <v>0.12</v>
      </c>
      <c r="FM28">
        <v>0.09</v>
      </c>
      <c r="FN28">
        <v>28.4678815952154</v>
      </c>
      <c r="FO28">
        <v>0.522141141351929</v>
      </c>
      <c r="FP28">
        <v>0.171739298666584</v>
      </c>
      <c r="FQ28">
        <v>1</v>
      </c>
      <c r="FR28">
        <v>-12.5292523809524</v>
      </c>
      <c r="FS28">
        <v>-0.141007792207794</v>
      </c>
      <c r="FT28">
        <v>0.0645293408277537</v>
      </c>
      <c r="FU28">
        <v>1</v>
      </c>
      <c r="FV28">
        <v>336.503117647059</v>
      </c>
      <c r="FW28">
        <v>-0.491550801255019</v>
      </c>
      <c r="FX28">
        <v>0.206488678610874</v>
      </c>
      <c r="FY28">
        <v>1</v>
      </c>
      <c r="FZ28">
        <v>3</v>
      </c>
      <c r="GA28">
        <v>3</v>
      </c>
      <c r="GB28" t="s">
        <v>426</v>
      </c>
      <c r="GC28">
        <v>3.12364</v>
      </c>
      <c r="GD28">
        <v>2.76547</v>
      </c>
      <c r="GE28">
        <v>0.233222</v>
      </c>
      <c r="GF28">
        <v>0.2402</v>
      </c>
      <c r="GG28">
        <v>0.0912179</v>
      </c>
      <c r="GH28">
        <v>0.0918688</v>
      </c>
      <c r="GI28">
        <v>14920.8</v>
      </c>
      <c r="GJ28">
        <v>22304</v>
      </c>
      <c r="GK28">
        <v>22739.8</v>
      </c>
      <c r="GL28">
        <v>30081.5</v>
      </c>
      <c r="GM28">
        <v>33912.4</v>
      </c>
      <c r="GN28">
        <v>34051</v>
      </c>
      <c r="GO28">
        <v>43029.9</v>
      </c>
      <c r="GP28">
        <v>42854</v>
      </c>
      <c r="GQ28">
        <v>1.96855</v>
      </c>
      <c r="GR28">
        <v>1.79452</v>
      </c>
      <c r="GS28">
        <v>0.0893101</v>
      </c>
      <c r="GT28">
        <v>0</v>
      </c>
      <c r="GU28">
        <v>23.5404</v>
      </c>
      <c r="GV28">
        <v>999.9</v>
      </c>
      <c r="GW28">
        <v>37.791</v>
      </c>
      <c r="GX28">
        <v>34.07</v>
      </c>
      <c r="GY28">
        <v>20.0863</v>
      </c>
      <c r="GZ28">
        <v>63.2565</v>
      </c>
      <c r="HA28">
        <v>36.266</v>
      </c>
      <c r="HB28">
        <v>1</v>
      </c>
      <c r="HC28">
        <v>0.100071</v>
      </c>
      <c r="HD28">
        <v>2.84923</v>
      </c>
      <c r="HE28">
        <v>20.1385</v>
      </c>
      <c r="HF28">
        <v>5.23481</v>
      </c>
      <c r="HG28">
        <v>11.962</v>
      </c>
      <c r="HH28">
        <v>4.968</v>
      </c>
      <c r="HI28">
        <v>3.29503</v>
      </c>
      <c r="HJ28">
        <v>9999</v>
      </c>
      <c r="HK28">
        <v>9999</v>
      </c>
      <c r="HL28">
        <v>9999</v>
      </c>
      <c r="HM28">
        <v>999.9</v>
      </c>
      <c r="HN28">
        <v>4.96986</v>
      </c>
      <c r="HO28">
        <v>1.86401</v>
      </c>
      <c r="HP28">
        <v>1.86553</v>
      </c>
      <c r="HQ28">
        <v>1.86737</v>
      </c>
      <c r="HR28">
        <v>1.86434</v>
      </c>
      <c r="HS28">
        <v>1.868</v>
      </c>
      <c r="HT28">
        <v>1.86479</v>
      </c>
      <c r="HU28">
        <v>1.86676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2.43</v>
      </c>
      <c r="IJ28">
        <v>-0.1108</v>
      </c>
      <c r="IK28">
        <v>1.4881326056447</v>
      </c>
      <c r="IL28">
        <v>0.000216929631606078</v>
      </c>
      <c r="IM28">
        <v>2.72263024731635e-07</v>
      </c>
      <c r="IN28">
        <v>-5.43792051235154e-11</v>
      </c>
      <c r="IO28">
        <v>-0.00552958231207739</v>
      </c>
      <c r="IP28">
        <v>-0.0584433849545669</v>
      </c>
      <c r="IQ28">
        <v>0.00341568706061026</v>
      </c>
      <c r="IR28">
        <v>-2.10952612506686e-05</v>
      </c>
      <c r="IS28">
        <v>-0</v>
      </c>
      <c r="IT28">
        <v>1734</v>
      </c>
      <c r="IU28">
        <v>2</v>
      </c>
      <c r="IV28">
        <v>19</v>
      </c>
      <c r="IW28">
        <v>1.1</v>
      </c>
      <c r="IX28">
        <v>1.3</v>
      </c>
      <c r="IY28">
        <v>3.47046</v>
      </c>
      <c r="IZ28">
        <v>2.5061</v>
      </c>
      <c r="JA28">
        <v>1.34644</v>
      </c>
      <c r="JB28">
        <v>2.26196</v>
      </c>
      <c r="JC28">
        <v>1.55029</v>
      </c>
      <c r="JD28">
        <v>2.71851</v>
      </c>
      <c r="JE28">
        <v>39.9689</v>
      </c>
      <c r="JF28">
        <v>23.7373</v>
      </c>
      <c r="JG28">
        <v>18</v>
      </c>
      <c r="JH28">
        <v>501.543</v>
      </c>
      <c r="JI28">
        <v>466.214</v>
      </c>
      <c r="JJ28">
        <v>20.692</v>
      </c>
      <c r="JK28">
        <v>28.4686</v>
      </c>
      <c r="JL28">
        <v>30.0003</v>
      </c>
      <c r="JM28">
        <v>28.4382</v>
      </c>
      <c r="JN28">
        <v>28.4507</v>
      </c>
      <c r="JO28">
        <v>69.4819</v>
      </c>
      <c r="JP28">
        <v>25.0422</v>
      </c>
      <c r="JQ28">
        <v>15.9981</v>
      </c>
      <c r="JR28">
        <v>20.6887</v>
      </c>
      <c r="JS28">
        <v>1800</v>
      </c>
      <c r="JT28">
        <v>16.3424</v>
      </c>
      <c r="JU28">
        <v>101.601</v>
      </c>
      <c r="JV28">
        <v>97.3022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2026-10-18T15:42:16Z</dcterms:created>
  <dcterms:modified xsi:type="dcterms:W3CDTF">2026-10-18T15:42:16Z</dcterms:modified>
</cp:coreProperties>
</file>