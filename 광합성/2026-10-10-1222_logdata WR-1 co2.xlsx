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0 lettuce park/"/>
    </mc:Choice>
  </mc:AlternateContent>
  <xr:revisionPtr revIDLastSave="0" documentId="11_ACE07100B9D35AA1DBBFECE67149C79604E02A1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 s="1"/>
  <c r="Y27" i="1"/>
  <c r="X27" i="1"/>
  <c r="W27" i="1"/>
  <c r="P27" i="1"/>
  <c r="CW26" i="1"/>
  <c r="CV26" i="1"/>
  <c r="CT26" i="1"/>
  <c r="S26" i="1" s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/>
  <c r="Y25" i="1"/>
  <c r="X25" i="1"/>
  <c r="W25" i="1" s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S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P19" i="1"/>
  <c r="CW18" i="1"/>
  <c r="CV18" i="1"/>
  <c r="CT18" i="1"/>
  <c r="CU18" i="1" s="1"/>
  <c r="AV18" i="1" s="1"/>
  <c r="BI18" i="1"/>
  <c r="BH18" i="1"/>
  <c r="AZ18" i="1"/>
  <c r="AT18" i="1"/>
  <c r="AN18" i="1"/>
  <c r="BA18" i="1" s="1"/>
  <c r="BD18" i="1" s="1"/>
  <c r="AI18" i="1"/>
  <c r="AG18" i="1" s="1"/>
  <c r="Y18" i="1"/>
  <c r="W18" i="1" s="1"/>
  <c r="X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CU26" i="1" l="1"/>
  <c r="AV26" i="1" s="1"/>
  <c r="AX26" i="1" s="1"/>
  <c r="CU22" i="1"/>
  <c r="AV22" i="1" s="1"/>
  <c r="AX22" i="1" s="1"/>
  <c r="W28" i="1"/>
  <c r="CU17" i="1"/>
  <c r="AV17" i="1" s="1"/>
  <c r="AX18" i="1"/>
  <c r="CU28" i="1"/>
  <c r="AV28" i="1" s="1"/>
  <c r="AX28" i="1" s="1"/>
  <c r="S28" i="1"/>
  <c r="BE28" i="1"/>
  <c r="BF28" i="1"/>
  <c r="BJ28" i="1" s="1"/>
  <c r="BK28" i="1" s="1"/>
  <c r="BG28" i="1"/>
  <c r="AH28" i="1"/>
  <c r="J28" i="1"/>
  <c r="AW28" i="1" s="1"/>
  <c r="AY28" i="1" s="1"/>
  <c r="K28" i="1"/>
  <c r="I28" i="1"/>
  <c r="H28" i="1" s="1"/>
  <c r="N28" i="1"/>
  <c r="S27" i="1"/>
  <c r="CU27" i="1"/>
  <c r="AV27" i="1" s="1"/>
  <c r="AX27" i="1" s="1"/>
  <c r="BG27" i="1"/>
  <c r="BE27" i="1"/>
  <c r="BF27" i="1"/>
  <c r="BJ27" i="1" s="1"/>
  <c r="BK27" i="1" s="1"/>
  <c r="AH27" i="1"/>
  <c r="I27" i="1"/>
  <c r="H27" i="1" s="1"/>
  <c r="J27" i="1"/>
  <c r="AW27" i="1" s="1"/>
  <c r="K27" i="1"/>
  <c r="N27" i="1"/>
  <c r="BE26" i="1"/>
  <c r="BF26" i="1"/>
  <c r="BJ26" i="1" s="1"/>
  <c r="BK26" i="1" s="1"/>
  <c r="BG26" i="1"/>
  <c r="AH26" i="1"/>
  <c r="I26" i="1"/>
  <c r="H26" i="1" s="1"/>
  <c r="J26" i="1"/>
  <c r="AW26" i="1" s="1"/>
  <c r="AY26" i="1" s="1"/>
  <c r="K26" i="1"/>
  <c r="N26" i="1"/>
  <c r="T26" i="1"/>
  <c r="U26" i="1" s="1"/>
  <c r="CU25" i="1"/>
  <c r="AV25" i="1" s="1"/>
  <c r="AX25" i="1" s="1"/>
  <c r="S25" i="1"/>
  <c r="BE25" i="1"/>
  <c r="BF25" i="1"/>
  <c r="BJ25" i="1" s="1"/>
  <c r="BK25" i="1" s="1"/>
  <c r="BG25" i="1"/>
  <c r="AH25" i="1"/>
  <c r="N25" i="1"/>
  <c r="K25" i="1"/>
  <c r="J25" i="1"/>
  <c r="AW25" i="1" s="1"/>
  <c r="AY25" i="1" s="1"/>
  <c r="I25" i="1"/>
  <c r="H25" i="1" s="1"/>
  <c r="S24" i="1"/>
  <c r="CU24" i="1"/>
  <c r="AV24" i="1" s="1"/>
  <c r="AX24" i="1" s="1"/>
  <c r="BF24" i="1"/>
  <c r="BJ24" i="1" s="1"/>
  <c r="BK24" i="1" s="1"/>
  <c r="BG24" i="1"/>
  <c r="BE24" i="1"/>
  <c r="I24" i="1"/>
  <c r="H24" i="1" s="1"/>
  <c r="J24" i="1"/>
  <c r="AW24" i="1" s="1"/>
  <c r="AY24" i="1" s="1"/>
  <c r="K24" i="1"/>
  <c r="N24" i="1"/>
  <c r="AH24" i="1"/>
  <c r="BE23" i="1"/>
  <c r="BF23" i="1"/>
  <c r="BJ23" i="1" s="1"/>
  <c r="BK23" i="1" s="1"/>
  <c r="BG23" i="1"/>
  <c r="N23" i="1"/>
  <c r="K23" i="1"/>
  <c r="J23" i="1"/>
  <c r="AW23" i="1" s="1"/>
  <c r="AY23" i="1" s="1"/>
  <c r="AH23" i="1"/>
  <c r="I23" i="1"/>
  <c r="H23" i="1" s="1"/>
  <c r="T23" i="1"/>
  <c r="U23" i="1" s="1"/>
  <c r="BE22" i="1"/>
  <c r="BF22" i="1"/>
  <c r="BJ22" i="1" s="1"/>
  <c r="BK22" i="1" s="1"/>
  <c r="BG22" i="1"/>
  <c r="N22" i="1"/>
  <c r="K22" i="1"/>
  <c r="J22" i="1"/>
  <c r="AW22" i="1" s="1"/>
  <c r="AY22" i="1" s="1"/>
  <c r="I22" i="1"/>
  <c r="H22" i="1" s="1"/>
  <c r="AH22" i="1"/>
  <c r="S21" i="1"/>
  <c r="CU21" i="1"/>
  <c r="AV21" i="1" s="1"/>
  <c r="AX21" i="1" s="1"/>
  <c r="BG21" i="1"/>
  <c r="BE21" i="1"/>
  <c r="BF21" i="1"/>
  <c r="BJ21" i="1" s="1"/>
  <c r="BK21" i="1" s="1"/>
  <c r="AH21" i="1"/>
  <c r="I21" i="1"/>
  <c r="H21" i="1" s="1"/>
  <c r="J21" i="1"/>
  <c r="AW21" i="1" s="1"/>
  <c r="K21" i="1"/>
  <c r="N21" i="1"/>
  <c r="BE20" i="1"/>
  <c r="BF20" i="1"/>
  <c r="BJ20" i="1" s="1"/>
  <c r="BK20" i="1" s="1"/>
  <c r="BG20" i="1"/>
  <c r="K20" i="1"/>
  <c r="N20" i="1"/>
  <c r="I20" i="1"/>
  <c r="H20" i="1" s="1"/>
  <c r="AH20" i="1"/>
  <c r="J20" i="1"/>
  <c r="AW20" i="1" s="1"/>
  <c r="AY20" i="1" s="1"/>
  <c r="T20" i="1"/>
  <c r="U20" i="1" s="1"/>
  <c r="CU19" i="1"/>
  <c r="AV19" i="1" s="1"/>
  <c r="AX19" i="1" s="1"/>
  <c r="S19" i="1"/>
  <c r="BE19" i="1"/>
  <c r="BF19" i="1"/>
  <c r="BJ19" i="1" s="1"/>
  <c r="BK19" i="1" s="1"/>
  <c r="BG19" i="1"/>
  <c r="AH19" i="1"/>
  <c r="I19" i="1"/>
  <c r="H19" i="1" s="1"/>
  <c r="J19" i="1"/>
  <c r="AW19" i="1" s="1"/>
  <c r="AY19" i="1" s="1"/>
  <c r="K19" i="1"/>
  <c r="N19" i="1"/>
  <c r="BE18" i="1"/>
  <c r="BF18" i="1"/>
  <c r="BJ18" i="1" s="1"/>
  <c r="BK18" i="1" s="1"/>
  <c r="BG18" i="1"/>
  <c r="I18" i="1"/>
  <c r="H18" i="1" s="1"/>
  <c r="N18" i="1"/>
  <c r="K18" i="1"/>
  <c r="J18" i="1"/>
  <c r="AW18" i="1" s="1"/>
  <c r="AY18" i="1" s="1"/>
  <c r="AH18" i="1"/>
  <c r="T18" i="1"/>
  <c r="U18" i="1" s="1"/>
  <c r="BF17" i="1"/>
  <c r="BJ17" i="1" s="1"/>
  <c r="BK17" i="1" s="1"/>
  <c r="BE17" i="1"/>
  <c r="BG17" i="1"/>
  <c r="N17" i="1"/>
  <c r="I17" i="1"/>
  <c r="H17" i="1" s="1"/>
  <c r="K17" i="1"/>
  <c r="J17" i="1"/>
  <c r="AW17" i="1" s="1"/>
  <c r="AY17" i="1" s="1"/>
  <c r="AH17" i="1"/>
  <c r="T17" i="1"/>
  <c r="U17" i="1" s="1"/>
  <c r="AX23" i="1"/>
  <c r="AX17" i="1"/>
  <c r="AY27" i="1" l="1"/>
  <c r="T28" i="1"/>
  <c r="U28" i="1" s="1"/>
  <c r="Q28" i="1" s="1"/>
  <c r="O28" i="1" s="1"/>
  <c r="R28" i="1" s="1"/>
  <c r="L28" i="1" s="1"/>
  <c r="M28" i="1" s="1"/>
  <c r="AA28" i="1"/>
  <c r="T27" i="1"/>
  <c r="U27" i="1" s="1"/>
  <c r="Q27" i="1"/>
  <c r="O27" i="1" s="1"/>
  <c r="R27" i="1" s="1"/>
  <c r="L27" i="1" s="1"/>
  <c r="M27" i="1" s="1"/>
  <c r="AA27" i="1"/>
  <c r="Q26" i="1"/>
  <c r="O26" i="1" s="1"/>
  <c r="R26" i="1" s="1"/>
  <c r="L26" i="1" s="1"/>
  <c r="M26" i="1" s="1"/>
  <c r="AA26" i="1"/>
  <c r="AB26" i="1"/>
  <c r="V26" i="1"/>
  <c r="Z26" i="1" s="1"/>
  <c r="AC26" i="1"/>
  <c r="AD26" i="1" s="1"/>
  <c r="T25" i="1"/>
  <c r="U25" i="1" s="1"/>
  <c r="Q25" i="1" s="1"/>
  <c r="O25" i="1" s="1"/>
  <c r="R25" i="1" s="1"/>
  <c r="L25" i="1" s="1"/>
  <c r="M25" i="1" s="1"/>
  <c r="AA25" i="1"/>
  <c r="T24" i="1"/>
  <c r="U24" i="1" s="1"/>
  <c r="Q24" i="1" s="1"/>
  <c r="O24" i="1" s="1"/>
  <c r="R24" i="1" s="1"/>
  <c r="L24" i="1" s="1"/>
  <c r="M24" i="1" s="1"/>
  <c r="AA24" i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T22" i="1"/>
  <c r="U22" i="1" s="1"/>
  <c r="Q22" i="1" s="1"/>
  <c r="O22" i="1" s="1"/>
  <c r="R22" i="1" s="1"/>
  <c r="L22" i="1" s="1"/>
  <c r="M22" i="1" s="1"/>
  <c r="AA22" i="1"/>
  <c r="T21" i="1"/>
  <c r="U21" i="1" s="1"/>
  <c r="Q21" i="1"/>
  <c r="O21" i="1" s="1"/>
  <c r="R21" i="1" s="1"/>
  <c r="L21" i="1" s="1"/>
  <c r="M21" i="1" s="1"/>
  <c r="AA21" i="1"/>
  <c r="Q20" i="1"/>
  <c r="O20" i="1" s="1"/>
  <c r="R20" i="1" s="1"/>
  <c r="L20" i="1" s="1"/>
  <c r="M20" i="1" s="1"/>
  <c r="AA20" i="1"/>
  <c r="AB20" i="1"/>
  <c r="V20" i="1"/>
  <c r="Z20" i="1" s="1"/>
  <c r="AC20" i="1"/>
  <c r="AD20" i="1" s="1"/>
  <c r="T19" i="1"/>
  <c r="U19" i="1" s="1"/>
  <c r="Q19" i="1"/>
  <c r="O19" i="1" s="1"/>
  <c r="R19" i="1" s="1"/>
  <c r="L19" i="1" s="1"/>
  <c r="M19" i="1" s="1"/>
  <c r="AA19" i="1"/>
  <c r="Q18" i="1"/>
  <c r="O18" i="1" s="1"/>
  <c r="R18" i="1" s="1"/>
  <c r="L18" i="1" s="1"/>
  <c r="M18" i="1" s="1"/>
  <c r="AA18" i="1"/>
  <c r="AB18" i="1"/>
  <c r="V18" i="1"/>
  <c r="Z18" i="1" s="1"/>
  <c r="AC18" i="1"/>
  <c r="AA17" i="1"/>
  <c r="Q17" i="1"/>
  <c r="O17" i="1" s="1"/>
  <c r="R17" i="1" s="1"/>
  <c r="L17" i="1" s="1"/>
  <c r="M17" i="1" s="1"/>
  <c r="AB17" i="1"/>
  <c r="AC17" i="1"/>
  <c r="V17" i="1"/>
  <c r="Z17" i="1" s="1"/>
  <c r="AY21" i="1"/>
  <c r="AD18" i="1" l="1"/>
  <c r="AB28" i="1"/>
  <c r="V28" i="1"/>
  <c r="Z28" i="1" s="1"/>
  <c r="AC28" i="1"/>
  <c r="AD28" i="1" s="1"/>
  <c r="AB27" i="1"/>
  <c r="V27" i="1"/>
  <c r="Z27" i="1" s="1"/>
  <c r="AC27" i="1"/>
  <c r="AD27" i="1" s="1"/>
  <c r="AB25" i="1"/>
  <c r="V25" i="1"/>
  <c r="Z25" i="1" s="1"/>
  <c r="AC25" i="1"/>
  <c r="AD25" i="1" s="1"/>
  <c r="AB24" i="1"/>
  <c r="V24" i="1"/>
  <c r="Z24" i="1" s="1"/>
  <c r="AC24" i="1"/>
  <c r="AD24" i="1" s="1"/>
  <c r="V22" i="1"/>
  <c r="Z22" i="1" s="1"/>
  <c r="AB22" i="1"/>
  <c r="AC22" i="1"/>
  <c r="AD22" i="1" s="1"/>
  <c r="AB21" i="1"/>
  <c r="V21" i="1"/>
  <c r="Z21" i="1" s="1"/>
  <c r="AC21" i="1"/>
  <c r="AB19" i="1"/>
  <c r="AC19" i="1"/>
  <c r="AD19" i="1" s="1"/>
  <c r="V19" i="1"/>
  <c r="Z19" i="1" s="1"/>
  <c r="AD17" i="1"/>
  <c r="AD21" i="1" l="1"/>
</calcChain>
</file>

<file path=xl/sharedStrings.xml><?xml version="1.0" encoding="utf-8"?>
<sst xmlns="http://schemas.openxmlformats.org/spreadsheetml/2006/main" count="1037" uniqueCount="457">
  <si>
    <t>File opened</t>
  </si>
  <si>
    <t>2026-10-10 12:22:21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</si>
  <si>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</si>
  <si>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</si>
  <si>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</si>
  <si>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</si>
  <si>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</si>
  <si>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</si>
  <si>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</si>
  <si>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</si>
  <si>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</si>
  <si>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</si>
  <si>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</si>
  <si>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{"flowbzero": "0.27399", "h2oaspan1": "1.0301", "co2bspanconc2": "1516", "co2bspanconc1": "437.6", "h2oazero": "1.14957", "ssa_ref": "32366.8", "co2bspan2a": "0.0952815", "ssb_ref": "37478.9", "tazero": "0.0951138", "co2aspan1": "0.99333", "co2azero": "1.16194", "h2obspan1": "0.995823", "co2aspanconc2": "1516", "h2obspanconc1": "21.96", "h2obspan2": "0", "h2oaspanconc1": "21.96", "tbzero": "0.145187", "chamberpressurezero": "2.61687", "co2bzero": "1.02053", "h2oaspanconc2": "0", "co2aspan2a": "0.0929659", "oxygen": "21", "h2obzero": "1.13925", "co2bspan2b": "0.0947811", "co2bspan2": "0.00898303", "co2aspan2": "0.0108874", "h2obspan2a": "0.112101", "flowmeterzero": "2.5072", "flowazero": "0.316", "co2bspan1": "0.993892", "h2obspan2b": "0.111633", "co2aspan2b": "0.0924399", "h2obspanconc2": "0", "h2oaspan2b": "0.111609", "h2oaspan2a": "0.108347", "h2oaspan2": "0", "co2aspanconc1": "437.6"}</t>
  </si>
  <si>
    <t>Factory cal date</t>
  </si>
  <si>
    <t>04 Oct 2022</t>
  </si>
  <si>
    <t>CO2 rangematch</t>
  </si>
  <si>
    <t>Tue Sep 15 09:35</t>
  </si>
  <si>
    <t>H2O rangematch</t>
  </si>
  <si>
    <t>Tue Sep 15 09:41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</si>
  <si>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</si>
  <si>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</si>
  <si>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</si>
  <si>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</si>
  <si>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</si>
  <si>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</si>
  <si>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</si>
  <si>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</si>
  <si>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</si>
  <si>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12:22:21</t>
  </si>
  <si>
    <t>Stability Definition:	A (GasEx): Slp&lt;0.6 Per=20	ΔCO2 (Meas2): Slp&lt;0.5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</si>
  <si>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</si>
  <si>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</si>
  <si>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</si>
  <si>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</si>
  <si>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</si>
  <si>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</si>
  <si>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</si>
  <si>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</si>
  <si>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</si>
  <si>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</si>
  <si>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</si>
  <si>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</si>
  <si>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</si>
  <si>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</si>
  <si>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</si>
  <si>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</si>
  <si>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</si>
  <si>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</si>
  <si>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</si>
  <si>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</si>
  <si>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</si>
  <si>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</si>
  <si>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</si>
  <si>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</si>
  <si>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</si>
  <si>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</si>
  <si>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</si>
  <si>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</si>
  <si>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</si>
  <si>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</si>
  <si>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</si>
  <si>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</si>
  <si>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</si>
  <si>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</si>
  <si>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</si>
  <si>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</si>
  <si>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</si>
  <si>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</si>
  <si>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</si>
  <si>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</si>
  <si>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</si>
  <si>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</si>
  <si>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</si>
  <si>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</si>
  <si>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</si>
  <si>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</si>
  <si>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</si>
  <si>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</si>
  <si>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</si>
  <si>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</si>
  <si>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</si>
  <si>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</si>
  <si>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4.38209 210.944 349.831 586.709 869.356 1077.05 1247.6 1358.57</t>
  </si>
  <si>
    <t>Fs_true</t>
  </si>
  <si>
    <t>0.620429 237.749 373.713 581.984 811.989 1001.17 1203.08 1400.83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</si>
  <si>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</si>
  <si>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</si>
  <si>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</si>
  <si>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</si>
  <si>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</si>
  <si>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</si>
  <si>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</si>
  <si>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</si>
  <si>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</si>
  <si>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</si>
  <si>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</si>
  <si>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</si>
  <si>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</si>
  <si>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</si>
  <si>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</si>
  <si>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</si>
  <si>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</si>
  <si>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</si>
  <si>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</si>
  <si>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</si>
  <si>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</si>
  <si>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</si>
  <si>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</si>
  <si>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</si>
  <si>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</si>
  <si>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</si>
  <si>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</si>
  <si>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</si>
  <si>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</si>
  <si>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</si>
  <si>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</si>
  <si>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</si>
  <si>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</si>
  <si>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</si>
  <si>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</si>
  <si>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</si>
  <si>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</si>
  <si>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</si>
  <si>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</si>
  <si>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</si>
  <si>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</si>
  <si>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</si>
  <si>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</si>
  <si>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</si>
  <si>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</si>
  <si>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</si>
  <si>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</si>
  <si>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</si>
  <si>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</si>
  <si>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</si>
  <si>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</si>
  <si>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</si>
  <si>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</si>
  <si>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</si>
  <si>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</si>
  <si>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</si>
  <si>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</si>
  <si>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</si>
  <si>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</si>
  <si>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</si>
  <si>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</si>
  <si>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</si>
  <si>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</si>
  <si>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</si>
  <si>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</si>
  <si>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</si>
  <si>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</si>
  <si>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</si>
  <si>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</si>
  <si>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</si>
  <si>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</si>
  <si>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</si>
  <si>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</si>
  <si>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</si>
  <si>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</si>
  <si>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</si>
  <si>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</si>
  <si>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</si>
  <si>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</si>
  <si>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</si>
  <si>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</si>
  <si>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</si>
  <si>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</si>
  <si>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</si>
  <si>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</si>
  <si>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</si>
  <si>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</si>
  <si>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</si>
  <si>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</si>
  <si>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</si>
  <si>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</si>
  <si>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</si>
  <si>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</si>
  <si>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</si>
  <si>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</si>
  <si>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</si>
  <si>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</si>
  <si>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</si>
  <si>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</si>
  <si>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</si>
  <si>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</si>
  <si>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</si>
  <si>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</si>
  <si>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</si>
  <si>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</si>
  <si>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</si>
  <si>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</si>
  <si>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</si>
  <si>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</si>
  <si>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</si>
  <si>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</si>
  <si>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</si>
  <si>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</si>
  <si>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</si>
  <si>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</si>
  <si>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</si>
  <si>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</si>
  <si>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</si>
  <si>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</si>
  <si>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</si>
  <si>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</si>
  <si>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</si>
  <si>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</si>
  <si>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</si>
  <si>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</si>
  <si>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</si>
  <si>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</si>
  <si>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</si>
  <si>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</si>
  <si>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</si>
  <si>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</si>
  <si>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</si>
  <si>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</si>
  <si>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</si>
  <si>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</si>
  <si>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</si>
  <si>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</si>
  <si>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</si>
  <si>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</si>
  <si>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</si>
  <si>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</si>
  <si>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</si>
  <si>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</si>
  <si>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</si>
  <si>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</si>
  <si>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</si>
  <si>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</si>
  <si>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</si>
  <si>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</si>
  <si>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</si>
  <si>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</si>
  <si>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</si>
  <si>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</si>
  <si>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</si>
  <si>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</si>
  <si>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</si>
  <si>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</si>
  <si>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</si>
  <si>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</si>
  <si>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</si>
  <si>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</si>
  <si>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</si>
  <si>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</si>
  <si>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</si>
  <si>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</si>
  <si>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</si>
  <si>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</si>
  <si>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</si>
  <si>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</si>
  <si>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</si>
  <si>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</si>
  <si>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</si>
  <si>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</si>
  <si>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</si>
  <si>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</si>
  <si>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</si>
  <si>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</si>
  <si>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</si>
  <si>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</si>
  <si>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</si>
  <si>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</si>
  <si>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</si>
  <si>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</si>
  <si>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</si>
  <si>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</si>
  <si>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</si>
  <si>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</si>
  <si>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</si>
  <si>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</si>
  <si>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</si>
  <si>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</si>
  <si>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</si>
  <si>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</si>
  <si>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</si>
  <si>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</si>
  <si>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</si>
  <si>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</si>
  <si>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</si>
  <si>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</si>
  <si>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</si>
  <si>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</si>
  <si>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</si>
  <si>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</si>
  <si>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</si>
  <si>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</si>
  <si>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</si>
  <si>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</si>
  <si>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</si>
  <si>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</si>
  <si>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</si>
  <si>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</si>
  <si>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</si>
  <si>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</si>
  <si>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</si>
  <si>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</si>
  <si>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</si>
  <si>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</si>
  <si>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</si>
  <si>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</si>
  <si>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</si>
  <si>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</si>
  <si>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</si>
  <si>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</si>
  <si>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</si>
  <si>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</si>
  <si>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</si>
  <si>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</si>
  <si>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</si>
  <si>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</si>
  <si>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</si>
  <si>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</si>
  <si>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</si>
  <si>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</si>
  <si>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</si>
  <si>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</si>
  <si>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</si>
  <si>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</si>
  <si>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</si>
  <si>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</si>
  <si>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</si>
  <si>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</si>
  <si>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</si>
  <si>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</si>
  <si>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</si>
  <si>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</si>
  <si>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</si>
  <si>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</si>
  <si>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</si>
  <si>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</si>
  <si>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</si>
  <si>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</si>
  <si>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</si>
  <si>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</si>
  <si>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</si>
  <si>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</si>
  <si>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</si>
  <si>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</si>
  <si>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</si>
  <si>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</si>
  <si>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</si>
  <si>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</si>
  <si>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</si>
  <si>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</si>
  <si>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</si>
  <si>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</si>
  <si>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</si>
  <si>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</si>
  <si>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</si>
  <si>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</si>
  <si>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</si>
  <si>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</si>
  <si>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</si>
  <si>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</si>
  <si>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</si>
  <si>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</si>
  <si>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</si>
  <si>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</si>
  <si>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</si>
  <si>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</si>
  <si>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</si>
  <si>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</si>
  <si>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</si>
  <si>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</si>
  <si>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</si>
  <si>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</si>
  <si>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</si>
  <si>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</si>
  <si>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</si>
  <si>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</si>
  <si>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</si>
  <si>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</si>
  <si>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</si>
  <si>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</si>
  <si>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</si>
  <si>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</si>
  <si>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</si>
  <si>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</si>
  <si>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</si>
  <si>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</si>
  <si>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</si>
  <si>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</si>
  <si>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</si>
  <si>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</si>
  <si>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</si>
  <si>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</si>
  <si>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</si>
  <si>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</si>
  <si>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</si>
  <si>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</si>
  <si>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</si>
  <si>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</si>
  <si>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</si>
  <si>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</si>
  <si>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</si>
  <si>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</si>
  <si>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</si>
  <si>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</si>
  <si>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</si>
  <si>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</si>
  <si>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</si>
  <si>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</si>
  <si>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</si>
  <si>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</si>
  <si>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</si>
  <si>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</si>
  <si>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</si>
  <si>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</si>
  <si>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</si>
  <si>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20261010 12:55:22</t>
  </si>
  <si>
    <t>12:55:22</t>
  </si>
  <si>
    <t>-</t>
  </si>
  <si>
    <t>0: Broadleaf</t>
  </si>
  <si>
    <t>12:54:24</t>
  </si>
  <si>
    <t>2/2</t>
  </si>
  <si>
    <t>11111111</t>
  </si>
  <si>
    <t>oooooooo</t>
  </si>
  <si>
    <t>on</t>
  </si>
  <si>
    <t>20261010 12:57:23</t>
  </si>
  <si>
    <t>12:57:23</t>
  </si>
  <si>
    <t>12:56:28</t>
  </si>
  <si>
    <t>20261010 12:59:24</t>
  </si>
  <si>
    <t>12:59:24</t>
  </si>
  <si>
    <t>12:58:29</t>
  </si>
  <si>
    <t>20261010 13:01:25</t>
  </si>
  <si>
    <t>13:01:25</t>
  </si>
  <si>
    <t>13:00:32</t>
  </si>
  <si>
    <t>20261010 13:03:26</t>
  </si>
  <si>
    <t>13:03:26</t>
  </si>
  <si>
    <t>13:02:25</t>
  </si>
  <si>
    <t>20261010 13:05:38</t>
  </si>
  <si>
    <t>13:05:38</t>
  </si>
  <si>
    <t>13:04:28</t>
  </si>
  <si>
    <t>20261010 13:07:39</t>
  </si>
  <si>
    <t>13:07:39</t>
  </si>
  <si>
    <t>13:06:33</t>
  </si>
  <si>
    <t>20261010 13:09:48</t>
  </si>
  <si>
    <t>13:09:48</t>
  </si>
  <si>
    <t>13:08:37</t>
  </si>
  <si>
    <t>20261010 13:12:19</t>
  </si>
  <si>
    <t>13:12:19</t>
  </si>
  <si>
    <t>13:10:48</t>
  </si>
  <si>
    <t>1/2</t>
  </si>
  <si>
    <t>20261010 13:14:21</t>
  </si>
  <si>
    <t>13:14:21</t>
  </si>
  <si>
    <t>13:13:40</t>
  </si>
  <si>
    <t>20261010 13:16:22</t>
  </si>
  <si>
    <t>13:16:22</t>
  </si>
  <si>
    <t>13:15:29</t>
  </si>
  <si>
    <t>20261010 13:18:43</t>
  </si>
  <si>
    <t>13:18:43</t>
  </si>
  <si>
    <t>13:17:25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</si>
</sst>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8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34</v>
      </c>
    </row>
    <row r="3" spans="1:282" x14ac:dyDescent="0.3">
      <c r="B3" t="s">
        <v>33</v>
      </c>
      <c r="C3">
        <v>21</v>
      </c>
    </row>
    <row r="4" spans="1:282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82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 x14ac:dyDescent="0.3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412</v>
      </c>
      <c r="HM16" t="s">
        <v>411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 x14ac:dyDescent="0.3">
      <c r="A17">
        <v>1</v>
      </c>
      <c r="B17">
        <v>1791604522.0999999</v>
      </c>
      <c r="C17">
        <v>0</v>
      </c>
      <c r="D17" t="s">
        <v>414</v>
      </c>
      <c r="E17" t="s">
        <v>415</v>
      </c>
      <c r="F17">
        <v>5</v>
      </c>
      <c r="G17">
        <v>1791604518.5999999</v>
      </c>
      <c r="H17">
        <f t="shared" ref="H17:H28" si="0">(I17)/1000</f>
        <v>2.4609898400941004E-3</v>
      </c>
      <c r="I17">
        <f t="shared" ref="I17:I28" si="1">1000*DI17*AG17*(DE17-DF17)/(100*CX17*(1000-AG17*DE17))</f>
        <v>2.4609898400941006</v>
      </c>
      <c r="J17">
        <f t="shared" ref="J17:J28" si="2">DI17*AG17*(DD17-DC17*(1000-AG17*DF17)/(1000-AG17*DE17))/(100*CX17)</f>
        <v>15.372336144116357</v>
      </c>
      <c r="K17">
        <f t="shared" ref="K17:K28" si="3">DC17 - IF(AG17&gt;1, J17*CX17*100/(AI17), 0)</f>
        <v>393.45333333333298</v>
      </c>
      <c r="L17">
        <f t="shared" ref="L17:L28" si="4">((R17-H17/2)*K17-J17)/(R17+H17/2)</f>
        <v>240.83234710993412</v>
      </c>
      <c r="M17">
        <f t="shared" ref="M17:M28" si="5">L17*(DJ17+DK17)/1000</f>
        <v>24.404254199023782</v>
      </c>
      <c r="N17">
        <f t="shared" ref="N17:N28" si="6">(DC17 - IF(AG17&gt;1, J17*CX17*100/(AI17), 0))*(DJ17+DK17)/1000</f>
        <v>39.86979023933543</v>
      </c>
      <c r="O17">
        <f t="shared" ref="O17:O28" si="7">2/((1/Q17-1/P17)+SIGN(Q17)*SQRT((1/Q17-1/P17)*(1/Q17-1/P17) + 4*CY17/((CY17+1)*(CY17+1))*(2*1/Q17*1/P17-1/P17*1/P17)))</f>
        <v>0.17394824801657072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3.0327598218205445</v>
      </c>
      <c r="Q17">
        <f t="shared" ref="Q17:Q28" si="9">H17*(1000-(1000*0.61365*EXP(17.502*U17/(240.97+U17))/(DJ17+DK17)+DE17)/2)/(1000*0.61365*EXP(17.502*U17/(240.97+U17))/(DJ17+DK17)-DE17)</f>
        <v>0.16858955014748234</v>
      </c>
      <c r="R17">
        <f t="shared" ref="R17:R28" si="10">1/((CY17+1)/(O17/1.6)+1/(P17/1.37)) + CY17/((CY17+1)/(O17/1.6) + CY17/(P17/1.37))</f>
        <v>0.10583617529581876</v>
      </c>
      <c r="S17">
        <f t="shared" ref="S17:S28" si="11">(CT17*CW17)</f>
        <v>241.73338500293204</v>
      </c>
      <c r="T17">
        <f t="shared" ref="T17:T28" si="12">(DL17+(S17+2*0.95*0.0000000567*(((DL17+$B$7)+273)^4-(DL17+273)^4)-44100*H17)/(1.84*29.3*P17+8*0.95*0.0000000567*(DL17+273)^3))</f>
        <v>25.616529809958848</v>
      </c>
      <c r="U17">
        <f t="shared" ref="U17:U28" si="13">($C$7*DM17+$D$7*DN17+$E$7*T17)</f>
        <v>24.994733333333301</v>
      </c>
      <c r="V17">
        <f t="shared" ref="V17:V28" si="14">0.61365*EXP(17.502*U17/(240.97+U17))</f>
        <v>3.1786793276410159</v>
      </c>
      <c r="W17">
        <f t="shared" ref="W17:W28" si="15">(X17/Y17*100)</f>
        <v>55.050310943772182</v>
      </c>
      <c r="X17">
        <f t="shared" ref="X17:X28" si="16">DE17*(DJ17+DK17)/1000</f>
        <v>1.7353353561569484</v>
      </c>
      <c r="Y17">
        <f t="shared" ref="Y17:Y28" si="17">0.61365*EXP(17.502*DL17/(240.97+DL17))</f>
        <v>3.1522716700536022</v>
      </c>
      <c r="Z17">
        <f t="shared" ref="Z17:Z28" si="18">(V17-DE17*(DJ17+DK17)/1000)</f>
        <v>1.4433439714840675</v>
      </c>
      <c r="AA17">
        <f t="shared" ref="AA17:AA28" si="19">(-H17*44100)</f>
        <v>-108.52965194814983</v>
      </c>
      <c r="AB17">
        <f t="shared" ref="AB17:AB28" si="20">2*29.3*P17*0.92*(DL17-U17)</f>
        <v>-22.865775329831248</v>
      </c>
      <c r="AC17">
        <f t="shared" ref="AC17:AC28" si="21">2*0.95*0.0000000567*(((DL17+$B$7)+273)^4-(U17+273)^4)</f>
        <v>-1.5935993783349132</v>
      </c>
      <c r="AD17">
        <f t="shared" ref="AD17:AD28" si="22">S17+AC17+AA17+AB17</f>
        <v>108.74435834661602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53956.713670547128</v>
      </c>
      <c r="AJ17" t="s">
        <v>416</v>
      </c>
      <c r="AK17" t="s">
        <v>416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1261.1925994833819</v>
      </c>
      <c r="AW17">
        <f t="shared" ref="AW17:AW28" si="29">J17</f>
        <v>15.372336144116357</v>
      </c>
      <c r="AX17" t="e">
        <f t="shared" ref="AX17:AX28" si="30">AT17*AU17*AV17</f>
        <v>#DIV/0!</v>
      </c>
      <c r="AY17">
        <f t="shared" ref="AY17:AY28" si="31">(AW17-AO17)/AV17</f>
        <v>1.2188730056308035E-2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416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CT17">
        <f t="shared" ref="CT17:CT28" si="42">$B$11*DR17+$C$11*DS17+$F$11*ED17*(1-EG17)</f>
        <v>1499.9783333333301</v>
      </c>
      <c r="CU17">
        <f t="shared" ref="CU17:CU28" si="43">CT17*CV17</f>
        <v>1261.1925994833819</v>
      </c>
      <c r="CV17">
        <f t="shared" ref="CV17:CV28" si="44">($B$11*$D$9+$C$11*$D$9+$F$11*((EQ17+EI17)/MAX(EQ17+EI17+ER17, 0.1)*$I$9+ER17/MAX(EQ17+EI17+ER17, 0.1)*$J$9))/($B$11+$C$11+$F$11)</f>
        <v>0.84080721131530878</v>
      </c>
      <c r="CW17">
        <f t="shared" ref="CW17:CW28" si="45">($B$11*$K$9+$C$11*$K$9+$F$11*((EQ17+EI17)/MAX(EQ17+EI17+ER17, 0.1)*$P$9+ER17/MAX(EQ17+EI17+ER17, 0.1)*$Q$9))/($B$11+$C$11+$F$11)</f>
        <v>0.16115791783854605</v>
      </c>
      <c r="CX17">
        <v>2</v>
      </c>
      <c r="CY17">
        <v>0.5</v>
      </c>
      <c r="CZ17" t="s">
        <v>417</v>
      </c>
      <c r="DA17">
        <v>2</v>
      </c>
      <c r="DB17">
        <v>1791604518.5999999</v>
      </c>
      <c r="DC17">
        <v>393.45333333333298</v>
      </c>
      <c r="DD17">
        <v>399.99</v>
      </c>
      <c r="DE17">
        <v>17.125083333333301</v>
      </c>
      <c r="DF17">
        <v>16.1574833333333</v>
      </c>
      <c r="DG17">
        <v>392.50216666666699</v>
      </c>
      <c r="DH17">
        <v>17.274616666666699</v>
      </c>
      <c r="DI17">
        <v>499.96800000000002</v>
      </c>
      <c r="DJ17">
        <v>101.233166666667</v>
      </c>
      <c r="DK17">
        <v>9.9791683333333298E-2</v>
      </c>
      <c r="DL17">
        <v>24.854883333333301</v>
      </c>
      <c r="DM17">
        <v>24.994733333333301</v>
      </c>
      <c r="DN17">
        <v>999.9</v>
      </c>
      <c r="DO17">
        <v>0</v>
      </c>
      <c r="DP17">
        <v>0</v>
      </c>
      <c r="DQ17">
        <v>10008.1166666667</v>
      </c>
      <c r="DR17">
        <v>0</v>
      </c>
      <c r="DS17">
        <v>7.5474800000000002</v>
      </c>
      <c r="DT17">
        <v>-6.5366099999999996</v>
      </c>
      <c r="DU17">
        <v>400.30866666666702</v>
      </c>
      <c r="DV17">
        <v>406.55916666666701</v>
      </c>
      <c r="DW17">
        <v>0.96759550000000005</v>
      </c>
      <c r="DX17">
        <v>399.99</v>
      </c>
      <c r="DY17">
        <v>16.1574833333333</v>
      </c>
      <c r="DZ17">
        <v>1.73362833333333</v>
      </c>
      <c r="EA17">
        <v>1.635675</v>
      </c>
      <c r="EB17">
        <v>15.2008666666667</v>
      </c>
      <c r="EC17">
        <v>14.2990666666667</v>
      </c>
      <c r="ED17">
        <v>1499.9783333333301</v>
      </c>
      <c r="EE17">
        <v>0.97300500000000001</v>
      </c>
      <c r="EF17">
        <v>2.6995000000000002E-2</v>
      </c>
      <c r="EG17">
        <v>0</v>
      </c>
      <c r="EH17">
        <v>360.86516666666699</v>
      </c>
      <c r="EI17">
        <v>5.0006399999999998</v>
      </c>
      <c r="EJ17">
        <v>5566.3983333333299</v>
      </c>
      <c r="EK17">
        <v>15438.983333333301</v>
      </c>
      <c r="EL17">
        <v>40.718499999999999</v>
      </c>
      <c r="EM17">
        <v>41.436999999999998</v>
      </c>
      <c r="EN17">
        <v>41.061999999999998</v>
      </c>
      <c r="EO17">
        <v>41.103999999999999</v>
      </c>
      <c r="EP17">
        <v>42.25</v>
      </c>
      <c r="EQ17">
        <v>1454.6183333333299</v>
      </c>
      <c r="ER17">
        <v>40.36</v>
      </c>
      <c r="ES17">
        <v>0</v>
      </c>
      <c r="ET17">
        <v>1791604522.5</v>
      </c>
      <c r="EU17">
        <v>0</v>
      </c>
      <c r="EV17">
        <v>360.890884615385</v>
      </c>
      <c r="EW17">
        <v>0.41911111237073601</v>
      </c>
      <c r="EX17">
        <v>-0.216068412319214</v>
      </c>
      <c r="EY17">
        <v>5566.4269230769196</v>
      </c>
      <c r="EZ17">
        <v>15</v>
      </c>
      <c r="FA17">
        <v>1791604464.0999999</v>
      </c>
      <c r="FB17" t="s">
        <v>418</v>
      </c>
      <c r="FC17">
        <v>1791604463.0999999</v>
      </c>
      <c r="FD17">
        <v>1791604464.0999999</v>
      </c>
      <c r="FE17">
        <v>41</v>
      </c>
      <c r="FF17">
        <v>1.9E-2</v>
      </c>
      <c r="FG17">
        <v>-1E-3</v>
      </c>
      <c r="FH17">
        <v>0.95499999999999996</v>
      </c>
      <c r="FI17">
        <v>-0.17299999999999999</v>
      </c>
      <c r="FJ17">
        <v>400</v>
      </c>
      <c r="FK17">
        <v>16</v>
      </c>
      <c r="FL17">
        <v>0.22</v>
      </c>
      <c r="FM17">
        <v>7.0000000000000007E-2</v>
      </c>
      <c r="FN17">
        <v>15.383481376157601</v>
      </c>
      <c r="FO17">
        <v>0.56818045287612495</v>
      </c>
      <c r="FP17">
        <v>0.1138251298999</v>
      </c>
      <c r="FQ17">
        <v>1</v>
      </c>
      <c r="FR17">
        <v>-6.5417538095238097</v>
      </c>
      <c r="FS17">
        <v>-0.138052207792212</v>
      </c>
      <c r="FT17">
        <v>4.4197933099291403E-2</v>
      </c>
      <c r="FU17">
        <v>1</v>
      </c>
      <c r="FV17">
        <v>360.91970588235301</v>
      </c>
      <c r="FW17">
        <v>-0.35327730842475402</v>
      </c>
      <c r="FX17">
        <v>0.197858019417336</v>
      </c>
      <c r="FY17">
        <v>-1</v>
      </c>
      <c r="FZ17">
        <v>2</v>
      </c>
      <c r="GA17">
        <v>2</v>
      </c>
      <c r="GB17" t="s">
        <v>419</v>
      </c>
      <c r="GC17">
        <v>3.1233200000000001</v>
      </c>
      <c r="GD17">
        <v>2.7652899999999998</v>
      </c>
      <c r="GE17">
        <v>8.6611999999999995E-2</v>
      </c>
      <c r="GF17">
        <v>9.0044200000000005E-2</v>
      </c>
      <c r="GG17">
        <v>9.2091699999999999E-2</v>
      </c>
      <c r="GH17">
        <v>9.1218400000000005E-2</v>
      </c>
      <c r="GI17">
        <v>17785.900000000001</v>
      </c>
      <c r="GJ17">
        <v>26713.4</v>
      </c>
      <c r="GK17">
        <v>22754.799999999999</v>
      </c>
      <c r="GL17">
        <v>30082.7</v>
      </c>
      <c r="GM17">
        <v>33894</v>
      </c>
      <c r="GN17">
        <v>34057.300000000003</v>
      </c>
      <c r="GO17">
        <v>43060.6</v>
      </c>
      <c r="GP17">
        <v>42844.3</v>
      </c>
      <c r="GQ17">
        <v>1.96858</v>
      </c>
      <c r="GR17">
        <v>1.8010999999999999</v>
      </c>
      <c r="GS17">
        <v>8.2198499999999994E-2</v>
      </c>
      <c r="GT17">
        <v>0</v>
      </c>
      <c r="GU17">
        <v>23.645800000000001</v>
      </c>
      <c r="GV17">
        <v>999.9</v>
      </c>
      <c r="GW17">
        <v>39.048999999999999</v>
      </c>
      <c r="GX17">
        <v>33.595999999999997</v>
      </c>
      <c r="GY17">
        <v>20.149100000000001</v>
      </c>
      <c r="GZ17">
        <v>63.377200000000002</v>
      </c>
      <c r="HA17">
        <v>34.543300000000002</v>
      </c>
      <c r="HB17">
        <v>1</v>
      </c>
      <c r="HC17">
        <v>9.4281000000000004E-2</v>
      </c>
      <c r="HD17">
        <v>2.41581</v>
      </c>
      <c r="HE17">
        <v>20.2027</v>
      </c>
      <c r="HF17">
        <v>5.2333100000000004</v>
      </c>
      <c r="HG17">
        <v>11.962</v>
      </c>
      <c r="HH17">
        <v>4.9691000000000001</v>
      </c>
      <c r="HI17">
        <v>3.2954500000000002</v>
      </c>
      <c r="HJ17">
        <v>9999</v>
      </c>
      <c r="HK17">
        <v>9999</v>
      </c>
      <c r="HL17">
        <v>999.9</v>
      </c>
      <c r="HM17">
        <v>9999</v>
      </c>
      <c r="HN17">
        <v>4.9686500000000002</v>
      </c>
      <c r="HO17">
        <v>1.86354</v>
      </c>
      <c r="HP17">
        <v>1.8650800000000001</v>
      </c>
      <c r="HQ17">
        <v>1.8668499999999999</v>
      </c>
      <c r="HR17">
        <v>1.86385</v>
      </c>
      <c r="HS17">
        <v>1.8675200000000001</v>
      </c>
      <c r="HT17">
        <v>1.86432</v>
      </c>
      <c r="HU17">
        <v>1.86615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0.95099999999999996</v>
      </c>
      <c r="IJ17">
        <v>-0.14960000000000001</v>
      </c>
      <c r="IK17">
        <v>0.556562152682744</v>
      </c>
      <c r="IL17">
        <v>1.61658254425633E-3</v>
      </c>
      <c r="IM17">
        <v>-1.89604851270483E-6</v>
      </c>
      <c r="IN17">
        <v>8.6681353432279101E-10</v>
      </c>
      <c r="IO17">
        <v>-7.3188349406301104E-2</v>
      </c>
      <c r="IP17">
        <v>-3.5871989026399903E-2</v>
      </c>
      <c r="IQ17">
        <v>1.9028800927848801E-3</v>
      </c>
      <c r="IR17">
        <v>-4.7539144078026999E-6</v>
      </c>
      <c r="IS17">
        <v>1</v>
      </c>
      <c r="IT17">
        <v>1704</v>
      </c>
      <c r="IU17">
        <v>4</v>
      </c>
      <c r="IV17">
        <v>25</v>
      </c>
      <c r="IW17">
        <v>1</v>
      </c>
      <c r="IX17">
        <v>1</v>
      </c>
      <c r="IY17">
        <v>1.0534699999999999</v>
      </c>
      <c r="IZ17">
        <v>2.5488300000000002</v>
      </c>
      <c r="JA17">
        <v>1.3464400000000001</v>
      </c>
      <c r="JB17">
        <v>2.2595200000000002</v>
      </c>
      <c r="JC17">
        <v>1.5502899999999999</v>
      </c>
      <c r="JD17">
        <v>2.7319300000000002</v>
      </c>
      <c r="JE17">
        <v>39.641800000000003</v>
      </c>
      <c r="JF17">
        <v>16.154599999999999</v>
      </c>
      <c r="JG17">
        <v>18</v>
      </c>
      <c r="JH17">
        <v>501.2</v>
      </c>
      <c r="JI17">
        <v>470.36799999999999</v>
      </c>
      <c r="JJ17">
        <v>21.216000000000001</v>
      </c>
      <c r="JK17">
        <v>28.409800000000001</v>
      </c>
      <c r="JL17">
        <v>30.000399999999999</v>
      </c>
      <c r="JM17">
        <v>28.396699999999999</v>
      </c>
      <c r="JN17">
        <v>28.41</v>
      </c>
      <c r="JO17">
        <v>21.0977</v>
      </c>
      <c r="JP17">
        <v>26.364999999999998</v>
      </c>
      <c r="JQ17">
        <v>37.457599999999999</v>
      </c>
      <c r="JR17">
        <v>21.212399999999999</v>
      </c>
      <c r="JS17">
        <v>400</v>
      </c>
      <c r="JT17">
        <v>16.150200000000002</v>
      </c>
      <c r="JU17">
        <v>101.67100000000001</v>
      </c>
      <c r="JV17">
        <v>97.290599999999998</v>
      </c>
    </row>
    <row r="18" spans="1:282" x14ac:dyDescent="0.3">
      <c r="A18">
        <v>2</v>
      </c>
      <c r="B18">
        <v>1791604643.0999999</v>
      </c>
      <c r="C18">
        <v>121</v>
      </c>
      <c r="D18" t="s">
        <v>423</v>
      </c>
      <c r="E18" t="s">
        <v>424</v>
      </c>
      <c r="F18">
        <v>5</v>
      </c>
      <c r="G18">
        <v>1791604640.0999999</v>
      </c>
      <c r="H18">
        <f t="shared" si="0"/>
        <v>2.4699845523923061E-3</v>
      </c>
      <c r="I18">
        <f t="shared" si="1"/>
        <v>2.4699845523923063</v>
      </c>
      <c r="J18">
        <f t="shared" si="2"/>
        <v>11.467713859914241</v>
      </c>
      <c r="K18">
        <f t="shared" si="3"/>
        <v>295.13400000000001</v>
      </c>
      <c r="L18">
        <f t="shared" si="4"/>
        <v>181.53582879384766</v>
      </c>
      <c r="M18">
        <f t="shared" si="5"/>
        <v>18.395413992939186</v>
      </c>
      <c r="N18">
        <f t="shared" si="6"/>
        <v>29.906559765441241</v>
      </c>
      <c r="O18">
        <f t="shared" si="7"/>
        <v>0.17443763689376848</v>
      </c>
      <c r="P18">
        <f t="shared" si="8"/>
        <v>3.0391604025030774</v>
      </c>
      <c r="Q18">
        <f t="shared" si="9"/>
        <v>0.16906021839737684</v>
      </c>
      <c r="R18">
        <f t="shared" si="10"/>
        <v>0.10613196751989107</v>
      </c>
      <c r="S18">
        <f t="shared" si="11"/>
        <v>241.73237420292833</v>
      </c>
      <c r="T18">
        <f t="shared" si="12"/>
        <v>25.605960625164045</v>
      </c>
      <c r="U18">
        <f t="shared" si="13"/>
        <v>25.01154</v>
      </c>
      <c r="V18">
        <f t="shared" si="14"/>
        <v>3.1818658796110233</v>
      </c>
      <c r="W18">
        <f t="shared" si="15"/>
        <v>55.13595251806106</v>
      </c>
      <c r="X18">
        <f t="shared" si="16"/>
        <v>1.737329404685714</v>
      </c>
      <c r="Y18">
        <f t="shared" si="17"/>
        <v>3.150991912430662</v>
      </c>
      <c r="Z18">
        <f t="shared" si="18"/>
        <v>1.4445364749253093</v>
      </c>
      <c r="AA18">
        <f t="shared" si="19"/>
        <v>-108.92631876050069</v>
      </c>
      <c r="AB18">
        <f t="shared" si="20"/>
        <v>-26.782465865203768</v>
      </c>
      <c r="AC18">
        <f t="shared" si="21"/>
        <v>-1.8627306359527518</v>
      </c>
      <c r="AD18">
        <f t="shared" si="22"/>
        <v>104.16085894127113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54158.345647284528</v>
      </c>
      <c r="AJ18" t="s">
        <v>416</v>
      </c>
      <c r="AK18" t="s">
        <v>416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1261.1872794833826</v>
      </c>
      <c r="AW18">
        <f t="shared" si="29"/>
        <v>11.467713859914241</v>
      </c>
      <c r="AX18" t="e">
        <f t="shared" si="30"/>
        <v>#DIV/0!</v>
      </c>
      <c r="AY18">
        <f t="shared" si="31"/>
        <v>9.0927922018145761E-3</v>
      </c>
      <c r="AZ18" t="e">
        <f t="shared" si="32"/>
        <v>#DIV/0!</v>
      </c>
      <c r="BA18" t="e">
        <f t="shared" si="33"/>
        <v>#DIV/0!</v>
      </c>
      <c r="BB18" t="s">
        <v>416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1499.972</v>
      </c>
      <c r="CU18">
        <f t="shared" si="43"/>
        <v>1261.1872794833826</v>
      </c>
      <c r="CV18">
        <f t="shared" si="44"/>
        <v>0.84080721472359654</v>
      </c>
      <c r="CW18">
        <f t="shared" si="45"/>
        <v>0.16115792441654134</v>
      </c>
      <c r="CX18">
        <v>2</v>
      </c>
      <c r="CY18">
        <v>0.5</v>
      </c>
      <c r="CZ18" t="s">
        <v>417</v>
      </c>
      <c r="DA18">
        <v>2</v>
      </c>
      <c r="DB18">
        <v>1791604640.0999999</v>
      </c>
      <c r="DC18">
        <v>295.13400000000001</v>
      </c>
      <c r="DD18">
        <v>300.01220000000001</v>
      </c>
      <c r="DE18">
        <v>17.1449</v>
      </c>
      <c r="DF18">
        <v>16.173940000000002</v>
      </c>
      <c r="DG18">
        <v>294.43060000000003</v>
      </c>
      <c r="DH18">
        <v>17.297260000000001</v>
      </c>
      <c r="DI18">
        <v>500.04880000000003</v>
      </c>
      <c r="DJ18">
        <v>101.2324</v>
      </c>
      <c r="DK18">
        <v>9.973986E-2</v>
      </c>
      <c r="DL18">
        <v>24.84808</v>
      </c>
      <c r="DM18">
        <v>25.01154</v>
      </c>
      <c r="DN18">
        <v>999.9</v>
      </c>
      <c r="DO18">
        <v>0</v>
      </c>
      <c r="DP18">
        <v>0</v>
      </c>
      <c r="DQ18">
        <v>10046.98</v>
      </c>
      <c r="DR18">
        <v>0</v>
      </c>
      <c r="DS18">
        <v>7.5838599999999996</v>
      </c>
      <c r="DT18">
        <v>-4.8779719999999998</v>
      </c>
      <c r="DU18">
        <v>300.2824</v>
      </c>
      <c r="DV18">
        <v>304.94420000000002</v>
      </c>
      <c r="DW18">
        <v>0.97096899999999997</v>
      </c>
      <c r="DX18">
        <v>300.01220000000001</v>
      </c>
      <c r="DY18">
        <v>16.173940000000002</v>
      </c>
      <c r="DZ18">
        <v>1.7356180000000001</v>
      </c>
      <c r="EA18">
        <v>1.637324</v>
      </c>
      <c r="EB18">
        <v>15.218719999999999</v>
      </c>
      <c r="EC18">
        <v>14.314640000000001</v>
      </c>
      <c r="ED18">
        <v>1499.972</v>
      </c>
      <c r="EE18">
        <v>0.97300540000000002</v>
      </c>
      <c r="EF18">
        <v>2.6994580000000001E-2</v>
      </c>
      <c r="EG18">
        <v>0</v>
      </c>
      <c r="EH18">
        <v>361.15120000000002</v>
      </c>
      <c r="EI18">
        <v>5.0006399999999998</v>
      </c>
      <c r="EJ18">
        <v>5569.808</v>
      </c>
      <c r="EK18">
        <v>15438.98</v>
      </c>
      <c r="EL18">
        <v>40.787199999999999</v>
      </c>
      <c r="EM18">
        <v>41.5</v>
      </c>
      <c r="EN18">
        <v>41.125</v>
      </c>
      <c r="EO18">
        <v>41.162199999999999</v>
      </c>
      <c r="EP18">
        <v>42.287199999999999</v>
      </c>
      <c r="EQ18">
        <v>1454.6120000000001</v>
      </c>
      <c r="ER18">
        <v>40.36</v>
      </c>
      <c r="ES18">
        <v>0</v>
      </c>
      <c r="ET18">
        <v>1791604643.7</v>
      </c>
      <c r="EU18">
        <v>0</v>
      </c>
      <c r="EV18">
        <v>361.07376923076902</v>
      </c>
      <c r="EW18">
        <v>4.0478624764154203E-2</v>
      </c>
      <c r="EX18">
        <v>10.741880387542301</v>
      </c>
      <c r="EY18">
        <v>5568.8807692307701</v>
      </c>
      <c r="EZ18">
        <v>15</v>
      </c>
      <c r="FA18">
        <v>1791604588.0999999</v>
      </c>
      <c r="FB18" t="s">
        <v>425</v>
      </c>
      <c r="FC18">
        <v>1791604588.0999999</v>
      </c>
      <c r="FD18">
        <v>1791604583.0999999</v>
      </c>
      <c r="FE18">
        <v>42</v>
      </c>
      <c r="FF18">
        <v>-0.187</v>
      </c>
      <c r="FG18">
        <v>-3.0000000000000001E-3</v>
      </c>
      <c r="FH18">
        <v>0.70699999999999996</v>
      </c>
      <c r="FI18">
        <v>-0.17599999999999999</v>
      </c>
      <c r="FJ18">
        <v>300</v>
      </c>
      <c r="FK18">
        <v>16</v>
      </c>
      <c r="FL18">
        <v>0.31</v>
      </c>
      <c r="FM18">
        <v>0.09</v>
      </c>
      <c r="FN18">
        <v>11.3735086269437</v>
      </c>
      <c r="FO18">
        <v>0.127173982107741</v>
      </c>
      <c r="FP18">
        <v>7.9614035495608707E-2</v>
      </c>
      <c r="FQ18">
        <v>1</v>
      </c>
      <c r="FR18">
        <v>-4.841818</v>
      </c>
      <c r="FS18">
        <v>-0.134675187969923</v>
      </c>
      <c r="FT18">
        <v>3.1743634889533301E-2</v>
      </c>
      <c r="FU18">
        <v>1</v>
      </c>
      <c r="FV18">
        <v>361.08514705882402</v>
      </c>
      <c r="FW18">
        <v>0.37144384585717</v>
      </c>
      <c r="FX18">
        <v>0.173512524103482</v>
      </c>
      <c r="FY18">
        <v>-1</v>
      </c>
      <c r="FZ18">
        <v>2</v>
      </c>
      <c r="GA18">
        <v>2</v>
      </c>
      <c r="GB18" t="s">
        <v>419</v>
      </c>
      <c r="GC18">
        <v>3.12365</v>
      </c>
      <c r="GD18">
        <v>2.7654999999999998</v>
      </c>
      <c r="GE18">
        <v>6.9042800000000001E-2</v>
      </c>
      <c r="GF18">
        <v>7.1812600000000004E-2</v>
      </c>
      <c r="GG18">
        <v>9.2183399999999999E-2</v>
      </c>
      <c r="GH18">
        <v>9.1275700000000001E-2</v>
      </c>
      <c r="GI18">
        <v>18127.099999999999</v>
      </c>
      <c r="GJ18">
        <v>27246.9</v>
      </c>
      <c r="GK18">
        <v>22753.7</v>
      </c>
      <c r="GL18">
        <v>30080.799999999999</v>
      </c>
      <c r="GM18">
        <v>33888</v>
      </c>
      <c r="GN18">
        <v>34052.1</v>
      </c>
      <c r="GO18">
        <v>43058.6</v>
      </c>
      <c r="GP18">
        <v>42841.9</v>
      </c>
      <c r="GQ18">
        <v>1.9681200000000001</v>
      </c>
      <c r="GR18">
        <v>1.80002</v>
      </c>
      <c r="GS18">
        <v>8.0138399999999999E-2</v>
      </c>
      <c r="GT18">
        <v>0</v>
      </c>
      <c r="GU18">
        <v>23.699400000000001</v>
      </c>
      <c r="GV18">
        <v>999.9</v>
      </c>
      <c r="GW18">
        <v>38.963000000000001</v>
      </c>
      <c r="GX18">
        <v>33.627000000000002</v>
      </c>
      <c r="GY18">
        <v>20.138999999999999</v>
      </c>
      <c r="GZ18">
        <v>61.927199999999999</v>
      </c>
      <c r="HA18">
        <v>34.0505</v>
      </c>
      <c r="HB18">
        <v>1</v>
      </c>
      <c r="HC18">
        <v>9.7096000000000002E-2</v>
      </c>
      <c r="HD18">
        <v>2.5175900000000002</v>
      </c>
      <c r="HE18">
        <v>20.206700000000001</v>
      </c>
      <c r="HF18">
        <v>5.2336099999999997</v>
      </c>
      <c r="HG18">
        <v>11.962</v>
      </c>
      <c r="HH18">
        <v>4.9690000000000003</v>
      </c>
      <c r="HI18">
        <v>3.2953299999999999</v>
      </c>
      <c r="HJ18">
        <v>9999</v>
      </c>
      <c r="HK18">
        <v>9999</v>
      </c>
      <c r="HL18">
        <v>999.9</v>
      </c>
      <c r="HM18">
        <v>9999</v>
      </c>
      <c r="HN18">
        <v>4.9686399999999997</v>
      </c>
      <c r="HO18">
        <v>1.8631</v>
      </c>
      <c r="HP18">
        <v>1.86463</v>
      </c>
      <c r="HQ18">
        <v>1.86646</v>
      </c>
      <c r="HR18">
        <v>1.8634200000000001</v>
      </c>
      <c r="HS18">
        <v>1.8672</v>
      </c>
      <c r="HT18">
        <v>1.8638999999999999</v>
      </c>
      <c r="HU18">
        <v>1.8658300000000001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0.70399999999999996</v>
      </c>
      <c r="IJ18">
        <v>-0.15229999999999999</v>
      </c>
      <c r="IK18">
        <v>0.36979629356362498</v>
      </c>
      <c r="IL18">
        <v>1.61658254425633E-3</v>
      </c>
      <c r="IM18">
        <v>-1.89604851270483E-6</v>
      </c>
      <c r="IN18">
        <v>8.6681353432279101E-10</v>
      </c>
      <c r="IO18">
        <v>-7.6593104378873303E-2</v>
      </c>
      <c r="IP18">
        <v>-3.5871989026399903E-2</v>
      </c>
      <c r="IQ18">
        <v>1.9028800927848801E-3</v>
      </c>
      <c r="IR18">
        <v>-4.7539144078026999E-6</v>
      </c>
      <c r="IS18">
        <v>1</v>
      </c>
      <c r="IT18">
        <v>1704</v>
      </c>
      <c r="IU18">
        <v>4</v>
      </c>
      <c r="IV18">
        <v>25</v>
      </c>
      <c r="IW18">
        <v>0.9</v>
      </c>
      <c r="IX18">
        <v>1</v>
      </c>
      <c r="IY18">
        <v>0.845947</v>
      </c>
      <c r="IZ18">
        <v>2.5561500000000001</v>
      </c>
      <c r="JA18">
        <v>1.3464400000000001</v>
      </c>
      <c r="JB18">
        <v>2.2595200000000002</v>
      </c>
      <c r="JC18">
        <v>1.5502899999999999</v>
      </c>
      <c r="JD18">
        <v>2.7343799999999998</v>
      </c>
      <c r="JE18">
        <v>39.267099999999999</v>
      </c>
      <c r="JF18">
        <v>16.0671</v>
      </c>
      <c r="JG18">
        <v>18</v>
      </c>
      <c r="JH18">
        <v>501.18400000000003</v>
      </c>
      <c r="JI18">
        <v>469.88099999999997</v>
      </c>
      <c r="JJ18">
        <v>21.071899999999999</v>
      </c>
      <c r="JK18">
        <v>28.450399999999998</v>
      </c>
      <c r="JL18">
        <v>30</v>
      </c>
      <c r="JM18">
        <v>28.427499999999998</v>
      </c>
      <c r="JN18">
        <v>28.4389</v>
      </c>
      <c r="JO18">
        <v>16.962599999999998</v>
      </c>
      <c r="JP18">
        <v>26.332000000000001</v>
      </c>
      <c r="JQ18">
        <v>37.0869</v>
      </c>
      <c r="JR18">
        <v>21.0746</v>
      </c>
      <c r="JS18">
        <v>300</v>
      </c>
      <c r="JT18">
        <v>16.139099999999999</v>
      </c>
      <c r="JU18">
        <v>101.666</v>
      </c>
      <c r="JV18">
        <v>97.2851</v>
      </c>
    </row>
    <row r="19" spans="1:282" x14ac:dyDescent="0.3">
      <c r="A19">
        <v>3</v>
      </c>
      <c r="B19">
        <v>1791604764.0999999</v>
      </c>
      <c r="C19">
        <v>242</v>
      </c>
      <c r="D19" t="s">
        <v>426</v>
      </c>
      <c r="E19" t="s">
        <v>427</v>
      </c>
      <c r="F19">
        <v>5</v>
      </c>
      <c r="G19">
        <v>1791604761.0999999</v>
      </c>
      <c r="H19">
        <f t="shared" si="0"/>
        <v>2.7111121542846483E-3</v>
      </c>
      <c r="I19">
        <f t="shared" si="1"/>
        <v>2.7111121542846481</v>
      </c>
      <c r="J19">
        <f t="shared" si="2"/>
        <v>6.8224165143120805</v>
      </c>
      <c r="K19">
        <f t="shared" si="3"/>
        <v>197.0686</v>
      </c>
      <c r="L19">
        <f t="shared" si="4"/>
        <v>134.93196254633844</v>
      </c>
      <c r="M19">
        <f t="shared" si="5"/>
        <v>13.673065002668322</v>
      </c>
      <c r="N19">
        <f t="shared" si="6"/>
        <v>19.969558931298312</v>
      </c>
      <c r="O19">
        <f t="shared" si="7"/>
        <v>0.19292975667843937</v>
      </c>
      <c r="P19">
        <f t="shared" si="8"/>
        <v>3.0260286742010862</v>
      </c>
      <c r="Q19">
        <f t="shared" si="9"/>
        <v>0.18634744061114661</v>
      </c>
      <c r="R19">
        <f t="shared" si="10"/>
        <v>0.11703983660058663</v>
      </c>
      <c r="S19">
        <f t="shared" si="11"/>
        <v>241.73173580292575</v>
      </c>
      <c r="T19">
        <f t="shared" si="12"/>
        <v>25.558197286708335</v>
      </c>
      <c r="U19">
        <f t="shared" si="13"/>
        <v>24.979659999999999</v>
      </c>
      <c r="V19">
        <f t="shared" si="14"/>
        <v>3.1758237890109031</v>
      </c>
      <c r="W19">
        <f t="shared" si="15"/>
        <v>55.101797051456138</v>
      </c>
      <c r="X19">
        <f t="shared" si="16"/>
        <v>1.7373001295756232</v>
      </c>
      <c r="Y19">
        <f t="shared" si="17"/>
        <v>3.1528919609523203</v>
      </c>
      <c r="Z19">
        <f t="shared" si="18"/>
        <v>1.4385236594352799</v>
      </c>
      <c r="AA19">
        <f t="shared" si="19"/>
        <v>-119.56004600395299</v>
      </c>
      <c r="AB19">
        <f t="shared" si="20"/>
        <v>-19.818157047690818</v>
      </c>
      <c r="AC19">
        <f t="shared" si="21"/>
        <v>-1.3841899995519618</v>
      </c>
      <c r="AD19">
        <f t="shared" si="22"/>
        <v>100.96934275173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53745.922267273752</v>
      </c>
      <c r="AJ19" t="s">
        <v>416</v>
      </c>
      <c r="AK19" t="s">
        <v>416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1261.1839194833813</v>
      </c>
      <c r="AW19">
        <f t="shared" si="29"/>
        <v>6.8224165143120805</v>
      </c>
      <c r="AX19" t="e">
        <f t="shared" si="30"/>
        <v>#DIV/0!</v>
      </c>
      <c r="AY19">
        <f t="shared" si="31"/>
        <v>5.4095333828128311E-3</v>
      </c>
      <c r="AZ19" t="e">
        <f t="shared" si="32"/>
        <v>#DIV/0!</v>
      </c>
      <c r="BA19" t="e">
        <f t="shared" si="33"/>
        <v>#DIV/0!</v>
      </c>
      <c r="BB19" t="s">
        <v>416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1499.9680000000001</v>
      </c>
      <c r="CU19">
        <f t="shared" si="43"/>
        <v>1261.1839194833813</v>
      </c>
      <c r="CV19">
        <f t="shared" si="44"/>
        <v>0.84080721687621418</v>
      </c>
      <c r="CW19">
        <f t="shared" si="45"/>
        <v>0.16115792857109335</v>
      </c>
      <c r="CX19">
        <v>2</v>
      </c>
      <c r="CY19">
        <v>0.5</v>
      </c>
      <c r="CZ19" t="s">
        <v>417</v>
      </c>
      <c r="DA19">
        <v>2</v>
      </c>
      <c r="DB19">
        <v>1791604761.0999999</v>
      </c>
      <c r="DC19">
        <v>197.0686</v>
      </c>
      <c r="DD19">
        <v>200.01079999999999</v>
      </c>
      <c r="DE19">
        <v>17.144459999999999</v>
      </c>
      <c r="DF19">
        <v>16.078779999999998</v>
      </c>
      <c r="DG19">
        <v>196.5258</v>
      </c>
      <c r="DH19">
        <v>17.29806</v>
      </c>
      <c r="DI19">
        <v>500.08100000000002</v>
      </c>
      <c r="DJ19">
        <v>101.233</v>
      </c>
      <c r="DK19">
        <v>0.10003292</v>
      </c>
      <c r="DL19">
        <v>24.858180000000001</v>
      </c>
      <c r="DM19">
        <v>24.979659999999999</v>
      </c>
      <c r="DN19">
        <v>999.9</v>
      </c>
      <c r="DO19">
        <v>0</v>
      </c>
      <c r="DP19">
        <v>0</v>
      </c>
      <c r="DQ19">
        <v>9967.5</v>
      </c>
      <c r="DR19">
        <v>0</v>
      </c>
      <c r="DS19">
        <v>7.5838599999999996</v>
      </c>
      <c r="DT19">
        <v>-2.9421620000000002</v>
      </c>
      <c r="DU19">
        <v>200.50640000000001</v>
      </c>
      <c r="DV19">
        <v>203.27959999999999</v>
      </c>
      <c r="DW19">
        <v>1.0656699999999999</v>
      </c>
      <c r="DX19">
        <v>200.01079999999999</v>
      </c>
      <c r="DY19">
        <v>16.078779999999998</v>
      </c>
      <c r="DZ19">
        <v>1.735584</v>
      </c>
      <c r="EA19">
        <v>1.627702</v>
      </c>
      <c r="EB19">
        <v>15.21842</v>
      </c>
      <c r="EC19">
        <v>14.22358</v>
      </c>
      <c r="ED19">
        <v>1499.9680000000001</v>
      </c>
      <c r="EE19">
        <v>0.97300540000000002</v>
      </c>
      <c r="EF19">
        <v>2.6994600000000001E-2</v>
      </c>
      <c r="EG19">
        <v>0</v>
      </c>
      <c r="EH19">
        <v>361.45339999999999</v>
      </c>
      <c r="EI19">
        <v>5.0006399999999998</v>
      </c>
      <c r="EJ19">
        <v>5572.5879999999997</v>
      </c>
      <c r="EK19">
        <v>15438.9</v>
      </c>
      <c r="EL19">
        <v>40.811999999999998</v>
      </c>
      <c r="EM19">
        <v>41.561999999999998</v>
      </c>
      <c r="EN19">
        <v>41.162199999999999</v>
      </c>
      <c r="EO19">
        <v>41.186999999999998</v>
      </c>
      <c r="EP19">
        <v>42.311999999999998</v>
      </c>
      <c r="EQ19">
        <v>1454.6079999999999</v>
      </c>
      <c r="ER19">
        <v>40.36</v>
      </c>
      <c r="ES19">
        <v>0</v>
      </c>
      <c r="ET19">
        <v>1791604764.9000001</v>
      </c>
      <c r="EU19">
        <v>0</v>
      </c>
      <c r="EV19">
        <v>361.53546153846202</v>
      </c>
      <c r="EW19">
        <v>-0.65832478730760102</v>
      </c>
      <c r="EX19">
        <v>-5.5535042711396798</v>
      </c>
      <c r="EY19">
        <v>5573.3169230769199</v>
      </c>
      <c r="EZ19">
        <v>15</v>
      </c>
      <c r="FA19">
        <v>1791604709.0999999</v>
      </c>
      <c r="FB19" t="s">
        <v>428</v>
      </c>
      <c r="FC19">
        <v>1791604709.0999999</v>
      </c>
      <c r="FD19">
        <v>1791604707.0999999</v>
      </c>
      <c r="FE19">
        <v>43</v>
      </c>
      <c r="FF19">
        <v>-7.8E-2</v>
      </c>
      <c r="FG19">
        <v>-1E-3</v>
      </c>
      <c r="FH19">
        <v>0.54600000000000004</v>
      </c>
      <c r="FI19">
        <v>-0.17699999999999999</v>
      </c>
      <c r="FJ19">
        <v>200</v>
      </c>
      <c r="FK19">
        <v>16</v>
      </c>
      <c r="FL19">
        <v>0.22</v>
      </c>
      <c r="FM19">
        <v>0.05</v>
      </c>
      <c r="FN19">
        <v>6.7817400054941004</v>
      </c>
      <c r="FO19">
        <v>-3.5912201784889602E-2</v>
      </c>
      <c r="FP19">
        <v>5.0795215692848998E-2</v>
      </c>
      <c r="FQ19">
        <v>1</v>
      </c>
      <c r="FR19">
        <v>-2.9247857142857101</v>
      </c>
      <c r="FS19">
        <v>-2.4040519480520099E-2</v>
      </c>
      <c r="FT19">
        <v>2.2235412033495602E-2</v>
      </c>
      <c r="FU19">
        <v>1</v>
      </c>
      <c r="FV19">
        <v>361.56141176470601</v>
      </c>
      <c r="FW19">
        <v>-0.30899923551973002</v>
      </c>
      <c r="FX19">
        <v>0.18285402690591701</v>
      </c>
      <c r="FY19">
        <v>-1</v>
      </c>
      <c r="FZ19">
        <v>2</v>
      </c>
      <c r="GA19">
        <v>2</v>
      </c>
      <c r="GB19" t="s">
        <v>419</v>
      </c>
      <c r="GC19">
        <v>3.1234600000000001</v>
      </c>
      <c r="GD19">
        <v>2.7650000000000001</v>
      </c>
      <c r="GE19">
        <v>4.9102899999999998E-2</v>
      </c>
      <c r="GF19">
        <v>5.1099800000000001E-2</v>
      </c>
      <c r="GG19">
        <v>9.2166399999999996E-2</v>
      </c>
      <c r="GH19">
        <v>9.0865299999999996E-2</v>
      </c>
      <c r="GI19">
        <v>18514.3</v>
      </c>
      <c r="GJ19">
        <v>27853.8</v>
      </c>
      <c r="GK19">
        <v>22752.6</v>
      </c>
      <c r="GL19">
        <v>30079.599999999999</v>
      </c>
      <c r="GM19">
        <v>33885.599999999999</v>
      </c>
      <c r="GN19">
        <v>34065.199999999997</v>
      </c>
      <c r="GO19">
        <v>43056.2</v>
      </c>
      <c r="GP19">
        <v>42840.800000000003</v>
      </c>
      <c r="GQ19">
        <v>1.9677500000000001</v>
      </c>
      <c r="GR19">
        <v>1.79918</v>
      </c>
      <c r="GS19">
        <v>7.7880900000000003E-2</v>
      </c>
      <c r="GT19">
        <v>0</v>
      </c>
      <c r="GU19">
        <v>23.710699999999999</v>
      </c>
      <c r="GV19">
        <v>999.9</v>
      </c>
      <c r="GW19">
        <v>38.823</v>
      </c>
      <c r="GX19">
        <v>33.637</v>
      </c>
      <c r="GY19">
        <v>20.078399999999998</v>
      </c>
      <c r="GZ19">
        <v>63.507199999999997</v>
      </c>
      <c r="HA19">
        <v>34.098599999999998</v>
      </c>
      <c r="HB19">
        <v>1</v>
      </c>
      <c r="HC19">
        <v>9.9618899999999996E-2</v>
      </c>
      <c r="HD19">
        <v>2.4853000000000001</v>
      </c>
      <c r="HE19">
        <v>20.2087</v>
      </c>
      <c r="HF19">
        <v>5.2289700000000003</v>
      </c>
      <c r="HG19">
        <v>11.962199999999999</v>
      </c>
      <c r="HH19">
        <v>4.9688499999999998</v>
      </c>
      <c r="HI19">
        <v>3.29528</v>
      </c>
      <c r="HJ19">
        <v>9999</v>
      </c>
      <c r="HK19">
        <v>9999</v>
      </c>
      <c r="HL19">
        <v>999.9</v>
      </c>
      <c r="HM19">
        <v>9999</v>
      </c>
      <c r="HN19">
        <v>4.9686300000000001</v>
      </c>
      <c r="HO19">
        <v>1.8629800000000001</v>
      </c>
      <c r="HP19">
        <v>1.86449</v>
      </c>
      <c r="HQ19">
        <v>1.8663000000000001</v>
      </c>
      <c r="HR19">
        <v>1.86334</v>
      </c>
      <c r="HS19">
        <v>1.8670599999999999</v>
      </c>
      <c r="HT19">
        <v>1.8638300000000001</v>
      </c>
      <c r="HU19">
        <v>1.8656900000000001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0.54300000000000004</v>
      </c>
      <c r="IJ19">
        <v>-0.1537</v>
      </c>
      <c r="IK19">
        <v>0.29190718649714997</v>
      </c>
      <c r="IL19">
        <v>1.61658254425633E-3</v>
      </c>
      <c r="IM19">
        <v>-1.89604851270483E-6</v>
      </c>
      <c r="IN19">
        <v>8.6681353432279101E-10</v>
      </c>
      <c r="IO19">
        <v>-7.7873472950593603E-2</v>
      </c>
      <c r="IP19">
        <v>-3.5871989026399903E-2</v>
      </c>
      <c r="IQ19">
        <v>1.9028800927848801E-3</v>
      </c>
      <c r="IR19">
        <v>-4.7539144078026999E-6</v>
      </c>
      <c r="IS19">
        <v>1</v>
      </c>
      <c r="IT19">
        <v>1704</v>
      </c>
      <c r="IU19">
        <v>4</v>
      </c>
      <c r="IV19">
        <v>25</v>
      </c>
      <c r="IW19">
        <v>0.9</v>
      </c>
      <c r="IX19">
        <v>0.9</v>
      </c>
      <c r="IY19">
        <v>0.631104</v>
      </c>
      <c r="IZ19">
        <v>2.5634800000000002</v>
      </c>
      <c r="JA19">
        <v>1.3464400000000001</v>
      </c>
      <c r="JB19">
        <v>2.2583000000000002</v>
      </c>
      <c r="JC19">
        <v>1.5502899999999999</v>
      </c>
      <c r="JD19">
        <v>2.6904300000000001</v>
      </c>
      <c r="JE19">
        <v>38.895099999999999</v>
      </c>
      <c r="JF19">
        <v>16.040800000000001</v>
      </c>
      <c r="JG19">
        <v>18</v>
      </c>
      <c r="JH19">
        <v>501.24200000000002</v>
      </c>
      <c r="JI19">
        <v>469.56900000000002</v>
      </c>
      <c r="JJ19">
        <v>21.145700000000001</v>
      </c>
      <c r="JK19">
        <v>28.4924</v>
      </c>
      <c r="JL19">
        <v>30.0002</v>
      </c>
      <c r="JM19">
        <v>28.461400000000001</v>
      </c>
      <c r="JN19">
        <v>28.470300000000002</v>
      </c>
      <c r="JO19">
        <v>12.6579</v>
      </c>
      <c r="JP19">
        <v>26.357299999999999</v>
      </c>
      <c r="JQ19">
        <v>36.343000000000004</v>
      </c>
      <c r="JR19">
        <v>21.160599999999999</v>
      </c>
      <c r="JS19">
        <v>200</v>
      </c>
      <c r="JT19">
        <v>16.059799999999999</v>
      </c>
      <c r="JU19">
        <v>101.661</v>
      </c>
      <c r="JV19">
        <v>97.281999999999996</v>
      </c>
    </row>
    <row r="20" spans="1:282" x14ac:dyDescent="0.3">
      <c r="A20">
        <v>4</v>
      </c>
      <c r="B20">
        <v>1791604885.0999999</v>
      </c>
      <c r="C20">
        <v>363</v>
      </c>
      <c r="D20" t="s">
        <v>429</v>
      </c>
      <c r="E20" t="s">
        <v>430</v>
      </c>
      <c r="F20">
        <v>5</v>
      </c>
      <c r="G20">
        <v>1791604882.0999999</v>
      </c>
      <c r="H20">
        <f t="shared" si="0"/>
        <v>2.9361463802202361E-3</v>
      </c>
      <c r="I20">
        <f t="shared" si="1"/>
        <v>2.9361463802202361</v>
      </c>
      <c r="J20">
        <f t="shared" si="2"/>
        <v>2.0180634564247217</v>
      </c>
      <c r="K20">
        <f t="shared" si="3"/>
        <v>99.069500000000005</v>
      </c>
      <c r="L20">
        <f t="shared" si="4"/>
        <v>81.046659335105204</v>
      </c>
      <c r="M20">
        <f t="shared" si="5"/>
        <v>8.2123117109317096</v>
      </c>
      <c r="N20">
        <f t="shared" si="6"/>
        <v>10.038533626440842</v>
      </c>
      <c r="O20">
        <f t="shared" si="7"/>
        <v>0.20926881929150853</v>
      </c>
      <c r="P20">
        <f t="shared" si="8"/>
        <v>3.0309191739219252</v>
      </c>
      <c r="Q20">
        <f t="shared" si="9"/>
        <v>0.2015603556086307</v>
      </c>
      <c r="R20">
        <f t="shared" si="10"/>
        <v>0.12664414026008997</v>
      </c>
      <c r="S20">
        <f t="shared" si="11"/>
        <v>241.74641900298687</v>
      </c>
      <c r="T20">
        <f t="shared" si="12"/>
        <v>25.532755102399047</v>
      </c>
      <c r="U20">
        <f t="shared" si="13"/>
        <v>24.98396</v>
      </c>
      <c r="V20">
        <f t="shared" si="14"/>
        <v>3.1766381656116414</v>
      </c>
      <c r="W20">
        <f t="shared" si="15"/>
        <v>54.966054398263999</v>
      </c>
      <c r="X20">
        <f t="shared" si="16"/>
        <v>1.7363660312680274</v>
      </c>
      <c r="Y20">
        <f t="shared" si="17"/>
        <v>3.1589788466295068</v>
      </c>
      <c r="Z20">
        <f t="shared" si="18"/>
        <v>1.440272134343614</v>
      </c>
      <c r="AA20">
        <f t="shared" si="19"/>
        <v>-129.48405536771241</v>
      </c>
      <c r="AB20">
        <f t="shared" si="20"/>
        <v>-15.271636389588645</v>
      </c>
      <c r="AC20">
        <f t="shared" si="21"/>
        <v>-1.0651156493167042</v>
      </c>
      <c r="AD20">
        <f t="shared" si="22"/>
        <v>95.925611596369095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53892.625946040193</v>
      </c>
      <c r="AJ20" t="s">
        <v>416</v>
      </c>
      <c r="AK20" t="s">
        <v>416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1261.2611994834131</v>
      </c>
      <c r="AW20">
        <f t="shared" si="29"/>
        <v>2.0180634564247217</v>
      </c>
      <c r="AX20" t="e">
        <f t="shared" si="30"/>
        <v>#DIV/0!</v>
      </c>
      <c r="AY20">
        <f t="shared" si="31"/>
        <v>1.6000361045366966E-3</v>
      </c>
      <c r="AZ20" t="e">
        <f t="shared" si="32"/>
        <v>#DIV/0!</v>
      </c>
      <c r="BA20" t="e">
        <f t="shared" si="33"/>
        <v>#DIV/0!</v>
      </c>
      <c r="BB20" t="s">
        <v>416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1500.06</v>
      </c>
      <c r="CU20">
        <f t="shared" si="43"/>
        <v>1261.2611994834131</v>
      </c>
      <c r="CV20">
        <f t="shared" si="44"/>
        <v>0.84080716736891392</v>
      </c>
      <c r="CW20">
        <f t="shared" si="45"/>
        <v>0.1611578330220037</v>
      </c>
      <c r="CX20">
        <v>2</v>
      </c>
      <c r="CY20">
        <v>0.5</v>
      </c>
      <c r="CZ20" t="s">
        <v>417</v>
      </c>
      <c r="DA20">
        <v>2</v>
      </c>
      <c r="DB20">
        <v>1791604882.0999999</v>
      </c>
      <c r="DC20">
        <v>99.069500000000005</v>
      </c>
      <c r="DD20">
        <v>99.992779999999996</v>
      </c>
      <c r="DE20">
        <v>17.136060000000001</v>
      </c>
      <c r="DF20">
        <v>15.982100000000001</v>
      </c>
      <c r="DG20">
        <v>98.870679999999993</v>
      </c>
      <c r="DH20">
        <v>17.290679999999998</v>
      </c>
      <c r="DI20">
        <v>500.16160000000002</v>
      </c>
      <c r="DJ20">
        <v>101.2282</v>
      </c>
      <c r="DK20">
        <v>9.9995120000000007E-2</v>
      </c>
      <c r="DL20">
        <v>24.890499999999999</v>
      </c>
      <c r="DM20">
        <v>24.98396</v>
      </c>
      <c r="DN20">
        <v>999.9</v>
      </c>
      <c r="DO20">
        <v>0</v>
      </c>
      <c r="DP20">
        <v>0</v>
      </c>
      <c r="DQ20">
        <v>9997.48</v>
      </c>
      <c r="DR20">
        <v>0</v>
      </c>
      <c r="DS20">
        <v>7.5838599999999996</v>
      </c>
      <c r="DT20">
        <v>-0.92337480000000005</v>
      </c>
      <c r="DU20">
        <v>100.7968</v>
      </c>
      <c r="DV20">
        <v>101.6168</v>
      </c>
      <c r="DW20">
        <v>1.15395</v>
      </c>
      <c r="DX20">
        <v>99.992779999999996</v>
      </c>
      <c r="DY20">
        <v>15.982100000000001</v>
      </c>
      <c r="DZ20">
        <v>1.7346539999999999</v>
      </c>
      <c r="EA20">
        <v>1.6178399999999999</v>
      </c>
      <c r="EB20">
        <v>15.21006</v>
      </c>
      <c r="EC20">
        <v>14.129799999999999</v>
      </c>
      <c r="ED20">
        <v>1500.06</v>
      </c>
      <c r="EE20">
        <v>0.97300699999999996</v>
      </c>
      <c r="EF20">
        <v>2.6993E-2</v>
      </c>
      <c r="EG20">
        <v>0</v>
      </c>
      <c r="EH20">
        <v>362.2106</v>
      </c>
      <c r="EI20">
        <v>5.0006399999999998</v>
      </c>
      <c r="EJ20">
        <v>5585.482</v>
      </c>
      <c r="EK20">
        <v>15439.84</v>
      </c>
      <c r="EL20">
        <v>40.811999999999998</v>
      </c>
      <c r="EM20">
        <v>41.561999999999998</v>
      </c>
      <c r="EN20">
        <v>41.186999999999998</v>
      </c>
      <c r="EO20">
        <v>41.186999999999998</v>
      </c>
      <c r="EP20">
        <v>42.375</v>
      </c>
      <c r="EQ20">
        <v>1454.7</v>
      </c>
      <c r="ER20">
        <v>40.36</v>
      </c>
      <c r="ES20">
        <v>0</v>
      </c>
      <c r="ET20">
        <v>1791604885.5</v>
      </c>
      <c r="EU20">
        <v>0</v>
      </c>
      <c r="EV20">
        <v>362.33300000000003</v>
      </c>
      <c r="EW20">
        <v>-0.81446154553551597</v>
      </c>
      <c r="EX20">
        <v>-7.3199999585606097</v>
      </c>
      <c r="EY20">
        <v>5585.982</v>
      </c>
      <c r="EZ20">
        <v>15</v>
      </c>
      <c r="FA20">
        <v>1791604832.0999999</v>
      </c>
      <c r="FB20" t="s">
        <v>431</v>
      </c>
      <c r="FC20">
        <v>1791604832.0999999</v>
      </c>
      <c r="FD20">
        <v>1791604826.0999999</v>
      </c>
      <c r="FE20">
        <v>44</v>
      </c>
      <c r="FF20">
        <v>-0.23499999999999999</v>
      </c>
      <c r="FG20">
        <v>-1E-3</v>
      </c>
      <c r="FH20">
        <v>0.2</v>
      </c>
      <c r="FI20">
        <v>-0.17899999999999999</v>
      </c>
      <c r="FJ20">
        <v>100</v>
      </c>
      <c r="FK20">
        <v>16</v>
      </c>
      <c r="FL20">
        <v>0.34</v>
      </c>
      <c r="FM20">
        <v>7.0000000000000007E-2</v>
      </c>
      <c r="FN20">
        <v>2.0594178343954401</v>
      </c>
      <c r="FO20">
        <v>-0.11579831189994901</v>
      </c>
      <c r="FP20">
        <v>6.9191100417788198E-2</v>
      </c>
      <c r="FQ20">
        <v>1</v>
      </c>
      <c r="FR20">
        <v>-0.93795240000000002</v>
      </c>
      <c r="FS20">
        <v>6.2718496240585396E-3</v>
      </c>
      <c r="FT20">
        <v>2.60292148006812E-2</v>
      </c>
      <c r="FU20">
        <v>1</v>
      </c>
      <c r="FV20">
        <v>362.37085294117702</v>
      </c>
      <c r="FW20">
        <v>-0.56774637394268201</v>
      </c>
      <c r="FX20">
        <v>0.22591593079167399</v>
      </c>
      <c r="FY20">
        <v>-1</v>
      </c>
      <c r="FZ20">
        <v>2</v>
      </c>
      <c r="GA20">
        <v>2</v>
      </c>
      <c r="GB20" t="s">
        <v>419</v>
      </c>
      <c r="GC20">
        <v>3.1232600000000001</v>
      </c>
      <c r="GD20">
        <v>2.76511</v>
      </c>
      <c r="GE20">
        <v>2.62451E-2</v>
      </c>
      <c r="GF20">
        <v>2.7242700000000002E-2</v>
      </c>
      <c r="GG20">
        <v>9.2114199999999993E-2</v>
      </c>
      <c r="GH20">
        <v>9.0482199999999999E-2</v>
      </c>
      <c r="GI20">
        <v>18958.400000000001</v>
      </c>
      <c r="GJ20">
        <v>28552.799999999999</v>
      </c>
      <c r="GK20">
        <v>22751.4</v>
      </c>
      <c r="GL20">
        <v>30078.2</v>
      </c>
      <c r="GM20">
        <v>33885.199999999997</v>
      </c>
      <c r="GN20">
        <v>34076.9</v>
      </c>
      <c r="GO20">
        <v>43054.8</v>
      </c>
      <c r="GP20">
        <v>42839.3</v>
      </c>
      <c r="GQ20">
        <v>1.9673499999999999</v>
      </c>
      <c r="GR20">
        <v>1.7988999999999999</v>
      </c>
      <c r="GS20">
        <v>7.6010800000000003E-2</v>
      </c>
      <c r="GT20">
        <v>0</v>
      </c>
      <c r="GU20">
        <v>23.721299999999999</v>
      </c>
      <c r="GV20">
        <v>999.9</v>
      </c>
      <c r="GW20">
        <v>38.738</v>
      </c>
      <c r="GX20">
        <v>33.656999999999996</v>
      </c>
      <c r="GY20">
        <v>20.059699999999999</v>
      </c>
      <c r="GZ20">
        <v>63.3172</v>
      </c>
      <c r="HA20">
        <v>34.258800000000001</v>
      </c>
      <c r="HB20">
        <v>1</v>
      </c>
      <c r="HC20">
        <v>0.101118</v>
      </c>
      <c r="HD20">
        <v>2.4238200000000001</v>
      </c>
      <c r="HE20">
        <v>20.210599999999999</v>
      </c>
      <c r="HF20">
        <v>5.2349600000000001</v>
      </c>
      <c r="HG20">
        <v>11.962</v>
      </c>
      <c r="HH20">
        <v>4.9690500000000002</v>
      </c>
      <c r="HI20">
        <v>3.2955000000000001</v>
      </c>
      <c r="HJ20">
        <v>9999</v>
      </c>
      <c r="HK20">
        <v>9999</v>
      </c>
      <c r="HL20">
        <v>999.9</v>
      </c>
      <c r="HM20">
        <v>9999</v>
      </c>
      <c r="HN20">
        <v>4.9686300000000001</v>
      </c>
      <c r="HO20">
        <v>1.86293</v>
      </c>
      <c r="HP20">
        <v>1.8644700000000001</v>
      </c>
      <c r="HQ20">
        <v>1.86629</v>
      </c>
      <c r="HR20">
        <v>1.8632500000000001</v>
      </c>
      <c r="HS20">
        <v>1.8669500000000001</v>
      </c>
      <c r="HT20">
        <v>1.86371</v>
      </c>
      <c r="HU20">
        <v>1.8655999999999999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0.19900000000000001</v>
      </c>
      <c r="IJ20">
        <v>-0.15479999999999999</v>
      </c>
      <c r="IK20">
        <v>5.6696104718259602E-2</v>
      </c>
      <c r="IL20">
        <v>1.61658254425633E-3</v>
      </c>
      <c r="IM20">
        <v>-1.89604851270483E-6</v>
      </c>
      <c r="IN20">
        <v>8.6681353432279101E-10</v>
      </c>
      <c r="IO20">
        <v>-7.8682081131991599E-2</v>
      </c>
      <c r="IP20">
        <v>-3.5871989026399903E-2</v>
      </c>
      <c r="IQ20">
        <v>1.9028800927848801E-3</v>
      </c>
      <c r="IR20">
        <v>-4.7539144078026999E-6</v>
      </c>
      <c r="IS20">
        <v>1</v>
      </c>
      <c r="IT20">
        <v>1704</v>
      </c>
      <c r="IU20">
        <v>4</v>
      </c>
      <c r="IV20">
        <v>25</v>
      </c>
      <c r="IW20">
        <v>0.9</v>
      </c>
      <c r="IX20">
        <v>1</v>
      </c>
      <c r="IY20">
        <v>0.41015600000000002</v>
      </c>
      <c r="IZ20">
        <v>2.5781200000000002</v>
      </c>
      <c r="JA20">
        <v>1.3464400000000001</v>
      </c>
      <c r="JB20">
        <v>2.2583000000000002</v>
      </c>
      <c r="JC20">
        <v>1.5502899999999999</v>
      </c>
      <c r="JD20">
        <v>2.5854499999999998</v>
      </c>
      <c r="JE20">
        <v>38.575000000000003</v>
      </c>
      <c r="JF20">
        <v>16.023299999999999</v>
      </c>
      <c r="JG20">
        <v>18</v>
      </c>
      <c r="JH20">
        <v>501.2</v>
      </c>
      <c r="JI20">
        <v>469.59199999999998</v>
      </c>
      <c r="JJ20">
        <v>21.215800000000002</v>
      </c>
      <c r="JK20">
        <v>28.514299999999999</v>
      </c>
      <c r="JL20">
        <v>30.0001</v>
      </c>
      <c r="JM20">
        <v>28.485600000000002</v>
      </c>
      <c r="JN20">
        <v>28.494800000000001</v>
      </c>
      <c r="JO20">
        <v>8.2292199999999998</v>
      </c>
      <c r="JP20">
        <v>26.754999999999999</v>
      </c>
      <c r="JQ20">
        <v>35.972700000000003</v>
      </c>
      <c r="JR20">
        <v>21.22</v>
      </c>
      <c r="JS20">
        <v>100</v>
      </c>
      <c r="JT20">
        <v>16.0334</v>
      </c>
      <c r="JU20">
        <v>101.657</v>
      </c>
      <c r="JV20">
        <v>97.278099999999995</v>
      </c>
    </row>
    <row r="21" spans="1:282" x14ac:dyDescent="0.3">
      <c r="A21">
        <v>5</v>
      </c>
      <c r="B21">
        <v>1791605006.0999999</v>
      </c>
      <c r="C21">
        <v>484</v>
      </c>
      <c r="D21" t="s">
        <v>432</v>
      </c>
      <c r="E21" t="s">
        <v>433</v>
      </c>
      <c r="F21">
        <v>5</v>
      </c>
      <c r="G21">
        <v>1791605003.0999999</v>
      </c>
      <c r="H21">
        <f t="shared" si="0"/>
        <v>3.1136050742742089E-3</v>
      </c>
      <c r="I21">
        <f t="shared" si="1"/>
        <v>3.1136050742742087</v>
      </c>
      <c r="J21">
        <f t="shared" si="2"/>
        <v>-0.50961579030309923</v>
      </c>
      <c r="K21">
        <f t="shared" si="3"/>
        <v>50.103540000000002</v>
      </c>
      <c r="L21">
        <f t="shared" si="4"/>
        <v>52.683348012625473</v>
      </c>
      <c r="M21">
        <f t="shared" si="5"/>
        <v>5.3382071494459193</v>
      </c>
      <c r="N21">
        <f t="shared" si="6"/>
        <v>5.076804826004083</v>
      </c>
      <c r="O21">
        <f t="shared" si="7"/>
        <v>0.22442805283488443</v>
      </c>
      <c r="P21">
        <f t="shared" si="8"/>
        <v>3.0343452027361515</v>
      </c>
      <c r="Q21">
        <f t="shared" si="9"/>
        <v>0.2155972834937176</v>
      </c>
      <c r="R21">
        <f t="shared" si="10"/>
        <v>0.13551275930212814</v>
      </c>
      <c r="S21">
        <f t="shared" si="11"/>
        <v>241.7272670029071</v>
      </c>
      <c r="T21">
        <f t="shared" si="12"/>
        <v>25.5315253403698</v>
      </c>
      <c r="U21">
        <f t="shared" si="13"/>
        <v>24.9587</v>
      </c>
      <c r="V21">
        <f t="shared" si="14"/>
        <v>3.1718567881225099</v>
      </c>
      <c r="W21">
        <f t="shared" si="15"/>
        <v>55.062748579842349</v>
      </c>
      <c r="X21">
        <f t="shared" si="16"/>
        <v>1.7440237075661569</v>
      </c>
      <c r="Y21">
        <f t="shared" si="17"/>
        <v>3.1673386319196895</v>
      </c>
      <c r="Z21">
        <f t="shared" si="18"/>
        <v>1.4278330805563531</v>
      </c>
      <c r="AA21">
        <f t="shared" si="19"/>
        <v>-137.30998377549261</v>
      </c>
      <c r="AB21">
        <f t="shared" si="20"/>
        <v>-3.9097440838210695</v>
      </c>
      <c r="AC21">
        <f t="shared" si="21"/>
        <v>-0.27240213702455418</v>
      </c>
      <c r="AD21">
        <f t="shared" si="22"/>
        <v>100.23513700656886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53991.669475878021</v>
      </c>
      <c r="AJ21" t="s">
        <v>416</v>
      </c>
      <c r="AK21" t="s">
        <v>416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1261.1603994833715</v>
      </c>
      <c r="AW21">
        <f t="shared" si="29"/>
        <v>-0.50961579030309923</v>
      </c>
      <c r="AX21" t="e">
        <f t="shared" si="30"/>
        <v>#DIV/0!</v>
      </c>
      <c r="AY21">
        <f t="shared" si="31"/>
        <v>-4.0408483370700586E-4</v>
      </c>
      <c r="AZ21" t="e">
        <f t="shared" si="32"/>
        <v>#DIV/0!</v>
      </c>
      <c r="BA21" t="e">
        <f t="shared" si="33"/>
        <v>#DIV/0!</v>
      </c>
      <c r="BB21" t="s">
        <v>416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1499.94</v>
      </c>
      <c r="CU21">
        <f t="shared" si="43"/>
        <v>1261.1603994833715</v>
      </c>
      <c r="CV21">
        <f t="shared" si="44"/>
        <v>0.84080723194485885</v>
      </c>
      <c r="CW21">
        <f t="shared" si="45"/>
        <v>0.16115795765357754</v>
      </c>
      <c r="CX21">
        <v>2</v>
      </c>
      <c r="CY21">
        <v>0.5</v>
      </c>
      <c r="CZ21" t="s">
        <v>417</v>
      </c>
      <c r="DA21">
        <v>2</v>
      </c>
      <c r="DB21">
        <v>1791605003.0999999</v>
      </c>
      <c r="DC21">
        <v>50.103540000000002</v>
      </c>
      <c r="DD21">
        <v>49.9621</v>
      </c>
      <c r="DE21">
        <v>17.211960000000001</v>
      </c>
      <c r="DF21">
        <v>15.988</v>
      </c>
      <c r="DG21">
        <v>49.992019999999997</v>
      </c>
      <c r="DH21">
        <v>17.36758</v>
      </c>
      <c r="DI21">
        <v>500.01859999999999</v>
      </c>
      <c r="DJ21">
        <v>101.2264</v>
      </c>
      <c r="DK21">
        <v>9.987008E-2</v>
      </c>
      <c r="DL21">
        <v>24.934799999999999</v>
      </c>
      <c r="DM21">
        <v>24.9587</v>
      </c>
      <c r="DN21">
        <v>999.9</v>
      </c>
      <c r="DO21">
        <v>0</v>
      </c>
      <c r="DP21">
        <v>0</v>
      </c>
      <c r="DQ21">
        <v>10018.379999999999</v>
      </c>
      <c r="DR21">
        <v>0</v>
      </c>
      <c r="DS21">
        <v>7.5947699999999996</v>
      </c>
      <c r="DT21">
        <v>0.1414376</v>
      </c>
      <c r="DU21">
        <v>50.981020000000001</v>
      </c>
      <c r="DV21">
        <v>50.773879999999998</v>
      </c>
      <c r="DW21">
        <v>1.2239599999999999</v>
      </c>
      <c r="DX21">
        <v>49.9621</v>
      </c>
      <c r="DY21">
        <v>15.988</v>
      </c>
      <c r="DZ21">
        <v>1.742302</v>
      </c>
      <c r="EA21">
        <v>1.6184080000000001</v>
      </c>
      <c r="EB21">
        <v>15.278560000000001</v>
      </c>
      <c r="EC21">
        <v>14.135160000000001</v>
      </c>
      <c r="ED21">
        <v>1499.94</v>
      </c>
      <c r="EE21">
        <v>0.9730046</v>
      </c>
      <c r="EF21">
        <v>2.6995359999999999E-2</v>
      </c>
      <c r="EG21">
        <v>0</v>
      </c>
      <c r="EH21">
        <v>364.714</v>
      </c>
      <c r="EI21">
        <v>5.0006399999999998</v>
      </c>
      <c r="EJ21">
        <v>5621.74</v>
      </c>
      <c r="EK21">
        <v>15438.6</v>
      </c>
      <c r="EL21">
        <v>40.837200000000003</v>
      </c>
      <c r="EM21">
        <v>41.561999999999998</v>
      </c>
      <c r="EN21">
        <v>41.186999999999998</v>
      </c>
      <c r="EO21">
        <v>41.186999999999998</v>
      </c>
      <c r="EP21">
        <v>42.375</v>
      </c>
      <c r="EQ21">
        <v>1454.58</v>
      </c>
      <c r="ER21">
        <v>40.36</v>
      </c>
      <c r="ES21">
        <v>0</v>
      </c>
      <c r="ET21">
        <v>1791605006.7</v>
      </c>
      <c r="EU21">
        <v>0</v>
      </c>
      <c r="EV21">
        <v>364.88884000000002</v>
      </c>
      <c r="EW21">
        <v>-1.52038461608792</v>
      </c>
      <c r="EX21">
        <v>-9.3246153684752304</v>
      </c>
      <c r="EY21">
        <v>5622.9871999999996</v>
      </c>
      <c r="EZ21">
        <v>15</v>
      </c>
      <c r="FA21">
        <v>1791604945.0999999</v>
      </c>
      <c r="FB21" t="s">
        <v>434</v>
      </c>
      <c r="FC21">
        <v>1791604945.0999999</v>
      </c>
      <c r="FD21">
        <v>1791604943.0999999</v>
      </c>
      <c r="FE21">
        <v>45</v>
      </c>
      <c r="FF21">
        <v>-2.1000000000000001E-2</v>
      </c>
      <c r="FG21">
        <v>-3.0000000000000001E-3</v>
      </c>
      <c r="FH21">
        <v>0.111</v>
      </c>
      <c r="FI21">
        <v>-0.184</v>
      </c>
      <c r="FJ21">
        <v>50</v>
      </c>
      <c r="FK21">
        <v>16</v>
      </c>
      <c r="FL21">
        <v>0.21</v>
      </c>
      <c r="FM21">
        <v>0.06</v>
      </c>
      <c r="FN21">
        <v>-0.49653583850387101</v>
      </c>
      <c r="FO21">
        <v>-0.50675246441361599</v>
      </c>
      <c r="FP21">
        <v>0.10425786115353899</v>
      </c>
      <c r="FQ21">
        <v>1</v>
      </c>
      <c r="FR21">
        <v>0.13766352500000001</v>
      </c>
      <c r="FS21">
        <v>0.115743992481203</v>
      </c>
      <c r="FT21">
        <v>4.19096856169415E-2</v>
      </c>
      <c r="FU21">
        <v>1</v>
      </c>
      <c r="FV21">
        <v>364.898647058824</v>
      </c>
      <c r="FW21">
        <v>1.39648557480723E-2</v>
      </c>
      <c r="FX21">
        <v>0.20350702869101001</v>
      </c>
      <c r="FY21">
        <v>-1</v>
      </c>
      <c r="FZ21">
        <v>2</v>
      </c>
      <c r="GA21">
        <v>2</v>
      </c>
      <c r="GB21" t="s">
        <v>419</v>
      </c>
      <c r="GC21">
        <v>3.1234299999999999</v>
      </c>
      <c r="GD21">
        <v>2.7652700000000001</v>
      </c>
      <c r="GE21">
        <v>1.36238E-2</v>
      </c>
      <c r="GF21">
        <v>1.40121E-2</v>
      </c>
      <c r="GG21">
        <v>9.2433799999999997E-2</v>
      </c>
      <c r="GH21">
        <v>9.0497599999999997E-2</v>
      </c>
      <c r="GI21">
        <v>19202.8</v>
      </c>
      <c r="GJ21">
        <v>28939.3</v>
      </c>
      <c r="GK21">
        <v>22749.8</v>
      </c>
      <c r="GL21">
        <v>30076.3</v>
      </c>
      <c r="GM21">
        <v>33869.800000000003</v>
      </c>
      <c r="GN21">
        <v>34073.5</v>
      </c>
      <c r="GO21">
        <v>43051.7</v>
      </c>
      <c r="GP21">
        <v>42837</v>
      </c>
      <c r="GQ21">
        <v>1.9673</v>
      </c>
      <c r="GR21">
        <v>1.7987500000000001</v>
      </c>
      <c r="GS21">
        <v>7.5012400000000007E-2</v>
      </c>
      <c r="GT21">
        <v>0</v>
      </c>
      <c r="GU21">
        <v>23.721299999999999</v>
      </c>
      <c r="GV21">
        <v>999.9</v>
      </c>
      <c r="GW21">
        <v>38.622</v>
      </c>
      <c r="GX21">
        <v>33.656999999999996</v>
      </c>
      <c r="GY21">
        <v>19.998100000000001</v>
      </c>
      <c r="GZ21">
        <v>63.247199999999999</v>
      </c>
      <c r="HA21">
        <v>34.274799999999999</v>
      </c>
      <c r="HB21">
        <v>1</v>
      </c>
      <c r="HC21">
        <v>0.10227899999999999</v>
      </c>
      <c r="HD21">
        <v>2.2614800000000002</v>
      </c>
      <c r="HE21">
        <v>20.212900000000001</v>
      </c>
      <c r="HF21">
        <v>5.2307699999999997</v>
      </c>
      <c r="HG21">
        <v>11.962</v>
      </c>
      <c r="HH21">
        <v>4.9680999999999997</v>
      </c>
      <c r="HI21">
        <v>3.2946800000000001</v>
      </c>
      <c r="HJ21">
        <v>9999</v>
      </c>
      <c r="HK21">
        <v>9999</v>
      </c>
      <c r="HL21">
        <v>999.9</v>
      </c>
      <c r="HM21">
        <v>9999</v>
      </c>
      <c r="HN21">
        <v>4.9686300000000001</v>
      </c>
      <c r="HO21">
        <v>1.8628400000000001</v>
      </c>
      <c r="HP21">
        <v>1.8643799999999999</v>
      </c>
      <c r="HQ21">
        <v>1.8662700000000001</v>
      </c>
      <c r="HR21">
        <v>1.86324</v>
      </c>
      <c r="HS21">
        <v>1.8669100000000001</v>
      </c>
      <c r="HT21">
        <v>1.86371</v>
      </c>
      <c r="HU21">
        <v>1.86554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0.111</v>
      </c>
      <c r="IJ21">
        <v>-0.15559999999999999</v>
      </c>
      <c r="IK21">
        <v>3.5317407547339703E-2</v>
      </c>
      <c r="IL21">
        <v>1.61658254425633E-3</v>
      </c>
      <c r="IM21">
        <v>-1.89604851270483E-6</v>
      </c>
      <c r="IN21">
        <v>8.6681353432279101E-10</v>
      </c>
      <c r="IO21">
        <v>-8.1681288984977896E-2</v>
      </c>
      <c r="IP21">
        <v>-3.5871989026399903E-2</v>
      </c>
      <c r="IQ21">
        <v>1.9028800927848801E-3</v>
      </c>
      <c r="IR21">
        <v>-4.7539144078026999E-6</v>
      </c>
      <c r="IS21">
        <v>1</v>
      </c>
      <c r="IT21">
        <v>1704</v>
      </c>
      <c r="IU21">
        <v>4</v>
      </c>
      <c r="IV21">
        <v>25</v>
      </c>
      <c r="IW21">
        <v>1</v>
      </c>
      <c r="IX21">
        <v>1.1000000000000001</v>
      </c>
      <c r="IY21">
        <v>0.29785200000000001</v>
      </c>
      <c r="IZ21">
        <v>2.5927699999999998</v>
      </c>
      <c r="JA21">
        <v>1.3464400000000001</v>
      </c>
      <c r="JB21">
        <v>2.2583000000000002</v>
      </c>
      <c r="JC21">
        <v>1.5502899999999999</v>
      </c>
      <c r="JD21">
        <v>2.6904300000000001</v>
      </c>
      <c r="JE21">
        <v>38.330100000000002</v>
      </c>
      <c r="JF21">
        <v>16.014600000000002</v>
      </c>
      <c r="JG21">
        <v>18</v>
      </c>
      <c r="JH21">
        <v>501.36599999999999</v>
      </c>
      <c r="JI21">
        <v>469.697</v>
      </c>
      <c r="JJ21">
        <v>21.401199999999999</v>
      </c>
      <c r="JK21">
        <v>28.531400000000001</v>
      </c>
      <c r="JL21">
        <v>30.0001</v>
      </c>
      <c r="JM21">
        <v>28.508500000000002</v>
      </c>
      <c r="JN21">
        <v>28.518699999999999</v>
      </c>
      <c r="JO21">
        <v>5.9838899999999997</v>
      </c>
      <c r="JP21">
        <v>26.385000000000002</v>
      </c>
      <c r="JQ21">
        <v>35.599299999999999</v>
      </c>
      <c r="JR21">
        <v>21.4053</v>
      </c>
      <c r="JS21">
        <v>50</v>
      </c>
      <c r="JT21">
        <v>15.9536</v>
      </c>
      <c r="JU21">
        <v>101.65</v>
      </c>
      <c r="JV21">
        <v>97.272400000000005</v>
      </c>
    </row>
    <row r="22" spans="1:282" x14ac:dyDescent="0.3">
      <c r="A22">
        <v>6</v>
      </c>
      <c r="B22">
        <v>1791605138.0999999</v>
      </c>
      <c r="C22">
        <v>616</v>
      </c>
      <c r="D22" t="s">
        <v>435</v>
      </c>
      <c r="E22" t="s">
        <v>436</v>
      </c>
      <c r="F22">
        <v>5</v>
      </c>
      <c r="G22">
        <v>1791605134.5999999</v>
      </c>
      <c r="H22">
        <f t="shared" si="0"/>
        <v>3.248762099846082E-3</v>
      </c>
      <c r="I22">
        <f t="shared" si="1"/>
        <v>3.2487620998460822</v>
      </c>
      <c r="J22">
        <f t="shared" si="2"/>
        <v>16.756188642930152</v>
      </c>
      <c r="K22">
        <f t="shared" si="3"/>
        <v>392.78983333333298</v>
      </c>
      <c r="L22">
        <f t="shared" si="4"/>
        <v>266.52938816715846</v>
      </c>
      <c r="M22">
        <f t="shared" si="5"/>
        <v>27.005178845468023</v>
      </c>
      <c r="N22">
        <f t="shared" si="6"/>
        <v>39.798086698025394</v>
      </c>
      <c r="O22">
        <f t="shared" si="7"/>
        <v>0.2341955980663766</v>
      </c>
      <c r="P22">
        <f t="shared" si="8"/>
        <v>3.028777202813655</v>
      </c>
      <c r="Q22">
        <f t="shared" si="9"/>
        <v>0.22458024714110364</v>
      </c>
      <c r="R22">
        <f t="shared" si="10"/>
        <v>0.14119365941346695</v>
      </c>
      <c r="S22">
        <f t="shared" si="11"/>
        <v>241.73737500294865</v>
      </c>
      <c r="T22">
        <f t="shared" si="12"/>
        <v>25.589936833253301</v>
      </c>
      <c r="U22">
        <f t="shared" si="13"/>
        <v>25.023099999999999</v>
      </c>
      <c r="V22">
        <f t="shared" si="14"/>
        <v>3.184059281130009</v>
      </c>
      <c r="W22">
        <f t="shared" si="15"/>
        <v>55.07852493013641</v>
      </c>
      <c r="X22">
        <f t="shared" si="16"/>
        <v>1.7540656912063433</v>
      </c>
      <c r="Y22">
        <f t="shared" si="17"/>
        <v>3.1846635207302003</v>
      </c>
      <c r="Z22">
        <f t="shared" si="18"/>
        <v>1.4299935899236658</v>
      </c>
      <c r="AA22">
        <f t="shared" si="19"/>
        <v>-143.27040860321222</v>
      </c>
      <c r="AB22">
        <f t="shared" si="20"/>
        <v>0.51979833970455025</v>
      </c>
      <c r="AC22">
        <f t="shared" si="21"/>
        <v>3.631077430212043E-2</v>
      </c>
      <c r="AD22">
        <f t="shared" si="22"/>
        <v>99.023075513743095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53801.067650571487</v>
      </c>
      <c r="AJ22" t="s">
        <v>416</v>
      </c>
      <c r="AK22" t="s">
        <v>416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1261.2135994833905</v>
      </c>
      <c r="AW22">
        <f t="shared" si="29"/>
        <v>16.756188642930152</v>
      </c>
      <c r="AX22" t="e">
        <f t="shared" si="30"/>
        <v>#DIV/0!</v>
      </c>
      <c r="AY22">
        <f t="shared" si="31"/>
        <v>1.3285765908164727E-2</v>
      </c>
      <c r="AZ22" t="e">
        <f t="shared" si="32"/>
        <v>#DIV/0!</v>
      </c>
      <c r="BA22" t="e">
        <f t="shared" si="33"/>
        <v>#DIV/0!</v>
      </c>
      <c r="BB22" t="s">
        <v>416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1500.0033333333299</v>
      </c>
      <c r="CU22">
        <f t="shared" si="43"/>
        <v>1261.2135994833905</v>
      </c>
      <c r="CV22">
        <f t="shared" si="44"/>
        <v>0.84080719786182245</v>
      </c>
      <c r="CW22">
        <f t="shared" si="45"/>
        <v>0.16115789187331753</v>
      </c>
      <c r="CX22">
        <v>2</v>
      </c>
      <c r="CY22">
        <v>0.5</v>
      </c>
      <c r="CZ22" t="s">
        <v>417</v>
      </c>
      <c r="DA22">
        <v>2</v>
      </c>
      <c r="DB22">
        <v>1791605134.5999999</v>
      </c>
      <c r="DC22">
        <v>392.78983333333298</v>
      </c>
      <c r="DD22">
        <v>400.00316666666703</v>
      </c>
      <c r="DE22">
        <v>17.311866666666699</v>
      </c>
      <c r="DF22">
        <v>16.034783333333301</v>
      </c>
      <c r="DG22">
        <v>391.757833333333</v>
      </c>
      <c r="DH22">
        <v>17.459099999999999</v>
      </c>
      <c r="DI22">
        <v>499.97050000000002</v>
      </c>
      <c r="DJ22">
        <v>101.22150000000001</v>
      </c>
      <c r="DK22">
        <v>0.10008045</v>
      </c>
      <c r="DL22">
        <v>25.0262833333333</v>
      </c>
      <c r="DM22">
        <v>25.023099999999999</v>
      </c>
      <c r="DN22">
        <v>999.9</v>
      </c>
      <c r="DO22">
        <v>0</v>
      </c>
      <c r="DP22">
        <v>0</v>
      </c>
      <c r="DQ22">
        <v>9985.2066666666706</v>
      </c>
      <c r="DR22">
        <v>0</v>
      </c>
      <c r="DS22">
        <v>7.5838599999999996</v>
      </c>
      <c r="DT22">
        <v>-7.2130066666666703</v>
      </c>
      <c r="DU22">
        <v>399.70983333333299</v>
      </c>
      <c r="DV22">
        <v>406.52166666666699</v>
      </c>
      <c r="DW22">
        <v>1.2770699999999999</v>
      </c>
      <c r="DX22">
        <v>400.00316666666703</v>
      </c>
      <c r="DY22">
        <v>16.034783333333301</v>
      </c>
      <c r="DZ22">
        <v>1.75233333333333</v>
      </c>
      <c r="EA22">
        <v>1.62306833333333</v>
      </c>
      <c r="EB22">
        <v>15.3679666666667</v>
      </c>
      <c r="EC22">
        <v>14.179550000000001</v>
      </c>
      <c r="ED22">
        <v>1500.0033333333299</v>
      </c>
      <c r="EE22">
        <v>0.97300633333333297</v>
      </c>
      <c r="EF22">
        <v>2.6993666666666701E-2</v>
      </c>
      <c r="EG22">
        <v>0</v>
      </c>
      <c r="EH22">
        <v>354.399333333333</v>
      </c>
      <c r="EI22">
        <v>5.0006399999999998</v>
      </c>
      <c r="EJ22">
        <v>5471.3666666666704</v>
      </c>
      <c r="EK22">
        <v>15439.25</v>
      </c>
      <c r="EL22">
        <v>40.853999999999999</v>
      </c>
      <c r="EM22">
        <v>41.572499999999998</v>
      </c>
      <c r="EN22">
        <v>41.186999999999998</v>
      </c>
      <c r="EO22">
        <v>41.207999999999998</v>
      </c>
      <c r="EP22">
        <v>42.375</v>
      </c>
      <c r="EQ22">
        <v>1454.64333333333</v>
      </c>
      <c r="ER22">
        <v>40.36</v>
      </c>
      <c r="ES22">
        <v>0</v>
      </c>
      <c r="ET22">
        <v>1791605138.7</v>
      </c>
      <c r="EU22">
        <v>0</v>
      </c>
      <c r="EV22">
        <v>354.05928</v>
      </c>
      <c r="EW22">
        <v>5.6939230799676803</v>
      </c>
      <c r="EX22">
        <v>80.891538454333201</v>
      </c>
      <c r="EY22">
        <v>5466.5176000000001</v>
      </c>
      <c r="EZ22">
        <v>15</v>
      </c>
      <c r="FA22">
        <v>1791605068.0999999</v>
      </c>
      <c r="FB22" t="s">
        <v>437</v>
      </c>
      <c r="FC22">
        <v>1791605065.0999999</v>
      </c>
      <c r="FD22">
        <v>1791605068.0999999</v>
      </c>
      <c r="FE22">
        <v>46</v>
      </c>
      <c r="FF22">
        <v>0.60199999999999998</v>
      </c>
      <c r="FG22">
        <v>6.0000000000000001E-3</v>
      </c>
      <c r="FH22">
        <v>1.036</v>
      </c>
      <c r="FI22">
        <v>-0.18099999999999999</v>
      </c>
      <c r="FJ22">
        <v>400</v>
      </c>
      <c r="FK22">
        <v>16</v>
      </c>
      <c r="FL22">
        <v>0.12</v>
      </c>
      <c r="FM22">
        <v>0.08</v>
      </c>
      <c r="FN22">
        <v>16.762259112465902</v>
      </c>
      <c r="FO22">
        <v>0.112880586224163</v>
      </c>
      <c r="FP22">
        <v>8.89547227841226E-2</v>
      </c>
      <c r="FQ22">
        <v>1</v>
      </c>
      <c r="FR22">
        <v>-7.2159754999999999</v>
      </c>
      <c r="FS22">
        <v>1.77248120301261E-3</v>
      </c>
      <c r="FT22">
        <v>3.6813839717557299E-2</v>
      </c>
      <c r="FU22">
        <v>1</v>
      </c>
      <c r="FV22">
        <v>353.57329411764698</v>
      </c>
      <c r="FW22">
        <v>6.3500687488203003</v>
      </c>
      <c r="FX22">
        <v>0.64380927617040096</v>
      </c>
      <c r="FY22">
        <v>-1</v>
      </c>
      <c r="FZ22">
        <v>2</v>
      </c>
      <c r="GA22">
        <v>2</v>
      </c>
      <c r="GB22" t="s">
        <v>419</v>
      </c>
      <c r="GC22">
        <v>3.1236100000000002</v>
      </c>
      <c r="GD22">
        <v>2.76559</v>
      </c>
      <c r="GE22">
        <v>8.6435300000000007E-2</v>
      </c>
      <c r="GF22">
        <v>9.0005399999999999E-2</v>
      </c>
      <c r="GG22">
        <v>9.2775300000000005E-2</v>
      </c>
      <c r="GH22">
        <v>9.0650300000000003E-2</v>
      </c>
      <c r="GI22">
        <v>17783.7</v>
      </c>
      <c r="GJ22">
        <v>26706.5</v>
      </c>
      <c r="GK22">
        <v>22748.2</v>
      </c>
      <c r="GL22">
        <v>30074.1</v>
      </c>
      <c r="GM22">
        <v>33859.5</v>
      </c>
      <c r="GN22">
        <v>34070.6</v>
      </c>
      <c r="GO22">
        <v>43049.5</v>
      </c>
      <c r="GP22">
        <v>42833.9</v>
      </c>
      <c r="GQ22">
        <v>1.9676</v>
      </c>
      <c r="GR22">
        <v>1.7995000000000001</v>
      </c>
      <c r="GS22">
        <v>7.7180600000000002E-2</v>
      </c>
      <c r="GT22">
        <v>0</v>
      </c>
      <c r="GU22">
        <v>23.763300000000001</v>
      </c>
      <c r="GV22">
        <v>999.9</v>
      </c>
      <c r="GW22">
        <v>38.487000000000002</v>
      </c>
      <c r="GX22">
        <v>33.637</v>
      </c>
      <c r="GY22">
        <v>19.907699999999998</v>
      </c>
      <c r="GZ22">
        <v>63.397300000000001</v>
      </c>
      <c r="HA22">
        <v>34.395000000000003</v>
      </c>
      <c r="HB22">
        <v>1</v>
      </c>
      <c r="HC22">
        <v>0.104515</v>
      </c>
      <c r="HD22">
        <v>2.3595100000000002</v>
      </c>
      <c r="HE22">
        <v>20.212</v>
      </c>
      <c r="HF22">
        <v>5.2331599999999998</v>
      </c>
      <c r="HG22">
        <v>11.962</v>
      </c>
      <c r="HH22">
        <v>4.9686000000000003</v>
      </c>
      <c r="HI22">
        <v>3.29548</v>
      </c>
      <c r="HJ22">
        <v>9999</v>
      </c>
      <c r="HK22">
        <v>9999</v>
      </c>
      <c r="HL22">
        <v>999.9</v>
      </c>
      <c r="HM22">
        <v>9999</v>
      </c>
      <c r="HN22">
        <v>4.9686300000000001</v>
      </c>
      <c r="HO22">
        <v>1.8628</v>
      </c>
      <c r="HP22">
        <v>1.86436</v>
      </c>
      <c r="HQ22">
        <v>1.8662099999999999</v>
      </c>
      <c r="HR22">
        <v>1.8632200000000001</v>
      </c>
      <c r="HS22">
        <v>1.8669100000000001</v>
      </c>
      <c r="HT22">
        <v>1.86371</v>
      </c>
      <c r="HU22">
        <v>1.86554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1.032</v>
      </c>
      <c r="IJ22">
        <v>-0.1472</v>
      </c>
      <c r="IK22">
        <v>0.63779985995549204</v>
      </c>
      <c r="IL22">
        <v>1.61658254425633E-3</v>
      </c>
      <c r="IM22">
        <v>-1.89604851270483E-6</v>
      </c>
      <c r="IN22">
        <v>8.6681353432279101E-10</v>
      </c>
      <c r="IO22">
        <v>-7.5674590059352398E-2</v>
      </c>
      <c r="IP22">
        <v>-3.5871989026399903E-2</v>
      </c>
      <c r="IQ22">
        <v>1.9028800927848801E-3</v>
      </c>
      <c r="IR22">
        <v>-4.7539144078026999E-6</v>
      </c>
      <c r="IS22">
        <v>1</v>
      </c>
      <c r="IT22">
        <v>1704</v>
      </c>
      <c r="IU22">
        <v>4</v>
      </c>
      <c r="IV22">
        <v>25</v>
      </c>
      <c r="IW22">
        <v>1.2</v>
      </c>
      <c r="IX22">
        <v>1.2</v>
      </c>
      <c r="IY22">
        <v>1.0534699999999999</v>
      </c>
      <c r="IZ22">
        <v>2.5671400000000002</v>
      </c>
      <c r="JA22">
        <v>1.3464400000000001</v>
      </c>
      <c r="JB22">
        <v>2.2583000000000002</v>
      </c>
      <c r="JC22">
        <v>1.5502899999999999</v>
      </c>
      <c r="JD22">
        <v>2.7282700000000002</v>
      </c>
      <c r="JE22">
        <v>38.134999999999998</v>
      </c>
      <c r="JF22">
        <v>15.997</v>
      </c>
      <c r="JG22">
        <v>18</v>
      </c>
      <c r="JH22">
        <v>501.75400000000002</v>
      </c>
      <c r="JI22">
        <v>470.42599999999999</v>
      </c>
      <c r="JJ22">
        <v>21.465399999999999</v>
      </c>
      <c r="JK22">
        <v>28.5533</v>
      </c>
      <c r="JL22">
        <v>30.0002</v>
      </c>
      <c r="JM22">
        <v>28.531600000000001</v>
      </c>
      <c r="JN22">
        <v>28.543299999999999</v>
      </c>
      <c r="JO22">
        <v>21.0992</v>
      </c>
      <c r="JP22">
        <v>26.3065</v>
      </c>
      <c r="JQ22">
        <v>35.228000000000002</v>
      </c>
      <c r="JR22">
        <v>21.4406</v>
      </c>
      <c r="JS22">
        <v>400</v>
      </c>
      <c r="JT22">
        <v>15.960800000000001</v>
      </c>
      <c r="JU22">
        <v>101.64400000000001</v>
      </c>
      <c r="JV22">
        <v>97.2654</v>
      </c>
    </row>
    <row r="23" spans="1:282" x14ac:dyDescent="0.3">
      <c r="A23">
        <v>7</v>
      </c>
      <c r="B23">
        <v>1791605259.0999999</v>
      </c>
      <c r="C23">
        <v>737</v>
      </c>
      <c r="D23" t="s">
        <v>438</v>
      </c>
      <c r="E23" t="s">
        <v>439</v>
      </c>
      <c r="F23">
        <v>5</v>
      </c>
      <c r="G23">
        <v>1791605255.5999999</v>
      </c>
      <c r="H23">
        <f t="shared" si="0"/>
        <v>3.257147195320003E-3</v>
      </c>
      <c r="I23">
        <f t="shared" si="1"/>
        <v>3.2571471953200031</v>
      </c>
      <c r="J23">
        <f t="shared" si="2"/>
        <v>17.208867425431411</v>
      </c>
      <c r="K23">
        <f t="shared" si="3"/>
        <v>392.63466666666699</v>
      </c>
      <c r="L23">
        <f t="shared" si="4"/>
        <v>263.50993850852728</v>
      </c>
      <c r="M23">
        <f t="shared" si="5"/>
        <v>26.699431101352584</v>
      </c>
      <c r="N23">
        <f t="shared" si="6"/>
        <v>39.782644593991186</v>
      </c>
      <c r="O23">
        <f t="shared" si="7"/>
        <v>0.2348015332049031</v>
      </c>
      <c r="P23">
        <f t="shared" si="8"/>
        <v>3.0304274114378393</v>
      </c>
      <c r="Q23">
        <f t="shared" si="9"/>
        <v>0.22514249585182963</v>
      </c>
      <c r="R23">
        <f t="shared" si="10"/>
        <v>0.1415487758725989</v>
      </c>
      <c r="S23">
        <f t="shared" si="11"/>
        <v>241.73631100294531</v>
      </c>
      <c r="T23">
        <f t="shared" si="12"/>
        <v>25.572783613475504</v>
      </c>
      <c r="U23">
        <f t="shared" si="13"/>
        <v>25.014866666666698</v>
      </c>
      <c r="V23">
        <f t="shared" si="14"/>
        <v>3.1824969480387031</v>
      </c>
      <c r="W23">
        <f t="shared" si="15"/>
        <v>55.073333748178484</v>
      </c>
      <c r="X23">
        <f t="shared" si="16"/>
        <v>1.7523589188642306</v>
      </c>
      <c r="Y23">
        <f t="shared" si="17"/>
        <v>3.181864615054629</v>
      </c>
      <c r="Z23">
        <f t="shared" si="18"/>
        <v>1.4301380291744725</v>
      </c>
      <c r="AA23">
        <f t="shared" si="19"/>
        <v>-143.64019131361212</v>
      </c>
      <c r="AB23">
        <f t="shared" si="20"/>
        <v>-0.54458800869532231</v>
      </c>
      <c r="AC23">
        <f t="shared" si="21"/>
        <v>-3.8017355073581942E-2</v>
      </c>
      <c r="AD23">
        <f t="shared" si="22"/>
        <v>97.513514325564287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53855.255027860105</v>
      </c>
      <c r="AJ23" t="s">
        <v>416</v>
      </c>
      <c r="AK23" t="s">
        <v>416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1261.2079994833941</v>
      </c>
      <c r="AW23">
        <f t="shared" si="29"/>
        <v>17.208867425431411</v>
      </c>
      <c r="AX23" t="e">
        <f t="shared" si="30"/>
        <v>#DIV/0!</v>
      </c>
      <c r="AY23">
        <f t="shared" si="31"/>
        <v>1.3644749662609474E-2</v>
      </c>
      <c r="AZ23" t="e">
        <f t="shared" si="32"/>
        <v>#DIV/0!</v>
      </c>
      <c r="BA23" t="e">
        <f t="shared" si="33"/>
        <v>#DIV/0!</v>
      </c>
      <c r="BB23" t="s">
        <v>416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1499.9966666666701</v>
      </c>
      <c r="CU23">
        <f t="shared" si="43"/>
        <v>1261.2079994833941</v>
      </c>
      <c r="CV23">
        <f t="shared" si="44"/>
        <v>0.84080720144937515</v>
      </c>
      <c r="CW23">
        <f t="shared" si="45"/>
        <v>0.16115789879729384</v>
      </c>
      <c r="CX23">
        <v>2</v>
      </c>
      <c r="CY23">
        <v>0.5</v>
      </c>
      <c r="CZ23" t="s">
        <v>417</v>
      </c>
      <c r="DA23">
        <v>2</v>
      </c>
      <c r="DB23">
        <v>1791605255.5999999</v>
      </c>
      <c r="DC23">
        <v>392.63466666666699</v>
      </c>
      <c r="DD23">
        <v>400.028166666667</v>
      </c>
      <c r="DE23">
        <v>17.294899999999998</v>
      </c>
      <c r="DF23">
        <v>16.014849999999999</v>
      </c>
      <c r="DG23">
        <v>391.66966666666701</v>
      </c>
      <c r="DH23">
        <v>17.4404</v>
      </c>
      <c r="DI23">
        <v>500.10783333333302</v>
      </c>
      <c r="DJ23">
        <v>101.222333333333</v>
      </c>
      <c r="DK23">
        <v>9.9959300000000001E-2</v>
      </c>
      <c r="DL23">
        <v>25.011533333333301</v>
      </c>
      <c r="DM23">
        <v>25.014866666666698</v>
      </c>
      <c r="DN23">
        <v>999.9</v>
      </c>
      <c r="DO23">
        <v>0</v>
      </c>
      <c r="DP23">
        <v>0</v>
      </c>
      <c r="DQ23">
        <v>9995.0883333333295</v>
      </c>
      <c r="DR23">
        <v>0</v>
      </c>
      <c r="DS23">
        <v>7.6206849999999999</v>
      </c>
      <c r="DT23">
        <v>-7.3935866666666703</v>
      </c>
      <c r="DU23">
        <v>399.54483333333297</v>
      </c>
      <c r="DV23">
        <v>406.538833333333</v>
      </c>
      <c r="DW23">
        <v>1.2800400000000001</v>
      </c>
      <c r="DX23">
        <v>400.028166666667</v>
      </c>
      <c r="DY23">
        <v>16.014849999999999</v>
      </c>
      <c r="DZ23">
        <v>1.7506333333333299</v>
      </c>
      <c r="EA23">
        <v>1.62106166666667</v>
      </c>
      <c r="EB23">
        <v>15.352816666666699</v>
      </c>
      <c r="EC23">
        <v>14.1604833333333</v>
      </c>
      <c r="ED23">
        <v>1499.9966666666701</v>
      </c>
      <c r="EE23">
        <v>0.97300633333333297</v>
      </c>
      <c r="EF23">
        <v>2.6993650000000001E-2</v>
      </c>
      <c r="EG23">
        <v>0</v>
      </c>
      <c r="EH23">
        <v>355.26249999999999</v>
      </c>
      <c r="EI23">
        <v>5.0006399999999998</v>
      </c>
      <c r="EJ23">
        <v>5485.5466666666698</v>
      </c>
      <c r="EK23">
        <v>15439.2</v>
      </c>
      <c r="EL23">
        <v>40.875</v>
      </c>
      <c r="EM23">
        <v>41.561999999999998</v>
      </c>
      <c r="EN23">
        <v>41.186999999999998</v>
      </c>
      <c r="EO23">
        <v>41.2395</v>
      </c>
      <c r="EP23">
        <v>42.375</v>
      </c>
      <c r="EQ23">
        <v>1454.63666666667</v>
      </c>
      <c r="ER23">
        <v>40.36</v>
      </c>
      <c r="ES23">
        <v>0</v>
      </c>
      <c r="ET23">
        <v>1791605259.9000001</v>
      </c>
      <c r="EU23">
        <v>0</v>
      </c>
      <c r="EV23">
        <v>355.32411999999999</v>
      </c>
      <c r="EW23">
        <v>-0.154615361198009</v>
      </c>
      <c r="EX23">
        <v>-14.802307644547801</v>
      </c>
      <c r="EY23">
        <v>5486.3180000000002</v>
      </c>
      <c r="EZ23">
        <v>15</v>
      </c>
      <c r="FA23">
        <v>1791605193.0999999</v>
      </c>
      <c r="FB23" t="s">
        <v>440</v>
      </c>
      <c r="FC23">
        <v>1791605192.0999999</v>
      </c>
      <c r="FD23">
        <v>1791605193.0999999</v>
      </c>
      <c r="FE23">
        <v>47</v>
      </c>
      <c r="FF23">
        <v>-6.7000000000000004E-2</v>
      </c>
      <c r="FG23">
        <v>2E-3</v>
      </c>
      <c r="FH23">
        <v>0.96899999999999997</v>
      </c>
      <c r="FI23">
        <v>-0.17699999999999999</v>
      </c>
      <c r="FJ23">
        <v>400</v>
      </c>
      <c r="FK23">
        <v>16</v>
      </c>
      <c r="FL23">
        <v>0.19</v>
      </c>
      <c r="FM23">
        <v>0.04</v>
      </c>
      <c r="FN23">
        <v>17.3052158744491</v>
      </c>
      <c r="FO23">
        <v>4.63270226514386E-2</v>
      </c>
      <c r="FP23">
        <v>9.40725972375029E-2</v>
      </c>
      <c r="FQ23">
        <v>1</v>
      </c>
      <c r="FR23">
        <v>-7.4194866666666703</v>
      </c>
      <c r="FS23">
        <v>-4.3800000000112204E-3</v>
      </c>
      <c r="FT23">
        <v>3.7931523054971598E-2</v>
      </c>
      <c r="FU23">
        <v>1</v>
      </c>
      <c r="FV23">
        <v>355.33729411764699</v>
      </c>
      <c r="FW23">
        <v>-4.5225360407795699E-2</v>
      </c>
      <c r="FX23">
        <v>0.230348141811448</v>
      </c>
      <c r="FY23">
        <v>-1</v>
      </c>
      <c r="FZ23">
        <v>2</v>
      </c>
      <c r="GA23">
        <v>2</v>
      </c>
      <c r="GB23" t="s">
        <v>419</v>
      </c>
      <c r="GC23">
        <v>3.12338</v>
      </c>
      <c r="GD23">
        <v>2.7652800000000002</v>
      </c>
      <c r="GE23">
        <v>8.6430599999999996E-2</v>
      </c>
      <c r="GF23">
        <v>8.9992699999999995E-2</v>
      </c>
      <c r="GG23">
        <v>9.26371E-2</v>
      </c>
      <c r="GH23">
        <v>9.0556399999999995E-2</v>
      </c>
      <c r="GI23">
        <v>17783.8</v>
      </c>
      <c r="GJ23">
        <v>26706.2</v>
      </c>
      <c r="GK23">
        <v>22748.3</v>
      </c>
      <c r="GL23">
        <v>30073.4</v>
      </c>
      <c r="GM23">
        <v>33865.1</v>
      </c>
      <c r="GN23">
        <v>34073.4</v>
      </c>
      <c r="GO23">
        <v>43049.9</v>
      </c>
      <c r="GP23">
        <v>42833</v>
      </c>
      <c r="GQ23">
        <v>1.9670300000000001</v>
      </c>
      <c r="GR23">
        <v>1.7997000000000001</v>
      </c>
      <c r="GS23">
        <v>7.5690400000000005E-2</v>
      </c>
      <c r="GT23">
        <v>0</v>
      </c>
      <c r="GU23">
        <v>23.767800000000001</v>
      </c>
      <c r="GV23">
        <v>999.9</v>
      </c>
      <c r="GW23">
        <v>38.42</v>
      </c>
      <c r="GX23">
        <v>33.627000000000002</v>
      </c>
      <c r="GY23">
        <v>19.8613</v>
      </c>
      <c r="GZ23">
        <v>63.507300000000001</v>
      </c>
      <c r="HA23">
        <v>33.970399999999998</v>
      </c>
      <c r="HB23">
        <v>1</v>
      </c>
      <c r="HC23">
        <v>0.10641299999999999</v>
      </c>
      <c r="HD23">
        <v>2.5320900000000002</v>
      </c>
      <c r="HE23">
        <v>20.209499999999998</v>
      </c>
      <c r="HF23">
        <v>5.2328599999999996</v>
      </c>
      <c r="HG23">
        <v>11.962</v>
      </c>
      <c r="HH23">
        <v>4.9694500000000001</v>
      </c>
      <c r="HI23">
        <v>3.2951299999999999</v>
      </c>
      <c r="HJ23">
        <v>9999</v>
      </c>
      <c r="HK23">
        <v>9999</v>
      </c>
      <c r="HL23">
        <v>999.9</v>
      </c>
      <c r="HM23">
        <v>9999</v>
      </c>
      <c r="HN23">
        <v>4.9686300000000001</v>
      </c>
      <c r="HO23">
        <v>1.8627899999999999</v>
      </c>
      <c r="HP23">
        <v>1.8643400000000001</v>
      </c>
      <c r="HQ23">
        <v>1.8661799999999999</v>
      </c>
      <c r="HR23">
        <v>1.8631899999999999</v>
      </c>
      <c r="HS23">
        <v>1.8669</v>
      </c>
      <c r="HT23">
        <v>1.8636699999999999</v>
      </c>
      <c r="HU23">
        <v>1.86554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0.96499999999999997</v>
      </c>
      <c r="IJ23">
        <v>-0.1459</v>
      </c>
      <c r="IK23">
        <v>0.57055519147090195</v>
      </c>
      <c r="IL23">
        <v>1.61658254425633E-3</v>
      </c>
      <c r="IM23">
        <v>-1.89604851270483E-6</v>
      </c>
      <c r="IN23">
        <v>8.6681353432279101E-10</v>
      </c>
      <c r="IO23">
        <v>-7.3448319391158895E-2</v>
      </c>
      <c r="IP23">
        <v>-3.5871989026399903E-2</v>
      </c>
      <c r="IQ23">
        <v>1.9028800927848801E-3</v>
      </c>
      <c r="IR23">
        <v>-4.7539144078026999E-6</v>
      </c>
      <c r="IS23">
        <v>1</v>
      </c>
      <c r="IT23">
        <v>1704</v>
      </c>
      <c r="IU23">
        <v>4</v>
      </c>
      <c r="IV23">
        <v>25</v>
      </c>
      <c r="IW23">
        <v>1.1000000000000001</v>
      </c>
      <c r="IX23">
        <v>1.1000000000000001</v>
      </c>
      <c r="IY23">
        <v>1.0534699999999999</v>
      </c>
      <c r="IZ23">
        <v>2.5720200000000002</v>
      </c>
      <c r="JA23">
        <v>1.3464400000000001</v>
      </c>
      <c r="JB23">
        <v>2.2583000000000002</v>
      </c>
      <c r="JC23">
        <v>1.5502899999999999</v>
      </c>
      <c r="JD23">
        <v>2.7185100000000002</v>
      </c>
      <c r="JE23">
        <v>38.013399999999997</v>
      </c>
      <c r="JF23">
        <v>15.988300000000001</v>
      </c>
      <c r="JG23">
        <v>18</v>
      </c>
      <c r="JH23">
        <v>501.56200000000001</v>
      </c>
      <c r="JI23">
        <v>470.74200000000002</v>
      </c>
      <c r="JJ23">
        <v>21.3218</v>
      </c>
      <c r="JK23">
        <v>28.570399999999999</v>
      </c>
      <c r="JL23">
        <v>30.000299999999999</v>
      </c>
      <c r="JM23">
        <v>28.551100000000002</v>
      </c>
      <c r="JN23">
        <v>28.563800000000001</v>
      </c>
      <c r="JO23">
        <v>21.098700000000001</v>
      </c>
      <c r="JP23">
        <v>25.984100000000002</v>
      </c>
      <c r="JQ23">
        <v>34.856200000000001</v>
      </c>
      <c r="JR23">
        <v>21.308</v>
      </c>
      <c r="JS23">
        <v>400</v>
      </c>
      <c r="JT23">
        <v>16.014900000000001</v>
      </c>
      <c r="JU23">
        <v>101.645</v>
      </c>
      <c r="JV23">
        <v>97.263300000000001</v>
      </c>
    </row>
    <row r="24" spans="1:282" x14ac:dyDescent="0.3">
      <c r="A24">
        <v>8</v>
      </c>
      <c r="B24">
        <v>1791605388.0999999</v>
      </c>
      <c r="C24">
        <v>866</v>
      </c>
      <c r="D24" t="s">
        <v>441</v>
      </c>
      <c r="E24" t="s">
        <v>442</v>
      </c>
      <c r="F24">
        <v>5</v>
      </c>
      <c r="G24">
        <v>1791605385.0999999</v>
      </c>
      <c r="H24">
        <f t="shared" si="0"/>
        <v>3.0551842806651889E-3</v>
      </c>
      <c r="I24">
        <f t="shared" si="1"/>
        <v>3.055184280665189</v>
      </c>
      <c r="J24">
        <f t="shared" si="2"/>
        <v>24.085725931314116</v>
      </c>
      <c r="K24">
        <f t="shared" si="3"/>
        <v>689.48680000000002</v>
      </c>
      <c r="L24">
        <f t="shared" si="4"/>
        <v>494.69100847763764</v>
      </c>
      <c r="M24">
        <f t="shared" si="5"/>
        <v>50.120317176747292</v>
      </c>
      <c r="N24">
        <f t="shared" si="6"/>
        <v>69.856327511444306</v>
      </c>
      <c r="O24">
        <f t="shared" si="7"/>
        <v>0.2200204913133485</v>
      </c>
      <c r="P24">
        <f t="shared" si="8"/>
        <v>3.029322931723458</v>
      </c>
      <c r="Q24">
        <f t="shared" si="9"/>
        <v>0.21151261569734556</v>
      </c>
      <c r="R24">
        <f t="shared" si="10"/>
        <v>0.13293237211096601</v>
      </c>
      <c r="S24">
        <f t="shared" si="11"/>
        <v>241.73246803411419</v>
      </c>
      <c r="T24">
        <f t="shared" si="12"/>
        <v>25.610180762072737</v>
      </c>
      <c r="U24">
        <f t="shared" si="13"/>
        <v>24.99062</v>
      </c>
      <c r="V24">
        <f t="shared" si="14"/>
        <v>3.1778998626105674</v>
      </c>
      <c r="W24">
        <f t="shared" si="15"/>
        <v>55.045262966440589</v>
      </c>
      <c r="X24">
        <f t="shared" si="16"/>
        <v>1.7500302494536175</v>
      </c>
      <c r="Y24">
        <f t="shared" si="17"/>
        <v>3.1792567700522341</v>
      </c>
      <c r="Z24">
        <f t="shared" si="18"/>
        <v>1.4278696131569499</v>
      </c>
      <c r="AA24">
        <f t="shared" si="19"/>
        <v>-134.73362677733482</v>
      </c>
      <c r="AB24">
        <f t="shared" si="20"/>
        <v>1.1693487025285654</v>
      </c>
      <c r="AC24">
        <f t="shared" si="21"/>
        <v>8.1645660619100696E-2</v>
      </c>
      <c r="AD24">
        <f t="shared" si="22"/>
        <v>108.24983561992704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53823.133844672222</v>
      </c>
      <c r="AJ24" t="s">
        <v>416</v>
      </c>
      <c r="AK24" t="s">
        <v>416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1261.1888427119761</v>
      </c>
      <c r="AW24">
        <f t="shared" si="29"/>
        <v>24.085725931314116</v>
      </c>
      <c r="AX24" t="e">
        <f t="shared" si="30"/>
        <v>#DIV/0!</v>
      </c>
      <c r="AY24">
        <f t="shared" si="31"/>
        <v>1.909763638530276E-2</v>
      </c>
      <c r="AZ24" t="e">
        <f t="shared" si="32"/>
        <v>#DIV/0!</v>
      </c>
      <c r="BA24" t="e">
        <f t="shared" si="33"/>
        <v>#DIV/0!</v>
      </c>
      <c r="BB24" t="s">
        <v>416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1499.9739999999999</v>
      </c>
      <c r="CU24">
        <f t="shared" si="43"/>
        <v>1261.1888427119761</v>
      </c>
      <c r="CV24">
        <f t="shared" si="44"/>
        <v>0.84080713579833799</v>
      </c>
      <c r="CW24">
        <f t="shared" si="45"/>
        <v>0.16115777209079238</v>
      </c>
      <c r="CX24">
        <v>2</v>
      </c>
      <c r="CY24">
        <v>0.5</v>
      </c>
      <c r="CZ24" t="s">
        <v>417</v>
      </c>
      <c r="DA24">
        <v>2</v>
      </c>
      <c r="DB24">
        <v>1791605385.0999999</v>
      </c>
      <c r="DC24">
        <v>689.48680000000002</v>
      </c>
      <c r="DD24">
        <v>699.96400000000006</v>
      </c>
      <c r="DE24">
        <v>17.272919999999999</v>
      </c>
      <c r="DF24">
        <v>16.071919999999999</v>
      </c>
      <c r="DG24">
        <v>688.32899999999995</v>
      </c>
      <c r="DH24">
        <v>17.41656</v>
      </c>
      <c r="DI24">
        <v>499.98540000000003</v>
      </c>
      <c r="DJ24">
        <v>101.21639999999999</v>
      </c>
      <c r="DK24">
        <v>0.10001027999999999</v>
      </c>
      <c r="DL24">
        <v>24.997779999999999</v>
      </c>
      <c r="DM24">
        <v>24.99062</v>
      </c>
      <c r="DN24">
        <v>999.9</v>
      </c>
      <c r="DO24">
        <v>0</v>
      </c>
      <c r="DP24">
        <v>0</v>
      </c>
      <c r="DQ24">
        <v>9989.0040000000008</v>
      </c>
      <c r="DR24">
        <v>0</v>
      </c>
      <c r="DS24">
        <v>7.5838599999999996</v>
      </c>
      <c r="DT24">
        <v>-10.47742</v>
      </c>
      <c r="DU24">
        <v>701.60540000000003</v>
      </c>
      <c r="DV24">
        <v>711.39760000000001</v>
      </c>
      <c r="DW24">
        <v>1.20102</v>
      </c>
      <c r="DX24">
        <v>699.96400000000006</v>
      </c>
      <c r="DY24">
        <v>16.071919999999999</v>
      </c>
      <c r="DZ24">
        <v>1.7483040000000001</v>
      </c>
      <c r="EA24">
        <v>1.6267400000000001</v>
      </c>
      <c r="EB24">
        <v>15.332100000000001</v>
      </c>
      <c r="EC24">
        <v>14.214460000000001</v>
      </c>
      <c r="ED24">
        <v>1499.9739999999999</v>
      </c>
      <c r="EE24">
        <v>0.97300620000000004</v>
      </c>
      <c r="EF24">
        <v>2.6993779999999998E-2</v>
      </c>
      <c r="EG24">
        <v>0</v>
      </c>
      <c r="EH24">
        <v>346.82499999999999</v>
      </c>
      <c r="EI24">
        <v>5.0006399999999998</v>
      </c>
      <c r="EJ24">
        <v>5361.942</v>
      </c>
      <c r="EK24">
        <v>15439</v>
      </c>
      <c r="EL24">
        <v>40.875</v>
      </c>
      <c r="EM24">
        <v>41.561999999999998</v>
      </c>
      <c r="EN24">
        <v>41.186999999999998</v>
      </c>
      <c r="EO24">
        <v>41.237400000000001</v>
      </c>
      <c r="EP24">
        <v>42.375</v>
      </c>
      <c r="EQ24">
        <v>1454.614</v>
      </c>
      <c r="ER24">
        <v>40.356000000000002</v>
      </c>
      <c r="ES24">
        <v>0</v>
      </c>
      <c r="ET24">
        <v>1791605388.9000001</v>
      </c>
      <c r="EU24">
        <v>0</v>
      </c>
      <c r="EV24">
        <v>346.97923076923098</v>
      </c>
      <c r="EW24">
        <v>-1.40041025821197</v>
      </c>
      <c r="EX24">
        <v>-13.362735049509499</v>
      </c>
      <c r="EY24">
        <v>5362.4838461538502</v>
      </c>
      <c r="EZ24">
        <v>15</v>
      </c>
      <c r="FA24">
        <v>1791605317.0999999</v>
      </c>
      <c r="FB24" t="s">
        <v>443</v>
      </c>
      <c r="FC24">
        <v>1791605317.0999999</v>
      </c>
      <c r="FD24">
        <v>1791605317.0999999</v>
      </c>
      <c r="FE24">
        <v>48</v>
      </c>
      <c r="FF24">
        <v>0.09</v>
      </c>
      <c r="FG24">
        <v>2E-3</v>
      </c>
      <c r="FH24">
        <v>1.1599999999999999</v>
      </c>
      <c r="FI24">
        <v>-0.17399999999999999</v>
      </c>
      <c r="FJ24">
        <v>700</v>
      </c>
      <c r="FK24">
        <v>16</v>
      </c>
      <c r="FL24">
        <v>0.12</v>
      </c>
      <c r="FM24">
        <v>0.03</v>
      </c>
      <c r="FN24">
        <v>24.2295633424432</v>
      </c>
      <c r="FO24">
        <v>9.7622194753754596E-2</v>
      </c>
      <c r="FP24">
        <v>0.111149892122932</v>
      </c>
      <c r="FQ24">
        <v>1</v>
      </c>
      <c r="FR24">
        <v>-10.540800000000001</v>
      </c>
      <c r="FS24">
        <v>0.15361804511277799</v>
      </c>
      <c r="FT24">
        <v>4.7630127020615899E-2</v>
      </c>
      <c r="FU24">
        <v>1</v>
      </c>
      <c r="FV24">
        <v>347.071764705882</v>
      </c>
      <c r="FW24">
        <v>-1.0651489696715799</v>
      </c>
      <c r="FX24">
        <v>0.21503119593425099</v>
      </c>
      <c r="FY24">
        <v>-1</v>
      </c>
      <c r="FZ24">
        <v>2</v>
      </c>
      <c r="GA24">
        <v>2</v>
      </c>
      <c r="GB24" t="s">
        <v>419</v>
      </c>
      <c r="GC24">
        <v>3.1233900000000001</v>
      </c>
      <c r="GD24">
        <v>2.7652800000000002</v>
      </c>
      <c r="GE24">
        <v>0.12978100000000001</v>
      </c>
      <c r="GF24">
        <v>0.13458400000000001</v>
      </c>
      <c r="GG24">
        <v>9.2580099999999999E-2</v>
      </c>
      <c r="GH24">
        <v>9.0811000000000003E-2</v>
      </c>
      <c r="GI24">
        <v>16938.400000000001</v>
      </c>
      <c r="GJ24">
        <v>25396.6</v>
      </c>
      <c r="GK24">
        <v>22746.400000000001</v>
      </c>
      <c r="GL24">
        <v>30072.400000000001</v>
      </c>
      <c r="GM24">
        <v>33867.800000000003</v>
      </c>
      <c r="GN24">
        <v>34066.300000000003</v>
      </c>
      <c r="GO24">
        <v>43047.1</v>
      </c>
      <c r="GP24">
        <v>42832.3</v>
      </c>
      <c r="GQ24">
        <v>1.9668300000000001</v>
      </c>
      <c r="GR24">
        <v>1.8006800000000001</v>
      </c>
      <c r="GS24">
        <v>7.5437100000000007E-2</v>
      </c>
      <c r="GT24">
        <v>0</v>
      </c>
      <c r="GU24">
        <v>23.756599999999999</v>
      </c>
      <c r="GV24">
        <v>999.9</v>
      </c>
      <c r="GW24">
        <v>38.323</v>
      </c>
      <c r="GX24">
        <v>33.616</v>
      </c>
      <c r="GY24">
        <v>19.802700000000002</v>
      </c>
      <c r="GZ24">
        <v>63.447299999999998</v>
      </c>
      <c r="HA24">
        <v>34.5032</v>
      </c>
      <c r="HB24">
        <v>1</v>
      </c>
      <c r="HC24">
        <v>0.106766</v>
      </c>
      <c r="HD24">
        <v>2.3251400000000002</v>
      </c>
      <c r="HE24">
        <v>20.212800000000001</v>
      </c>
      <c r="HF24">
        <v>5.2310699999999999</v>
      </c>
      <c r="HG24">
        <v>11.962</v>
      </c>
      <c r="HH24">
        <v>4.9692499999999997</v>
      </c>
      <c r="HI24">
        <v>3.29528</v>
      </c>
      <c r="HJ24">
        <v>9999</v>
      </c>
      <c r="HK24">
        <v>9999</v>
      </c>
      <c r="HL24">
        <v>999.9</v>
      </c>
      <c r="HM24">
        <v>9999</v>
      </c>
      <c r="HN24">
        <v>4.96861</v>
      </c>
      <c r="HO24">
        <v>1.8627899999999999</v>
      </c>
      <c r="HP24">
        <v>1.86432</v>
      </c>
      <c r="HQ24">
        <v>1.86615</v>
      </c>
      <c r="HR24">
        <v>1.8631500000000001</v>
      </c>
      <c r="HS24">
        <v>1.8668899999999999</v>
      </c>
      <c r="HT24">
        <v>1.8636299999999999</v>
      </c>
      <c r="HU24">
        <v>1.86554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1.157</v>
      </c>
      <c r="IJ24">
        <v>-0.14369999999999999</v>
      </c>
      <c r="IK24">
        <v>0.66054513364770295</v>
      </c>
      <c r="IL24">
        <v>1.61658254425633E-3</v>
      </c>
      <c r="IM24">
        <v>-1.89604851270483E-6</v>
      </c>
      <c r="IN24">
        <v>8.6681353432279101E-10</v>
      </c>
      <c r="IO24">
        <v>-7.09867654569203E-2</v>
      </c>
      <c r="IP24">
        <v>-3.5871989026399903E-2</v>
      </c>
      <c r="IQ24">
        <v>1.9028800927848801E-3</v>
      </c>
      <c r="IR24">
        <v>-4.7539144078026999E-6</v>
      </c>
      <c r="IS24">
        <v>1</v>
      </c>
      <c r="IT24">
        <v>1704</v>
      </c>
      <c r="IU24">
        <v>4</v>
      </c>
      <c r="IV24">
        <v>25</v>
      </c>
      <c r="IW24">
        <v>1.2</v>
      </c>
      <c r="IX24">
        <v>1.2</v>
      </c>
      <c r="IY24">
        <v>1.63818</v>
      </c>
      <c r="IZ24">
        <v>2.5769000000000002</v>
      </c>
      <c r="JA24">
        <v>1.3476600000000001</v>
      </c>
      <c r="JB24">
        <v>2.2583000000000002</v>
      </c>
      <c r="JC24">
        <v>1.5502899999999999</v>
      </c>
      <c r="JD24">
        <v>2.4414099999999999</v>
      </c>
      <c r="JE24">
        <v>37.867899999999999</v>
      </c>
      <c r="JF24">
        <v>15.962</v>
      </c>
      <c r="JG24">
        <v>18</v>
      </c>
      <c r="JH24">
        <v>501.60399999999998</v>
      </c>
      <c r="JI24">
        <v>471.57</v>
      </c>
      <c r="JJ24">
        <v>21.385400000000001</v>
      </c>
      <c r="JK24">
        <v>28.585100000000001</v>
      </c>
      <c r="JL24">
        <v>30</v>
      </c>
      <c r="JM24">
        <v>28.570499999999999</v>
      </c>
      <c r="JN24">
        <v>28.581700000000001</v>
      </c>
      <c r="JO24">
        <v>32.791600000000003</v>
      </c>
      <c r="JP24">
        <v>25.578399999999998</v>
      </c>
      <c r="JQ24">
        <v>34.485900000000001</v>
      </c>
      <c r="JR24">
        <v>21.392900000000001</v>
      </c>
      <c r="JS24">
        <v>700</v>
      </c>
      <c r="JT24">
        <v>16.036799999999999</v>
      </c>
      <c r="JU24">
        <v>101.637</v>
      </c>
      <c r="JV24">
        <v>97.260999999999996</v>
      </c>
    </row>
    <row r="25" spans="1:282" x14ac:dyDescent="0.3">
      <c r="A25">
        <v>9</v>
      </c>
      <c r="B25">
        <v>1791605539.0999999</v>
      </c>
      <c r="C25">
        <v>1017</v>
      </c>
      <c r="D25" t="s">
        <v>444</v>
      </c>
      <c r="E25" t="s">
        <v>445</v>
      </c>
      <c r="F25">
        <v>5</v>
      </c>
      <c r="G25">
        <v>1791605536.0999999</v>
      </c>
      <c r="H25">
        <f t="shared" si="0"/>
        <v>2.0957695073249545E-3</v>
      </c>
      <c r="I25">
        <f t="shared" si="1"/>
        <v>2.0957695073249547</v>
      </c>
      <c r="J25">
        <f t="shared" si="2"/>
        <v>25.892293989728532</v>
      </c>
      <c r="K25">
        <f t="shared" si="3"/>
        <v>988.73739999999998</v>
      </c>
      <c r="L25">
        <f t="shared" si="4"/>
        <v>681.08547814785527</v>
      </c>
      <c r="M25">
        <f t="shared" si="5"/>
        <v>69.005382156504069</v>
      </c>
      <c r="N25">
        <f t="shared" si="6"/>
        <v>100.17568180277178</v>
      </c>
      <c r="O25">
        <f t="shared" si="7"/>
        <v>0.14706829053021067</v>
      </c>
      <c r="P25">
        <f t="shared" si="8"/>
        <v>3.0323555751779754</v>
      </c>
      <c r="Q25">
        <f t="shared" si="9"/>
        <v>0.14321754099533585</v>
      </c>
      <c r="R25">
        <f t="shared" si="10"/>
        <v>8.9848539734918492E-2</v>
      </c>
      <c r="S25">
        <f t="shared" si="11"/>
        <v>241.73524700294035</v>
      </c>
      <c r="T25">
        <f t="shared" si="12"/>
        <v>25.761487805504078</v>
      </c>
      <c r="U25">
        <f t="shared" si="13"/>
        <v>25.024699999999999</v>
      </c>
      <c r="V25">
        <f t="shared" si="14"/>
        <v>3.1843629701853664</v>
      </c>
      <c r="W25">
        <f t="shared" si="15"/>
        <v>54.95391908391025</v>
      </c>
      <c r="X25">
        <f t="shared" si="16"/>
        <v>1.7377609586908607</v>
      </c>
      <c r="Y25">
        <f t="shared" si="17"/>
        <v>3.1622147931568598</v>
      </c>
      <c r="Z25">
        <f t="shared" si="18"/>
        <v>1.4466020114945057</v>
      </c>
      <c r="AA25">
        <f t="shared" si="19"/>
        <v>-92.423435273030492</v>
      </c>
      <c r="AB25">
        <f t="shared" si="20"/>
        <v>-19.133740605123073</v>
      </c>
      <c r="AC25">
        <f t="shared" si="21"/>
        <v>-1.3342336842843325</v>
      </c>
      <c r="AD25">
        <f t="shared" si="22"/>
        <v>128.84383744050245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53934.163851584737</v>
      </c>
      <c r="AJ25" t="s">
        <v>416</v>
      </c>
      <c r="AK25" t="s">
        <v>416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1261.2023994833889</v>
      </c>
      <c r="AW25">
        <f t="shared" si="29"/>
        <v>25.892293989728532</v>
      </c>
      <c r="AX25" t="e">
        <f t="shared" si="30"/>
        <v>#DIV/0!</v>
      </c>
      <c r="AY25">
        <f t="shared" si="31"/>
        <v>2.0529848341816096E-2</v>
      </c>
      <c r="AZ25" t="e">
        <f t="shared" si="32"/>
        <v>#DIV/0!</v>
      </c>
      <c r="BA25" t="e">
        <f t="shared" si="33"/>
        <v>#DIV/0!</v>
      </c>
      <c r="BB25" t="s">
        <v>416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1499.99</v>
      </c>
      <c r="CU25">
        <f t="shared" si="43"/>
        <v>1261.2023994833889</v>
      </c>
      <c r="CV25">
        <f t="shared" si="44"/>
        <v>0.84080720503695949</v>
      </c>
      <c r="CW25">
        <f t="shared" si="45"/>
        <v>0.16115790572133171</v>
      </c>
      <c r="CX25">
        <v>2</v>
      </c>
      <c r="CY25">
        <v>0.5</v>
      </c>
      <c r="CZ25" t="s">
        <v>417</v>
      </c>
      <c r="DA25">
        <v>2</v>
      </c>
      <c r="DB25">
        <v>1791605536.0999999</v>
      </c>
      <c r="DC25">
        <v>988.73739999999998</v>
      </c>
      <c r="DD25">
        <v>999.92359999999996</v>
      </c>
      <c r="DE25">
        <v>17.151759999999999</v>
      </c>
      <c r="DF25">
        <v>16.3278</v>
      </c>
      <c r="DG25">
        <v>987.55039999999997</v>
      </c>
      <c r="DH25">
        <v>17.295179999999998</v>
      </c>
      <c r="DI25">
        <v>499.98140000000001</v>
      </c>
      <c r="DJ25">
        <v>101.217</v>
      </c>
      <c r="DK25">
        <v>9.9772079999999999E-2</v>
      </c>
      <c r="DL25">
        <v>24.90766</v>
      </c>
      <c r="DM25">
        <v>25.024699999999999</v>
      </c>
      <c r="DN25">
        <v>999.9</v>
      </c>
      <c r="DO25">
        <v>0</v>
      </c>
      <c r="DP25">
        <v>0</v>
      </c>
      <c r="DQ25">
        <v>10007.27</v>
      </c>
      <c r="DR25">
        <v>0</v>
      </c>
      <c r="DS25">
        <v>7.6378740000000001</v>
      </c>
      <c r="DT25">
        <v>-11.18624</v>
      </c>
      <c r="DU25">
        <v>1005.992</v>
      </c>
      <c r="DV25">
        <v>1016.522</v>
      </c>
      <c r="DW25">
        <v>0.82395640000000003</v>
      </c>
      <c r="DX25">
        <v>999.92359999999996</v>
      </c>
      <c r="DY25">
        <v>16.3278</v>
      </c>
      <c r="DZ25">
        <v>1.736048</v>
      </c>
      <c r="EA25">
        <v>1.65265</v>
      </c>
      <c r="EB25">
        <v>15.222580000000001</v>
      </c>
      <c r="EC25">
        <v>14.458679999999999</v>
      </c>
      <c r="ED25">
        <v>1499.99</v>
      </c>
      <c r="EE25">
        <v>0.97300620000000004</v>
      </c>
      <c r="EF25">
        <v>2.6993799999999998E-2</v>
      </c>
      <c r="EG25">
        <v>0</v>
      </c>
      <c r="EH25">
        <v>348.38740000000001</v>
      </c>
      <c r="EI25">
        <v>5.0006399999999998</v>
      </c>
      <c r="EJ25">
        <v>5382.1620000000003</v>
      </c>
      <c r="EK25">
        <v>15439.1</v>
      </c>
      <c r="EL25">
        <v>40.811999999999998</v>
      </c>
      <c r="EM25">
        <v>41.5</v>
      </c>
      <c r="EN25">
        <v>41.1374</v>
      </c>
      <c r="EO25">
        <v>41.174599999999998</v>
      </c>
      <c r="EP25">
        <v>42.311999999999998</v>
      </c>
      <c r="EQ25">
        <v>1454.63</v>
      </c>
      <c r="ER25">
        <v>40.36</v>
      </c>
      <c r="ES25">
        <v>0</v>
      </c>
      <c r="ET25">
        <v>1791605539.5</v>
      </c>
      <c r="EU25">
        <v>0</v>
      </c>
      <c r="EV25">
        <v>348.34931999999998</v>
      </c>
      <c r="EW25">
        <v>1.55992307425729</v>
      </c>
      <c r="EX25">
        <v>10.231538432306399</v>
      </c>
      <c r="EY25">
        <v>5381.6995999999999</v>
      </c>
      <c r="EZ25">
        <v>15</v>
      </c>
      <c r="FA25">
        <v>1791605448.0999999</v>
      </c>
      <c r="FB25" t="s">
        <v>446</v>
      </c>
      <c r="FC25">
        <v>1791605448.0999999</v>
      </c>
      <c r="FD25">
        <v>1791605446.0999999</v>
      </c>
      <c r="FE25">
        <v>49</v>
      </c>
      <c r="FF25">
        <v>-5.5E-2</v>
      </c>
      <c r="FG25">
        <v>3.0000000000000001E-3</v>
      </c>
      <c r="FH25">
        <v>1.1919999999999999</v>
      </c>
      <c r="FI25">
        <v>-0.16900000000000001</v>
      </c>
      <c r="FJ25">
        <v>1000</v>
      </c>
      <c r="FK25">
        <v>16</v>
      </c>
      <c r="FL25">
        <v>0.19</v>
      </c>
      <c r="FM25">
        <v>0.06</v>
      </c>
      <c r="FN25">
        <v>26.047455105926598</v>
      </c>
      <c r="FO25">
        <v>-0.27931463878639001</v>
      </c>
      <c r="FP25">
        <v>0.10549025220187799</v>
      </c>
      <c r="FQ25">
        <v>1</v>
      </c>
      <c r="FR25">
        <v>-11.274095000000001</v>
      </c>
      <c r="FS25">
        <v>0.63834135338346298</v>
      </c>
      <c r="FT25">
        <v>6.9729824859955103E-2</v>
      </c>
      <c r="FU25">
        <v>0</v>
      </c>
      <c r="FV25">
        <v>348.20135294117699</v>
      </c>
      <c r="FW25">
        <v>2.2492284151031501</v>
      </c>
      <c r="FX25">
        <v>0.289502604108266</v>
      </c>
      <c r="FY25">
        <v>-1</v>
      </c>
      <c r="FZ25">
        <v>1</v>
      </c>
      <c r="GA25">
        <v>2</v>
      </c>
      <c r="GB25" t="s">
        <v>447</v>
      </c>
      <c r="GC25">
        <v>3.12337</v>
      </c>
      <c r="GD25">
        <v>2.7654100000000001</v>
      </c>
      <c r="GE25">
        <v>0.164357</v>
      </c>
      <c r="GF25">
        <v>0.16985500000000001</v>
      </c>
      <c r="GG25">
        <v>9.2145000000000005E-2</v>
      </c>
      <c r="GH25">
        <v>9.1890100000000002E-2</v>
      </c>
      <c r="GI25">
        <v>16265.7</v>
      </c>
      <c r="GJ25">
        <v>24362.799999999999</v>
      </c>
      <c r="GK25">
        <v>22746.9</v>
      </c>
      <c r="GL25">
        <v>30074.2</v>
      </c>
      <c r="GM25">
        <v>33887.5</v>
      </c>
      <c r="GN25">
        <v>34030</v>
      </c>
      <c r="GO25">
        <v>43048.4</v>
      </c>
      <c r="GP25">
        <v>42834.6</v>
      </c>
      <c r="GQ25">
        <v>1.9668000000000001</v>
      </c>
      <c r="GR25">
        <v>1.8030999999999999</v>
      </c>
      <c r="GS25">
        <v>8.0309800000000001E-2</v>
      </c>
      <c r="GT25">
        <v>0</v>
      </c>
      <c r="GU25">
        <v>23.6997</v>
      </c>
      <c r="GV25">
        <v>999.9</v>
      </c>
      <c r="GW25">
        <v>38.231000000000002</v>
      </c>
      <c r="GX25">
        <v>33.585999999999999</v>
      </c>
      <c r="GY25">
        <v>19.7209</v>
      </c>
      <c r="GZ25">
        <v>63.6173</v>
      </c>
      <c r="HA25">
        <v>33.886200000000002</v>
      </c>
      <c r="HB25">
        <v>1</v>
      </c>
      <c r="HC25">
        <v>0.107073</v>
      </c>
      <c r="HD25">
        <v>2.84843</v>
      </c>
      <c r="HE25">
        <v>20.205300000000001</v>
      </c>
      <c r="HF25">
        <v>5.2276199999999999</v>
      </c>
      <c r="HG25">
        <v>11.962</v>
      </c>
      <c r="HH25">
        <v>4.9664000000000001</v>
      </c>
      <c r="HI25">
        <v>3.2945000000000002</v>
      </c>
      <c r="HJ25">
        <v>9999</v>
      </c>
      <c r="HK25">
        <v>9999</v>
      </c>
      <c r="HL25">
        <v>999.9</v>
      </c>
      <c r="HM25">
        <v>9999</v>
      </c>
      <c r="HN25">
        <v>4.9686199999999996</v>
      </c>
      <c r="HO25">
        <v>1.8627899999999999</v>
      </c>
      <c r="HP25">
        <v>1.86432</v>
      </c>
      <c r="HQ25">
        <v>1.86616</v>
      </c>
      <c r="HR25">
        <v>1.8632</v>
      </c>
      <c r="HS25">
        <v>1.8669100000000001</v>
      </c>
      <c r="HT25">
        <v>1.8636600000000001</v>
      </c>
      <c r="HU25">
        <v>1.86554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1.1870000000000001</v>
      </c>
      <c r="IJ25">
        <v>-0.14330000000000001</v>
      </c>
      <c r="IK25">
        <v>0.60484734578156596</v>
      </c>
      <c r="IL25">
        <v>1.61658254425633E-3</v>
      </c>
      <c r="IM25">
        <v>-1.89604851270483E-6</v>
      </c>
      <c r="IN25">
        <v>8.6681353432279101E-10</v>
      </c>
      <c r="IO25">
        <v>-6.7606339536748494E-2</v>
      </c>
      <c r="IP25">
        <v>-3.5871989026399903E-2</v>
      </c>
      <c r="IQ25">
        <v>1.9028800927848801E-3</v>
      </c>
      <c r="IR25">
        <v>-4.7539144078026999E-6</v>
      </c>
      <c r="IS25">
        <v>1</v>
      </c>
      <c r="IT25">
        <v>1704</v>
      </c>
      <c r="IU25">
        <v>4</v>
      </c>
      <c r="IV25">
        <v>25</v>
      </c>
      <c r="IW25">
        <v>1.5</v>
      </c>
      <c r="IX25">
        <v>1.6</v>
      </c>
      <c r="IY25">
        <v>2.1814</v>
      </c>
      <c r="IZ25">
        <v>2.5720200000000002</v>
      </c>
      <c r="JA25">
        <v>1.3476600000000001</v>
      </c>
      <c r="JB25">
        <v>2.2595200000000002</v>
      </c>
      <c r="JC25">
        <v>1.5502899999999999</v>
      </c>
      <c r="JD25">
        <v>2.4560499999999998</v>
      </c>
      <c r="JE25">
        <v>37.722799999999999</v>
      </c>
      <c r="JF25">
        <v>15.9358</v>
      </c>
      <c r="JG25">
        <v>18</v>
      </c>
      <c r="JH25">
        <v>501.56799999999998</v>
      </c>
      <c r="JI25">
        <v>473.245</v>
      </c>
      <c r="JJ25">
        <v>20.8582</v>
      </c>
      <c r="JK25">
        <v>28.570799999999998</v>
      </c>
      <c r="JL25">
        <v>29.9999</v>
      </c>
      <c r="JM25">
        <v>28.568100000000001</v>
      </c>
      <c r="JN25">
        <v>28.581700000000001</v>
      </c>
      <c r="JO25">
        <v>43.667299999999997</v>
      </c>
      <c r="JP25">
        <v>23.409500000000001</v>
      </c>
      <c r="JQ25">
        <v>34.485900000000001</v>
      </c>
      <c r="JR25">
        <v>20.846599999999999</v>
      </c>
      <c r="JS25">
        <v>1000</v>
      </c>
      <c r="JT25">
        <v>16.3613</v>
      </c>
      <c r="JU25">
        <v>101.64</v>
      </c>
      <c r="JV25">
        <v>97.266400000000004</v>
      </c>
    </row>
    <row r="26" spans="1:282" x14ac:dyDescent="0.3">
      <c r="A26">
        <v>10</v>
      </c>
      <c r="B26">
        <v>1791605661</v>
      </c>
      <c r="C26">
        <v>1138.9000000953699</v>
      </c>
      <c r="D26" t="s">
        <v>448</v>
      </c>
      <c r="E26" t="s">
        <v>449</v>
      </c>
      <c r="F26">
        <v>5</v>
      </c>
      <c r="G26">
        <v>1791605658</v>
      </c>
      <c r="H26">
        <f t="shared" si="0"/>
        <v>1.6306501240351901E-3</v>
      </c>
      <c r="I26">
        <f t="shared" si="1"/>
        <v>1.6306501240351901</v>
      </c>
      <c r="J26">
        <f t="shared" si="2"/>
        <v>26.852073927673956</v>
      </c>
      <c r="K26">
        <f t="shared" si="3"/>
        <v>1188.586</v>
      </c>
      <c r="L26">
        <f t="shared" si="4"/>
        <v>779.55575372372414</v>
      </c>
      <c r="M26">
        <f t="shared" si="5"/>
        <v>78.981172205601382</v>
      </c>
      <c r="N26">
        <f t="shared" si="6"/>
        <v>120.42232399510543</v>
      </c>
      <c r="O26">
        <f t="shared" si="7"/>
        <v>0.11329123787614535</v>
      </c>
      <c r="P26">
        <f t="shared" si="8"/>
        <v>3.0297636383427342</v>
      </c>
      <c r="Q26">
        <f t="shared" si="9"/>
        <v>0.11098934130788767</v>
      </c>
      <c r="R26">
        <f t="shared" si="10"/>
        <v>6.957125905517339E-2</v>
      </c>
      <c r="S26">
        <f t="shared" si="11"/>
        <v>241.73873934903307</v>
      </c>
      <c r="T26">
        <f t="shared" si="12"/>
        <v>25.789356916968003</v>
      </c>
      <c r="U26">
        <f t="shared" si="13"/>
        <v>25.02834</v>
      </c>
      <c r="V26">
        <f t="shared" si="14"/>
        <v>3.1850539570814984</v>
      </c>
      <c r="W26">
        <f t="shared" si="15"/>
        <v>55.088471984371857</v>
      </c>
      <c r="X26">
        <f t="shared" si="16"/>
        <v>1.7326551037465823</v>
      </c>
      <c r="Y26">
        <f t="shared" si="17"/>
        <v>3.1452226597211159</v>
      </c>
      <c r="Z26">
        <f t="shared" si="18"/>
        <v>1.4523988533349161</v>
      </c>
      <c r="AA26">
        <f t="shared" si="19"/>
        <v>-71.911670469951886</v>
      </c>
      <c r="AB26">
        <f t="shared" si="20"/>
        <v>-34.458336619349559</v>
      </c>
      <c r="AC26">
        <f t="shared" si="21"/>
        <v>-2.4038552225642524</v>
      </c>
      <c r="AD26">
        <f t="shared" si="22"/>
        <v>132.96487703716735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53869.483169652711</v>
      </c>
      <c r="AJ26" t="s">
        <v>416</v>
      </c>
      <c r="AK26" t="s">
        <v>416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1261.2223843259237</v>
      </c>
      <c r="AW26">
        <f t="shared" si="29"/>
        <v>26.852073927673956</v>
      </c>
      <c r="AX26" t="e">
        <f t="shared" si="30"/>
        <v>#DIV/0!</v>
      </c>
      <c r="AY26">
        <f t="shared" si="31"/>
        <v>2.1290514869846199E-2</v>
      </c>
      <c r="AZ26" t="e">
        <f t="shared" si="32"/>
        <v>#DIV/0!</v>
      </c>
      <c r="BA26" t="e">
        <f t="shared" si="33"/>
        <v>#DIV/0!</v>
      </c>
      <c r="BB26" t="s">
        <v>416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1500.0139999999999</v>
      </c>
      <c r="CU26">
        <f t="shared" si="43"/>
        <v>1261.2223843259237</v>
      </c>
      <c r="CV26">
        <f t="shared" si="44"/>
        <v>0.84080707535124588</v>
      </c>
      <c r="CW26">
        <f t="shared" si="45"/>
        <v>0.16115765542790472</v>
      </c>
      <c r="CX26">
        <v>2</v>
      </c>
      <c r="CY26">
        <v>0.5</v>
      </c>
      <c r="CZ26" t="s">
        <v>417</v>
      </c>
      <c r="DA26">
        <v>2</v>
      </c>
      <c r="DB26">
        <v>1791605658</v>
      </c>
      <c r="DC26">
        <v>1188.586</v>
      </c>
      <c r="DD26">
        <v>1200.1020000000001</v>
      </c>
      <c r="DE26">
        <v>17.101559999999999</v>
      </c>
      <c r="DF26">
        <v>16.460460000000001</v>
      </c>
      <c r="DG26">
        <v>1186.8979999999999</v>
      </c>
      <c r="DH26">
        <v>17.24314</v>
      </c>
      <c r="DI26">
        <v>500.00420000000003</v>
      </c>
      <c r="DJ26">
        <v>101.21559999999999</v>
      </c>
      <c r="DK26">
        <v>0.10001704</v>
      </c>
      <c r="DL26">
        <v>24.81738</v>
      </c>
      <c r="DM26">
        <v>25.02834</v>
      </c>
      <c r="DN26">
        <v>999.9</v>
      </c>
      <c r="DO26">
        <v>0</v>
      </c>
      <c r="DP26">
        <v>0</v>
      </c>
      <c r="DQ26">
        <v>9991.7440000000006</v>
      </c>
      <c r="DR26">
        <v>0</v>
      </c>
      <c r="DS26">
        <v>7.63842</v>
      </c>
      <c r="DT26">
        <v>-11.516159999999999</v>
      </c>
      <c r="DU26">
        <v>1209.2660000000001</v>
      </c>
      <c r="DV26">
        <v>1220.1859999999999</v>
      </c>
      <c r="DW26">
        <v>0.64110540000000005</v>
      </c>
      <c r="DX26">
        <v>1200.1020000000001</v>
      </c>
      <c r="DY26">
        <v>16.460460000000001</v>
      </c>
      <c r="DZ26">
        <v>1.7309460000000001</v>
      </c>
      <c r="EA26">
        <v>1.666058</v>
      </c>
      <c r="EB26">
        <v>15.17676</v>
      </c>
      <c r="EC26">
        <v>14.583740000000001</v>
      </c>
      <c r="ED26">
        <v>1500.0139999999999</v>
      </c>
      <c r="EE26">
        <v>0.97300699999999996</v>
      </c>
      <c r="EF26">
        <v>2.6993E-2</v>
      </c>
      <c r="EG26">
        <v>0</v>
      </c>
      <c r="EH26">
        <v>348.04719999999998</v>
      </c>
      <c r="EI26">
        <v>5.0006399999999998</v>
      </c>
      <c r="EJ26">
        <v>5378.54</v>
      </c>
      <c r="EK26">
        <v>15439.38</v>
      </c>
      <c r="EL26">
        <v>40.811999999999998</v>
      </c>
      <c r="EM26">
        <v>41.5</v>
      </c>
      <c r="EN26">
        <v>41.125</v>
      </c>
      <c r="EO26">
        <v>41.186999999999998</v>
      </c>
      <c r="EP26">
        <v>42.311999999999998</v>
      </c>
      <c r="EQ26">
        <v>1454.654</v>
      </c>
      <c r="ER26">
        <v>40.353999999999999</v>
      </c>
      <c r="ES26">
        <v>0</v>
      </c>
      <c r="ET26">
        <v>1791605661.9000001</v>
      </c>
      <c r="EU26">
        <v>0</v>
      </c>
      <c r="EV26">
        <v>348.11507999999998</v>
      </c>
      <c r="EW26">
        <v>-1.0138461572145001</v>
      </c>
      <c r="EX26">
        <v>5.5338461251956099</v>
      </c>
      <c r="EY26">
        <v>5378.1704</v>
      </c>
      <c r="EZ26">
        <v>15</v>
      </c>
      <c r="FA26">
        <v>1791605620</v>
      </c>
      <c r="FB26" t="s">
        <v>450</v>
      </c>
      <c r="FC26">
        <v>1791605620</v>
      </c>
      <c r="FD26">
        <v>1791605604</v>
      </c>
      <c r="FE26">
        <v>50</v>
      </c>
      <c r="FF26">
        <v>0.38100000000000001</v>
      </c>
      <c r="FG26">
        <v>3.0000000000000001E-3</v>
      </c>
      <c r="FH26">
        <v>1.694</v>
      </c>
      <c r="FI26">
        <v>-0.16</v>
      </c>
      <c r="FJ26">
        <v>1200</v>
      </c>
      <c r="FK26">
        <v>16</v>
      </c>
      <c r="FL26">
        <v>0.23</v>
      </c>
      <c r="FM26">
        <v>0.1</v>
      </c>
      <c r="FN26">
        <v>26.824094137441399</v>
      </c>
      <c r="FO26">
        <v>-0.563052387332308</v>
      </c>
      <c r="FP26">
        <v>0.206234675615278</v>
      </c>
      <c r="FQ26">
        <v>1</v>
      </c>
      <c r="FR26">
        <v>-11.52308</v>
      </c>
      <c r="FS26">
        <v>0.32463157894732703</v>
      </c>
      <c r="FT26">
        <v>8.0517734692426596E-2</v>
      </c>
      <c r="FU26">
        <v>1</v>
      </c>
      <c r="FV26">
        <v>348.01823529411803</v>
      </c>
      <c r="FW26">
        <v>1.77686783679995</v>
      </c>
      <c r="FX26">
        <v>0.27385817055157502</v>
      </c>
      <c r="FY26">
        <v>-1</v>
      </c>
      <c r="FZ26">
        <v>2</v>
      </c>
      <c r="GA26">
        <v>2</v>
      </c>
      <c r="GB26" t="s">
        <v>419</v>
      </c>
      <c r="GC26">
        <v>3.1234000000000002</v>
      </c>
      <c r="GD26">
        <v>2.7653400000000001</v>
      </c>
      <c r="GE26">
        <v>0.18418899999999999</v>
      </c>
      <c r="GF26">
        <v>0.19014200000000001</v>
      </c>
      <c r="GG26">
        <v>9.1908100000000006E-2</v>
      </c>
      <c r="GH26">
        <v>9.23794E-2</v>
      </c>
      <c r="GI26">
        <v>15879.2</v>
      </c>
      <c r="GJ26">
        <v>23767.3</v>
      </c>
      <c r="GK26">
        <v>22746.2</v>
      </c>
      <c r="GL26">
        <v>30074</v>
      </c>
      <c r="GM26">
        <v>33896.9</v>
      </c>
      <c r="GN26">
        <v>34012.800000000003</v>
      </c>
      <c r="GO26">
        <v>43047.3</v>
      </c>
      <c r="GP26">
        <v>42834.400000000001</v>
      </c>
      <c r="GQ26">
        <v>1.96685</v>
      </c>
      <c r="GR26">
        <v>1.8036000000000001</v>
      </c>
      <c r="GS26">
        <v>8.6389499999999994E-2</v>
      </c>
      <c r="GT26">
        <v>0</v>
      </c>
      <c r="GU26">
        <v>23.618300000000001</v>
      </c>
      <c r="GV26">
        <v>999.9</v>
      </c>
      <c r="GW26">
        <v>38.255000000000003</v>
      </c>
      <c r="GX26">
        <v>33.585999999999999</v>
      </c>
      <c r="GY26">
        <v>19.734400000000001</v>
      </c>
      <c r="GZ26">
        <v>63.177300000000002</v>
      </c>
      <c r="HA26">
        <v>34.447099999999999</v>
      </c>
      <c r="HB26">
        <v>1</v>
      </c>
      <c r="HC26">
        <v>0.10603899999999999</v>
      </c>
      <c r="HD26">
        <v>2.65598</v>
      </c>
      <c r="HE26">
        <v>20.209099999999999</v>
      </c>
      <c r="HF26">
        <v>5.23421</v>
      </c>
      <c r="HG26">
        <v>11.962</v>
      </c>
      <c r="HH26">
        <v>4.9690500000000002</v>
      </c>
      <c r="HI26">
        <v>3.29528</v>
      </c>
      <c r="HJ26">
        <v>9999</v>
      </c>
      <c r="HK26">
        <v>9999</v>
      </c>
      <c r="HL26">
        <v>999.9</v>
      </c>
      <c r="HM26">
        <v>9999</v>
      </c>
      <c r="HN26">
        <v>4.9686199999999996</v>
      </c>
      <c r="HO26">
        <v>1.8627899999999999</v>
      </c>
      <c r="HP26">
        <v>1.86432</v>
      </c>
      <c r="HQ26">
        <v>1.86615</v>
      </c>
      <c r="HR26">
        <v>1.8631500000000001</v>
      </c>
      <c r="HS26">
        <v>1.8668800000000001</v>
      </c>
      <c r="HT26">
        <v>1.8636200000000001</v>
      </c>
      <c r="HU26">
        <v>1.86554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1.68</v>
      </c>
      <c r="IJ26">
        <v>-0.14169999999999999</v>
      </c>
      <c r="IK26">
        <v>0.98779694735519097</v>
      </c>
      <c r="IL26">
        <v>1.61658254425633E-3</v>
      </c>
      <c r="IM26">
        <v>-1.89604851270483E-6</v>
      </c>
      <c r="IN26">
        <v>8.6681353432279101E-10</v>
      </c>
      <c r="IO26">
        <v>-6.4448302732260598E-2</v>
      </c>
      <c r="IP26">
        <v>-3.5871989026399903E-2</v>
      </c>
      <c r="IQ26">
        <v>1.9028800927848801E-3</v>
      </c>
      <c r="IR26">
        <v>-4.7539144078026999E-6</v>
      </c>
      <c r="IS26">
        <v>1</v>
      </c>
      <c r="IT26">
        <v>1704</v>
      </c>
      <c r="IU26">
        <v>4</v>
      </c>
      <c r="IV26">
        <v>25</v>
      </c>
      <c r="IW26">
        <v>0.7</v>
      </c>
      <c r="IX26">
        <v>0.9</v>
      </c>
      <c r="IY26">
        <v>2.52563</v>
      </c>
      <c r="IZ26">
        <v>2.5610400000000002</v>
      </c>
      <c r="JA26">
        <v>1.3464400000000001</v>
      </c>
      <c r="JB26">
        <v>2.2583000000000002</v>
      </c>
      <c r="JC26">
        <v>1.5502899999999999</v>
      </c>
      <c r="JD26">
        <v>2.5317400000000001</v>
      </c>
      <c r="JE26">
        <v>37.626300000000001</v>
      </c>
      <c r="JF26">
        <v>15.9358</v>
      </c>
      <c r="JG26">
        <v>18</v>
      </c>
      <c r="JH26">
        <v>501.577</v>
      </c>
      <c r="JI26">
        <v>473.59100000000001</v>
      </c>
      <c r="JJ26">
        <v>21.024899999999999</v>
      </c>
      <c r="JK26">
        <v>28.5655</v>
      </c>
      <c r="JL26">
        <v>30.000499999999999</v>
      </c>
      <c r="JM26">
        <v>28.5656</v>
      </c>
      <c r="JN26">
        <v>28.581700000000001</v>
      </c>
      <c r="JO26">
        <v>50.539499999999997</v>
      </c>
      <c r="JP26">
        <v>23.235700000000001</v>
      </c>
      <c r="JQ26">
        <v>34.485900000000001</v>
      </c>
      <c r="JR26">
        <v>21.001200000000001</v>
      </c>
      <c r="JS26">
        <v>1200</v>
      </c>
      <c r="JT26">
        <v>16.408000000000001</v>
      </c>
      <c r="JU26">
        <v>101.637</v>
      </c>
      <c r="JV26">
        <v>97.266000000000005</v>
      </c>
    </row>
    <row r="27" spans="1:282" x14ac:dyDescent="0.3">
      <c r="A27">
        <v>11</v>
      </c>
      <c r="B27">
        <v>1791605782</v>
      </c>
      <c r="C27">
        <v>1259.9000000953699</v>
      </c>
      <c r="D27" t="s">
        <v>451</v>
      </c>
      <c r="E27" t="s">
        <v>452</v>
      </c>
      <c r="F27">
        <v>5</v>
      </c>
      <c r="G27">
        <v>1791605779</v>
      </c>
      <c r="H27">
        <f t="shared" si="0"/>
        <v>1.0794108447962174E-3</v>
      </c>
      <c r="I27">
        <f t="shared" si="1"/>
        <v>1.0794108447962174</v>
      </c>
      <c r="J27">
        <f t="shared" si="2"/>
        <v>26.063721809788408</v>
      </c>
      <c r="K27">
        <f t="shared" si="3"/>
        <v>1488.9179999999999</v>
      </c>
      <c r="L27">
        <f t="shared" si="4"/>
        <v>890.28288279574576</v>
      </c>
      <c r="M27">
        <f t="shared" si="5"/>
        <v>90.198457938950511</v>
      </c>
      <c r="N27">
        <f t="shared" si="6"/>
        <v>150.84880344527281</v>
      </c>
      <c r="O27">
        <f t="shared" si="7"/>
        <v>7.3941027637926843E-2</v>
      </c>
      <c r="P27">
        <f t="shared" si="8"/>
        <v>3.0314398770185811</v>
      </c>
      <c r="Q27">
        <f t="shared" si="9"/>
        <v>7.2953511468281426E-2</v>
      </c>
      <c r="R27">
        <f t="shared" si="10"/>
        <v>4.5683570243802762E-2</v>
      </c>
      <c r="S27">
        <f t="shared" si="11"/>
        <v>241.73627646332989</v>
      </c>
      <c r="T27">
        <f t="shared" si="12"/>
        <v>25.830231860801486</v>
      </c>
      <c r="U27">
        <f t="shared" si="13"/>
        <v>25.0214</v>
      </c>
      <c r="V27">
        <f t="shared" si="14"/>
        <v>3.1837366392403297</v>
      </c>
      <c r="W27">
        <f t="shared" si="15"/>
        <v>55.037826204937403</v>
      </c>
      <c r="X27">
        <f t="shared" si="16"/>
        <v>1.7209868405133599</v>
      </c>
      <c r="Y27">
        <f t="shared" si="17"/>
        <v>3.126916448526035</v>
      </c>
      <c r="Z27">
        <f t="shared" si="18"/>
        <v>1.4627497987269698</v>
      </c>
      <c r="AA27">
        <f t="shared" si="19"/>
        <v>-47.602018255513187</v>
      </c>
      <c r="AB27">
        <f t="shared" si="20"/>
        <v>-49.316934531451686</v>
      </c>
      <c r="AC27">
        <f t="shared" si="21"/>
        <v>-3.4366951054526771</v>
      </c>
      <c r="AD27">
        <f t="shared" si="22"/>
        <v>141.38062857091234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53939.52854134082</v>
      </c>
      <c r="AJ27" t="s">
        <v>416</v>
      </c>
      <c r="AK27" t="s">
        <v>416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1261.2105059395492</v>
      </c>
      <c r="AW27">
        <f t="shared" si="29"/>
        <v>26.063721809788408</v>
      </c>
      <c r="AX27" t="e">
        <f t="shared" si="30"/>
        <v>#DIV/0!</v>
      </c>
      <c r="AY27">
        <f t="shared" si="31"/>
        <v>2.0665639627202456E-2</v>
      </c>
      <c r="AZ27" t="e">
        <f t="shared" si="32"/>
        <v>#DIV/0!</v>
      </c>
      <c r="BA27" t="e">
        <f t="shared" si="33"/>
        <v>#DIV/0!</v>
      </c>
      <c r="BB27" t="s">
        <v>416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1500</v>
      </c>
      <c r="CU27">
        <f t="shared" si="43"/>
        <v>1261.2105059395492</v>
      </c>
      <c r="CV27">
        <f t="shared" si="44"/>
        <v>0.84080700395969943</v>
      </c>
      <c r="CW27">
        <f t="shared" si="45"/>
        <v>0.16115751764221992</v>
      </c>
      <c r="CX27">
        <v>2</v>
      </c>
      <c r="CY27">
        <v>0.5</v>
      </c>
      <c r="CZ27" t="s">
        <v>417</v>
      </c>
      <c r="DA27">
        <v>2</v>
      </c>
      <c r="DB27">
        <v>1791605779</v>
      </c>
      <c r="DC27">
        <v>1488.9179999999999</v>
      </c>
      <c r="DD27">
        <v>1499.9839999999999</v>
      </c>
      <c r="DE27">
        <v>16.986599999999999</v>
      </c>
      <c r="DF27">
        <v>16.562259999999998</v>
      </c>
      <c r="DG27">
        <v>1486.588</v>
      </c>
      <c r="DH27">
        <v>17.126999999999999</v>
      </c>
      <c r="DI27">
        <v>500.1062</v>
      </c>
      <c r="DJ27">
        <v>101.21420000000001</v>
      </c>
      <c r="DK27">
        <v>0.10017959999999999</v>
      </c>
      <c r="DL27">
        <v>24.719639999999998</v>
      </c>
      <c r="DM27">
        <v>25.0214</v>
      </c>
      <c r="DN27">
        <v>999.9</v>
      </c>
      <c r="DO27">
        <v>0</v>
      </c>
      <c r="DP27">
        <v>0</v>
      </c>
      <c r="DQ27">
        <v>10002.01</v>
      </c>
      <c r="DR27">
        <v>0</v>
      </c>
      <c r="DS27">
        <v>7.63842</v>
      </c>
      <c r="DT27">
        <v>-11.060359999999999</v>
      </c>
      <c r="DU27">
        <v>1514.65</v>
      </c>
      <c r="DV27">
        <v>1525.2439999999999</v>
      </c>
      <c r="DW27">
        <v>0.42429420000000001</v>
      </c>
      <c r="DX27">
        <v>1499.9839999999999</v>
      </c>
      <c r="DY27">
        <v>16.562259999999998</v>
      </c>
      <c r="DZ27">
        <v>1.719284</v>
      </c>
      <c r="EA27">
        <v>1.6763399999999999</v>
      </c>
      <c r="EB27">
        <v>15.07166</v>
      </c>
      <c r="EC27">
        <v>14.679080000000001</v>
      </c>
      <c r="ED27">
        <v>1500</v>
      </c>
      <c r="EE27">
        <v>0.97300699999999996</v>
      </c>
      <c r="EF27">
        <v>2.6993E-2</v>
      </c>
      <c r="EG27">
        <v>0</v>
      </c>
      <c r="EH27">
        <v>348.63600000000002</v>
      </c>
      <c r="EI27">
        <v>5.0006399999999998</v>
      </c>
      <c r="EJ27">
        <v>5387.0919999999996</v>
      </c>
      <c r="EK27">
        <v>15439.26</v>
      </c>
      <c r="EL27">
        <v>40.811999999999998</v>
      </c>
      <c r="EM27">
        <v>41.5124</v>
      </c>
      <c r="EN27">
        <v>41.125</v>
      </c>
      <c r="EO27">
        <v>41.186999999999998</v>
      </c>
      <c r="EP27">
        <v>42.311999999999998</v>
      </c>
      <c r="EQ27">
        <v>1454.6420000000001</v>
      </c>
      <c r="ER27">
        <v>40.35</v>
      </c>
      <c r="ES27">
        <v>0</v>
      </c>
      <c r="ET27">
        <v>1791605782.5</v>
      </c>
      <c r="EU27">
        <v>0</v>
      </c>
      <c r="EV27">
        <v>348.64530769230799</v>
      </c>
      <c r="EW27">
        <v>-0.89422222842624599</v>
      </c>
      <c r="EX27">
        <v>-2.1011965835720199</v>
      </c>
      <c r="EY27">
        <v>5386.7692307692296</v>
      </c>
      <c r="EZ27">
        <v>15</v>
      </c>
      <c r="FA27">
        <v>1791605729</v>
      </c>
      <c r="FB27" t="s">
        <v>453</v>
      </c>
      <c r="FC27">
        <v>1791605729</v>
      </c>
      <c r="FD27">
        <v>1791605719</v>
      </c>
      <c r="FE27">
        <v>51</v>
      </c>
      <c r="FF27">
        <v>0.28499999999999998</v>
      </c>
      <c r="FG27">
        <v>4.0000000000000001E-3</v>
      </c>
      <c r="FH27">
        <v>2.3540000000000001</v>
      </c>
      <c r="FI27">
        <v>-0.153</v>
      </c>
      <c r="FJ27">
        <v>1500</v>
      </c>
      <c r="FK27">
        <v>16</v>
      </c>
      <c r="FL27">
        <v>0.31</v>
      </c>
      <c r="FM27">
        <v>0.15</v>
      </c>
      <c r="FN27">
        <v>25.808139229146601</v>
      </c>
      <c r="FO27">
        <v>0.78490481081036401</v>
      </c>
      <c r="FP27">
        <v>0.20983617414619099</v>
      </c>
      <c r="FQ27">
        <v>0</v>
      </c>
      <c r="FR27">
        <v>-10.979775</v>
      </c>
      <c r="FS27">
        <v>-0.36013984962406498</v>
      </c>
      <c r="FT27">
        <v>8.4508359793573101E-2</v>
      </c>
      <c r="FU27">
        <v>1</v>
      </c>
      <c r="FV27">
        <v>348.81482352941202</v>
      </c>
      <c r="FW27">
        <v>-2.6256378923799102</v>
      </c>
      <c r="FX27">
        <v>0.371720441333522</v>
      </c>
      <c r="FY27">
        <v>-1</v>
      </c>
      <c r="FZ27">
        <v>1</v>
      </c>
      <c r="GA27">
        <v>2</v>
      </c>
      <c r="GB27" t="s">
        <v>447</v>
      </c>
      <c r="GC27">
        <v>3.1236100000000002</v>
      </c>
      <c r="GD27">
        <v>2.7654999999999998</v>
      </c>
      <c r="GE27">
        <v>0.210617</v>
      </c>
      <c r="GF27">
        <v>0.21707499999999999</v>
      </c>
      <c r="GG27">
        <v>9.1460100000000003E-2</v>
      </c>
      <c r="GH27">
        <v>9.27896E-2</v>
      </c>
      <c r="GI27">
        <v>15363.6</v>
      </c>
      <c r="GJ27">
        <v>22975.8</v>
      </c>
      <c r="GK27">
        <v>22744.6</v>
      </c>
      <c r="GL27">
        <v>30072.799999999999</v>
      </c>
      <c r="GM27">
        <v>33913.9</v>
      </c>
      <c r="GN27">
        <v>33998.1</v>
      </c>
      <c r="GO27">
        <v>43045</v>
      </c>
      <c r="GP27">
        <v>42832.9</v>
      </c>
      <c r="GQ27">
        <v>1.96712</v>
      </c>
      <c r="GR27">
        <v>1.80467</v>
      </c>
      <c r="GS27">
        <v>8.9444200000000001E-2</v>
      </c>
      <c r="GT27">
        <v>0</v>
      </c>
      <c r="GU27">
        <v>23.566700000000001</v>
      </c>
      <c r="GV27">
        <v>999.9</v>
      </c>
      <c r="GW27">
        <v>38.31</v>
      </c>
      <c r="GX27">
        <v>33.545999999999999</v>
      </c>
      <c r="GY27">
        <v>19.7164</v>
      </c>
      <c r="GZ27">
        <v>63.557299999999998</v>
      </c>
      <c r="HA27">
        <v>34.387</v>
      </c>
      <c r="HB27">
        <v>1</v>
      </c>
      <c r="HC27">
        <v>0.107388</v>
      </c>
      <c r="HD27">
        <v>2.6221100000000002</v>
      </c>
      <c r="HE27">
        <v>20.209900000000001</v>
      </c>
      <c r="HF27">
        <v>5.2339099999999998</v>
      </c>
      <c r="HG27">
        <v>11.962</v>
      </c>
      <c r="HH27">
        <v>4.96875</v>
      </c>
      <c r="HI27">
        <v>3.29515</v>
      </c>
      <c r="HJ27">
        <v>9999</v>
      </c>
      <c r="HK27">
        <v>9999</v>
      </c>
      <c r="HL27">
        <v>999.9</v>
      </c>
      <c r="HM27">
        <v>9999</v>
      </c>
      <c r="HN27">
        <v>4.96861</v>
      </c>
      <c r="HO27">
        <v>1.8627800000000001</v>
      </c>
      <c r="HP27">
        <v>1.86432</v>
      </c>
      <c r="HQ27">
        <v>1.86615</v>
      </c>
      <c r="HR27">
        <v>1.86311</v>
      </c>
      <c r="HS27">
        <v>1.8668800000000001</v>
      </c>
      <c r="HT27">
        <v>1.8635999999999999</v>
      </c>
      <c r="HU27">
        <v>1.86554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2.34</v>
      </c>
      <c r="IJ27">
        <v>-0.1406</v>
      </c>
      <c r="IK27">
        <v>1.27352252582367</v>
      </c>
      <c r="IL27">
        <v>1.61658254425633E-3</v>
      </c>
      <c r="IM27">
        <v>-1.89604851270483E-6</v>
      </c>
      <c r="IN27">
        <v>8.6681353432279101E-10</v>
      </c>
      <c r="IO27">
        <v>-6.0336006146411797E-2</v>
      </c>
      <c r="IP27">
        <v>-3.5871989026399903E-2</v>
      </c>
      <c r="IQ27">
        <v>1.9028800927848801E-3</v>
      </c>
      <c r="IR27">
        <v>-4.7539144078026999E-6</v>
      </c>
      <c r="IS27">
        <v>1</v>
      </c>
      <c r="IT27">
        <v>1704</v>
      </c>
      <c r="IU27">
        <v>4</v>
      </c>
      <c r="IV27">
        <v>25</v>
      </c>
      <c r="IW27">
        <v>0.9</v>
      </c>
      <c r="IX27">
        <v>1.1000000000000001</v>
      </c>
      <c r="IY27">
        <v>3.0163600000000002</v>
      </c>
      <c r="IZ27">
        <v>2.52197</v>
      </c>
      <c r="JA27">
        <v>1.3464400000000001</v>
      </c>
      <c r="JB27">
        <v>2.2583000000000002</v>
      </c>
      <c r="JC27">
        <v>1.5502899999999999</v>
      </c>
      <c r="JD27">
        <v>2.7392599999999998</v>
      </c>
      <c r="JE27">
        <v>37.554000000000002</v>
      </c>
      <c r="JF27">
        <v>15.9358</v>
      </c>
      <c r="JG27">
        <v>18</v>
      </c>
      <c r="JH27">
        <v>501.834</v>
      </c>
      <c r="JI27">
        <v>474.42099999999999</v>
      </c>
      <c r="JJ27">
        <v>20.813300000000002</v>
      </c>
      <c r="JK27">
        <v>28.580200000000001</v>
      </c>
      <c r="JL27">
        <v>30</v>
      </c>
      <c r="JM27">
        <v>28.575399999999998</v>
      </c>
      <c r="JN27">
        <v>28.5914</v>
      </c>
      <c r="JO27">
        <v>60.377299999999998</v>
      </c>
      <c r="JP27">
        <v>22.9025</v>
      </c>
      <c r="JQ27">
        <v>34.485900000000001</v>
      </c>
      <c r="JR27">
        <v>20.806799999999999</v>
      </c>
      <c r="JS27">
        <v>1500</v>
      </c>
      <c r="JT27">
        <v>16.553000000000001</v>
      </c>
      <c r="JU27">
        <v>101.631</v>
      </c>
      <c r="JV27">
        <v>97.2624</v>
      </c>
    </row>
    <row r="28" spans="1:282" x14ac:dyDescent="0.3">
      <c r="A28">
        <v>12</v>
      </c>
      <c r="B28">
        <v>1791605923</v>
      </c>
      <c r="C28">
        <v>1400.9000000953699</v>
      </c>
      <c r="D28" t="s">
        <v>454</v>
      </c>
      <c r="E28" t="s">
        <v>455</v>
      </c>
      <c r="F28">
        <v>5</v>
      </c>
      <c r="G28">
        <v>1791605919.5</v>
      </c>
      <c r="H28">
        <f t="shared" si="0"/>
        <v>6.3676332095767476E-4</v>
      </c>
      <c r="I28">
        <f t="shared" si="1"/>
        <v>0.63676332095767474</v>
      </c>
      <c r="J28">
        <f t="shared" si="2"/>
        <v>23.527913836337266</v>
      </c>
      <c r="K28">
        <f t="shared" si="3"/>
        <v>1790.155</v>
      </c>
      <c r="L28">
        <f t="shared" si="4"/>
        <v>882.36729140342629</v>
      </c>
      <c r="M28">
        <f t="shared" si="5"/>
        <v>89.395689900664053</v>
      </c>
      <c r="N28">
        <f t="shared" si="6"/>
        <v>181.36681041246251</v>
      </c>
      <c r="O28">
        <f t="shared" si="7"/>
        <v>4.3259722112442653E-2</v>
      </c>
      <c r="P28">
        <f t="shared" si="8"/>
        <v>3.0322708011591164</v>
      </c>
      <c r="Q28">
        <f t="shared" si="9"/>
        <v>4.2919762889014702E-2</v>
      </c>
      <c r="R28">
        <f t="shared" si="10"/>
        <v>2.6855172955393122E-2</v>
      </c>
      <c r="S28">
        <f t="shared" si="11"/>
        <v>241.73826700245445</v>
      </c>
      <c r="T28">
        <f t="shared" si="12"/>
        <v>25.861627371120342</v>
      </c>
      <c r="U28">
        <f t="shared" si="13"/>
        <v>24.989916666666701</v>
      </c>
      <c r="V28">
        <f t="shared" si="14"/>
        <v>3.1777665996568571</v>
      </c>
      <c r="W28">
        <f t="shared" si="15"/>
        <v>54.978600617582018</v>
      </c>
      <c r="X28">
        <f t="shared" si="16"/>
        <v>1.7109311824062499</v>
      </c>
      <c r="Y28">
        <f t="shared" si="17"/>
        <v>3.1119947819463021</v>
      </c>
      <c r="Z28">
        <f t="shared" si="18"/>
        <v>1.4668354172506073</v>
      </c>
      <c r="AA28">
        <f t="shared" si="19"/>
        <v>-28.081262454233457</v>
      </c>
      <c r="AB28">
        <f t="shared" si="20"/>
        <v>-57.268291532657209</v>
      </c>
      <c r="AC28">
        <f t="shared" si="21"/>
        <v>-3.9874591598819062</v>
      </c>
      <c r="AD28">
        <f t="shared" si="22"/>
        <v>152.40125385568189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53980.009201196604</v>
      </c>
      <c r="AJ28" t="s">
        <v>416</v>
      </c>
      <c r="AK28" t="s">
        <v>416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1261.2127994831394</v>
      </c>
      <c r="AW28">
        <f t="shared" si="29"/>
        <v>23.527913836337266</v>
      </c>
      <c r="AX28" t="e">
        <f t="shared" si="30"/>
        <v>#DIV/0!</v>
      </c>
      <c r="AY28">
        <f t="shared" si="31"/>
        <v>1.8654991327378929E-2</v>
      </c>
      <c r="AZ28" t="e">
        <f t="shared" si="32"/>
        <v>#DIV/0!</v>
      </c>
      <c r="BA28" t="e">
        <f t="shared" si="33"/>
        <v>#DIV/0!</v>
      </c>
      <c r="BB28" t="s">
        <v>416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1500.00166666667</v>
      </c>
      <c r="CU28">
        <f t="shared" si="43"/>
        <v>1261.2127994831394</v>
      </c>
      <c r="CV28">
        <f t="shared" si="44"/>
        <v>0.84080759875809241</v>
      </c>
      <c r="CW28">
        <f t="shared" si="45"/>
        <v>0.16115866560311862</v>
      </c>
      <c r="CX28">
        <v>2</v>
      </c>
      <c r="CY28">
        <v>0.5</v>
      </c>
      <c r="CZ28" t="s">
        <v>417</v>
      </c>
      <c r="DA28">
        <v>2</v>
      </c>
      <c r="DB28">
        <v>1791605919.5</v>
      </c>
      <c r="DC28">
        <v>1790.155</v>
      </c>
      <c r="DD28">
        <v>1800.02</v>
      </c>
      <c r="DE28">
        <v>16.887499999999999</v>
      </c>
      <c r="DF28">
        <v>16.637149999999998</v>
      </c>
      <c r="DG28">
        <v>1787.3050000000001</v>
      </c>
      <c r="DH28">
        <v>17.027516666666699</v>
      </c>
      <c r="DI28">
        <v>500.10783333333302</v>
      </c>
      <c r="DJ28">
        <v>101.2135</v>
      </c>
      <c r="DK28">
        <v>9.9967500000000001E-2</v>
      </c>
      <c r="DL28">
        <v>24.639600000000002</v>
      </c>
      <c r="DM28">
        <v>24.989916666666701</v>
      </c>
      <c r="DN28">
        <v>999.9</v>
      </c>
      <c r="DO28">
        <v>0</v>
      </c>
      <c r="DP28">
        <v>0</v>
      </c>
      <c r="DQ28">
        <v>10007.1033333333</v>
      </c>
      <c r="DR28">
        <v>0</v>
      </c>
      <c r="DS28">
        <v>7.63842</v>
      </c>
      <c r="DT28">
        <v>-9.8650333333333293</v>
      </c>
      <c r="DU28">
        <v>1820.905</v>
      </c>
      <c r="DV28">
        <v>1830.4749999999999</v>
      </c>
      <c r="DW28">
        <v>0.25035750000000001</v>
      </c>
      <c r="DX28">
        <v>1800.02</v>
      </c>
      <c r="DY28">
        <v>16.637149999999998</v>
      </c>
      <c r="DZ28">
        <v>1.7092433333333299</v>
      </c>
      <c r="EA28">
        <v>1.68390666666667</v>
      </c>
      <c r="EB28">
        <v>14.9806333333333</v>
      </c>
      <c r="EC28">
        <v>14.7488166666667</v>
      </c>
      <c r="ED28">
        <v>1500.00166666667</v>
      </c>
      <c r="EE28">
        <v>0.97299000000000002</v>
      </c>
      <c r="EF28">
        <v>2.70098E-2</v>
      </c>
      <c r="EG28">
        <v>0</v>
      </c>
      <c r="EH28">
        <v>351.42866666666703</v>
      </c>
      <c r="EI28">
        <v>5.0006399999999998</v>
      </c>
      <c r="EJ28">
        <v>5430.67</v>
      </c>
      <c r="EK28">
        <v>15439.2</v>
      </c>
      <c r="EL28">
        <v>40.811999999999998</v>
      </c>
      <c r="EM28">
        <v>41.561999999999998</v>
      </c>
      <c r="EN28">
        <v>41.176666666666698</v>
      </c>
      <c r="EO28">
        <v>41.186999999999998</v>
      </c>
      <c r="EP28">
        <v>42.311999999999998</v>
      </c>
      <c r="EQ28">
        <v>1454.6216666666701</v>
      </c>
      <c r="ER28">
        <v>40.380000000000003</v>
      </c>
      <c r="ES28">
        <v>0</v>
      </c>
      <c r="ET28">
        <v>1791605923.5</v>
      </c>
      <c r="EU28">
        <v>0</v>
      </c>
      <c r="EV28">
        <v>351.42068</v>
      </c>
      <c r="EW28">
        <v>1.3725384636501601</v>
      </c>
      <c r="EX28">
        <v>37.3084615053383</v>
      </c>
      <c r="EY28">
        <v>5428.4755999999998</v>
      </c>
      <c r="EZ28">
        <v>15</v>
      </c>
      <c r="FA28">
        <v>1791605845</v>
      </c>
      <c r="FB28" t="s">
        <v>456</v>
      </c>
      <c r="FC28">
        <v>1791605845</v>
      </c>
      <c r="FD28">
        <v>1791605832</v>
      </c>
      <c r="FE28">
        <v>52</v>
      </c>
      <c r="FF28">
        <v>-0.48</v>
      </c>
      <c r="FG28">
        <v>3.0000000000000001E-3</v>
      </c>
      <c r="FH28">
        <v>2.6059999999999999</v>
      </c>
      <c r="FI28">
        <v>-0.14699999999999999</v>
      </c>
      <c r="FJ28">
        <v>1800</v>
      </c>
      <c r="FK28">
        <v>17</v>
      </c>
      <c r="FL28">
        <v>0.17</v>
      </c>
      <c r="FM28">
        <v>0.17</v>
      </c>
      <c r="FN28">
        <v>23.6137929069568</v>
      </c>
      <c r="FO28">
        <v>-0.48483844699605899</v>
      </c>
      <c r="FP28">
        <v>0.214155310339361</v>
      </c>
      <c r="FQ28">
        <v>1</v>
      </c>
      <c r="FR28">
        <v>-9.8956145000000006</v>
      </c>
      <c r="FS28">
        <v>0.31417578947367503</v>
      </c>
      <c r="FT28">
        <v>9.3586565514233805E-2</v>
      </c>
      <c r="FU28">
        <v>1</v>
      </c>
      <c r="FV28">
        <v>351.30541176470598</v>
      </c>
      <c r="FW28">
        <v>0.98071810946941695</v>
      </c>
      <c r="FX28">
        <v>0.18246145727523699</v>
      </c>
      <c r="FY28">
        <v>-1</v>
      </c>
      <c r="FZ28">
        <v>2</v>
      </c>
      <c r="GA28">
        <v>2</v>
      </c>
      <c r="GB28" t="s">
        <v>419</v>
      </c>
      <c r="GC28">
        <v>3.1235300000000001</v>
      </c>
      <c r="GD28">
        <v>2.7653300000000001</v>
      </c>
      <c r="GE28">
        <v>0.23400499999999999</v>
      </c>
      <c r="GF28">
        <v>0.24083199999999999</v>
      </c>
      <c r="GG28">
        <v>9.1077699999999998E-2</v>
      </c>
      <c r="GH28">
        <v>9.3081499999999998E-2</v>
      </c>
      <c r="GI28">
        <v>14907.4</v>
      </c>
      <c r="GJ28">
        <v>22276.7</v>
      </c>
      <c r="GK28">
        <v>22743.3</v>
      </c>
      <c r="GL28">
        <v>30070.3</v>
      </c>
      <c r="GM28">
        <v>33927.9</v>
      </c>
      <c r="GN28">
        <v>33986.199999999997</v>
      </c>
      <c r="GO28">
        <v>43042.3</v>
      </c>
      <c r="GP28">
        <v>42829.8</v>
      </c>
      <c r="GQ28">
        <v>1.9668000000000001</v>
      </c>
      <c r="GR28">
        <v>1.8055300000000001</v>
      </c>
      <c r="GS28">
        <v>9.1575100000000006E-2</v>
      </c>
      <c r="GT28">
        <v>0</v>
      </c>
      <c r="GU28">
        <v>23.5167</v>
      </c>
      <c r="GV28">
        <v>999.9</v>
      </c>
      <c r="GW28">
        <v>38.408000000000001</v>
      </c>
      <c r="GX28">
        <v>33.515999999999998</v>
      </c>
      <c r="GY28">
        <v>19.734400000000001</v>
      </c>
      <c r="GZ28">
        <v>63.197400000000002</v>
      </c>
      <c r="HA28">
        <v>34.2027</v>
      </c>
      <c r="HB28">
        <v>1</v>
      </c>
      <c r="HC28">
        <v>0.109939</v>
      </c>
      <c r="HD28">
        <v>2.6243099999999999</v>
      </c>
      <c r="HE28">
        <v>20.210100000000001</v>
      </c>
      <c r="HF28">
        <v>5.22912</v>
      </c>
      <c r="HG28">
        <v>11.962</v>
      </c>
      <c r="HH28">
        <v>4.9686000000000003</v>
      </c>
      <c r="HI28">
        <v>3.29508</v>
      </c>
      <c r="HJ28">
        <v>9999</v>
      </c>
      <c r="HK28">
        <v>9999</v>
      </c>
      <c r="HL28">
        <v>999.9</v>
      </c>
      <c r="HM28">
        <v>9999</v>
      </c>
      <c r="HN28">
        <v>4.9685699999999997</v>
      </c>
      <c r="HO28">
        <v>1.86276</v>
      </c>
      <c r="HP28">
        <v>1.86432</v>
      </c>
      <c r="HQ28">
        <v>1.86615</v>
      </c>
      <c r="HR28">
        <v>1.86311</v>
      </c>
      <c r="HS28">
        <v>1.86686</v>
      </c>
      <c r="HT28">
        <v>1.86358</v>
      </c>
      <c r="HU28">
        <v>1.86551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2.85</v>
      </c>
      <c r="IJ28">
        <v>-0.14000000000000001</v>
      </c>
      <c r="IK28">
        <v>1.0686957287943299</v>
      </c>
      <c r="IL28">
        <v>1.61658254425633E-3</v>
      </c>
      <c r="IM28">
        <v>-1.89604851270483E-6</v>
      </c>
      <c r="IN28">
        <v>8.6681353432279101E-10</v>
      </c>
      <c r="IO28">
        <v>-5.74673782000742E-2</v>
      </c>
      <c r="IP28">
        <v>-3.5871989026399903E-2</v>
      </c>
      <c r="IQ28">
        <v>1.9028800927848801E-3</v>
      </c>
      <c r="IR28">
        <v>-4.7539144078026999E-6</v>
      </c>
      <c r="IS28">
        <v>1</v>
      </c>
      <c r="IT28">
        <v>1704</v>
      </c>
      <c r="IU28">
        <v>4</v>
      </c>
      <c r="IV28">
        <v>25</v>
      </c>
      <c r="IW28">
        <v>1.3</v>
      </c>
      <c r="IX28">
        <v>1.5</v>
      </c>
      <c r="IY28">
        <v>3.4814500000000002</v>
      </c>
      <c r="IZ28">
        <v>2.50122</v>
      </c>
      <c r="JA28">
        <v>1.3464400000000001</v>
      </c>
      <c r="JB28">
        <v>2.2583000000000002</v>
      </c>
      <c r="JC28">
        <v>1.5502899999999999</v>
      </c>
      <c r="JD28">
        <v>2.7270500000000002</v>
      </c>
      <c r="JE28">
        <v>37.481900000000003</v>
      </c>
      <c r="JF28">
        <v>15.9095</v>
      </c>
      <c r="JG28">
        <v>18</v>
      </c>
      <c r="JH28">
        <v>501.84</v>
      </c>
      <c r="JI28">
        <v>475.202</v>
      </c>
      <c r="JJ28">
        <v>20.737400000000001</v>
      </c>
      <c r="JK28">
        <v>28.609500000000001</v>
      </c>
      <c r="JL28">
        <v>30.0001</v>
      </c>
      <c r="JM28">
        <v>28.599699999999999</v>
      </c>
      <c r="JN28">
        <v>28.613299999999999</v>
      </c>
      <c r="JO28">
        <v>69.686800000000005</v>
      </c>
      <c r="JP28">
        <v>22.644200000000001</v>
      </c>
      <c r="JQ28">
        <v>34.485900000000001</v>
      </c>
      <c r="JR28">
        <v>20.744</v>
      </c>
      <c r="JS28">
        <v>1800</v>
      </c>
      <c r="JT28">
        <v>16.684699999999999</v>
      </c>
      <c r="JU28">
        <v>101.625</v>
      </c>
      <c r="JV28">
        <v>97.254900000000006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2026-10-10T13:25:50Z</dcterms:created>
  <dcterms:modified xsi:type="dcterms:W3CDTF">2026-10-11T05:58:37Z</dcterms:modified>
</cp:coreProperties>
</file>