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6 lettuce yun/"/>
    </mc:Choice>
  </mc:AlternateContent>
  <xr:revisionPtr revIDLastSave="0" documentId="11_ACE07100CA93D9F1676EF2A7254AD79604E3709C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5" i="1" l="1"/>
  <c r="CV25" i="1"/>
  <c r="CT25" i="1"/>
  <c r="BI25" i="1"/>
  <c r="BH25" i="1"/>
  <c r="AZ25" i="1"/>
  <c r="AT25" i="1"/>
  <c r="AN25" i="1"/>
  <c r="BA25" i="1" s="1"/>
  <c r="BD25" i="1" s="1"/>
  <c r="AI25" i="1"/>
  <c r="AG25" i="1" s="1"/>
  <c r="Y25" i="1"/>
  <c r="X25" i="1"/>
  <c r="W25" i="1"/>
  <c r="P25" i="1"/>
  <c r="CW24" i="1"/>
  <c r="CV24" i="1"/>
  <c r="CT24" i="1"/>
  <c r="BI24" i="1"/>
  <c r="BH24" i="1"/>
  <c r="AZ24" i="1"/>
  <c r="AT24" i="1"/>
  <c r="AN24" i="1"/>
  <c r="BA24" i="1" s="1"/>
  <c r="BD24" i="1" s="1"/>
  <c r="AI24" i="1"/>
  <c r="AG24" i="1"/>
  <c r="Y24" i="1"/>
  <c r="X24" i="1"/>
  <c r="W24" i="1" s="1"/>
  <c r="P24" i="1"/>
  <c r="CW23" i="1"/>
  <c r="CV23" i="1"/>
  <c r="CT23" i="1"/>
  <c r="BI23" i="1"/>
  <c r="BH23" i="1"/>
  <c r="AZ23" i="1"/>
  <c r="AT23" i="1"/>
  <c r="AN23" i="1"/>
  <c r="BA23" i="1" s="1"/>
  <c r="BD23" i="1" s="1"/>
  <c r="AI23" i="1"/>
  <c r="AG23" i="1" s="1"/>
  <c r="Y23" i="1"/>
  <c r="X23" i="1"/>
  <c r="W23" i="1" s="1"/>
  <c r="P23" i="1"/>
  <c r="CW22" i="1"/>
  <c r="CV22" i="1"/>
  <c r="CT22" i="1"/>
  <c r="BI22" i="1"/>
  <c r="BH22" i="1"/>
  <c r="AZ22" i="1"/>
  <c r="AT22" i="1"/>
  <c r="AN22" i="1"/>
  <c r="BA22" i="1" s="1"/>
  <c r="BD22" i="1" s="1"/>
  <c r="AI22" i="1"/>
  <c r="AG22" i="1" s="1"/>
  <c r="Y22" i="1"/>
  <c r="X22" i="1"/>
  <c r="W22" i="1" s="1"/>
  <c r="P22" i="1"/>
  <c r="CW21" i="1"/>
  <c r="CV21" i="1"/>
  <c r="CT21" i="1"/>
  <c r="BI21" i="1"/>
  <c r="BH21" i="1"/>
  <c r="AZ21" i="1"/>
  <c r="AT21" i="1"/>
  <c r="AN21" i="1"/>
  <c r="BA21" i="1" s="1"/>
  <c r="BD21" i="1" s="1"/>
  <c r="AI21" i="1"/>
  <c r="AG21" i="1" s="1"/>
  <c r="Y21" i="1"/>
  <c r="X21" i="1"/>
  <c r="W21" i="1"/>
  <c r="P21" i="1"/>
  <c r="CW20" i="1"/>
  <c r="CV20" i="1"/>
  <c r="CT20" i="1"/>
  <c r="BI20" i="1"/>
  <c r="BH20" i="1"/>
  <c r="AZ20" i="1"/>
  <c r="AT20" i="1"/>
  <c r="AN20" i="1"/>
  <c r="BA20" i="1" s="1"/>
  <c r="BD20" i="1" s="1"/>
  <c r="AI20" i="1"/>
  <c r="AG20" i="1" s="1"/>
  <c r="Y20" i="1"/>
  <c r="X20" i="1"/>
  <c r="W20" i="1"/>
  <c r="P20" i="1"/>
  <c r="CW19" i="1"/>
  <c r="CV19" i="1"/>
  <c r="CT19" i="1"/>
  <c r="BI19" i="1"/>
  <c r="BH19" i="1"/>
  <c r="AZ19" i="1"/>
  <c r="AT19" i="1"/>
  <c r="AN19" i="1"/>
  <c r="BA19" i="1" s="1"/>
  <c r="BD19" i="1" s="1"/>
  <c r="AI19" i="1"/>
  <c r="AG19" i="1" s="1"/>
  <c r="Y19" i="1"/>
  <c r="X19" i="1"/>
  <c r="W19" i="1"/>
  <c r="P19" i="1"/>
  <c r="CW18" i="1"/>
  <c r="CV18" i="1"/>
  <c r="CT18" i="1"/>
  <c r="CU18" i="1" s="1"/>
  <c r="AV18" i="1" s="1"/>
  <c r="BI18" i="1"/>
  <c r="BH18" i="1"/>
  <c r="AZ18" i="1"/>
  <c r="AT18" i="1"/>
  <c r="AX18" i="1" s="1"/>
  <c r="AN18" i="1"/>
  <c r="BA18" i="1" s="1"/>
  <c r="BD18" i="1" s="1"/>
  <c r="AI18" i="1"/>
  <c r="AG18" i="1" s="1"/>
  <c r="Y18" i="1"/>
  <c r="X18" i="1"/>
  <c r="S18" i="1"/>
  <c r="P18" i="1"/>
  <c r="CW17" i="1"/>
  <c r="S17" i="1" s="1"/>
  <c r="CV17" i="1"/>
  <c r="CT17" i="1"/>
  <c r="CU17" i="1" s="1"/>
  <c r="AV17" i="1" s="1"/>
  <c r="BI17" i="1"/>
  <c r="BH17" i="1"/>
  <c r="AZ17" i="1"/>
  <c r="AT17" i="1"/>
  <c r="AN17" i="1"/>
  <c r="BA17" i="1" s="1"/>
  <c r="BD17" i="1" s="1"/>
  <c r="AI17" i="1"/>
  <c r="AG17" i="1" s="1"/>
  <c r="Y17" i="1"/>
  <c r="W17" i="1" s="1"/>
  <c r="X17" i="1"/>
  <c r="P17" i="1"/>
  <c r="S20" i="1" l="1"/>
  <c r="W18" i="1"/>
  <c r="CU20" i="1"/>
  <c r="AV20" i="1" s="1"/>
  <c r="AX20" i="1" s="1"/>
  <c r="CU23" i="1"/>
  <c r="AV23" i="1" s="1"/>
  <c r="S23" i="1"/>
  <c r="T23" i="1" s="1"/>
  <c r="U23" i="1" s="1"/>
  <c r="CU22" i="1"/>
  <c r="AV22" i="1" s="1"/>
  <c r="AX22" i="1" s="1"/>
  <c r="S22" i="1"/>
  <c r="S25" i="1"/>
  <c r="CU25" i="1"/>
  <c r="AV25" i="1" s="1"/>
  <c r="AX25" i="1" s="1"/>
  <c r="BF25" i="1"/>
  <c r="BJ25" i="1" s="1"/>
  <c r="BK25" i="1" s="1"/>
  <c r="BE25" i="1"/>
  <c r="BG25" i="1"/>
  <c r="AH25" i="1"/>
  <c r="I25" i="1"/>
  <c r="H25" i="1" s="1"/>
  <c r="J25" i="1"/>
  <c r="AW25" i="1" s="1"/>
  <c r="AY25" i="1" s="1"/>
  <c r="K25" i="1"/>
  <c r="N25" i="1"/>
  <c r="S24" i="1"/>
  <c r="CU24" i="1"/>
  <c r="AV24" i="1" s="1"/>
  <c r="AX24" i="1" s="1"/>
  <c r="BE24" i="1"/>
  <c r="BF24" i="1"/>
  <c r="BJ24" i="1" s="1"/>
  <c r="BK24" i="1" s="1"/>
  <c r="BG24" i="1"/>
  <c r="AH24" i="1"/>
  <c r="N24" i="1"/>
  <c r="I24" i="1"/>
  <c r="H24" i="1" s="1"/>
  <c r="J24" i="1"/>
  <c r="AW24" i="1" s="1"/>
  <c r="K24" i="1"/>
  <c r="BF23" i="1"/>
  <c r="BJ23" i="1" s="1"/>
  <c r="BK23" i="1" s="1"/>
  <c r="BG23" i="1"/>
  <c r="BE23" i="1"/>
  <c r="N23" i="1"/>
  <c r="AH23" i="1"/>
  <c r="J23" i="1"/>
  <c r="AW23" i="1" s="1"/>
  <c r="AY23" i="1" s="1"/>
  <c r="K23" i="1"/>
  <c r="I23" i="1"/>
  <c r="H23" i="1" s="1"/>
  <c r="BG22" i="1"/>
  <c r="BF22" i="1"/>
  <c r="BJ22" i="1" s="1"/>
  <c r="BK22" i="1" s="1"/>
  <c r="BE22" i="1"/>
  <c r="I22" i="1"/>
  <c r="H22" i="1" s="1"/>
  <c r="J22" i="1"/>
  <c r="AW22" i="1" s="1"/>
  <c r="AY22" i="1" s="1"/>
  <c r="K22" i="1"/>
  <c r="AH22" i="1"/>
  <c r="N22" i="1"/>
  <c r="T22" i="1"/>
  <c r="U22" i="1" s="1"/>
  <c r="S21" i="1"/>
  <c r="CU21" i="1"/>
  <c r="AV21" i="1" s="1"/>
  <c r="AX21" i="1" s="1"/>
  <c r="BG21" i="1"/>
  <c r="BF21" i="1"/>
  <c r="BJ21" i="1" s="1"/>
  <c r="BK21" i="1" s="1"/>
  <c r="BE21" i="1"/>
  <c r="AH21" i="1"/>
  <c r="I21" i="1"/>
  <c r="H21" i="1" s="1"/>
  <c r="J21" i="1"/>
  <c r="AW21" i="1" s="1"/>
  <c r="K21" i="1"/>
  <c r="N21" i="1"/>
  <c r="BE20" i="1"/>
  <c r="BF20" i="1"/>
  <c r="BJ20" i="1" s="1"/>
  <c r="BK20" i="1" s="1"/>
  <c r="BG20" i="1"/>
  <c r="AH20" i="1"/>
  <c r="I20" i="1"/>
  <c r="H20" i="1" s="1"/>
  <c r="T20" i="1" s="1"/>
  <c r="U20" i="1" s="1"/>
  <c r="J20" i="1"/>
  <c r="AW20" i="1" s="1"/>
  <c r="AY20" i="1" s="1"/>
  <c r="K20" i="1"/>
  <c r="N20" i="1"/>
  <c r="CU19" i="1"/>
  <c r="AV19" i="1" s="1"/>
  <c r="AX19" i="1" s="1"/>
  <c r="S19" i="1"/>
  <c r="BE19" i="1"/>
  <c r="BF19" i="1"/>
  <c r="BJ19" i="1" s="1"/>
  <c r="BK19" i="1" s="1"/>
  <c r="BG19" i="1"/>
  <c r="N19" i="1"/>
  <c r="K19" i="1"/>
  <c r="J19" i="1"/>
  <c r="AW19" i="1" s="1"/>
  <c r="AH19" i="1"/>
  <c r="I19" i="1"/>
  <c r="H19" i="1" s="1"/>
  <c r="BF18" i="1"/>
  <c r="BJ18" i="1" s="1"/>
  <c r="BK18" i="1" s="1"/>
  <c r="BE18" i="1"/>
  <c r="BG18" i="1"/>
  <c r="N18" i="1"/>
  <c r="AH18" i="1"/>
  <c r="I18" i="1"/>
  <c r="H18" i="1" s="1"/>
  <c r="J18" i="1"/>
  <c r="AW18" i="1" s="1"/>
  <c r="AY18" i="1" s="1"/>
  <c r="K18" i="1"/>
  <c r="T18" i="1"/>
  <c r="U18" i="1" s="1"/>
  <c r="BE17" i="1"/>
  <c r="BF17" i="1"/>
  <c r="BJ17" i="1" s="1"/>
  <c r="BK17" i="1" s="1"/>
  <c r="BG17" i="1"/>
  <c r="AH17" i="1"/>
  <c r="I17" i="1"/>
  <c r="H17" i="1" s="1"/>
  <c r="T17" i="1" s="1"/>
  <c r="U17" i="1" s="1"/>
  <c r="J17" i="1"/>
  <c r="AW17" i="1" s="1"/>
  <c r="AY17" i="1" s="1"/>
  <c r="K17" i="1"/>
  <c r="N17" i="1"/>
  <c r="AX23" i="1"/>
  <c r="AX17" i="1"/>
  <c r="T25" i="1" l="1"/>
  <c r="U25" i="1" s="1"/>
  <c r="Q25" i="1" s="1"/>
  <c r="O25" i="1" s="1"/>
  <c r="R25" i="1" s="1"/>
  <c r="L25" i="1" s="1"/>
  <c r="M25" i="1" s="1"/>
  <c r="AA25" i="1"/>
  <c r="T24" i="1"/>
  <c r="U24" i="1" s="1"/>
  <c r="Q24" i="1" s="1"/>
  <c r="O24" i="1" s="1"/>
  <c r="R24" i="1" s="1"/>
  <c r="L24" i="1" s="1"/>
  <c r="M24" i="1" s="1"/>
  <c r="AA24" i="1"/>
  <c r="AA23" i="1"/>
  <c r="Q23" i="1"/>
  <c r="O23" i="1" s="1"/>
  <c r="R23" i="1" s="1"/>
  <c r="L23" i="1" s="1"/>
  <c r="M23" i="1" s="1"/>
  <c r="AB23" i="1"/>
  <c r="AC23" i="1"/>
  <c r="AD23" i="1" s="1"/>
  <c r="V23" i="1"/>
  <c r="Z23" i="1" s="1"/>
  <c r="AA22" i="1"/>
  <c r="Q22" i="1"/>
  <c r="O22" i="1" s="1"/>
  <c r="R22" i="1" s="1"/>
  <c r="L22" i="1" s="1"/>
  <c r="M22" i="1" s="1"/>
  <c r="AB22" i="1"/>
  <c r="V22" i="1"/>
  <c r="Z22" i="1" s="1"/>
  <c r="AC22" i="1"/>
  <c r="AD22" i="1" s="1"/>
  <c r="T21" i="1"/>
  <c r="U21" i="1" s="1"/>
  <c r="Q21" i="1" s="1"/>
  <c r="O21" i="1" s="1"/>
  <c r="R21" i="1" s="1"/>
  <c r="L21" i="1" s="1"/>
  <c r="M21" i="1" s="1"/>
  <c r="AA21" i="1"/>
  <c r="AB20" i="1"/>
  <c r="V20" i="1"/>
  <c r="Z20" i="1" s="1"/>
  <c r="AC20" i="1"/>
  <c r="AD20" i="1" s="1"/>
  <c r="AA20" i="1"/>
  <c r="Q20" i="1"/>
  <c r="O20" i="1" s="1"/>
  <c r="R20" i="1" s="1"/>
  <c r="L20" i="1" s="1"/>
  <c r="M20" i="1" s="1"/>
  <c r="T19" i="1"/>
  <c r="U19" i="1" s="1"/>
  <c r="AA19" i="1"/>
  <c r="Q19" i="1"/>
  <c r="O19" i="1" s="1"/>
  <c r="R19" i="1" s="1"/>
  <c r="L19" i="1" s="1"/>
  <c r="M19" i="1" s="1"/>
  <c r="Q18" i="1"/>
  <c r="O18" i="1" s="1"/>
  <c r="R18" i="1" s="1"/>
  <c r="L18" i="1" s="1"/>
  <c r="M18" i="1" s="1"/>
  <c r="AA18" i="1"/>
  <c r="AB18" i="1"/>
  <c r="AC18" i="1"/>
  <c r="V18" i="1"/>
  <c r="Z18" i="1" s="1"/>
  <c r="AB17" i="1"/>
  <c r="V17" i="1"/>
  <c r="Z17" i="1" s="1"/>
  <c r="AC17" i="1"/>
  <c r="Q17" i="1"/>
  <c r="O17" i="1" s="1"/>
  <c r="R17" i="1" s="1"/>
  <c r="L17" i="1" s="1"/>
  <c r="M17" i="1" s="1"/>
  <c r="AA17" i="1"/>
  <c r="AY24" i="1"/>
  <c r="AY21" i="1"/>
  <c r="AY19" i="1"/>
  <c r="AD18" i="1" l="1"/>
  <c r="AB25" i="1"/>
  <c r="V25" i="1"/>
  <c r="Z25" i="1" s="1"/>
  <c r="AC25" i="1"/>
  <c r="AD25" i="1" s="1"/>
  <c r="AB24" i="1"/>
  <c r="V24" i="1"/>
  <c r="Z24" i="1" s="1"/>
  <c r="AC24" i="1"/>
  <c r="AD24" i="1" s="1"/>
  <c r="AB21" i="1"/>
  <c r="V21" i="1"/>
  <c r="Z21" i="1" s="1"/>
  <c r="AC21" i="1"/>
  <c r="AD21" i="1" s="1"/>
  <c r="AB19" i="1"/>
  <c r="V19" i="1"/>
  <c r="Z19" i="1" s="1"/>
  <c r="AC19" i="1"/>
  <c r="AD17" i="1"/>
  <c r="AD19" i="1" l="1"/>
</calcChain>
</file>

<file path=xl/sharedStrings.xml><?xml version="1.0" encoding="utf-8"?>
<sst xmlns="http://schemas.openxmlformats.org/spreadsheetml/2006/main" count="738" uniqueCount="376">
  <si>
    <t>File opened</t>
  </si>
  <si>
    <t>2026-10-16 14:01:05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</si>
  <si>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</si>
  <si>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</si>
  <si>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</si>
  <si>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</si>
  <si>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</si>
  <si>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</si>
  <si>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</si>
  <si>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</si>
  <si>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</si>
  <si>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</si>
  <si>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</si>
  <si>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{"flowmeterzero": "2.483", "co2bspan2": "-0.00857283", "h2oaspan2a": "0.0964052", "co2bspan2b": "0.105618", "co2aspanconc2": "1516", "co2aspan2a": "0.106022", "co2bspanconc1": "437.6", "tazero": "0.15448", "ssa_ref": "37830.5", "tbzero": "0.143742", "co2bzero": "0.953041", "co2bspanconc2": "1516", "h2oaspan2": "0", "h2obspanconc1": "17.96", "co2azero": "0.931334", "h2obspanconc2": "0", "h2oaspanconc2": "0", "h2obspan2": "0", "h2obspan2a": "0.0961931", "ssb_ref": "36242.9", "co2bspan1": "1.00005", "h2obzero": "1.01897", "h2oaspan1": "1.02308", "co2aspan2b": "0.105998", "co2aspan1": "1.00082", "flowazero": "0.276", "flowbzero": "0.30473", "chamberpressurezero": "2.71033", "h2oaspan2b": "0.0986302", "h2obspan1": "1.01044", "h2oaspanconc1": "17.96", "oxygen": "21", "co2aspan2": "-0.00988168", "h2obspan2b": "0.0971974", "co2bspan2a": "0.105708", "h2oazero": "1.03097", "co2aspanconc1": "437.6"}</t>
  </si>
  <si>
    <t>Factory cal date</t>
  </si>
  <si>
    <t>14 Dec 2023</t>
  </si>
  <si>
    <t>CO2 rangematch</t>
  </si>
  <si>
    <t>Fri Oct 16 09:42</t>
  </si>
  <si>
    <t>H2O rangematch</t>
  </si>
  <si>
    <t>Fri Oct 16 09:48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</si>
  <si>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</si>
  <si>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</si>
  <si>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</si>
  <si>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</si>
  <si>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</si>
  <si>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</si>
  <si>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</si>
  <si>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</si>
  <si>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</si>
  <si>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14:01:05</t>
  </si>
  <si>
    <t>Stability Definition:	A (GasEx): Slp&lt;0.6 Per=20	ΔCO2 (Meas2): Slp&lt;0.5 Per=20	F (FlrLS): Slp&lt;1 Per=20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</si>
  <si>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</si>
  <si>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</si>
  <si>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</si>
  <si>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</si>
  <si>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</si>
  <si>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</si>
  <si>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</si>
  <si>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</si>
  <si>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</si>
  <si>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</si>
  <si>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</si>
  <si>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</si>
  <si>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</si>
  <si>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</si>
  <si>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</si>
  <si>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</si>
  <si>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</si>
  <si>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</si>
  <si>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</si>
  <si>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</si>
  <si>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</si>
  <si>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</si>
  <si>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</si>
  <si>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</si>
  <si>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</si>
  <si>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</si>
  <si>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</si>
  <si>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</si>
  <si>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</si>
  <si>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</si>
  <si>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</si>
  <si>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</si>
  <si>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</si>
  <si>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</si>
  <si>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</si>
  <si>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</si>
  <si>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</si>
  <si>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</si>
  <si>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</si>
  <si>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</si>
  <si>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</si>
  <si>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</si>
  <si>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</si>
  <si>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</si>
  <si>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</si>
  <si>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</si>
  <si>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</si>
  <si>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</si>
  <si>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</si>
  <si>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</si>
  <si>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</si>
  <si>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3.7566 197.14 345.085 569.364 835.095 1048.85 1238.94 1340.78</t>
  </si>
  <si>
    <t>Fs_true</t>
  </si>
  <si>
    <t>0.199903 229.678 383.692 585.549 812.233 1001.91 1203.48 1401.03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</si>
  <si>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</si>
  <si>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</si>
  <si>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</si>
  <si>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</si>
  <si>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</si>
  <si>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</si>
  <si>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</si>
  <si>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</si>
  <si>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</si>
  <si>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</si>
  <si>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</si>
  <si>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</si>
  <si>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</si>
  <si>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</si>
  <si>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</si>
  <si>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</si>
  <si>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</si>
  <si>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</si>
  <si>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</si>
  <si>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</si>
  <si>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</si>
  <si>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</si>
  <si>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</si>
  <si>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</si>
  <si>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</si>
  <si>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</si>
  <si>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</si>
  <si>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</si>
  <si>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</si>
  <si>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</si>
  <si>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</si>
  <si>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</si>
  <si>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</si>
  <si>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</si>
  <si>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</si>
  <si>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</si>
  <si>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</si>
  <si>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</si>
  <si>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</si>
  <si>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</si>
  <si>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</si>
  <si>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</si>
  <si>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</si>
  <si>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</si>
  <si>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</si>
  <si>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</si>
  <si>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</si>
  <si>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</si>
  <si>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</si>
  <si>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</si>
  <si>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</si>
  <si>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</si>
  <si>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</si>
  <si>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</si>
  <si>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</si>
  <si>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</si>
  <si>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</si>
  <si>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</si>
  <si>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</si>
  <si>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</si>
  <si>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</si>
  <si>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</si>
  <si>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</si>
  <si>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</si>
  <si>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</si>
  <si>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</si>
  <si>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</si>
  <si>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</si>
  <si>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</si>
  <si>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</si>
  <si>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</si>
  <si>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</si>
  <si>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</si>
  <si>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</si>
  <si>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</si>
  <si>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</si>
  <si>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</si>
  <si>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</si>
  <si>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</si>
  <si>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</si>
  <si>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</si>
  <si>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</si>
  <si>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</si>
  <si>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</si>
  <si>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</si>
  <si>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</si>
  <si>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</si>
  <si>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</si>
  <si>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</si>
  <si>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</si>
  <si>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</si>
  <si>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</si>
  <si>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</si>
  <si>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</si>
  <si>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</si>
  <si>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</si>
  <si>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</si>
  <si>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</si>
  <si>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</si>
  <si>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</si>
  <si>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</si>
  <si>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</si>
  <si>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</si>
  <si>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</si>
  <si>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</si>
  <si>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</si>
  <si>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</si>
  <si>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</si>
  <si>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</si>
  <si>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</si>
  <si>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</si>
  <si>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</si>
  <si>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</si>
  <si>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</si>
  <si>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</si>
  <si>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</si>
  <si>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</si>
  <si>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</si>
  <si>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</si>
  <si>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</si>
  <si>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</si>
  <si>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</si>
  <si>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</si>
  <si>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</si>
  <si>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</si>
  <si>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</si>
  <si>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</si>
  <si>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</si>
  <si>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</si>
  <si>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</si>
  <si>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</si>
  <si>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</si>
  <si>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</si>
  <si>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</si>
  <si>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</si>
  <si>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</si>
  <si>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</si>
  <si>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</si>
  <si>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</si>
  <si>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</si>
  <si>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</si>
  <si>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</si>
  <si>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</si>
  <si>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</si>
  <si>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</si>
  <si>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</si>
  <si>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</si>
  <si>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</si>
  <si>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</si>
  <si>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</si>
  <si>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</si>
  <si>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</si>
  <si>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</si>
  <si>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</si>
  <si>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</si>
  <si>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</si>
  <si>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</si>
  <si>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</si>
  <si>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</si>
  <si>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</si>
  <si>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</si>
  <si>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</si>
  <si>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</si>
  <si>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</si>
  <si>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</si>
  <si>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</si>
  <si>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</si>
  <si>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</si>
  <si>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</si>
  <si>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</si>
  <si>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</si>
  <si>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</si>
  <si>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</si>
  <si>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</si>
  <si>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</si>
  <si>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</si>
  <si>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</si>
  <si>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</si>
  <si>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</si>
  <si>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</si>
  <si>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</si>
  <si>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</si>
  <si>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</si>
  <si>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</si>
  <si>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</si>
  <si>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</si>
  <si>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</si>
  <si>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</si>
  <si>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</si>
  <si>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</si>
  <si>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</si>
  <si>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</si>
  <si>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</si>
  <si>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</si>
  <si>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</si>
  <si>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</si>
  <si>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</si>
  <si>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</si>
  <si>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</si>
  <si>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</si>
  <si>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</si>
  <si>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</si>
  <si>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</si>
  <si>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</si>
  <si>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</si>
  <si>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</si>
  <si>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</si>
  <si>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</si>
  <si>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</si>
  <si>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</si>
  <si>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</si>
  <si>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</si>
  <si>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</si>
  <si>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</si>
  <si>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</si>
  <si>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</si>
  <si>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</si>
  <si>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</si>
  <si>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</si>
  <si>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</si>
  <si>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</si>
  <si>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</si>
  <si>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</si>
  <si>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</si>
  <si>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</si>
  <si>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</si>
  <si>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</si>
  <si>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</si>
  <si>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</si>
  <si>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</si>
  <si>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</si>
  <si>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</si>
  <si>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</si>
  <si>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</si>
  <si>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</si>
  <si>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</si>
  <si>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</si>
  <si>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</si>
  <si>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</si>
  <si>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</si>
  <si>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</si>
  <si>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</si>
  <si>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</si>
  <si>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</si>
  <si>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</si>
  <si>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</si>
  <si>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</si>
  <si>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</si>
  <si>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</si>
  <si>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</si>
  <si>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</si>
  <si>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</si>
  <si>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</si>
  <si>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</si>
  <si>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</si>
  <si>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20261016 14:27:20</t>
  </si>
  <si>
    <t>14:27:20</t>
  </si>
  <si>
    <t>MPF-165-20261016-12_50_11</t>
  </si>
  <si>
    <t>MPF-166-20261016-14_27_26</t>
  </si>
  <si>
    <t>-</t>
  </si>
  <si>
    <t>0: Broadleaf</t>
  </si>
  <si>
    <t>14:23:58</t>
  </si>
  <si>
    <t>3/3</t>
  </si>
  <si>
    <t>20261016 14:29:42</t>
  </si>
  <si>
    <t>14:29:42</t>
  </si>
  <si>
    <t>MPF-167-20261016-14_29_47</t>
  </si>
  <si>
    <t>20261016 14:31:46</t>
  </si>
  <si>
    <t>14:31:46</t>
  </si>
  <si>
    <t>MPF-168-20261016-14_31_51</t>
  </si>
  <si>
    <t>20261016 14:33:49</t>
  </si>
  <si>
    <t>14:33:49</t>
  </si>
  <si>
    <t>MPF-169-20261016-14_33_54</t>
  </si>
  <si>
    <t>20261016 14:36:23</t>
  </si>
  <si>
    <t>14:36:23</t>
  </si>
  <si>
    <t>MPF-170-20261016-14_36_29</t>
  </si>
  <si>
    <t>20261016 14:39:23</t>
  </si>
  <si>
    <t>14:39:23</t>
  </si>
  <si>
    <t>MPF-171-20261016-14_39_29</t>
  </si>
  <si>
    <t>14:37:33</t>
  </si>
  <si>
    <t>20261016 14:42:03</t>
  </si>
  <si>
    <t>14:42:03</t>
  </si>
  <si>
    <t>MPF-172-20261016-14_42_09</t>
  </si>
  <si>
    <t>14:40:43</t>
  </si>
  <si>
    <t>20261016 14:44:35</t>
  </si>
  <si>
    <t>14:44:35</t>
  </si>
  <si>
    <t>MPF-173-20261016-14_44_41</t>
  </si>
  <si>
    <t>14:43:09</t>
  </si>
  <si>
    <t>20261016 14:47:30</t>
  </si>
  <si>
    <t>14:47:30</t>
  </si>
  <si>
    <t>MPF-174-20261016-14_47_36</t>
  </si>
  <si>
    <t>14:45:54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</si>
</sst>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H25"/>
  <sheetViews>
    <sheetView tabSelected="1" workbookViewId="0"/>
  </sheetViews>
  <sheetFormatPr defaultRowHeight="16.5" x14ac:dyDescent="0.3"/>
  <sheetData>
    <row r="2" spans="1:216" x14ac:dyDescent="0.3">
      <c r="A2" t="s">
        <v>31</v>
      </c>
      <c r="B2" t="s">
        <v>32</v>
      </c>
      <c r="C2" t="s">
        <v>33</v>
      </c>
    </row>
    <row r="3" spans="1:216" x14ac:dyDescent="0.3">
      <c r="B3">
        <v>4</v>
      </c>
      <c r="C3">
        <v>21</v>
      </c>
    </row>
    <row r="4" spans="1:216" x14ac:dyDescent="0.3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16" x14ac:dyDescent="0.3">
      <c r="B5" t="s">
        <v>21</v>
      </c>
      <c r="C5" t="s">
        <v>37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16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16" x14ac:dyDescent="0.3">
      <c r="B7">
        <v>0</v>
      </c>
      <c r="C7">
        <v>1</v>
      </c>
      <c r="D7">
        <v>0</v>
      </c>
      <c r="E7">
        <v>0</v>
      </c>
    </row>
    <row r="8" spans="1:216" x14ac:dyDescent="0.3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16" x14ac:dyDescent="0.3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6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1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16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16" x14ac:dyDescent="0.3">
      <c r="B13">
        <v>-6276</v>
      </c>
      <c r="C13">
        <v>6.6</v>
      </c>
      <c r="D13">
        <v>1.7090000000000001E-5</v>
      </c>
      <c r="E13">
        <v>3.11</v>
      </c>
      <c r="F13" t="s">
        <v>82</v>
      </c>
      <c r="G13" t="s">
        <v>84</v>
      </c>
      <c r="H13">
        <v>0</v>
      </c>
    </row>
    <row r="14" spans="1:216" x14ac:dyDescent="0.3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88</v>
      </c>
      <c r="AF14" t="s">
        <v>88</v>
      </c>
      <c r="AG14" t="s">
        <v>88</v>
      </c>
      <c r="AH14" t="s">
        <v>88</v>
      </c>
      <c r="AI14" t="s">
        <v>88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91</v>
      </c>
      <c r="CH14" t="s">
        <v>91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92</v>
      </c>
      <c r="CU14" t="s">
        <v>92</v>
      </c>
      <c r="CV14" t="s">
        <v>92</v>
      </c>
      <c r="CW14" t="s">
        <v>92</v>
      </c>
      <c r="CX14" t="s">
        <v>93</v>
      </c>
      <c r="CY14" t="s">
        <v>93</v>
      </c>
      <c r="CZ14" t="s">
        <v>93</v>
      </c>
      <c r="DA14" t="s">
        <v>93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97</v>
      </c>
      <c r="EW14" t="s">
        <v>97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97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98</v>
      </c>
      <c r="FR14" t="s">
        <v>98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99</v>
      </c>
      <c r="GD14" t="s">
        <v>99</v>
      </c>
      <c r="GE14" t="s">
        <v>99</v>
      </c>
      <c r="GF14" t="s">
        <v>99</v>
      </c>
      <c r="GG14" t="s">
        <v>99</v>
      </c>
      <c r="GH14" t="s">
        <v>99</v>
      </c>
      <c r="GI14" t="s">
        <v>99</v>
      </c>
      <c r="GJ14" t="s">
        <v>99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</row>
    <row r="15" spans="1:216" x14ac:dyDescent="0.3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O15" t="s">
        <v>116</v>
      </c>
      <c r="P15" t="s">
        <v>117</v>
      </c>
      <c r="Q15" t="s">
        <v>118</v>
      </c>
      <c r="R15" t="s">
        <v>119</v>
      </c>
      <c r="S15" t="s">
        <v>120</v>
      </c>
      <c r="T15" t="s">
        <v>121</v>
      </c>
      <c r="U15" t="s">
        <v>122</v>
      </c>
      <c r="V15" t="s">
        <v>123</v>
      </c>
      <c r="W15" t="s">
        <v>124</v>
      </c>
      <c r="X15" t="s">
        <v>125</v>
      </c>
      <c r="Y15" t="s">
        <v>126</v>
      </c>
      <c r="Z15" t="s">
        <v>127</v>
      </c>
      <c r="AA15" t="s">
        <v>128</v>
      </c>
      <c r="AB15" t="s">
        <v>129</v>
      </c>
      <c r="AC15" t="s">
        <v>130</v>
      </c>
      <c r="AD15" t="s">
        <v>131</v>
      </c>
      <c r="AE15" t="s">
        <v>88</v>
      </c>
      <c r="AF15" t="s">
        <v>132</v>
      </c>
      <c r="AG15" t="s">
        <v>133</v>
      </c>
      <c r="AH15" t="s">
        <v>134</v>
      </c>
      <c r="AI15" t="s">
        <v>135</v>
      </c>
      <c r="AJ15" t="s">
        <v>136</v>
      </c>
      <c r="AK15" t="s">
        <v>137</v>
      </c>
      <c r="AL15" t="s">
        <v>138</v>
      </c>
      <c r="AM15" t="s">
        <v>139</v>
      </c>
      <c r="AN15" t="s">
        <v>140</v>
      </c>
      <c r="AO15" t="s">
        <v>141</v>
      </c>
      <c r="AP15" t="s">
        <v>142</v>
      </c>
      <c r="AQ15" t="s">
        <v>143</v>
      </c>
      <c r="AR15" t="s">
        <v>144</v>
      </c>
      <c r="AS15" t="s">
        <v>145</v>
      </c>
      <c r="AT15" t="s">
        <v>146</v>
      </c>
      <c r="AU15" t="s">
        <v>147</v>
      </c>
      <c r="AV15" t="s">
        <v>148</v>
      </c>
      <c r="AW15" t="s">
        <v>149</v>
      </c>
      <c r="AX15" t="s">
        <v>150</v>
      </c>
      <c r="AY15" t="s">
        <v>151</v>
      </c>
      <c r="AZ15" t="s">
        <v>152</v>
      </c>
      <c r="BA15" t="s">
        <v>153</v>
      </c>
      <c r="BB15" t="s">
        <v>154</v>
      </c>
      <c r="BC15" t="s">
        <v>155</v>
      </c>
      <c r="BD15" t="s">
        <v>156</v>
      </c>
      <c r="BE15" t="s">
        <v>157</v>
      </c>
      <c r="BF15" t="s">
        <v>158</v>
      </c>
      <c r="BG15" t="s">
        <v>159</v>
      </c>
      <c r="BH15" t="s">
        <v>160</v>
      </c>
      <c r="BI15" t="s">
        <v>161</v>
      </c>
      <c r="BJ15" t="s">
        <v>162</v>
      </c>
      <c r="BK15" t="s">
        <v>163</v>
      </c>
      <c r="BL15" t="s">
        <v>164</v>
      </c>
      <c r="BM15" t="s">
        <v>165</v>
      </c>
      <c r="BN15" t="s">
        <v>166</v>
      </c>
      <c r="BO15" t="s">
        <v>167</v>
      </c>
      <c r="BP15" t="s">
        <v>168</v>
      </c>
      <c r="BQ15" t="s">
        <v>169</v>
      </c>
      <c r="BR15" t="s">
        <v>170</v>
      </c>
      <c r="BS15" t="s">
        <v>171</v>
      </c>
      <c r="BT15" t="s">
        <v>172</v>
      </c>
      <c r="BU15" t="s">
        <v>173</v>
      </c>
      <c r="BV15" t="s">
        <v>174</v>
      </c>
      <c r="BW15" t="s">
        <v>175</v>
      </c>
      <c r="BX15" t="s">
        <v>176</v>
      </c>
      <c r="BY15" t="s">
        <v>177</v>
      </c>
      <c r="BZ15" t="s">
        <v>178</v>
      </c>
      <c r="CA15" t="s">
        <v>179</v>
      </c>
      <c r="CB15" t="s">
        <v>180</v>
      </c>
      <c r="CC15" t="s">
        <v>181</v>
      </c>
      <c r="CD15" t="s">
        <v>182</v>
      </c>
      <c r="CE15" t="s">
        <v>183</v>
      </c>
      <c r="CF15" t="s">
        <v>184</v>
      </c>
      <c r="CG15" t="s">
        <v>164</v>
      </c>
      <c r="CH15" t="s">
        <v>185</v>
      </c>
      <c r="CI15" t="s">
        <v>186</v>
      </c>
      <c r="CJ15" t="s">
        <v>187</v>
      </c>
      <c r="CK15" t="s">
        <v>138</v>
      </c>
      <c r="CL15" t="s">
        <v>188</v>
      </c>
      <c r="CM15" t="s">
        <v>189</v>
      </c>
      <c r="CN15" t="s">
        <v>190</v>
      </c>
      <c r="CO15" t="s">
        <v>191</v>
      </c>
      <c r="CP15" t="s">
        <v>192</v>
      </c>
      <c r="CQ15" t="s">
        <v>193</v>
      </c>
      <c r="CR15" t="s">
        <v>194</v>
      </c>
      <c r="CS15" t="s">
        <v>195</v>
      </c>
      <c r="CT15" t="s">
        <v>196</v>
      </c>
      <c r="CU15" t="s">
        <v>197</v>
      </c>
      <c r="CV15" t="s">
        <v>198</v>
      </c>
      <c r="CW15" t="s">
        <v>199</v>
      </c>
      <c r="CX15" t="s">
        <v>200</v>
      </c>
      <c r="CY15" t="s">
        <v>201</v>
      </c>
      <c r="CZ15" t="s">
        <v>202</v>
      </c>
      <c r="DA15" t="s">
        <v>203</v>
      </c>
      <c r="DB15" t="s">
        <v>108</v>
      </c>
      <c r="DC15" t="s">
        <v>204</v>
      </c>
      <c r="DD15" t="s">
        <v>205</v>
      </c>
      <c r="DE15" t="s">
        <v>206</v>
      </c>
      <c r="DF15" t="s">
        <v>207</v>
      </c>
      <c r="DG15" t="s">
        <v>208</v>
      </c>
      <c r="DH15" t="s">
        <v>209</v>
      </c>
      <c r="DI15" t="s">
        <v>210</v>
      </c>
      <c r="DJ15" t="s">
        <v>211</v>
      </c>
      <c r="DK15" t="s">
        <v>212</v>
      </c>
      <c r="DL15" t="s">
        <v>213</v>
      </c>
      <c r="DM15" t="s">
        <v>214</v>
      </c>
      <c r="DN15" t="s">
        <v>215</v>
      </c>
      <c r="DO15" t="s">
        <v>216</v>
      </c>
      <c r="DP15" t="s">
        <v>217</v>
      </c>
      <c r="DQ15" t="s">
        <v>218</v>
      </c>
      <c r="DR15" t="s">
        <v>219</v>
      </c>
      <c r="DS15" t="s">
        <v>220</v>
      </c>
      <c r="DT15" t="s">
        <v>221</v>
      </c>
      <c r="DU15" t="s">
        <v>222</v>
      </c>
      <c r="DV15" t="s">
        <v>223</v>
      </c>
      <c r="DW15" t="s">
        <v>224</v>
      </c>
      <c r="DX15" t="s">
        <v>225</v>
      </c>
      <c r="DY15" t="s">
        <v>226</v>
      </c>
      <c r="DZ15" t="s">
        <v>227</v>
      </c>
      <c r="EA15" t="s">
        <v>228</v>
      </c>
      <c r="EB15" t="s">
        <v>229</v>
      </c>
      <c r="EC15" t="s">
        <v>230</v>
      </c>
      <c r="ED15" t="s">
        <v>231</v>
      </c>
      <c r="EE15" t="s">
        <v>232</v>
      </c>
      <c r="EF15" t="s">
        <v>233</v>
      </c>
      <c r="EG15" t="s">
        <v>234</v>
      </c>
      <c r="EH15" t="s">
        <v>235</v>
      </c>
      <c r="EI15" t="s">
        <v>236</v>
      </c>
      <c r="EJ15" t="s">
        <v>237</v>
      </c>
      <c r="EK15" t="s">
        <v>238</v>
      </c>
      <c r="EL15" t="s">
        <v>239</v>
      </c>
      <c r="EM15" t="s">
        <v>240</v>
      </c>
      <c r="EN15" t="s">
        <v>241</v>
      </c>
      <c r="EO15" t="s">
        <v>242</v>
      </c>
      <c r="EP15" t="s">
        <v>243</v>
      </c>
      <c r="EQ15" t="s">
        <v>103</v>
      </c>
      <c r="ER15" t="s">
        <v>106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  <c r="HC15" t="s">
        <v>306</v>
      </c>
      <c r="HD15" t="s">
        <v>307</v>
      </c>
      <c r="HE15" t="s">
        <v>308</v>
      </c>
      <c r="HF15" t="s">
        <v>309</v>
      </c>
      <c r="HG15" t="s">
        <v>310</v>
      </c>
      <c r="HH15" t="s">
        <v>311</v>
      </c>
    </row>
    <row r="16" spans="1:216" x14ac:dyDescent="0.3">
      <c r="B16" t="s">
        <v>312</v>
      </c>
      <c r="C16" t="s">
        <v>312</v>
      </c>
      <c r="F16" t="s">
        <v>312</v>
      </c>
      <c r="G16" t="s">
        <v>312</v>
      </c>
      <c r="H16" t="s">
        <v>313</v>
      </c>
      <c r="I16" t="s">
        <v>314</v>
      </c>
      <c r="J16" t="s">
        <v>315</v>
      </c>
      <c r="K16" t="s">
        <v>316</v>
      </c>
      <c r="L16" t="s">
        <v>316</v>
      </c>
      <c r="M16" t="s">
        <v>211</v>
      </c>
      <c r="N16" t="s">
        <v>211</v>
      </c>
      <c r="O16" t="s">
        <v>313</v>
      </c>
      <c r="P16" t="s">
        <v>313</v>
      </c>
      <c r="Q16" t="s">
        <v>313</v>
      </c>
      <c r="R16" t="s">
        <v>313</v>
      </c>
      <c r="S16" t="s">
        <v>317</v>
      </c>
      <c r="T16" t="s">
        <v>318</v>
      </c>
      <c r="U16" t="s">
        <v>318</v>
      </c>
      <c r="V16" t="s">
        <v>319</v>
      </c>
      <c r="W16" t="s">
        <v>320</v>
      </c>
      <c r="X16" t="s">
        <v>319</v>
      </c>
      <c r="Y16" t="s">
        <v>319</v>
      </c>
      <c r="Z16" t="s">
        <v>319</v>
      </c>
      <c r="AA16" t="s">
        <v>317</v>
      </c>
      <c r="AB16" t="s">
        <v>317</v>
      </c>
      <c r="AC16" t="s">
        <v>317</v>
      </c>
      <c r="AD16" t="s">
        <v>317</v>
      </c>
      <c r="AE16" t="s">
        <v>321</v>
      </c>
      <c r="AF16" t="s">
        <v>320</v>
      </c>
      <c r="AH16" t="s">
        <v>320</v>
      </c>
      <c r="AI16" t="s">
        <v>321</v>
      </c>
      <c r="AO16" t="s">
        <v>315</v>
      </c>
      <c r="AV16" t="s">
        <v>315</v>
      </c>
      <c r="AW16" t="s">
        <v>315</v>
      </c>
      <c r="AX16" t="s">
        <v>315</v>
      </c>
      <c r="AY16" t="s">
        <v>322</v>
      </c>
      <c r="BM16" t="s">
        <v>323</v>
      </c>
      <c r="BO16" t="s">
        <v>323</v>
      </c>
      <c r="BP16" t="s">
        <v>315</v>
      </c>
      <c r="BS16" t="s">
        <v>323</v>
      </c>
      <c r="BT16" t="s">
        <v>320</v>
      </c>
      <c r="BW16" t="s">
        <v>324</v>
      </c>
      <c r="BX16" t="s">
        <v>324</v>
      </c>
      <c r="BZ16" t="s">
        <v>325</v>
      </c>
      <c r="CA16" t="s">
        <v>323</v>
      </c>
      <c r="CC16" t="s">
        <v>323</v>
      </c>
      <c r="CD16" t="s">
        <v>315</v>
      </c>
      <c r="CH16" t="s">
        <v>323</v>
      </c>
      <c r="CJ16" t="s">
        <v>326</v>
      </c>
      <c r="CM16" t="s">
        <v>323</v>
      </c>
      <c r="CN16" t="s">
        <v>323</v>
      </c>
      <c r="CP16" t="s">
        <v>323</v>
      </c>
      <c r="CR16" t="s">
        <v>323</v>
      </c>
      <c r="CT16" t="s">
        <v>315</v>
      </c>
      <c r="CU16" t="s">
        <v>315</v>
      </c>
      <c r="CW16" t="s">
        <v>327</v>
      </c>
      <c r="CX16" t="s">
        <v>328</v>
      </c>
      <c r="DA16" t="s">
        <v>313</v>
      </c>
      <c r="DB16" t="s">
        <v>312</v>
      </c>
      <c r="DC16" t="s">
        <v>316</v>
      </c>
      <c r="DD16" t="s">
        <v>316</v>
      </c>
      <c r="DE16" t="s">
        <v>329</v>
      </c>
      <c r="DF16" t="s">
        <v>329</v>
      </c>
      <c r="DG16" t="s">
        <v>316</v>
      </c>
      <c r="DH16" t="s">
        <v>329</v>
      </c>
      <c r="DI16" t="s">
        <v>321</v>
      </c>
      <c r="DJ16" t="s">
        <v>319</v>
      </c>
      <c r="DK16" t="s">
        <v>319</v>
      </c>
      <c r="DL16" t="s">
        <v>318</v>
      </c>
      <c r="DM16" t="s">
        <v>318</v>
      </c>
      <c r="DN16" t="s">
        <v>318</v>
      </c>
      <c r="DO16" t="s">
        <v>318</v>
      </c>
      <c r="DP16" t="s">
        <v>318</v>
      </c>
      <c r="DQ16" t="s">
        <v>330</v>
      </c>
      <c r="DR16" t="s">
        <v>315</v>
      </c>
      <c r="DS16" t="s">
        <v>315</v>
      </c>
      <c r="DT16" t="s">
        <v>315</v>
      </c>
      <c r="DY16" t="s">
        <v>315</v>
      </c>
      <c r="EB16" t="s">
        <v>318</v>
      </c>
      <c r="EC16" t="s">
        <v>318</v>
      </c>
      <c r="ED16" t="s">
        <v>318</v>
      </c>
      <c r="EE16" t="s">
        <v>318</v>
      </c>
      <c r="EF16" t="s">
        <v>318</v>
      </c>
      <c r="EG16" t="s">
        <v>315</v>
      </c>
      <c r="EH16" t="s">
        <v>315</v>
      </c>
      <c r="EI16" t="s">
        <v>315</v>
      </c>
      <c r="EJ16" t="s">
        <v>312</v>
      </c>
      <c r="EM16" t="s">
        <v>331</v>
      </c>
      <c r="EN16" t="s">
        <v>331</v>
      </c>
      <c r="EP16" t="s">
        <v>312</v>
      </c>
      <c r="EQ16" t="s">
        <v>332</v>
      </c>
      <c r="ES16" t="s">
        <v>312</v>
      </c>
      <c r="ET16" t="s">
        <v>312</v>
      </c>
      <c r="EV16" t="s">
        <v>333</v>
      </c>
      <c r="EW16" t="s">
        <v>334</v>
      </c>
      <c r="EX16" t="s">
        <v>333</v>
      </c>
      <c r="EY16" t="s">
        <v>334</v>
      </c>
      <c r="EZ16" t="s">
        <v>333</v>
      </c>
      <c r="FA16" t="s">
        <v>334</v>
      </c>
      <c r="FB16" t="s">
        <v>320</v>
      </c>
      <c r="FC16" t="s">
        <v>320</v>
      </c>
      <c r="FD16" t="s">
        <v>315</v>
      </c>
      <c r="FE16" t="s">
        <v>335</v>
      </c>
      <c r="FF16" t="s">
        <v>315</v>
      </c>
      <c r="FH16" t="s">
        <v>316</v>
      </c>
      <c r="FI16" t="s">
        <v>336</v>
      </c>
      <c r="FJ16" t="s">
        <v>316</v>
      </c>
      <c r="FM16" t="s">
        <v>337</v>
      </c>
      <c r="FS16" t="s">
        <v>320</v>
      </c>
      <c r="FT16" t="s">
        <v>320</v>
      </c>
      <c r="FU16" t="s">
        <v>333</v>
      </c>
      <c r="FV16" t="s">
        <v>334</v>
      </c>
      <c r="FW16" t="s">
        <v>333</v>
      </c>
      <c r="GA16" t="s">
        <v>334</v>
      </c>
      <c r="GE16" t="s">
        <v>316</v>
      </c>
      <c r="GF16" t="s">
        <v>316</v>
      </c>
      <c r="GG16" t="s">
        <v>329</v>
      </c>
      <c r="GH16" t="s">
        <v>329</v>
      </c>
      <c r="GI16" t="s">
        <v>338</v>
      </c>
      <c r="GJ16" t="s">
        <v>338</v>
      </c>
      <c r="GK16" t="s">
        <v>339</v>
      </c>
      <c r="GL16" t="s">
        <v>339</v>
      </c>
      <c r="GM16" t="s">
        <v>339</v>
      </c>
      <c r="GN16" t="s">
        <v>339</v>
      </c>
      <c r="GO16" t="s">
        <v>339</v>
      </c>
      <c r="GP16" t="s">
        <v>339</v>
      </c>
      <c r="GQ16" t="s">
        <v>318</v>
      </c>
      <c r="GR16" t="s">
        <v>339</v>
      </c>
      <c r="GT16" t="s">
        <v>321</v>
      </c>
      <c r="GU16" t="s">
        <v>321</v>
      </c>
      <c r="GV16" t="s">
        <v>318</v>
      </c>
      <c r="GW16" t="s">
        <v>318</v>
      </c>
      <c r="GX16" t="s">
        <v>318</v>
      </c>
      <c r="GY16" t="s">
        <v>318</v>
      </c>
      <c r="GZ16" t="s">
        <v>318</v>
      </c>
      <c r="HA16" t="s">
        <v>320</v>
      </c>
      <c r="HB16" t="s">
        <v>320</v>
      </c>
      <c r="HC16" t="s">
        <v>320</v>
      </c>
      <c r="HD16" t="s">
        <v>318</v>
      </c>
      <c r="HE16" t="s">
        <v>316</v>
      </c>
      <c r="HF16" t="s">
        <v>329</v>
      </c>
      <c r="HG16" t="s">
        <v>320</v>
      </c>
      <c r="HH16" t="s">
        <v>320</v>
      </c>
    </row>
    <row r="17" spans="1:216" x14ac:dyDescent="0.3">
      <c r="A17">
        <v>1</v>
      </c>
      <c r="B17">
        <v>1792128440</v>
      </c>
      <c r="C17">
        <v>0</v>
      </c>
      <c r="D17" t="s">
        <v>340</v>
      </c>
      <c r="E17" t="s">
        <v>341</v>
      </c>
      <c r="F17">
        <v>5</v>
      </c>
      <c r="G17">
        <v>1792128436.5</v>
      </c>
      <c r="H17">
        <f t="shared" ref="H17:H25" si="0">(I17)/1000</f>
        <v>4.8702388947107402E-3</v>
      </c>
      <c r="I17">
        <f t="shared" ref="I17:I25" si="1">1000*DI17*AG17*(DE17-DF17)/(100*CX17*(1000-AG17*DE17))</f>
        <v>4.8702388947107398</v>
      </c>
      <c r="J17">
        <f t="shared" ref="J17:J25" si="2">DI17*AG17*(DD17-DC17*(1000-AG17*DF17)/(1000-AG17*DE17))/(100*CX17)</f>
        <v>27.0087068593472</v>
      </c>
      <c r="K17">
        <f t="shared" ref="K17:K25" si="3">DC17 - IF(AG17&gt;1, J17*CX17*100/(AI17), 0)</f>
        <v>400.01333333333298</v>
      </c>
      <c r="L17">
        <f t="shared" ref="L17:L25" si="4">((R17-H17/2)*K17-J17)/(R17+H17/2)</f>
        <v>267.65751995539637</v>
      </c>
      <c r="M17">
        <f t="shared" ref="M17:M25" si="5">L17*(DJ17+DK17)/1000</f>
        <v>27.226575427205287</v>
      </c>
      <c r="N17">
        <f t="shared" ref="N17:N25" si="6">(DC17 - IF(AG17&gt;1, J17*CX17*100/(AI17), 0))*(DJ17+DK17)/1000</f>
        <v>40.690032522541209</v>
      </c>
      <c r="O17">
        <f t="shared" ref="O17:O25" si="7">2/((1/Q17-1/P17)+SIGN(Q17)*SQRT((1/Q17-1/P17)*(1/Q17-1/P17) + 4*CY17/((CY17+1)*(CY17+1))*(2*1/Q17*1/P17-1/P17*1/P17)))</f>
        <v>0.36589583914789997</v>
      </c>
      <c r="P17">
        <f t="shared" ref="P17:P25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3.0382715512137555</v>
      </c>
      <c r="Q17">
        <f t="shared" ref="Q17:Q25" si="9">H17*(1000-(1000*0.61365*EXP(17.502*U17/(240.97+U17))/(DJ17+DK17)+DE17)/2)/(1000*0.61365*EXP(17.502*U17/(240.97+U17))/(DJ17+DK17)-DE17)</f>
        <v>0.3430600274887739</v>
      </c>
      <c r="R17">
        <f t="shared" ref="R17:R25" si="10">1/((CY17+1)/(O17/1.6)+1/(P17/1.37)) + CY17/((CY17+1)/(O17/1.6) + CY17/(P17/1.37))</f>
        <v>0.21634535278671974</v>
      </c>
      <c r="S17">
        <f t="shared" ref="S17:S25" si="11">(CT17*CW17)</f>
        <v>241.75289801558515</v>
      </c>
      <c r="T17">
        <f t="shared" ref="T17:T25" si="12">(DL17+(S17+2*0.95*0.0000000567*(((DL17+$B$7)+273)^4-(DL17+273)^4)-44100*H17)/(1.84*29.3*P17+8*0.95*0.0000000567*(DL17+273)^3))</f>
        <v>25.364628406646496</v>
      </c>
      <c r="U17">
        <f t="shared" ref="U17:U25" si="13">($C$7*DM17+$D$7*DN17+$E$7*T17)</f>
        <v>25.021133333333299</v>
      </c>
      <c r="V17">
        <f t="shared" ref="V17:V25" si="14">0.61365*EXP(17.502*U17/(240.97+U17))</f>
        <v>3.1836860313401485</v>
      </c>
      <c r="W17">
        <f t="shared" ref="W17:W25" si="15">(X17/Y17*100)</f>
        <v>55.120632039244242</v>
      </c>
      <c r="X17">
        <f t="shared" ref="X17:X25" si="16">DE17*(DJ17+DK17)/1000</f>
        <v>1.7747942825372434</v>
      </c>
      <c r="Y17">
        <f t="shared" ref="Y17:Y25" si="17">0.61365*EXP(17.502*DL17/(240.97+DL17))</f>
        <v>3.2198365963467959</v>
      </c>
      <c r="Z17">
        <f t="shared" ref="Z17:Z25" si="18">(V17-DE17*(DJ17+DK17)/1000)</f>
        <v>1.4088917488029051</v>
      </c>
      <c r="AA17">
        <f t="shared" ref="AA17:AA25" si="19">(-H17*44100)</f>
        <v>-214.77753525674365</v>
      </c>
      <c r="AB17">
        <f t="shared" ref="AB17:AB25" si="20">2*29.3*P17*0.92*(DL17-U17)</f>
        <v>31.048156531975863</v>
      </c>
      <c r="AC17">
        <f t="shared" ref="AC17:AC25" si="21">2*0.95*0.0000000567*(((DL17+$B$7)+273)^4-(U17+273)^4)</f>
        <v>2.1640930955675004</v>
      </c>
      <c r="AD17">
        <f t="shared" ref="AD17:AD25" si="22">S17+AC17+AA17+AB17</f>
        <v>60.187612386384856</v>
      </c>
      <c r="AE17">
        <v>0</v>
      </c>
      <c r="AF17">
        <v>0</v>
      </c>
      <c r="AG17">
        <f t="shared" ref="AG17:AG25" si="23">IF(AE17*$H$13&gt;=AI17,1,(AI17/(AI17-AE17*$H$13)))</f>
        <v>1</v>
      </c>
      <c r="AH17">
        <f t="shared" ref="AH17:AH25" si="24">(AG17-1)*100</f>
        <v>0</v>
      </c>
      <c r="AI17">
        <f t="shared" ref="AI17:AI25" si="25">MAX(0,($B$13+$C$13*DQ17)/(1+$D$13*DQ17)*DJ17/(DL17+273)*$E$13)</f>
        <v>54073.256039784217</v>
      </c>
      <c r="AJ17" t="s">
        <v>342</v>
      </c>
      <c r="AK17">
        <v>8118.81</v>
      </c>
      <c r="AL17">
        <v>195.66346153846101</v>
      </c>
      <c r="AM17">
        <v>776.847297841461</v>
      </c>
      <c r="AN17">
        <f t="shared" ref="AN17:AN25" si="26">1-AL17/AM17</f>
        <v>0.74813137397513096</v>
      </c>
      <c r="AO17">
        <v>-2.45600743059184</v>
      </c>
      <c r="AP17" t="s">
        <v>343</v>
      </c>
      <c r="AQ17">
        <v>8136.95</v>
      </c>
      <c r="AR17">
        <v>286.52776923076902</v>
      </c>
      <c r="AS17">
        <v>419.41268115387697</v>
      </c>
      <c r="AT17">
        <f t="shared" ref="AT17:AT25" si="27">1-AR17/AS17</f>
        <v>0.3168357035784386</v>
      </c>
      <c r="AU17">
        <v>0.5</v>
      </c>
      <c r="AV17">
        <f t="shared" ref="AV17:AV25" si="28">CU17</f>
        <v>1261.2898000080727</v>
      </c>
      <c r="AW17">
        <f t="shared" ref="AW17:AW25" si="29">J17</f>
        <v>27.0087068593472</v>
      </c>
      <c r="AX17">
        <f t="shared" ref="AX17:AX25" si="30">AT17*AU17*AV17</f>
        <v>199.81082060093291</v>
      </c>
      <c r="AY17">
        <f t="shared" ref="AY17:AY25" si="31">(AW17-AO17)/AV17</f>
        <v>2.3360780599153703E-2</v>
      </c>
      <c r="AZ17">
        <f t="shared" ref="AZ17:AZ25" si="32">(AM17-AS17)/AS17</f>
        <v>0.85222653665172798</v>
      </c>
      <c r="BA17">
        <f t="shared" ref="BA17:BA25" si="33">AL17/(AN17+AL17/AS17)</f>
        <v>161.08640529478694</v>
      </c>
      <c r="BB17" t="s">
        <v>344</v>
      </c>
      <c r="BC17">
        <v>0</v>
      </c>
      <c r="BD17">
        <f t="shared" ref="BD17:BD25" si="34">IF(BC17&lt;&gt;0, BC17, BA17)</f>
        <v>161.08640529478694</v>
      </c>
      <c r="BE17">
        <f t="shared" ref="BE17:BE25" si="35">1-BD17/AS17</f>
        <v>0.61592385606555733</v>
      </c>
      <c r="BF17">
        <f t="shared" ref="BF17:BF25" si="36">(AS17-AR17)/(AS17-BD17)</f>
        <v>0.51440726066748643</v>
      </c>
      <c r="BG17">
        <f t="shared" ref="BG17:BG25" si="37">(AM17-AS17)/(AM17-BD17)</f>
        <v>0.58047631964625102</v>
      </c>
      <c r="BH17">
        <f t="shared" ref="BH17:BH25" si="38">(AS17-AR17)/(AS17-AL17)</f>
        <v>0.59390111908105347</v>
      </c>
      <c r="BI17">
        <f t="shared" ref="BI17:BI25" si="39">(AM17-AS17)/(AM17-AL17)</f>
        <v>0.61501128276601902</v>
      </c>
      <c r="BJ17">
        <f t="shared" ref="BJ17:BJ25" si="40">(BF17*BD17/AR17)</f>
        <v>0.28920064781478577</v>
      </c>
      <c r="BK17">
        <f t="shared" ref="BK17:BK25" si="41">(1-BJ17)</f>
        <v>0.71079935218521428</v>
      </c>
      <c r="BL17">
        <v>166</v>
      </c>
      <c r="BM17">
        <v>290</v>
      </c>
      <c r="BN17">
        <v>385.35</v>
      </c>
      <c r="BO17">
        <v>255</v>
      </c>
      <c r="BP17">
        <v>8136.95</v>
      </c>
      <c r="BQ17">
        <v>385.17</v>
      </c>
      <c r="BR17">
        <v>0.18</v>
      </c>
      <c r="BS17">
        <v>300</v>
      </c>
      <c r="BT17">
        <v>19.100000000000001</v>
      </c>
      <c r="BU17">
        <v>419.41268115387697</v>
      </c>
      <c r="BV17">
        <v>3.3489448915187601</v>
      </c>
      <c r="BW17">
        <v>-27.859712648824701</v>
      </c>
      <c r="BX17">
        <v>2.4933186073302598</v>
      </c>
      <c r="BY17">
        <v>0.81681702656019595</v>
      </c>
      <c r="BZ17">
        <v>-4.38461624026696E-3</v>
      </c>
      <c r="CA17">
        <v>290</v>
      </c>
      <c r="CB17">
        <v>384.88</v>
      </c>
      <c r="CC17">
        <v>715</v>
      </c>
      <c r="CD17">
        <v>8130.47</v>
      </c>
      <c r="CE17">
        <v>385.15</v>
      </c>
      <c r="CF17">
        <v>-0.27</v>
      </c>
      <c r="CT17">
        <f t="shared" ref="CT17:CT25" si="42">$B$11*DR17+$C$11*DS17+$F$11*DT17*(1-DW17)</f>
        <v>1500.0933333333301</v>
      </c>
      <c r="CU17">
        <f t="shared" ref="CU17:CU25" si="43">CT17*CV17</f>
        <v>1261.2898000080727</v>
      </c>
      <c r="CV17">
        <f t="shared" ref="CV17:CV25" si="44">($B$11*$D$9+$C$11*$D$9+$F$11*((EG17+DY17)/MAX(EG17+DY17+EH17, 0.1)*$I$9+EH17/MAX(EG17+DY17+EH17, 0.1)*$J$9))/($B$11+$C$11+$F$11)</f>
        <v>0.84080754975784311</v>
      </c>
      <c r="CW17">
        <f t="shared" ref="CW17:CW25" si="45">($B$11*$K$9+$C$11*$K$9+$F$11*((EG17+DY17)/MAX(EG17+DY17+EH17, 0.1)*$P$9+EH17/MAX(EG17+DY17+EH17, 0.1)*$Q$9))/($B$11+$C$11+$F$11)</f>
        <v>0.16115857103263731</v>
      </c>
      <c r="CX17">
        <v>2</v>
      </c>
      <c r="CY17">
        <v>0.5</v>
      </c>
      <c r="CZ17" t="s">
        <v>345</v>
      </c>
      <c r="DA17">
        <v>2</v>
      </c>
      <c r="DB17">
        <v>1792128436.5</v>
      </c>
      <c r="DC17">
        <v>400.01333333333298</v>
      </c>
      <c r="DD17">
        <v>411.59483333333299</v>
      </c>
      <c r="DE17">
        <v>17.44755</v>
      </c>
      <c r="DF17">
        <v>15.53365</v>
      </c>
      <c r="DG17">
        <v>400.62883333333298</v>
      </c>
      <c r="DH17">
        <v>17.607749999999999</v>
      </c>
      <c r="DI17">
        <v>500.05383333333299</v>
      </c>
      <c r="DJ17">
        <v>101.621666666667</v>
      </c>
      <c r="DK17">
        <v>0.100023916666667</v>
      </c>
      <c r="DL17">
        <v>25.2106833333333</v>
      </c>
      <c r="DM17">
        <v>25.021133333333299</v>
      </c>
      <c r="DN17">
        <v>999.9</v>
      </c>
      <c r="DO17">
        <v>0</v>
      </c>
      <c r="DP17">
        <v>0</v>
      </c>
      <c r="DQ17">
        <v>10003.120000000001</v>
      </c>
      <c r="DR17">
        <v>0</v>
      </c>
      <c r="DS17">
        <v>8.2630700000000008</v>
      </c>
      <c r="DT17">
        <v>1500.0933333333301</v>
      </c>
      <c r="DU17">
        <v>0.97299250000000004</v>
      </c>
      <c r="DV17">
        <v>2.7007116666666699E-2</v>
      </c>
      <c r="DW17">
        <v>0</v>
      </c>
      <c r="DX17">
        <v>286.81816666666703</v>
      </c>
      <c r="DY17">
        <v>4.9999900000000004</v>
      </c>
      <c r="DZ17">
        <v>4270.93</v>
      </c>
      <c r="EA17">
        <v>14883.483333333301</v>
      </c>
      <c r="EB17">
        <v>39.020666666666699</v>
      </c>
      <c r="EC17">
        <v>40.697666666666699</v>
      </c>
      <c r="ED17">
        <v>39.551666666666698</v>
      </c>
      <c r="EE17">
        <v>41.249833333333299</v>
      </c>
      <c r="EF17">
        <v>40.739333333333299</v>
      </c>
      <c r="EG17">
        <v>1454.71333333333</v>
      </c>
      <c r="EH17">
        <v>40.380000000000003</v>
      </c>
      <c r="EI17">
        <v>0</v>
      </c>
      <c r="EJ17">
        <v>5832</v>
      </c>
      <c r="EK17">
        <v>0</v>
      </c>
      <c r="EL17">
        <v>286.52776923076902</v>
      </c>
      <c r="EM17">
        <v>1.0882735433117701</v>
      </c>
      <c r="EN17">
        <v>-13.7357264732278</v>
      </c>
      <c r="EO17">
        <v>4271.8311538461503</v>
      </c>
      <c r="EP17">
        <v>15</v>
      </c>
      <c r="EQ17">
        <v>1792128238</v>
      </c>
      <c r="ER17" t="s">
        <v>346</v>
      </c>
      <c r="ES17">
        <v>1792128238</v>
      </c>
      <c r="ET17">
        <v>1792128236</v>
      </c>
      <c r="EU17">
        <v>51</v>
      </c>
      <c r="EV17">
        <v>0.191</v>
      </c>
      <c r="EW17">
        <v>0</v>
      </c>
      <c r="EX17">
        <v>-0.61</v>
      </c>
      <c r="EY17">
        <v>-0.185</v>
      </c>
      <c r="EZ17">
        <v>412</v>
      </c>
      <c r="FA17">
        <v>15</v>
      </c>
      <c r="FB17">
        <v>0.08</v>
      </c>
      <c r="FC17">
        <v>0.02</v>
      </c>
      <c r="FD17">
        <v>27.030993378479199</v>
      </c>
      <c r="FE17">
        <v>-0.43397724743746402</v>
      </c>
      <c r="FF17">
        <v>7.3237034454631394E-2</v>
      </c>
      <c r="FG17">
        <v>1</v>
      </c>
      <c r="FH17">
        <v>-11.593728571428599</v>
      </c>
      <c r="FI17">
        <v>0.19358961038959599</v>
      </c>
      <c r="FJ17">
        <v>3.02969610743411E-2</v>
      </c>
      <c r="FK17">
        <v>1</v>
      </c>
      <c r="FL17">
        <v>286.56979411764701</v>
      </c>
      <c r="FM17">
        <v>-0.37281893357422902</v>
      </c>
      <c r="FN17">
        <v>0.46701711641461102</v>
      </c>
      <c r="FO17">
        <v>1</v>
      </c>
      <c r="FP17">
        <v>3</v>
      </c>
      <c r="FQ17">
        <v>3</v>
      </c>
      <c r="FR17" t="s">
        <v>347</v>
      </c>
      <c r="FS17">
        <v>100</v>
      </c>
      <c r="FT17">
        <v>100</v>
      </c>
      <c r="FU17">
        <v>-0.61599999999999999</v>
      </c>
      <c r="FV17">
        <v>-0.16020000000000001</v>
      </c>
      <c r="FW17">
        <v>-0.69045352518557501</v>
      </c>
      <c r="FX17">
        <v>-6.1673298426602905E-5</v>
      </c>
      <c r="FY17">
        <v>6.1939807181674203E-7</v>
      </c>
      <c r="FZ17">
        <v>3.19222985850634E-12</v>
      </c>
      <c r="GA17">
        <v>-8.0355240034961403E-2</v>
      </c>
      <c r="GB17">
        <v>-2.57783215012692E-2</v>
      </c>
      <c r="GC17">
        <v>1.33723821780375E-3</v>
      </c>
      <c r="GD17">
        <v>-7.42160749481374E-6</v>
      </c>
      <c r="GE17">
        <v>7</v>
      </c>
      <c r="GF17">
        <v>2154</v>
      </c>
      <c r="GG17">
        <v>2</v>
      </c>
      <c r="GH17">
        <v>20</v>
      </c>
      <c r="GI17">
        <v>3.4</v>
      </c>
      <c r="GJ17">
        <v>3.4</v>
      </c>
      <c r="GK17">
        <v>1.0644499999999999</v>
      </c>
      <c r="GL17">
        <v>2.6440399999999999</v>
      </c>
      <c r="GM17">
        <v>1.65161</v>
      </c>
      <c r="GN17">
        <v>2.2692899999999998</v>
      </c>
      <c r="GO17">
        <v>1.5979000000000001</v>
      </c>
      <c r="GP17">
        <v>2.6171899999999999</v>
      </c>
      <c r="GQ17">
        <v>35.3596</v>
      </c>
      <c r="GR17">
        <v>16.347300000000001</v>
      </c>
      <c r="GS17">
        <v>18</v>
      </c>
      <c r="GT17">
        <v>489.44499999999999</v>
      </c>
      <c r="GU17">
        <v>540.59500000000003</v>
      </c>
      <c r="GV17">
        <v>21.3415</v>
      </c>
      <c r="GW17">
        <v>28.333600000000001</v>
      </c>
      <c r="GX17">
        <v>30.0001</v>
      </c>
      <c r="GY17">
        <v>28.467600000000001</v>
      </c>
      <c r="GZ17">
        <v>28.526900000000001</v>
      </c>
      <c r="HA17">
        <v>21.28</v>
      </c>
      <c r="HB17">
        <v>21.686</v>
      </c>
      <c r="HC17">
        <v>32.920099999999998</v>
      </c>
      <c r="HD17">
        <v>21.334599999999998</v>
      </c>
      <c r="HE17">
        <v>411.62900000000002</v>
      </c>
      <c r="HF17">
        <v>15.5733</v>
      </c>
      <c r="HG17">
        <v>98.267300000000006</v>
      </c>
      <c r="HH17">
        <v>94.774199999999993</v>
      </c>
    </row>
    <row r="18" spans="1:216" x14ac:dyDescent="0.3">
      <c r="A18">
        <v>2</v>
      </c>
      <c r="B18">
        <v>1792128582</v>
      </c>
      <c r="C18">
        <v>142</v>
      </c>
      <c r="D18" t="s">
        <v>348</v>
      </c>
      <c r="E18" t="s">
        <v>349</v>
      </c>
      <c r="F18">
        <v>5</v>
      </c>
      <c r="G18">
        <v>1792128578.5</v>
      </c>
      <c r="H18">
        <f t="shared" si="0"/>
        <v>3.9828060045023041E-3</v>
      </c>
      <c r="I18">
        <f t="shared" si="1"/>
        <v>3.9828060045023039</v>
      </c>
      <c r="J18">
        <f t="shared" si="2"/>
        <v>24.703689308790263</v>
      </c>
      <c r="K18">
        <f t="shared" si="3"/>
        <v>400.07749999999999</v>
      </c>
      <c r="L18">
        <f t="shared" si="4"/>
        <v>253.78536371345862</v>
      </c>
      <c r="M18">
        <f t="shared" si="5"/>
        <v>25.815527130434244</v>
      </c>
      <c r="N18">
        <f t="shared" si="6"/>
        <v>40.696639886560114</v>
      </c>
      <c r="O18">
        <f t="shared" si="7"/>
        <v>0.2976353165717151</v>
      </c>
      <c r="P18">
        <f t="shared" si="8"/>
        <v>3.0376201591309253</v>
      </c>
      <c r="Q18">
        <f t="shared" si="9"/>
        <v>0.28233076662026896</v>
      </c>
      <c r="R18">
        <f t="shared" si="10"/>
        <v>0.17776617690312768</v>
      </c>
      <c r="S18">
        <f t="shared" si="11"/>
        <v>193.8073470190343</v>
      </c>
      <c r="T18">
        <f t="shared" si="12"/>
        <v>25.46722922976123</v>
      </c>
      <c r="U18">
        <f t="shared" si="13"/>
        <v>25.01905</v>
      </c>
      <c r="V18">
        <f t="shared" si="14"/>
        <v>3.1832906813186725</v>
      </c>
      <c r="W18">
        <f t="shared" si="15"/>
        <v>54.884762772007335</v>
      </c>
      <c r="X18">
        <f t="shared" si="16"/>
        <v>1.7833441152790539</v>
      </c>
      <c r="Y18">
        <f t="shared" si="17"/>
        <v>3.2492517507766401</v>
      </c>
      <c r="Z18">
        <f t="shared" si="18"/>
        <v>1.3999465660396186</v>
      </c>
      <c r="AA18">
        <f t="shared" si="19"/>
        <v>-175.6417447985516</v>
      </c>
      <c r="AB18">
        <f t="shared" si="20"/>
        <v>56.4167593275684</v>
      </c>
      <c r="AC18">
        <f t="shared" si="21"/>
        <v>3.9361435391064852</v>
      </c>
      <c r="AD18">
        <f t="shared" si="22"/>
        <v>78.518505087157592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54025.15428626947</v>
      </c>
      <c r="AJ18" t="s">
        <v>342</v>
      </c>
      <c r="AK18">
        <v>8118.81</v>
      </c>
      <c r="AL18">
        <v>195.66346153846101</v>
      </c>
      <c r="AM18">
        <v>776.847297841461</v>
      </c>
      <c r="AN18">
        <f t="shared" si="26"/>
        <v>0.74813137397513096</v>
      </c>
      <c r="AO18">
        <v>-2.45600743059184</v>
      </c>
      <c r="AP18" t="s">
        <v>350</v>
      </c>
      <c r="AQ18">
        <v>8141.26</v>
      </c>
      <c r="AR18">
        <v>285.54615999999999</v>
      </c>
      <c r="AS18">
        <v>459.23877995310801</v>
      </c>
      <c r="AT18">
        <f t="shared" si="27"/>
        <v>0.37821853801380501</v>
      </c>
      <c r="AU18">
        <v>0.5</v>
      </c>
      <c r="AV18">
        <f t="shared" si="28"/>
        <v>1009.2003000098622</v>
      </c>
      <c r="AW18">
        <f t="shared" si="29"/>
        <v>24.703689308790263</v>
      </c>
      <c r="AX18">
        <f t="shared" si="30"/>
        <v>190.84913101641175</v>
      </c>
      <c r="AY18">
        <f t="shared" si="31"/>
        <v>2.6912097369686364E-2</v>
      </c>
      <c r="AZ18">
        <f t="shared" si="32"/>
        <v>0.6915977738656639</v>
      </c>
      <c r="BA18">
        <f t="shared" si="33"/>
        <v>166.6367153080613</v>
      </c>
      <c r="BB18" t="s">
        <v>344</v>
      </c>
      <c r="BC18">
        <v>0</v>
      </c>
      <c r="BD18">
        <f t="shared" si="34"/>
        <v>166.6367153080613</v>
      </c>
      <c r="BE18">
        <f t="shared" si="35"/>
        <v>0.63714581045382046</v>
      </c>
      <c r="BF18">
        <f t="shared" si="36"/>
        <v>0.59361378794033182</v>
      </c>
      <c r="BG18">
        <f t="shared" si="37"/>
        <v>0.52049001931389605</v>
      </c>
      <c r="BH18">
        <f t="shared" si="38"/>
        <v>0.65898666460059507</v>
      </c>
      <c r="BI18">
        <f t="shared" si="39"/>
        <v>0.5464854630313013</v>
      </c>
      <c r="BJ18">
        <f t="shared" si="40"/>
        <v>0.34641632646698156</v>
      </c>
      <c r="BK18">
        <f t="shared" si="41"/>
        <v>0.65358367353301849</v>
      </c>
      <c r="BL18">
        <v>167</v>
      </c>
      <c r="BM18">
        <v>290</v>
      </c>
      <c r="BN18">
        <v>415.95</v>
      </c>
      <c r="BO18">
        <v>295</v>
      </c>
      <c r="BP18">
        <v>8141.26</v>
      </c>
      <c r="BQ18">
        <v>415.86</v>
      </c>
      <c r="BR18">
        <v>0.09</v>
      </c>
      <c r="BS18">
        <v>300</v>
      </c>
      <c r="BT18">
        <v>19.100000000000001</v>
      </c>
      <c r="BU18">
        <v>459.23877995310801</v>
      </c>
      <c r="BV18">
        <v>2.8713801654740698</v>
      </c>
      <c r="BW18">
        <v>-35.316462453245599</v>
      </c>
      <c r="BX18">
        <v>2.1296795002731299</v>
      </c>
      <c r="BY18">
        <v>0.90758944496065697</v>
      </c>
      <c r="BZ18">
        <v>-4.5876409343715398E-3</v>
      </c>
      <c r="CA18">
        <v>290</v>
      </c>
      <c r="CB18">
        <v>414.59</v>
      </c>
      <c r="CC18">
        <v>655</v>
      </c>
      <c r="CD18">
        <v>8136.84</v>
      </c>
      <c r="CE18">
        <v>415.84</v>
      </c>
      <c r="CF18">
        <v>-1.25</v>
      </c>
      <c r="CT18">
        <f t="shared" si="42"/>
        <v>1200.02</v>
      </c>
      <c r="CU18">
        <f t="shared" si="43"/>
        <v>1009.2003000098622</v>
      </c>
      <c r="CV18">
        <f t="shared" si="44"/>
        <v>0.84098623357099234</v>
      </c>
      <c r="CW18">
        <f t="shared" si="45"/>
        <v>0.16150343079201537</v>
      </c>
      <c r="CX18">
        <v>2</v>
      </c>
      <c r="CY18">
        <v>0.5</v>
      </c>
      <c r="CZ18" t="s">
        <v>345</v>
      </c>
      <c r="DA18">
        <v>2</v>
      </c>
      <c r="DB18">
        <v>1792128578.5</v>
      </c>
      <c r="DC18">
        <v>400.07749999999999</v>
      </c>
      <c r="DD18">
        <v>410.59516666666701</v>
      </c>
      <c r="DE18">
        <v>17.531566666666698</v>
      </c>
      <c r="DF18">
        <v>15.96655</v>
      </c>
      <c r="DG18">
        <v>400.692833333333</v>
      </c>
      <c r="DH18">
        <v>17.690566666666701</v>
      </c>
      <c r="DI18">
        <v>500.05616666666702</v>
      </c>
      <c r="DJ18">
        <v>101.621833333333</v>
      </c>
      <c r="DK18">
        <v>0.10005776666666701</v>
      </c>
      <c r="DL18">
        <v>25.36355</v>
      </c>
      <c r="DM18">
        <v>25.01905</v>
      </c>
      <c r="DN18">
        <v>999.9</v>
      </c>
      <c r="DO18">
        <v>0</v>
      </c>
      <c r="DP18">
        <v>0</v>
      </c>
      <c r="DQ18">
        <v>9999.1666666666697</v>
      </c>
      <c r="DR18">
        <v>0</v>
      </c>
      <c r="DS18">
        <v>8.4701199999999996</v>
      </c>
      <c r="DT18">
        <v>1200.02</v>
      </c>
      <c r="DU18">
        <v>0.96698799999999996</v>
      </c>
      <c r="DV18">
        <v>3.3011600000000002E-2</v>
      </c>
      <c r="DW18">
        <v>0</v>
      </c>
      <c r="DX18">
        <v>285.51416666666699</v>
      </c>
      <c r="DY18">
        <v>4.9999900000000004</v>
      </c>
      <c r="DZ18">
        <v>3386.1750000000002</v>
      </c>
      <c r="EA18">
        <v>11872.833333333299</v>
      </c>
      <c r="EB18">
        <v>37.582999999999998</v>
      </c>
      <c r="EC18">
        <v>39.155999999999999</v>
      </c>
      <c r="ED18">
        <v>38.395666666666699</v>
      </c>
      <c r="EE18">
        <v>38.561999999999998</v>
      </c>
      <c r="EF18">
        <v>39.291333333333299</v>
      </c>
      <c r="EG18">
        <v>1155.57</v>
      </c>
      <c r="EH18">
        <v>39.450000000000003</v>
      </c>
      <c r="EI18">
        <v>0</v>
      </c>
      <c r="EJ18">
        <v>140.69999980926499</v>
      </c>
      <c r="EK18">
        <v>0</v>
      </c>
      <c r="EL18">
        <v>285.54615999999999</v>
      </c>
      <c r="EM18">
        <v>0.247615374490576</v>
      </c>
      <c r="EN18">
        <v>-7.6061538687308596</v>
      </c>
      <c r="EO18">
        <v>3386.6480000000001</v>
      </c>
      <c r="EP18">
        <v>15</v>
      </c>
      <c r="EQ18">
        <v>1792128238</v>
      </c>
      <c r="ER18" t="s">
        <v>346</v>
      </c>
      <c r="ES18">
        <v>1792128238</v>
      </c>
      <c r="ET18">
        <v>1792128236</v>
      </c>
      <c r="EU18">
        <v>51</v>
      </c>
      <c r="EV18">
        <v>0.191</v>
      </c>
      <c r="EW18">
        <v>0</v>
      </c>
      <c r="EX18">
        <v>-0.61</v>
      </c>
      <c r="EY18">
        <v>-0.185</v>
      </c>
      <c r="EZ18">
        <v>412</v>
      </c>
      <c r="FA18">
        <v>15</v>
      </c>
      <c r="FB18">
        <v>0.08</v>
      </c>
      <c r="FC18">
        <v>0.02</v>
      </c>
      <c r="FD18">
        <v>24.778333542020899</v>
      </c>
      <c r="FE18">
        <v>3.2845732677083202E-3</v>
      </c>
      <c r="FF18">
        <v>7.2272110931518502E-2</v>
      </c>
      <c r="FG18">
        <v>1</v>
      </c>
      <c r="FH18">
        <v>-10.5562047619048</v>
      </c>
      <c r="FI18">
        <v>0.228381818181805</v>
      </c>
      <c r="FJ18">
        <v>3.8697809414936203E-2</v>
      </c>
      <c r="FK18">
        <v>1</v>
      </c>
      <c r="FL18">
        <v>285.59573529411801</v>
      </c>
      <c r="FM18">
        <v>1.8624903481033201E-2</v>
      </c>
      <c r="FN18">
        <v>0.43891083838114697</v>
      </c>
      <c r="FO18">
        <v>1</v>
      </c>
      <c r="FP18">
        <v>3</v>
      </c>
      <c r="FQ18">
        <v>3</v>
      </c>
      <c r="FR18" t="s">
        <v>347</v>
      </c>
      <c r="FS18">
        <v>100</v>
      </c>
      <c r="FT18">
        <v>100</v>
      </c>
      <c r="FU18">
        <v>-0.61599999999999999</v>
      </c>
      <c r="FV18">
        <v>-0.15870000000000001</v>
      </c>
      <c r="FW18">
        <v>-0.69045352518557501</v>
      </c>
      <c r="FX18">
        <v>-6.1673298426602905E-5</v>
      </c>
      <c r="FY18">
        <v>6.1939807181674203E-7</v>
      </c>
      <c r="FZ18">
        <v>3.19222985850634E-12</v>
      </c>
      <c r="GA18">
        <v>-8.0355240034961403E-2</v>
      </c>
      <c r="GB18">
        <v>-2.57783215012692E-2</v>
      </c>
      <c r="GC18">
        <v>1.33723821780375E-3</v>
      </c>
      <c r="GD18">
        <v>-7.42160749481374E-6</v>
      </c>
      <c r="GE18">
        <v>7</v>
      </c>
      <c r="GF18">
        <v>2154</v>
      </c>
      <c r="GG18">
        <v>2</v>
      </c>
      <c r="GH18">
        <v>20</v>
      </c>
      <c r="GI18">
        <v>5.7</v>
      </c>
      <c r="GJ18">
        <v>5.8</v>
      </c>
      <c r="GK18">
        <v>1.0620099999999999</v>
      </c>
      <c r="GL18">
        <v>2.6355</v>
      </c>
      <c r="GM18">
        <v>1.65161</v>
      </c>
      <c r="GN18">
        <v>2.2692899999999998</v>
      </c>
      <c r="GO18">
        <v>1.5979000000000001</v>
      </c>
      <c r="GP18">
        <v>2.6355</v>
      </c>
      <c r="GQ18">
        <v>35.151600000000002</v>
      </c>
      <c r="GR18">
        <v>16.3035</v>
      </c>
      <c r="GS18">
        <v>18</v>
      </c>
      <c r="GT18">
        <v>489.60300000000001</v>
      </c>
      <c r="GU18">
        <v>541.779</v>
      </c>
      <c r="GV18">
        <v>22.192399999999999</v>
      </c>
      <c r="GW18">
        <v>28.341999999999999</v>
      </c>
      <c r="GX18">
        <v>29.997900000000001</v>
      </c>
      <c r="GY18">
        <v>28.481999999999999</v>
      </c>
      <c r="GZ18">
        <v>28.541499999999999</v>
      </c>
      <c r="HA18">
        <v>21.247299999999999</v>
      </c>
      <c r="HB18">
        <v>19.9709</v>
      </c>
      <c r="HC18">
        <v>33.306399999999996</v>
      </c>
      <c r="HD18">
        <v>22.274999999999999</v>
      </c>
      <c r="HE18">
        <v>410.56099999999998</v>
      </c>
      <c r="HF18">
        <v>15.9856</v>
      </c>
      <c r="HG18">
        <v>98.265100000000004</v>
      </c>
      <c r="HH18">
        <v>94.767499999999998</v>
      </c>
    </row>
    <row r="19" spans="1:216" x14ac:dyDescent="0.3">
      <c r="A19">
        <v>3</v>
      </c>
      <c r="B19">
        <v>1792128706</v>
      </c>
      <c r="C19">
        <v>266</v>
      </c>
      <c r="D19" t="s">
        <v>351</v>
      </c>
      <c r="E19" t="s">
        <v>352</v>
      </c>
      <c r="F19">
        <v>5</v>
      </c>
      <c r="G19">
        <v>1792128703</v>
      </c>
      <c r="H19">
        <f t="shared" si="0"/>
        <v>3.714269837555411E-3</v>
      </c>
      <c r="I19">
        <f t="shared" si="1"/>
        <v>3.7142698375554111</v>
      </c>
      <c r="J19">
        <f t="shared" si="2"/>
        <v>21.776587274244648</v>
      </c>
      <c r="K19">
        <f t="shared" si="3"/>
        <v>400.05459999999999</v>
      </c>
      <c r="L19">
        <f t="shared" si="4"/>
        <v>262.0869574701166</v>
      </c>
      <c r="M19">
        <f t="shared" si="5"/>
        <v>26.65827050412021</v>
      </c>
      <c r="N19">
        <f t="shared" si="6"/>
        <v>40.691699602921354</v>
      </c>
      <c r="O19">
        <f t="shared" si="7"/>
        <v>0.27838639241219409</v>
      </c>
      <c r="P19">
        <f t="shared" si="8"/>
        <v>3.0396615867723833</v>
      </c>
      <c r="Q19">
        <f t="shared" si="9"/>
        <v>0.26495796111552206</v>
      </c>
      <c r="R19">
        <f t="shared" si="10"/>
        <v>0.16675122557677363</v>
      </c>
      <c r="S19">
        <f t="shared" si="11"/>
        <v>145.91929135810096</v>
      </c>
      <c r="T19">
        <f t="shared" si="12"/>
        <v>25.50011082191849</v>
      </c>
      <c r="U19">
        <f t="shared" si="13"/>
        <v>25.031459999999999</v>
      </c>
      <c r="V19">
        <f t="shared" si="14"/>
        <v>3.1856463358464016</v>
      </c>
      <c r="W19">
        <f t="shared" si="15"/>
        <v>54.456346636658736</v>
      </c>
      <c r="X19">
        <f t="shared" si="16"/>
        <v>1.7946740348190284</v>
      </c>
      <c r="Y19">
        <f t="shared" si="17"/>
        <v>3.295619602970016</v>
      </c>
      <c r="Z19">
        <f t="shared" si="18"/>
        <v>1.3909723010273731</v>
      </c>
      <c r="AA19">
        <f t="shared" si="19"/>
        <v>-163.79929983619363</v>
      </c>
      <c r="AB19">
        <f t="shared" si="20"/>
        <v>93.509916241650686</v>
      </c>
      <c r="AC19">
        <f t="shared" si="21"/>
        <v>6.5279533488673991</v>
      </c>
      <c r="AD19">
        <f t="shared" si="22"/>
        <v>82.157861112425437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54045.764185171101</v>
      </c>
      <c r="AJ19" t="s">
        <v>342</v>
      </c>
      <c r="AK19">
        <v>8118.81</v>
      </c>
      <c r="AL19">
        <v>195.66346153846101</v>
      </c>
      <c r="AM19">
        <v>776.847297841461</v>
      </c>
      <c r="AN19">
        <f t="shared" si="26"/>
        <v>0.74813137397513096</v>
      </c>
      <c r="AO19">
        <v>-2.45600743059184</v>
      </c>
      <c r="AP19" t="s">
        <v>353</v>
      </c>
      <c r="AQ19">
        <v>8148.23</v>
      </c>
      <c r="AR19">
        <v>290.49196000000001</v>
      </c>
      <c r="AS19">
        <v>532.62348196777396</v>
      </c>
      <c r="AT19">
        <f t="shared" si="27"/>
        <v>0.45460166546397962</v>
      </c>
      <c r="AU19">
        <v>0.5</v>
      </c>
      <c r="AV19">
        <f t="shared" si="28"/>
        <v>757.17719344979309</v>
      </c>
      <c r="AW19">
        <f t="shared" si="29"/>
        <v>21.776587274244648</v>
      </c>
      <c r="AX19">
        <f t="shared" si="30"/>
        <v>172.1070065968089</v>
      </c>
      <c r="AY19">
        <f t="shared" si="31"/>
        <v>3.2003862391086796E-2</v>
      </c>
      <c r="AZ19">
        <f t="shared" si="32"/>
        <v>0.4585299449648817</v>
      </c>
      <c r="BA19">
        <f t="shared" si="33"/>
        <v>175.40594990050784</v>
      </c>
      <c r="BB19" t="s">
        <v>344</v>
      </c>
      <c r="BC19">
        <v>0</v>
      </c>
      <c r="BD19">
        <f t="shared" si="34"/>
        <v>175.40594990050784</v>
      </c>
      <c r="BE19">
        <f t="shared" si="35"/>
        <v>0.67067552250518192</v>
      </c>
      <c r="BF19">
        <f t="shared" si="36"/>
        <v>0.67782653490304945</v>
      </c>
      <c r="BG19">
        <f t="shared" si="37"/>
        <v>0.40606422672766396</v>
      </c>
      <c r="BH19">
        <f t="shared" si="38"/>
        <v>0.71857641051683152</v>
      </c>
      <c r="BI19">
        <f t="shared" si="39"/>
        <v>0.42021783920769784</v>
      </c>
      <c r="BJ19">
        <f t="shared" si="40"/>
        <v>0.40928777244795039</v>
      </c>
      <c r="BK19">
        <f t="shared" si="41"/>
        <v>0.59071222755204955</v>
      </c>
      <c r="BL19">
        <v>168</v>
      </c>
      <c r="BM19">
        <v>290</v>
      </c>
      <c r="BN19">
        <v>477.3</v>
      </c>
      <c r="BO19">
        <v>225</v>
      </c>
      <c r="BP19">
        <v>8148.23</v>
      </c>
      <c r="BQ19">
        <v>476.61</v>
      </c>
      <c r="BR19">
        <v>0.69</v>
      </c>
      <c r="BS19">
        <v>300</v>
      </c>
      <c r="BT19">
        <v>19.100000000000001</v>
      </c>
      <c r="BU19">
        <v>532.62348196777396</v>
      </c>
      <c r="BV19">
        <v>2.3083727172180999</v>
      </c>
      <c r="BW19">
        <v>-45.644851108972198</v>
      </c>
      <c r="BX19">
        <v>1.7054827849985099</v>
      </c>
      <c r="BY19">
        <v>0.96238025679039096</v>
      </c>
      <c r="BZ19">
        <v>-4.79065917686317E-3</v>
      </c>
      <c r="CA19">
        <v>290</v>
      </c>
      <c r="CB19">
        <v>472.11</v>
      </c>
      <c r="CC19">
        <v>615</v>
      </c>
      <c r="CD19">
        <v>8142.65</v>
      </c>
      <c r="CE19">
        <v>476.57</v>
      </c>
      <c r="CF19">
        <v>-4.46</v>
      </c>
      <c r="CT19">
        <f t="shared" si="42"/>
        <v>899.995</v>
      </c>
      <c r="CU19">
        <f t="shared" si="43"/>
        <v>757.17719344979309</v>
      </c>
      <c r="CV19">
        <f t="shared" si="44"/>
        <v>0.84131266668125171</v>
      </c>
      <c r="CW19">
        <f t="shared" si="45"/>
        <v>0.16213344669481605</v>
      </c>
      <c r="CX19">
        <v>2</v>
      </c>
      <c r="CY19">
        <v>0.5</v>
      </c>
      <c r="CZ19" t="s">
        <v>345</v>
      </c>
      <c r="DA19">
        <v>2</v>
      </c>
      <c r="DB19">
        <v>1792128703</v>
      </c>
      <c r="DC19">
        <v>400.05459999999999</v>
      </c>
      <c r="DD19">
        <v>409.35899999999998</v>
      </c>
      <c r="DE19">
        <v>17.644079999999999</v>
      </c>
      <c r="DF19">
        <v>16.18468</v>
      </c>
      <c r="DG19">
        <v>400.66980000000001</v>
      </c>
      <c r="DH19">
        <v>17.801439999999999</v>
      </c>
      <c r="DI19">
        <v>500.03219999999999</v>
      </c>
      <c r="DJ19">
        <v>101.6156</v>
      </c>
      <c r="DK19">
        <v>9.9764859999999997E-2</v>
      </c>
      <c r="DL19">
        <v>25.602080000000001</v>
      </c>
      <c r="DM19">
        <v>25.031459999999999</v>
      </c>
      <c r="DN19">
        <v>999.9</v>
      </c>
      <c r="DO19">
        <v>0</v>
      </c>
      <c r="DP19">
        <v>0</v>
      </c>
      <c r="DQ19">
        <v>10012.124</v>
      </c>
      <c r="DR19">
        <v>0</v>
      </c>
      <c r="DS19">
        <v>8.4701199999999996</v>
      </c>
      <c r="DT19">
        <v>899.995</v>
      </c>
      <c r="DU19">
        <v>0.95600320000000005</v>
      </c>
      <c r="DV19">
        <v>4.3996960000000002E-2</v>
      </c>
      <c r="DW19">
        <v>0</v>
      </c>
      <c r="DX19">
        <v>290.60300000000001</v>
      </c>
      <c r="DY19">
        <v>4.9999900000000004</v>
      </c>
      <c r="DZ19">
        <v>2569.2060000000001</v>
      </c>
      <c r="EA19">
        <v>8859.8379999999997</v>
      </c>
      <c r="EB19">
        <v>36.436999999999998</v>
      </c>
      <c r="EC19">
        <v>38.5</v>
      </c>
      <c r="ED19">
        <v>37.5</v>
      </c>
      <c r="EE19">
        <v>37.875</v>
      </c>
      <c r="EF19">
        <v>38.375</v>
      </c>
      <c r="EG19">
        <v>855.62</v>
      </c>
      <c r="EH19">
        <v>39.380000000000003</v>
      </c>
      <c r="EI19">
        <v>0</v>
      </c>
      <c r="EJ19">
        <v>122.799999952316</v>
      </c>
      <c r="EK19">
        <v>0</v>
      </c>
      <c r="EL19">
        <v>290.49196000000001</v>
      </c>
      <c r="EM19">
        <v>-0.44415383974238598</v>
      </c>
      <c r="EN19">
        <v>6.5053846087504299</v>
      </c>
      <c r="EO19">
        <v>2568.748</v>
      </c>
      <c r="EP19">
        <v>15</v>
      </c>
      <c r="EQ19">
        <v>1792128238</v>
      </c>
      <c r="ER19" t="s">
        <v>346</v>
      </c>
      <c r="ES19">
        <v>1792128238</v>
      </c>
      <c r="ET19">
        <v>1792128236</v>
      </c>
      <c r="EU19">
        <v>51</v>
      </c>
      <c r="EV19">
        <v>0.191</v>
      </c>
      <c r="EW19">
        <v>0</v>
      </c>
      <c r="EX19">
        <v>-0.61</v>
      </c>
      <c r="EY19">
        <v>-0.185</v>
      </c>
      <c r="EZ19">
        <v>412</v>
      </c>
      <c r="FA19">
        <v>15</v>
      </c>
      <c r="FB19">
        <v>0.08</v>
      </c>
      <c r="FC19">
        <v>0.02</v>
      </c>
      <c r="FD19">
        <v>21.855088198313101</v>
      </c>
      <c r="FE19">
        <v>2.52750693937322E-2</v>
      </c>
      <c r="FF19">
        <v>0.10436524546180501</v>
      </c>
      <c r="FG19">
        <v>1</v>
      </c>
      <c r="FH19">
        <v>-9.3453228571428593</v>
      </c>
      <c r="FI19">
        <v>0.133348831168833</v>
      </c>
      <c r="FJ19">
        <v>3.9153034443353801E-2</v>
      </c>
      <c r="FK19">
        <v>1</v>
      </c>
      <c r="FL19">
        <v>290.44523529411799</v>
      </c>
      <c r="FM19">
        <v>0.23416348454737301</v>
      </c>
      <c r="FN19">
        <v>0.405845309477532</v>
      </c>
      <c r="FO19">
        <v>1</v>
      </c>
      <c r="FP19">
        <v>3</v>
      </c>
      <c r="FQ19">
        <v>3</v>
      </c>
      <c r="FR19" t="s">
        <v>347</v>
      </c>
      <c r="FS19">
        <v>100</v>
      </c>
      <c r="FT19">
        <v>100</v>
      </c>
      <c r="FU19">
        <v>-0.61599999999999999</v>
      </c>
      <c r="FV19">
        <v>-0.15740000000000001</v>
      </c>
      <c r="FW19">
        <v>-0.69045352518557501</v>
      </c>
      <c r="FX19">
        <v>-6.1673298426602905E-5</v>
      </c>
      <c r="FY19">
        <v>6.1939807181674203E-7</v>
      </c>
      <c r="FZ19">
        <v>3.19222985850634E-12</v>
      </c>
      <c r="GA19">
        <v>-8.0355240034961403E-2</v>
      </c>
      <c r="GB19">
        <v>-2.57783215012692E-2</v>
      </c>
      <c r="GC19">
        <v>1.33723821780375E-3</v>
      </c>
      <c r="GD19">
        <v>-7.42160749481374E-6</v>
      </c>
      <c r="GE19">
        <v>7</v>
      </c>
      <c r="GF19">
        <v>2154</v>
      </c>
      <c r="GG19">
        <v>2</v>
      </c>
      <c r="GH19">
        <v>20</v>
      </c>
      <c r="GI19">
        <v>7.8</v>
      </c>
      <c r="GJ19">
        <v>7.8</v>
      </c>
      <c r="GK19">
        <v>1.0595699999999999</v>
      </c>
      <c r="GL19">
        <v>2.63184</v>
      </c>
      <c r="GM19">
        <v>1.65161</v>
      </c>
      <c r="GN19">
        <v>2.2692899999999998</v>
      </c>
      <c r="GO19">
        <v>1.5979000000000001</v>
      </c>
      <c r="GP19">
        <v>2.5598100000000001</v>
      </c>
      <c r="GQ19">
        <v>34.990400000000001</v>
      </c>
      <c r="GR19">
        <v>16.251000000000001</v>
      </c>
      <c r="GS19">
        <v>18</v>
      </c>
      <c r="GT19">
        <v>489.10700000000003</v>
      </c>
      <c r="GU19">
        <v>542.37099999999998</v>
      </c>
      <c r="GV19">
        <v>23.358699999999999</v>
      </c>
      <c r="GW19">
        <v>28.351700000000001</v>
      </c>
      <c r="GX19">
        <v>30.006499999999999</v>
      </c>
      <c r="GY19">
        <v>28.4941</v>
      </c>
      <c r="GZ19">
        <v>28.553599999999999</v>
      </c>
      <c r="HA19">
        <v>21.2041</v>
      </c>
      <c r="HB19">
        <v>19.971599999999999</v>
      </c>
      <c r="HC19">
        <v>34.8003</v>
      </c>
      <c r="HD19">
        <v>23.2194</v>
      </c>
      <c r="HE19">
        <v>409.36900000000003</v>
      </c>
      <c r="HF19">
        <v>16.236699999999999</v>
      </c>
      <c r="HG19">
        <v>98.258899999999997</v>
      </c>
      <c r="HH19">
        <v>94.766199999999998</v>
      </c>
    </row>
    <row r="20" spans="1:216" x14ac:dyDescent="0.3">
      <c r="A20">
        <v>4</v>
      </c>
      <c r="B20">
        <v>1792128829</v>
      </c>
      <c r="C20">
        <v>389</v>
      </c>
      <c r="D20" t="s">
        <v>354</v>
      </c>
      <c r="E20" t="s">
        <v>355</v>
      </c>
      <c r="F20">
        <v>5</v>
      </c>
      <c r="G20">
        <v>1792128825.5</v>
      </c>
      <c r="H20">
        <f t="shared" si="0"/>
        <v>3.4890422650928126E-3</v>
      </c>
      <c r="I20">
        <f t="shared" si="1"/>
        <v>3.4890422650928126</v>
      </c>
      <c r="J20">
        <f t="shared" si="2"/>
        <v>18.534279224079626</v>
      </c>
      <c r="K20">
        <f t="shared" si="3"/>
        <v>399.99200000000002</v>
      </c>
      <c r="L20">
        <f t="shared" si="4"/>
        <v>275.90908767751233</v>
      </c>
      <c r="M20">
        <f t="shared" si="5"/>
        <v>28.06432291531253</v>
      </c>
      <c r="N20">
        <f t="shared" si="6"/>
        <v>40.685519806662803</v>
      </c>
      <c r="O20">
        <f t="shared" si="7"/>
        <v>0.26470502955251507</v>
      </c>
      <c r="P20">
        <f t="shared" si="8"/>
        <v>3.0361409342692838</v>
      </c>
      <c r="Q20">
        <f t="shared" si="9"/>
        <v>0.252519628919112</v>
      </c>
      <c r="R20">
        <f t="shared" si="10"/>
        <v>0.15887282612943207</v>
      </c>
      <c r="S20">
        <f t="shared" si="11"/>
        <v>98.068868832279591</v>
      </c>
      <c r="T20">
        <f t="shared" si="12"/>
        <v>25.475148222237376</v>
      </c>
      <c r="U20">
        <f t="shared" si="13"/>
        <v>25.030100000000001</v>
      </c>
      <c r="V20">
        <f t="shared" si="14"/>
        <v>3.1853881076259407</v>
      </c>
      <c r="W20">
        <f t="shared" si="15"/>
        <v>54.436799949304124</v>
      </c>
      <c r="X20">
        <f t="shared" si="16"/>
        <v>1.8145307981835064</v>
      </c>
      <c r="Y20">
        <f t="shared" si="17"/>
        <v>3.3332796929160815</v>
      </c>
      <c r="Z20">
        <f t="shared" si="18"/>
        <v>1.3708573094424343</v>
      </c>
      <c r="AA20">
        <f t="shared" si="19"/>
        <v>-153.86676389059303</v>
      </c>
      <c r="AB20">
        <f t="shared" si="20"/>
        <v>124.98397463723829</v>
      </c>
      <c r="AC20">
        <f t="shared" si="21"/>
        <v>8.7436479665697231</v>
      </c>
      <c r="AD20">
        <f t="shared" si="22"/>
        <v>77.929727545494572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53901.010919801331</v>
      </c>
      <c r="AJ20" t="s">
        <v>342</v>
      </c>
      <c r="AK20">
        <v>8118.81</v>
      </c>
      <c r="AL20">
        <v>195.66346153846101</v>
      </c>
      <c r="AM20">
        <v>776.847297841461</v>
      </c>
      <c r="AN20">
        <f t="shared" si="26"/>
        <v>0.74813137397513096</v>
      </c>
      <c r="AO20">
        <v>-2.45600743059184</v>
      </c>
      <c r="AP20" t="s">
        <v>356</v>
      </c>
      <c r="AQ20">
        <v>8153.05</v>
      </c>
      <c r="AR20">
        <v>306.94076000000001</v>
      </c>
      <c r="AS20">
        <v>684.09464570582304</v>
      </c>
      <c r="AT20">
        <f t="shared" si="27"/>
        <v>0.5513182833300645</v>
      </c>
      <c r="AU20">
        <v>0.5</v>
      </c>
      <c r="AV20">
        <f t="shared" si="28"/>
        <v>505.19819835869407</v>
      </c>
      <c r="AW20">
        <f t="shared" si="29"/>
        <v>18.534279224079626</v>
      </c>
      <c r="AX20">
        <f t="shared" si="30"/>
        <v>139.2625017302783</v>
      </c>
      <c r="AY20">
        <f t="shared" si="31"/>
        <v>4.1548617399795679E-2</v>
      </c>
      <c r="AZ20">
        <f t="shared" si="32"/>
        <v>0.13558453164026635</v>
      </c>
      <c r="BA20">
        <f t="shared" si="33"/>
        <v>189.20229955948631</v>
      </c>
      <c r="BB20" t="s">
        <v>344</v>
      </c>
      <c r="BC20">
        <v>0</v>
      </c>
      <c r="BD20">
        <f t="shared" si="34"/>
        <v>189.20229955948631</v>
      </c>
      <c r="BE20">
        <f t="shared" si="35"/>
        <v>0.72342672063413893</v>
      </c>
      <c r="BF20">
        <f t="shared" si="36"/>
        <v>0.76209278369866085</v>
      </c>
      <c r="BG20">
        <f t="shared" si="37"/>
        <v>0.15783789942364432</v>
      </c>
      <c r="BH20">
        <f t="shared" si="38"/>
        <v>0.77217405016586815</v>
      </c>
      <c r="BI20">
        <f t="shared" si="39"/>
        <v>0.1595926217178576</v>
      </c>
      <c r="BJ20">
        <f t="shared" si="40"/>
        <v>0.46976396081601163</v>
      </c>
      <c r="BK20">
        <f t="shared" si="41"/>
        <v>0.53023603918398843</v>
      </c>
      <c r="BL20">
        <v>169</v>
      </c>
      <c r="BM20">
        <v>290</v>
      </c>
      <c r="BN20">
        <v>608.08000000000004</v>
      </c>
      <c r="BO20">
        <v>195</v>
      </c>
      <c r="BP20">
        <v>8153.05</v>
      </c>
      <c r="BQ20">
        <v>605.4</v>
      </c>
      <c r="BR20">
        <v>2.68</v>
      </c>
      <c r="BS20">
        <v>300</v>
      </c>
      <c r="BT20">
        <v>19.100000000000001</v>
      </c>
      <c r="BU20">
        <v>684.09464570582304</v>
      </c>
      <c r="BV20">
        <v>2.9214370532782201</v>
      </c>
      <c r="BW20">
        <v>-64.157205420379199</v>
      </c>
      <c r="BX20">
        <v>2.1495676705619502</v>
      </c>
      <c r="BY20">
        <v>0.96952604118846497</v>
      </c>
      <c r="BZ20">
        <v>-4.9944665183537197E-3</v>
      </c>
      <c r="CA20">
        <v>290</v>
      </c>
      <c r="CB20">
        <v>596.41</v>
      </c>
      <c r="CC20">
        <v>655</v>
      </c>
      <c r="CD20">
        <v>8145.23</v>
      </c>
      <c r="CE20">
        <v>605.33000000000004</v>
      </c>
      <c r="CF20">
        <v>-8.92</v>
      </c>
      <c r="CT20">
        <f t="shared" si="42"/>
        <v>600.00250000000005</v>
      </c>
      <c r="CU20">
        <f t="shared" si="43"/>
        <v>505.19819835869407</v>
      </c>
      <c r="CV20">
        <f t="shared" si="44"/>
        <v>0.84199348895828607</v>
      </c>
      <c r="CW20">
        <f t="shared" si="45"/>
        <v>0.16344743368949227</v>
      </c>
      <c r="CX20">
        <v>2</v>
      </c>
      <c r="CY20">
        <v>0.5</v>
      </c>
      <c r="CZ20" t="s">
        <v>345</v>
      </c>
      <c r="DA20">
        <v>2</v>
      </c>
      <c r="DB20">
        <v>1792128825.5</v>
      </c>
      <c r="DC20">
        <v>399.99200000000002</v>
      </c>
      <c r="DD20">
        <v>407.96266666666702</v>
      </c>
      <c r="DE20">
        <v>17.839216666666701</v>
      </c>
      <c r="DF20">
        <v>16.468716666666701</v>
      </c>
      <c r="DG20">
        <v>400.607666666667</v>
      </c>
      <c r="DH20">
        <v>17.9937</v>
      </c>
      <c r="DI20">
        <v>500.08033333333299</v>
      </c>
      <c r="DJ20">
        <v>101.615666666667</v>
      </c>
      <c r="DK20">
        <v>0.100167166666667</v>
      </c>
      <c r="DL20">
        <v>25.793666666666699</v>
      </c>
      <c r="DM20">
        <v>25.030100000000001</v>
      </c>
      <c r="DN20">
        <v>999.9</v>
      </c>
      <c r="DO20">
        <v>0</v>
      </c>
      <c r="DP20">
        <v>0</v>
      </c>
      <c r="DQ20">
        <v>9990.8383333333295</v>
      </c>
      <c r="DR20">
        <v>0</v>
      </c>
      <c r="DS20">
        <v>7.7543916666666703</v>
      </c>
      <c r="DT20">
        <v>600.00250000000005</v>
      </c>
      <c r="DU20">
        <v>0.93299600000000005</v>
      </c>
      <c r="DV20">
        <v>6.7004400000000006E-2</v>
      </c>
      <c r="DW20">
        <v>0</v>
      </c>
      <c r="DX20">
        <v>306.84216666666703</v>
      </c>
      <c r="DY20">
        <v>4.9999900000000004</v>
      </c>
      <c r="DZ20">
        <v>1797.23166666667</v>
      </c>
      <c r="EA20">
        <v>5845.34666666667</v>
      </c>
      <c r="EB20">
        <v>35.6145</v>
      </c>
      <c r="EC20">
        <v>38.384999999999998</v>
      </c>
      <c r="ED20">
        <v>37.010166666666699</v>
      </c>
      <c r="EE20">
        <v>37.905999999999999</v>
      </c>
      <c r="EF20">
        <v>37.999666666666698</v>
      </c>
      <c r="EG20">
        <v>555.13333333333298</v>
      </c>
      <c r="EH20">
        <v>39.869999999999997</v>
      </c>
      <c r="EI20">
        <v>0</v>
      </c>
      <c r="EJ20">
        <v>121.700000047684</v>
      </c>
      <c r="EK20">
        <v>0</v>
      </c>
      <c r="EL20">
        <v>306.94076000000001</v>
      </c>
      <c r="EM20">
        <v>0.303153845209366</v>
      </c>
      <c r="EN20">
        <v>14.705384574353699</v>
      </c>
      <c r="EO20">
        <v>1796.1451999999999</v>
      </c>
      <c r="EP20">
        <v>15</v>
      </c>
      <c r="EQ20">
        <v>1792128238</v>
      </c>
      <c r="ER20" t="s">
        <v>346</v>
      </c>
      <c r="ES20">
        <v>1792128238</v>
      </c>
      <c r="ET20">
        <v>1792128236</v>
      </c>
      <c r="EU20">
        <v>51</v>
      </c>
      <c r="EV20">
        <v>0.191</v>
      </c>
      <c r="EW20">
        <v>0</v>
      </c>
      <c r="EX20">
        <v>-0.61</v>
      </c>
      <c r="EY20">
        <v>-0.185</v>
      </c>
      <c r="EZ20">
        <v>412</v>
      </c>
      <c r="FA20">
        <v>15</v>
      </c>
      <c r="FB20">
        <v>0.08</v>
      </c>
      <c r="FC20">
        <v>0.02</v>
      </c>
      <c r="FD20">
        <v>18.529532744439301</v>
      </c>
      <c r="FE20">
        <v>6.1032519618697503E-2</v>
      </c>
      <c r="FF20">
        <v>0.108876974199044</v>
      </c>
      <c r="FG20">
        <v>1</v>
      </c>
      <c r="FH20">
        <v>-7.9881485000000003</v>
      </c>
      <c r="FI20">
        <v>0.17350962406015299</v>
      </c>
      <c r="FJ20">
        <v>4.6458891751202998E-2</v>
      </c>
      <c r="FK20">
        <v>1</v>
      </c>
      <c r="FL20">
        <v>306.90161764705903</v>
      </c>
      <c r="FM20">
        <v>0.63961803074707402</v>
      </c>
      <c r="FN20">
        <v>0.27106294197494102</v>
      </c>
      <c r="FO20">
        <v>1</v>
      </c>
      <c r="FP20">
        <v>3</v>
      </c>
      <c r="FQ20">
        <v>3</v>
      </c>
      <c r="FR20" t="s">
        <v>347</v>
      </c>
      <c r="FS20">
        <v>100</v>
      </c>
      <c r="FT20">
        <v>100</v>
      </c>
      <c r="FU20">
        <v>-0.61499999999999999</v>
      </c>
      <c r="FV20">
        <v>-0.15429999999999999</v>
      </c>
      <c r="FW20">
        <v>-0.69045352518557501</v>
      </c>
      <c r="FX20">
        <v>-6.1673298426602905E-5</v>
      </c>
      <c r="FY20">
        <v>6.1939807181674203E-7</v>
      </c>
      <c r="FZ20">
        <v>3.19222985850634E-12</v>
      </c>
      <c r="GA20">
        <v>-8.0355240034961403E-2</v>
      </c>
      <c r="GB20">
        <v>-2.57783215012692E-2</v>
      </c>
      <c r="GC20">
        <v>1.33723821780375E-3</v>
      </c>
      <c r="GD20">
        <v>-7.42160749481374E-6</v>
      </c>
      <c r="GE20">
        <v>7</v>
      </c>
      <c r="GF20">
        <v>2154</v>
      </c>
      <c r="GG20">
        <v>2</v>
      </c>
      <c r="GH20">
        <v>20</v>
      </c>
      <c r="GI20">
        <v>9.8000000000000007</v>
      </c>
      <c r="GJ20">
        <v>9.9</v>
      </c>
      <c r="GK20">
        <v>1.0583499999999999</v>
      </c>
      <c r="GL20">
        <v>2.6428199999999999</v>
      </c>
      <c r="GM20">
        <v>1.65161</v>
      </c>
      <c r="GN20">
        <v>2.2692899999999998</v>
      </c>
      <c r="GO20">
        <v>1.5979000000000001</v>
      </c>
      <c r="GP20">
        <v>2.63672</v>
      </c>
      <c r="GQ20">
        <v>34.852499999999999</v>
      </c>
      <c r="GR20">
        <v>16.2422</v>
      </c>
      <c r="GS20">
        <v>18</v>
      </c>
      <c r="GT20">
        <v>490.06</v>
      </c>
      <c r="GU20">
        <v>543.22500000000002</v>
      </c>
      <c r="GV20">
        <v>24.312899999999999</v>
      </c>
      <c r="GW20">
        <v>28.3614</v>
      </c>
      <c r="GX20">
        <v>30.0061</v>
      </c>
      <c r="GY20">
        <v>28.5062</v>
      </c>
      <c r="GZ20">
        <v>28.563300000000002</v>
      </c>
      <c r="HA20">
        <v>21.157499999999999</v>
      </c>
      <c r="HB20">
        <v>20.0687</v>
      </c>
      <c r="HC20">
        <v>37.442599999999999</v>
      </c>
      <c r="HD20">
        <v>24.084900000000001</v>
      </c>
      <c r="HE20">
        <v>407.995</v>
      </c>
      <c r="HF20">
        <v>16.5381</v>
      </c>
      <c r="HG20">
        <v>98.260300000000001</v>
      </c>
      <c r="HH20">
        <v>94.7607</v>
      </c>
    </row>
    <row r="21" spans="1:216" x14ac:dyDescent="0.3">
      <c r="A21">
        <v>5</v>
      </c>
      <c r="B21">
        <v>1792128983.0999999</v>
      </c>
      <c r="C21">
        <v>543.09999990463302</v>
      </c>
      <c r="D21" t="s">
        <v>357</v>
      </c>
      <c r="E21" t="s">
        <v>358</v>
      </c>
      <c r="F21">
        <v>5</v>
      </c>
      <c r="G21">
        <v>1792128980.0999999</v>
      </c>
      <c r="H21">
        <f t="shared" si="0"/>
        <v>3.1867457915765222E-3</v>
      </c>
      <c r="I21">
        <f t="shared" si="1"/>
        <v>3.1867457915765223</v>
      </c>
      <c r="J21">
        <f t="shared" si="2"/>
        <v>14.775840810075572</v>
      </c>
      <c r="K21">
        <f t="shared" si="3"/>
        <v>399.9658</v>
      </c>
      <c r="L21">
        <f t="shared" si="4"/>
        <v>291.91872031992187</v>
      </c>
      <c r="M21">
        <f t="shared" si="5"/>
        <v>29.692508048378567</v>
      </c>
      <c r="N21">
        <f t="shared" si="6"/>
        <v>40.682515059537629</v>
      </c>
      <c r="O21">
        <f t="shared" si="7"/>
        <v>0.24408334209207438</v>
      </c>
      <c r="P21">
        <f t="shared" si="8"/>
        <v>3.0405863250921499</v>
      </c>
      <c r="Q21">
        <f t="shared" si="9"/>
        <v>0.23369699681235964</v>
      </c>
      <c r="R21">
        <f t="shared" si="10"/>
        <v>0.14695696448977186</v>
      </c>
      <c r="S21">
        <f t="shared" si="11"/>
        <v>66.133705294301521</v>
      </c>
      <c r="T21">
        <f t="shared" si="12"/>
        <v>25.475492359240821</v>
      </c>
      <c r="U21">
        <f t="shared" si="13"/>
        <v>25.07094</v>
      </c>
      <c r="V21">
        <f t="shared" si="14"/>
        <v>3.1931505269109457</v>
      </c>
      <c r="W21">
        <f t="shared" si="15"/>
        <v>54.869309357620409</v>
      </c>
      <c r="X21">
        <f t="shared" si="16"/>
        <v>1.840461440057604</v>
      </c>
      <c r="Y21">
        <f t="shared" si="17"/>
        <v>3.3542639074643197</v>
      </c>
      <c r="Z21">
        <f t="shared" si="18"/>
        <v>1.3526890868533417</v>
      </c>
      <c r="AA21">
        <f t="shared" si="19"/>
        <v>-140.53548940852463</v>
      </c>
      <c r="AB21">
        <f t="shared" si="20"/>
        <v>135.83733638490111</v>
      </c>
      <c r="AC21">
        <f t="shared" si="21"/>
        <v>9.496040876532394</v>
      </c>
      <c r="AD21">
        <f t="shared" si="22"/>
        <v>70.931593147210393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54020.894742192671</v>
      </c>
      <c r="AJ21" t="s">
        <v>342</v>
      </c>
      <c r="AK21">
        <v>8118.81</v>
      </c>
      <c r="AL21">
        <v>195.66346153846101</v>
      </c>
      <c r="AM21">
        <v>776.847297841461</v>
      </c>
      <c r="AN21">
        <f t="shared" si="26"/>
        <v>0.74813137397513096</v>
      </c>
      <c r="AO21">
        <v>-2.45600743059184</v>
      </c>
      <c r="AP21" t="s">
        <v>359</v>
      </c>
      <c r="AQ21">
        <v>8150.81</v>
      </c>
      <c r="AR21">
        <v>309.89836000000003</v>
      </c>
      <c r="AS21">
        <v>821.72349030447901</v>
      </c>
      <c r="AT21">
        <f t="shared" si="27"/>
        <v>0.62286783369771848</v>
      </c>
      <c r="AU21">
        <v>0.5</v>
      </c>
      <c r="AV21">
        <f t="shared" si="28"/>
        <v>337.21722595559663</v>
      </c>
      <c r="AW21">
        <f t="shared" si="29"/>
        <v>14.775840810075572</v>
      </c>
      <c r="AX21">
        <f t="shared" si="30"/>
        <v>105.02088150825826</v>
      </c>
      <c r="AY21">
        <f t="shared" si="31"/>
        <v>5.1100142324687854E-2</v>
      </c>
      <c r="AZ21">
        <f t="shared" si="32"/>
        <v>-5.461227893873366E-2</v>
      </c>
      <c r="BA21">
        <f t="shared" si="33"/>
        <v>198.39237235998036</v>
      </c>
      <c r="BB21" t="s">
        <v>344</v>
      </c>
      <c r="BC21">
        <v>0</v>
      </c>
      <c r="BD21">
        <f t="shared" si="34"/>
        <v>198.39237235998036</v>
      </c>
      <c r="BE21">
        <f t="shared" si="35"/>
        <v>0.75856553366088075</v>
      </c>
      <c r="BF21">
        <f t="shared" si="36"/>
        <v>0.82111275302968578</v>
      </c>
      <c r="BG21">
        <f t="shared" si="37"/>
        <v>-7.7579411093552417E-2</v>
      </c>
      <c r="BH21">
        <f t="shared" si="38"/>
        <v>0.81753363381671362</v>
      </c>
      <c r="BI21">
        <f t="shared" si="39"/>
        <v>-7.7215142025425884E-2</v>
      </c>
      <c r="BJ21">
        <f t="shared" si="40"/>
        <v>0.52566430828673627</v>
      </c>
      <c r="BK21">
        <f t="shared" si="41"/>
        <v>0.47433569171326373</v>
      </c>
      <c r="BL21">
        <v>170</v>
      </c>
      <c r="BM21">
        <v>290</v>
      </c>
      <c r="BN21">
        <v>741.57</v>
      </c>
      <c r="BO21">
        <v>215</v>
      </c>
      <c r="BP21">
        <v>8150.81</v>
      </c>
      <c r="BQ21">
        <v>740.33</v>
      </c>
      <c r="BR21">
        <v>1.24</v>
      </c>
      <c r="BS21">
        <v>300</v>
      </c>
      <c r="BT21">
        <v>19.100000000000001</v>
      </c>
      <c r="BU21">
        <v>821.72349030447901</v>
      </c>
      <c r="BV21">
        <v>3.0468859786089202</v>
      </c>
      <c r="BW21">
        <v>-66.345354112799896</v>
      </c>
      <c r="BX21">
        <v>2.2346229180579802</v>
      </c>
      <c r="BY21">
        <v>0.96921318176439197</v>
      </c>
      <c r="BZ21">
        <v>-5.1274209121245796E-3</v>
      </c>
      <c r="CA21">
        <v>290</v>
      </c>
      <c r="CB21">
        <v>730.59</v>
      </c>
      <c r="CC21">
        <v>645</v>
      </c>
      <c r="CD21">
        <v>8143.7</v>
      </c>
      <c r="CE21">
        <v>740.26</v>
      </c>
      <c r="CF21">
        <v>-9.67</v>
      </c>
      <c r="CT21">
        <f t="shared" si="42"/>
        <v>400.03800000000001</v>
      </c>
      <c r="CU21">
        <f t="shared" si="43"/>
        <v>337.21722595559663</v>
      </c>
      <c r="CV21">
        <f t="shared" si="44"/>
        <v>0.84296298340556808</v>
      </c>
      <c r="CW21">
        <f t="shared" si="45"/>
        <v>0.16531855797274639</v>
      </c>
      <c r="CX21">
        <v>2</v>
      </c>
      <c r="CY21">
        <v>0.5</v>
      </c>
      <c r="CZ21" t="s">
        <v>345</v>
      </c>
      <c r="DA21">
        <v>2</v>
      </c>
      <c r="DB21">
        <v>1792128980.0999999</v>
      </c>
      <c r="DC21">
        <v>399.9658</v>
      </c>
      <c r="DD21">
        <v>406.38580000000002</v>
      </c>
      <c r="DE21">
        <v>18.0943</v>
      </c>
      <c r="DF21">
        <v>16.842700000000001</v>
      </c>
      <c r="DG21">
        <v>400.58139999999997</v>
      </c>
      <c r="DH21">
        <v>18.244900000000001</v>
      </c>
      <c r="DI21">
        <v>500.01339999999999</v>
      </c>
      <c r="DJ21">
        <v>101.6152</v>
      </c>
      <c r="DK21">
        <v>9.9784280000000003E-2</v>
      </c>
      <c r="DL21">
        <v>25.8996</v>
      </c>
      <c r="DM21">
        <v>25.07094</v>
      </c>
      <c r="DN21">
        <v>999.9</v>
      </c>
      <c r="DO21">
        <v>0</v>
      </c>
      <c r="DP21">
        <v>0</v>
      </c>
      <c r="DQ21">
        <v>10017.76</v>
      </c>
      <c r="DR21">
        <v>0</v>
      </c>
      <c r="DS21">
        <v>8.4136500000000005</v>
      </c>
      <c r="DT21">
        <v>400.03800000000001</v>
      </c>
      <c r="DU21">
        <v>0.8999838</v>
      </c>
      <c r="DV21">
        <v>0.1000162</v>
      </c>
      <c r="DW21">
        <v>0</v>
      </c>
      <c r="DX21">
        <v>310.06979999999999</v>
      </c>
      <c r="DY21">
        <v>4.9999900000000004</v>
      </c>
      <c r="DZ21">
        <v>1213.664</v>
      </c>
      <c r="EA21">
        <v>3838.2280000000001</v>
      </c>
      <c r="EB21">
        <v>36.962200000000003</v>
      </c>
      <c r="EC21">
        <v>40.824800000000003</v>
      </c>
      <c r="ED21">
        <v>38.737400000000001</v>
      </c>
      <c r="EE21">
        <v>41.5122</v>
      </c>
      <c r="EF21">
        <v>39.599800000000002</v>
      </c>
      <c r="EG21">
        <v>355.52600000000001</v>
      </c>
      <c r="EH21">
        <v>39.51</v>
      </c>
      <c r="EI21">
        <v>0</v>
      </c>
      <c r="EJ21">
        <v>152.700000047684</v>
      </c>
      <c r="EK21">
        <v>0</v>
      </c>
      <c r="EL21">
        <v>309.89836000000003</v>
      </c>
      <c r="EM21">
        <v>-7.6230769867125805E-2</v>
      </c>
      <c r="EN21">
        <v>-3.7838461396538201</v>
      </c>
      <c r="EO21">
        <v>1213.8900000000001</v>
      </c>
      <c r="EP21">
        <v>15</v>
      </c>
      <c r="EQ21">
        <v>1792128238</v>
      </c>
      <c r="ER21" t="s">
        <v>346</v>
      </c>
      <c r="ES21">
        <v>1792128238</v>
      </c>
      <c r="ET21">
        <v>1792128236</v>
      </c>
      <c r="EU21">
        <v>51</v>
      </c>
      <c r="EV21">
        <v>0.191</v>
      </c>
      <c r="EW21">
        <v>0</v>
      </c>
      <c r="EX21">
        <v>-0.61</v>
      </c>
      <c r="EY21">
        <v>-0.185</v>
      </c>
      <c r="EZ21">
        <v>412</v>
      </c>
      <c r="FA21">
        <v>15</v>
      </c>
      <c r="FB21">
        <v>0.08</v>
      </c>
      <c r="FC21">
        <v>0.02</v>
      </c>
      <c r="FD21">
        <v>14.770502282808501</v>
      </c>
      <c r="FE21">
        <v>-0.53744203144410396</v>
      </c>
      <c r="FF21">
        <v>8.7430903157940595E-2</v>
      </c>
      <c r="FG21">
        <v>1</v>
      </c>
      <c r="FH21">
        <v>-6.4130190000000002</v>
      </c>
      <c r="FI21">
        <v>0.14231187969924999</v>
      </c>
      <c r="FJ21">
        <v>2.6253668105619E-2</v>
      </c>
      <c r="FK21">
        <v>1</v>
      </c>
      <c r="FL21">
        <v>309.91638235294101</v>
      </c>
      <c r="FM21">
        <v>-0.36334607253367501</v>
      </c>
      <c r="FN21">
        <v>0.294555099679848</v>
      </c>
      <c r="FO21">
        <v>1</v>
      </c>
      <c r="FP21">
        <v>3</v>
      </c>
      <c r="FQ21">
        <v>3</v>
      </c>
      <c r="FR21" t="s">
        <v>347</v>
      </c>
      <c r="FS21">
        <v>100</v>
      </c>
      <c r="FT21">
        <v>100</v>
      </c>
      <c r="FU21">
        <v>-0.61599999999999999</v>
      </c>
      <c r="FV21">
        <v>-0.15049999999999999</v>
      </c>
      <c r="FW21">
        <v>-0.69045352518557501</v>
      </c>
      <c r="FX21">
        <v>-6.1673298426602905E-5</v>
      </c>
      <c r="FY21">
        <v>6.1939807181674203E-7</v>
      </c>
      <c r="FZ21">
        <v>3.19222985850634E-12</v>
      </c>
      <c r="GA21">
        <v>-8.0355240034961403E-2</v>
      </c>
      <c r="GB21">
        <v>-2.57783215012692E-2</v>
      </c>
      <c r="GC21">
        <v>1.33723821780375E-3</v>
      </c>
      <c r="GD21">
        <v>-7.42160749481374E-6</v>
      </c>
      <c r="GE21">
        <v>7</v>
      </c>
      <c r="GF21">
        <v>2154</v>
      </c>
      <c r="GG21">
        <v>2</v>
      </c>
      <c r="GH21">
        <v>20</v>
      </c>
      <c r="GI21">
        <v>12.4</v>
      </c>
      <c r="GJ21">
        <v>12.5</v>
      </c>
      <c r="GK21">
        <v>1.0546899999999999</v>
      </c>
      <c r="GL21">
        <v>2.6281699999999999</v>
      </c>
      <c r="GM21">
        <v>1.65161</v>
      </c>
      <c r="GN21">
        <v>2.2680699999999998</v>
      </c>
      <c r="GO21">
        <v>1.5979000000000001</v>
      </c>
      <c r="GP21">
        <v>2.65503</v>
      </c>
      <c r="GQ21">
        <v>34.715000000000003</v>
      </c>
      <c r="GR21">
        <v>16.224699999999999</v>
      </c>
      <c r="GS21">
        <v>18</v>
      </c>
      <c r="GT21">
        <v>490.13</v>
      </c>
      <c r="GU21">
        <v>544.18799999999999</v>
      </c>
      <c r="GV21">
        <v>24.006599999999999</v>
      </c>
      <c r="GW21">
        <v>28.3826</v>
      </c>
      <c r="GX21">
        <v>30.000299999999999</v>
      </c>
      <c r="GY21">
        <v>28.520700000000001</v>
      </c>
      <c r="GZ21">
        <v>28.580300000000001</v>
      </c>
      <c r="HA21">
        <v>21.099699999999999</v>
      </c>
      <c r="HB21">
        <v>20.633400000000002</v>
      </c>
      <c r="HC21">
        <v>40.438899999999997</v>
      </c>
      <c r="HD21">
        <v>23.933</v>
      </c>
      <c r="HE21">
        <v>406.34300000000002</v>
      </c>
      <c r="HF21">
        <v>16.8278</v>
      </c>
      <c r="HG21">
        <v>98.259</v>
      </c>
      <c r="HH21">
        <v>94.758700000000005</v>
      </c>
    </row>
    <row r="22" spans="1:216" x14ac:dyDescent="0.3">
      <c r="A22">
        <v>6</v>
      </c>
      <c r="B22">
        <v>1792129163.0999999</v>
      </c>
      <c r="C22">
        <v>723.09999990463302</v>
      </c>
      <c r="D22" t="s">
        <v>360</v>
      </c>
      <c r="E22" t="s">
        <v>361</v>
      </c>
      <c r="F22">
        <v>5</v>
      </c>
      <c r="G22">
        <v>1792129159.5999999</v>
      </c>
      <c r="H22">
        <f t="shared" si="0"/>
        <v>2.8537036694377283E-3</v>
      </c>
      <c r="I22">
        <f t="shared" si="1"/>
        <v>2.8537036694377282</v>
      </c>
      <c r="J22">
        <f t="shared" si="2"/>
        <v>8.3504065883989753</v>
      </c>
      <c r="K22">
        <f t="shared" si="3"/>
        <v>400.01333333333298</v>
      </c>
      <c r="L22">
        <f t="shared" si="4"/>
        <v>328.82080893022402</v>
      </c>
      <c r="M22">
        <f t="shared" si="5"/>
        <v>33.444344988179701</v>
      </c>
      <c r="N22">
        <f t="shared" si="6"/>
        <v>40.685332425876275</v>
      </c>
      <c r="O22">
        <f t="shared" si="7"/>
        <v>0.21824005833451962</v>
      </c>
      <c r="P22">
        <f t="shared" si="8"/>
        <v>3.0353203542615219</v>
      </c>
      <c r="Q22">
        <f t="shared" si="9"/>
        <v>0.20988236462004795</v>
      </c>
      <c r="R22">
        <f t="shared" si="10"/>
        <v>0.13190071570328249</v>
      </c>
      <c r="S22">
        <f t="shared" si="11"/>
        <v>33.053334231832871</v>
      </c>
      <c r="T22">
        <f t="shared" si="12"/>
        <v>25.348231806907837</v>
      </c>
      <c r="U22">
        <f t="shared" si="13"/>
        <v>25.017150000000001</v>
      </c>
      <c r="V22">
        <f t="shared" si="14"/>
        <v>3.1829301595047372</v>
      </c>
      <c r="W22">
        <f t="shared" si="15"/>
        <v>54.750086468039171</v>
      </c>
      <c r="X22">
        <f t="shared" si="16"/>
        <v>1.834120104753084</v>
      </c>
      <c r="Y22">
        <f t="shared" si="17"/>
        <v>3.3499857681937488</v>
      </c>
      <c r="Z22">
        <f t="shared" si="18"/>
        <v>1.3488100547516533</v>
      </c>
      <c r="AA22">
        <f t="shared" si="19"/>
        <v>-125.84833182220382</v>
      </c>
      <c r="AB22">
        <f t="shared" si="20"/>
        <v>140.87784037933977</v>
      </c>
      <c r="AC22">
        <f t="shared" si="21"/>
        <v>9.8617624004590088</v>
      </c>
      <c r="AD22">
        <f t="shared" si="22"/>
        <v>57.944605189427833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53860.03606963643</v>
      </c>
      <c r="AJ22" t="s">
        <v>342</v>
      </c>
      <c r="AK22">
        <v>8118.81</v>
      </c>
      <c r="AL22">
        <v>195.66346153846101</v>
      </c>
      <c r="AM22">
        <v>776.847297841461</v>
      </c>
      <c r="AN22">
        <f t="shared" si="26"/>
        <v>0.74813137397513096</v>
      </c>
      <c r="AO22">
        <v>-2.45600743059184</v>
      </c>
      <c r="AP22" t="s">
        <v>362</v>
      </c>
      <c r="AQ22">
        <v>8138.12</v>
      </c>
      <c r="AR22">
        <v>285.88669230769199</v>
      </c>
      <c r="AS22">
        <v>907.92070732524405</v>
      </c>
      <c r="AT22">
        <f t="shared" si="27"/>
        <v>0.68511931713737317</v>
      </c>
      <c r="AU22">
        <v>0.5</v>
      </c>
      <c r="AV22">
        <f t="shared" si="28"/>
        <v>168.60489027556082</v>
      </c>
      <c r="AW22">
        <f t="shared" si="29"/>
        <v>8.3504065883989753</v>
      </c>
      <c r="AX22">
        <f t="shared" si="30"/>
        <v>57.757233645806977</v>
      </c>
      <c r="AY22">
        <f t="shared" si="31"/>
        <v>6.4093123285625109E-2</v>
      </c>
      <c r="AZ22">
        <f t="shared" si="32"/>
        <v>-0.1443665822645773</v>
      </c>
      <c r="BA22">
        <f t="shared" si="33"/>
        <v>203.04651984777945</v>
      </c>
      <c r="BB22" t="s">
        <v>344</v>
      </c>
      <c r="BC22">
        <v>0</v>
      </c>
      <c r="BD22">
        <f t="shared" si="34"/>
        <v>203.04651984777945</v>
      </c>
      <c r="BE22">
        <f t="shared" si="35"/>
        <v>0.77636095508168401</v>
      </c>
      <c r="BF22">
        <f t="shared" si="36"/>
        <v>0.88247523610366141</v>
      </c>
      <c r="BG22">
        <f t="shared" si="37"/>
        <v>-0.22843017038437402</v>
      </c>
      <c r="BH22">
        <f t="shared" si="38"/>
        <v>0.87332774597530782</v>
      </c>
      <c r="BI22">
        <f t="shared" si="39"/>
        <v>-0.22552831186352534</v>
      </c>
      <c r="BJ22">
        <f t="shared" si="40"/>
        <v>0.62676413545631449</v>
      </c>
      <c r="BK22">
        <f t="shared" si="41"/>
        <v>0.37323586454368551</v>
      </c>
      <c r="BL22">
        <v>171</v>
      </c>
      <c r="BM22">
        <v>290</v>
      </c>
      <c r="BN22">
        <v>845.84</v>
      </c>
      <c r="BO22">
        <v>235</v>
      </c>
      <c r="BP22">
        <v>8138.12</v>
      </c>
      <c r="BQ22">
        <v>845.12</v>
      </c>
      <c r="BR22">
        <v>0.72</v>
      </c>
      <c r="BS22">
        <v>300</v>
      </c>
      <c r="BT22">
        <v>19.100000000000001</v>
      </c>
      <c r="BU22">
        <v>907.92070732524405</v>
      </c>
      <c r="BV22">
        <v>2.3961155883672101</v>
      </c>
      <c r="BW22">
        <v>-51.105288398786897</v>
      </c>
      <c r="BX22">
        <v>1.7494891007207301</v>
      </c>
      <c r="BY22">
        <v>0.96822928130102903</v>
      </c>
      <c r="BZ22">
        <v>-5.2525675194660696E-3</v>
      </c>
      <c r="CA22">
        <v>290</v>
      </c>
      <c r="CB22">
        <v>840.07</v>
      </c>
      <c r="CC22">
        <v>645</v>
      </c>
      <c r="CD22">
        <v>8132.17</v>
      </c>
      <c r="CE22">
        <v>845.08</v>
      </c>
      <c r="CF22">
        <v>-5.01</v>
      </c>
      <c r="CT22">
        <f t="shared" si="42"/>
        <v>200.023333333333</v>
      </c>
      <c r="CU22">
        <f t="shared" si="43"/>
        <v>168.60489027556082</v>
      </c>
      <c r="CV22">
        <f t="shared" si="44"/>
        <v>0.84292610999830564</v>
      </c>
      <c r="CW22">
        <f t="shared" si="45"/>
        <v>0.16524739229673002</v>
      </c>
      <c r="CX22">
        <v>2</v>
      </c>
      <c r="CY22">
        <v>0.5</v>
      </c>
      <c r="CZ22" t="s">
        <v>345</v>
      </c>
      <c r="DA22">
        <v>2</v>
      </c>
      <c r="DB22">
        <v>1792129159.5999999</v>
      </c>
      <c r="DC22">
        <v>400.01333333333298</v>
      </c>
      <c r="DD22">
        <v>403.81</v>
      </c>
      <c r="DE22">
        <v>18.03285</v>
      </c>
      <c r="DF22">
        <v>16.9119833333333</v>
      </c>
      <c r="DG22">
        <v>400.66750000000002</v>
      </c>
      <c r="DH22">
        <v>18.1907833333333</v>
      </c>
      <c r="DI22">
        <v>500.01366666666701</v>
      </c>
      <c r="DJ22">
        <v>101.609833333333</v>
      </c>
      <c r="DK22">
        <v>0.1001074</v>
      </c>
      <c r="DL22">
        <v>25.878050000000002</v>
      </c>
      <c r="DM22">
        <v>25.017150000000001</v>
      </c>
      <c r="DN22">
        <v>999.9</v>
      </c>
      <c r="DO22">
        <v>0</v>
      </c>
      <c r="DP22">
        <v>0</v>
      </c>
      <c r="DQ22">
        <v>9986.4583333333303</v>
      </c>
      <c r="DR22">
        <v>0</v>
      </c>
      <c r="DS22">
        <v>8.4136500000000005</v>
      </c>
      <c r="DT22">
        <v>200.023333333333</v>
      </c>
      <c r="DU22">
        <v>0.89997333333333296</v>
      </c>
      <c r="DV22">
        <v>0.100026583333333</v>
      </c>
      <c r="DW22">
        <v>0</v>
      </c>
      <c r="DX22">
        <v>285.49233333333302</v>
      </c>
      <c r="DY22">
        <v>4.9999900000000004</v>
      </c>
      <c r="DZ22">
        <v>553.90816666666694</v>
      </c>
      <c r="EA22">
        <v>1894.86</v>
      </c>
      <c r="EB22">
        <v>34.947499999999998</v>
      </c>
      <c r="EC22">
        <v>38</v>
      </c>
      <c r="ED22">
        <v>36.625</v>
      </c>
      <c r="EE22">
        <v>37.582999999999998</v>
      </c>
      <c r="EF22">
        <v>37.375</v>
      </c>
      <c r="EG22">
        <v>175.51666666666699</v>
      </c>
      <c r="EH22">
        <v>19.510000000000002</v>
      </c>
      <c r="EI22">
        <v>0</v>
      </c>
      <c r="EJ22">
        <v>178.89999985694899</v>
      </c>
      <c r="EK22">
        <v>0</v>
      </c>
      <c r="EL22">
        <v>285.88669230769199</v>
      </c>
      <c r="EM22">
        <v>-1.65271792091502</v>
      </c>
      <c r="EN22">
        <v>-7.1420513226220796</v>
      </c>
      <c r="EO22">
        <v>553.99480769230797</v>
      </c>
      <c r="EP22">
        <v>15</v>
      </c>
      <c r="EQ22">
        <v>1792129053.0999999</v>
      </c>
      <c r="ER22" t="s">
        <v>363</v>
      </c>
      <c r="ES22">
        <v>1792129053.0999999</v>
      </c>
      <c r="ET22">
        <v>1792129052.0999999</v>
      </c>
      <c r="EU22">
        <v>52</v>
      </c>
      <c r="EV22">
        <v>-3.9E-2</v>
      </c>
      <c r="EW22">
        <v>-7.0000000000000001E-3</v>
      </c>
      <c r="EX22">
        <v>-0.65300000000000002</v>
      </c>
      <c r="EY22">
        <v>-0.17399999999999999</v>
      </c>
      <c r="EZ22">
        <v>404</v>
      </c>
      <c r="FA22">
        <v>17</v>
      </c>
      <c r="FB22">
        <v>0.42</v>
      </c>
      <c r="FC22">
        <v>7.0000000000000007E-2</v>
      </c>
      <c r="FD22">
        <v>8.4312825798918194</v>
      </c>
      <c r="FE22">
        <v>-0.57541432278142002</v>
      </c>
      <c r="FF22">
        <v>9.7034246544082395E-2</v>
      </c>
      <c r="FG22">
        <v>1</v>
      </c>
      <c r="FH22">
        <v>-3.835693</v>
      </c>
      <c r="FI22">
        <v>0.27097984962406702</v>
      </c>
      <c r="FJ22">
        <v>4.2115701122028101E-2</v>
      </c>
      <c r="FK22">
        <v>1</v>
      </c>
      <c r="FL22">
        <v>285.92914705882401</v>
      </c>
      <c r="FM22">
        <v>-0.78058058653970297</v>
      </c>
      <c r="FN22">
        <v>0.35166286766069899</v>
      </c>
      <c r="FO22">
        <v>1</v>
      </c>
      <c r="FP22">
        <v>3</v>
      </c>
      <c r="FQ22">
        <v>3</v>
      </c>
      <c r="FR22" t="s">
        <v>347</v>
      </c>
      <c r="FS22">
        <v>100</v>
      </c>
      <c r="FT22">
        <v>100</v>
      </c>
      <c r="FU22">
        <v>-0.65500000000000003</v>
      </c>
      <c r="FV22">
        <v>-0.158</v>
      </c>
      <c r="FW22">
        <v>-0.72914089641924096</v>
      </c>
      <c r="FX22">
        <v>-6.1673298426602905E-5</v>
      </c>
      <c r="FY22">
        <v>6.1939807181674203E-7</v>
      </c>
      <c r="FZ22">
        <v>3.19222985850634E-12</v>
      </c>
      <c r="GA22">
        <v>-8.68493794328173E-2</v>
      </c>
      <c r="GB22">
        <v>-2.57783215012692E-2</v>
      </c>
      <c r="GC22">
        <v>1.33723821780375E-3</v>
      </c>
      <c r="GD22">
        <v>-7.42160749481374E-6</v>
      </c>
      <c r="GE22">
        <v>7</v>
      </c>
      <c r="GF22">
        <v>2154</v>
      </c>
      <c r="GG22">
        <v>2</v>
      </c>
      <c r="GH22">
        <v>20</v>
      </c>
      <c r="GI22">
        <v>1.8</v>
      </c>
      <c r="GJ22">
        <v>1.9</v>
      </c>
      <c r="GK22">
        <v>1.0498000000000001</v>
      </c>
      <c r="GL22">
        <v>2.6440399999999999</v>
      </c>
      <c r="GM22">
        <v>1.65161</v>
      </c>
      <c r="GN22">
        <v>2.2680699999999998</v>
      </c>
      <c r="GO22">
        <v>1.5979000000000001</v>
      </c>
      <c r="GP22">
        <v>2.52197</v>
      </c>
      <c r="GQ22">
        <v>34.6006</v>
      </c>
      <c r="GR22">
        <v>16.189699999999998</v>
      </c>
      <c r="GS22">
        <v>18</v>
      </c>
      <c r="GT22">
        <v>490.154</v>
      </c>
      <c r="GU22">
        <v>544.56799999999998</v>
      </c>
      <c r="GV22">
        <v>24.269400000000001</v>
      </c>
      <c r="GW22">
        <v>28.409800000000001</v>
      </c>
      <c r="GX22">
        <v>30.0001</v>
      </c>
      <c r="GY22">
        <v>28.5425</v>
      </c>
      <c r="GZ22">
        <v>28.599699999999999</v>
      </c>
      <c r="HA22">
        <v>20.9938</v>
      </c>
      <c r="HB22">
        <v>21.845300000000002</v>
      </c>
      <c r="HC22">
        <v>43.165700000000001</v>
      </c>
      <c r="HD22">
        <v>24.254200000000001</v>
      </c>
      <c r="HE22">
        <v>403.82900000000001</v>
      </c>
      <c r="HF22">
        <v>16.958400000000001</v>
      </c>
      <c r="HG22">
        <v>98.254199999999997</v>
      </c>
      <c r="HH22">
        <v>94.755899999999997</v>
      </c>
    </row>
    <row r="23" spans="1:216" x14ac:dyDescent="0.3">
      <c r="A23">
        <v>7</v>
      </c>
      <c r="B23">
        <v>1792129323.0999999</v>
      </c>
      <c r="C23">
        <v>883.09999990463302</v>
      </c>
      <c r="D23" t="s">
        <v>364</v>
      </c>
      <c r="E23" t="s">
        <v>365</v>
      </c>
      <c r="F23">
        <v>5</v>
      </c>
      <c r="G23">
        <v>1792129319.5999999</v>
      </c>
      <c r="H23">
        <f t="shared" si="0"/>
        <v>2.1409968174770293E-3</v>
      </c>
      <c r="I23">
        <f t="shared" si="1"/>
        <v>2.1409968174770291</v>
      </c>
      <c r="J23">
        <f t="shared" si="2"/>
        <v>3.6770526219278441</v>
      </c>
      <c r="K23">
        <f t="shared" si="3"/>
        <v>399.992166666667</v>
      </c>
      <c r="L23">
        <f t="shared" si="4"/>
        <v>354.27160634724333</v>
      </c>
      <c r="M23">
        <f t="shared" si="5"/>
        <v>36.031733899178278</v>
      </c>
      <c r="N23">
        <f t="shared" si="6"/>
        <v>40.681813198889621</v>
      </c>
      <c r="O23">
        <f t="shared" si="7"/>
        <v>0.16087896531665585</v>
      </c>
      <c r="P23">
        <f t="shared" si="8"/>
        <v>3.0396787840551136</v>
      </c>
      <c r="Q23">
        <f t="shared" si="9"/>
        <v>0.15629393778784001</v>
      </c>
      <c r="R23">
        <f t="shared" si="10"/>
        <v>9.8084773226262939E-2</v>
      </c>
      <c r="S23">
        <f t="shared" si="11"/>
        <v>16.507983505975986</v>
      </c>
      <c r="T23">
        <f t="shared" si="12"/>
        <v>25.345555506349516</v>
      </c>
      <c r="U23">
        <f t="shared" si="13"/>
        <v>25.050899999999999</v>
      </c>
      <c r="V23">
        <f t="shared" si="14"/>
        <v>3.1893394804922348</v>
      </c>
      <c r="W23">
        <f t="shared" si="15"/>
        <v>54.928175288622519</v>
      </c>
      <c r="X23">
        <f t="shared" si="16"/>
        <v>1.8304919960368065</v>
      </c>
      <c r="Y23">
        <f t="shared" si="17"/>
        <v>3.3325192151721872</v>
      </c>
      <c r="Z23">
        <f t="shared" si="18"/>
        <v>1.3588474844554284</v>
      </c>
      <c r="AA23">
        <f t="shared" si="19"/>
        <v>-94.417959650736989</v>
      </c>
      <c r="AB23">
        <f t="shared" si="20"/>
        <v>121.09008890227369</v>
      </c>
      <c r="AC23">
        <f t="shared" si="21"/>
        <v>8.4620993875363464</v>
      </c>
      <c r="AD23">
        <f t="shared" si="22"/>
        <v>51.642212145049029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54012.148635550504</v>
      </c>
      <c r="AJ23" t="s">
        <v>342</v>
      </c>
      <c r="AK23">
        <v>8118.81</v>
      </c>
      <c r="AL23">
        <v>195.66346153846101</v>
      </c>
      <c r="AM23">
        <v>776.847297841461</v>
      </c>
      <c r="AN23">
        <f t="shared" si="26"/>
        <v>0.74813137397513096</v>
      </c>
      <c r="AO23">
        <v>-2.45600743059184</v>
      </c>
      <c r="AP23" t="s">
        <v>366</v>
      </c>
      <c r="AQ23">
        <v>8125.42</v>
      </c>
      <c r="AR23">
        <v>270.08551999999997</v>
      </c>
      <c r="AS23">
        <v>954.100993153064</v>
      </c>
      <c r="AT23">
        <f t="shared" si="27"/>
        <v>0.71692145596931489</v>
      </c>
      <c r="AU23">
        <v>0.5</v>
      </c>
      <c r="AV23">
        <f t="shared" si="28"/>
        <v>84.274071681852817</v>
      </c>
      <c r="AW23">
        <f t="shared" si="29"/>
        <v>3.6770526219278441</v>
      </c>
      <c r="AX23">
        <f t="shared" si="30"/>
        <v>30.208945085308166</v>
      </c>
      <c r="AY23">
        <f t="shared" si="31"/>
        <v>7.2775171890031617E-2</v>
      </c>
      <c r="AZ23">
        <f t="shared" si="32"/>
        <v>-0.18578085190523078</v>
      </c>
      <c r="BA23">
        <f t="shared" si="33"/>
        <v>205.2684587823492</v>
      </c>
      <c r="BB23" t="s">
        <v>344</v>
      </c>
      <c r="BC23">
        <v>0</v>
      </c>
      <c r="BD23">
        <f t="shared" si="34"/>
        <v>205.2684587823492</v>
      </c>
      <c r="BE23">
        <f t="shared" si="35"/>
        <v>0.78485667633151857</v>
      </c>
      <c r="BF23">
        <f t="shared" si="36"/>
        <v>0.91344251452413172</v>
      </c>
      <c r="BG23">
        <f t="shared" si="37"/>
        <v>-0.3101124170436122</v>
      </c>
      <c r="BH23">
        <f t="shared" si="38"/>
        <v>0.90187450467660102</v>
      </c>
      <c r="BI23">
        <f t="shared" si="39"/>
        <v>-0.30498731079505081</v>
      </c>
      <c r="BJ23">
        <f t="shared" si="40"/>
        <v>0.69422802504422354</v>
      </c>
      <c r="BK23">
        <f t="shared" si="41"/>
        <v>0.30577197495577646</v>
      </c>
      <c r="BL23">
        <v>172</v>
      </c>
      <c r="BM23">
        <v>290</v>
      </c>
      <c r="BN23">
        <v>895.07</v>
      </c>
      <c r="BO23">
        <v>185</v>
      </c>
      <c r="BP23">
        <v>8125.42</v>
      </c>
      <c r="BQ23">
        <v>893.32</v>
      </c>
      <c r="BR23">
        <v>1.75</v>
      </c>
      <c r="BS23">
        <v>300</v>
      </c>
      <c r="BT23">
        <v>19.100000000000001</v>
      </c>
      <c r="BU23">
        <v>954.100993153064</v>
      </c>
      <c r="BV23">
        <v>2.5315828291495599</v>
      </c>
      <c r="BW23">
        <v>-49.391096628269899</v>
      </c>
      <c r="BX23">
        <v>1.8420834620356501</v>
      </c>
      <c r="BY23">
        <v>0.96251256644841199</v>
      </c>
      <c r="BZ23">
        <v>-5.3111864293659697E-3</v>
      </c>
      <c r="CA23">
        <v>290</v>
      </c>
      <c r="CB23">
        <v>885.28</v>
      </c>
      <c r="CC23">
        <v>615</v>
      </c>
      <c r="CD23">
        <v>8117.77</v>
      </c>
      <c r="CE23">
        <v>893.26</v>
      </c>
      <c r="CF23">
        <v>-7.98</v>
      </c>
      <c r="CT23">
        <f t="shared" si="42"/>
        <v>99.986983333333299</v>
      </c>
      <c r="CU23">
        <f t="shared" si="43"/>
        <v>84.274071681852817</v>
      </c>
      <c r="CV23">
        <f t="shared" si="44"/>
        <v>0.84285042784922015</v>
      </c>
      <c r="CW23">
        <f t="shared" si="45"/>
        <v>0.16510132574899491</v>
      </c>
      <c r="CX23">
        <v>2</v>
      </c>
      <c r="CY23">
        <v>0.5</v>
      </c>
      <c r="CZ23" t="s">
        <v>345</v>
      </c>
      <c r="DA23">
        <v>2</v>
      </c>
      <c r="DB23">
        <v>1792129319.5999999</v>
      </c>
      <c r="DC23">
        <v>399.992166666667</v>
      </c>
      <c r="DD23">
        <v>401.80549999999999</v>
      </c>
      <c r="DE23">
        <v>17.997783333333299</v>
      </c>
      <c r="DF23">
        <v>17.1568166666667</v>
      </c>
      <c r="DG23">
        <v>400.64133333333302</v>
      </c>
      <c r="DH23">
        <v>18.157150000000001</v>
      </c>
      <c r="DI23">
        <v>500.01116666666701</v>
      </c>
      <c r="DJ23">
        <v>101.606666666667</v>
      </c>
      <c r="DK23">
        <v>9.9858083333333306E-2</v>
      </c>
      <c r="DL23">
        <v>25.789816666666699</v>
      </c>
      <c r="DM23">
        <v>25.050899999999999</v>
      </c>
      <c r="DN23">
        <v>999.9</v>
      </c>
      <c r="DO23">
        <v>0</v>
      </c>
      <c r="DP23">
        <v>0</v>
      </c>
      <c r="DQ23">
        <v>10013.108333333301</v>
      </c>
      <c r="DR23">
        <v>0</v>
      </c>
      <c r="DS23">
        <v>8.3571799999999996</v>
      </c>
      <c r="DT23">
        <v>99.986983333333299</v>
      </c>
      <c r="DU23">
        <v>0.89999450000000003</v>
      </c>
      <c r="DV23">
        <v>0.100005833333333</v>
      </c>
      <c r="DW23">
        <v>0</v>
      </c>
      <c r="DX23">
        <v>269.79399999999998</v>
      </c>
      <c r="DY23">
        <v>4.9999900000000004</v>
      </c>
      <c r="DZ23">
        <v>260.91233333333298</v>
      </c>
      <c r="EA23">
        <v>922.90716666666697</v>
      </c>
      <c r="EB23">
        <v>36</v>
      </c>
      <c r="EC23">
        <v>41.041333333333299</v>
      </c>
      <c r="ED23">
        <v>38.301666666666698</v>
      </c>
      <c r="EE23">
        <v>41.895666666666699</v>
      </c>
      <c r="EF23">
        <v>39.25</v>
      </c>
      <c r="EG23">
        <v>85.484999999999999</v>
      </c>
      <c r="EH23">
        <v>9.5</v>
      </c>
      <c r="EI23">
        <v>0</v>
      </c>
      <c r="EJ23">
        <v>158.90000009536701</v>
      </c>
      <c r="EK23">
        <v>0</v>
      </c>
      <c r="EL23">
        <v>270.08551999999997</v>
      </c>
      <c r="EM23">
        <v>-1.5030000315874199</v>
      </c>
      <c r="EN23">
        <v>-0.96276919056193799</v>
      </c>
      <c r="EO23">
        <v>260.66584</v>
      </c>
      <c r="EP23">
        <v>15</v>
      </c>
      <c r="EQ23">
        <v>1792129243.0999999</v>
      </c>
      <c r="ER23" t="s">
        <v>367</v>
      </c>
      <c r="ES23">
        <v>1792129243.0999999</v>
      </c>
      <c r="ET23">
        <v>1792129236.0999999</v>
      </c>
      <c r="EU23">
        <v>53</v>
      </c>
      <c r="EV23">
        <v>5.0000000000000001E-3</v>
      </c>
      <c r="EW23">
        <v>-1E-3</v>
      </c>
      <c r="EX23">
        <v>-0.64800000000000002</v>
      </c>
      <c r="EY23">
        <v>-0.17199999999999999</v>
      </c>
      <c r="EZ23">
        <v>402</v>
      </c>
      <c r="FA23">
        <v>17</v>
      </c>
      <c r="FB23">
        <v>0.3</v>
      </c>
      <c r="FC23">
        <v>7.0000000000000007E-2</v>
      </c>
      <c r="FD23">
        <v>3.5973349211086698</v>
      </c>
      <c r="FE23">
        <v>0.458646088340109</v>
      </c>
      <c r="FF23">
        <v>0.11350971680561101</v>
      </c>
      <c r="FG23">
        <v>1</v>
      </c>
      <c r="FH23">
        <v>-1.7929314999999999</v>
      </c>
      <c r="FI23">
        <v>-9.6344210526315893E-2</v>
      </c>
      <c r="FJ23">
        <v>4.4339426955588901E-2</v>
      </c>
      <c r="FK23">
        <v>1</v>
      </c>
      <c r="FL23">
        <v>270.15870588235299</v>
      </c>
      <c r="FM23">
        <v>-0.96892285100866304</v>
      </c>
      <c r="FN23">
        <v>0.436097501875291</v>
      </c>
      <c r="FO23">
        <v>1</v>
      </c>
      <c r="FP23">
        <v>3</v>
      </c>
      <c r="FQ23">
        <v>3</v>
      </c>
      <c r="FR23" t="s">
        <v>347</v>
      </c>
      <c r="FS23">
        <v>100</v>
      </c>
      <c r="FT23">
        <v>100</v>
      </c>
      <c r="FU23">
        <v>-0.64900000000000002</v>
      </c>
      <c r="FV23">
        <v>-0.15939999999999999</v>
      </c>
      <c r="FW23">
        <v>-0.72409449143902305</v>
      </c>
      <c r="FX23">
        <v>-6.1673298426602905E-5</v>
      </c>
      <c r="FY23">
        <v>6.1939807181674203E-7</v>
      </c>
      <c r="FZ23">
        <v>3.19222985850634E-12</v>
      </c>
      <c r="GA23">
        <v>-8.7754201832453402E-2</v>
      </c>
      <c r="GB23">
        <v>-2.57783215012692E-2</v>
      </c>
      <c r="GC23">
        <v>1.33723821780375E-3</v>
      </c>
      <c r="GD23">
        <v>-7.42160749481374E-6</v>
      </c>
      <c r="GE23">
        <v>7</v>
      </c>
      <c r="GF23">
        <v>2154</v>
      </c>
      <c r="GG23">
        <v>2</v>
      </c>
      <c r="GH23">
        <v>20</v>
      </c>
      <c r="GI23">
        <v>1.3</v>
      </c>
      <c r="GJ23">
        <v>1.4</v>
      </c>
      <c r="GK23">
        <v>1.0461400000000001</v>
      </c>
      <c r="GL23">
        <v>2.6428199999999999</v>
      </c>
      <c r="GM23">
        <v>1.65161</v>
      </c>
      <c r="GN23">
        <v>2.2692899999999998</v>
      </c>
      <c r="GO23">
        <v>1.5979000000000001</v>
      </c>
      <c r="GP23">
        <v>2.5952099999999998</v>
      </c>
      <c r="GQ23">
        <v>34.486400000000003</v>
      </c>
      <c r="GR23">
        <v>16.180900000000001</v>
      </c>
      <c r="GS23">
        <v>18</v>
      </c>
      <c r="GT23">
        <v>489.93599999999998</v>
      </c>
      <c r="GU23">
        <v>545.50099999999998</v>
      </c>
      <c r="GV23">
        <v>23.877099999999999</v>
      </c>
      <c r="GW23">
        <v>28.434100000000001</v>
      </c>
      <c r="GX23">
        <v>30.0002</v>
      </c>
      <c r="GY23">
        <v>28.561900000000001</v>
      </c>
      <c r="GZ23">
        <v>28.6191</v>
      </c>
      <c r="HA23">
        <v>20.9163</v>
      </c>
      <c r="HB23">
        <v>21.985099999999999</v>
      </c>
      <c r="HC23">
        <v>45.041400000000003</v>
      </c>
      <c r="HD23">
        <v>23.866800000000001</v>
      </c>
      <c r="HE23">
        <v>401.75400000000002</v>
      </c>
      <c r="HF23">
        <v>17.170000000000002</v>
      </c>
      <c r="HG23">
        <v>98.250299999999996</v>
      </c>
      <c r="HH23">
        <v>94.746700000000004</v>
      </c>
    </row>
    <row r="24" spans="1:216" x14ac:dyDescent="0.3">
      <c r="A24">
        <v>8</v>
      </c>
      <c r="B24">
        <v>1792129475.0999999</v>
      </c>
      <c r="C24">
        <v>1035.0999999046301</v>
      </c>
      <c r="D24" t="s">
        <v>368</v>
      </c>
      <c r="E24" t="s">
        <v>369</v>
      </c>
      <c r="F24">
        <v>5</v>
      </c>
      <c r="G24">
        <v>1792129471.5999999</v>
      </c>
      <c r="H24">
        <f t="shared" si="0"/>
        <v>1.5510839330364497E-3</v>
      </c>
      <c r="I24">
        <f t="shared" si="1"/>
        <v>1.5510839330364496</v>
      </c>
      <c r="J24">
        <f t="shared" si="2"/>
        <v>0.69865411297074653</v>
      </c>
      <c r="K24">
        <f t="shared" si="3"/>
        <v>400.01633333333302</v>
      </c>
      <c r="L24">
        <f t="shared" si="4"/>
        <v>381.63742531233822</v>
      </c>
      <c r="M24">
        <f t="shared" si="5"/>
        <v>38.813496588270631</v>
      </c>
      <c r="N24">
        <f t="shared" si="6"/>
        <v>40.682678268199446</v>
      </c>
      <c r="O24">
        <f t="shared" si="7"/>
        <v>0.11564976858719678</v>
      </c>
      <c r="P24">
        <f t="shared" si="8"/>
        <v>3.0389111270240665</v>
      </c>
      <c r="Q24">
        <f t="shared" si="9"/>
        <v>0.11325918059865045</v>
      </c>
      <c r="R24">
        <f t="shared" si="10"/>
        <v>7.0997656911748849E-2</v>
      </c>
      <c r="S24">
        <f t="shared" si="11"/>
        <v>8.238125389820091</v>
      </c>
      <c r="T24">
        <f t="shared" si="12"/>
        <v>25.272789852711472</v>
      </c>
      <c r="U24">
        <f t="shared" si="13"/>
        <v>24.984716666666699</v>
      </c>
      <c r="V24">
        <f t="shared" si="14"/>
        <v>3.1767814895217859</v>
      </c>
      <c r="W24">
        <f t="shared" si="15"/>
        <v>55.123745831098738</v>
      </c>
      <c r="X24">
        <f t="shared" si="16"/>
        <v>1.8181685637387848</v>
      </c>
      <c r="Y24">
        <f t="shared" si="17"/>
        <v>3.2983400099654383</v>
      </c>
      <c r="Z24">
        <f t="shared" si="18"/>
        <v>1.3586129257830011</v>
      </c>
      <c r="AA24">
        <f t="shared" si="19"/>
        <v>-68.402801446907432</v>
      </c>
      <c r="AB24">
        <f t="shared" si="20"/>
        <v>103.42280209226062</v>
      </c>
      <c r="AC24">
        <f t="shared" si="21"/>
        <v>7.2205666923681546</v>
      </c>
      <c r="AD24">
        <f t="shared" si="22"/>
        <v>50.478692727541443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54019.469004211955</v>
      </c>
      <c r="AJ24" t="s">
        <v>342</v>
      </c>
      <c r="AK24">
        <v>8118.81</v>
      </c>
      <c r="AL24">
        <v>195.66346153846101</v>
      </c>
      <c r="AM24">
        <v>776.847297841461</v>
      </c>
      <c r="AN24">
        <f t="shared" si="26"/>
        <v>0.74813137397513096</v>
      </c>
      <c r="AO24">
        <v>-2.45600743059184</v>
      </c>
      <c r="AP24" t="s">
        <v>370</v>
      </c>
      <c r="AQ24">
        <v>8127.86</v>
      </c>
      <c r="AR24">
        <v>263.54196000000002</v>
      </c>
      <c r="AS24">
        <v>1006.89464122527</v>
      </c>
      <c r="AT24">
        <f t="shared" si="27"/>
        <v>0.73826262529384301</v>
      </c>
      <c r="AU24">
        <v>0.5</v>
      </c>
      <c r="AV24">
        <f t="shared" si="28"/>
        <v>42.122283165709909</v>
      </c>
      <c r="AW24">
        <f t="shared" si="29"/>
        <v>0.69865411297074653</v>
      </c>
      <c r="AX24">
        <f t="shared" si="30"/>
        <v>15.548653676643823</v>
      </c>
      <c r="AY24">
        <f t="shared" si="31"/>
        <v>7.4892938047828136E-2</v>
      </c>
      <c r="AZ24">
        <f t="shared" si="32"/>
        <v>-0.22847211015431462</v>
      </c>
      <c r="BA24">
        <f t="shared" si="33"/>
        <v>207.61039253979371</v>
      </c>
      <c r="BB24" t="s">
        <v>344</v>
      </c>
      <c r="BC24">
        <v>0</v>
      </c>
      <c r="BD24">
        <f t="shared" si="34"/>
        <v>207.61039253979371</v>
      </c>
      <c r="BE24">
        <f t="shared" si="35"/>
        <v>0.79381120522485182</v>
      </c>
      <c r="BF24">
        <f t="shared" si="36"/>
        <v>0.93002293295258498</v>
      </c>
      <c r="BG24">
        <f t="shared" si="37"/>
        <v>-0.40413286847924118</v>
      </c>
      <c r="BH24">
        <f t="shared" si="38"/>
        <v>0.91632656613649288</v>
      </c>
      <c r="BI24">
        <f t="shared" si="39"/>
        <v>-0.39582543252953423</v>
      </c>
      <c r="BJ24">
        <f t="shared" si="40"/>
        <v>0.73264396372136109</v>
      </c>
      <c r="BK24">
        <f t="shared" si="41"/>
        <v>0.26735603627863891</v>
      </c>
      <c r="BL24">
        <v>173</v>
      </c>
      <c r="BM24">
        <v>290</v>
      </c>
      <c r="BN24">
        <v>944.83</v>
      </c>
      <c r="BO24">
        <v>165</v>
      </c>
      <c r="BP24">
        <v>8127.86</v>
      </c>
      <c r="BQ24">
        <v>941.27</v>
      </c>
      <c r="BR24">
        <v>3.56</v>
      </c>
      <c r="BS24">
        <v>300</v>
      </c>
      <c r="BT24">
        <v>19.100000000000001</v>
      </c>
      <c r="BU24">
        <v>1006.89464122527</v>
      </c>
      <c r="BV24">
        <v>3.0926551435163501</v>
      </c>
      <c r="BW24">
        <v>-53.337884380569797</v>
      </c>
      <c r="BX24">
        <v>2.2490987209537598</v>
      </c>
      <c r="BY24">
        <v>0.95257548503829903</v>
      </c>
      <c r="BZ24">
        <v>-5.3448333704115602E-3</v>
      </c>
      <c r="CA24">
        <v>290</v>
      </c>
      <c r="CB24">
        <v>929.6</v>
      </c>
      <c r="CC24">
        <v>625</v>
      </c>
      <c r="CD24">
        <v>8119.21</v>
      </c>
      <c r="CE24">
        <v>941.2</v>
      </c>
      <c r="CF24">
        <v>-11.6</v>
      </c>
      <c r="CT24">
        <f t="shared" si="42"/>
        <v>49.984866666666697</v>
      </c>
      <c r="CU24">
        <f t="shared" si="43"/>
        <v>42.122283165709909</v>
      </c>
      <c r="CV24">
        <f t="shared" si="44"/>
        <v>0.84270072073233937</v>
      </c>
      <c r="CW24">
        <f t="shared" si="45"/>
        <v>0.1648123910134151</v>
      </c>
      <c r="CX24">
        <v>2</v>
      </c>
      <c r="CY24">
        <v>0.5</v>
      </c>
      <c r="CZ24" t="s">
        <v>345</v>
      </c>
      <c r="DA24">
        <v>2</v>
      </c>
      <c r="DB24">
        <v>1792129471.5999999</v>
      </c>
      <c r="DC24">
        <v>400.01633333333302</v>
      </c>
      <c r="DD24">
        <v>400.54399999999998</v>
      </c>
      <c r="DE24">
        <v>17.877316666666701</v>
      </c>
      <c r="DF24">
        <v>17.267949999999999</v>
      </c>
      <c r="DG24">
        <v>400.62183333333297</v>
      </c>
      <c r="DH24">
        <v>18.0391166666667</v>
      </c>
      <c r="DI24">
        <v>499.97966666666701</v>
      </c>
      <c r="DJ24">
        <v>101.60266666666701</v>
      </c>
      <c r="DK24">
        <v>9.9876149999999997E-2</v>
      </c>
      <c r="DL24">
        <v>25.6159833333333</v>
      </c>
      <c r="DM24">
        <v>24.984716666666699</v>
      </c>
      <c r="DN24">
        <v>999.9</v>
      </c>
      <c r="DO24">
        <v>0</v>
      </c>
      <c r="DP24">
        <v>0</v>
      </c>
      <c r="DQ24">
        <v>10008.858333333301</v>
      </c>
      <c r="DR24">
        <v>0</v>
      </c>
      <c r="DS24">
        <v>8.3571799999999996</v>
      </c>
      <c r="DT24">
        <v>49.984866666666697</v>
      </c>
      <c r="DU24">
        <v>0.89997183333333297</v>
      </c>
      <c r="DV24">
        <v>0.1000284</v>
      </c>
      <c r="DW24">
        <v>0</v>
      </c>
      <c r="DX24">
        <v>263.34449999999998</v>
      </c>
      <c r="DY24">
        <v>4.9999900000000004</v>
      </c>
      <c r="DZ24">
        <v>116.652</v>
      </c>
      <c r="EA24">
        <v>437.07600000000002</v>
      </c>
      <c r="EB24">
        <v>34.718499999999999</v>
      </c>
      <c r="EC24">
        <v>38.082999999999998</v>
      </c>
      <c r="ED24">
        <v>36.551666666666698</v>
      </c>
      <c r="EE24">
        <v>37.791333333333299</v>
      </c>
      <c r="EF24">
        <v>37.218499999999999</v>
      </c>
      <c r="EG24">
        <v>40.4866666666667</v>
      </c>
      <c r="EH24">
        <v>4.5</v>
      </c>
      <c r="EI24">
        <v>0</v>
      </c>
      <c r="EJ24">
        <v>151.10000014305101</v>
      </c>
      <c r="EK24">
        <v>0</v>
      </c>
      <c r="EL24">
        <v>263.54196000000002</v>
      </c>
      <c r="EM24">
        <v>0.52623077808841401</v>
      </c>
      <c r="EN24">
        <v>-1.27484613420104</v>
      </c>
      <c r="EO24">
        <v>116.6118</v>
      </c>
      <c r="EP24">
        <v>15</v>
      </c>
      <c r="EQ24">
        <v>1792129389.0999999</v>
      </c>
      <c r="ER24" t="s">
        <v>371</v>
      </c>
      <c r="ES24">
        <v>1792129387.0999999</v>
      </c>
      <c r="ET24">
        <v>1792129389.0999999</v>
      </c>
      <c r="EU24">
        <v>54</v>
      </c>
      <c r="EV24">
        <v>4.2999999999999997E-2</v>
      </c>
      <c r="EW24">
        <v>-1E-3</v>
      </c>
      <c r="EX24">
        <v>-0.60499999999999998</v>
      </c>
      <c r="EY24">
        <v>-0.17100000000000001</v>
      </c>
      <c r="EZ24">
        <v>401</v>
      </c>
      <c r="FA24">
        <v>17</v>
      </c>
      <c r="FB24">
        <v>0.56000000000000005</v>
      </c>
      <c r="FC24">
        <v>0.1</v>
      </c>
      <c r="FD24">
        <v>0.73244277506731703</v>
      </c>
      <c r="FE24">
        <v>0.50002481696471102</v>
      </c>
      <c r="FF24">
        <v>9.6506493714397901E-2</v>
      </c>
      <c r="FG24">
        <v>1</v>
      </c>
      <c r="FH24">
        <v>-0.54157414999999998</v>
      </c>
      <c r="FI24">
        <v>-0.12821174436090199</v>
      </c>
      <c r="FJ24">
        <v>4.0792571319144599E-2</v>
      </c>
      <c r="FK24">
        <v>1</v>
      </c>
      <c r="FL24">
        <v>263.491676470588</v>
      </c>
      <c r="FM24">
        <v>-0.41602750082413897</v>
      </c>
      <c r="FN24">
        <v>0.40932065099225201</v>
      </c>
      <c r="FO24">
        <v>1</v>
      </c>
      <c r="FP24">
        <v>3</v>
      </c>
      <c r="FQ24">
        <v>3</v>
      </c>
      <c r="FR24" t="s">
        <v>347</v>
      </c>
      <c r="FS24">
        <v>100</v>
      </c>
      <c r="FT24">
        <v>100</v>
      </c>
      <c r="FU24">
        <v>-0.60599999999999998</v>
      </c>
      <c r="FV24">
        <v>-0.16189999999999999</v>
      </c>
      <c r="FW24">
        <v>-0.68048994394292495</v>
      </c>
      <c r="FX24">
        <v>-6.1673298426602905E-5</v>
      </c>
      <c r="FY24">
        <v>6.1939807181674203E-7</v>
      </c>
      <c r="FZ24">
        <v>3.19222985850634E-12</v>
      </c>
      <c r="GA24">
        <v>-8.8338492585277706E-2</v>
      </c>
      <c r="GB24">
        <v>-2.57783215012692E-2</v>
      </c>
      <c r="GC24">
        <v>1.33723821780375E-3</v>
      </c>
      <c r="GD24">
        <v>-7.42160749481374E-6</v>
      </c>
      <c r="GE24">
        <v>7</v>
      </c>
      <c r="GF24">
        <v>2154</v>
      </c>
      <c r="GG24">
        <v>2</v>
      </c>
      <c r="GH24">
        <v>20</v>
      </c>
      <c r="GI24">
        <v>1.5</v>
      </c>
      <c r="GJ24">
        <v>1.4</v>
      </c>
      <c r="GK24">
        <v>1.0424800000000001</v>
      </c>
      <c r="GL24">
        <v>2.6355</v>
      </c>
      <c r="GM24">
        <v>1.65161</v>
      </c>
      <c r="GN24">
        <v>2.2680699999999998</v>
      </c>
      <c r="GO24">
        <v>1.5979000000000001</v>
      </c>
      <c r="GP24">
        <v>2.5720200000000002</v>
      </c>
      <c r="GQ24">
        <v>34.395200000000003</v>
      </c>
      <c r="GR24">
        <v>16.163399999999999</v>
      </c>
      <c r="GS24">
        <v>18</v>
      </c>
      <c r="GT24">
        <v>490.041</v>
      </c>
      <c r="GU24">
        <v>545.95899999999995</v>
      </c>
      <c r="GV24">
        <v>23.932300000000001</v>
      </c>
      <c r="GW24">
        <v>28.4511</v>
      </c>
      <c r="GX24">
        <v>30.0002</v>
      </c>
      <c r="GY24">
        <v>28.577100000000002</v>
      </c>
      <c r="GZ24">
        <v>28.634899999999998</v>
      </c>
      <c r="HA24">
        <v>20.866399999999999</v>
      </c>
      <c r="HB24">
        <v>22.449400000000001</v>
      </c>
      <c r="HC24">
        <v>46.626399999999997</v>
      </c>
      <c r="HD24">
        <v>23.939699999999998</v>
      </c>
      <c r="HE24">
        <v>400.53199999999998</v>
      </c>
      <c r="HF24">
        <v>17.222899999999999</v>
      </c>
      <c r="HG24">
        <v>98.248400000000004</v>
      </c>
      <c r="HH24">
        <v>94.7453</v>
      </c>
    </row>
    <row r="25" spans="1:216" x14ac:dyDescent="0.3">
      <c r="A25">
        <v>9</v>
      </c>
      <c r="B25">
        <v>1792129650.0999999</v>
      </c>
      <c r="C25">
        <v>1210.0999999046301</v>
      </c>
      <c r="D25" t="s">
        <v>372</v>
      </c>
      <c r="E25" t="s">
        <v>373</v>
      </c>
      <c r="F25">
        <v>5</v>
      </c>
      <c r="G25">
        <v>1792129646.5999999</v>
      </c>
      <c r="H25">
        <f t="shared" si="0"/>
        <v>1.0553657104056425E-3</v>
      </c>
      <c r="I25">
        <f t="shared" si="1"/>
        <v>1.0553657104056424</v>
      </c>
      <c r="J25">
        <f t="shared" si="2"/>
        <v>-2.9857204185499224</v>
      </c>
      <c r="K25">
        <f t="shared" si="3"/>
        <v>400.012</v>
      </c>
      <c r="L25">
        <f t="shared" si="4"/>
        <v>453.16865349894414</v>
      </c>
      <c r="M25">
        <f t="shared" si="5"/>
        <v>46.087676015223586</v>
      </c>
      <c r="N25">
        <f t="shared" si="6"/>
        <v>40.681594624559736</v>
      </c>
      <c r="O25">
        <f t="shared" si="7"/>
        <v>7.7239906155113877E-2</v>
      </c>
      <c r="P25">
        <f t="shared" si="8"/>
        <v>3.039313788238819</v>
      </c>
      <c r="Q25">
        <f t="shared" si="9"/>
        <v>7.6165748369760852E-2</v>
      </c>
      <c r="R25">
        <f t="shared" si="10"/>
        <v>4.769885702752448E-2</v>
      </c>
      <c r="S25">
        <f t="shared" si="11"/>
        <v>6.3839361601596015E-4</v>
      </c>
      <c r="T25">
        <f t="shared" si="12"/>
        <v>25.324147502007794</v>
      </c>
      <c r="U25">
        <f t="shared" si="13"/>
        <v>25.0003833333333</v>
      </c>
      <c r="V25">
        <f t="shared" si="14"/>
        <v>3.1797502590076019</v>
      </c>
      <c r="W25">
        <f t="shared" si="15"/>
        <v>54.813293652581628</v>
      </c>
      <c r="X25">
        <f t="shared" si="16"/>
        <v>1.8051000748746864</v>
      </c>
      <c r="Y25">
        <f t="shared" si="17"/>
        <v>3.2931793632322051</v>
      </c>
      <c r="Z25">
        <f t="shared" si="18"/>
        <v>1.3746501841329155</v>
      </c>
      <c r="AA25">
        <f t="shared" si="19"/>
        <v>-46.541627828888835</v>
      </c>
      <c r="AB25">
        <f t="shared" si="20"/>
        <v>96.546382658197004</v>
      </c>
      <c r="AC25">
        <f t="shared" si="21"/>
        <v>6.7392254103922191</v>
      </c>
      <c r="AD25">
        <f t="shared" si="22"/>
        <v>56.744618633316406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54036.812501203996</v>
      </c>
      <c r="AJ25" t="s">
        <v>374</v>
      </c>
      <c r="AK25">
        <v>8118.87</v>
      </c>
      <c r="AL25">
        <v>239.25899999999999</v>
      </c>
      <c r="AM25">
        <v>1034.1259580123699</v>
      </c>
      <c r="AN25">
        <f t="shared" si="26"/>
        <v>0.76863650105073755</v>
      </c>
      <c r="AO25">
        <v>-2.98572041855078</v>
      </c>
      <c r="AP25" t="s">
        <v>344</v>
      </c>
      <c r="AQ25" t="s">
        <v>344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3.3599664000840005E-3</v>
      </c>
      <c r="AW25">
        <f t="shared" si="29"/>
        <v>-2.9857204185499224</v>
      </c>
      <c r="AX25" t="e">
        <f t="shared" si="30"/>
        <v>#DIV/0!</v>
      </c>
      <c r="AY25">
        <f t="shared" si="31"/>
        <v>2.552216784664966E-10</v>
      </c>
      <c r="AZ25" t="e">
        <f t="shared" si="32"/>
        <v>#DIV/0!</v>
      </c>
      <c r="BA25" t="e">
        <f t="shared" si="33"/>
        <v>#DIV/0!</v>
      </c>
      <c r="BB25" t="s">
        <v>344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>
        <f t="shared" si="38"/>
        <v>0</v>
      </c>
      <c r="BI25">
        <f t="shared" si="39"/>
        <v>1.3010050897049323</v>
      </c>
      <c r="BJ25" t="e">
        <f t="shared" si="40"/>
        <v>#DIV/0!</v>
      </c>
      <c r="BK25" t="e">
        <f t="shared" si="41"/>
        <v>#DIV/0!</v>
      </c>
      <c r="BL25">
        <v>174</v>
      </c>
      <c r="BM25">
        <v>290</v>
      </c>
      <c r="BN25">
        <v>1012.66</v>
      </c>
      <c r="BO25">
        <v>185</v>
      </c>
      <c r="BP25">
        <v>8118.87</v>
      </c>
      <c r="BQ25">
        <v>1009.36</v>
      </c>
      <c r="BR25">
        <v>3.3</v>
      </c>
      <c r="BS25">
        <v>300</v>
      </c>
      <c r="BT25">
        <v>19.100000000000001</v>
      </c>
      <c r="BU25">
        <v>1034.1259580123699</v>
      </c>
      <c r="BV25">
        <v>3.1078451178786199</v>
      </c>
      <c r="BW25">
        <v>-20.107139785341499</v>
      </c>
      <c r="BX25">
        <v>2.2562843012930101</v>
      </c>
      <c r="BY25">
        <v>0.73933339138024001</v>
      </c>
      <c r="BZ25">
        <v>-5.3699016685205799E-3</v>
      </c>
      <c r="CA25">
        <v>290</v>
      </c>
      <c r="CB25">
        <v>1002.63</v>
      </c>
      <c r="CC25">
        <v>615</v>
      </c>
      <c r="CD25">
        <v>8111.27</v>
      </c>
      <c r="CE25">
        <v>1009.34</v>
      </c>
      <c r="CF25">
        <v>-6.71</v>
      </c>
      <c r="CT25">
        <f t="shared" si="42"/>
        <v>1.9999900000000001E-2</v>
      </c>
      <c r="CU25">
        <f t="shared" si="43"/>
        <v>3.3599664000840005E-3</v>
      </c>
      <c r="CV25">
        <f t="shared" si="44"/>
        <v>0.16799916000000001</v>
      </c>
      <c r="CW25">
        <f t="shared" si="45"/>
        <v>3.1919840400000003E-2</v>
      </c>
      <c r="CX25">
        <v>2</v>
      </c>
      <c r="CY25">
        <v>0.5</v>
      </c>
      <c r="CZ25" t="s">
        <v>345</v>
      </c>
      <c r="DA25">
        <v>2</v>
      </c>
      <c r="DB25">
        <v>1792129646.5999999</v>
      </c>
      <c r="DC25">
        <v>400.012</v>
      </c>
      <c r="DD25">
        <v>398.98666666666702</v>
      </c>
      <c r="DE25">
        <v>17.749099999999999</v>
      </c>
      <c r="DF25">
        <v>17.334483333333299</v>
      </c>
      <c r="DG25">
        <v>400.59716666666702</v>
      </c>
      <c r="DH25">
        <v>17.9128166666667</v>
      </c>
      <c r="DI25">
        <v>500.04450000000003</v>
      </c>
      <c r="DJ25">
        <v>101.601</v>
      </c>
      <c r="DK25">
        <v>9.9935533333333298E-2</v>
      </c>
      <c r="DL25">
        <v>25.589600000000001</v>
      </c>
      <c r="DM25">
        <v>25.0003833333333</v>
      </c>
      <c r="DN25">
        <v>999.9</v>
      </c>
      <c r="DO25">
        <v>0</v>
      </c>
      <c r="DP25">
        <v>0</v>
      </c>
      <c r="DQ25">
        <v>10011.458333333299</v>
      </c>
      <c r="DR25">
        <v>0</v>
      </c>
      <c r="DS25">
        <v>8.2487183333333292</v>
      </c>
      <c r="DT25">
        <v>1.9999900000000001E-2</v>
      </c>
      <c r="DU25">
        <v>0</v>
      </c>
      <c r="DV25">
        <v>0</v>
      </c>
      <c r="DW25">
        <v>0</v>
      </c>
      <c r="DX25">
        <v>237.32499999999999</v>
      </c>
      <c r="DY25">
        <v>1.9999900000000001E-2</v>
      </c>
      <c r="DZ25">
        <v>-15.108333333333301</v>
      </c>
      <c r="EA25">
        <v>2.1625000000000001</v>
      </c>
      <c r="EB25">
        <v>35.561999999999998</v>
      </c>
      <c r="EC25">
        <v>41.041333333333299</v>
      </c>
      <c r="ED25">
        <v>38.125</v>
      </c>
      <c r="EE25">
        <v>41.801833333333299</v>
      </c>
      <c r="EF25">
        <v>38.686999999999998</v>
      </c>
      <c r="EG25">
        <v>0</v>
      </c>
      <c r="EH25">
        <v>0</v>
      </c>
      <c r="EI25">
        <v>0</v>
      </c>
      <c r="EJ25">
        <v>174.10000014305101</v>
      </c>
      <c r="EK25">
        <v>0</v>
      </c>
      <c r="EL25">
        <v>239.25899999999999</v>
      </c>
      <c r="EM25">
        <v>22.3730764506019</v>
      </c>
      <c r="EN25">
        <v>-22.213461367553698</v>
      </c>
      <c r="EO25">
        <v>-12.712999999999999</v>
      </c>
      <c r="EP25">
        <v>15</v>
      </c>
      <c r="EQ25">
        <v>1792129554.0999999</v>
      </c>
      <c r="ER25" t="s">
        <v>375</v>
      </c>
      <c r="ES25">
        <v>1792129554.0999999</v>
      </c>
      <c r="ET25">
        <v>1792129549.0999999</v>
      </c>
      <c r="EU25">
        <v>55</v>
      </c>
      <c r="EV25">
        <v>0.02</v>
      </c>
      <c r="EW25">
        <v>0</v>
      </c>
      <c r="EX25">
        <v>-0.58499999999999996</v>
      </c>
      <c r="EY25">
        <v>-0.17100000000000001</v>
      </c>
      <c r="EZ25">
        <v>399</v>
      </c>
      <c r="FA25">
        <v>17</v>
      </c>
      <c r="FB25">
        <v>0.28000000000000003</v>
      </c>
      <c r="FC25">
        <v>0.15</v>
      </c>
      <c r="FD25">
        <v>-2.93524561217265</v>
      </c>
      <c r="FE25">
        <v>1.09661486371264E-2</v>
      </c>
      <c r="FF25">
        <v>5.9968110262029001E-2</v>
      </c>
      <c r="FG25">
        <v>1</v>
      </c>
      <c r="FH25">
        <v>1.0034683809523799</v>
      </c>
      <c r="FI25">
        <v>7.7503792207792799E-2</v>
      </c>
      <c r="FJ25">
        <v>2.5791259518859501E-2</v>
      </c>
      <c r="FK25">
        <v>1</v>
      </c>
      <c r="FL25">
        <v>240.326470588235</v>
      </c>
      <c r="FM25">
        <v>-0.28113073170429098</v>
      </c>
      <c r="FN25">
        <v>6.24468874670728</v>
      </c>
      <c r="FO25">
        <v>1</v>
      </c>
      <c r="FP25">
        <v>3</v>
      </c>
      <c r="FQ25">
        <v>3</v>
      </c>
      <c r="FR25" t="s">
        <v>347</v>
      </c>
      <c r="FS25">
        <v>100</v>
      </c>
      <c r="FT25">
        <v>100</v>
      </c>
      <c r="FU25">
        <v>-0.58499999999999996</v>
      </c>
      <c r="FV25">
        <v>-0.16370000000000001</v>
      </c>
      <c r="FW25">
        <v>-0.65996507119538494</v>
      </c>
      <c r="FX25">
        <v>-6.1673298426602905E-5</v>
      </c>
      <c r="FY25">
        <v>6.1939807181674203E-7</v>
      </c>
      <c r="FZ25">
        <v>3.19222985850634E-12</v>
      </c>
      <c r="GA25">
        <v>-8.8382452022528604E-2</v>
      </c>
      <c r="GB25">
        <v>-2.57783215012692E-2</v>
      </c>
      <c r="GC25">
        <v>1.33723821780375E-3</v>
      </c>
      <c r="GD25">
        <v>-7.42160749481374E-6</v>
      </c>
      <c r="GE25">
        <v>7</v>
      </c>
      <c r="GF25">
        <v>2154</v>
      </c>
      <c r="GG25">
        <v>2</v>
      </c>
      <c r="GH25">
        <v>20</v>
      </c>
      <c r="GI25">
        <v>1.6</v>
      </c>
      <c r="GJ25">
        <v>1.7</v>
      </c>
      <c r="GK25">
        <v>1.0400400000000001</v>
      </c>
      <c r="GL25">
        <v>2.63916</v>
      </c>
      <c r="GM25">
        <v>1.65161</v>
      </c>
      <c r="GN25">
        <v>2.2692899999999998</v>
      </c>
      <c r="GO25">
        <v>1.5979000000000001</v>
      </c>
      <c r="GP25">
        <v>2.52197</v>
      </c>
      <c r="GQ25">
        <v>34.304200000000002</v>
      </c>
      <c r="GR25">
        <v>16.154599999999999</v>
      </c>
      <c r="GS25">
        <v>18</v>
      </c>
      <c r="GT25">
        <v>489.88400000000001</v>
      </c>
      <c r="GU25">
        <v>546.702</v>
      </c>
      <c r="GV25">
        <v>24.046500000000002</v>
      </c>
      <c r="GW25">
        <v>28.458400000000001</v>
      </c>
      <c r="GX25">
        <v>30.0001</v>
      </c>
      <c r="GY25">
        <v>28.591000000000001</v>
      </c>
      <c r="GZ25">
        <v>28.648299999999999</v>
      </c>
      <c r="HA25">
        <v>20.804300000000001</v>
      </c>
      <c r="HB25">
        <v>22.7179</v>
      </c>
      <c r="HC25">
        <v>48.187100000000001</v>
      </c>
      <c r="HD25">
        <v>24.046399999999998</v>
      </c>
      <c r="HE25">
        <v>398.9</v>
      </c>
      <c r="HF25">
        <v>17.354800000000001</v>
      </c>
      <c r="HG25">
        <v>98.250500000000002</v>
      </c>
      <c r="HH25">
        <v>94.745400000000004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2026-10-16T14:48:04Z</dcterms:created>
  <dcterms:modified xsi:type="dcterms:W3CDTF">2026-10-17T10:06:36Z</dcterms:modified>
</cp:coreProperties>
</file>