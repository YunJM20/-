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7 lettuce park/"/>
    </mc:Choice>
  </mc:AlternateContent>
  <xr:revisionPtr revIDLastSave="0" documentId="11_ACE07100BE6B11E3635D798CD1A9C69604E0953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/>
  <c r="Y27" i="1"/>
  <c r="X27" i="1"/>
  <c r="W27" i="1"/>
  <c r="P27" i="1"/>
  <c r="CW26" i="1"/>
  <c r="CV26" i="1"/>
  <c r="CT26" i="1"/>
  <c r="CU26" i="1" s="1"/>
  <c r="AV26" i="1" s="1"/>
  <c r="BI26" i="1"/>
  <c r="BH26" i="1"/>
  <c r="AZ26" i="1"/>
  <c r="AT26" i="1"/>
  <c r="AX26" i="1" s="1"/>
  <c r="AN26" i="1"/>
  <c r="BA26" i="1" s="1"/>
  <c r="BD26" i="1" s="1"/>
  <c r="AI26" i="1"/>
  <c r="AG26" i="1" s="1"/>
  <c r="Y26" i="1"/>
  <c r="W26" i="1" s="1"/>
  <c r="X26" i="1"/>
  <c r="S26" i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 s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/>
  <c r="S24" i="1"/>
  <c r="P24" i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 s="1"/>
  <c r="Y23" i="1"/>
  <c r="X23" i="1"/>
  <c r="W23" i="1"/>
  <c r="S23" i="1"/>
  <c r="P23" i="1"/>
  <c r="CW22" i="1"/>
  <c r="CV22" i="1"/>
  <c r="CT22" i="1"/>
  <c r="BI22" i="1"/>
  <c r="BH22" i="1"/>
  <c r="AZ22" i="1"/>
  <c r="AT22" i="1"/>
  <c r="AX22" i="1" s="1"/>
  <c r="AN22" i="1"/>
  <c r="BA22" i="1" s="1"/>
  <c r="BD22" i="1" s="1"/>
  <c r="AI22" i="1"/>
  <c r="AG22" i="1"/>
  <c r="AH22" i="1" s="1"/>
  <c r="Y22" i="1"/>
  <c r="X22" i="1"/>
  <c r="W22" i="1"/>
  <c r="P22" i="1"/>
  <c r="N22" i="1"/>
  <c r="K22" i="1"/>
  <c r="J22" i="1"/>
  <c r="AW22" i="1" s="1"/>
  <c r="AY22" i="1" s="1"/>
  <c r="I22" i="1"/>
  <c r="H22" i="1" s="1"/>
  <c r="CW21" i="1"/>
  <c r="CV21" i="1"/>
  <c r="CT21" i="1"/>
  <c r="CU21" i="1" s="1"/>
  <c r="AV21" i="1" s="1"/>
  <c r="BI21" i="1"/>
  <c r="BH21" i="1"/>
  <c r="AZ21" i="1"/>
  <c r="AT21" i="1"/>
  <c r="AX21" i="1" s="1"/>
  <c r="AN21" i="1"/>
  <c r="BA21" i="1" s="1"/>
  <c r="BD21" i="1" s="1"/>
  <c r="AI21" i="1"/>
  <c r="AG21" i="1" s="1"/>
  <c r="Y21" i="1"/>
  <c r="X21" i="1"/>
  <c r="W21" i="1" s="1"/>
  <c r="S21" i="1"/>
  <c r="P21" i="1"/>
  <c r="CW20" i="1"/>
  <c r="CV20" i="1"/>
  <c r="CT20" i="1"/>
  <c r="CU20" i="1" s="1"/>
  <c r="AV20" i="1" s="1"/>
  <c r="BI20" i="1"/>
  <c r="BH20" i="1"/>
  <c r="AZ20" i="1"/>
  <c r="AT20" i="1"/>
  <c r="AX20" i="1" s="1"/>
  <c r="AN20" i="1"/>
  <c r="BA20" i="1" s="1"/>
  <c r="BD20" i="1" s="1"/>
  <c r="AI20" i="1"/>
  <c r="AG20" i="1" s="1"/>
  <c r="Y20" i="1"/>
  <c r="X20" i="1"/>
  <c r="W20" i="1" s="1"/>
  <c r="S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 s="1"/>
  <c r="S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X18" i="1"/>
  <c r="W18" i="1" s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/>
  <c r="S17" i="1"/>
  <c r="P17" i="1"/>
  <c r="CU19" i="1" l="1"/>
  <c r="AV19" i="1" s="1"/>
  <c r="AX19" i="1" s="1"/>
  <c r="CU24" i="1"/>
  <c r="AV24" i="1" s="1"/>
  <c r="AX24" i="1" s="1"/>
  <c r="CU18" i="1"/>
  <c r="AV18" i="1" s="1"/>
  <c r="AX18" i="1" s="1"/>
  <c r="CU17" i="1"/>
  <c r="AV17" i="1" s="1"/>
  <c r="AX17" i="1" s="1"/>
  <c r="N24" i="1"/>
  <c r="J24" i="1"/>
  <c r="AW24" i="1" s="1"/>
  <c r="AY24" i="1" s="1"/>
  <c r="I24" i="1"/>
  <c r="H24" i="1" s="1"/>
  <c r="K24" i="1"/>
  <c r="AH24" i="1"/>
  <c r="CU22" i="1"/>
  <c r="AV22" i="1" s="1"/>
  <c r="S22" i="1"/>
  <c r="T22" i="1" s="1"/>
  <c r="U22" i="1" s="1"/>
  <c r="Q22" i="1" s="1"/>
  <c r="O22" i="1" s="1"/>
  <c r="R22" i="1" s="1"/>
  <c r="L22" i="1" s="1"/>
  <c r="M22" i="1" s="1"/>
  <c r="J21" i="1"/>
  <c r="AW21" i="1" s="1"/>
  <c r="AY21" i="1" s="1"/>
  <c r="I21" i="1"/>
  <c r="H21" i="1" s="1"/>
  <c r="N21" i="1"/>
  <c r="K21" i="1"/>
  <c r="AH21" i="1"/>
  <c r="CU28" i="1"/>
  <c r="AV28" i="1" s="1"/>
  <c r="AX28" i="1" s="1"/>
  <c r="S28" i="1"/>
  <c r="BE28" i="1"/>
  <c r="BF28" i="1"/>
  <c r="BJ28" i="1" s="1"/>
  <c r="BK28" i="1" s="1"/>
  <c r="BG28" i="1"/>
  <c r="AH28" i="1"/>
  <c r="N28" i="1"/>
  <c r="K28" i="1"/>
  <c r="J28" i="1"/>
  <c r="AW28" i="1" s="1"/>
  <c r="I28" i="1"/>
  <c r="H28" i="1" s="1"/>
  <c r="CU27" i="1"/>
  <c r="AV27" i="1" s="1"/>
  <c r="AX27" i="1" s="1"/>
  <c r="S27" i="1"/>
  <c r="BE27" i="1"/>
  <c r="BF27" i="1"/>
  <c r="BJ27" i="1" s="1"/>
  <c r="BK27" i="1" s="1"/>
  <c r="BG27" i="1"/>
  <c r="AH27" i="1"/>
  <c r="N27" i="1"/>
  <c r="K27" i="1"/>
  <c r="J27" i="1"/>
  <c r="AW27" i="1" s="1"/>
  <c r="AY27" i="1" s="1"/>
  <c r="I27" i="1"/>
  <c r="H27" i="1" s="1"/>
  <c r="BE26" i="1"/>
  <c r="BF26" i="1"/>
  <c r="BJ26" i="1" s="1"/>
  <c r="BK26" i="1" s="1"/>
  <c r="BG26" i="1"/>
  <c r="I26" i="1"/>
  <c r="H26" i="1" s="1"/>
  <c r="AH26" i="1"/>
  <c r="N26" i="1"/>
  <c r="K26" i="1"/>
  <c r="J26" i="1"/>
  <c r="AW26" i="1" s="1"/>
  <c r="AY26" i="1" s="1"/>
  <c r="T26" i="1"/>
  <c r="U26" i="1" s="1"/>
  <c r="S25" i="1"/>
  <c r="CU25" i="1"/>
  <c r="AV25" i="1" s="1"/>
  <c r="AX25" i="1" s="1"/>
  <c r="BE25" i="1"/>
  <c r="BF25" i="1"/>
  <c r="BJ25" i="1" s="1"/>
  <c r="BK25" i="1" s="1"/>
  <c r="BG25" i="1"/>
  <c r="AH25" i="1"/>
  <c r="I25" i="1"/>
  <c r="H25" i="1" s="1"/>
  <c r="J25" i="1"/>
  <c r="AW25" i="1" s="1"/>
  <c r="AY25" i="1" s="1"/>
  <c r="K25" i="1"/>
  <c r="N25" i="1"/>
  <c r="BE24" i="1"/>
  <c r="BF24" i="1"/>
  <c r="BJ24" i="1" s="1"/>
  <c r="BK24" i="1" s="1"/>
  <c r="BG24" i="1"/>
  <c r="BE23" i="1"/>
  <c r="BF23" i="1"/>
  <c r="BJ23" i="1" s="1"/>
  <c r="BK23" i="1" s="1"/>
  <c r="BG23" i="1"/>
  <c r="N23" i="1"/>
  <c r="I23" i="1"/>
  <c r="H23" i="1" s="1"/>
  <c r="AH23" i="1"/>
  <c r="J23" i="1"/>
  <c r="AW23" i="1" s="1"/>
  <c r="AY23" i="1" s="1"/>
  <c r="K23" i="1"/>
  <c r="T23" i="1"/>
  <c r="U23" i="1" s="1"/>
  <c r="BE22" i="1"/>
  <c r="BF22" i="1"/>
  <c r="BJ22" i="1" s="1"/>
  <c r="BK22" i="1" s="1"/>
  <c r="BG22" i="1"/>
  <c r="AA22" i="1"/>
  <c r="BE21" i="1"/>
  <c r="BF21" i="1"/>
  <c r="BJ21" i="1" s="1"/>
  <c r="BK21" i="1" s="1"/>
  <c r="BG21" i="1"/>
  <c r="BG20" i="1"/>
  <c r="BF20" i="1"/>
  <c r="BJ20" i="1" s="1"/>
  <c r="BK20" i="1" s="1"/>
  <c r="BE20" i="1"/>
  <c r="K20" i="1"/>
  <c r="AH20" i="1"/>
  <c r="J20" i="1"/>
  <c r="AW20" i="1" s="1"/>
  <c r="AY20" i="1" s="1"/>
  <c r="N20" i="1"/>
  <c r="I20" i="1"/>
  <c r="H20" i="1" s="1"/>
  <c r="T20" i="1"/>
  <c r="U20" i="1" s="1"/>
  <c r="BG19" i="1"/>
  <c r="BE19" i="1"/>
  <c r="BF19" i="1"/>
  <c r="BJ19" i="1" s="1"/>
  <c r="BK19" i="1" s="1"/>
  <c r="K19" i="1"/>
  <c r="I19" i="1"/>
  <c r="H19" i="1" s="1"/>
  <c r="AH19" i="1"/>
  <c r="J19" i="1"/>
  <c r="AW19" i="1" s="1"/>
  <c r="N19" i="1"/>
  <c r="T19" i="1"/>
  <c r="U19" i="1" s="1"/>
  <c r="BF18" i="1"/>
  <c r="BJ18" i="1" s="1"/>
  <c r="BK18" i="1" s="1"/>
  <c r="BE18" i="1"/>
  <c r="BG18" i="1"/>
  <c r="I18" i="1"/>
  <c r="H18" i="1" s="1"/>
  <c r="J18" i="1"/>
  <c r="AW18" i="1" s="1"/>
  <c r="K18" i="1"/>
  <c r="N18" i="1"/>
  <c r="AH18" i="1"/>
  <c r="T18" i="1"/>
  <c r="U18" i="1" s="1"/>
  <c r="BG17" i="1"/>
  <c r="BF17" i="1"/>
  <c r="BJ17" i="1" s="1"/>
  <c r="BK17" i="1" s="1"/>
  <c r="BE17" i="1"/>
  <c r="I17" i="1"/>
  <c r="H17" i="1" s="1"/>
  <c r="K17" i="1"/>
  <c r="J17" i="1"/>
  <c r="AW17" i="1" s="1"/>
  <c r="AH17" i="1"/>
  <c r="N17" i="1"/>
  <c r="T17" i="1"/>
  <c r="U17" i="1" s="1"/>
  <c r="AY18" i="1" l="1"/>
  <c r="AY19" i="1"/>
  <c r="AY17" i="1"/>
  <c r="T24" i="1"/>
  <c r="U24" i="1" s="1"/>
  <c r="AA24" i="1"/>
  <c r="T21" i="1"/>
  <c r="U21" i="1" s="1"/>
  <c r="Q21" i="1" s="1"/>
  <c r="O21" i="1" s="1"/>
  <c r="R21" i="1" s="1"/>
  <c r="L21" i="1" s="1"/>
  <c r="M21" i="1" s="1"/>
  <c r="AA21" i="1"/>
  <c r="T28" i="1"/>
  <c r="U28" i="1" s="1"/>
  <c r="Q28" i="1"/>
  <c r="O28" i="1" s="1"/>
  <c r="R28" i="1" s="1"/>
  <c r="L28" i="1" s="1"/>
  <c r="M28" i="1" s="1"/>
  <c r="AA28" i="1"/>
  <c r="T27" i="1"/>
  <c r="U27" i="1" s="1"/>
  <c r="Q27" i="1" s="1"/>
  <c r="O27" i="1" s="1"/>
  <c r="R27" i="1" s="1"/>
  <c r="L27" i="1" s="1"/>
  <c r="M27" i="1" s="1"/>
  <c r="AA27" i="1"/>
  <c r="Q26" i="1"/>
  <c r="O26" i="1" s="1"/>
  <c r="R26" i="1" s="1"/>
  <c r="L26" i="1" s="1"/>
  <c r="M26" i="1" s="1"/>
  <c r="AA26" i="1"/>
  <c r="AB26" i="1"/>
  <c r="V26" i="1"/>
  <c r="Z26" i="1" s="1"/>
  <c r="AC26" i="1"/>
  <c r="AD26" i="1" s="1"/>
  <c r="T25" i="1"/>
  <c r="U25" i="1" s="1"/>
  <c r="Q25" i="1" s="1"/>
  <c r="O25" i="1" s="1"/>
  <c r="R25" i="1" s="1"/>
  <c r="L25" i="1" s="1"/>
  <c r="M25" i="1" s="1"/>
  <c r="AA25" i="1"/>
  <c r="Q23" i="1"/>
  <c r="O23" i="1" s="1"/>
  <c r="R23" i="1" s="1"/>
  <c r="L23" i="1" s="1"/>
  <c r="M23" i="1" s="1"/>
  <c r="AA23" i="1"/>
  <c r="AB23" i="1"/>
  <c r="AC23" i="1"/>
  <c r="AD23" i="1" s="1"/>
  <c r="V23" i="1"/>
  <c r="Z23" i="1" s="1"/>
  <c r="AB22" i="1"/>
  <c r="V22" i="1"/>
  <c r="Z22" i="1" s="1"/>
  <c r="AC22" i="1"/>
  <c r="AD22" i="1" s="1"/>
  <c r="AB21" i="1"/>
  <c r="V21" i="1"/>
  <c r="Z21" i="1" s="1"/>
  <c r="AC21" i="1"/>
  <c r="Q20" i="1"/>
  <c r="O20" i="1" s="1"/>
  <c r="R20" i="1" s="1"/>
  <c r="L20" i="1" s="1"/>
  <c r="M20" i="1" s="1"/>
  <c r="AA20" i="1"/>
  <c r="AB20" i="1"/>
  <c r="V20" i="1"/>
  <c r="Z20" i="1" s="1"/>
  <c r="AC20" i="1"/>
  <c r="Q19" i="1"/>
  <c r="O19" i="1" s="1"/>
  <c r="R19" i="1" s="1"/>
  <c r="L19" i="1" s="1"/>
  <c r="M19" i="1" s="1"/>
  <c r="AA19" i="1"/>
  <c r="AB19" i="1"/>
  <c r="V19" i="1"/>
  <c r="Z19" i="1" s="1"/>
  <c r="AC19" i="1"/>
  <c r="AD19" i="1" s="1"/>
  <c r="AA18" i="1"/>
  <c r="Q18" i="1"/>
  <c r="O18" i="1" s="1"/>
  <c r="R18" i="1" s="1"/>
  <c r="L18" i="1" s="1"/>
  <c r="M18" i="1" s="1"/>
  <c r="AB18" i="1"/>
  <c r="V18" i="1"/>
  <c r="Z18" i="1" s="1"/>
  <c r="AC18" i="1"/>
  <c r="AA17" i="1"/>
  <c r="Q17" i="1"/>
  <c r="O17" i="1" s="1"/>
  <c r="R17" i="1" s="1"/>
  <c r="L17" i="1" s="1"/>
  <c r="M17" i="1" s="1"/>
  <c r="AB17" i="1"/>
  <c r="V17" i="1"/>
  <c r="Z17" i="1" s="1"/>
  <c r="AC17" i="1"/>
  <c r="AD17" i="1" s="1"/>
  <c r="AY28" i="1"/>
  <c r="AD21" i="1" l="1"/>
  <c r="AD20" i="1"/>
  <c r="AD18" i="1"/>
  <c r="Q24" i="1"/>
  <c r="O24" i="1" s="1"/>
  <c r="R24" i="1" s="1"/>
  <c r="L24" i="1" s="1"/>
  <c r="M24" i="1" s="1"/>
  <c r="AB24" i="1"/>
  <c r="V24" i="1"/>
  <c r="Z24" i="1" s="1"/>
  <c r="AC24" i="1"/>
  <c r="AD24" i="1" s="1"/>
  <c r="V28" i="1"/>
  <c r="Z28" i="1" s="1"/>
  <c r="AB28" i="1"/>
  <c r="AC28" i="1"/>
  <c r="AD28" i="1" s="1"/>
  <c r="AB27" i="1"/>
  <c r="V27" i="1"/>
  <c r="Z27" i="1" s="1"/>
  <c r="AC27" i="1"/>
  <c r="AD27" i="1" s="1"/>
  <c r="AB25" i="1"/>
  <c r="V25" i="1"/>
  <c r="Z25" i="1" s="1"/>
  <c r="AC25" i="1"/>
  <c r="AD25" i="1" s="1"/>
</calcChain>
</file>

<file path=xl/sharedStrings.xml><?xml version="1.0" encoding="utf-8"?>
<sst xmlns="http://schemas.openxmlformats.org/spreadsheetml/2006/main" count="786" uniqueCount="382">
  <si>
    <t>File opened</t>
  </si>
  <si>
    <t>2026-10-17 13:39:06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</si>
  <si>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</si>
  <si>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</si>
  <si>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</si>
  <si>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</si>
  <si>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</si>
  <si>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</si>
  <si>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</si>
  <si>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</si>
  <si>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</si>
  <si>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</si>
  <si>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</si>
  <si>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{"co2bspanconc1": "437.6", "h2oaspan2a": "0.0964052", "co2bspan1": "1.00005", "h2oaspan1": "1.02308", "h2obspanconc1": "17.96", "flowbzero": "0.30473", "co2bspan2b": "0.105618", "co2aspan1": "1.00082", "tazero": "0.15448", "co2aspan2a": "0.106022", "h2oaspan2b": "0.0986302", "h2obspanconc2": "0", "co2azero": "0.931334", "flowazero": "0.276", "co2aspan2b": "0.105998", "co2aspanconc2": "1516", "co2aspanconc1": "437.6", "h2obzero": "1.01897", "h2obspan2b": "0.0971974", "co2bspan2a": "0.105708", "h2obspan2a": "0.0961931", "ssb_ref": "36242.9", "oxygen": "21", "flowmeterzero": "2.483", "co2bspanconc2": "1516", "h2obspan1": "1.01044", "ssa_ref": "37830.5", "h2oaspanconc1": "17.96", "tbzero": "0.143742", "h2oazero": "1.03097", "co2bspan2": "-0.00857283", "co2bzero": "0.953041", "h2obspan2": "0", "h2oaspanconc2": "0", "co2aspan2": "-0.00988168", "h2oaspan2": "0", "chamberpressurezero": "2.71033"}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</si>
  <si>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</si>
  <si>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</si>
  <si>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</si>
  <si>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</si>
  <si>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</si>
  <si>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</si>
  <si>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</si>
  <si>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</si>
  <si>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</si>
  <si>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</si>
  <si>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</si>
  <si>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</si>
  <si>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</si>
  <si>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</si>
  <si>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</si>
  <si>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13:39:06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</si>
  <si>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</si>
  <si>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</si>
  <si>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</si>
  <si>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</si>
  <si>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</si>
  <si>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</si>
  <si>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</si>
  <si>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</si>
  <si>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</si>
  <si>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</si>
  <si>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</si>
  <si>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</si>
  <si>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</si>
  <si>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</si>
  <si>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</si>
  <si>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</si>
  <si>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</si>
  <si>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</si>
  <si>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</si>
  <si>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</si>
  <si>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</si>
  <si>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</si>
  <si>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</si>
  <si>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</si>
  <si>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</si>
  <si>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</si>
  <si>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</si>
  <si>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</si>
  <si>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</si>
  <si>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</si>
  <si>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</si>
  <si>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</si>
  <si>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</si>
  <si>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</si>
  <si>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</si>
  <si>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</si>
  <si>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</si>
  <si>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</si>
  <si>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</si>
  <si>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</si>
  <si>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</si>
  <si>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</si>
  <si>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</si>
  <si>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</si>
  <si>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</si>
  <si>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</si>
  <si>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</si>
  <si>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</si>
  <si>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</si>
  <si>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</si>
  <si>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</si>
  <si>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</si>
  <si>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</si>
  <si>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</si>
  <si>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</si>
  <si>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</si>
  <si>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</si>
  <si>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</si>
  <si>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</si>
  <si>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</si>
  <si>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</si>
  <si>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</si>
  <si>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</si>
  <si>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</si>
  <si>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</si>
  <si>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</si>
  <si>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</si>
  <si>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</si>
  <si>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</si>
  <si>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</si>
  <si>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</si>
  <si>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</si>
  <si>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</si>
  <si>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</si>
  <si>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</si>
  <si>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</si>
  <si>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</si>
  <si>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</si>
  <si>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</si>
  <si>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</si>
  <si>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</si>
  <si>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</si>
  <si>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</si>
  <si>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</si>
  <si>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</si>
  <si>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</si>
  <si>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</si>
  <si>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</si>
  <si>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</si>
  <si>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</si>
  <si>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</si>
  <si>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</si>
  <si>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</si>
  <si>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</si>
  <si>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</si>
  <si>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</si>
  <si>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</si>
  <si>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</si>
  <si>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</si>
  <si>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</si>
  <si>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</si>
  <si>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</si>
  <si>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</si>
  <si>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</si>
  <si>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</si>
  <si>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</si>
  <si>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</si>
  <si>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</si>
  <si>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</si>
  <si>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</si>
  <si>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</si>
  <si>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</si>
  <si>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</si>
  <si>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</si>
  <si>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</si>
  <si>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</si>
  <si>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</si>
  <si>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</si>
  <si>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</si>
  <si>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</si>
  <si>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</si>
  <si>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</si>
  <si>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</si>
  <si>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</si>
  <si>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</si>
  <si>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</si>
  <si>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</si>
  <si>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</si>
  <si>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</si>
  <si>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</si>
  <si>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</si>
  <si>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</si>
  <si>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</si>
  <si>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</si>
  <si>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</si>
  <si>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</si>
  <si>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</si>
  <si>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</si>
  <si>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</si>
  <si>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</si>
  <si>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</si>
  <si>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</si>
  <si>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</si>
  <si>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</si>
  <si>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</si>
  <si>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</si>
  <si>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</si>
  <si>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</si>
  <si>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</si>
  <si>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</si>
  <si>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</si>
  <si>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</si>
  <si>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</si>
  <si>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</si>
  <si>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</si>
  <si>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</si>
  <si>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</si>
  <si>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</si>
  <si>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</si>
  <si>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</si>
  <si>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</si>
  <si>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</si>
  <si>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</si>
  <si>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</si>
  <si>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</si>
  <si>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</si>
  <si>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</si>
  <si>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</si>
  <si>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</si>
  <si>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</si>
  <si>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</si>
  <si>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</si>
  <si>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</si>
  <si>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</si>
  <si>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</si>
  <si>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</si>
  <si>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</si>
  <si>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</si>
  <si>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</si>
  <si>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</si>
  <si>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</si>
  <si>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</si>
  <si>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</si>
  <si>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</si>
  <si>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</si>
  <si>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</si>
  <si>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</si>
  <si>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</si>
  <si>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</si>
  <si>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</si>
  <si>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</si>
  <si>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</si>
  <si>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</si>
  <si>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</si>
  <si>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</si>
  <si>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</si>
  <si>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</si>
  <si>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</si>
  <si>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</si>
  <si>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</si>
  <si>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</si>
  <si>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</si>
  <si>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</si>
  <si>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</si>
  <si>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</si>
  <si>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</si>
  <si>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</si>
  <si>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</si>
  <si>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</si>
  <si>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</si>
  <si>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</si>
  <si>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</si>
  <si>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</si>
  <si>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</si>
  <si>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</si>
  <si>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</si>
  <si>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</si>
  <si>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</si>
  <si>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</si>
  <si>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</si>
  <si>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</si>
  <si>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</si>
  <si>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</si>
  <si>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</si>
  <si>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</si>
  <si>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</si>
  <si>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</si>
  <si>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</si>
  <si>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</si>
  <si>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</si>
  <si>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</si>
  <si>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</si>
  <si>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</si>
  <si>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</si>
  <si>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</si>
  <si>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</si>
  <si>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</si>
  <si>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</si>
  <si>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</si>
  <si>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</si>
  <si>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</si>
  <si>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</si>
  <si>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</si>
  <si>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</si>
  <si>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</si>
  <si>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</si>
  <si>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</si>
  <si>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</si>
  <si>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</si>
  <si>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</si>
  <si>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</si>
  <si>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</si>
  <si>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</si>
  <si>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</si>
  <si>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</si>
  <si>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</si>
  <si>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</si>
  <si>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</si>
  <si>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</si>
  <si>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</si>
  <si>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</si>
  <si>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</si>
  <si>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</si>
  <si>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</si>
  <si>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</si>
  <si>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</si>
  <si>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</si>
  <si>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</si>
  <si>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</si>
  <si>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</si>
  <si>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</si>
  <si>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</si>
  <si>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</si>
  <si>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</si>
  <si>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</si>
  <si>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</si>
  <si>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</si>
  <si>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</si>
  <si>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</si>
  <si>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</si>
  <si>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</si>
  <si>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</si>
  <si>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</si>
  <si>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</si>
  <si>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</si>
  <si>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</si>
  <si>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</si>
  <si>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</si>
  <si>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</si>
  <si>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</si>
  <si>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</si>
  <si>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</si>
  <si>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</si>
  <si>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</si>
  <si>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</si>
  <si>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</si>
  <si>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</si>
  <si>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</si>
  <si>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</si>
  <si>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</si>
  <si>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</si>
  <si>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</si>
  <si>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</si>
  <si>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</si>
  <si>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</si>
  <si>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</si>
  <si>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</si>
  <si>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</si>
  <si>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</si>
  <si>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</si>
  <si>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</si>
  <si>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20261017 13:55:48</t>
  </si>
  <si>
    <t>13:55:48</t>
  </si>
  <si>
    <t>-</t>
  </si>
  <si>
    <t>0: Broadleaf</t>
  </si>
  <si>
    <t>13:54:37</t>
  </si>
  <si>
    <t>3/3</t>
  </si>
  <si>
    <t>20261017 13:57:49</t>
  </si>
  <si>
    <t>13:57:49</t>
  </si>
  <si>
    <t>13:56:52</t>
  </si>
  <si>
    <t>20261017 13:59:50</t>
  </si>
  <si>
    <t>13:59:50</t>
  </si>
  <si>
    <t>13:58:59</t>
  </si>
  <si>
    <t>20261017 14:01:52</t>
  </si>
  <si>
    <t>14:01:52</t>
  </si>
  <si>
    <t>14:00:54</t>
  </si>
  <si>
    <t>20261017 14:03:53</t>
  </si>
  <si>
    <t>14:03:53</t>
  </si>
  <si>
    <t>14:03:03</t>
  </si>
  <si>
    <t>20261017 14:06:24</t>
  </si>
  <si>
    <t>14:06:24</t>
  </si>
  <si>
    <t>14:05:08</t>
  </si>
  <si>
    <t>0/3</t>
  </si>
  <si>
    <t>20261017 14:08:41</t>
  </si>
  <si>
    <t>14:08:41</t>
  </si>
  <si>
    <t>14:07:31</t>
  </si>
  <si>
    <t>20261017 14:10:45</t>
  </si>
  <si>
    <t>14:10:45</t>
  </si>
  <si>
    <t>14:09:52</t>
  </si>
  <si>
    <t>20261017 14:13:17</t>
  </si>
  <si>
    <t>14:13:17</t>
  </si>
  <si>
    <t>14:11:47</t>
  </si>
  <si>
    <t>20261017 14:15:48</t>
  </si>
  <si>
    <t>14:15:48</t>
  </si>
  <si>
    <t>14:14:15</t>
  </si>
  <si>
    <t>1/3</t>
  </si>
  <si>
    <t>20261017 14:17:50</t>
  </si>
  <si>
    <t>14:17:50</t>
  </si>
  <si>
    <t>14:16:48</t>
  </si>
  <si>
    <t>20261017 14:19:55</t>
  </si>
  <si>
    <t>14:19:55</t>
  </si>
  <si>
    <t>14:18:55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</si>
</sst>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8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34</v>
      </c>
    </row>
    <row r="3" spans="1:216" x14ac:dyDescent="0.3">
      <c r="B3" t="s">
        <v>33</v>
      </c>
      <c r="C3">
        <v>21</v>
      </c>
    </row>
    <row r="4" spans="1:216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3">
      <c r="A17">
        <v>1</v>
      </c>
      <c r="B17">
        <v>1792212948.0999999</v>
      </c>
      <c r="C17">
        <v>0</v>
      </c>
      <c r="D17" t="s">
        <v>341</v>
      </c>
      <c r="E17" t="s">
        <v>342</v>
      </c>
      <c r="F17">
        <v>5</v>
      </c>
      <c r="G17">
        <v>1792212945.0999999</v>
      </c>
      <c r="H17">
        <f t="shared" ref="H17:H28" si="0">(I17)/1000</f>
        <v>3.7964892360417019E-3</v>
      </c>
      <c r="I17">
        <f t="shared" ref="I17:I28" si="1">1000*DI17*AG17*(DE17-DF17)/(100*CX17*(1000-AG17*DE17))</f>
        <v>3.796489236041702</v>
      </c>
      <c r="J17">
        <f t="shared" ref="J17:J28" si="2">DI17*AG17*(DD17-DC17*(1000-AG17*DF17)/(1000-AG17*DE17))/(100*CX17)</f>
        <v>19.76423676721021</v>
      </c>
      <c r="K17">
        <f t="shared" ref="K17:K28" si="3">DC17 - IF(AG17&gt;1, J17*CX17*100/(AI17), 0)</f>
        <v>391.51119999999997</v>
      </c>
      <c r="L17">
        <f t="shared" ref="L17:L28" si="4">((R17-H17/2)*K17-J17)/(R17+H17/2)</f>
        <v>264.908081819605</v>
      </c>
      <c r="M17">
        <f t="shared" ref="M17:M28" si="5">L17*(DJ17+DK17)/1000</f>
        <v>26.972532386715532</v>
      </c>
      <c r="N17">
        <f t="shared" ref="N17:N28" si="6">(DC17 - IF(AG17&gt;1, J17*CX17*100/(AI17), 0))*(DJ17+DK17)/1000</f>
        <v>39.863066650238927</v>
      </c>
      <c r="O17">
        <f t="shared" ref="O17:O28" si="7">2/((1/Q17-1/P17)+SIGN(Q17)*SQRT((1/Q17-1/P17)*(1/Q17-1/P17) + 4*CY17/((CY17+1)*(CY17+1))*(2*1/Q17*1/P17-1/P17*1/P17)))</f>
        <v>0.27699893434315837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3.0394148205371052</v>
      </c>
      <c r="Q17">
        <f t="shared" ref="Q17:Q28" si="9">H17*(1000-(1000*0.61365*EXP(17.502*U17/(240.97+U17))/(DJ17+DK17)+DE17)/2)/(1000*0.61365*EXP(17.502*U17/(240.97+U17))/(DJ17+DK17)-DE17)</f>
        <v>0.26369956313655718</v>
      </c>
      <c r="R17">
        <f t="shared" ref="R17:R28" si="10">1/((CY17+1)/(O17/1.6)+1/(P17/1.37)) + CY17/((CY17+1)/(O17/1.6) + CY17/(P17/1.37))</f>
        <v>0.16595389938304778</v>
      </c>
      <c r="S17">
        <f t="shared" ref="S17:S28" si="11">(CT17*CW17)</f>
        <v>241.75280401557791</v>
      </c>
      <c r="T17">
        <f t="shared" ref="T17:T28" si="12">(DL17+(S17+2*0.95*0.0000000567*(((DL17+$B$7)+273)^4-(DL17+273)^4)-44100*H17)/(1.84*29.3*P17+8*0.95*0.0000000567*(DL17+273)^3))</f>
        <v>25.418749513731527</v>
      </c>
      <c r="U17">
        <f t="shared" ref="U17:U28" si="13">($C$7*DM17+$D$7*DN17+$E$7*T17)</f>
        <v>24.99212</v>
      </c>
      <c r="V17">
        <f t="shared" ref="V17:V28" si="14">0.61365*EXP(17.502*U17/(240.97+U17))</f>
        <v>3.178184089015744</v>
      </c>
      <c r="W17">
        <f t="shared" ref="W17:W28" si="15">(X17/Y17*100)</f>
        <v>54.984102783826017</v>
      </c>
      <c r="X17">
        <f t="shared" ref="X17:X28" si="16">DE17*(DJ17+DK17)/1000</f>
        <v>1.7477606670307524</v>
      </c>
      <c r="Y17">
        <f t="shared" ref="Y17:Y28" si="17">0.61365*EXP(17.502*DL17/(240.97+DL17))</f>
        <v>3.1786654297192043</v>
      </c>
      <c r="Z17">
        <f t="shared" ref="Z17:Z28" si="18">(V17-DE17*(DJ17+DK17)/1000)</f>
        <v>1.4304234219849916</v>
      </c>
      <c r="AA17">
        <f t="shared" ref="AA17:AA28" si="19">(-H17*44100)</f>
        <v>-167.42517530943906</v>
      </c>
      <c r="AB17">
        <f t="shared" ref="AB17:AB28" si="20">2*29.3*P17*0.92*(DL17-U17)</f>
        <v>0.41620676678414437</v>
      </c>
      <c r="AC17">
        <f t="shared" ref="AC17:AC28" si="21">2*0.95*0.0000000567*(((DL17+$B$7)+273)^4-(U17+273)^4)</f>
        <v>2.8963447886217724E-2</v>
      </c>
      <c r="AD17">
        <f t="shared" ref="AD17:AD28" si="22">S17+AC17+AA17+AB17</f>
        <v>74.772798920809208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54150.431045914171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1261.2948000080714</v>
      </c>
      <c r="AW17">
        <f t="shared" ref="AW17:AW28" si="29">J17</f>
        <v>19.76423676721021</v>
      </c>
      <c r="AX17" t="e">
        <f t="shared" ref="AX17:AX28" si="30">AT17*AU17*AV17</f>
        <v>#DIV/0!</v>
      </c>
      <c r="AY17">
        <f t="shared" ref="AY17:AY28" si="31">(AW17-AO17)/AV17</f>
        <v>1.5669799611545004E-2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343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BL17">
        <v>201</v>
      </c>
      <c r="BM17">
        <v>290</v>
      </c>
      <c r="BN17">
        <v>694.9</v>
      </c>
      <c r="BO17">
        <v>185</v>
      </c>
      <c r="BP17">
        <v>8116.66</v>
      </c>
      <c r="BQ17">
        <v>691.54</v>
      </c>
      <c r="BR17">
        <v>3.36</v>
      </c>
      <c r="BS17">
        <v>300</v>
      </c>
      <c r="BT17">
        <v>19.100000000000001</v>
      </c>
      <c r="BU17">
        <v>714.04193576744501</v>
      </c>
      <c r="BV17">
        <v>3.03324950049547</v>
      </c>
      <c r="BW17">
        <v>-18.2656208471677</v>
      </c>
      <c r="BX17">
        <v>2.2015746757983701</v>
      </c>
      <c r="BY17">
        <v>0.71084490389100896</v>
      </c>
      <c r="BZ17">
        <v>-5.3676925472747597E-3</v>
      </c>
      <c r="CA17">
        <v>290</v>
      </c>
      <c r="CB17">
        <v>685.54</v>
      </c>
      <c r="CC17">
        <v>615</v>
      </c>
      <c r="CD17">
        <v>8109.1</v>
      </c>
      <c r="CE17">
        <v>691.52</v>
      </c>
      <c r="CF17">
        <v>-5.98</v>
      </c>
      <c r="CT17">
        <f t="shared" ref="CT17:CT28" si="42">$B$11*DR17+$C$11*DS17+$F$11*DT17*(1-DW17)</f>
        <v>1500.1</v>
      </c>
      <c r="CU17">
        <f t="shared" ref="CU17:CU28" si="43">CT17*CV17</f>
        <v>1261.2948000080714</v>
      </c>
      <c r="CV17">
        <f t="shared" ref="CV17:CV28" si="44">($B$11*$D$9+$C$11*$D$9+$F$11*((EG17+DY17)/MAX(EG17+DY17+EH17, 0.1)*$I$9+EH17/MAX(EG17+DY17+EH17, 0.1)*$J$9))/($B$11+$C$11+$F$11)</f>
        <v>0.84080714619563468</v>
      </c>
      <c r="CW17">
        <f t="shared" ref="CW17:CW28" si="45">($B$11*$K$9+$C$11*$K$9+$F$11*((EG17+DY17)/MAX(EG17+DY17+EH17, 0.1)*$P$9+EH17/MAX(EG17+DY17+EH17, 0.1)*$Q$9))/($B$11+$C$11+$F$11)</f>
        <v>0.16115779215757478</v>
      </c>
      <c r="CX17">
        <v>2</v>
      </c>
      <c r="CY17">
        <v>0.5</v>
      </c>
      <c r="CZ17" t="s">
        <v>344</v>
      </c>
      <c r="DA17">
        <v>2</v>
      </c>
      <c r="DB17">
        <v>1792212945.0999999</v>
      </c>
      <c r="DC17">
        <v>391.51119999999997</v>
      </c>
      <c r="DD17">
        <v>400.00979999999998</v>
      </c>
      <c r="DE17">
        <v>17.165459999999999</v>
      </c>
      <c r="DF17">
        <v>15.673220000000001</v>
      </c>
      <c r="DG17">
        <v>391.70600000000002</v>
      </c>
      <c r="DH17">
        <v>17.31316</v>
      </c>
      <c r="DI17">
        <v>500.09660000000002</v>
      </c>
      <c r="DJ17">
        <v>101.7184</v>
      </c>
      <c r="DK17">
        <v>0.10005794</v>
      </c>
      <c r="DL17">
        <v>24.99466</v>
      </c>
      <c r="DM17">
        <v>24.99212</v>
      </c>
      <c r="DN17">
        <v>999.9</v>
      </c>
      <c r="DO17">
        <v>0</v>
      </c>
      <c r="DP17">
        <v>0</v>
      </c>
      <c r="DQ17">
        <v>10000.513999999999</v>
      </c>
      <c r="DR17">
        <v>0</v>
      </c>
      <c r="DS17">
        <v>8.5830500000000001</v>
      </c>
      <c r="DT17">
        <v>1500.1</v>
      </c>
      <c r="DU17">
        <v>0.97300799999999998</v>
      </c>
      <c r="DV17">
        <v>2.699176E-2</v>
      </c>
      <c r="DW17">
        <v>0</v>
      </c>
      <c r="DX17">
        <v>252.6902</v>
      </c>
      <c r="DY17">
        <v>4.9999900000000004</v>
      </c>
      <c r="DZ17">
        <v>3764.7440000000001</v>
      </c>
      <c r="EA17">
        <v>14883.62</v>
      </c>
      <c r="EB17">
        <v>38.125</v>
      </c>
      <c r="EC17">
        <v>39.436999999999998</v>
      </c>
      <c r="ED17">
        <v>38.75</v>
      </c>
      <c r="EE17">
        <v>38.962200000000003</v>
      </c>
      <c r="EF17">
        <v>39.662199999999999</v>
      </c>
      <c r="EG17">
        <v>1454.74</v>
      </c>
      <c r="EH17">
        <v>40.36</v>
      </c>
      <c r="EI17">
        <v>0</v>
      </c>
      <c r="EJ17">
        <v>1472.0999999046301</v>
      </c>
      <c r="EK17">
        <v>0</v>
      </c>
      <c r="EL17">
        <v>252.43096</v>
      </c>
      <c r="EM17">
        <v>0.96907692219998898</v>
      </c>
      <c r="EN17">
        <v>-5.4315384648695799</v>
      </c>
      <c r="EO17">
        <v>3765.152</v>
      </c>
      <c r="EP17">
        <v>15</v>
      </c>
      <c r="EQ17">
        <v>1792212877.0999999</v>
      </c>
      <c r="ER17" t="s">
        <v>345</v>
      </c>
      <c r="ES17">
        <v>1792212875.0999999</v>
      </c>
      <c r="ET17">
        <v>1792212877.0999999</v>
      </c>
      <c r="EU17">
        <v>40</v>
      </c>
      <c r="EV17">
        <v>2.3E-2</v>
      </c>
      <c r="EW17">
        <v>-1E-3</v>
      </c>
      <c r="EX17">
        <v>-0.191</v>
      </c>
      <c r="EY17">
        <v>-0.16600000000000001</v>
      </c>
      <c r="EZ17">
        <v>400</v>
      </c>
      <c r="FA17">
        <v>16</v>
      </c>
      <c r="FB17">
        <v>0.24</v>
      </c>
      <c r="FC17">
        <v>7.0000000000000007E-2</v>
      </c>
      <c r="FD17">
        <v>19.682478140144099</v>
      </c>
      <c r="FE17">
        <v>0.45487958129107098</v>
      </c>
      <c r="FF17">
        <v>9.5766543534079707E-2</v>
      </c>
      <c r="FG17">
        <v>1</v>
      </c>
      <c r="FH17">
        <v>-8.4681880952380908</v>
      </c>
      <c r="FI17">
        <v>-0.230506753246741</v>
      </c>
      <c r="FJ17">
        <v>4.03952012259646E-2</v>
      </c>
      <c r="FK17">
        <v>1</v>
      </c>
      <c r="FL17">
        <v>252.50108823529399</v>
      </c>
      <c r="FM17">
        <v>8.5607327222031696E-2</v>
      </c>
      <c r="FN17">
        <v>0.330556693335125</v>
      </c>
      <c r="FO17">
        <v>1</v>
      </c>
      <c r="FP17">
        <v>3</v>
      </c>
      <c r="FQ17">
        <v>3</v>
      </c>
      <c r="FR17" t="s">
        <v>346</v>
      </c>
      <c r="FS17">
        <v>100</v>
      </c>
      <c r="FT17">
        <v>100</v>
      </c>
      <c r="FU17">
        <v>-0.19400000000000001</v>
      </c>
      <c r="FV17">
        <v>-0.14760000000000001</v>
      </c>
      <c r="FW17">
        <v>-0.26571203382325598</v>
      </c>
      <c r="FX17">
        <v>-6.1673298426602905E-5</v>
      </c>
      <c r="FY17">
        <v>6.1939807181674203E-7</v>
      </c>
      <c r="FZ17">
        <v>3.19222985850634E-12</v>
      </c>
      <c r="GA17">
        <v>-6.3692887167625195E-2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1.2</v>
      </c>
      <c r="GJ17">
        <v>1.2</v>
      </c>
      <c r="GK17">
        <v>1.0376000000000001</v>
      </c>
      <c r="GL17">
        <v>2.63672</v>
      </c>
      <c r="GM17">
        <v>1.65161</v>
      </c>
      <c r="GN17">
        <v>2.2717299999999998</v>
      </c>
      <c r="GO17">
        <v>1.5979000000000001</v>
      </c>
      <c r="GP17">
        <v>2.6220699999999999</v>
      </c>
      <c r="GQ17">
        <v>33.963900000000002</v>
      </c>
      <c r="GR17">
        <v>23.8248</v>
      </c>
      <c r="GS17">
        <v>18</v>
      </c>
      <c r="GT17">
        <v>503.81400000000002</v>
      </c>
      <c r="GU17">
        <v>550.13900000000001</v>
      </c>
      <c r="GV17">
        <v>21.207799999999999</v>
      </c>
      <c r="GW17">
        <v>29.182300000000001</v>
      </c>
      <c r="GX17">
        <v>30</v>
      </c>
      <c r="GY17">
        <v>29.3719</v>
      </c>
      <c r="GZ17">
        <v>29.436</v>
      </c>
      <c r="HA17">
        <v>20.747699999999998</v>
      </c>
      <c r="HB17">
        <v>29.202300000000001</v>
      </c>
      <c r="HC17">
        <v>49.629899999999999</v>
      </c>
      <c r="HD17">
        <v>21.209599999999998</v>
      </c>
      <c r="HE17">
        <v>400</v>
      </c>
      <c r="HF17">
        <v>15.7089</v>
      </c>
      <c r="HG17">
        <v>98.117999999999995</v>
      </c>
      <c r="HH17">
        <v>94.629900000000006</v>
      </c>
    </row>
    <row r="18" spans="1:216" x14ac:dyDescent="0.3">
      <c r="A18">
        <v>2</v>
      </c>
      <c r="B18">
        <v>1792213069.0999999</v>
      </c>
      <c r="C18">
        <v>121</v>
      </c>
      <c r="D18" t="s">
        <v>347</v>
      </c>
      <c r="E18" t="s">
        <v>348</v>
      </c>
      <c r="F18">
        <v>5</v>
      </c>
      <c r="G18">
        <v>1792213066.0999999</v>
      </c>
      <c r="H18">
        <f t="shared" si="0"/>
        <v>4.0994284922017564E-3</v>
      </c>
      <c r="I18">
        <f t="shared" si="1"/>
        <v>4.0994284922017563</v>
      </c>
      <c r="J18">
        <f t="shared" si="2"/>
        <v>14.658786036294359</v>
      </c>
      <c r="K18">
        <f t="shared" si="3"/>
        <v>293.65879999999999</v>
      </c>
      <c r="L18">
        <f t="shared" si="4"/>
        <v>206.70585381766298</v>
      </c>
      <c r="M18">
        <f t="shared" si="5"/>
        <v>21.046364151375592</v>
      </c>
      <c r="N18">
        <f t="shared" si="6"/>
        <v>29.89973397902801</v>
      </c>
      <c r="O18">
        <f t="shared" si="7"/>
        <v>0.30220660711711866</v>
      </c>
      <c r="P18">
        <f t="shared" si="8"/>
        <v>3.0391187158616932</v>
      </c>
      <c r="Q18">
        <f t="shared" si="9"/>
        <v>0.28644904142755295</v>
      </c>
      <c r="R18">
        <f t="shared" si="10"/>
        <v>0.18037790878965954</v>
      </c>
      <c r="S18">
        <f t="shared" si="11"/>
        <v>241.7406744155787</v>
      </c>
      <c r="T18">
        <f t="shared" si="12"/>
        <v>25.363961396442196</v>
      </c>
      <c r="U18">
        <f t="shared" si="13"/>
        <v>24.974039999999999</v>
      </c>
      <c r="V18">
        <f t="shared" si="14"/>
        <v>3.1747596927893369</v>
      </c>
      <c r="W18">
        <f t="shared" si="15"/>
        <v>55.074690526130397</v>
      </c>
      <c r="X18">
        <f t="shared" si="16"/>
        <v>1.7528833946750075</v>
      </c>
      <c r="Y18">
        <f t="shared" si="17"/>
        <v>3.1827385282234957</v>
      </c>
      <c r="Z18">
        <f t="shared" si="18"/>
        <v>1.4218762981143294</v>
      </c>
      <c r="AA18">
        <f t="shared" si="19"/>
        <v>-180.78479650609745</v>
      </c>
      <c r="AB18">
        <f t="shared" si="20"/>
        <v>6.8978731616216713</v>
      </c>
      <c r="AC18">
        <f t="shared" si="21"/>
        <v>0.48007166571816262</v>
      </c>
      <c r="AD18">
        <f t="shared" si="22"/>
        <v>68.333822736821077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54137.227178831767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1261.2309600080719</v>
      </c>
      <c r="AW18">
        <f t="shared" si="29"/>
        <v>14.658786036294359</v>
      </c>
      <c r="AX18" t="e">
        <f t="shared" si="30"/>
        <v>#DIV/0!</v>
      </c>
      <c r="AY18">
        <f t="shared" si="31"/>
        <v>1.162260244245871E-2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BL18">
        <v>201</v>
      </c>
      <c r="BM18">
        <v>290</v>
      </c>
      <c r="BN18">
        <v>694.9</v>
      </c>
      <c r="BO18">
        <v>185</v>
      </c>
      <c r="BP18">
        <v>8116.66</v>
      </c>
      <c r="BQ18">
        <v>691.54</v>
      </c>
      <c r="BR18">
        <v>3.36</v>
      </c>
      <c r="BS18">
        <v>300</v>
      </c>
      <c r="BT18">
        <v>19.100000000000001</v>
      </c>
      <c r="BU18">
        <v>714.04193576744501</v>
      </c>
      <c r="BV18">
        <v>3.03324950049547</v>
      </c>
      <c r="BW18">
        <v>-18.2656208471677</v>
      </c>
      <c r="BX18">
        <v>2.2015746757983701</v>
      </c>
      <c r="BY18">
        <v>0.71084490389100896</v>
      </c>
      <c r="BZ18">
        <v>-5.3676925472747597E-3</v>
      </c>
      <c r="CA18">
        <v>290</v>
      </c>
      <c r="CB18">
        <v>685.54</v>
      </c>
      <c r="CC18">
        <v>615</v>
      </c>
      <c r="CD18">
        <v>8109.1</v>
      </c>
      <c r="CE18">
        <v>691.52</v>
      </c>
      <c r="CF18">
        <v>-5.98</v>
      </c>
      <c r="CT18">
        <f t="shared" si="42"/>
        <v>1500.0239999999999</v>
      </c>
      <c r="CU18">
        <f t="shared" si="43"/>
        <v>1261.2309600080719</v>
      </c>
      <c r="CV18">
        <f t="shared" si="44"/>
        <v>0.84080718709038782</v>
      </c>
      <c r="CW18">
        <f t="shared" si="45"/>
        <v>0.16115787108444846</v>
      </c>
      <c r="CX18">
        <v>2</v>
      </c>
      <c r="CY18">
        <v>0.5</v>
      </c>
      <c r="CZ18" t="s">
        <v>344</v>
      </c>
      <c r="DA18">
        <v>2</v>
      </c>
      <c r="DB18">
        <v>1792213066.0999999</v>
      </c>
      <c r="DC18">
        <v>293.65879999999999</v>
      </c>
      <c r="DD18">
        <v>300.00400000000002</v>
      </c>
      <c r="DE18">
        <v>17.215859999999999</v>
      </c>
      <c r="DF18">
        <v>15.604279999999999</v>
      </c>
      <c r="DG18">
        <v>293.8888</v>
      </c>
      <c r="DH18">
        <v>17.36186</v>
      </c>
      <c r="DI18">
        <v>499.988</v>
      </c>
      <c r="DJ18">
        <v>101.718</v>
      </c>
      <c r="DK18">
        <v>9.993966E-2</v>
      </c>
      <c r="DL18">
        <v>25.01614</v>
      </c>
      <c r="DM18">
        <v>24.974039999999999</v>
      </c>
      <c r="DN18">
        <v>999.9</v>
      </c>
      <c r="DO18">
        <v>0</v>
      </c>
      <c r="DP18">
        <v>0</v>
      </c>
      <c r="DQ18">
        <v>9998.7639999999992</v>
      </c>
      <c r="DR18">
        <v>0</v>
      </c>
      <c r="DS18">
        <v>8.4136500000000005</v>
      </c>
      <c r="DT18">
        <v>1500.0239999999999</v>
      </c>
      <c r="DU18">
        <v>0.97300299999999995</v>
      </c>
      <c r="DV18">
        <v>2.6996940000000001E-2</v>
      </c>
      <c r="DW18">
        <v>0</v>
      </c>
      <c r="DX18">
        <v>251.2422</v>
      </c>
      <c r="DY18">
        <v>4.9999900000000004</v>
      </c>
      <c r="DZ18">
        <v>3732.8560000000002</v>
      </c>
      <c r="EA18">
        <v>14882.84</v>
      </c>
      <c r="EB18">
        <v>37.587200000000003</v>
      </c>
      <c r="EC18">
        <v>39.024799999999999</v>
      </c>
      <c r="ED18">
        <v>38.186999999999998</v>
      </c>
      <c r="EE18">
        <v>38.412199999999999</v>
      </c>
      <c r="EF18">
        <v>39.125</v>
      </c>
      <c r="EG18">
        <v>1454.664</v>
      </c>
      <c r="EH18">
        <v>40.36</v>
      </c>
      <c r="EI18">
        <v>0</v>
      </c>
      <c r="EJ18">
        <v>1592.7000000476801</v>
      </c>
      <c r="EK18">
        <v>0</v>
      </c>
      <c r="EL18">
        <v>251.24415384615401</v>
      </c>
      <c r="EM18">
        <v>0.86215385246501097</v>
      </c>
      <c r="EN18">
        <v>-11.2379487526371</v>
      </c>
      <c r="EO18">
        <v>3733.59269230769</v>
      </c>
      <c r="EP18">
        <v>15</v>
      </c>
      <c r="EQ18">
        <v>1792213012.0999999</v>
      </c>
      <c r="ER18" t="s">
        <v>349</v>
      </c>
      <c r="ES18">
        <v>1792213007.0999999</v>
      </c>
      <c r="ET18">
        <v>1792213012.0999999</v>
      </c>
      <c r="EU18">
        <v>41</v>
      </c>
      <c r="EV18">
        <v>0</v>
      </c>
      <c r="EW18">
        <v>1E-3</v>
      </c>
      <c r="EX18">
        <v>-0.22800000000000001</v>
      </c>
      <c r="EY18">
        <v>-0.16500000000000001</v>
      </c>
      <c r="EZ18">
        <v>300</v>
      </c>
      <c r="FA18">
        <v>16</v>
      </c>
      <c r="FB18">
        <v>0.35</v>
      </c>
      <c r="FC18">
        <v>0.05</v>
      </c>
      <c r="FD18">
        <v>14.616093624125099</v>
      </c>
      <c r="FE18">
        <v>0.25950742085916301</v>
      </c>
      <c r="FF18">
        <v>5.90486554321695E-2</v>
      </c>
      <c r="FG18">
        <v>1</v>
      </c>
      <c r="FH18">
        <v>-6.3263761904761902</v>
      </c>
      <c r="FI18">
        <v>-6.2094545454554902E-2</v>
      </c>
      <c r="FJ18">
        <v>2.39548622117257E-2</v>
      </c>
      <c r="FK18">
        <v>1</v>
      </c>
      <c r="FL18">
        <v>251.27123529411799</v>
      </c>
      <c r="FM18">
        <v>-0.34276546683143599</v>
      </c>
      <c r="FN18">
        <v>0.40728390580870699</v>
      </c>
      <c r="FO18">
        <v>1</v>
      </c>
      <c r="FP18">
        <v>3</v>
      </c>
      <c r="FQ18">
        <v>3</v>
      </c>
      <c r="FR18" t="s">
        <v>346</v>
      </c>
      <c r="FS18">
        <v>100</v>
      </c>
      <c r="FT18">
        <v>100</v>
      </c>
      <c r="FU18">
        <v>-0.23</v>
      </c>
      <c r="FV18">
        <v>-0.14599999999999999</v>
      </c>
      <c r="FW18">
        <v>-0.26530226994572198</v>
      </c>
      <c r="FX18">
        <v>-6.1673298426602905E-5</v>
      </c>
      <c r="FY18">
        <v>6.1939807181674203E-7</v>
      </c>
      <c r="FZ18">
        <v>3.19222985850634E-12</v>
      </c>
      <c r="GA18">
        <v>-6.2618268775390298E-2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1</v>
      </c>
      <c r="GJ18">
        <v>0.9</v>
      </c>
      <c r="GK18">
        <v>0.82763699999999996</v>
      </c>
      <c r="GL18">
        <v>2.6452599999999999</v>
      </c>
      <c r="GM18">
        <v>1.65161</v>
      </c>
      <c r="GN18">
        <v>2.2717299999999998</v>
      </c>
      <c r="GO18">
        <v>1.5979000000000001</v>
      </c>
      <c r="GP18">
        <v>2.49878</v>
      </c>
      <c r="GQ18">
        <v>34.304200000000002</v>
      </c>
      <c r="GR18">
        <v>23.807300000000001</v>
      </c>
      <c r="GS18">
        <v>18</v>
      </c>
      <c r="GT18">
        <v>503.68400000000003</v>
      </c>
      <c r="GU18">
        <v>549.38199999999995</v>
      </c>
      <c r="GV18">
        <v>21.349399999999999</v>
      </c>
      <c r="GW18">
        <v>29.163499999999999</v>
      </c>
      <c r="GX18">
        <v>30.0001</v>
      </c>
      <c r="GY18">
        <v>29.348099999999999</v>
      </c>
      <c r="GZ18">
        <v>29.4115</v>
      </c>
      <c r="HA18">
        <v>16.545000000000002</v>
      </c>
      <c r="HB18">
        <v>29.245699999999999</v>
      </c>
      <c r="HC18">
        <v>48.886299999999999</v>
      </c>
      <c r="HD18">
        <v>21.354399999999998</v>
      </c>
      <c r="HE18">
        <v>300</v>
      </c>
      <c r="HF18">
        <v>15.6295</v>
      </c>
      <c r="HG18">
        <v>98.122100000000003</v>
      </c>
      <c r="HH18">
        <v>94.634399999999999</v>
      </c>
    </row>
    <row r="19" spans="1:216" x14ac:dyDescent="0.3">
      <c r="A19">
        <v>3</v>
      </c>
      <c r="B19">
        <v>1792213190.0999999</v>
      </c>
      <c r="C19">
        <v>242</v>
      </c>
      <c r="D19" t="s">
        <v>350</v>
      </c>
      <c r="E19" t="s">
        <v>351</v>
      </c>
      <c r="F19">
        <v>5</v>
      </c>
      <c r="G19">
        <v>1792213187.0999999</v>
      </c>
      <c r="H19">
        <f t="shared" si="0"/>
        <v>4.4364183767725924E-3</v>
      </c>
      <c r="I19">
        <f t="shared" si="1"/>
        <v>4.4364183767725924</v>
      </c>
      <c r="J19">
        <f t="shared" si="2"/>
        <v>9.0851287132749334</v>
      </c>
      <c r="K19">
        <f t="shared" si="3"/>
        <v>196.00640000000001</v>
      </c>
      <c r="L19">
        <f t="shared" si="4"/>
        <v>145.72914818824597</v>
      </c>
      <c r="M19">
        <f t="shared" si="5"/>
        <v>14.837671926999294</v>
      </c>
      <c r="N19">
        <f t="shared" si="6"/>
        <v>19.956739574401539</v>
      </c>
      <c r="O19">
        <f t="shared" si="7"/>
        <v>0.32931387951968133</v>
      </c>
      <c r="P19">
        <f t="shared" si="8"/>
        <v>3.0415837561192238</v>
      </c>
      <c r="Q19">
        <f t="shared" si="9"/>
        <v>0.3107103644511226</v>
      </c>
      <c r="R19">
        <f t="shared" si="10"/>
        <v>0.19577779794167566</v>
      </c>
      <c r="S19">
        <f t="shared" si="11"/>
        <v>241.73794561558202</v>
      </c>
      <c r="T19">
        <f t="shared" si="12"/>
        <v>25.320059400203249</v>
      </c>
      <c r="U19">
        <f t="shared" si="13"/>
        <v>24.963419999999999</v>
      </c>
      <c r="V19">
        <f t="shared" si="14"/>
        <v>3.1727497423997115</v>
      </c>
      <c r="W19">
        <f t="shared" si="15"/>
        <v>54.97964768910002</v>
      </c>
      <c r="X19">
        <f t="shared" si="16"/>
        <v>1.7541523485578447</v>
      </c>
      <c r="Y19">
        <f t="shared" si="17"/>
        <v>3.190548543485145</v>
      </c>
      <c r="Z19">
        <f t="shared" si="18"/>
        <v>1.4185973938418668</v>
      </c>
      <c r="AA19">
        <f t="shared" si="19"/>
        <v>-195.64605041567134</v>
      </c>
      <c r="AB19">
        <f t="shared" si="20"/>
        <v>15.387682707077005</v>
      </c>
      <c r="AC19">
        <f t="shared" si="21"/>
        <v>1.0702337931754398</v>
      </c>
      <c r="AD19">
        <f t="shared" si="22"/>
        <v>62.549811700163133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54207.117230015203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1261.2144000080734</v>
      </c>
      <c r="AW19">
        <f t="shared" si="29"/>
        <v>9.0851287132749334</v>
      </c>
      <c r="AX19" t="e">
        <f t="shared" si="30"/>
        <v>#DIV/0!</v>
      </c>
      <c r="AY19">
        <f t="shared" si="31"/>
        <v>7.2034768340868745E-3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BL19">
        <v>201</v>
      </c>
      <c r="BM19">
        <v>290</v>
      </c>
      <c r="BN19">
        <v>694.9</v>
      </c>
      <c r="BO19">
        <v>185</v>
      </c>
      <c r="BP19">
        <v>8116.66</v>
      </c>
      <c r="BQ19">
        <v>691.54</v>
      </c>
      <c r="BR19">
        <v>3.36</v>
      </c>
      <c r="BS19">
        <v>300</v>
      </c>
      <c r="BT19">
        <v>19.100000000000001</v>
      </c>
      <c r="BU19">
        <v>714.04193576744501</v>
      </c>
      <c r="BV19">
        <v>3.03324950049547</v>
      </c>
      <c r="BW19">
        <v>-18.2656208471677</v>
      </c>
      <c r="BX19">
        <v>2.2015746757983701</v>
      </c>
      <c r="BY19">
        <v>0.71084490389100896</v>
      </c>
      <c r="BZ19">
        <v>-5.3676925472747597E-3</v>
      </c>
      <c r="CA19">
        <v>290</v>
      </c>
      <c r="CB19">
        <v>685.54</v>
      </c>
      <c r="CC19">
        <v>615</v>
      </c>
      <c r="CD19">
        <v>8109.1</v>
      </c>
      <c r="CE19">
        <v>691.52</v>
      </c>
      <c r="CF19">
        <v>-5.98</v>
      </c>
      <c r="CT19">
        <f t="shared" si="42"/>
        <v>1500.0039999999999</v>
      </c>
      <c r="CU19">
        <f t="shared" si="43"/>
        <v>1261.2144000080734</v>
      </c>
      <c r="CV19">
        <f t="shared" si="44"/>
        <v>0.84080735785242811</v>
      </c>
      <c r="CW19">
        <f t="shared" si="45"/>
        <v>0.16115820065518627</v>
      </c>
      <c r="CX19">
        <v>2</v>
      </c>
      <c r="CY19">
        <v>0.5</v>
      </c>
      <c r="CZ19" t="s">
        <v>344</v>
      </c>
      <c r="DA19">
        <v>2</v>
      </c>
      <c r="DB19">
        <v>1792213187.0999999</v>
      </c>
      <c r="DC19">
        <v>196.00640000000001</v>
      </c>
      <c r="DD19">
        <v>199.98820000000001</v>
      </c>
      <c r="DE19">
        <v>17.22852</v>
      </c>
      <c r="DF19">
        <v>15.48456</v>
      </c>
      <c r="DG19">
        <v>196.29140000000001</v>
      </c>
      <c r="DH19">
        <v>17.37518</v>
      </c>
      <c r="DI19">
        <v>500.00979999999998</v>
      </c>
      <c r="DJ19">
        <v>101.717</v>
      </c>
      <c r="DK19">
        <v>9.9775240000000001E-2</v>
      </c>
      <c r="DL19">
        <v>25.057259999999999</v>
      </c>
      <c r="DM19">
        <v>24.963419999999999</v>
      </c>
      <c r="DN19">
        <v>999.9</v>
      </c>
      <c r="DO19">
        <v>0</v>
      </c>
      <c r="DP19">
        <v>0</v>
      </c>
      <c r="DQ19">
        <v>10013.768</v>
      </c>
      <c r="DR19">
        <v>0</v>
      </c>
      <c r="DS19">
        <v>8.6395199999999992</v>
      </c>
      <c r="DT19">
        <v>1500.0039999999999</v>
      </c>
      <c r="DU19">
        <v>0.97299999999999998</v>
      </c>
      <c r="DV19">
        <v>2.7E-2</v>
      </c>
      <c r="DW19">
        <v>0</v>
      </c>
      <c r="DX19">
        <v>251.107</v>
      </c>
      <c r="DY19">
        <v>4.9999900000000004</v>
      </c>
      <c r="DZ19">
        <v>3723.1</v>
      </c>
      <c r="EA19">
        <v>14882.6</v>
      </c>
      <c r="EB19">
        <v>37.25</v>
      </c>
      <c r="EC19">
        <v>38.75</v>
      </c>
      <c r="ED19">
        <v>37.824599999999997</v>
      </c>
      <c r="EE19">
        <v>38.186999999999998</v>
      </c>
      <c r="EF19">
        <v>38.811999999999998</v>
      </c>
      <c r="EG19">
        <v>1454.636</v>
      </c>
      <c r="EH19">
        <v>40.368000000000002</v>
      </c>
      <c r="EI19">
        <v>0</v>
      </c>
      <c r="EJ19">
        <v>1713.9000000953699</v>
      </c>
      <c r="EK19">
        <v>0</v>
      </c>
      <c r="EL19">
        <v>251.11026923076901</v>
      </c>
      <c r="EM19">
        <v>-0.50348717280047295</v>
      </c>
      <c r="EN19">
        <v>-6.5958974633390604</v>
      </c>
      <c r="EO19">
        <v>3723.50038461538</v>
      </c>
      <c r="EP19">
        <v>15</v>
      </c>
      <c r="EQ19">
        <v>1792213139.0999999</v>
      </c>
      <c r="ER19" t="s">
        <v>352</v>
      </c>
      <c r="ES19">
        <v>1792213139.0999999</v>
      </c>
      <c r="ET19">
        <v>1792213139.0999999</v>
      </c>
      <c r="EU19">
        <v>42</v>
      </c>
      <c r="EV19">
        <v>-3.2000000000000001E-2</v>
      </c>
      <c r="EW19">
        <v>-1E-3</v>
      </c>
      <c r="EX19">
        <v>-0.28399999999999997</v>
      </c>
      <c r="EY19">
        <v>-0.16700000000000001</v>
      </c>
      <c r="EZ19">
        <v>200</v>
      </c>
      <c r="FA19">
        <v>16</v>
      </c>
      <c r="FB19">
        <v>0.22</v>
      </c>
      <c r="FC19">
        <v>0.03</v>
      </c>
      <c r="FD19">
        <v>9.0281116803903103</v>
      </c>
      <c r="FE19">
        <v>0.397869173998606</v>
      </c>
      <c r="FF19">
        <v>8.12718644294841E-2</v>
      </c>
      <c r="FG19">
        <v>1</v>
      </c>
      <c r="FH19">
        <v>-3.9731035000000001</v>
      </c>
      <c r="FI19">
        <v>-4.8405563909770598E-2</v>
      </c>
      <c r="FJ19">
        <v>2.7504287352156601E-2</v>
      </c>
      <c r="FK19">
        <v>1</v>
      </c>
      <c r="FL19">
        <v>251.13202941176499</v>
      </c>
      <c r="FM19">
        <v>-7.34148171630465E-2</v>
      </c>
      <c r="FN19">
        <v>0.35369623767678599</v>
      </c>
      <c r="FO19">
        <v>1</v>
      </c>
      <c r="FP19">
        <v>3</v>
      </c>
      <c r="FQ19">
        <v>3</v>
      </c>
      <c r="FR19" t="s">
        <v>346</v>
      </c>
      <c r="FS19">
        <v>100</v>
      </c>
      <c r="FT19">
        <v>100</v>
      </c>
      <c r="FU19">
        <v>-0.28499999999999998</v>
      </c>
      <c r="FV19">
        <v>-0.14660000000000001</v>
      </c>
      <c r="FW19">
        <v>-0.29692369449880002</v>
      </c>
      <c r="FX19">
        <v>-6.1673298426602905E-5</v>
      </c>
      <c r="FY19">
        <v>6.1939807181674203E-7</v>
      </c>
      <c r="FZ19">
        <v>3.19222985850634E-12</v>
      </c>
      <c r="GA19">
        <v>-6.3536888700698499E-2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0.8</v>
      </c>
      <c r="GJ19">
        <v>0.8</v>
      </c>
      <c r="GK19">
        <v>0.60790999999999995</v>
      </c>
      <c r="GL19">
        <v>2.64893</v>
      </c>
      <c r="GM19">
        <v>1.65161</v>
      </c>
      <c r="GN19">
        <v>2.2717299999999998</v>
      </c>
      <c r="GO19">
        <v>1.5979000000000001</v>
      </c>
      <c r="GP19">
        <v>2.6171899999999999</v>
      </c>
      <c r="GQ19">
        <v>34.6006</v>
      </c>
      <c r="GR19">
        <v>23.816099999999999</v>
      </c>
      <c r="GS19">
        <v>18</v>
      </c>
      <c r="GT19">
        <v>503.58800000000002</v>
      </c>
      <c r="GU19">
        <v>548.58199999999999</v>
      </c>
      <c r="GV19">
        <v>21.521699999999999</v>
      </c>
      <c r="GW19">
        <v>29.152899999999999</v>
      </c>
      <c r="GX19">
        <v>30</v>
      </c>
      <c r="GY19">
        <v>29.330500000000001</v>
      </c>
      <c r="GZ19">
        <v>29.392499999999998</v>
      </c>
      <c r="HA19">
        <v>12.146800000000001</v>
      </c>
      <c r="HB19">
        <v>28.9984</v>
      </c>
      <c r="HC19">
        <v>47.767499999999998</v>
      </c>
      <c r="HD19">
        <v>21.549499999999998</v>
      </c>
      <c r="HE19">
        <v>200</v>
      </c>
      <c r="HF19">
        <v>15.522600000000001</v>
      </c>
      <c r="HG19">
        <v>98.122600000000006</v>
      </c>
      <c r="HH19">
        <v>94.637100000000004</v>
      </c>
    </row>
    <row r="20" spans="1:216" x14ac:dyDescent="0.3">
      <c r="A20">
        <v>4</v>
      </c>
      <c r="B20">
        <v>1792213312.0999999</v>
      </c>
      <c r="C20">
        <v>364</v>
      </c>
      <c r="D20" t="s">
        <v>353</v>
      </c>
      <c r="E20" t="s">
        <v>354</v>
      </c>
      <c r="F20">
        <v>5</v>
      </c>
      <c r="G20">
        <v>1792213308.5999999</v>
      </c>
      <c r="H20">
        <f t="shared" si="0"/>
        <v>4.8973118904713578E-3</v>
      </c>
      <c r="I20">
        <f t="shared" si="1"/>
        <v>4.8973118904713582</v>
      </c>
      <c r="J20">
        <f t="shared" si="2"/>
        <v>2.6946516875428177</v>
      </c>
      <c r="K20">
        <f t="shared" si="3"/>
        <v>98.731266666666698</v>
      </c>
      <c r="L20">
        <f t="shared" si="4"/>
        <v>84.273555467150118</v>
      </c>
      <c r="M20">
        <f t="shared" si="5"/>
        <v>8.5800857515139253</v>
      </c>
      <c r="N20">
        <f t="shared" si="6"/>
        <v>10.052058794241779</v>
      </c>
      <c r="O20">
        <f t="shared" si="7"/>
        <v>0.36773063339617129</v>
      </c>
      <c r="P20">
        <f t="shared" si="8"/>
        <v>3.039542139927117</v>
      </c>
      <c r="Q20">
        <f t="shared" si="9"/>
        <v>0.34468195788813349</v>
      </c>
      <c r="R20">
        <f t="shared" si="10"/>
        <v>0.21737656050099202</v>
      </c>
      <c r="S20">
        <f t="shared" si="11"/>
        <v>241.73024101558326</v>
      </c>
      <c r="T20">
        <f t="shared" si="12"/>
        <v>25.261337390930841</v>
      </c>
      <c r="U20">
        <f t="shared" si="13"/>
        <v>24.979866666666702</v>
      </c>
      <c r="V20">
        <f t="shared" si="14"/>
        <v>3.1758629254176594</v>
      </c>
      <c r="W20">
        <f t="shared" si="15"/>
        <v>55.1125905962055</v>
      </c>
      <c r="X20">
        <f t="shared" si="16"/>
        <v>1.7643887484487999</v>
      </c>
      <c r="Y20">
        <f t="shared" si="17"/>
        <v>3.2014258980783201</v>
      </c>
      <c r="Z20">
        <f t="shared" si="18"/>
        <v>1.4114741769688595</v>
      </c>
      <c r="AA20">
        <f t="shared" si="19"/>
        <v>-215.97145436978687</v>
      </c>
      <c r="AB20">
        <f t="shared" si="20"/>
        <v>22.042949671442162</v>
      </c>
      <c r="AC20">
        <f t="shared" si="21"/>
        <v>1.534714445716119</v>
      </c>
      <c r="AD20">
        <f t="shared" si="22"/>
        <v>49.336450762954655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54132.546539124516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1261.1733000080742</v>
      </c>
      <c r="AW20">
        <f t="shared" si="29"/>
        <v>2.6946516875428177</v>
      </c>
      <c r="AX20" t="e">
        <f t="shared" si="30"/>
        <v>#DIV/0!</v>
      </c>
      <c r="AY20">
        <f t="shared" si="31"/>
        <v>2.1366228475702478E-3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BL20">
        <v>201</v>
      </c>
      <c r="BM20">
        <v>290</v>
      </c>
      <c r="BN20">
        <v>694.9</v>
      </c>
      <c r="BO20">
        <v>185</v>
      </c>
      <c r="BP20">
        <v>8116.66</v>
      </c>
      <c r="BQ20">
        <v>691.54</v>
      </c>
      <c r="BR20">
        <v>3.36</v>
      </c>
      <c r="BS20">
        <v>300</v>
      </c>
      <c r="BT20">
        <v>19.100000000000001</v>
      </c>
      <c r="BU20">
        <v>714.04193576744501</v>
      </c>
      <c r="BV20">
        <v>3.03324950049547</v>
      </c>
      <c r="BW20">
        <v>-18.2656208471677</v>
      </c>
      <c r="BX20">
        <v>2.2015746757983701</v>
      </c>
      <c r="BY20">
        <v>0.71084490389100896</v>
      </c>
      <c r="BZ20">
        <v>-5.3676925472747597E-3</v>
      </c>
      <c r="CA20">
        <v>290</v>
      </c>
      <c r="CB20">
        <v>685.54</v>
      </c>
      <c r="CC20">
        <v>615</v>
      </c>
      <c r="CD20">
        <v>8109.1</v>
      </c>
      <c r="CE20">
        <v>691.52</v>
      </c>
      <c r="CF20">
        <v>-5.98</v>
      </c>
      <c r="CT20">
        <f t="shared" si="42"/>
        <v>1499.9549999999999</v>
      </c>
      <c r="CU20">
        <f t="shared" si="43"/>
        <v>1261.1733000080742</v>
      </c>
      <c r="CV20">
        <f t="shared" si="44"/>
        <v>0.84080742422810972</v>
      </c>
      <c r="CW20">
        <f t="shared" si="45"/>
        <v>0.16115832876025166</v>
      </c>
      <c r="CX20">
        <v>2</v>
      </c>
      <c r="CY20">
        <v>0.5</v>
      </c>
      <c r="CZ20" t="s">
        <v>344</v>
      </c>
      <c r="DA20">
        <v>2</v>
      </c>
      <c r="DB20">
        <v>1792213308.5999999</v>
      </c>
      <c r="DC20">
        <v>98.731266666666698</v>
      </c>
      <c r="DD20">
        <v>100.00251666666701</v>
      </c>
      <c r="DE20">
        <v>17.329816666666702</v>
      </c>
      <c r="DF20">
        <v>15.404866666666701</v>
      </c>
      <c r="DG20">
        <v>99.006950000000003</v>
      </c>
      <c r="DH20">
        <v>17.476483333333299</v>
      </c>
      <c r="DI20">
        <v>500.00700000000001</v>
      </c>
      <c r="DJ20">
        <v>101.71233333333301</v>
      </c>
      <c r="DK20">
        <v>9.9981383333333299E-2</v>
      </c>
      <c r="DL20">
        <v>25.114383333333301</v>
      </c>
      <c r="DM20">
        <v>24.979866666666702</v>
      </c>
      <c r="DN20">
        <v>999.9</v>
      </c>
      <c r="DO20">
        <v>0</v>
      </c>
      <c r="DP20">
        <v>0</v>
      </c>
      <c r="DQ20">
        <v>10001.879999999999</v>
      </c>
      <c r="DR20">
        <v>0</v>
      </c>
      <c r="DS20">
        <v>8.5830500000000001</v>
      </c>
      <c r="DT20">
        <v>1499.9549999999999</v>
      </c>
      <c r="DU20">
        <v>0.97299733333333305</v>
      </c>
      <c r="DV20">
        <v>2.7002733333333299E-2</v>
      </c>
      <c r="DW20">
        <v>0</v>
      </c>
      <c r="DX20">
        <v>253.19149999999999</v>
      </c>
      <c r="DY20">
        <v>4.9999900000000004</v>
      </c>
      <c r="DZ20">
        <v>3749.3816666666698</v>
      </c>
      <c r="EA20">
        <v>14882.1333333333</v>
      </c>
      <c r="EB20">
        <v>37</v>
      </c>
      <c r="EC20">
        <v>38.561999999999998</v>
      </c>
      <c r="ED20">
        <v>37.593499999999999</v>
      </c>
      <c r="EE20">
        <v>38</v>
      </c>
      <c r="EF20">
        <v>38.625</v>
      </c>
      <c r="EG20">
        <v>1454.585</v>
      </c>
      <c r="EH20">
        <v>40.369999999999997</v>
      </c>
      <c r="EI20">
        <v>0</v>
      </c>
      <c r="EJ20">
        <v>1835.7000000476801</v>
      </c>
      <c r="EK20">
        <v>0</v>
      </c>
      <c r="EL20">
        <v>253.27171999999999</v>
      </c>
      <c r="EM20">
        <v>-8.3461550168448903E-2</v>
      </c>
      <c r="EN20">
        <v>-4.9115384636787596</v>
      </c>
      <c r="EO20">
        <v>3749.8431999999998</v>
      </c>
      <c r="EP20">
        <v>15</v>
      </c>
      <c r="EQ20">
        <v>1792213254.0999999</v>
      </c>
      <c r="ER20" t="s">
        <v>355</v>
      </c>
      <c r="ES20">
        <v>1792213251.0999999</v>
      </c>
      <c r="ET20">
        <v>1792213254.0999999</v>
      </c>
      <c r="EU20">
        <v>43</v>
      </c>
      <c r="EV20">
        <v>2.1000000000000001E-2</v>
      </c>
      <c r="EW20">
        <v>-1E-3</v>
      </c>
      <c r="EX20">
        <v>-0.27600000000000002</v>
      </c>
      <c r="EY20">
        <v>-0.17</v>
      </c>
      <c r="EZ20">
        <v>100</v>
      </c>
      <c r="FA20">
        <v>15</v>
      </c>
      <c r="FB20">
        <v>0.22</v>
      </c>
      <c r="FC20">
        <v>0.03</v>
      </c>
      <c r="FD20">
        <v>2.6871488642039401</v>
      </c>
      <c r="FE20">
        <v>9.7070323450299006E-2</v>
      </c>
      <c r="FF20">
        <v>6.7236211227517106E-2</v>
      </c>
      <c r="FG20">
        <v>1</v>
      </c>
      <c r="FH20">
        <v>-1.2656923809523799</v>
      </c>
      <c r="FI20">
        <v>-2.14262337662353E-2</v>
      </c>
      <c r="FJ20">
        <v>2.6633135806782001E-2</v>
      </c>
      <c r="FK20">
        <v>1</v>
      </c>
      <c r="FL20">
        <v>253.38667647058799</v>
      </c>
      <c r="FM20">
        <v>-0.73795263513674503</v>
      </c>
      <c r="FN20">
        <v>0.43631887425895399</v>
      </c>
      <c r="FO20">
        <v>1</v>
      </c>
      <c r="FP20">
        <v>3</v>
      </c>
      <c r="FQ20">
        <v>3</v>
      </c>
      <c r="FR20" t="s">
        <v>346</v>
      </c>
      <c r="FS20">
        <v>100</v>
      </c>
      <c r="FT20">
        <v>100</v>
      </c>
      <c r="FU20">
        <v>-0.27600000000000002</v>
      </c>
      <c r="FV20">
        <v>-0.1467</v>
      </c>
      <c r="FW20">
        <v>-0.27563533640093002</v>
      </c>
      <c r="FX20">
        <v>-6.1673298426602905E-5</v>
      </c>
      <c r="FY20">
        <v>6.1939807181674203E-7</v>
      </c>
      <c r="FZ20">
        <v>3.19222985850634E-12</v>
      </c>
      <c r="GA20">
        <v>-6.4980093156046304E-2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1</v>
      </c>
      <c r="GJ20">
        <v>1</v>
      </c>
      <c r="GK20">
        <v>0.380859</v>
      </c>
      <c r="GL20">
        <v>2.6709000000000001</v>
      </c>
      <c r="GM20">
        <v>1.65161</v>
      </c>
      <c r="GN20">
        <v>2.2717299999999998</v>
      </c>
      <c r="GO20">
        <v>1.5979000000000001</v>
      </c>
      <c r="GP20">
        <v>2.6220699999999999</v>
      </c>
      <c r="GQ20">
        <v>34.829599999999999</v>
      </c>
      <c r="GR20">
        <v>23.816099999999999</v>
      </c>
      <c r="GS20">
        <v>18</v>
      </c>
      <c r="GT20">
        <v>503.83199999999999</v>
      </c>
      <c r="GU20">
        <v>547.21799999999996</v>
      </c>
      <c r="GV20">
        <v>21.603100000000001</v>
      </c>
      <c r="GW20">
        <v>29.1511</v>
      </c>
      <c r="GX20">
        <v>30</v>
      </c>
      <c r="GY20">
        <v>29.323</v>
      </c>
      <c r="GZ20">
        <v>29.3825</v>
      </c>
      <c r="HA20">
        <v>7.5964200000000002</v>
      </c>
      <c r="HB20">
        <v>29.088899999999999</v>
      </c>
      <c r="HC20">
        <v>46.644399999999997</v>
      </c>
      <c r="HD20">
        <v>21.613499999999998</v>
      </c>
      <c r="HE20">
        <v>100</v>
      </c>
      <c r="HF20">
        <v>15.446400000000001</v>
      </c>
      <c r="HG20">
        <v>98.122699999999995</v>
      </c>
      <c r="HH20">
        <v>94.634200000000007</v>
      </c>
    </row>
    <row r="21" spans="1:216" x14ac:dyDescent="0.3">
      <c r="A21">
        <v>5</v>
      </c>
      <c r="B21">
        <v>1792213433.0999999</v>
      </c>
      <c r="C21">
        <v>485</v>
      </c>
      <c r="D21" t="s">
        <v>356</v>
      </c>
      <c r="E21" t="s">
        <v>357</v>
      </c>
      <c r="F21">
        <v>5</v>
      </c>
      <c r="G21">
        <v>1792213429.5999999</v>
      </c>
      <c r="H21">
        <f t="shared" si="0"/>
        <v>5.3410818812349931E-3</v>
      </c>
      <c r="I21">
        <f t="shared" si="1"/>
        <v>5.3410818812349934</v>
      </c>
      <c r="J21">
        <f t="shared" si="2"/>
        <v>-0.66383821128660703</v>
      </c>
      <c r="K21">
        <f t="shared" si="3"/>
        <v>50.168433333333297</v>
      </c>
      <c r="L21">
        <f t="shared" si="4"/>
        <v>51.81116140119461</v>
      </c>
      <c r="M21">
        <f t="shared" si="5"/>
        <v>5.2749802045758338</v>
      </c>
      <c r="N21">
        <f t="shared" si="6"/>
        <v>5.1077313376305398</v>
      </c>
      <c r="O21">
        <f t="shared" si="7"/>
        <v>0.40539635469496227</v>
      </c>
      <c r="P21">
        <f t="shared" si="8"/>
        <v>3.0387714421934331</v>
      </c>
      <c r="Q21">
        <f t="shared" si="9"/>
        <v>0.37756924041053913</v>
      </c>
      <c r="R21">
        <f t="shared" si="10"/>
        <v>0.23832156770180882</v>
      </c>
      <c r="S21">
        <f t="shared" si="11"/>
        <v>241.74354101558191</v>
      </c>
      <c r="T21">
        <f t="shared" si="12"/>
        <v>25.245720979175594</v>
      </c>
      <c r="U21">
        <f t="shared" si="13"/>
        <v>24.982500000000002</v>
      </c>
      <c r="V21">
        <f t="shared" si="14"/>
        <v>3.1763616358875071</v>
      </c>
      <c r="W21">
        <f t="shared" si="15"/>
        <v>55.00800140837142</v>
      </c>
      <c r="X21">
        <f t="shared" si="16"/>
        <v>1.7711308606897214</v>
      </c>
      <c r="Y21">
        <f t="shared" si="17"/>
        <v>3.2197695159675095</v>
      </c>
      <c r="Z21">
        <f t="shared" si="18"/>
        <v>1.4052307751977857</v>
      </c>
      <c r="AA21">
        <f t="shared" si="19"/>
        <v>-235.54171096246318</v>
      </c>
      <c r="AB21">
        <f t="shared" si="20"/>
        <v>37.325079711731568</v>
      </c>
      <c r="AC21">
        <f t="shared" si="21"/>
        <v>2.6006639966267975</v>
      </c>
      <c r="AD21">
        <f t="shared" si="22"/>
        <v>46.127573761477088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54090.946448065086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1261.2433000080709</v>
      </c>
      <c r="AW21">
        <f t="shared" si="29"/>
        <v>-0.66383821128660703</v>
      </c>
      <c r="AX21" t="e">
        <f t="shared" si="30"/>
        <v>#DIV/0!</v>
      </c>
      <c r="AY21">
        <f t="shared" si="31"/>
        <v>-5.263363629224901E-4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BL21">
        <v>201</v>
      </c>
      <c r="BM21">
        <v>290</v>
      </c>
      <c r="BN21">
        <v>694.9</v>
      </c>
      <c r="BO21">
        <v>185</v>
      </c>
      <c r="BP21">
        <v>8116.66</v>
      </c>
      <c r="BQ21">
        <v>691.54</v>
      </c>
      <c r="BR21">
        <v>3.36</v>
      </c>
      <c r="BS21">
        <v>300</v>
      </c>
      <c r="BT21">
        <v>19.100000000000001</v>
      </c>
      <c r="BU21">
        <v>714.04193576744501</v>
      </c>
      <c r="BV21">
        <v>3.03324950049547</v>
      </c>
      <c r="BW21">
        <v>-18.2656208471677</v>
      </c>
      <c r="BX21">
        <v>2.2015746757983701</v>
      </c>
      <c r="BY21">
        <v>0.71084490389100896</v>
      </c>
      <c r="BZ21">
        <v>-5.3676925472747597E-3</v>
      </c>
      <c r="CA21">
        <v>290</v>
      </c>
      <c r="CB21">
        <v>685.54</v>
      </c>
      <c r="CC21">
        <v>615</v>
      </c>
      <c r="CD21">
        <v>8109.1</v>
      </c>
      <c r="CE21">
        <v>691.52</v>
      </c>
      <c r="CF21">
        <v>-5.98</v>
      </c>
      <c r="CT21">
        <f t="shared" si="42"/>
        <v>1500.03833333333</v>
      </c>
      <c r="CU21">
        <f t="shared" si="43"/>
        <v>1261.2433000080709</v>
      </c>
      <c r="CV21">
        <f t="shared" si="44"/>
        <v>0.84080737937235417</v>
      </c>
      <c r="CW21">
        <f t="shared" si="45"/>
        <v>0.16115824218864347</v>
      </c>
      <c r="CX21">
        <v>2</v>
      </c>
      <c r="CY21">
        <v>0.5</v>
      </c>
      <c r="CZ21" t="s">
        <v>344</v>
      </c>
      <c r="DA21">
        <v>2</v>
      </c>
      <c r="DB21">
        <v>1792213429.5999999</v>
      </c>
      <c r="DC21">
        <v>50.168433333333297</v>
      </c>
      <c r="DD21">
        <v>50.010083333333299</v>
      </c>
      <c r="DE21">
        <v>17.396149999999999</v>
      </c>
      <c r="DF21">
        <v>15.2969333333333</v>
      </c>
      <c r="DG21">
        <v>50.447116666666702</v>
      </c>
      <c r="DH21">
        <v>17.541066666666701</v>
      </c>
      <c r="DI21">
        <v>500.012</v>
      </c>
      <c r="DJ21">
        <v>101.711666666667</v>
      </c>
      <c r="DK21">
        <v>9.9990549999999997E-2</v>
      </c>
      <c r="DL21">
        <v>25.210333333333299</v>
      </c>
      <c r="DM21">
        <v>24.982500000000002</v>
      </c>
      <c r="DN21">
        <v>999.9</v>
      </c>
      <c r="DO21">
        <v>0</v>
      </c>
      <c r="DP21">
        <v>0</v>
      </c>
      <c r="DQ21">
        <v>9997.2883333333302</v>
      </c>
      <c r="DR21">
        <v>0</v>
      </c>
      <c r="DS21">
        <v>8.5830500000000001</v>
      </c>
      <c r="DT21">
        <v>1500.03833333333</v>
      </c>
      <c r="DU21">
        <v>0.97299733333333305</v>
      </c>
      <c r="DV21">
        <v>2.7002733333333299E-2</v>
      </c>
      <c r="DW21">
        <v>0</v>
      </c>
      <c r="DX21">
        <v>255.93350000000001</v>
      </c>
      <c r="DY21">
        <v>4.9999900000000004</v>
      </c>
      <c r="DZ21">
        <v>3788.3716666666701</v>
      </c>
      <c r="EA21">
        <v>14882.9666666667</v>
      </c>
      <c r="EB21">
        <v>36.811999999999998</v>
      </c>
      <c r="EC21">
        <v>38.3853333333333</v>
      </c>
      <c r="ED21">
        <v>37.3853333333333</v>
      </c>
      <c r="EE21">
        <v>37.875</v>
      </c>
      <c r="EF21">
        <v>38.436999999999998</v>
      </c>
      <c r="EG21">
        <v>1454.6683333333301</v>
      </c>
      <c r="EH21">
        <v>40.369999999999997</v>
      </c>
      <c r="EI21">
        <v>0</v>
      </c>
      <c r="EJ21">
        <v>1956.9000000953699</v>
      </c>
      <c r="EK21">
        <v>0</v>
      </c>
      <c r="EL21">
        <v>256.14452</v>
      </c>
      <c r="EM21">
        <v>-0.38446152955838497</v>
      </c>
      <c r="EN21">
        <v>1.96769233078148</v>
      </c>
      <c r="EO21">
        <v>3787.9548</v>
      </c>
      <c r="EP21">
        <v>15</v>
      </c>
      <c r="EQ21">
        <v>1792213383.0999999</v>
      </c>
      <c r="ER21" t="s">
        <v>358</v>
      </c>
      <c r="ES21">
        <v>1792213378.0999999</v>
      </c>
      <c r="ET21">
        <v>1792213383.0999999</v>
      </c>
      <c r="EU21">
        <v>44</v>
      </c>
      <c r="EV21">
        <v>-2E-3</v>
      </c>
      <c r="EW21">
        <v>1E-3</v>
      </c>
      <c r="EX21">
        <v>-0.27900000000000003</v>
      </c>
      <c r="EY21">
        <v>-0.17</v>
      </c>
      <c r="EZ21">
        <v>50</v>
      </c>
      <c r="FA21">
        <v>15</v>
      </c>
      <c r="FB21">
        <v>0.47</v>
      </c>
      <c r="FC21">
        <v>0.04</v>
      </c>
      <c r="FD21">
        <v>-0.67889514508082005</v>
      </c>
      <c r="FE21">
        <v>-7.7369821978165498E-2</v>
      </c>
      <c r="FF21">
        <v>6.2141649173358397E-2</v>
      </c>
      <c r="FG21">
        <v>1</v>
      </c>
      <c r="FH21">
        <v>0.16461090476190501</v>
      </c>
      <c r="FI21">
        <v>4.42480519480518E-2</v>
      </c>
      <c r="FJ21">
        <v>2.4632869888490699E-2</v>
      </c>
      <c r="FK21">
        <v>1</v>
      </c>
      <c r="FL21">
        <v>256.21944117647098</v>
      </c>
      <c r="FM21">
        <v>-0.27014514426705799</v>
      </c>
      <c r="FN21">
        <v>0.522101815131225</v>
      </c>
      <c r="FO21">
        <v>1</v>
      </c>
      <c r="FP21">
        <v>3</v>
      </c>
      <c r="FQ21">
        <v>3</v>
      </c>
      <c r="FR21" t="s">
        <v>346</v>
      </c>
      <c r="FS21">
        <v>100</v>
      </c>
      <c r="FT21">
        <v>100</v>
      </c>
      <c r="FU21">
        <v>-0.27900000000000003</v>
      </c>
      <c r="FV21">
        <v>-0.1449</v>
      </c>
      <c r="FW21">
        <v>-0.27713808483647601</v>
      </c>
      <c r="FX21">
        <v>-6.1673298426602905E-5</v>
      </c>
      <c r="FY21">
        <v>6.1939807181674203E-7</v>
      </c>
      <c r="FZ21">
        <v>3.19222985850634E-12</v>
      </c>
      <c r="GA21">
        <v>-6.4127161343318501E-2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0.9</v>
      </c>
      <c r="GJ21">
        <v>0.8</v>
      </c>
      <c r="GK21">
        <v>0.26733400000000002</v>
      </c>
      <c r="GL21">
        <v>2.6916500000000001</v>
      </c>
      <c r="GM21">
        <v>1.65161</v>
      </c>
      <c r="GN21">
        <v>2.2717299999999998</v>
      </c>
      <c r="GO21">
        <v>1.5979000000000001</v>
      </c>
      <c r="GP21">
        <v>2.5769000000000002</v>
      </c>
      <c r="GQ21">
        <v>35.013399999999997</v>
      </c>
      <c r="GR21">
        <v>23.816099999999999</v>
      </c>
      <c r="GS21">
        <v>18</v>
      </c>
      <c r="GT21">
        <v>503.666</v>
      </c>
      <c r="GU21">
        <v>546.67999999999995</v>
      </c>
      <c r="GV21">
        <v>21.928899999999999</v>
      </c>
      <c r="GW21">
        <v>29.1511</v>
      </c>
      <c r="GX21">
        <v>30.0001</v>
      </c>
      <c r="GY21">
        <v>29.317399999999999</v>
      </c>
      <c r="GZ21">
        <v>29.3764</v>
      </c>
      <c r="HA21">
        <v>5.3448599999999997</v>
      </c>
      <c r="HB21">
        <v>29.087499999999999</v>
      </c>
      <c r="HC21">
        <v>45.896999999999998</v>
      </c>
      <c r="HD21">
        <v>21.9343</v>
      </c>
      <c r="HE21">
        <v>50</v>
      </c>
      <c r="HF21">
        <v>15.3025</v>
      </c>
      <c r="HG21">
        <v>98.122100000000003</v>
      </c>
      <c r="HH21">
        <v>94.638800000000003</v>
      </c>
    </row>
    <row r="22" spans="1:216" x14ac:dyDescent="0.3">
      <c r="A22">
        <v>6</v>
      </c>
      <c r="B22">
        <v>1792213584.0999999</v>
      </c>
      <c r="C22">
        <v>636</v>
      </c>
      <c r="D22" t="s">
        <v>359</v>
      </c>
      <c r="E22" t="s">
        <v>360</v>
      </c>
      <c r="F22">
        <v>5</v>
      </c>
      <c r="G22">
        <v>1792213580.5999999</v>
      </c>
      <c r="H22">
        <f t="shared" si="0"/>
        <v>5.8663497376595783E-3</v>
      </c>
      <c r="I22">
        <f t="shared" si="1"/>
        <v>5.8663497376595783</v>
      </c>
      <c r="J22">
        <f t="shared" si="2"/>
        <v>21.372700109592621</v>
      </c>
      <c r="K22">
        <f t="shared" si="3"/>
        <v>390.56200000000001</v>
      </c>
      <c r="L22">
        <f t="shared" si="4"/>
        <v>302.16188622202208</v>
      </c>
      <c r="M22">
        <f t="shared" si="5"/>
        <v>30.761259707765969</v>
      </c>
      <c r="N22">
        <f t="shared" si="6"/>
        <v>39.760736419141665</v>
      </c>
      <c r="O22">
        <f t="shared" si="7"/>
        <v>0.45352052637941076</v>
      </c>
      <c r="P22">
        <f t="shared" si="8"/>
        <v>3.0391674686555965</v>
      </c>
      <c r="Q22">
        <f t="shared" si="9"/>
        <v>0.41900023525724611</v>
      </c>
      <c r="R22">
        <f t="shared" si="10"/>
        <v>0.26475735611018691</v>
      </c>
      <c r="S22">
        <f t="shared" si="11"/>
        <v>241.73423101558299</v>
      </c>
      <c r="T22">
        <f t="shared" si="12"/>
        <v>25.224177769746849</v>
      </c>
      <c r="U22">
        <f t="shared" si="13"/>
        <v>24.978283333333302</v>
      </c>
      <c r="V22">
        <f t="shared" si="14"/>
        <v>3.1755631007975089</v>
      </c>
      <c r="W22">
        <f t="shared" si="15"/>
        <v>55.073357828898374</v>
      </c>
      <c r="X22">
        <f t="shared" si="16"/>
        <v>1.7849499092667394</v>
      </c>
      <c r="Y22">
        <f t="shared" si="17"/>
        <v>3.2410406403985981</v>
      </c>
      <c r="Z22">
        <f t="shared" si="18"/>
        <v>1.3906131915307696</v>
      </c>
      <c r="AA22">
        <f t="shared" si="19"/>
        <v>-258.70602343078741</v>
      </c>
      <c r="AB22">
        <f t="shared" si="20"/>
        <v>56.153302137875613</v>
      </c>
      <c r="AC22">
        <f t="shared" si="21"/>
        <v>3.9141268379096776</v>
      </c>
      <c r="AD22">
        <f t="shared" si="22"/>
        <v>43.095636560580886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54083.127365257416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1261.1943000080742</v>
      </c>
      <c r="AW22">
        <f t="shared" si="29"/>
        <v>21.372700109592621</v>
      </c>
      <c r="AX22" t="e">
        <f t="shared" si="30"/>
        <v>#DIV/0!</v>
      </c>
      <c r="AY22">
        <f t="shared" si="31"/>
        <v>1.6946397640280959E-2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BL22">
        <v>201</v>
      </c>
      <c r="BM22">
        <v>290</v>
      </c>
      <c r="BN22">
        <v>694.9</v>
      </c>
      <c r="BO22">
        <v>185</v>
      </c>
      <c r="BP22">
        <v>8116.66</v>
      </c>
      <c r="BQ22">
        <v>691.54</v>
      </c>
      <c r="BR22">
        <v>3.36</v>
      </c>
      <c r="BS22">
        <v>300</v>
      </c>
      <c r="BT22">
        <v>19.100000000000001</v>
      </c>
      <c r="BU22">
        <v>714.04193576744501</v>
      </c>
      <c r="BV22">
        <v>3.03324950049547</v>
      </c>
      <c r="BW22">
        <v>-18.2656208471677</v>
      </c>
      <c r="BX22">
        <v>2.2015746757983701</v>
      </c>
      <c r="BY22">
        <v>0.71084490389100896</v>
      </c>
      <c r="BZ22">
        <v>-5.3676925472747597E-3</v>
      </c>
      <c r="CA22">
        <v>290</v>
      </c>
      <c r="CB22">
        <v>685.54</v>
      </c>
      <c r="CC22">
        <v>615</v>
      </c>
      <c r="CD22">
        <v>8109.1</v>
      </c>
      <c r="CE22">
        <v>691.52</v>
      </c>
      <c r="CF22">
        <v>-5.98</v>
      </c>
      <c r="CT22">
        <f t="shared" si="42"/>
        <v>1499.98</v>
      </c>
      <c r="CU22">
        <f t="shared" si="43"/>
        <v>1261.1943000080742</v>
      </c>
      <c r="CV22">
        <f t="shared" si="44"/>
        <v>0.84080741077085963</v>
      </c>
      <c r="CW22">
        <f t="shared" si="45"/>
        <v>0.16115830278775917</v>
      </c>
      <c r="CX22">
        <v>2</v>
      </c>
      <c r="CY22">
        <v>0.5</v>
      </c>
      <c r="CZ22" t="s">
        <v>344</v>
      </c>
      <c r="DA22">
        <v>2</v>
      </c>
      <c r="DB22">
        <v>1792213580.5999999</v>
      </c>
      <c r="DC22">
        <v>390.56200000000001</v>
      </c>
      <c r="DD22">
        <v>400.02783333333298</v>
      </c>
      <c r="DE22">
        <v>17.5332166666667</v>
      </c>
      <c r="DF22">
        <v>15.22775</v>
      </c>
      <c r="DG22">
        <v>390.755333333333</v>
      </c>
      <c r="DH22">
        <v>17.6753</v>
      </c>
      <c r="DI22">
        <v>499.98500000000001</v>
      </c>
      <c r="DJ22">
        <v>101.70399999999999</v>
      </c>
      <c r="DK22">
        <v>9.9904166666666697E-2</v>
      </c>
      <c r="DL22">
        <v>25.321000000000002</v>
      </c>
      <c r="DM22">
        <v>24.978283333333302</v>
      </c>
      <c r="DN22">
        <v>999.9</v>
      </c>
      <c r="DO22">
        <v>0</v>
      </c>
      <c r="DP22">
        <v>0</v>
      </c>
      <c r="DQ22">
        <v>10000.434999999999</v>
      </c>
      <c r="DR22">
        <v>0</v>
      </c>
      <c r="DS22">
        <v>8.5265900000000006</v>
      </c>
      <c r="DT22">
        <v>1499.98</v>
      </c>
      <c r="DU22">
        <v>0.97299566666666704</v>
      </c>
      <c r="DV22">
        <v>2.7004449999999999E-2</v>
      </c>
      <c r="DW22">
        <v>0</v>
      </c>
      <c r="DX22">
        <v>248.53266666666701</v>
      </c>
      <c r="DY22">
        <v>4.9999900000000004</v>
      </c>
      <c r="DZ22">
        <v>3689.0250000000001</v>
      </c>
      <c r="EA22">
        <v>14882.333333333299</v>
      </c>
      <c r="EB22">
        <v>36.686999999999998</v>
      </c>
      <c r="EC22">
        <v>38.2603333333333</v>
      </c>
      <c r="ED22">
        <v>37.25</v>
      </c>
      <c r="EE22">
        <v>37.75</v>
      </c>
      <c r="EF22">
        <v>38.353999999999999</v>
      </c>
      <c r="EG22">
        <v>1454.61</v>
      </c>
      <c r="EH22">
        <v>40.369999999999997</v>
      </c>
      <c r="EI22">
        <v>0</v>
      </c>
      <c r="EJ22">
        <v>2108.0999999046298</v>
      </c>
      <c r="EK22">
        <v>0</v>
      </c>
      <c r="EL22">
        <v>248.80744000000001</v>
      </c>
      <c r="EM22">
        <v>1.0193846434307501</v>
      </c>
      <c r="EN22">
        <v>38.330000043799402</v>
      </c>
      <c r="EO22">
        <v>3686.6676000000002</v>
      </c>
      <c r="EP22">
        <v>15</v>
      </c>
      <c r="EQ22">
        <v>1792213508.0999999</v>
      </c>
      <c r="ER22" t="s">
        <v>361</v>
      </c>
      <c r="ES22">
        <v>1792213508.0999999</v>
      </c>
      <c r="ET22">
        <v>1792213497.0999999</v>
      </c>
      <c r="EU22">
        <v>45</v>
      </c>
      <c r="EV22">
        <v>1.2999999999999999E-2</v>
      </c>
      <c r="EW22">
        <v>1E-3</v>
      </c>
      <c r="EX22">
        <v>-0.189</v>
      </c>
      <c r="EY22">
        <v>-0.17</v>
      </c>
      <c r="EZ22">
        <v>400</v>
      </c>
      <c r="FA22">
        <v>15</v>
      </c>
      <c r="FB22">
        <v>0.26</v>
      </c>
      <c r="FC22">
        <v>0.06</v>
      </c>
      <c r="FD22">
        <v>21.2067637418366</v>
      </c>
      <c r="FE22">
        <v>0.93084523032239597</v>
      </c>
      <c r="FF22">
        <v>0.12023504600358199</v>
      </c>
      <c r="FG22">
        <v>0</v>
      </c>
      <c r="FH22">
        <v>-9.3924094999999994</v>
      </c>
      <c r="FI22">
        <v>-0.54508015037595503</v>
      </c>
      <c r="FJ22">
        <v>5.6833961015839998E-2</v>
      </c>
      <c r="FK22">
        <v>0</v>
      </c>
      <c r="FL22">
        <v>248.558882352941</v>
      </c>
      <c r="FM22">
        <v>3.30918258338128</v>
      </c>
      <c r="FN22">
        <v>0.544609831450105</v>
      </c>
      <c r="FO22">
        <v>0</v>
      </c>
      <c r="FP22">
        <v>0</v>
      </c>
      <c r="FQ22">
        <v>3</v>
      </c>
      <c r="FR22" t="s">
        <v>362</v>
      </c>
      <c r="FS22">
        <v>100</v>
      </c>
      <c r="FT22">
        <v>100</v>
      </c>
      <c r="FU22">
        <v>-0.193</v>
      </c>
      <c r="FV22">
        <v>-0.14219999999999999</v>
      </c>
      <c r="FW22">
        <v>-0.263898881554395</v>
      </c>
      <c r="FX22">
        <v>-6.1673298426602905E-5</v>
      </c>
      <c r="FY22">
        <v>6.1939807181674203E-7</v>
      </c>
      <c r="FZ22">
        <v>3.19222985850634E-12</v>
      </c>
      <c r="GA22">
        <v>-6.3244587080871703E-2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1.3</v>
      </c>
      <c r="GJ22">
        <v>1.4</v>
      </c>
      <c r="GK22">
        <v>1.0363800000000001</v>
      </c>
      <c r="GL22">
        <v>2.6403799999999999</v>
      </c>
      <c r="GM22">
        <v>1.65161</v>
      </c>
      <c r="GN22">
        <v>2.2717299999999998</v>
      </c>
      <c r="GO22">
        <v>1.5979000000000001</v>
      </c>
      <c r="GP22">
        <v>2.6403799999999999</v>
      </c>
      <c r="GQ22">
        <v>35.2209</v>
      </c>
      <c r="GR22">
        <v>23.816099999999999</v>
      </c>
      <c r="GS22">
        <v>18</v>
      </c>
      <c r="GT22">
        <v>503.97</v>
      </c>
      <c r="GU22">
        <v>546.59</v>
      </c>
      <c r="GV22">
        <v>22.008700000000001</v>
      </c>
      <c r="GW22">
        <v>29.155999999999999</v>
      </c>
      <c r="GX22">
        <v>30</v>
      </c>
      <c r="GY22">
        <v>29.3155</v>
      </c>
      <c r="GZ22">
        <v>29.375</v>
      </c>
      <c r="HA22">
        <v>20.726500000000001</v>
      </c>
      <c r="HB22">
        <v>29.078499999999998</v>
      </c>
      <c r="HC22">
        <v>44.434100000000001</v>
      </c>
      <c r="HD22">
        <v>22.010899999999999</v>
      </c>
      <c r="HE22">
        <v>400</v>
      </c>
      <c r="HF22">
        <v>15.222200000000001</v>
      </c>
      <c r="HG22">
        <v>98.118300000000005</v>
      </c>
      <c r="HH22">
        <v>94.639600000000002</v>
      </c>
    </row>
    <row r="23" spans="1:216" x14ac:dyDescent="0.3">
      <c r="A23">
        <v>7</v>
      </c>
      <c r="B23">
        <v>1792213721.0999999</v>
      </c>
      <c r="C23">
        <v>773</v>
      </c>
      <c r="D23" t="s">
        <v>363</v>
      </c>
      <c r="E23" t="s">
        <v>364</v>
      </c>
      <c r="F23">
        <v>5</v>
      </c>
      <c r="G23">
        <v>1792213717.5999999</v>
      </c>
      <c r="H23">
        <f t="shared" si="0"/>
        <v>6.1639503677324223E-3</v>
      </c>
      <c r="I23">
        <f t="shared" si="1"/>
        <v>6.1639503677324221</v>
      </c>
      <c r="J23">
        <f t="shared" si="2"/>
        <v>22.911753663796727</v>
      </c>
      <c r="K23">
        <f t="shared" si="3"/>
        <v>389.88116666666701</v>
      </c>
      <c r="L23">
        <f t="shared" si="4"/>
        <v>300.25574699571951</v>
      </c>
      <c r="M23">
        <f t="shared" si="5"/>
        <v>30.566560186461377</v>
      </c>
      <c r="N23">
        <f t="shared" si="6"/>
        <v>39.690584662329051</v>
      </c>
      <c r="O23">
        <f t="shared" si="7"/>
        <v>0.48039922758926595</v>
      </c>
      <c r="P23">
        <f t="shared" si="8"/>
        <v>3.040469515768959</v>
      </c>
      <c r="Q23">
        <f t="shared" si="9"/>
        <v>0.44186719840765304</v>
      </c>
      <c r="R23">
        <f t="shared" si="10"/>
        <v>0.27937094852221533</v>
      </c>
      <c r="S23">
        <f t="shared" si="11"/>
        <v>241.74167901558309</v>
      </c>
      <c r="T23">
        <f t="shared" si="12"/>
        <v>25.238076889741219</v>
      </c>
      <c r="U23">
        <f t="shared" si="13"/>
        <v>24.993216666666701</v>
      </c>
      <c r="V23">
        <f t="shared" si="14"/>
        <v>3.1783919041561797</v>
      </c>
      <c r="W23">
        <f t="shared" si="15"/>
        <v>55.029520343452042</v>
      </c>
      <c r="X23">
        <f t="shared" si="16"/>
        <v>1.7929544601400773</v>
      </c>
      <c r="Y23">
        <f t="shared" si="17"/>
        <v>3.2581684320521624</v>
      </c>
      <c r="Z23">
        <f t="shared" si="18"/>
        <v>1.3854374440161024</v>
      </c>
      <c r="AA23">
        <f t="shared" si="19"/>
        <v>-271.83021121699983</v>
      </c>
      <c r="AB23">
        <f t="shared" si="20"/>
        <v>68.260832737626345</v>
      </c>
      <c r="AC23">
        <f t="shared" si="21"/>
        <v>4.7585159347576518</v>
      </c>
      <c r="AD23">
        <f t="shared" si="22"/>
        <v>42.930816470967244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54107.827221991582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1261.2335000080766</v>
      </c>
      <c r="AW23">
        <f t="shared" si="29"/>
        <v>22.911753663796727</v>
      </c>
      <c r="AX23" t="e">
        <f t="shared" si="30"/>
        <v>#DIV/0!</v>
      </c>
      <c r="AY23">
        <f t="shared" si="31"/>
        <v>1.8166147397488258E-2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BL23">
        <v>201</v>
      </c>
      <c r="BM23">
        <v>290</v>
      </c>
      <c r="BN23">
        <v>694.9</v>
      </c>
      <c r="BO23">
        <v>185</v>
      </c>
      <c r="BP23">
        <v>8116.66</v>
      </c>
      <c r="BQ23">
        <v>691.54</v>
      </c>
      <c r="BR23">
        <v>3.36</v>
      </c>
      <c r="BS23">
        <v>300</v>
      </c>
      <c r="BT23">
        <v>19.100000000000001</v>
      </c>
      <c r="BU23">
        <v>714.04193576744501</v>
      </c>
      <c r="BV23">
        <v>3.03324950049547</v>
      </c>
      <c r="BW23">
        <v>-18.2656208471677</v>
      </c>
      <c r="BX23">
        <v>2.2015746757983701</v>
      </c>
      <c r="BY23">
        <v>0.71084490389100896</v>
      </c>
      <c r="BZ23">
        <v>-5.3676925472747597E-3</v>
      </c>
      <c r="CA23">
        <v>290</v>
      </c>
      <c r="CB23">
        <v>685.54</v>
      </c>
      <c r="CC23">
        <v>615</v>
      </c>
      <c r="CD23">
        <v>8109.1</v>
      </c>
      <c r="CE23">
        <v>691.52</v>
      </c>
      <c r="CF23">
        <v>-5.98</v>
      </c>
      <c r="CT23">
        <f t="shared" si="42"/>
        <v>1500.0266666666701</v>
      </c>
      <c r="CU23">
        <f t="shared" si="43"/>
        <v>1261.2335000080766</v>
      </c>
      <c r="CV23">
        <f t="shared" si="44"/>
        <v>0.84080738565185986</v>
      </c>
      <c r="CW23">
        <f t="shared" si="45"/>
        <v>0.16115825430808955</v>
      </c>
      <c r="CX23">
        <v>2</v>
      </c>
      <c r="CY23">
        <v>0.5</v>
      </c>
      <c r="CZ23" t="s">
        <v>344</v>
      </c>
      <c r="DA23">
        <v>2</v>
      </c>
      <c r="DB23">
        <v>1792213717.5999999</v>
      </c>
      <c r="DC23">
        <v>389.88116666666701</v>
      </c>
      <c r="DD23">
        <v>400.00650000000002</v>
      </c>
      <c r="DE23">
        <v>17.612216666666701</v>
      </c>
      <c r="DF23">
        <v>15.1902166666667</v>
      </c>
      <c r="DG23">
        <v>390.11200000000002</v>
      </c>
      <c r="DH23">
        <v>17.751666666666701</v>
      </c>
      <c r="DI23">
        <v>500.03216666666702</v>
      </c>
      <c r="DJ23">
        <v>101.701833333333</v>
      </c>
      <c r="DK23">
        <v>9.9915649999999995E-2</v>
      </c>
      <c r="DL23">
        <v>25.409649999999999</v>
      </c>
      <c r="DM23">
        <v>24.993216666666701</v>
      </c>
      <c r="DN23">
        <v>999.9</v>
      </c>
      <c r="DO23">
        <v>0</v>
      </c>
      <c r="DP23">
        <v>0</v>
      </c>
      <c r="DQ23">
        <v>10008.52</v>
      </c>
      <c r="DR23">
        <v>0</v>
      </c>
      <c r="DS23">
        <v>8.46353166666667</v>
      </c>
      <c r="DT23">
        <v>1500.0266666666701</v>
      </c>
      <c r="DU23">
        <v>0.97299650000000004</v>
      </c>
      <c r="DV23">
        <v>2.7003599999999999E-2</v>
      </c>
      <c r="DW23">
        <v>0</v>
      </c>
      <c r="DX23">
        <v>251.288166666667</v>
      </c>
      <c r="DY23">
        <v>4.9999900000000004</v>
      </c>
      <c r="DZ23">
        <v>3722.3850000000002</v>
      </c>
      <c r="EA23">
        <v>14882.8</v>
      </c>
      <c r="EB23">
        <v>36.625</v>
      </c>
      <c r="EC23">
        <v>38.25</v>
      </c>
      <c r="ED23">
        <v>37.2395</v>
      </c>
      <c r="EE23">
        <v>37.7395</v>
      </c>
      <c r="EF23">
        <v>38.311999999999998</v>
      </c>
      <c r="EG23">
        <v>1454.6566666666699</v>
      </c>
      <c r="EH23">
        <v>40.369999999999997</v>
      </c>
      <c r="EI23">
        <v>0</v>
      </c>
      <c r="EJ23">
        <v>2244.9000000953702</v>
      </c>
      <c r="EK23">
        <v>0</v>
      </c>
      <c r="EL23">
        <v>251.39328</v>
      </c>
      <c r="EM23">
        <v>-0.88053849603976597</v>
      </c>
      <c r="EN23">
        <v>6.1869231038030597</v>
      </c>
      <c r="EO23">
        <v>3721.7860000000001</v>
      </c>
      <c r="EP23">
        <v>15</v>
      </c>
      <c r="EQ23">
        <v>1792213651.0999999</v>
      </c>
      <c r="ER23" t="s">
        <v>365</v>
      </c>
      <c r="ES23">
        <v>1792213646.0999999</v>
      </c>
      <c r="ET23">
        <v>1792213651.0999999</v>
      </c>
      <c r="EU23">
        <v>46</v>
      </c>
      <c r="EV23">
        <v>-3.6999999999999998E-2</v>
      </c>
      <c r="EW23">
        <v>2E-3</v>
      </c>
      <c r="EX23">
        <v>-0.22600000000000001</v>
      </c>
      <c r="EY23">
        <v>-0.16900000000000001</v>
      </c>
      <c r="EZ23">
        <v>400</v>
      </c>
      <c r="FA23">
        <v>15</v>
      </c>
      <c r="FB23">
        <v>0.16</v>
      </c>
      <c r="FC23">
        <v>0.05</v>
      </c>
      <c r="FD23">
        <v>22.821274069962801</v>
      </c>
      <c r="FE23">
        <v>0.24723317878402701</v>
      </c>
      <c r="FF23">
        <v>7.0869087248805904E-2</v>
      </c>
      <c r="FG23">
        <v>1</v>
      </c>
      <c r="FH23">
        <v>-10.094704999999999</v>
      </c>
      <c r="FI23">
        <v>-0.18381203007518301</v>
      </c>
      <c r="FJ23">
        <v>3.6221685148540503E-2</v>
      </c>
      <c r="FK23">
        <v>1</v>
      </c>
      <c r="FL23">
        <v>251.33099999999999</v>
      </c>
      <c r="FM23">
        <v>0.88122229733602198</v>
      </c>
      <c r="FN23">
        <v>0.43933746911082699</v>
      </c>
      <c r="FO23">
        <v>1</v>
      </c>
      <c r="FP23">
        <v>3</v>
      </c>
      <c r="FQ23">
        <v>3</v>
      </c>
      <c r="FR23" t="s">
        <v>346</v>
      </c>
      <c r="FS23">
        <v>100</v>
      </c>
      <c r="FT23">
        <v>100</v>
      </c>
      <c r="FU23">
        <v>-0.23100000000000001</v>
      </c>
      <c r="FV23">
        <v>-0.13950000000000001</v>
      </c>
      <c r="FW23">
        <v>-0.30115505217600602</v>
      </c>
      <c r="FX23">
        <v>-6.1673298426602905E-5</v>
      </c>
      <c r="FY23">
        <v>6.1939807181674203E-7</v>
      </c>
      <c r="FZ23">
        <v>3.19222985850634E-12</v>
      </c>
      <c r="GA23">
        <v>-6.1704387678172802E-2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1.2</v>
      </c>
      <c r="GJ23">
        <v>1.2</v>
      </c>
      <c r="GK23">
        <v>1.0351600000000001</v>
      </c>
      <c r="GL23">
        <v>2.65015</v>
      </c>
      <c r="GM23">
        <v>1.65161</v>
      </c>
      <c r="GN23">
        <v>2.2717299999999998</v>
      </c>
      <c r="GO23">
        <v>1.5979000000000001</v>
      </c>
      <c r="GP23">
        <v>2.5317400000000001</v>
      </c>
      <c r="GQ23">
        <v>35.405900000000003</v>
      </c>
      <c r="GR23">
        <v>23.807300000000001</v>
      </c>
      <c r="GS23">
        <v>18</v>
      </c>
      <c r="GT23">
        <v>504.20800000000003</v>
      </c>
      <c r="GU23">
        <v>545.62300000000005</v>
      </c>
      <c r="GV23">
        <v>22.069400000000002</v>
      </c>
      <c r="GW23">
        <v>29.171099999999999</v>
      </c>
      <c r="GX23">
        <v>30</v>
      </c>
      <c r="GY23">
        <v>29.320599999999999</v>
      </c>
      <c r="GZ23">
        <v>29.38</v>
      </c>
      <c r="HA23">
        <v>20.721900000000002</v>
      </c>
      <c r="HB23">
        <v>28.651800000000001</v>
      </c>
      <c r="HC23">
        <v>43.390300000000003</v>
      </c>
      <c r="HD23">
        <v>22.074999999999999</v>
      </c>
      <c r="HE23">
        <v>400</v>
      </c>
      <c r="HF23">
        <v>15.2216</v>
      </c>
      <c r="HG23">
        <v>98.115799999999993</v>
      </c>
      <c r="HH23">
        <v>94.633899999999997</v>
      </c>
    </row>
    <row r="24" spans="1:216" x14ac:dyDescent="0.3">
      <c r="A24">
        <v>8</v>
      </c>
      <c r="B24">
        <v>1792213845.0999999</v>
      </c>
      <c r="C24">
        <v>897</v>
      </c>
      <c r="D24" t="s">
        <v>366</v>
      </c>
      <c r="E24" t="s">
        <v>367</v>
      </c>
      <c r="F24">
        <v>5</v>
      </c>
      <c r="G24">
        <v>1792213842.0999999</v>
      </c>
      <c r="H24">
        <f t="shared" si="0"/>
        <v>6.304234741520599E-3</v>
      </c>
      <c r="I24">
        <f t="shared" si="1"/>
        <v>6.3042347415205988</v>
      </c>
      <c r="J24">
        <f t="shared" si="2"/>
        <v>29.030396490779822</v>
      </c>
      <c r="K24">
        <f t="shared" si="3"/>
        <v>686.60379999999998</v>
      </c>
      <c r="L24">
        <f t="shared" si="4"/>
        <v>571.59674032957741</v>
      </c>
      <c r="M24">
        <f t="shared" si="5"/>
        <v>58.185735600926314</v>
      </c>
      <c r="N24">
        <f t="shared" si="6"/>
        <v>69.892888378537947</v>
      </c>
      <c r="O24">
        <f t="shared" si="7"/>
        <v>0.49435259261979136</v>
      </c>
      <c r="P24">
        <f t="shared" si="8"/>
        <v>3.0402365793967903</v>
      </c>
      <c r="Q24">
        <f t="shared" si="9"/>
        <v>0.45364838047439499</v>
      </c>
      <c r="R24">
        <f t="shared" si="10"/>
        <v>0.2869075373669317</v>
      </c>
      <c r="S24">
        <f t="shared" si="11"/>
        <v>241.73167741558316</v>
      </c>
      <c r="T24">
        <f t="shared" si="12"/>
        <v>25.248483893105945</v>
      </c>
      <c r="U24">
        <f t="shared" si="13"/>
        <v>25.010639999999999</v>
      </c>
      <c r="V24">
        <f t="shared" si="14"/>
        <v>3.1816951684709354</v>
      </c>
      <c r="W24">
        <f t="shared" si="15"/>
        <v>55.147854103260926</v>
      </c>
      <c r="X24">
        <f t="shared" si="16"/>
        <v>1.801701649886378</v>
      </c>
      <c r="Y24">
        <f t="shared" si="17"/>
        <v>3.2670385442610397</v>
      </c>
      <c r="Z24">
        <f t="shared" si="18"/>
        <v>1.3799935185845573</v>
      </c>
      <c r="AA24">
        <f t="shared" si="19"/>
        <v>-278.01675210105839</v>
      </c>
      <c r="AB24">
        <f t="shared" si="20"/>
        <v>72.898492082183651</v>
      </c>
      <c r="AC24">
        <f t="shared" si="21"/>
        <v>5.0838156441414313</v>
      </c>
      <c r="AD24">
        <f t="shared" si="22"/>
        <v>41.697233040849852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54092.08615346915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1261.1808600080742</v>
      </c>
      <c r="AW24">
        <f t="shared" si="29"/>
        <v>29.030396490779822</v>
      </c>
      <c r="AX24" t="e">
        <f t="shared" si="30"/>
        <v>#DIV/0!</v>
      </c>
      <c r="AY24">
        <f t="shared" si="31"/>
        <v>2.3018424566476504E-2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BL24">
        <v>201</v>
      </c>
      <c r="BM24">
        <v>290</v>
      </c>
      <c r="BN24">
        <v>694.9</v>
      </c>
      <c r="BO24">
        <v>185</v>
      </c>
      <c r="BP24">
        <v>8116.66</v>
      </c>
      <c r="BQ24">
        <v>691.54</v>
      </c>
      <c r="BR24">
        <v>3.36</v>
      </c>
      <c r="BS24">
        <v>300</v>
      </c>
      <c r="BT24">
        <v>19.100000000000001</v>
      </c>
      <c r="BU24">
        <v>714.04193576744501</v>
      </c>
      <c r="BV24">
        <v>3.03324950049547</v>
      </c>
      <c r="BW24">
        <v>-18.2656208471677</v>
      </c>
      <c r="BX24">
        <v>2.2015746757983701</v>
      </c>
      <c r="BY24">
        <v>0.71084490389100896</v>
      </c>
      <c r="BZ24">
        <v>-5.3676925472747597E-3</v>
      </c>
      <c r="CA24">
        <v>290</v>
      </c>
      <c r="CB24">
        <v>685.54</v>
      </c>
      <c r="CC24">
        <v>615</v>
      </c>
      <c r="CD24">
        <v>8109.1</v>
      </c>
      <c r="CE24">
        <v>691.52</v>
      </c>
      <c r="CF24">
        <v>-5.98</v>
      </c>
      <c r="CT24">
        <f t="shared" si="42"/>
        <v>1499.9639999999999</v>
      </c>
      <c r="CU24">
        <f t="shared" si="43"/>
        <v>1261.1808600080742</v>
      </c>
      <c r="CV24">
        <f t="shared" si="44"/>
        <v>0.84080741938344805</v>
      </c>
      <c r="CW24">
        <f t="shared" si="45"/>
        <v>0.16115831941005462</v>
      </c>
      <c r="CX24">
        <v>2</v>
      </c>
      <c r="CY24">
        <v>0.5</v>
      </c>
      <c r="CZ24" t="s">
        <v>344</v>
      </c>
      <c r="DA24">
        <v>2</v>
      </c>
      <c r="DB24">
        <v>1792213842.0999999</v>
      </c>
      <c r="DC24">
        <v>686.60379999999998</v>
      </c>
      <c r="DD24">
        <v>699.94659999999999</v>
      </c>
      <c r="DE24">
        <v>17.699300000000001</v>
      </c>
      <c r="DF24">
        <v>15.222379999999999</v>
      </c>
      <c r="DG24">
        <v>686.25540000000001</v>
      </c>
      <c r="DH24">
        <v>17.84084</v>
      </c>
      <c r="DI24">
        <v>500.02859999999998</v>
      </c>
      <c r="DJ24">
        <v>101.6952</v>
      </c>
      <c r="DK24">
        <v>9.9879460000000003E-2</v>
      </c>
      <c r="DL24">
        <v>25.455400000000001</v>
      </c>
      <c r="DM24">
        <v>25.010639999999999</v>
      </c>
      <c r="DN24">
        <v>999.9</v>
      </c>
      <c r="DO24">
        <v>0</v>
      </c>
      <c r="DP24">
        <v>0</v>
      </c>
      <c r="DQ24">
        <v>10007.763999999999</v>
      </c>
      <c r="DR24">
        <v>0</v>
      </c>
      <c r="DS24">
        <v>8.4701199999999996</v>
      </c>
      <c r="DT24">
        <v>1499.9639999999999</v>
      </c>
      <c r="DU24">
        <v>0.97299500000000005</v>
      </c>
      <c r="DV24">
        <v>2.7005120000000001E-2</v>
      </c>
      <c r="DW24">
        <v>0</v>
      </c>
      <c r="DX24">
        <v>249.38419999999999</v>
      </c>
      <c r="DY24">
        <v>4.9999900000000004</v>
      </c>
      <c r="DZ24">
        <v>3692.2620000000002</v>
      </c>
      <c r="EA24">
        <v>14882.16</v>
      </c>
      <c r="EB24">
        <v>36.574599999999997</v>
      </c>
      <c r="EC24">
        <v>38.186999999999998</v>
      </c>
      <c r="ED24">
        <v>37.162199999999999</v>
      </c>
      <c r="EE24">
        <v>37.686999999999998</v>
      </c>
      <c r="EF24">
        <v>38.25</v>
      </c>
      <c r="EG24">
        <v>1454.5940000000001</v>
      </c>
      <c r="EH24">
        <v>40.369999999999997</v>
      </c>
      <c r="EI24">
        <v>0</v>
      </c>
      <c r="EJ24">
        <v>2369.0999999046298</v>
      </c>
      <c r="EK24">
        <v>0</v>
      </c>
      <c r="EL24">
        <v>249.33742307692299</v>
      </c>
      <c r="EM24">
        <v>-0.293230738334606</v>
      </c>
      <c r="EN24">
        <v>-3.44854700480863</v>
      </c>
      <c r="EO24">
        <v>3692.5496153846202</v>
      </c>
      <c r="EP24">
        <v>15</v>
      </c>
      <c r="EQ24">
        <v>1792213792.0999999</v>
      </c>
      <c r="ER24" t="s">
        <v>368</v>
      </c>
      <c r="ES24">
        <v>1792213792.0999999</v>
      </c>
      <c r="ET24">
        <v>1792213785.0999999</v>
      </c>
      <c r="EU24">
        <v>47</v>
      </c>
      <c r="EV24">
        <v>0.39900000000000002</v>
      </c>
      <c r="EW24">
        <v>-3.0000000000000001E-3</v>
      </c>
      <c r="EX24">
        <v>0.35899999999999999</v>
      </c>
      <c r="EY24">
        <v>-0.17299999999999999</v>
      </c>
      <c r="EZ24">
        <v>700</v>
      </c>
      <c r="FA24">
        <v>15</v>
      </c>
      <c r="FB24">
        <v>0.12</v>
      </c>
      <c r="FC24">
        <v>0.01</v>
      </c>
      <c r="FD24">
        <v>29.085606696368799</v>
      </c>
      <c r="FE24">
        <v>0.461415531466491</v>
      </c>
      <c r="FF24">
        <v>0.156477406731312</v>
      </c>
      <c r="FG24">
        <v>1</v>
      </c>
      <c r="FH24">
        <v>-13.373469999999999</v>
      </c>
      <c r="FI24">
        <v>-0.13320902255640199</v>
      </c>
      <c r="FJ24">
        <v>5.9615544113930601E-2</v>
      </c>
      <c r="FK24">
        <v>1</v>
      </c>
      <c r="FL24">
        <v>249.36811764705899</v>
      </c>
      <c r="FM24">
        <v>-0.420840329983871</v>
      </c>
      <c r="FN24">
        <v>0.44415715056099597</v>
      </c>
      <c r="FO24">
        <v>1</v>
      </c>
      <c r="FP24">
        <v>3</v>
      </c>
      <c r="FQ24">
        <v>3</v>
      </c>
      <c r="FR24" t="s">
        <v>346</v>
      </c>
      <c r="FS24">
        <v>100</v>
      </c>
      <c r="FT24">
        <v>100</v>
      </c>
      <c r="FU24">
        <v>0.34899999999999998</v>
      </c>
      <c r="FV24">
        <v>-0.14149999999999999</v>
      </c>
      <c r="FW24">
        <v>9.8045790397150306E-2</v>
      </c>
      <c r="FX24">
        <v>-6.1673298426602905E-5</v>
      </c>
      <c r="FY24">
        <v>6.1939807181674203E-7</v>
      </c>
      <c r="FZ24">
        <v>3.19222985850634E-12</v>
      </c>
      <c r="GA24">
        <v>-6.5161035691753799E-2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0.9</v>
      </c>
      <c r="GJ24">
        <v>1</v>
      </c>
      <c r="GK24">
        <v>1.6198699999999999</v>
      </c>
      <c r="GL24">
        <v>2.63916</v>
      </c>
      <c r="GM24">
        <v>1.65161</v>
      </c>
      <c r="GN24">
        <v>2.2717299999999998</v>
      </c>
      <c r="GO24">
        <v>1.5979000000000001</v>
      </c>
      <c r="GP24">
        <v>2.51831</v>
      </c>
      <c r="GQ24">
        <v>35.521799999999999</v>
      </c>
      <c r="GR24">
        <v>23.807300000000001</v>
      </c>
      <c r="GS24">
        <v>18</v>
      </c>
      <c r="GT24">
        <v>504.15600000000001</v>
      </c>
      <c r="GU24">
        <v>545.66300000000001</v>
      </c>
      <c r="GV24">
        <v>22.121200000000002</v>
      </c>
      <c r="GW24">
        <v>29.188600000000001</v>
      </c>
      <c r="GX24">
        <v>30.0001</v>
      </c>
      <c r="GY24">
        <v>29.332999999999998</v>
      </c>
      <c r="GZ24">
        <v>29.39</v>
      </c>
      <c r="HA24">
        <v>32.389499999999998</v>
      </c>
      <c r="HB24">
        <v>28.2942</v>
      </c>
      <c r="HC24">
        <v>42.407699999999998</v>
      </c>
      <c r="HD24">
        <v>22.126000000000001</v>
      </c>
      <c r="HE24">
        <v>700</v>
      </c>
      <c r="HF24">
        <v>15.1494</v>
      </c>
      <c r="HG24">
        <v>98.113200000000006</v>
      </c>
      <c r="HH24">
        <v>94.635800000000003</v>
      </c>
    </row>
    <row r="25" spans="1:216" x14ac:dyDescent="0.3">
      <c r="A25">
        <v>9</v>
      </c>
      <c r="B25">
        <v>1792213997</v>
      </c>
      <c r="C25">
        <v>1048.9000000953699</v>
      </c>
      <c r="D25" t="s">
        <v>369</v>
      </c>
      <c r="E25" t="s">
        <v>370</v>
      </c>
      <c r="F25">
        <v>5</v>
      </c>
      <c r="G25">
        <v>1792213993.5</v>
      </c>
      <c r="H25">
        <f t="shared" si="0"/>
        <v>6.2736900784334856E-3</v>
      </c>
      <c r="I25">
        <f t="shared" si="1"/>
        <v>6.2736900784334857</v>
      </c>
      <c r="J25">
        <f t="shared" si="2"/>
        <v>27.70436958922361</v>
      </c>
      <c r="K25">
        <f t="shared" si="3"/>
        <v>986.50916666666706</v>
      </c>
      <c r="L25">
        <f t="shared" si="4"/>
        <v>868.59461117810986</v>
      </c>
      <c r="M25">
        <f t="shared" si="5"/>
        <v>88.413910179823588</v>
      </c>
      <c r="N25">
        <f t="shared" si="6"/>
        <v>100.41638726602022</v>
      </c>
      <c r="O25">
        <f t="shared" si="7"/>
        <v>0.48954676173608852</v>
      </c>
      <c r="P25">
        <f t="shared" si="8"/>
        <v>3.0385693394644431</v>
      </c>
      <c r="Q25">
        <f t="shared" si="9"/>
        <v>0.44957587185660897</v>
      </c>
      <c r="R25">
        <f t="shared" si="10"/>
        <v>0.28430368526675626</v>
      </c>
      <c r="S25">
        <f t="shared" si="11"/>
        <v>241.74487101558287</v>
      </c>
      <c r="T25">
        <f t="shared" si="12"/>
        <v>25.229734936039716</v>
      </c>
      <c r="U25">
        <f t="shared" si="13"/>
        <v>25.0013166666667</v>
      </c>
      <c r="V25">
        <f t="shared" si="14"/>
        <v>3.1799271983650303</v>
      </c>
      <c r="W25">
        <f t="shared" si="15"/>
        <v>55.004188413641906</v>
      </c>
      <c r="X25">
        <f t="shared" si="16"/>
        <v>1.7941912378901015</v>
      </c>
      <c r="Y25">
        <f t="shared" si="17"/>
        <v>3.2619174823514232</v>
      </c>
      <c r="Z25">
        <f t="shared" si="18"/>
        <v>1.3857359604749289</v>
      </c>
      <c r="AA25">
        <f t="shared" si="19"/>
        <v>-276.66973245891671</v>
      </c>
      <c r="AB25">
        <f t="shared" si="20"/>
        <v>70.061095037189048</v>
      </c>
      <c r="AC25">
        <f t="shared" si="21"/>
        <v>4.8877428110022372</v>
      </c>
      <c r="AD25">
        <f t="shared" si="22"/>
        <v>40.023976404857436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54044.503764062931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1261.2503000080767</v>
      </c>
      <c r="AW25">
        <f t="shared" si="29"/>
        <v>27.70436958922361</v>
      </c>
      <c r="AX25" t="e">
        <f t="shared" si="30"/>
        <v>#DIV/0!</v>
      </c>
      <c r="AY25">
        <f t="shared" si="31"/>
        <v>2.1965798215505834E-2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BL25">
        <v>201</v>
      </c>
      <c r="BM25">
        <v>290</v>
      </c>
      <c r="BN25">
        <v>694.9</v>
      </c>
      <c r="BO25">
        <v>185</v>
      </c>
      <c r="BP25">
        <v>8116.66</v>
      </c>
      <c r="BQ25">
        <v>691.54</v>
      </c>
      <c r="BR25">
        <v>3.36</v>
      </c>
      <c r="BS25">
        <v>300</v>
      </c>
      <c r="BT25">
        <v>19.100000000000001</v>
      </c>
      <c r="BU25">
        <v>714.04193576744501</v>
      </c>
      <c r="BV25">
        <v>3.03324950049547</v>
      </c>
      <c r="BW25">
        <v>-18.2656208471677</v>
      </c>
      <c r="BX25">
        <v>2.2015746757983701</v>
      </c>
      <c r="BY25">
        <v>0.71084490389100896</v>
      </c>
      <c r="BZ25">
        <v>-5.3676925472747597E-3</v>
      </c>
      <c r="CA25">
        <v>290</v>
      </c>
      <c r="CB25">
        <v>685.54</v>
      </c>
      <c r="CC25">
        <v>615</v>
      </c>
      <c r="CD25">
        <v>8109.1</v>
      </c>
      <c r="CE25">
        <v>691.52</v>
      </c>
      <c r="CF25">
        <v>-5.98</v>
      </c>
      <c r="CT25">
        <f t="shared" si="42"/>
        <v>1500.04666666667</v>
      </c>
      <c r="CU25">
        <f t="shared" si="43"/>
        <v>1261.2503000080767</v>
      </c>
      <c r="CV25">
        <f t="shared" si="44"/>
        <v>0.84080737488705271</v>
      </c>
      <c r="CW25">
        <f t="shared" si="45"/>
        <v>0.16115823353201167</v>
      </c>
      <c r="CX25">
        <v>2</v>
      </c>
      <c r="CY25">
        <v>0.5</v>
      </c>
      <c r="CZ25" t="s">
        <v>344</v>
      </c>
      <c r="DA25">
        <v>2</v>
      </c>
      <c r="DB25">
        <v>1792213993.5</v>
      </c>
      <c r="DC25">
        <v>986.50916666666706</v>
      </c>
      <c r="DD25">
        <v>1000.06666666667</v>
      </c>
      <c r="DE25">
        <v>17.626466666666701</v>
      </c>
      <c r="DF25">
        <v>15.161199999999999</v>
      </c>
      <c r="DG25">
        <v>985.62149999999997</v>
      </c>
      <c r="DH25">
        <v>17.771833333333301</v>
      </c>
      <c r="DI25">
        <v>499.99516666666699</v>
      </c>
      <c r="DJ25">
        <v>101.68966666666699</v>
      </c>
      <c r="DK25">
        <v>9.9947316666666702E-2</v>
      </c>
      <c r="DL25">
        <v>25.428999999999998</v>
      </c>
      <c r="DM25">
        <v>25.0013166666667</v>
      </c>
      <c r="DN25">
        <v>999.9</v>
      </c>
      <c r="DO25">
        <v>0</v>
      </c>
      <c r="DP25">
        <v>0</v>
      </c>
      <c r="DQ25">
        <v>9998.23</v>
      </c>
      <c r="DR25">
        <v>0</v>
      </c>
      <c r="DS25">
        <v>8.4701199999999996</v>
      </c>
      <c r="DT25">
        <v>1500.04666666667</v>
      </c>
      <c r="DU25">
        <v>0.97299650000000004</v>
      </c>
      <c r="DV25">
        <v>2.7003633333333301E-2</v>
      </c>
      <c r="DW25">
        <v>0</v>
      </c>
      <c r="DX25">
        <v>252.512333333333</v>
      </c>
      <c r="DY25">
        <v>4.9999900000000004</v>
      </c>
      <c r="DZ25">
        <v>3736.6033333333298</v>
      </c>
      <c r="EA25">
        <v>14883.05</v>
      </c>
      <c r="EB25">
        <v>36.551666666666698</v>
      </c>
      <c r="EC25">
        <v>38.125</v>
      </c>
      <c r="ED25">
        <v>37.125</v>
      </c>
      <c r="EE25">
        <v>37.625</v>
      </c>
      <c r="EF25">
        <v>38.186999999999998</v>
      </c>
      <c r="EG25">
        <v>1454.6766666666699</v>
      </c>
      <c r="EH25">
        <v>40.369999999999997</v>
      </c>
      <c r="EI25">
        <v>0</v>
      </c>
      <c r="EJ25">
        <v>2520.9000000953702</v>
      </c>
      <c r="EK25">
        <v>0</v>
      </c>
      <c r="EL25">
        <v>252.35187999999999</v>
      </c>
      <c r="EM25">
        <v>3.9980769368198601</v>
      </c>
      <c r="EN25">
        <v>55.083076808402403</v>
      </c>
      <c r="EO25">
        <v>3732.9315999999999</v>
      </c>
      <c r="EP25">
        <v>15</v>
      </c>
      <c r="EQ25">
        <v>1792213907</v>
      </c>
      <c r="ER25" t="s">
        <v>371</v>
      </c>
      <c r="ES25">
        <v>1792213905</v>
      </c>
      <c r="ET25">
        <v>1792213907</v>
      </c>
      <c r="EU25">
        <v>48</v>
      </c>
      <c r="EV25">
        <v>0.245</v>
      </c>
      <c r="EW25">
        <v>-3.0000000000000001E-3</v>
      </c>
      <c r="EX25">
        <v>0.90400000000000003</v>
      </c>
      <c r="EY25">
        <v>-0.17599999999999999</v>
      </c>
      <c r="EZ25">
        <v>1000</v>
      </c>
      <c r="FA25">
        <v>15</v>
      </c>
      <c r="FB25">
        <v>0.27</v>
      </c>
      <c r="FC25">
        <v>0.03</v>
      </c>
      <c r="FD25">
        <v>27.870364580976499</v>
      </c>
      <c r="FE25">
        <v>-1.3960317423056099</v>
      </c>
      <c r="FF25">
        <v>0.21577016731385501</v>
      </c>
      <c r="FG25">
        <v>0</v>
      </c>
      <c r="FH25">
        <v>-13.60989</v>
      </c>
      <c r="FI25">
        <v>0.77433383458647997</v>
      </c>
      <c r="FJ25">
        <v>9.6431208122681897E-2</v>
      </c>
      <c r="FK25">
        <v>0</v>
      </c>
      <c r="FL25">
        <v>252.002441176471</v>
      </c>
      <c r="FM25">
        <v>6.3036669320379604</v>
      </c>
      <c r="FN25">
        <v>0.76382779053830097</v>
      </c>
      <c r="FO25">
        <v>0</v>
      </c>
      <c r="FP25">
        <v>0</v>
      </c>
      <c r="FQ25">
        <v>3</v>
      </c>
      <c r="FR25" t="s">
        <v>362</v>
      </c>
      <c r="FS25">
        <v>100</v>
      </c>
      <c r="FT25">
        <v>100</v>
      </c>
      <c r="FU25">
        <v>0.88700000000000001</v>
      </c>
      <c r="FV25">
        <v>-0.1454</v>
      </c>
      <c r="FW25">
        <v>0.34352645431877699</v>
      </c>
      <c r="FX25">
        <v>-6.1673298426602905E-5</v>
      </c>
      <c r="FY25">
        <v>6.1939807181674203E-7</v>
      </c>
      <c r="FZ25">
        <v>3.19222985850634E-12</v>
      </c>
      <c r="GA25">
        <v>-6.7926810523549597E-2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1.5</v>
      </c>
      <c r="GJ25">
        <v>1.5</v>
      </c>
      <c r="GK25">
        <v>2.16187</v>
      </c>
      <c r="GL25">
        <v>2.6452599999999999</v>
      </c>
      <c r="GM25">
        <v>1.65161</v>
      </c>
      <c r="GN25">
        <v>2.2717299999999998</v>
      </c>
      <c r="GO25">
        <v>1.5979000000000001</v>
      </c>
      <c r="GP25">
        <v>2.5500500000000001</v>
      </c>
      <c r="GQ25">
        <v>35.6845</v>
      </c>
      <c r="GR25">
        <v>23.7986</v>
      </c>
      <c r="GS25">
        <v>18</v>
      </c>
      <c r="GT25">
        <v>504.459</v>
      </c>
      <c r="GU25">
        <v>545.024</v>
      </c>
      <c r="GV25">
        <v>22.018599999999999</v>
      </c>
      <c r="GW25">
        <v>29.208600000000001</v>
      </c>
      <c r="GX25">
        <v>30.000299999999999</v>
      </c>
      <c r="GY25">
        <v>29.348099999999999</v>
      </c>
      <c r="GZ25">
        <v>29.405100000000001</v>
      </c>
      <c r="HA25">
        <v>43.232500000000002</v>
      </c>
      <c r="HB25">
        <v>27.7379</v>
      </c>
      <c r="HC25">
        <v>41.650599999999997</v>
      </c>
      <c r="HD25">
        <v>22.006699999999999</v>
      </c>
      <c r="HE25">
        <v>1000</v>
      </c>
      <c r="HF25">
        <v>15.2088</v>
      </c>
      <c r="HG25">
        <v>98.109800000000007</v>
      </c>
      <c r="HH25">
        <v>94.6267</v>
      </c>
    </row>
    <row r="26" spans="1:216" x14ac:dyDescent="0.3">
      <c r="A26">
        <v>10</v>
      </c>
      <c r="B26">
        <v>1792214148</v>
      </c>
      <c r="C26">
        <v>1199.9000000953699</v>
      </c>
      <c r="D26" t="s">
        <v>372</v>
      </c>
      <c r="E26" t="s">
        <v>373</v>
      </c>
      <c r="F26">
        <v>5</v>
      </c>
      <c r="G26">
        <v>1792214145</v>
      </c>
      <c r="H26">
        <f t="shared" si="0"/>
        <v>5.92873564698652E-3</v>
      </c>
      <c r="I26">
        <f t="shared" si="1"/>
        <v>5.92873564698652</v>
      </c>
      <c r="J26">
        <f t="shared" si="2"/>
        <v>28.599269835183989</v>
      </c>
      <c r="K26">
        <f t="shared" si="3"/>
        <v>1185.722</v>
      </c>
      <c r="L26">
        <f t="shared" si="4"/>
        <v>1053.2387893629891</v>
      </c>
      <c r="M26">
        <f t="shared" si="5"/>
        <v>107.19935403282727</v>
      </c>
      <c r="N26">
        <f t="shared" si="6"/>
        <v>120.68358452634352</v>
      </c>
      <c r="O26">
        <f t="shared" si="7"/>
        <v>0.45571547238014537</v>
      </c>
      <c r="P26">
        <f t="shared" si="8"/>
        <v>3.0416516398864251</v>
      </c>
      <c r="Q26">
        <f t="shared" si="9"/>
        <v>0.42090010670185107</v>
      </c>
      <c r="R26">
        <f t="shared" si="10"/>
        <v>0.26596859321124355</v>
      </c>
      <c r="S26">
        <f t="shared" si="11"/>
        <v>241.74189181558256</v>
      </c>
      <c r="T26">
        <f t="shared" si="12"/>
        <v>25.258315603281616</v>
      </c>
      <c r="U26">
        <f t="shared" si="13"/>
        <v>25.021599999999999</v>
      </c>
      <c r="V26">
        <f t="shared" si="14"/>
        <v>3.1837745956267951</v>
      </c>
      <c r="W26">
        <f t="shared" si="15"/>
        <v>54.915537257577377</v>
      </c>
      <c r="X26">
        <f t="shared" si="16"/>
        <v>1.7851027455034756</v>
      </c>
      <c r="Y26">
        <f t="shared" si="17"/>
        <v>3.2506333082576968</v>
      </c>
      <c r="Z26">
        <f t="shared" si="18"/>
        <v>1.3986718501233195</v>
      </c>
      <c r="AA26">
        <f t="shared" si="19"/>
        <v>-261.45724203210551</v>
      </c>
      <c r="AB26">
        <f t="shared" si="20"/>
        <v>57.245949752456333</v>
      </c>
      <c r="AC26">
        <f t="shared" si="21"/>
        <v>3.9888962884283736</v>
      </c>
      <c r="AD26">
        <f t="shared" si="22"/>
        <v>41.519495824361762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54151.506963983629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1261.234620008074</v>
      </c>
      <c r="AW26">
        <f t="shared" si="29"/>
        <v>28.599269835183989</v>
      </c>
      <c r="AX26" t="e">
        <f t="shared" si="30"/>
        <v>#DIV/0!</v>
      </c>
      <c r="AY26">
        <f t="shared" si="31"/>
        <v>2.2675614339702242E-2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BL26">
        <v>201</v>
      </c>
      <c r="BM26">
        <v>290</v>
      </c>
      <c r="BN26">
        <v>694.9</v>
      </c>
      <c r="BO26">
        <v>185</v>
      </c>
      <c r="BP26">
        <v>8116.66</v>
      </c>
      <c r="BQ26">
        <v>691.54</v>
      </c>
      <c r="BR26">
        <v>3.36</v>
      </c>
      <c r="BS26">
        <v>300</v>
      </c>
      <c r="BT26">
        <v>19.100000000000001</v>
      </c>
      <c r="BU26">
        <v>714.04193576744501</v>
      </c>
      <c r="BV26">
        <v>3.03324950049547</v>
      </c>
      <c r="BW26">
        <v>-18.2656208471677</v>
      </c>
      <c r="BX26">
        <v>2.2015746757983701</v>
      </c>
      <c r="BY26">
        <v>0.71084490389100896</v>
      </c>
      <c r="BZ26">
        <v>-5.3676925472747597E-3</v>
      </c>
      <c r="CA26">
        <v>290</v>
      </c>
      <c r="CB26">
        <v>685.54</v>
      </c>
      <c r="CC26">
        <v>615</v>
      </c>
      <c r="CD26">
        <v>8109.1</v>
      </c>
      <c r="CE26">
        <v>691.52</v>
      </c>
      <c r="CF26">
        <v>-5.98</v>
      </c>
      <c r="CT26">
        <f t="shared" si="42"/>
        <v>1500.028</v>
      </c>
      <c r="CU26">
        <f t="shared" si="43"/>
        <v>1261.234620008074</v>
      </c>
      <c r="CV26">
        <f t="shared" si="44"/>
        <v>0.84080738493419716</v>
      </c>
      <c r="CW26">
        <f t="shared" si="45"/>
        <v>0.16115825292300048</v>
      </c>
      <c r="CX26">
        <v>2</v>
      </c>
      <c r="CY26">
        <v>0.5</v>
      </c>
      <c r="CZ26" t="s">
        <v>344</v>
      </c>
      <c r="DA26">
        <v>2</v>
      </c>
      <c r="DB26">
        <v>1792214145</v>
      </c>
      <c r="DC26">
        <v>1185.722</v>
      </c>
      <c r="DD26">
        <v>1199.9739999999999</v>
      </c>
      <c r="DE26">
        <v>17.538720000000001</v>
      </c>
      <c r="DF26">
        <v>15.20876</v>
      </c>
      <c r="DG26">
        <v>1184.4939999999999</v>
      </c>
      <c r="DH26">
        <v>17.686720000000001</v>
      </c>
      <c r="DI26">
        <v>499.98739999999998</v>
      </c>
      <c r="DJ26">
        <v>101.6808</v>
      </c>
      <c r="DK26">
        <v>9.9874160000000003E-2</v>
      </c>
      <c r="DL26">
        <v>25.370699999999999</v>
      </c>
      <c r="DM26">
        <v>25.021599999999999</v>
      </c>
      <c r="DN26">
        <v>999.9</v>
      </c>
      <c r="DO26">
        <v>0</v>
      </c>
      <c r="DP26">
        <v>0</v>
      </c>
      <c r="DQ26">
        <v>10017.744000000001</v>
      </c>
      <c r="DR26">
        <v>0</v>
      </c>
      <c r="DS26">
        <v>8.4701199999999996</v>
      </c>
      <c r="DT26">
        <v>1500.028</v>
      </c>
      <c r="DU26">
        <v>0.97299599999999997</v>
      </c>
      <c r="DV26">
        <v>2.700412E-2</v>
      </c>
      <c r="DW26">
        <v>0</v>
      </c>
      <c r="DX26">
        <v>251.03299999999999</v>
      </c>
      <c r="DY26">
        <v>4.9999900000000004</v>
      </c>
      <c r="DZ26">
        <v>3714.8159999999998</v>
      </c>
      <c r="EA26">
        <v>14882.82</v>
      </c>
      <c r="EB26">
        <v>36.549599999999998</v>
      </c>
      <c r="EC26">
        <v>38.125</v>
      </c>
      <c r="ED26">
        <v>37.125</v>
      </c>
      <c r="EE26">
        <v>37.625</v>
      </c>
      <c r="EF26">
        <v>38.186999999999998</v>
      </c>
      <c r="EG26">
        <v>1454.6579999999999</v>
      </c>
      <c r="EH26">
        <v>40.369999999999997</v>
      </c>
      <c r="EI26">
        <v>0</v>
      </c>
      <c r="EJ26">
        <v>2672.0999999046298</v>
      </c>
      <c r="EK26">
        <v>0</v>
      </c>
      <c r="EL26">
        <v>251.03876</v>
      </c>
      <c r="EM26">
        <v>2.3605384605554001</v>
      </c>
      <c r="EN26">
        <v>12.990769228479399</v>
      </c>
      <c r="EO26">
        <v>3713.9068000000002</v>
      </c>
      <c r="EP26">
        <v>15</v>
      </c>
      <c r="EQ26">
        <v>1792214055</v>
      </c>
      <c r="ER26" t="s">
        <v>374</v>
      </c>
      <c r="ES26">
        <v>1792214053</v>
      </c>
      <c r="ET26">
        <v>1792214055</v>
      </c>
      <c r="EU26">
        <v>49</v>
      </c>
      <c r="EV26">
        <v>8.2000000000000003E-2</v>
      </c>
      <c r="EW26">
        <v>-1E-3</v>
      </c>
      <c r="EX26">
        <v>1.248</v>
      </c>
      <c r="EY26">
        <v>-0.17699999999999999</v>
      </c>
      <c r="EZ26">
        <v>1200</v>
      </c>
      <c r="FA26">
        <v>15</v>
      </c>
      <c r="FB26">
        <v>0.2</v>
      </c>
      <c r="FC26">
        <v>0.03</v>
      </c>
      <c r="FD26">
        <v>28.4512418946533</v>
      </c>
      <c r="FE26">
        <v>1.22585785945696</v>
      </c>
      <c r="FF26">
        <v>0.13291109931289899</v>
      </c>
      <c r="FG26">
        <v>0</v>
      </c>
      <c r="FH26">
        <v>-14.228809523809501</v>
      </c>
      <c r="FI26">
        <v>-0.29633766233763298</v>
      </c>
      <c r="FJ26">
        <v>3.9745055454818302E-2</v>
      </c>
      <c r="FK26">
        <v>1</v>
      </c>
      <c r="FL26">
        <v>250.935</v>
      </c>
      <c r="FM26">
        <v>1.8688770167473501</v>
      </c>
      <c r="FN26">
        <v>0.52474901563677501</v>
      </c>
      <c r="FO26">
        <v>0</v>
      </c>
      <c r="FP26">
        <v>1</v>
      </c>
      <c r="FQ26">
        <v>3</v>
      </c>
      <c r="FR26" t="s">
        <v>375</v>
      </c>
      <c r="FS26">
        <v>100</v>
      </c>
      <c r="FT26">
        <v>100</v>
      </c>
      <c r="FU26">
        <v>1.23</v>
      </c>
      <c r="FV26">
        <v>-0.1479</v>
      </c>
      <c r="FW26">
        <v>0.42598079152594298</v>
      </c>
      <c r="FX26">
        <v>-6.1673298426602905E-5</v>
      </c>
      <c r="FY26">
        <v>6.1939807181674203E-7</v>
      </c>
      <c r="FZ26">
        <v>3.19222985850634E-12</v>
      </c>
      <c r="GA26">
        <v>-6.9315762655696E-2</v>
      </c>
      <c r="GB26">
        <v>-2.57783215012692E-2</v>
      </c>
      <c r="GC26">
        <v>1.33723821780375E-3</v>
      </c>
      <c r="GD26">
        <v>-7.42160749481374E-6</v>
      </c>
      <c r="GE26">
        <v>7</v>
      </c>
      <c r="GF26">
        <v>2154</v>
      </c>
      <c r="GG26">
        <v>2</v>
      </c>
      <c r="GH26">
        <v>20</v>
      </c>
      <c r="GI26">
        <v>1.6</v>
      </c>
      <c r="GJ26">
        <v>1.6</v>
      </c>
      <c r="GK26">
        <v>2.50854</v>
      </c>
      <c r="GL26">
        <v>2.6415999999999999</v>
      </c>
      <c r="GM26">
        <v>1.65161</v>
      </c>
      <c r="GN26">
        <v>2.2717299999999998</v>
      </c>
      <c r="GO26">
        <v>1.5979000000000001</v>
      </c>
      <c r="GP26">
        <v>2.5781200000000002</v>
      </c>
      <c r="GQ26">
        <v>35.824399999999997</v>
      </c>
      <c r="GR26">
        <v>23.7986</v>
      </c>
      <c r="GS26">
        <v>18</v>
      </c>
      <c r="GT26">
        <v>504.38099999999997</v>
      </c>
      <c r="GU26">
        <v>544.79600000000005</v>
      </c>
      <c r="GV26">
        <v>21.725999999999999</v>
      </c>
      <c r="GW26">
        <v>29.2362</v>
      </c>
      <c r="GX26">
        <v>30.0001</v>
      </c>
      <c r="GY26">
        <v>29.3706</v>
      </c>
      <c r="GZ26">
        <v>29.4252</v>
      </c>
      <c r="HA26">
        <v>50.144300000000001</v>
      </c>
      <c r="HB26">
        <v>26.942299999999999</v>
      </c>
      <c r="HC26">
        <v>40.719799999999999</v>
      </c>
      <c r="HD26">
        <v>21.718800000000002</v>
      </c>
      <c r="HE26">
        <v>1200</v>
      </c>
      <c r="HF26">
        <v>15.295400000000001</v>
      </c>
      <c r="HG26">
        <v>98.103999999999999</v>
      </c>
      <c r="HH26">
        <v>94.618799999999993</v>
      </c>
    </row>
    <row r="27" spans="1:216" x14ac:dyDescent="0.3">
      <c r="A27">
        <v>11</v>
      </c>
      <c r="B27">
        <v>1792214270</v>
      </c>
      <c r="C27">
        <v>1321.9000000953699</v>
      </c>
      <c r="D27" t="s">
        <v>376</v>
      </c>
      <c r="E27" t="s">
        <v>377</v>
      </c>
      <c r="F27">
        <v>5</v>
      </c>
      <c r="G27">
        <v>1792214266.5</v>
      </c>
      <c r="H27">
        <f t="shared" si="0"/>
        <v>5.4964998718256301E-3</v>
      </c>
      <c r="I27">
        <f t="shared" si="1"/>
        <v>5.4964998718256304</v>
      </c>
      <c r="J27">
        <f t="shared" si="2"/>
        <v>28.361761745372874</v>
      </c>
      <c r="K27">
        <f t="shared" si="3"/>
        <v>1485.3966666666699</v>
      </c>
      <c r="L27">
        <f t="shared" si="4"/>
        <v>1338.0896628125738</v>
      </c>
      <c r="M27">
        <f t="shared" si="5"/>
        <v>136.17741888270754</v>
      </c>
      <c r="N27">
        <f t="shared" si="6"/>
        <v>151.16885639671639</v>
      </c>
      <c r="O27">
        <f t="shared" si="7"/>
        <v>0.41785701945716369</v>
      </c>
      <c r="P27">
        <f t="shared" si="8"/>
        <v>3.0409062654767074</v>
      </c>
      <c r="Q27">
        <f t="shared" si="9"/>
        <v>0.38837882862780526</v>
      </c>
      <c r="R27">
        <f t="shared" si="10"/>
        <v>0.24521174774006166</v>
      </c>
      <c r="S27">
        <f t="shared" si="11"/>
        <v>241.73848701558333</v>
      </c>
      <c r="T27">
        <f t="shared" si="12"/>
        <v>25.246836153014364</v>
      </c>
      <c r="U27">
        <f t="shared" si="13"/>
        <v>25.025283333333299</v>
      </c>
      <c r="V27">
        <f t="shared" si="14"/>
        <v>3.1844736964495972</v>
      </c>
      <c r="W27">
        <f t="shared" si="15"/>
        <v>55.1296964454665</v>
      </c>
      <c r="X27">
        <f t="shared" si="16"/>
        <v>1.7793064149178723</v>
      </c>
      <c r="Y27">
        <f t="shared" si="17"/>
        <v>3.2274917687564932</v>
      </c>
      <c r="Z27">
        <f t="shared" si="18"/>
        <v>1.4051672815317249</v>
      </c>
      <c r="AA27">
        <f t="shared" si="19"/>
        <v>-242.39564434751028</v>
      </c>
      <c r="AB27">
        <f t="shared" si="20"/>
        <v>36.935983583060995</v>
      </c>
      <c r="AC27">
        <f t="shared" si="21"/>
        <v>2.5728212543887667</v>
      </c>
      <c r="AD27">
        <f t="shared" si="22"/>
        <v>38.851647505522813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54149.692804192222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1261.2167000080767</v>
      </c>
      <c r="AW27">
        <f t="shared" si="29"/>
        <v>28.361761745372874</v>
      </c>
      <c r="AX27" t="e">
        <f t="shared" si="30"/>
        <v>#DIV/0!</v>
      </c>
      <c r="AY27">
        <f t="shared" si="31"/>
        <v>2.2487619887360553E-2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BL27">
        <v>201</v>
      </c>
      <c r="BM27">
        <v>290</v>
      </c>
      <c r="BN27">
        <v>694.9</v>
      </c>
      <c r="BO27">
        <v>185</v>
      </c>
      <c r="BP27">
        <v>8116.66</v>
      </c>
      <c r="BQ27">
        <v>691.54</v>
      </c>
      <c r="BR27">
        <v>3.36</v>
      </c>
      <c r="BS27">
        <v>300</v>
      </c>
      <c r="BT27">
        <v>19.100000000000001</v>
      </c>
      <c r="BU27">
        <v>714.04193576744501</v>
      </c>
      <c r="BV27">
        <v>3.03324950049547</v>
      </c>
      <c r="BW27">
        <v>-18.2656208471677</v>
      </c>
      <c r="BX27">
        <v>2.2015746757983701</v>
      </c>
      <c r="BY27">
        <v>0.71084490389100896</v>
      </c>
      <c r="BZ27">
        <v>-5.3676925472747597E-3</v>
      </c>
      <c r="CA27">
        <v>290</v>
      </c>
      <c r="CB27">
        <v>685.54</v>
      </c>
      <c r="CC27">
        <v>615</v>
      </c>
      <c r="CD27">
        <v>8109.1</v>
      </c>
      <c r="CE27">
        <v>691.52</v>
      </c>
      <c r="CF27">
        <v>-5.98</v>
      </c>
      <c r="CT27">
        <f t="shared" si="42"/>
        <v>1500.0066666666701</v>
      </c>
      <c r="CU27">
        <f t="shared" si="43"/>
        <v>1261.2167000080767</v>
      </c>
      <c r="CV27">
        <f t="shared" si="44"/>
        <v>0.84080739641695412</v>
      </c>
      <c r="CW27">
        <f t="shared" si="45"/>
        <v>0.16115827508472147</v>
      </c>
      <c r="CX27">
        <v>2</v>
      </c>
      <c r="CY27">
        <v>0.5</v>
      </c>
      <c r="CZ27" t="s">
        <v>344</v>
      </c>
      <c r="DA27">
        <v>2</v>
      </c>
      <c r="DB27">
        <v>1792214266.5</v>
      </c>
      <c r="DC27">
        <v>1485.3966666666699</v>
      </c>
      <c r="DD27">
        <v>1500.00833333333</v>
      </c>
      <c r="DE27">
        <v>17.483599999999999</v>
      </c>
      <c r="DF27">
        <v>15.323266666666701</v>
      </c>
      <c r="DG27">
        <v>1483.6766666666699</v>
      </c>
      <c r="DH27">
        <v>17.629533333333299</v>
      </c>
      <c r="DI27">
        <v>499.96</v>
      </c>
      <c r="DJ27">
        <v>101.670166666667</v>
      </c>
      <c r="DK27">
        <v>9.9858666666666707E-2</v>
      </c>
      <c r="DL27">
        <v>25.250583333333299</v>
      </c>
      <c r="DM27">
        <v>25.025283333333299</v>
      </c>
      <c r="DN27">
        <v>999.9</v>
      </c>
      <c r="DO27">
        <v>0</v>
      </c>
      <c r="DP27">
        <v>0</v>
      </c>
      <c r="DQ27">
        <v>10014.280000000001</v>
      </c>
      <c r="DR27">
        <v>0</v>
      </c>
      <c r="DS27">
        <v>8.4701199999999996</v>
      </c>
      <c r="DT27">
        <v>1500.0066666666701</v>
      </c>
      <c r="DU27">
        <v>0.97299566666666704</v>
      </c>
      <c r="DV27">
        <v>2.7004466666666699E-2</v>
      </c>
      <c r="DW27">
        <v>0</v>
      </c>
      <c r="DX27">
        <v>251.71866666666699</v>
      </c>
      <c r="DY27">
        <v>4.9999900000000004</v>
      </c>
      <c r="DZ27">
        <v>3727.5949999999998</v>
      </c>
      <c r="EA27">
        <v>14882.6333333333</v>
      </c>
      <c r="EB27">
        <v>36.5</v>
      </c>
      <c r="EC27">
        <v>38.125</v>
      </c>
      <c r="ED27">
        <v>37.072499999999998</v>
      </c>
      <c r="EE27">
        <v>37.625</v>
      </c>
      <c r="EF27">
        <v>38.186999999999998</v>
      </c>
      <c r="EG27">
        <v>1454.63666666667</v>
      </c>
      <c r="EH27">
        <v>40.369999999999997</v>
      </c>
      <c r="EI27">
        <v>0</v>
      </c>
      <c r="EJ27">
        <v>2793.9000000953702</v>
      </c>
      <c r="EK27">
        <v>0</v>
      </c>
      <c r="EL27">
        <v>251.917230769231</v>
      </c>
      <c r="EM27">
        <v>0.73682050692286505</v>
      </c>
      <c r="EN27">
        <v>-11.633846163696999</v>
      </c>
      <c r="EO27">
        <v>3728.1919230769199</v>
      </c>
      <c r="EP27">
        <v>15</v>
      </c>
      <c r="EQ27">
        <v>1792214208</v>
      </c>
      <c r="ER27" t="s">
        <v>378</v>
      </c>
      <c r="ES27">
        <v>1792214207</v>
      </c>
      <c r="ET27">
        <v>1792214208</v>
      </c>
      <c r="EU27">
        <v>50</v>
      </c>
      <c r="EV27">
        <v>1.2999999999999999E-2</v>
      </c>
      <c r="EW27">
        <v>3.0000000000000001E-3</v>
      </c>
      <c r="EX27">
        <v>1.746</v>
      </c>
      <c r="EY27">
        <v>-0.17299999999999999</v>
      </c>
      <c r="EZ27">
        <v>1500</v>
      </c>
      <c r="FA27">
        <v>15</v>
      </c>
      <c r="FB27">
        <v>0.17</v>
      </c>
      <c r="FC27">
        <v>0.03</v>
      </c>
      <c r="FD27">
        <v>28.320183548763101</v>
      </c>
      <c r="FE27">
        <v>0.59156192769716298</v>
      </c>
      <c r="FF27">
        <v>0.168570135214513</v>
      </c>
      <c r="FG27">
        <v>1</v>
      </c>
      <c r="FH27">
        <v>-14.639390000000001</v>
      </c>
      <c r="FI27">
        <v>4.3082706766920303E-2</v>
      </c>
      <c r="FJ27">
        <v>6.3258445285985301E-2</v>
      </c>
      <c r="FK27">
        <v>1</v>
      </c>
      <c r="FL27">
        <v>251.93864705882399</v>
      </c>
      <c r="FM27">
        <v>-0.14307104403506701</v>
      </c>
      <c r="FN27">
        <v>0.41874531655698299</v>
      </c>
      <c r="FO27">
        <v>1</v>
      </c>
      <c r="FP27">
        <v>3</v>
      </c>
      <c r="FQ27">
        <v>3</v>
      </c>
      <c r="FR27" t="s">
        <v>346</v>
      </c>
      <c r="FS27">
        <v>100</v>
      </c>
      <c r="FT27">
        <v>100</v>
      </c>
      <c r="FU27">
        <v>1.72</v>
      </c>
      <c r="FV27">
        <v>-0.14610000000000001</v>
      </c>
      <c r="FW27">
        <v>0.437186427625812</v>
      </c>
      <c r="FX27">
        <v>-6.1673298426602905E-5</v>
      </c>
      <c r="FY27">
        <v>6.1939807181674203E-7</v>
      </c>
      <c r="FZ27">
        <v>3.19222985850634E-12</v>
      </c>
      <c r="GA27">
        <v>-6.64109440331178E-2</v>
      </c>
      <c r="GB27">
        <v>-2.57783215012692E-2</v>
      </c>
      <c r="GC27">
        <v>1.33723821780375E-3</v>
      </c>
      <c r="GD27">
        <v>-7.42160749481374E-6</v>
      </c>
      <c r="GE27">
        <v>7</v>
      </c>
      <c r="GF27">
        <v>2154</v>
      </c>
      <c r="GG27">
        <v>2</v>
      </c>
      <c r="GH27">
        <v>20</v>
      </c>
      <c r="GI27">
        <v>1.1000000000000001</v>
      </c>
      <c r="GJ27">
        <v>1</v>
      </c>
      <c r="GK27">
        <v>3.0078100000000001</v>
      </c>
      <c r="GL27">
        <v>2.63428</v>
      </c>
      <c r="GM27">
        <v>1.65161</v>
      </c>
      <c r="GN27">
        <v>2.2717299999999998</v>
      </c>
      <c r="GO27">
        <v>1.5979000000000001</v>
      </c>
      <c r="GP27">
        <v>2.63916</v>
      </c>
      <c r="GQ27">
        <v>35.941200000000002</v>
      </c>
      <c r="GR27">
        <v>23.7986</v>
      </c>
      <c r="GS27">
        <v>18</v>
      </c>
      <c r="GT27">
        <v>504.32900000000001</v>
      </c>
      <c r="GU27">
        <v>544.81799999999998</v>
      </c>
      <c r="GV27">
        <v>21.237200000000001</v>
      </c>
      <c r="GW27">
        <v>29.258900000000001</v>
      </c>
      <c r="GX27">
        <v>30</v>
      </c>
      <c r="GY27">
        <v>29.390699999999999</v>
      </c>
      <c r="GZ27">
        <v>29.4453</v>
      </c>
      <c r="HA27">
        <v>60.124200000000002</v>
      </c>
      <c r="HB27">
        <v>26.2941</v>
      </c>
      <c r="HC27">
        <v>40.036499999999997</v>
      </c>
      <c r="HD27">
        <v>21.215599999999998</v>
      </c>
      <c r="HE27">
        <v>1500</v>
      </c>
      <c r="HF27">
        <v>15.3497</v>
      </c>
      <c r="HG27">
        <v>98.098100000000002</v>
      </c>
      <c r="HH27">
        <v>94.616</v>
      </c>
    </row>
    <row r="28" spans="1:216" x14ac:dyDescent="0.3">
      <c r="A28">
        <v>12</v>
      </c>
      <c r="B28">
        <v>1792214395</v>
      </c>
      <c r="C28">
        <v>1446.9000000953699</v>
      </c>
      <c r="D28" t="s">
        <v>379</v>
      </c>
      <c r="E28" t="s">
        <v>380</v>
      </c>
      <c r="F28">
        <v>5</v>
      </c>
      <c r="G28">
        <v>1792214391.5</v>
      </c>
      <c r="H28">
        <f t="shared" si="0"/>
        <v>4.8174871348594375E-3</v>
      </c>
      <c r="I28">
        <f t="shared" si="1"/>
        <v>4.8174871348594372</v>
      </c>
      <c r="J28">
        <f t="shared" si="2"/>
        <v>28.481177522395814</v>
      </c>
      <c r="K28">
        <f t="shared" si="3"/>
        <v>1785.2</v>
      </c>
      <c r="L28">
        <f t="shared" si="4"/>
        <v>1612.608351725868</v>
      </c>
      <c r="M28">
        <f t="shared" si="5"/>
        <v>164.10665858884485</v>
      </c>
      <c r="N28">
        <f t="shared" si="6"/>
        <v>181.67040161938061</v>
      </c>
      <c r="O28">
        <f t="shared" si="7"/>
        <v>0.35895248604631391</v>
      </c>
      <c r="P28">
        <f t="shared" si="8"/>
        <v>3.034192577781051</v>
      </c>
      <c r="Q28">
        <f t="shared" si="9"/>
        <v>0.33691953505857314</v>
      </c>
      <c r="R28">
        <f t="shared" si="10"/>
        <v>0.21244148775227753</v>
      </c>
      <c r="S28">
        <f t="shared" si="11"/>
        <v>241.73609301558346</v>
      </c>
      <c r="T28">
        <f t="shared" si="12"/>
        <v>25.269030690321465</v>
      </c>
      <c r="U28">
        <f t="shared" si="13"/>
        <v>25.0240166666667</v>
      </c>
      <c r="V28">
        <f t="shared" si="14"/>
        <v>3.1842332665547981</v>
      </c>
      <c r="W28">
        <f t="shared" si="15"/>
        <v>55.158322194178254</v>
      </c>
      <c r="X28">
        <f t="shared" si="16"/>
        <v>1.7645173649555965</v>
      </c>
      <c r="Y28">
        <f t="shared" si="17"/>
        <v>3.1990047825309569</v>
      </c>
      <c r="Z28">
        <f t="shared" si="18"/>
        <v>1.4197159015992016</v>
      </c>
      <c r="AA28">
        <f t="shared" si="19"/>
        <v>-212.45118264730118</v>
      </c>
      <c r="AB28">
        <f t="shared" si="20"/>
        <v>12.704665976330915</v>
      </c>
      <c r="AC28">
        <f t="shared" si="21"/>
        <v>0.88624719593519075</v>
      </c>
      <c r="AD28">
        <f t="shared" si="22"/>
        <v>42.875823540548396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53966.177426886126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1261.2041000080769</v>
      </c>
      <c r="AW28">
        <f t="shared" si="29"/>
        <v>28.481177522395814</v>
      </c>
      <c r="AX28" t="e">
        <f t="shared" si="30"/>
        <v>#DIV/0!</v>
      </c>
      <c r="AY28">
        <f t="shared" si="31"/>
        <v>2.2582528491790835E-2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BL28">
        <v>201</v>
      </c>
      <c r="BM28">
        <v>290</v>
      </c>
      <c r="BN28">
        <v>694.9</v>
      </c>
      <c r="BO28">
        <v>185</v>
      </c>
      <c r="BP28">
        <v>8116.66</v>
      </c>
      <c r="BQ28">
        <v>691.54</v>
      </c>
      <c r="BR28">
        <v>3.36</v>
      </c>
      <c r="BS28">
        <v>300</v>
      </c>
      <c r="BT28">
        <v>19.100000000000001</v>
      </c>
      <c r="BU28">
        <v>714.04193576744501</v>
      </c>
      <c r="BV28">
        <v>3.03324950049547</v>
      </c>
      <c r="BW28">
        <v>-18.2656208471677</v>
      </c>
      <c r="BX28">
        <v>2.2015746757983701</v>
      </c>
      <c r="BY28">
        <v>0.71084490389100896</v>
      </c>
      <c r="BZ28">
        <v>-5.3676925472747597E-3</v>
      </c>
      <c r="CA28">
        <v>290</v>
      </c>
      <c r="CB28">
        <v>685.54</v>
      </c>
      <c r="CC28">
        <v>615</v>
      </c>
      <c r="CD28">
        <v>8109.1</v>
      </c>
      <c r="CE28">
        <v>691.52</v>
      </c>
      <c r="CF28">
        <v>-5.98</v>
      </c>
      <c r="CT28">
        <f t="shared" si="42"/>
        <v>1499.99166666667</v>
      </c>
      <c r="CU28">
        <f t="shared" si="43"/>
        <v>1261.2041000080769</v>
      </c>
      <c r="CV28">
        <f t="shared" si="44"/>
        <v>0.84080740449096325</v>
      </c>
      <c r="CW28">
        <f t="shared" si="45"/>
        <v>0.16115829066755899</v>
      </c>
      <c r="CX28">
        <v>2</v>
      </c>
      <c r="CY28">
        <v>0.5</v>
      </c>
      <c r="CZ28" t="s">
        <v>344</v>
      </c>
      <c r="DA28">
        <v>2</v>
      </c>
      <c r="DB28">
        <v>1792214391.5</v>
      </c>
      <c r="DC28">
        <v>1785.2</v>
      </c>
      <c r="DD28">
        <v>1800.0333333333299</v>
      </c>
      <c r="DE28">
        <v>17.339183333333299</v>
      </c>
      <c r="DF28">
        <v>15.445499999999999</v>
      </c>
      <c r="DG28">
        <v>1783.01</v>
      </c>
      <c r="DH28">
        <v>17.486266666666701</v>
      </c>
      <c r="DI28">
        <v>499.97333333333302</v>
      </c>
      <c r="DJ28">
        <v>101.664666666667</v>
      </c>
      <c r="DK28">
        <v>0.100066483333333</v>
      </c>
      <c r="DL28">
        <v>25.101683333333298</v>
      </c>
      <c r="DM28">
        <v>25.0240166666667</v>
      </c>
      <c r="DN28">
        <v>999.9</v>
      </c>
      <c r="DO28">
        <v>0</v>
      </c>
      <c r="DP28">
        <v>0</v>
      </c>
      <c r="DQ28">
        <v>9974.2716666666693</v>
      </c>
      <c r="DR28">
        <v>0</v>
      </c>
      <c r="DS28">
        <v>7.7026316666666697</v>
      </c>
      <c r="DT28">
        <v>1499.99166666667</v>
      </c>
      <c r="DU28">
        <v>0.97299566666666704</v>
      </c>
      <c r="DV28">
        <v>2.7004466666666699E-2</v>
      </c>
      <c r="DW28">
        <v>0</v>
      </c>
      <c r="DX28">
        <v>253.04016666666701</v>
      </c>
      <c r="DY28">
        <v>4.9999900000000004</v>
      </c>
      <c r="DZ28">
        <v>3739.2</v>
      </c>
      <c r="EA28">
        <v>14882.483333333301</v>
      </c>
      <c r="EB28">
        <v>36.5</v>
      </c>
      <c r="EC28">
        <v>38.125</v>
      </c>
      <c r="ED28">
        <v>37.061999999999998</v>
      </c>
      <c r="EE28">
        <v>37.625</v>
      </c>
      <c r="EF28">
        <v>38.186999999999998</v>
      </c>
      <c r="EG28">
        <v>1454.6216666666701</v>
      </c>
      <c r="EH28">
        <v>40.369999999999997</v>
      </c>
      <c r="EI28">
        <v>0</v>
      </c>
      <c r="EJ28">
        <v>2918.7000000476801</v>
      </c>
      <c r="EK28">
        <v>0</v>
      </c>
      <c r="EL28">
        <v>252.81242307692301</v>
      </c>
      <c r="EM28">
        <v>2.4593845874993399</v>
      </c>
      <c r="EN28">
        <v>-10.5917948437136</v>
      </c>
      <c r="EO28">
        <v>3739.97423076923</v>
      </c>
      <c r="EP28">
        <v>15</v>
      </c>
      <c r="EQ28">
        <v>1792214335</v>
      </c>
      <c r="ER28" t="s">
        <v>381</v>
      </c>
      <c r="ES28">
        <v>1792214335</v>
      </c>
      <c r="ET28">
        <v>1792214325</v>
      </c>
      <c r="EU28">
        <v>51</v>
      </c>
      <c r="EV28">
        <v>-0.124</v>
      </c>
      <c r="EW28">
        <v>1E-3</v>
      </c>
      <c r="EX28">
        <v>2.2250000000000001</v>
      </c>
      <c r="EY28">
        <v>-0.17100000000000001</v>
      </c>
      <c r="EZ28">
        <v>1800</v>
      </c>
      <c r="FA28">
        <v>15</v>
      </c>
      <c r="FB28">
        <v>0.16</v>
      </c>
      <c r="FC28">
        <v>0.03</v>
      </c>
      <c r="FD28">
        <v>28.528892833741899</v>
      </c>
      <c r="FE28">
        <v>-0.17825198964344499</v>
      </c>
      <c r="FF28">
        <v>0.11170192682887201</v>
      </c>
      <c r="FG28">
        <v>1</v>
      </c>
      <c r="FH28">
        <v>-14.883723809523801</v>
      </c>
      <c r="FI28">
        <v>0.35765454545452202</v>
      </c>
      <c r="FJ28">
        <v>5.82306816914369E-2</v>
      </c>
      <c r="FK28">
        <v>1</v>
      </c>
      <c r="FL28">
        <v>252.88494117647099</v>
      </c>
      <c r="FM28">
        <v>0.58536285506561103</v>
      </c>
      <c r="FN28">
        <v>0.52507898236004802</v>
      </c>
      <c r="FO28">
        <v>1</v>
      </c>
      <c r="FP28">
        <v>3</v>
      </c>
      <c r="FQ28">
        <v>3</v>
      </c>
      <c r="FR28" t="s">
        <v>346</v>
      </c>
      <c r="FS28">
        <v>100</v>
      </c>
      <c r="FT28">
        <v>100</v>
      </c>
      <c r="FU28">
        <v>2.19</v>
      </c>
      <c r="FV28">
        <v>-0.1472</v>
      </c>
      <c r="FW28">
        <v>0.31453630778888197</v>
      </c>
      <c r="FX28">
        <v>-6.1673298426602905E-5</v>
      </c>
      <c r="FY28">
        <v>6.1939807181674203E-7</v>
      </c>
      <c r="FZ28">
        <v>3.19222985850634E-12</v>
      </c>
      <c r="GA28">
        <v>-6.5529934556258607E-2</v>
      </c>
      <c r="GB28">
        <v>-2.57783215012692E-2</v>
      </c>
      <c r="GC28">
        <v>1.33723821780375E-3</v>
      </c>
      <c r="GD28">
        <v>-7.42160749481374E-6</v>
      </c>
      <c r="GE28">
        <v>7</v>
      </c>
      <c r="GF28">
        <v>2154</v>
      </c>
      <c r="GG28">
        <v>2</v>
      </c>
      <c r="GH28">
        <v>20</v>
      </c>
      <c r="GI28">
        <v>1</v>
      </c>
      <c r="GJ28">
        <v>1.2</v>
      </c>
      <c r="GK28">
        <v>3.4838900000000002</v>
      </c>
      <c r="GL28">
        <v>2.63306</v>
      </c>
      <c r="GM28">
        <v>1.65161</v>
      </c>
      <c r="GN28">
        <v>2.2717299999999998</v>
      </c>
      <c r="GO28">
        <v>1.5979000000000001</v>
      </c>
      <c r="GP28">
        <v>2.47437</v>
      </c>
      <c r="GQ28">
        <v>36.058199999999999</v>
      </c>
      <c r="GR28">
        <v>23.7898</v>
      </c>
      <c r="GS28">
        <v>18</v>
      </c>
      <c r="GT28">
        <v>504.298</v>
      </c>
      <c r="GU28">
        <v>544.82600000000002</v>
      </c>
      <c r="GV28">
        <v>20.982800000000001</v>
      </c>
      <c r="GW28">
        <v>29.285699999999999</v>
      </c>
      <c r="GX28">
        <v>30.0002</v>
      </c>
      <c r="GY28">
        <v>29.4133</v>
      </c>
      <c r="GZ28">
        <v>29.468</v>
      </c>
      <c r="HA28">
        <v>69.641199999999998</v>
      </c>
      <c r="HB28">
        <v>25.712499999999999</v>
      </c>
      <c r="HC28">
        <v>39.7256</v>
      </c>
      <c r="HD28">
        <v>20.959700000000002</v>
      </c>
      <c r="HE28">
        <v>1800</v>
      </c>
      <c r="HF28">
        <v>15.437900000000001</v>
      </c>
      <c r="HG28">
        <v>98.094300000000004</v>
      </c>
      <c r="HH28">
        <v>94.605400000000003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2026-10-17T14:21:12Z</dcterms:created>
  <dcterms:modified xsi:type="dcterms:W3CDTF">2026-10-17T10:10:17Z</dcterms:modified>
</cp:coreProperties>
</file>