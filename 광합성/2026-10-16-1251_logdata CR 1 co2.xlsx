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3EB3909809DEF1E49508D59604E0F557" xr6:coauthVersionLast="47" xr6:coauthVersionMax="47" xr10:uidLastSave="{00000000-0000-0000-0000-000000000000}"/>
  <bookViews>
    <workbookView xWindow="780" yWindow="780" windowWidth="21600" windowHeight="11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9" i="1" l="1"/>
  <c r="CV29" i="1"/>
  <c r="CT29" i="1"/>
  <c r="CU29" i="1" s="1"/>
  <c r="AV29" i="1" s="1"/>
  <c r="BI29" i="1"/>
  <c r="BH29" i="1"/>
  <c r="AZ29" i="1"/>
  <c r="AT29" i="1"/>
  <c r="AX29" i="1" s="1"/>
  <c r="AN29" i="1"/>
  <c r="BA29" i="1" s="1"/>
  <c r="BD29" i="1" s="1"/>
  <c r="AI29" i="1"/>
  <c r="AG29" i="1"/>
  <c r="Y29" i="1"/>
  <c r="X29" i="1"/>
  <c r="W29" i="1" s="1"/>
  <c r="S29" i="1"/>
  <c r="P29" i="1"/>
  <c r="CW28" i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X27" i="1" s="1"/>
  <c r="AN27" i="1"/>
  <c r="BA27" i="1" s="1"/>
  <c r="BD27" i="1" s="1"/>
  <c r="AI27" i="1"/>
  <c r="AG27" i="1" s="1"/>
  <c r="Y27" i="1"/>
  <c r="X27" i="1"/>
  <c r="W27" i="1"/>
  <c r="P27" i="1"/>
  <c r="CW26" i="1"/>
  <c r="CV26" i="1"/>
  <c r="CT26" i="1"/>
  <c r="CU26" i="1" s="1"/>
  <c r="AV26" i="1" s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/>
  <c r="S26" i="1"/>
  <c r="P26" i="1"/>
  <c r="CW25" i="1"/>
  <c r="S25" i="1" s="1"/>
  <c r="CV25" i="1"/>
  <c r="CT25" i="1"/>
  <c r="CU25" i="1" s="1"/>
  <c r="AV25" i="1" s="1"/>
  <c r="BI25" i="1"/>
  <c r="BH25" i="1"/>
  <c r="AZ25" i="1"/>
  <c r="AT25" i="1"/>
  <c r="AX25" i="1" s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/>
  <c r="Y24" i="1"/>
  <c r="X24" i="1"/>
  <c r="W24" i="1" s="1"/>
  <c r="S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Y23" i="1"/>
  <c r="X23" i="1"/>
  <c r="W23" i="1"/>
  <c r="P23" i="1"/>
  <c r="CW22" i="1"/>
  <c r="CV22" i="1"/>
  <c r="CT22" i="1"/>
  <c r="CU22" i="1" s="1"/>
  <c r="AV22" i="1" s="1"/>
  <c r="BI22" i="1"/>
  <c r="BH22" i="1"/>
  <c r="AZ22" i="1"/>
  <c r="AT22" i="1"/>
  <c r="AN22" i="1"/>
  <c r="BA22" i="1" s="1"/>
  <c r="BD22" i="1" s="1"/>
  <c r="AI22" i="1"/>
  <c r="AG22" i="1"/>
  <c r="Y22" i="1"/>
  <c r="X22" i="1"/>
  <c r="W22" i="1"/>
  <c r="S22" i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/>
  <c r="Y21" i="1"/>
  <c r="X21" i="1"/>
  <c r="W21" i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W20" i="1" s="1"/>
  <c r="X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/>
  <c r="Y19" i="1"/>
  <c r="X19" i="1"/>
  <c r="W19" i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17" i="1" l="1"/>
  <c r="AV17" i="1" s="1"/>
  <c r="AX17" i="1" s="1"/>
  <c r="CU27" i="1"/>
  <c r="AV27" i="1" s="1"/>
  <c r="S27" i="1"/>
  <c r="BE29" i="1"/>
  <c r="BF29" i="1"/>
  <c r="BJ29" i="1" s="1"/>
  <c r="BK29" i="1" s="1"/>
  <c r="BG29" i="1"/>
  <c r="AH29" i="1"/>
  <c r="N29" i="1"/>
  <c r="K29" i="1"/>
  <c r="J29" i="1"/>
  <c r="AW29" i="1" s="1"/>
  <c r="AY29" i="1" s="1"/>
  <c r="I29" i="1"/>
  <c r="H29" i="1" s="1"/>
  <c r="T29" i="1"/>
  <c r="U29" i="1" s="1"/>
  <c r="CU28" i="1"/>
  <c r="AV28" i="1" s="1"/>
  <c r="AX28" i="1" s="1"/>
  <c r="S28" i="1"/>
  <c r="BE28" i="1"/>
  <c r="BF28" i="1"/>
  <c r="BJ28" i="1" s="1"/>
  <c r="BK28" i="1" s="1"/>
  <c r="BG28" i="1"/>
  <c r="AH28" i="1"/>
  <c r="N28" i="1"/>
  <c r="K28" i="1"/>
  <c r="J28" i="1"/>
  <c r="AW28" i="1" s="1"/>
  <c r="AY28" i="1" s="1"/>
  <c r="I28" i="1"/>
  <c r="H28" i="1" s="1"/>
  <c r="BE27" i="1"/>
  <c r="BF27" i="1"/>
  <c r="BJ27" i="1" s="1"/>
  <c r="BK27" i="1" s="1"/>
  <c r="BG27" i="1"/>
  <c r="AH27" i="1"/>
  <c r="I27" i="1"/>
  <c r="H27" i="1" s="1"/>
  <c r="J27" i="1"/>
  <c r="AW27" i="1" s="1"/>
  <c r="AY27" i="1" s="1"/>
  <c r="K27" i="1"/>
  <c r="N27" i="1"/>
  <c r="T27" i="1"/>
  <c r="U27" i="1" s="1"/>
  <c r="BE26" i="1"/>
  <c r="BF26" i="1"/>
  <c r="BJ26" i="1" s="1"/>
  <c r="BK26" i="1" s="1"/>
  <c r="BG26" i="1"/>
  <c r="AH26" i="1"/>
  <c r="I26" i="1"/>
  <c r="H26" i="1" s="1"/>
  <c r="T26" i="1" s="1"/>
  <c r="U26" i="1" s="1"/>
  <c r="J26" i="1"/>
  <c r="AW26" i="1" s="1"/>
  <c r="AY26" i="1" s="1"/>
  <c r="K26" i="1"/>
  <c r="N26" i="1"/>
  <c r="BE25" i="1"/>
  <c r="BF25" i="1"/>
  <c r="BJ25" i="1" s="1"/>
  <c r="BK25" i="1" s="1"/>
  <c r="BG25" i="1"/>
  <c r="AH25" i="1"/>
  <c r="I25" i="1"/>
  <c r="H25" i="1" s="1"/>
  <c r="J25" i="1"/>
  <c r="AW25" i="1" s="1"/>
  <c r="AY25" i="1" s="1"/>
  <c r="K25" i="1"/>
  <c r="N25" i="1"/>
  <c r="T25" i="1"/>
  <c r="U25" i="1" s="1"/>
  <c r="BE24" i="1"/>
  <c r="BF24" i="1"/>
  <c r="BJ24" i="1" s="1"/>
  <c r="BK24" i="1" s="1"/>
  <c r="BG24" i="1"/>
  <c r="N24" i="1"/>
  <c r="K24" i="1"/>
  <c r="J24" i="1"/>
  <c r="AW24" i="1" s="1"/>
  <c r="AY24" i="1" s="1"/>
  <c r="I24" i="1"/>
  <c r="H24" i="1" s="1"/>
  <c r="AH24" i="1"/>
  <c r="T24" i="1"/>
  <c r="U24" i="1" s="1"/>
  <c r="CU23" i="1"/>
  <c r="AV23" i="1" s="1"/>
  <c r="AX23" i="1" s="1"/>
  <c r="S23" i="1"/>
  <c r="BE23" i="1"/>
  <c r="BF23" i="1"/>
  <c r="BJ23" i="1" s="1"/>
  <c r="BK23" i="1" s="1"/>
  <c r="BG23" i="1"/>
  <c r="AH23" i="1"/>
  <c r="N23" i="1"/>
  <c r="K23" i="1"/>
  <c r="J23" i="1"/>
  <c r="AW23" i="1" s="1"/>
  <c r="AY23" i="1" s="1"/>
  <c r="I23" i="1"/>
  <c r="H23" i="1" s="1"/>
  <c r="BE22" i="1"/>
  <c r="BF22" i="1"/>
  <c r="BJ22" i="1" s="1"/>
  <c r="BK22" i="1" s="1"/>
  <c r="BG22" i="1"/>
  <c r="N22" i="1"/>
  <c r="K22" i="1"/>
  <c r="J22" i="1"/>
  <c r="AW22" i="1" s="1"/>
  <c r="AY22" i="1" s="1"/>
  <c r="I22" i="1"/>
  <c r="H22" i="1" s="1"/>
  <c r="AH22" i="1"/>
  <c r="T22" i="1"/>
  <c r="U22" i="1" s="1"/>
  <c r="BE21" i="1"/>
  <c r="BF21" i="1"/>
  <c r="BJ21" i="1" s="1"/>
  <c r="BK21" i="1" s="1"/>
  <c r="BG21" i="1"/>
  <c r="N21" i="1"/>
  <c r="K21" i="1"/>
  <c r="J21" i="1"/>
  <c r="AW21" i="1" s="1"/>
  <c r="AY21" i="1" s="1"/>
  <c r="I21" i="1"/>
  <c r="H21" i="1" s="1"/>
  <c r="T21" i="1" s="1"/>
  <c r="U21" i="1" s="1"/>
  <c r="AH21" i="1"/>
  <c r="CU20" i="1"/>
  <c r="AV20" i="1" s="1"/>
  <c r="AX20" i="1" s="1"/>
  <c r="S20" i="1"/>
  <c r="BE20" i="1"/>
  <c r="BF20" i="1"/>
  <c r="BJ20" i="1" s="1"/>
  <c r="BK20" i="1" s="1"/>
  <c r="BG20" i="1"/>
  <c r="AH20" i="1"/>
  <c r="N20" i="1"/>
  <c r="I20" i="1"/>
  <c r="H20" i="1" s="1"/>
  <c r="K20" i="1"/>
  <c r="J20" i="1"/>
  <c r="AW20" i="1" s="1"/>
  <c r="BE19" i="1"/>
  <c r="BF19" i="1"/>
  <c r="BJ19" i="1" s="1"/>
  <c r="BK19" i="1" s="1"/>
  <c r="BG19" i="1"/>
  <c r="N19" i="1"/>
  <c r="K19" i="1"/>
  <c r="J19" i="1"/>
  <c r="AW19" i="1" s="1"/>
  <c r="AY19" i="1" s="1"/>
  <c r="I19" i="1"/>
  <c r="H19" i="1" s="1"/>
  <c r="AH19" i="1"/>
  <c r="T19" i="1"/>
  <c r="U19" i="1" s="1"/>
  <c r="BE18" i="1"/>
  <c r="BF18" i="1"/>
  <c r="BJ18" i="1" s="1"/>
  <c r="BK18" i="1" s="1"/>
  <c r="BG18" i="1"/>
  <c r="I18" i="1"/>
  <c r="H18" i="1" s="1"/>
  <c r="K18" i="1"/>
  <c r="N18" i="1"/>
  <c r="AH18" i="1"/>
  <c r="J18" i="1"/>
  <c r="AW18" i="1" s="1"/>
  <c r="AY18" i="1" s="1"/>
  <c r="T18" i="1"/>
  <c r="U18" i="1" s="1"/>
  <c r="BE17" i="1"/>
  <c r="BF17" i="1"/>
  <c r="BJ17" i="1" s="1"/>
  <c r="BK17" i="1" s="1"/>
  <c r="BG17" i="1"/>
  <c r="J17" i="1"/>
  <c r="AW17" i="1" s="1"/>
  <c r="AY17" i="1" s="1"/>
  <c r="AH17" i="1"/>
  <c r="N17" i="1"/>
  <c r="K17" i="1"/>
  <c r="I17" i="1"/>
  <c r="H17" i="1" s="1"/>
  <c r="T17" i="1"/>
  <c r="U17" i="1" s="1"/>
  <c r="AX22" i="1"/>
  <c r="AX26" i="1"/>
  <c r="AA29" i="1" l="1"/>
  <c r="Q29" i="1"/>
  <c r="O29" i="1" s="1"/>
  <c r="R29" i="1" s="1"/>
  <c r="L29" i="1" s="1"/>
  <c r="M29" i="1" s="1"/>
  <c r="V29" i="1"/>
  <c r="Z29" i="1" s="1"/>
  <c r="AB29" i="1"/>
  <c r="AC29" i="1"/>
  <c r="T28" i="1"/>
  <c r="U28" i="1" s="1"/>
  <c r="Q28" i="1" s="1"/>
  <c r="O28" i="1" s="1"/>
  <c r="R28" i="1" s="1"/>
  <c r="L28" i="1" s="1"/>
  <c r="M28" i="1" s="1"/>
  <c r="AA28" i="1"/>
  <c r="Q27" i="1"/>
  <c r="O27" i="1" s="1"/>
  <c r="R27" i="1" s="1"/>
  <c r="L27" i="1" s="1"/>
  <c r="M27" i="1" s="1"/>
  <c r="AA27" i="1"/>
  <c r="AB27" i="1"/>
  <c r="V27" i="1"/>
  <c r="Z27" i="1" s="1"/>
  <c r="AC27" i="1"/>
  <c r="AD27" i="1" s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Q25" i="1"/>
  <c r="O25" i="1" s="1"/>
  <c r="R25" i="1" s="1"/>
  <c r="L25" i="1" s="1"/>
  <c r="M25" i="1" s="1"/>
  <c r="AA25" i="1"/>
  <c r="AB25" i="1"/>
  <c r="V25" i="1"/>
  <c r="Z25" i="1" s="1"/>
  <c r="AC25" i="1"/>
  <c r="AD25" i="1" s="1"/>
  <c r="Q24" i="1"/>
  <c r="O24" i="1" s="1"/>
  <c r="R24" i="1" s="1"/>
  <c r="L24" i="1" s="1"/>
  <c r="M24" i="1" s="1"/>
  <c r="AA24" i="1"/>
  <c r="AB24" i="1"/>
  <c r="V24" i="1"/>
  <c r="Z24" i="1" s="1"/>
  <c r="AC24" i="1"/>
  <c r="T23" i="1"/>
  <c r="U23" i="1" s="1"/>
  <c r="Q23" i="1"/>
  <c r="O23" i="1" s="1"/>
  <c r="R23" i="1" s="1"/>
  <c r="L23" i="1" s="1"/>
  <c r="M23" i="1" s="1"/>
  <c r="AA23" i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T20" i="1"/>
  <c r="U20" i="1" s="1"/>
  <c r="AA20" i="1"/>
  <c r="Q20" i="1"/>
  <c r="O20" i="1" s="1"/>
  <c r="R20" i="1" s="1"/>
  <c r="L20" i="1" s="1"/>
  <c r="M20" i="1" s="1"/>
  <c r="Q19" i="1"/>
  <c r="O19" i="1" s="1"/>
  <c r="R19" i="1" s="1"/>
  <c r="L19" i="1" s="1"/>
  <c r="M19" i="1" s="1"/>
  <c r="AA19" i="1"/>
  <c r="AB19" i="1"/>
  <c r="V19" i="1"/>
  <c r="Z19" i="1" s="1"/>
  <c r="AC19" i="1"/>
  <c r="Q18" i="1"/>
  <c r="O18" i="1" s="1"/>
  <c r="R18" i="1" s="1"/>
  <c r="L18" i="1" s="1"/>
  <c r="M18" i="1" s="1"/>
  <c r="AA18" i="1"/>
  <c r="AB18" i="1"/>
  <c r="V18" i="1"/>
  <c r="Z18" i="1" s="1"/>
  <c r="AC18" i="1"/>
  <c r="AD18" i="1" s="1"/>
  <c r="AA17" i="1"/>
  <c r="Q17" i="1"/>
  <c r="O17" i="1" s="1"/>
  <c r="R17" i="1" s="1"/>
  <c r="L17" i="1" s="1"/>
  <c r="M17" i="1" s="1"/>
  <c r="AB17" i="1"/>
  <c r="V17" i="1"/>
  <c r="Z17" i="1" s="1"/>
  <c r="AC17" i="1"/>
  <c r="AD17" i="1" s="1"/>
  <c r="AY20" i="1"/>
  <c r="AD24" i="1" l="1"/>
  <c r="AD19" i="1"/>
  <c r="V28" i="1"/>
  <c r="Z28" i="1" s="1"/>
  <c r="AB28" i="1"/>
  <c r="AC28" i="1"/>
  <c r="AD28" i="1" s="1"/>
  <c r="AB23" i="1"/>
  <c r="V23" i="1"/>
  <c r="Z23" i="1" s="1"/>
  <c r="AC23" i="1"/>
  <c r="AB20" i="1"/>
  <c r="V20" i="1"/>
  <c r="Z20" i="1" s="1"/>
  <c r="AC20" i="1"/>
  <c r="AD20" i="1" s="1"/>
  <c r="AD29" i="1"/>
  <c r="AD23" i="1" l="1"/>
</calcChain>
</file>

<file path=xl/sharedStrings.xml><?xml version="1.0" encoding="utf-8"?>
<sst xmlns="http://schemas.openxmlformats.org/spreadsheetml/2006/main" count="795" uniqueCount="382">
  <si>
    <t>File opened</t>
  </si>
  <si>
    <t>2026-10-16 12:51:12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</si>
  <si>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</si>
  <si>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</si>
  <si>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</si>
  <si>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</si>
  <si>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</si>
  <si>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</si>
  <si>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</si>
  <si>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</si>
  <si>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</si>
  <si>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</si>
  <si>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</si>
  <si>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{"flowmeterzero": "2.483", "co2bspan2": "-0.00857283", "h2oaspan2a": "0.0964052", "co2bspan2b": "0.105618", "co2aspanconc2": "1516", "co2aspan2a": "0.106022", "co2bspanconc1": "437.6", "tazero": "0.15448", "ssa_ref": "37830.5", "tbzero": "0.143742", "co2bzero": "0.953041", "co2bspanconc2": "1516", "h2oaspan2": "0", "h2obspanconc1": "17.96", "co2azero": "0.931334", "h2obspanconc2": "0", "h2oaspanconc2": "0", "h2obspan2": "0", "h2obspan2a": "0.0961931", "ssb_ref": "36242.9", "co2bspan1": "1.00005", "h2obzero": "1.01897", "h2oaspan1": "1.02308", "co2aspan2b": "0.105998", "co2aspan1": "1.00082", "flowazero": "0.276", "flowbzero": "0.30473", "chamberpressurezero": "2.71033", "h2oaspan2b": "0.0986302", "h2obspan1": "1.01044", "h2oaspanconc1": "17.96", "oxygen": "21", "co2aspan2": "-0.00988168", "h2obspan2b": "0.0971974", "co2bspan2a": "0.105708", "h2oazero": "1.03097", "co2aspanconc1": "437.6"}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</si>
  <si>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</si>
  <si>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</si>
  <si>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</si>
  <si>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</si>
  <si>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</si>
  <si>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</si>
  <si>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</si>
  <si>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</si>
  <si>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</si>
  <si>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</si>
  <si>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</si>
  <si>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</si>
  <si>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</si>
  <si>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</si>
  <si>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</si>
  <si>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12:51:12</t>
  </si>
  <si>
    <t>Stability Definition:	A (GasEx): Slp&lt;0.6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</si>
  <si>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</si>
  <si>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</si>
  <si>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</si>
  <si>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</si>
  <si>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</si>
  <si>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</si>
  <si>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</si>
  <si>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</si>
  <si>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</si>
  <si>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</si>
  <si>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</si>
  <si>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</si>
  <si>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</si>
  <si>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</si>
  <si>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</si>
  <si>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</si>
  <si>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</si>
  <si>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</si>
  <si>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</si>
  <si>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</si>
  <si>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</si>
  <si>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</si>
  <si>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</si>
  <si>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</si>
  <si>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</si>
  <si>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</si>
  <si>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</si>
  <si>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</si>
  <si>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</si>
  <si>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</si>
  <si>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</si>
  <si>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</si>
  <si>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</si>
  <si>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</si>
  <si>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</si>
  <si>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</si>
  <si>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</si>
  <si>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</si>
  <si>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</si>
  <si>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</si>
  <si>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</si>
  <si>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</si>
  <si>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</si>
  <si>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</si>
  <si>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</si>
  <si>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</si>
  <si>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</si>
  <si>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</si>
  <si>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</si>
  <si>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</si>
  <si>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</si>
  <si>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3.7566 197.14 345.085 569.364 835.095 1048.85 1238.94 1340.78</t>
  </si>
  <si>
    <t>Fs_true</t>
  </si>
  <si>
    <t>0.199903 229.678 383.692 585.549 812.233 1001.91 1203.48 1401.03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</si>
  <si>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</si>
  <si>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</si>
  <si>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</si>
  <si>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</si>
  <si>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</si>
  <si>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</si>
  <si>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</si>
  <si>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</si>
  <si>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</si>
  <si>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</si>
  <si>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</si>
  <si>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</si>
  <si>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</si>
  <si>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</si>
  <si>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</si>
  <si>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</si>
  <si>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</si>
  <si>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</si>
  <si>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</si>
  <si>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</si>
  <si>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</si>
  <si>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</si>
  <si>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</si>
  <si>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</si>
  <si>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</si>
  <si>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</si>
  <si>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</si>
  <si>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</si>
  <si>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</si>
  <si>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</si>
  <si>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</si>
  <si>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</si>
  <si>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</si>
  <si>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</si>
  <si>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</si>
  <si>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</si>
  <si>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</si>
  <si>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</si>
  <si>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</si>
  <si>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</si>
  <si>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</si>
  <si>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</si>
  <si>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</si>
  <si>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</si>
  <si>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</si>
  <si>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</si>
  <si>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</si>
  <si>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</si>
  <si>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</si>
  <si>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</si>
  <si>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</si>
  <si>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</si>
  <si>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</si>
  <si>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</si>
  <si>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</si>
  <si>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</si>
  <si>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</si>
  <si>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</si>
  <si>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</si>
  <si>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</si>
  <si>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</si>
  <si>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</si>
  <si>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</si>
  <si>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</si>
  <si>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</si>
  <si>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</si>
  <si>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</si>
  <si>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</si>
  <si>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</si>
  <si>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</si>
  <si>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</si>
  <si>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</si>
  <si>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</si>
  <si>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</si>
  <si>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</si>
  <si>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</si>
  <si>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</si>
  <si>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</si>
  <si>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</si>
  <si>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</si>
  <si>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</si>
  <si>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</si>
  <si>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</si>
  <si>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</si>
  <si>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</si>
  <si>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</si>
  <si>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</si>
  <si>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</si>
  <si>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</si>
  <si>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</si>
  <si>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</si>
  <si>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</si>
  <si>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</si>
  <si>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</si>
  <si>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</si>
  <si>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</si>
  <si>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</si>
  <si>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</si>
  <si>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</si>
  <si>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</si>
  <si>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</si>
  <si>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</si>
  <si>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</si>
  <si>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</si>
  <si>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</si>
  <si>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</si>
  <si>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</si>
  <si>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</si>
  <si>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</si>
  <si>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</si>
  <si>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</si>
  <si>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</si>
  <si>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</si>
  <si>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</si>
  <si>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</si>
  <si>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</si>
  <si>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</si>
  <si>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</si>
  <si>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</si>
  <si>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</si>
  <si>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</si>
  <si>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</si>
  <si>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</si>
  <si>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</si>
  <si>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</si>
  <si>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</si>
  <si>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</si>
  <si>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</si>
  <si>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</si>
  <si>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</si>
  <si>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</si>
  <si>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</si>
  <si>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</si>
  <si>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</si>
  <si>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</si>
  <si>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</si>
  <si>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</si>
  <si>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</si>
  <si>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</si>
  <si>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</si>
  <si>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</si>
  <si>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</si>
  <si>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</si>
  <si>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</si>
  <si>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</si>
  <si>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</si>
  <si>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</si>
  <si>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</si>
  <si>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</si>
  <si>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</si>
  <si>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</si>
  <si>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</si>
  <si>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</si>
  <si>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</si>
  <si>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</si>
  <si>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</si>
  <si>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</si>
  <si>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</si>
  <si>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</si>
  <si>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</si>
  <si>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</si>
  <si>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</si>
  <si>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</si>
  <si>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</si>
  <si>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</si>
  <si>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</si>
  <si>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</si>
  <si>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</si>
  <si>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</si>
  <si>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</si>
  <si>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</si>
  <si>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</si>
  <si>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</si>
  <si>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</si>
  <si>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</si>
  <si>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</si>
  <si>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</si>
  <si>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</si>
  <si>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</si>
  <si>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</si>
  <si>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</si>
  <si>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</si>
  <si>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</si>
  <si>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</si>
  <si>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</si>
  <si>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</si>
  <si>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</si>
  <si>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</si>
  <si>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</si>
  <si>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</si>
  <si>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</si>
  <si>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</si>
  <si>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</si>
  <si>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</si>
  <si>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</si>
  <si>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</si>
  <si>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</si>
  <si>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</si>
  <si>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</si>
  <si>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</si>
  <si>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</si>
  <si>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</si>
  <si>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</si>
  <si>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</si>
  <si>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</si>
  <si>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</si>
  <si>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</si>
  <si>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</si>
  <si>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</si>
  <si>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</si>
  <si>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</si>
  <si>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</si>
  <si>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</si>
  <si>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</si>
  <si>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</si>
  <si>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</si>
  <si>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</si>
  <si>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</si>
  <si>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</si>
  <si>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</si>
  <si>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</si>
  <si>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</si>
  <si>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</si>
  <si>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</si>
  <si>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</si>
  <si>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</si>
  <si>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</si>
  <si>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</si>
  <si>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</si>
  <si>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</si>
  <si>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</si>
  <si>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</si>
  <si>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</si>
  <si>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</si>
  <si>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</si>
  <si>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</si>
  <si>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</si>
  <si>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</si>
  <si>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</si>
  <si>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</si>
  <si>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</si>
  <si>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</si>
  <si>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</si>
  <si>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</si>
  <si>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</si>
  <si>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</si>
  <si>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</si>
  <si>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</si>
  <si>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</si>
  <si>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</si>
  <si>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</si>
  <si>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</si>
  <si>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</si>
  <si>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</si>
  <si>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</si>
  <si>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20261016 13:34:08</t>
  </si>
  <si>
    <t>13:34:08</t>
  </si>
  <si>
    <t>-</t>
  </si>
  <si>
    <t>0: Broadleaf</t>
  </si>
  <si>
    <t>13:33:08</t>
  </si>
  <si>
    <t>2/2</t>
  </si>
  <si>
    <t>20261016 13:36:09</t>
  </si>
  <si>
    <t>13:36:09</t>
  </si>
  <si>
    <t>13:35:16</t>
  </si>
  <si>
    <t>20261016 13:38:10</t>
  </si>
  <si>
    <t>13:38:10</t>
  </si>
  <si>
    <t>13:37:10</t>
  </si>
  <si>
    <t>20261016 13:40:11</t>
  </si>
  <si>
    <t>13:40:11</t>
  </si>
  <si>
    <t>13:39:16</t>
  </si>
  <si>
    <t>20261016 13:42:12</t>
  </si>
  <si>
    <t>13:42:12</t>
  </si>
  <si>
    <t>13:41:13</t>
  </si>
  <si>
    <t>20261016 13:44:28</t>
  </si>
  <si>
    <t>13:44:28</t>
  </si>
  <si>
    <t>13:43:18</t>
  </si>
  <si>
    <t>20261016 13:46:29</t>
  </si>
  <si>
    <t>13:46:29</t>
  </si>
  <si>
    <t>13:45:22</t>
  </si>
  <si>
    <t>20261016 13:48:41</t>
  </si>
  <si>
    <t>13:48:41</t>
  </si>
  <si>
    <t>13:47:37</t>
  </si>
  <si>
    <t>20261016 13:50:58</t>
  </si>
  <si>
    <t>13:50:58</t>
  </si>
  <si>
    <t>13:49:58</t>
  </si>
  <si>
    <t>20261016 13:53:05</t>
  </si>
  <si>
    <t>13:53:05</t>
  </si>
  <si>
    <t>13:52:03</t>
  </si>
  <si>
    <t>20261016 13:55:26</t>
  </si>
  <si>
    <t>13:55:26</t>
  </si>
  <si>
    <t>13:54:15</t>
  </si>
  <si>
    <t>20261016 13:57:33</t>
  </si>
  <si>
    <t>13:57:33</t>
  </si>
  <si>
    <t>13:56:29</t>
  </si>
  <si>
    <t>20261016 13:59:36</t>
  </si>
  <si>
    <t>13:59:36</t>
  </si>
  <si>
    <t>13:58:37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</si>
</sst>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9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33</v>
      </c>
    </row>
    <row r="3" spans="1:216" x14ac:dyDescent="0.3">
      <c r="B3">
        <v>4</v>
      </c>
      <c r="C3">
        <v>21</v>
      </c>
    </row>
    <row r="4" spans="1:216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16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 x14ac:dyDescent="0.3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 x14ac:dyDescent="0.3">
      <c r="A17">
        <v>1</v>
      </c>
      <c r="B17">
        <v>1792125248</v>
      </c>
      <c r="C17">
        <v>0</v>
      </c>
      <c r="D17" t="s">
        <v>340</v>
      </c>
      <c r="E17" t="s">
        <v>341</v>
      </c>
      <c r="F17">
        <v>5</v>
      </c>
      <c r="G17">
        <v>1792125244.5</v>
      </c>
      <c r="H17">
        <f t="shared" ref="H17:H29" si="0">(I17)/1000</f>
        <v>4.9020120738901855E-3</v>
      </c>
      <c r="I17">
        <f t="shared" ref="I17:I29" si="1">1000*DI17*AG17*(DE17-DF17)/(100*CX17*(1000-AG17*DE17))</f>
        <v>4.9020120738901856</v>
      </c>
      <c r="J17">
        <f t="shared" ref="J17:J29" si="2">DI17*AG17*(DD17-DC17*(1000-AG17*DF17)/(1000-AG17*DE17))/(100*CX17)</f>
        <v>25.748379609757066</v>
      </c>
      <c r="K17">
        <f t="shared" ref="K17:K29" si="3">DC17 - IF(AG17&gt;1, J17*CX17*100/(AI17), 0)</f>
        <v>388.92166666666702</v>
      </c>
      <c r="L17">
        <f t="shared" ref="L17:L29" si="4">((R17-H17/2)*K17-J17)/(R17+H17/2)</f>
        <v>265.73749731264525</v>
      </c>
      <c r="M17">
        <f t="shared" ref="M17:M29" si="5">L17*(DJ17+DK17)/1000</f>
        <v>27.040700765003493</v>
      </c>
      <c r="N17">
        <f t="shared" ref="N17:N29" si="6">(DC17 - IF(AG17&gt;1, J17*CX17*100/(AI17), 0))*(DJ17+DK17)/1000</f>
        <v>39.575575580087076</v>
      </c>
      <c r="O17">
        <f t="shared" ref="O17:O29" si="7">2/((1/Q17-1/P17)+SIGN(Q17)*SQRT((1/Q17-1/P17)*(1/Q17-1/P17) + 4*CY17/((CY17+1)*(CY17+1))*(2*1/Q17*1/P17-1/P17*1/P17)))</f>
        <v>0.37609764821132396</v>
      </c>
      <c r="P17">
        <f t="shared" ref="P17:P29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3.0393726916807307</v>
      </c>
      <c r="Q17">
        <f t="shared" ref="Q17:Q29" si="9">H17*(1000-(1000*0.61365*EXP(17.502*U17/(240.97+U17))/(DJ17+DK17)+DE17)/2)/(1000*0.61365*EXP(17.502*U17/(240.97+U17))/(DJ17+DK17)-DE17)</f>
        <v>0.35202375904127703</v>
      </c>
      <c r="R17">
        <f t="shared" ref="R17:R29" si="10">1/((CY17+1)/(O17/1.6)+1/(P17/1.37)) + CY17/((CY17+1)/(O17/1.6) + CY17/(P17/1.37))</f>
        <v>0.222049256136164</v>
      </c>
      <c r="S17">
        <f t="shared" ref="S17:S29" si="11">(CT17*CW17)</f>
        <v>241.73268201558756</v>
      </c>
      <c r="T17">
        <f t="shared" ref="T17:T29" si="12">(DL17+(S17+2*0.95*0.0000000567*(((DL17+$B$7)+273)^4-(DL17+273)^4)-44100*H17)/(1.84*29.3*P17+8*0.95*0.0000000567*(DL17+273)^3))</f>
        <v>25.524734422533122</v>
      </c>
      <c r="U17">
        <f t="shared" ref="U17:U29" si="13">($C$7*DM17+$D$7*DN17+$E$7*T17)</f>
        <v>24.986650000000001</v>
      </c>
      <c r="V17">
        <f t="shared" ref="V17:V29" si="14">0.61365*EXP(17.502*U17/(240.97+U17))</f>
        <v>3.1771477172481895</v>
      </c>
      <c r="W17">
        <f t="shared" ref="W17:W29" si="15">(X17/Y17*100)</f>
        <v>55.185895441090558</v>
      </c>
      <c r="X17">
        <f t="shared" ref="X17:X29" si="16">DE17*(DJ17+DK17)/1000</f>
        <v>1.7947729499079739</v>
      </c>
      <c r="Y17">
        <f t="shared" ref="Y17:Y29" si="17">0.61365*EXP(17.502*DL17/(240.97+DL17))</f>
        <v>3.2522312731589995</v>
      </c>
      <c r="Z17">
        <f t="shared" ref="Z17:Z29" si="18">(V17-DE17*(DJ17+DK17)/1000)</f>
        <v>1.3823747673402156</v>
      </c>
      <c r="AA17">
        <f t="shared" ref="AA17:AA29" si="19">(-H17*44100)</f>
        <v>-216.17873245855719</v>
      </c>
      <c r="AB17">
        <f t="shared" ref="AB17:AB29" si="20">2*29.3*P17*0.92*(DL17-U17)</f>
        <v>64.284483512972685</v>
      </c>
      <c r="AC17">
        <f t="shared" ref="AC17:AC29" si="21">2*0.95*0.0000000567*(((DL17+$B$7)+273)^4-(U17+273)^4)</f>
        <v>4.482098532919971</v>
      </c>
      <c r="AD17">
        <f t="shared" ref="AD17:AD29" si="22">S17+AC17+AA17+AB17</f>
        <v>94.320531602923012</v>
      </c>
      <c r="AE17">
        <v>0</v>
      </c>
      <c r="AF17">
        <v>0</v>
      </c>
      <c r="AG17">
        <f t="shared" ref="AG17:AG29" si="23">IF(AE17*$H$13&gt;=AI17,1,(AI17/(AI17-AE17*$H$13)))</f>
        <v>1</v>
      </c>
      <c r="AH17">
        <f t="shared" ref="AH17:AH29" si="24">(AG17-1)*100</f>
        <v>0</v>
      </c>
      <c r="AI17">
        <f t="shared" ref="AI17:AI29" si="25">MAX(0,($B$13+$C$13*DQ17)/(1+$D$13*DQ17)*DJ17/(DL17+273)*$E$13)</f>
        <v>54078.03582248884</v>
      </c>
      <c r="AJ17" t="s">
        <v>342</v>
      </c>
      <c r="AK17" t="s">
        <v>342</v>
      </c>
      <c r="AL17">
        <v>0</v>
      </c>
      <c r="AM17">
        <v>0</v>
      </c>
      <c r="AN17" t="e">
        <f t="shared" ref="AN17:AN29" si="26">1-AL17/AM17</f>
        <v>#DIV/0!</v>
      </c>
      <c r="AO17">
        <v>0</v>
      </c>
      <c r="AP17" t="s">
        <v>342</v>
      </c>
      <c r="AQ17" t="s">
        <v>342</v>
      </c>
      <c r="AR17">
        <v>0</v>
      </c>
      <c r="AS17">
        <v>0</v>
      </c>
      <c r="AT17" t="e">
        <f t="shared" ref="AT17:AT29" si="27">1-AR17/AS17</f>
        <v>#DIV/0!</v>
      </c>
      <c r="AU17">
        <v>0.5</v>
      </c>
      <c r="AV17">
        <f t="shared" ref="AV17:AV29" si="28">CU17</f>
        <v>1261.1834000080789</v>
      </c>
      <c r="AW17">
        <f t="shared" ref="AW17:AW29" si="29">J17</f>
        <v>25.748379609757066</v>
      </c>
      <c r="AX17" t="e">
        <f t="shared" ref="AX17:AX29" si="30">AT17*AU17*AV17</f>
        <v>#DIV/0!</v>
      </c>
      <c r="AY17">
        <f t="shared" ref="AY17:AY29" si="31">(AW17-AO17)/AV17</f>
        <v>2.041604703137714E-2</v>
      </c>
      <c r="AZ17" t="e">
        <f t="shared" ref="AZ17:AZ29" si="32">(AM17-AS17)/AS17</f>
        <v>#DIV/0!</v>
      </c>
      <c r="BA17" t="e">
        <f t="shared" ref="BA17:BA29" si="33">AL17/(AN17+AL17/AS17)</f>
        <v>#DIV/0!</v>
      </c>
      <c r="BB17" t="s">
        <v>342</v>
      </c>
      <c r="BC17">
        <v>0</v>
      </c>
      <c r="BD17" t="e">
        <f t="shared" ref="BD17:BD29" si="34">IF(BC17&lt;&gt;0, BC17, BA17)</f>
        <v>#DIV/0!</v>
      </c>
      <c r="BE17" t="e">
        <f t="shared" ref="BE17:BE29" si="35">1-BD17/AS17</f>
        <v>#DIV/0!</v>
      </c>
      <c r="BF17" t="e">
        <f t="shared" ref="BF17:BF29" si="36">(AS17-AR17)/(AS17-BD17)</f>
        <v>#DIV/0!</v>
      </c>
      <c r="BG17" t="e">
        <f t="shared" ref="BG17:BG29" si="37">(AM17-AS17)/(AM17-BD17)</f>
        <v>#DIV/0!</v>
      </c>
      <c r="BH17" t="e">
        <f t="shared" ref="BH17:BH29" si="38">(AS17-AR17)/(AS17-AL17)</f>
        <v>#DIV/0!</v>
      </c>
      <c r="BI17" t="e">
        <f t="shared" ref="BI17:BI29" si="39">(AM17-AS17)/(AM17-AL17)</f>
        <v>#DIV/0!</v>
      </c>
      <c r="BJ17" t="e">
        <f t="shared" ref="BJ17:BJ29" si="40">(BF17*BD17/AR17)</f>
        <v>#DIV/0!</v>
      </c>
      <c r="BK17" t="e">
        <f t="shared" ref="BK17:BK29" si="41">(1-BJ17)</f>
        <v>#DIV/0!</v>
      </c>
      <c r="BL17">
        <v>165</v>
      </c>
      <c r="BM17">
        <v>290</v>
      </c>
      <c r="BN17">
        <v>752.12</v>
      </c>
      <c r="BO17">
        <v>225</v>
      </c>
      <c r="BP17">
        <v>8118.81</v>
      </c>
      <c r="BQ17">
        <v>749.5</v>
      </c>
      <c r="BR17">
        <v>2.62</v>
      </c>
      <c r="BS17">
        <v>300</v>
      </c>
      <c r="BT17">
        <v>19.100000000000001</v>
      </c>
      <c r="BU17">
        <v>776.847297841461</v>
      </c>
      <c r="BV17">
        <v>2.6062375782498401</v>
      </c>
      <c r="BW17">
        <v>-22.204896785992101</v>
      </c>
      <c r="BX17">
        <v>1.8925671903791601</v>
      </c>
      <c r="BY17">
        <v>0.83097495438304203</v>
      </c>
      <c r="BZ17">
        <v>-5.3702516129032303E-3</v>
      </c>
      <c r="CA17">
        <v>290</v>
      </c>
      <c r="CB17">
        <v>742.31</v>
      </c>
      <c r="CC17">
        <v>625</v>
      </c>
      <c r="CD17">
        <v>8112.81</v>
      </c>
      <c r="CE17">
        <v>749.48</v>
      </c>
      <c r="CF17">
        <v>-7.17</v>
      </c>
      <c r="CT17">
        <f t="shared" ref="CT17:CT29" si="42">$B$11*DR17+$C$11*DS17+$F$11*DT17*(1-DW17)</f>
        <v>1499.9666666666701</v>
      </c>
      <c r="CU17">
        <f t="shared" ref="CU17:CU29" si="43">CT17*CV17</f>
        <v>1261.1834000080789</v>
      </c>
      <c r="CV17">
        <f t="shared" ref="CV17:CV29" si="44">($B$11*$D$9+$C$11*$D$9+$F$11*((EG17+DY17)/MAX(EG17+DY17+EH17, 0.1)*$I$9+EH17/MAX(EG17+DY17+EH17, 0.1)*$J$9))/($B$11+$C$11+$F$11)</f>
        <v>0.84080761795244963</v>
      </c>
      <c r="CW17">
        <f t="shared" ref="CW17:CW29" si="45">($B$11*$K$9+$C$11*$K$9+$F$11*((EG17+DY17)/MAX(EG17+DY17+EH17, 0.1)*$P$9+EH17/MAX(EG17+DY17+EH17, 0.1)*$Q$9))/($B$11+$C$11+$F$11)</f>
        <v>0.16115870264822796</v>
      </c>
      <c r="CX17">
        <v>2</v>
      </c>
      <c r="CY17">
        <v>0.5</v>
      </c>
      <c r="CZ17" t="s">
        <v>343</v>
      </c>
      <c r="DA17">
        <v>2</v>
      </c>
      <c r="DB17">
        <v>1792125244.5</v>
      </c>
      <c r="DC17">
        <v>388.92166666666702</v>
      </c>
      <c r="DD17">
        <v>399.98349999999999</v>
      </c>
      <c r="DE17">
        <v>17.637799999999999</v>
      </c>
      <c r="DF17">
        <v>15.711600000000001</v>
      </c>
      <c r="DG17">
        <v>389.49566666666698</v>
      </c>
      <c r="DH17">
        <v>17.79495</v>
      </c>
      <c r="DI17">
        <v>500.005333333333</v>
      </c>
      <c r="DJ17">
        <v>101.657333333333</v>
      </c>
      <c r="DK17">
        <v>9.9855766666666707E-2</v>
      </c>
      <c r="DL17">
        <v>25.378966666666699</v>
      </c>
      <c r="DM17">
        <v>24.986650000000001</v>
      </c>
      <c r="DN17">
        <v>999.9</v>
      </c>
      <c r="DO17">
        <v>0</v>
      </c>
      <c r="DP17">
        <v>0</v>
      </c>
      <c r="DQ17">
        <v>10006.266666666699</v>
      </c>
      <c r="DR17">
        <v>0</v>
      </c>
      <c r="DS17">
        <v>8.2442499999999992</v>
      </c>
      <c r="DT17">
        <v>1499.9666666666701</v>
      </c>
      <c r="DU17">
        <v>0.97299000000000002</v>
      </c>
      <c r="DV17">
        <v>2.7010200000000002E-2</v>
      </c>
      <c r="DW17">
        <v>0</v>
      </c>
      <c r="DX17">
        <v>288.76150000000001</v>
      </c>
      <c r="DY17">
        <v>4.9999900000000004</v>
      </c>
      <c r="DZ17">
        <v>4272.3483333333297</v>
      </c>
      <c r="EA17">
        <v>14882.1833333333</v>
      </c>
      <c r="EB17">
        <v>36.875</v>
      </c>
      <c r="EC17">
        <v>38.343499999999999</v>
      </c>
      <c r="ED17">
        <v>37.4895</v>
      </c>
      <c r="EE17">
        <v>37.728999999999999</v>
      </c>
      <c r="EF17">
        <v>38.561999999999998</v>
      </c>
      <c r="EG17">
        <v>1454.58666666667</v>
      </c>
      <c r="EH17">
        <v>40.380000000000003</v>
      </c>
      <c r="EI17">
        <v>0</v>
      </c>
      <c r="EJ17">
        <v>2640</v>
      </c>
      <c r="EK17">
        <v>0</v>
      </c>
      <c r="EL17">
        <v>288.97296153846202</v>
      </c>
      <c r="EM17">
        <v>-0.61822223378479302</v>
      </c>
      <c r="EN17">
        <v>-1.04923075663682</v>
      </c>
      <c r="EO17">
        <v>4272.3973076923103</v>
      </c>
      <c r="EP17">
        <v>15</v>
      </c>
      <c r="EQ17">
        <v>1792125188</v>
      </c>
      <c r="ER17" t="s">
        <v>344</v>
      </c>
      <c r="ES17">
        <v>1792125186</v>
      </c>
      <c r="ET17">
        <v>1792125188</v>
      </c>
      <c r="EU17">
        <v>38</v>
      </c>
      <c r="EV17">
        <v>0.03</v>
      </c>
      <c r="EW17">
        <v>1E-3</v>
      </c>
      <c r="EX17">
        <v>-0.56899999999999995</v>
      </c>
      <c r="EY17">
        <v>-0.182</v>
      </c>
      <c r="EZ17">
        <v>400</v>
      </c>
      <c r="FA17">
        <v>16</v>
      </c>
      <c r="FB17">
        <v>0.28999999999999998</v>
      </c>
      <c r="FC17">
        <v>0.02</v>
      </c>
      <c r="FD17">
        <v>25.759377183750999</v>
      </c>
      <c r="FE17">
        <v>-0.13038912589288601</v>
      </c>
      <c r="FF17">
        <v>6.5575986279013704E-2</v>
      </c>
      <c r="FG17">
        <v>1</v>
      </c>
      <c r="FH17">
        <v>-11.069800000000001</v>
      </c>
      <c r="FI17">
        <v>0.126288721804516</v>
      </c>
      <c r="FJ17">
        <v>2.7649665459097202E-2</v>
      </c>
      <c r="FK17">
        <v>1</v>
      </c>
      <c r="FL17">
        <v>289.01332352941199</v>
      </c>
      <c r="FM17">
        <v>-0.75368984254301696</v>
      </c>
      <c r="FN17">
        <v>0.470131065616958</v>
      </c>
      <c r="FO17">
        <v>-1</v>
      </c>
      <c r="FP17">
        <v>2</v>
      </c>
      <c r="FQ17">
        <v>2</v>
      </c>
      <c r="FR17" t="s">
        <v>345</v>
      </c>
      <c r="FS17">
        <v>100</v>
      </c>
      <c r="FT17">
        <v>100</v>
      </c>
      <c r="FU17">
        <v>-0.57399999999999995</v>
      </c>
      <c r="FV17">
        <v>-0.15720000000000001</v>
      </c>
      <c r="FW17">
        <v>-0.64388398986849005</v>
      </c>
      <c r="FX17">
        <v>-6.1673298426602905E-5</v>
      </c>
      <c r="FY17">
        <v>6.1939807181674203E-7</v>
      </c>
      <c r="FZ17">
        <v>3.19222985850634E-12</v>
      </c>
      <c r="GA17">
        <v>-8.0049120080484801E-2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1</v>
      </c>
      <c r="GJ17">
        <v>1</v>
      </c>
      <c r="GK17">
        <v>1.0388200000000001</v>
      </c>
      <c r="GL17">
        <v>2.6440399999999999</v>
      </c>
      <c r="GM17">
        <v>1.65161</v>
      </c>
      <c r="GN17">
        <v>2.2717299999999998</v>
      </c>
      <c r="GO17">
        <v>1.5979000000000001</v>
      </c>
      <c r="GP17">
        <v>2.5854499999999998</v>
      </c>
      <c r="GQ17">
        <v>37.0032</v>
      </c>
      <c r="GR17">
        <v>23.851099999999999</v>
      </c>
      <c r="GS17">
        <v>18</v>
      </c>
      <c r="GT17">
        <v>488.71600000000001</v>
      </c>
      <c r="GU17">
        <v>536.60599999999999</v>
      </c>
      <c r="GV17">
        <v>22.2409</v>
      </c>
      <c r="GW17">
        <v>28.458200000000001</v>
      </c>
      <c r="GX17">
        <v>29.9999</v>
      </c>
      <c r="GY17">
        <v>28.655200000000001</v>
      </c>
      <c r="GZ17">
        <v>28.7239</v>
      </c>
      <c r="HA17">
        <v>20.784199999999998</v>
      </c>
      <c r="HB17">
        <v>21.662600000000001</v>
      </c>
      <c r="HC17">
        <v>30.3644</v>
      </c>
      <c r="HD17">
        <v>22.2498</v>
      </c>
      <c r="HE17">
        <v>400</v>
      </c>
      <c r="HF17">
        <v>15.702500000000001</v>
      </c>
      <c r="HG17">
        <v>98.265199999999993</v>
      </c>
      <c r="HH17">
        <v>94.775000000000006</v>
      </c>
    </row>
    <row r="18" spans="1:216" x14ac:dyDescent="0.3">
      <c r="A18">
        <v>2</v>
      </c>
      <c r="B18">
        <v>1792125369</v>
      </c>
      <c r="C18">
        <v>121</v>
      </c>
      <c r="D18" t="s">
        <v>346</v>
      </c>
      <c r="E18" t="s">
        <v>347</v>
      </c>
      <c r="F18">
        <v>5</v>
      </c>
      <c r="G18">
        <v>1792125366</v>
      </c>
      <c r="H18">
        <f t="shared" si="0"/>
        <v>4.8559865811052226E-3</v>
      </c>
      <c r="I18">
        <f t="shared" si="1"/>
        <v>4.8559865811052223</v>
      </c>
      <c r="J18">
        <f t="shared" si="2"/>
        <v>19.242176648900994</v>
      </c>
      <c r="K18">
        <f t="shared" si="3"/>
        <v>291.71559999999999</v>
      </c>
      <c r="L18">
        <f t="shared" si="4"/>
        <v>198.36743972161042</v>
      </c>
      <c r="M18">
        <f t="shared" si="5"/>
        <v>20.184893484258914</v>
      </c>
      <c r="N18">
        <f t="shared" si="6"/>
        <v>29.683542429948528</v>
      </c>
      <c r="O18">
        <f t="shared" si="7"/>
        <v>0.37044340655296032</v>
      </c>
      <c r="P18">
        <f t="shared" si="8"/>
        <v>3.0363525737340114</v>
      </c>
      <c r="Q18">
        <f t="shared" si="9"/>
        <v>0.34704211587619754</v>
      </c>
      <c r="R18">
        <f t="shared" si="10"/>
        <v>0.21888053198075494</v>
      </c>
      <c r="S18">
        <f t="shared" si="11"/>
        <v>241.73243461557539</v>
      </c>
      <c r="T18">
        <f t="shared" si="12"/>
        <v>25.471397536394523</v>
      </c>
      <c r="U18">
        <f t="shared" si="13"/>
        <v>24.990320000000001</v>
      </c>
      <c r="V18">
        <f t="shared" si="14"/>
        <v>3.1778430199951235</v>
      </c>
      <c r="W18">
        <f t="shared" si="15"/>
        <v>55.214935816674185</v>
      </c>
      <c r="X18">
        <f t="shared" si="16"/>
        <v>1.7887829702586839</v>
      </c>
      <c r="Y18">
        <f t="shared" si="17"/>
        <v>3.2396722803370444</v>
      </c>
      <c r="Z18">
        <f t="shared" si="18"/>
        <v>1.3890600497364396</v>
      </c>
      <c r="AA18">
        <f t="shared" si="19"/>
        <v>-214.14900822674031</v>
      </c>
      <c r="AB18">
        <f t="shared" si="20"/>
        <v>52.968699892686757</v>
      </c>
      <c r="AC18">
        <f t="shared" si="21"/>
        <v>3.6956608665795372</v>
      </c>
      <c r="AD18">
        <f t="shared" si="22"/>
        <v>84.247787148101381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53995.171603919574</v>
      </c>
      <c r="AJ18" t="s">
        <v>342</v>
      </c>
      <c r="AK18" t="s">
        <v>342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342</v>
      </c>
      <c r="AQ18" t="s">
        <v>342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1261.1903400080703</v>
      </c>
      <c r="AW18">
        <f t="shared" si="29"/>
        <v>19.242176648900994</v>
      </c>
      <c r="AX18" t="e">
        <f t="shared" si="30"/>
        <v>#DIV/0!</v>
      </c>
      <c r="AY18">
        <f t="shared" si="31"/>
        <v>1.525715511647343E-2</v>
      </c>
      <c r="AZ18" t="e">
        <f t="shared" si="32"/>
        <v>#DIV/0!</v>
      </c>
      <c r="BA18" t="e">
        <f t="shared" si="33"/>
        <v>#DIV/0!</v>
      </c>
      <c r="BB18" t="s">
        <v>342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165</v>
      </c>
      <c r="BM18">
        <v>290</v>
      </c>
      <c r="BN18">
        <v>752.12</v>
      </c>
      <c r="BO18">
        <v>225</v>
      </c>
      <c r="BP18">
        <v>8118.81</v>
      </c>
      <c r="BQ18">
        <v>749.5</v>
      </c>
      <c r="BR18">
        <v>2.62</v>
      </c>
      <c r="BS18">
        <v>300</v>
      </c>
      <c r="BT18">
        <v>19.100000000000001</v>
      </c>
      <c r="BU18">
        <v>776.847297841461</v>
      </c>
      <c r="BV18">
        <v>2.6062375782498401</v>
      </c>
      <c r="BW18">
        <v>-22.204896785992101</v>
      </c>
      <c r="BX18">
        <v>1.8925671903791601</v>
      </c>
      <c r="BY18">
        <v>0.83097495438304203</v>
      </c>
      <c r="BZ18">
        <v>-5.3702516129032303E-3</v>
      </c>
      <c r="CA18">
        <v>290</v>
      </c>
      <c r="CB18">
        <v>742.31</v>
      </c>
      <c r="CC18">
        <v>625</v>
      </c>
      <c r="CD18">
        <v>8112.81</v>
      </c>
      <c r="CE18">
        <v>749.48</v>
      </c>
      <c r="CF18">
        <v>-7.17</v>
      </c>
      <c r="CT18">
        <f t="shared" si="42"/>
        <v>1499.9760000000001</v>
      </c>
      <c r="CU18">
        <f t="shared" si="43"/>
        <v>1261.1903400080703</v>
      </c>
      <c r="CV18">
        <f t="shared" si="44"/>
        <v>0.84080701291758686</v>
      </c>
      <c r="CW18">
        <f t="shared" si="45"/>
        <v>0.16115753493094248</v>
      </c>
      <c r="CX18">
        <v>2</v>
      </c>
      <c r="CY18">
        <v>0.5</v>
      </c>
      <c r="CZ18" t="s">
        <v>343</v>
      </c>
      <c r="DA18">
        <v>2</v>
      </c>
      <c r="DB18">
        <v>1792125366</v>
      </c>
      <c r="DC18">
        <v>291.71559999999999</v>
      </c>
      <c r="DD18">
        <v>299.97879999999998</v>
      </c>
      <c r="DE18">
        <v>17.5793</v>
      </c>
      <c r="DF18">
        <v>15.67112</v>
      </c>
      <c r="DG18">
        <v>292.3372</v>
      </c>
      <c r="DH18">
        <v>17.736239999999999</v>
      </c>
      <c r="DI18">
        <v>500.01799999999997</v>
      </c>
      <c r="DJ18">
        <v>101.655</v>
      </c>
      <c r="DK18">
        <v>0.10007388</v>
      </c>
      <c r="DL18">
        <v>25.3139</v>
      </c>
      <c r="DM18">
        <v>24.990320000000001</v>
      </c>
      <c r="DN18">
        <v>999.9</v>
      </c>
      <c r="DO18">
        <v>0</v>
      </c>
      <c r="DP18">
        <v>0</v>
      </c>
      <c r="DQ18">
        <v>9988.25</v>
      </c>
      <c r="DR18">
        <v>0</v>
      </c>
      <c r="DS18">
        <v>8.2442499999999992</v>
      </c>
      <c r="DT18">
        <v>1499.9760000000001</v>
      </c>
      <c r="DU18">
        <v>0.97300699999999996</v>
      </c>
      <c r="DV18">
        <v>2.6993240000000002E-2</v>
      </c>
      <c r="DW18">
        <v>0</v>
      </c>
      <c r="DX18">
        <v>285.8954</v>
      </c>
      <c r="DY18">
        <v>4.9999900000000004</v>
      </c>
      <c r="DZ18">
        <v>4215.6620000000003</v>
      </c>
      <c r="EA18">
        <v>14882.36</v>
      </c>
      <c r="EB18">
        <v>36.399799999999999</v>
      </c>
      <c r="EC18">
        <v>37.936999999999998</v>
      </c>
      <c r="ED18">
        <v>37</v>
      </c>
      <c r="EE18">
        <v>37.324599999999997</v>
      </c>
      <c r="EF18">
        <v>38.112400000000001</v>
      </c>
      <c r="EG18">
        <v>1454.626</v>
      </c>
      <c r="EH18">
        <v>40.35</v>
      </c>
      <c r="EI18">
        <v>0</v>
      </c>
      <c r="EJ18">
        <v>2761.2000000476801</v>
      </c>
      <c r="EK18">
        <v>0</v>
      </c>
      <c r="EL18">
        <v>285.77265384615401</v>
      </c>
      <c r="EM18">
        <v>-0.86923076744177497</v>
      </c>
      <c r="EN18">
        <v>-14.4129914934955</v>
      </c>
      <c r="EO18">
        <v>4216.8107692307703</v>
      </c>
      <c r="EP18">
        <v>15</v>
      </c>
      <c r="EQ18">
        <v>1792125316</v>
      </c>
      <c r="ER18" t="s">
        <v>348</v>
      </c>
      <c r="ES18">
        <v>1792125310</v>
      </c>
      <c r="ET18">
        <v>1792125316</v>
      </c>
      <c r="EU18">
        <v>39</v>
      </c>
      <c r="EV18">
        <v>-1.2E-2</v>
      </c>
      <c r="EW18">
        <v>1E-3</v>
      </c>
      <c r="EX18">
        <v>-0.61899999999999999</v>
      </c>
      <c r="EY18">
        <v>-0.18099999999999999</v>
      </c>
      <c r="EZ18">
        <v>300</v>
      </c>
      <c r="FA18">
        <v>16</v>
      </c>
      <c r="FB18">
        <v>0.28000000000000003</v>
      </c>
      <c r="FC18">
        <v>0.06</v>
      </c>
      <c r="FD18">
        <v>19.264704979236001</v>
      </c>
      <c r="FE18">
        <v>2.64703083995107E-2</v>
      </c>
      <c r="FF18">
        <v>6.6868096519492798E-2</v>
      </c>
      <c r="FG18">
        <v>1</v>
      </c>
      <c r="FH18">
        <v>-8.2760034999999998</v>
      </c>
      <c r="FI18">
        <v>5.5114736842092601E-2</v>
      </c>
      <c r="FJ18">
        <v>2.6620151065499399E-2</v>
      </c>
      <c r="FK18">
        <v>1</v>
      </c>
      <c r="FL18">
        <v>285.86105882352899</v>
      </c>
      <c r="FM18">
        <v>-0.87951107539025397</v>
      </c>
      <c r="FN18">
        <v>0.38869426524443301</v>
      </c>
      <c r="FO18">
        <v>-1</v>
      </c>
      <c r="FP18">
        <v>2</v>
      </c>
      <c r="FQ18">
        <v>2</v>
      </c>
      <c r="FR18" t="s">
        <v>345</v>
      </c>
      <c r="FS18">
        <v>100</v>
      </c>
      <c r="FT18">
        <v>100</v>
      </c>
      <c r="FU18">
        <v>-0.621</v>
      </c>
      <c r="FV18">
        <v>-0.157</v>
      </c>
      <c r="FW18">
        <v>-0.65640839233473702</v>
      </c>
      <c r="FX18">
        <v>-6.1673298426602905E-5</v>
      </c>
      <c r="FY18">
        <v>6.1939807181674203E-7</v>
      </c>
      <c r="FZ18">
        <v>3.19222985850634E-12</v>
      </c>
      <c r="GA18">
        <v>-7.89631709418782E-2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1</v>
      </c>
      <c r="GJ18">
        <v>0.9</v>
      </c>
      <c r="GK18">
        <v>0.82885699999999995</v>
      </c>
      <c r="GL18">
        <v>2.64893</v>
      </c>
      <c r="GM18">
        <v>1.65161</v>
      </c>
      <c r="GN18">
        <v>2.2705099999999998</v>
      </c>
      <c r="GO18">
        <v>1.5979000000000001</v>
      </c>
      <c r="GP18">
        <v>2.6013199999999999</v>
      </c>
      <c r="GQ18">
        <v>36.931699999999999</v>
      </c>
      <c r="GR18">
        <v>23.8598</v>
      </c>
      <c r="GS18">
        <v>18</v>
      </c>
      <c r="GT18">
        <v>488.65800000000002</v>
      </c>
      <c r="GU18">
        <v>536.40200000000004</v>
      </c>
      <c r="GV18">
        <v>22.241900000000001</v>
      </c>
      <c r="GW18">
        <v>28.397600000000001</v>
      </c>
      <c r="GX18">
        <v>29.9998</v>
      </c>
      <c r="GY18">
        <v>28.596900000000002</v>
      </c>
      <c r="GZ18">
        <v>28.665400000000002</v>
      </c>
      <c r="HA18">
        <v>16.5791</v>
      </c>
      <c r="HB18">
        <v>21.587199999999999</v>
      </c>
      <c r="HC18">
        <v>30.386399999999998</v>
      </c>
      <c r="HD18">
        <v>22.249199999999998</v>
      </c>
      <c r="HE18">
        <v>300</v>
      </c>
      <c r="HF18">
        <v>15.649100000000001</v>
      </c>
      <c r="HG18">
        <v>98.276899999999998</v>
      </c>
      <c r="HH18">
        <v>94.786799999999999</v>
      </c>
    </row>
    <row r="19" spans="1:216" x14ac:dyDescent="0.3">
      <c r="A19">
        <v>3</v>
      </c>
      <c r="B19">
        <v>1792125490</v>
      </c>
      <c r="C19">
        <v>242</v>
      </c>
      <c r="D19" t="s">
        <v>349</v>
      </c>
      <c r="E19" t="s">
        <v>350</v>
      </c>
      <c r="F19">
        <v>5</v>
      </c>
      <c r="G19">
        <v>1792125486.5</v>
      </c>
      <c r="H19">
        <f t="shared" si="0"/>
        <v>4.9345473751086812E-3</v>
      </c>
      <c r="I19">
        <f t="shared" si="1"/>
        <v>4.9345473751086812</v>
      </c>
      <c r="J19">
        <f t="shared" si="2"/>
        <v>11.819144648744167</v>
      </c>
      <c r="K19">
        <f t="shared" si="3"/>
        <v>194.88266666666701</v>
      </c>
      <c r="L19">
        <f t="shared" si="4"/>
        <v>137.94148080754366</v>
      </c>
      <c r="M19">
        <f t="shared" si="5"/>
        <v>14.036921231511208</v>
      </c>
      <c r="N19">
        <f t="shared" si="6"/>
        <v>19.831254713029434</v>
      </c>
      <c r="O19">
        <f t="shared" si="7"/>
        <v>0.3760131379837906</v>
      </c>
      <c r="P19">
        <f t="shared" si="8"/>
        <v>3.0361012619284251</v>
      </c>
      <c r="Q19">
        <f t="shared" si="9"/>
        <v>0.35192554833085071</v>
      </c>
      <c r="R19">
        <f t="shared" si="10"/>
        <v>0.22198892979965404</v>
      </c>
      <c r="S19">
        <f t="shared" si="11"/>
        <v>241.74673301558167</v>
      </c>
      <c r="T19">
        <f t="shared" si="12"/>
        <v>25.451757843486106</v>
      </c>
      <c r="U19">
        <f t="shared" si="13"/>
        <v>24.976483333333299</v>
      </c>
      <c r="V19">
        <f t="shared" si="14"/>
        <v>3.1752222775901311</v>
      </c>
      <c r="W19">
        <f t="shared" si="15"/>
        <v>55.040902565851638</v>
      </c>
      <c r="X19">
        <f t="shared" si="16"/>
        <v>1.783150166229349</v>
      </c>
      <c r="Y19">
        <f t="shared" si="17"/>
        <v>3.2396819149103986</v>
      </c>
      <c r="Z19">
        <f t="shared" si="18"/>
        <v>1.3920721113607821</v>
      </c>
      <c r="AA19">
        <f t="shared" si="19"/>
        <v>-217.61353924229283</v>
      </c>
      <c r="AB19">
        <f t="shared" si="20"/>
        <v>55.237317214797244</v>
      </c>
      <c r="AC19">
        <f t="shared" si="21"/>
        <v>3.8539955624510758</v>
      </c>
      <c r="AD19">
        <f t="shared" si="22"/>
        <v>83.224506550537157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53987.399368257073</v>
      </c>
      <c r="AJ19" t="s">
        <v>342</v>
      </c>
      <c r="AK19" t="s">
        <v>342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342</v>
      </c>
      <c r="AQ19" t="s">
        <v>342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1261.260100008071</v>
      </c>
      <c r="AW19">
        <f t="shared" si="29"/>
        <v>11.819144648744167</v>
      </c>
      <c r="AX19" t="e">
        <f t="shared" si="30"/>
        <v>#DIV/0!</v>
      </c>
      <c r="AY19">
        <f t="shared" si="31"/>
        <v>9.3709018850818594E-3</v>
      </c>
      <c r="AZ19" t="e">
        <f t="shared" si="32"/>
        <v>#DIV/0!</v>
      </c>
      <c r="BA19" t="e">
        <f t="shared" si="33"/>
        <v>#DIV/0!</v>
      </c>
      <c r="BB19" t="s">
        <v>342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165</v>
      </c>
      <c r="BM19">
        <v>290</v>
      </c>
      <c r="BN19">
        <v>752.12</v>
      </c>
      <c r="BO19">
        <v>225</v>
      </c>
      <c r="BP19">
        <v>8118.81</v>
      </c>
      <c r="BQ19">
        <v>749.5</v>
      </c>
      <c r="BR19">
        <v>2.62</v>
      </c>
      <c r="BS19">
        <v>300</v>
      </c>
      <c r="BT19">
        <v>19.100000000000001</v>
      </c>
      <c r="BU19">
        <v>776.847297841461</v>
      </c>
      <c r="BV19">
        <v>2.6062375782498401</v>
      </c>
      <c r="BW19">
        <v>-22.204896785992101</v>
      </c>
      <c r="BX19">
        <v>1.8925671903791601</v>
      </c>
      <c r="BY19">
        <v>0.83097495438304203</v>
      </c>
      <c r="BZ19">
        <v>-5.3702516129032303E-3</v>
      </c>
      <c r="CA19">
        <v>290</v>
      </c>
      <c r="CB19">
        <v>742.31</v>
      </c>
      <c r="CC19">
        <v>625</v>
      </c>
      <c r="CD19">
        <v>8112.81</v>
      </c>
      <c r="CE19">
        <v>749.48</v>
      </c>
      <c r="CF19">
        <v>-7.17</v>
      </c>
      <c r="CT19">
        <f t="shared" si="42"/>
        <v>1500.05833333333</v>
      </c>
      <c r="CU19">
        <f t="shared" si="43"/>
        <v>1261.260100008071</v>
      </c>
      <c r="CV19">
        <f t="shared" si="44"/>
        <v>0.84080736860771443</v>
      </c>
      <c r="CW19">
        <f t="shared" si="45"/>
        <v>0.16115822141288874</v>
      </c>
      <c r="CX19">
        <v>2</v>
      </c>
      <c r="CY19">
        <v>0.5</v>
      </c>
      <c r="CZ19" t="s">
        <v>343</v>
      </c>
      <c r="DA19">
        <v>2</v>
      </c>
      <c r="DB19">
        <v>1792125486.5</v>
      </c>
      <c r="DC19">
        <v>194.88266666666701</v>
      </c>
      <c r="DD19">
        <v>199.994333333333</v>
      </c>
      <c r="DE19">
        <v>17.523099999999999</v>
      </c>
      <c r="DF19">
        <v>15.5841166666667</v>
      </c>
      <c r="DG19">
        <v>195.49199999999999</v>
      </c>
      <c r="DH19">
        <v>17.6856166666667</v>
      </c>
      <c r="DI19">
        <v>500.06400000000002</v>
      </c>
      <c r="DJ19">
        <v>101.659833333333</v>
      </c>
      <c r="DK19">
        <v>0.100138716666667</v>
      </c>
      <c r="DL19">
        <v>25.313949999999998</v>
      </c>
      <c r="DM19">
        <v>24.976483333333299</v>
      </c>
      <c r="DN19">
        <v>999.9</v>
      </c>
      <c r="DO19">
        <v>0</v>
      </c>
      <c r="DP19">
        <v>0</v>
      </c>
      <c r="DQ19">
        <v>9986.2583333333296</v>
      </c>
      <c r="DR19">
        <v>0</v>
      </c>
      <c r="DS19">
        <v>8.2442499999999992</v>
      </c>
      <c r="DT19">
        <v>1500.05833333333</v>
      </c>
      <c r="DU19">
        <v>0.97299899999999995</v>
      </c>
      <c r="DV19">
        <v>2.70011E-2</v>
      </c>
      <c r="DW19">
        <v>0</v>
      </c>
      <c r="DX19">
        <v>282.17099999999999</v>
      </c>
      <c r="DY19">
        <v>4.9999900000000004</v>
      </c>
      <c r="DZ19">
        <v>4184.2666666666701</v>
      </c>
      <c r="EA19">
        <v>14883.166666666701</v>
      </c>
      <c r="EB19">
        <v>37.666499999999999</v>
      </c>
      <c r="EC19">
        <v>39.760166666666699</v>
      </c>
      <c r="ED19">
        <v>38.249833333333299</v>
      </c>
      <c r="EE19">
        <v>39.801833333333299</v>
      </c>
      <c r="EF19">
        <v>39.687166666666698</v>
      </c>
      <c r="EG19">
        <v>1454.6883333333301</v>
      </c>
      <c r="EH19">
        <v>40.369999999999997</v>
      </c>
      <c r="EI19">
        <v>0</v>
      </c>
      <c r="EJ19">
        <v>2881.7999999523199</v>
      </c>
      <c r="EK19">
        <v>0</v>
      </c>
      <c r="EL19">
        <v>282.30936000000003</v>
      </c>
      <c r="EM19">
        <v>-1.36553847490687</v>
      </c>
      <c r="EN19">
        <v>-2.5099999843857299</v>
      </c>
      <c r="EO19">
        <v>4184.1180000000004</v>
      </c>
      <c r="EP19">
        <v>15</v>
      </c>
      <c r="EQ19">
        <v>1792125430</v>
      </c>
      <c r="ER19" t="s">
        <v>351</v>
      </c>
      <c r="ES19">
        <v>1792125428</v>
      </c>
      <c r="ET19">
        <v>1792125430</v>
      </c>
      <c r="EU19">
        <v>40</v>
      </c>
      <c r="EV19">
        <v>3.5000000000000003E-2</v>
      </c>
      <c r="EW19">
        <v>-5.0000000000000001E-3</v>
      </c>
      <c r="EX19">
        <v>-0.60899999999999999</v>
      </c>
      <c r="EY19">
        <v>-0.186</v>
      </c>
      <c r="EZ19">
        <v>200</v>
      </c>
      <c r="FA19">
        <v>16</v>
      </c>
      <c r="FB19">
        <v>0.3</v>
      </c>
      <c r="FC19">
        <v>0.04</v>
      </c>
      <c r="FD19">
        <v>11.847396214588301</v>
      </c>
      <c r="FE19">
        <v>-4.2516108024224702E-2</v>
      </c>
      <c r="FF19">
        <v>5.6233322369469901E-2</v>
      </c>
      <c r="FG19">
        <v>1</v>
      </c>
      <c r="FH19">
        <v>-5.1230320000000003</v>
      </c>
      <c r="FI19">
        <v>5.0849323308267899E-2</v>
      </c>
      <c r="FJ19">
        <v>2.3191517112944499E-2</v>
      </c>
      <c r="FK19">
        <v>1</v>
      </c>
      <c r="FL19">
        <v>282.34758823529398</v>
      </c>
      <c r="FM19">
        <v>-0.92947288912346404</v>
      </c>
      <c r="FN19">
        <v>0.459238379573565</v>
      </c>
      <c r="FO19">
        <v>-1</v>
      </c>
      <c r="FP19">
        <v>2</v>
      </c>
      <c r="FQ19">
        <v>2</v>
      </c>
      <c r="FR19" t="s">
        <v>345</v>
      </c>
      <c r="FS19">
        <v>100</v>
      </c>
      <c r="FT19">
        <v>100</v>
      </c>
      <c r="FU19">
        <v>-0.61</v>
      </c>
      <c r="FV19">
        <v>-0.16259999999999999</v>
      </c>
      <c r="FW19">
        <v>-0.62117066985992697</v>
      </c>
      <c r="FX19">
        <v>-6.1673298426602905E-5</v>
      </c>
      <c r="FY19">
        <v>6.1939807181674203E-7</v>
      </c>
      <c r="FZ19">
        <v>3.19222985850634E-12</v>
      </c>
      <c r="GA19">
        <v>-8.3838424229574202E-2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1</v>
      </c>
      <c r="GJ19">
        <v>1</v>
      </c>
      <c r="GK19">
        <v>0.60913099999999998</v>
      </c>
      <c r="GL19">
        <v>2.66113</v>
      </c>
      <c r="GM19">
        <v>1.65161</v>
      </c>
      <c r="GN19">
        <v>2.2705099999999998</v>
      </c>
      <c r="GO19">
        <v>1.5979000000000001</v>
      </c>
      <c r="GP19">
        <v>2.5158700000000001</v>
      </c>
      <c r="GQ19">
        <v>36.8842</v>
      </c>
      <c r="GR19">
        <v>23.886099999999999</v>
      </c>
      <c r="GS19">
        <v>18</v>
      </c>
      <c r="GT19">
        <v>488.517</v>
      </c>
      <c r="GU19">
        <v>536.63199999999995</v>
      </c>
      <c r="GV19">
        <v>22.4285</v>
      </c>
      <c r="GW19">
        <v>28.336500000000001</v>
      </c>
      <c r="GX19">
        <v>30</v>
      </c>
      <c r="GY19">
        <v>28.537500000000001</v>
      </c>
      <c r="GZ19">
        <v>28.606999999999999</v>
      </c>
      <c r="HA19">
        <v>12.1752</v>
      </c>
      <c r="HB19">
        <v>21.8398</v>
      </c>
      <c r="HC19">
        <v>30.358799999999999</v>
      </c>
      <c r="HD19">
        <v>22.4376</v>
      </c>
      <c r="HE19">
        <v>200</v>
      </c>
      <c r="HF19">
        <v>15.58</v>
      </c>
      <c r="HG19">
        <v>98.287599999999998</v>
      </c>
      <c r="HH19">
        <v>94.795100000000005</v>
      </c>
    </row>
    <row r="20" spans="1:216" x14ac:dyDescent="0.3">
      <c r="A20">
        <v>4</v>
      </c>
      <c r="B20">
        <v>1792125611</v>
      </c>
      <c r="C20">
        <v>363</v>
      </c>
      <c r="D20" t="s">
        <v>352</v>
      </c>
      <c r="E20" t="s">
        <v>353</v>
      </c>
      <c r="F20">
        <v>5</v>
      </c>
      <c r="G20">
        <v>1792125608</v>
      </c>
      <c r="H20">
        <f t="shared" si="0"/>
        <v>5.1176000241454815E-3</v>
      </c>
      <c r="I20">
        <f t="shared" si="1"/>
        <v>5.1176000241454815</v>
      </c>
      <c r="J20">
        <f t="shared" si="2"/>
        <v>3.8098168432274764</v>
      </c>
      <c r="K20">
        <f t="shared" si="3"/>
        <v>98.260400000000004</v>
      </c>
      <c r="L20">
        <f t="shared" si="4"/>
        <v>79.802445521324771</v>
      </c>
      <c r="M20">
        <f t="shared" si="5"/>
        <v>8.1207615042111261</v>
      </c>
      <c r="N20">
        <f t="shared" si="6"/>
        <v>9.999057904750039</v>
      </c>
      <c r="O20">
        <f t="shared" si="7"/>
        <v>0.39234787215027578</v>
      </c>
      <c r="P20">
        <f t="shared" si="8"/>
        <v>3.0385794315350445</v>
      </c>
      <c r="Q20">
        <f t="shared" si="9"/>
        <v>0.36621984545298381</v>
      </c>
      <c r="R20">
        <f t="shared" si="10"/>
        <v>0.23108974829389056</v>
      </c>
      <c r="S20">
        <f t="shared" si="11"/>
        <v>241.74915816063725</v>
      </c>
      <c r="T20">
        <f t="shared" si="12"/>
        <v>25.487209741159198</v>
      </c>
      <c r="U20">
        <f t="shared" si="13"/>
        <v>25.004100000000001</v>
      </c>
      <c r="V20">
        <f t="shared" si="14"/>
        <v>3.1804549078948861</v>
      </c>
      <c r="W20">
        <f t="shared" si="15"/>
        <v>55.082809407731204</v>
      </c>
      <c r="X20">
        <f t="shared" si="16"/>
        <v>1.79318829125816</v>
      </c>
      <c r="Y20">
        <f t="shared" si="17"/>
        <v>3.255440872640885</v>
      </c>
      <c r="Z20">
        <f t="shared" si="18"/>
        <v>1.387266616636726</v>
      </c>
      <c r="AA20">
        <f t="shared" si="19"/>
        <v>-225.68616106481574</v>
      </c>
      <c r="AB20">
        <f t="shared" si="20"/>
        <v>64.127369987734383</v>
      </c>
      <c r="AC20">
        <f t="shared" si="21"/>
        <v>4.4730773132303447</v>
      </c>
      <c r="AD20">
        <f t="shared" si="22"/>
        <v>84.663444396786232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54050.249393457918</v>
      </c>
      <c r="AJ20" t="s">
        <v>342</v>
      </c>
      <c r="AK20" t="s">
        <v>342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342</v>
      </c>
      <c r="AQ20" t="s">
        <v>342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1261.2777648500708</v>
      </c>
      <c r="AW20">
        <f t="shared" si="29"/>
        <v>3.8098168432274764</v>
      </c>
      <c r="AX20" t="e">
        <f t="shared" si="30"/>
        <v>#DIV/0!</v>
      </c>
      <c r="AY20">
        <f t="shared" si="31"/>
        <v>3.0206009726020601E-3</v>
      </c>
      <c r="AZ20" t="e">
        <f t="shared" si="32"/>
        <v>#DIV/0!</v>
      </c>
      <c r="BA20" t="e">
        <f t="shared" si="33"/>
        <v>#DIV/0!</v>
      </c>
      <c r="BB20" t="s">
        <v>342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165</v>
      </c>
      <c r="BM20">
        <v>290</v>
      </c>
      <c r="BN20">
        <v>752.12</v>
      </c>
      <c r="BO20">
        <v>225</v>
      </c>
      <c r="BP20">
        <v>8118.81</v>
      </c>
      <c r="BQ20">
        <v>749.5</v>
      </c>
      <c r="BR20">
        <v>2.62</v>
      </c>
      <c r="BS20">
        <v>300</v>
      </c>
      <c r="BT20">
        <v>19.100000000000001</v>
      </c>
      <c r="BU20">
        <v>776.847297841461</v>
      </c>
      <c r="BV20">
        <v>2.6062375782498401</v>
      </c>
      <c r="BW20">
        <v>-22.204896785992101</v>
      </c>
      <c r="BX20">
        <v>1.8925671903791601</v>
      </c>
      <c r="BY20">
        <v>0.83097495438304203</v>
      </c>
      <c r="BZ20">
        <v>-5.3702516129032303E-3</v>
      </c>
      <c r="CA20">
        <v>290</v>
      </c>
      <c r="CB20">
        <v>742.31</v>
      </c>
      <c r="CC20">
        <v>625</v>
      </c>
      <c r="CD20">
        <v>8112.81</v>
      </c>
      <c r="CE20">
        <v>749.48</v>
      </c>
      <c r="CF20">
        <v>-7.17</v>
      </c>
      <c r="CT20">
        <f t="shared" si="42"/>
        <v>1500.08</v>
      </c>
      <c r="CU20">
        <f t="shared" si="43"/>
        <v>1261.2777648500708</v>
      </c>
      <c r="CV20">
        <f t="shared" si="44"/>
        <v>0.84080700019337029</v>
      </c>
      <c r="CW20">
        <f t="shared" si="45"/>
        <v>0.16115751037320494</v>
      </c>
      <c r="CX20">
        <v>2</v>
      </c>
      <c r="CY20">
        <v>0.5</v>
      </c>
      <c r="CZ20" t="s">
        <v>343</v>
      </c>
      <c r="DA20">
        <v>2</v>
      </c>
      <c r="DB20">
        <v>1792125608</v>
      </c>
      <c r="DC20">
        <v>98.260400000000004</v>
      </c>
      <c r="DD20">
        <v>99.98536</v>
      </c>
      <c r="DE20">
        <v>17.621600000000001</v>
      </c>
      <c r="DF20">
        <v>15.610760000000001</v>
      </c>
      <c r="DG20">
        <v>98.838499999999996</v>
      </c>
      <c r="DH20">
        <v>17.78134</v>
      </c>
      <c r="DI20">
        <v>500.03179999999998</v>
      </c>
      <c r="DJ20">
        <v>101.66079999999999</v>
      </c>
      <c r="DK20">
        <v>0.1000101</v>
      </c>
      <c r="DL20">
        <v>25.39556</v>
      </c>
      <c r="DM20">
        <v>25.004100000000001</v>
      </c>
      <c r="DN20">
        <v>999.9</v>
      </c>
      <c r="DO20">
        <v>0</v>
      </c>
      <c r="DP20">
        <v>0</v>
      </c>
      <c r="DQ20">
        <v>10001.129999999999</v>
      </c>
      <c r="DR20">
        <v>0</v>
      </c>
      <c r="DS20">
        <v>8.2442499999999992</v>
      </c>
      <c r="DT20">
        <v>1500.08</v>
      </c>
      <c r="DU20">
        <v>0.97300799999999998</v>
      </c>
      <c r="DV20">
        <v>2.6991680000000001E-2</v>
      </c>
      <c r="DW20">
        <v>0</v>
      </c>
      <c r="DX20">
        <v>281.47719999999998</v>
      </c>
      <c r="DY20">
        <v>4.9999900000000004</v>
      </c>
      <c r="DZ20">
        <v>4187.6040000000003</v>
      </c>
      <c r="EA20">
        <v>14883.44</v>
      </c>
      <c r="EB20">
        <v>38.837200000000003</v>
      </c>
      <c r="EC20">
        <v>40.2498</v>
      </c>
      <c r="ED20">
        <v>39.375</v>
      </c>
      <c r="EE20">
        <v>40.462200000000003</v>
      </c>
      <c r="EF20">
        <v>40.462200000000003</v>
      </c>
      <c r="EG20">
        <v>1454.722</v>
      </c>
      <c r="EH20">
        <v>40.351999999999997</v>
      </c>
      <c r="EI20">
        <v>0</v>
      </c>
      <c r="EJ20">
        <v>3003</v>
      </c>
      <c r="EK20">
        <v>0</v>
      </c>
      <c r="EL20">
        <v>281.31115999999997</v>
      </c>
      <c r="EM20">
        <v>0.262692303562711</v>
      </c>
      <c r="EN20">
        <v>-7.9876923290232904</v>
      </c>
      <c r="EO20">
        <v>4187.9404000000004</v>
      </c>
      <c r="EP20">
        <v>15</v>
      </c>
      <c r="EQ20">
        <v>1792125556</v>
      </c>
      <c r="ER20" t="s">
        <v>354</v>
      </c>
      <c r="ES20">
        <v>1792125554</v>
      </c>
      <c r="ET20">
        <v>1792125556</v>
      </c>
      <c r="EU20">
        <v>41</v>
      </c>
      <c r="EV20">
        <v>4.2999999999999997E-2</v>
      </c>
      <c r="EW20">
        <v>1E-3</v>
      </c>
      <c r="EX20">
        <v>-0.57799999999999996</v>
      </c>
      <c r="EY20">
        <v>-0.186</v>
      </c>
      <c r="EZ20">
        <v>100</v>
      </c>
      <c r="FA20">
        <v>16</v>
      </c>
      <c r="FB20">
        <v>0.22</v>
      </c>
      <c r="FC20">
        <v>0.03</v>
      </c>
      <c r="FD20">
        <v>3.8310377765459802</v>
      </c>
      <c r="FE20">
        <v>3.4305922356399697E-2</v>
      </c>
      <c r="FF20">
        <v>7.2477462594954606E-2</v>
      </c>
      <c r="FG20">
        <v>1</v>
      </c>
      <c r="FH20">
        <v>-1.73269952380952</v>
      </c>
      <c r="FI20">
        <v>7.8568831168823391E-3</v>
      </c>
      <c r="FJ20">
        <v>2.8690667883177E-2</v>
      </c>
      <c r="FK20">
        <v>1</v>
      </c>
      <c r="FL20">
        <v>281.27023529411798</v>
      </c>
      <c r="FM20">
        <v>-3.1963333984402299E-2</v>
      </c>
      <c r="FN20">
        <v>0.435582980466376</v>
      </c>
      <c r="FO20">
        <v>-1</v>
      </c>
      <c r="FP20">
        <v>2</v>
      </c>
      <c r="FQ20">
        <v>2</v>
      </c>
      <c r="FR20" t="s">
        <v>345</v>
      </c>
      <c r="FS20">
        <v>100</v>
      </c>
      <c r="FT20">
        <v>100</v>
      </c>
      <c r="FU20">
        <v>-0.57799999999999996</v>
      </c>
      <c r="FV20">
        <v>-0.1598</v>
      </c>
      <c r="FW20">
        <v>-0.57804352859076302</v>
      </c>
      <c r="FX20">
        <v>-6.1673298426602905E-5</v>
      </c>
      <c r="FY20">
        <v>6.1939807181674203E-7</v>
      </c>
      <c r="FZ20">
        <v>3.19222985850634E-12</v>
      </c>
      <c r="GA20">
        <v>-8.2423853246981302E-2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0.9</v>
      </c>
      <c r="GJ20">
        <v>0.9</v>
      </c>
      <c r="GK20">
        <v>0.380859</v>
      </c>
      <c r="GL20">
        <v>2.68188</v>
      </c>
      <c r="GM20">
        <v>1.65161</v>
      </c>
      <c r="GN20">
        <v>2.2705099999999998</v>
      </c>
      <c r="GO20">
        <v>1.5979000000000001</v>
      </c>
      <c r="GP20">
        <v>2.4304199999999998</v>
      </c>
      <c r="GQ20">
        <v>36.789200000000001</v>
      </c>
      <c r="GR20">
        <v>23.877400000000002</v>
      </c>
      <c r="GS20">
        <v>18</v>
      </c>
      <c r="GT20">
        <v>488.41699999999997</v>
      </c>
      <c r="GU20">
        <v>536.74900000000002</v>
      </c>
      <c r="GV20">
        <v>22.108499999999999</v>
      </c>
      <c r="GW20">
        <v>28.277899999999999</v>
      </c>
      <c r="GX20">
        <v>29.9999</v>
      </c>
      <c r="GY20">
        <v>28.479600000000001</v>
      </c>
      <c r="GZ20">
        <v>28.5487</v>
      </c>
      <c r="HA20">
        <v>7.6185099999999997</v>
      </c>
      <c r="HB20">
        <v>21.6843</v>
      </c>
      <c r="HC20">
        <v>30.5152</v>
      </c>
      <c r="HD20">
        <v>22.112400000000001</v>
      </c>
      <c r="HE20">
        <v>100</v>
      </c>
      <c r="HF20">
        <v>15.581200000000001</v>
      </c>
      <c r="HG20">
        <v>98.295100000000005</v>
      </c>
      <c r="HH20">
        <v>94.804599999999994</v>
      </c>
    </row>
    <row r="21" spans="1:216" x14ac:dyDescent="0.3">
      <c r="A21">
        <v>5</v>
      </c>
      <c r="B21">
        <v>1792125732</v>
      </c>
      <c r="C21">
        <v>484</v>
      </c>
      <c r="D21" t="s">
        <v>355</v>
      </c>
      <c r="E21" t="s">
        <v>356</v>
      </c>
      <c r="F21">
        <v>5</v>
      </c>
      <c r="G21">
        <v>1792125729</v>
      </c>
      <c r="H21">
        <f t="shared" si="0"/>
        <v>5.4901228142393965E-3</v>
      </c>
      <c r="I21">
        <f t="shared" si="1"/>
        <v>5.4901228142393963</v>
      </c>
      <c r="J21">
        <f t="shared" si="2"/>
        <v>-0.40807030784247855</v>
      </c>
      <c r="K21">
        <f t="shared" si="3"/>
        <v>50.046660000000003</v>
      </c>
      <c r="L21">
        <f t="shared" si="4"/>
        <v>50.574258571284979</v>
      </c>
      <c r="M21">
        <f t="shared" si="5"/>
        <v>5.1462921768665311</v>
      </c>
      <c r="N21">
        <f t="shared" si="6"/>
        <v>5.0926052523987657</v>
      </c>
      <c r="O21">
        <f t="shared" si="7"/>
        <v>0.42642819290055928</v>
      </c>
      <c r="P21">
        <f t="shared" si="8"/>
        <v>3.0397844586130316</v>
      </c>
      <c r="Q21">
        <f t="shared" si="9"/>
        <v>0.39576537347761748</v>
      </c>
      <c r="R21">
        <f t="shared" si="10"/>
        <v>0.24992430741872862</v>
      </c>
      <c r="S21">
        <f t="shared" si="11"/>
        <v>241.72657021558356</v>
      </c>
      <c r="T21">
        <f t="shared" si="12"/>
        <v>25.410207933896857</v>
      </c>
      <c r="U21">
        <f t="shared" si="13"/>
        <v>24.965340000000001</v>
      </c>
      <c r="V21">
        <f t="shared" si="14"/>
        <v>3.1731130408905028</v>
      </c>
      <c r="W21">
        <f t="shared" si="15"/>
        <v>55.113525762999934</v>
      </c>
      <c r="X21">
        <f t="shared" si="16"/>
        <v>1.7959871573342272</v>
      </c>
      <c r="Y21">
        <f t="shared" si="17"/>
        <v>3.2587048868137374</v>
      </c>
      <c r="Z21">
        <f t="shared" si="18"/>
        <v>1.3771258835562756</v>
      </c>
      <c r="AA21">
        <f t="shared" si="19"/>
        <v>-242.1144161079574</v>
      </c>
      <c r="AB21">
        <f t="shared" si="20"/>
        <v>73.267854769315932</v>
      </c>
      <c r="AC21">
        <f t="shared" si="21"/>
        <v>5.108065633684264</v>
      </c>
      <c r="AD21">
        <f t="shared" si="22"/>
        <v>77.988074510626376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54084.874619768387</v>
      </c>
      <c r="AJ21" t="s">
        <v>342</v>
      </c>
      <c r="AK21" t="s">
        <v>342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342</v>
      </c>
      <c r="AQ21" t="s">
        <v>342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1261.1539800080745</v>
      </c>
      <c r="AW21">
        <f t="shared" si="29"/>
        <v>-0.40807030784247855</v>
      </c>
      <c r="AX21" t="e">
        <f t="shared" si="30"/>
        <v>#DIV/0!</v>
      </c>
      <c r="AY21">
        <f t="shared" si="31"/>
        <v>-3.2356898072023358E-4</v>
      </c>
      <c r="AZ21" t="e">
        <f t="shared" si="32"/>
        <v>#DIV/0!</v>
      </c>
      <c r="BA21" t="e">
        <f t="shared" si="33"/>
        <v>#DIV/0!</v>
      </c>
      <c r="BB21" t="s">
        <v>342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165</v>
      </c>
      <c r="BM21">
        <v>290</v>
      </c>
      <c r="BN21">
        <v>752.12</v>
      </c>
      <c r="BO21">
        <v>225</v>
      </c>
      <c r="BP21">
        <v>8118.81</v>
      </c>
      <c r="BQ21">
        <v>749.5</v>
      </c>
      <c r="BR21">
        <v>2.62</v>
      </c>
      <c r="BS21">
        <v>300</v>
      </c>
      <c r="BT21">
        <v>19.100000000000001</v>
      </c>
      <c r="BU21">
        <v>776.847297841461</v>
      </c>
      <c r="BV21">
        <v>2.6062375782498401</v>
      </c>
      <c r="BW21">
        <v>-22.204896785992101</v>
      </c>
      <c r="BX21">
        <v>1.8925671903791601</v>
      </c>
      <c r="BY21">
        <v>0.83097495438304203</v>
      </c>
      <c r="BZ21">
        <v>-5.3702516129032303E-3</v>
      </c>
      <c r="CA21">
        <v>290</v>
      </c>
      <c r="CB21">
        <v>742.31</v>
      </c>
      <c r="CC21">
        <v>625</v>
      </c>
      <c r="CD21">
        <v>8112.81</v>
      </c>
      <c r="CE21">
        <v>749.48</v>
      </c>
      <c r="CF21">
        <v>-7.17</v>
      </c>
      <c r="CT21">
        <f t="shared" si="42"/>
        <v>1499.932</v>
      </c>
      <c r="CU21">
        <f t="shared" si="43"/>
        <v>1261.1539800080745</v>
      </c>
      <c r="CV21">
        <f t="shared" si="44"/>
        <v>0.8408074366091759</v>
      </c>
      <c r="CW21">
        <f t="shared" si="45"/>
        <v>0.16115835265570944</v>
      </c>
      <c r="CX21">
        <v>2</v>
      </c>
      <c r="CY21">
        <v>0.5</v>
      </c>
      <c r="CZ21" t="s">
        <v>343</v>
      </c>
      <c r="DA21">
        <v>2</v>
      </c>
      <c r="DB21">
        <v>1792125729</v>
      </c>
      <c r="DC21">
        <v>50.046660000000003</v>
      </c>
      <c r="DD21">
        <v>49.993340000000003</v>
      </c>
      <c r="DE21">
        <v>17.649740000000001</v>
      </c>
      <c r="DF21">
        <v>15.49258</v>
      </c>
      <c r="DG21">
        <v>50.656359999999999</v>
      </c>
      <c r="DH21">
        <v>17.810839999999999</v>
      </c>
      <c r="DI21">
        <v>500.03</v>
      </c>
      <c r="DJ21">
        <v>101.6572</v>
      </c>
      <c r="DK21">
        <v>9.9945279999999997E-2</v>
      </c>
      <c r="DL21">
        <v>25.412420000000001</v>
      </c>
      <c r="DM21">
        <v>24.965340000000001</v>
      </c>
      <c r="DN21">
        <v>999.9</v>
      </c>
      <c r="DO21">
        <v>0</v>
      </c>
      <c r="DP21">
        <v>0</v>
      </c>
      <c r="DQ21">
        <v>10008.77</v>
      </c>
      <c r="DR21">
        <v>0</v>
      </c>
      <c r="DS21">
        <v>8.2442499999999992</v>
      </c>
      <c r="DT21">
        <v>1499.932</v>
      </c>
      <c r="DU21">
        <v>0.97299500000000005</v>
      </c>
      <c r="DV21">
        <v>2.7005040000000001E-2</v>
      </c>
      <c r="DW21">
        <v>0</v>
      </c>
      <c r="DX21">
        <v>285.39060000000001</v>
      </c>
      <c r="DY21">
        <v>4.9999900000000004</v>
      </c>
      <c r="DZ21">
        <v>4222.6639999999998</v>
      </c>
      <c r="EA21">
        <v>14881.86</v>
      </c>
      <c r="EB21">
        <v>37.75</v>
      </c>
      <c r="EC21">
        <v>39</v>
      </c>
      <c r="ED21">
        <v>38.311999999999998</v>
      </c>
      <c r="EE21">
        <v>38.375</v>
      </c>
      <c r="EF21">
        <v>39.337200000000003</v>
      </c>
      <c r="EG21">
        <v>1454.5619999999999</v>
      </c>
      <c r="EH21">
        <v>40.369999999999997</v>
      </c>
      <c r="EI21">
        <v>0</v>
      </c>
      <c r="EJ21">
        <v>3124.2000000476801</v>
      </c>
      <c r="EK21">
        <v>0</v>
      </c>
      <c r="EL21">
        <v>285.19499999999999</v>
      </c>
      <c r="EM21">
        <v>1.10676923391191</v>
      </c>
      <c r="EN21">
        <v>14.6376923212653</v>
      </c>
      <c r="EO21">
        <v>4222.18</v>
      </c>
      <c r="EP21">
        <v>15</v>
      </c>
      <c r="EQ21">
        <v>1792125673</v>
      </c>
      <c r="ER21" t="s">
        <v>357</v>
      </c>
      <c r="ES21">
        <v>1792125673</v>
      </c>
      <c r="ET21">
        <v>1792125671</v>
      </c>
      <c r="EU21">
        <v>42</v>
      </c>
      <c r="EV21">
        <v>-0.03</v>
      </c>
      <c r="EW21">
        <v>-2E-3</v>
      </c>
      <c r="EX21">
        <v>-0.61</v>
      </c>
      <c r="EY21">
        <v>-0.187</v>
      </c>
      <c r="EZ21">
        <v>50</v>
      </c>
      <c r="FA21">
        <v>16</v>
      </c>
      <c r="FB21">
        <v>0.41</v>
      </c>
      <c r="FC21">
        <v>0.03</v>
      </c>
      <c r="FD21">
        <v>-0.44126597835004799</v>
      </c>
      <c r="FE21">
        <v>0.116263438295013</v>
      </c>
      <c r="FF21">
        <v>3.5755863750486901E-2</v>
      </c>
      <c r="FG21">
        <v>1</v>
      </c>
      <c r="FH21">
        <v>6.6145238095238104E-2</v>
      </c>
      <c r="FI21">
        <v>-6.4023911688311702E-2</v>
      </c>
      <c r="FJ21">
        <v>1.4492705826412501E-2</v>
      </c>
      <c r="FK21">
        <v>1</v>
      </c>
      <c r="FL21">
        <v>285.00485294117601</v>
      </c>
      <c r="FM21">
        <v>2.2760122303557702</v>
      </c>
      <c r="FN21">
        <v>0.460404178722852</v>
      </c>
      <c r="FO21">
        <v>-1</v>
      </c>
      <c r="FP21">
        <v>2</v>
      </c>
      <c r="FQ21">
        <v>2</v>
      </c>
      <c r="FR21" t="s">
        <v>345</v>
      </c>
      <c r="FS21">
        <v>100</v>
      </c>
      <c r="FT21">
        <v>100</v>
      </c>
      <c r="FU21">
        <v>-0.61</v>
      </c>
      <c r="FV21">
        <v>-0.16109999999999999</v>
      </c>
      <c r="FW21">
        <v>-0.60815560422869797</v>
      </c>
      <c r="FX21">
        <v>-6.1673298426602905E-5</v>
      </c>
      <c r="FY21">
        <v>6.1939807181674203E-7</v>
      </c>
      <c r="FZ21">
        <v>3.19222985850634E-12</v>
      </c>
      <c r="GA21">
        <v>-8.4220361458635304E-2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</v>
      </c>
      <c r="GJ21">
        <v>1</v>
      </c>
      <c r="GK21">
        <v>0.26855499999999999</v>
      </c>
      <c r="GL21">
        <v>2.6965300000000001</v>
      </c>
      <c r="GM21">
        <v>1.65161</v>
      </c>
      <c r="GN21">
        <v>2.2692899999999998</v>
      </c>
      <c r="GO21">
        <v>1.5979000000000001</v>
      </c>
      <c r="GP21">
        <v>2.5415000000000001</v>
      </c>
      <c r="GQ21">
        <v>36.718000000000004</v>
      </c>
      <c r="GR21">
        <v>23.903600000000001</v>
      </c>
      <c r="GS21">
        <v>18</v>
      </c>
      <c r="GT21">
        <v>488.34399999999999</v>
      </c>
      <c r="GU21">
        <v>536.77300000000002</v>
      </c>
      <c r="GV21">
        <v>22.356999999999999</v>
      </c>
      <c r="GW21">
        <v>28.2239</v>
      </c>
      <c r="GX21">
        <v>29.9999</v>
      </c>
      <c r="GY21">
        <v>28.423400000000001</v>
      </c>
      <c r="GZ21">
        <v>28.4924</v>
      </c>
      <c r="HA21">
        <v>5.3582999999999998</v>
      </c>
      <c r="HB21">
        <v>21.9405</v>
      </c>
      <c r="HC21">
        <v>30.548999999999999</v>
      </c>
      <c r="HD21">
        <v>22.383800000000001</v>
      </c>
      <c r="HE21">
        <v>50</v>
      </c>
      <c r="HF21">
        <v>15.5077</v>
      </c>
      <c r="HG21">
        <v>98.304400000000001</v>
      </c>
      <c r="HH21">
        <v>94.816500000000005</v>
      </c>
    </row>
    <row r="22" spans="1:216" x14ac:dyDescent="0.3">
      <c r="A22">
        <v>6</v>
      </c>
      <c r="B22">
        <v>1792125868.0999999</v>
      </c>
      <c r="C22">
        <v>620.09999990463302</v>
      </c>
      <c r="D22" t="s">
        <v>358</v>
      </c>
      <c r="E22" t="s">
        <v>359</v>
      </c>
      <c r="F22">
        <v>5</v>
      </c>
      <c r="G22">
        <v>1792125865.0999999</v>
      </c>
      <c r="H22">
        <f t="shared" si="0"/>
        <v>5.877049379880075E-3</v>
      </c>
      <c r="I22">
        <f t="shared" si="1"/>
        <v>5.8770493798800754</v>
      </c>
      <c r="J22">
        <f t="shared" si="2"/>
        <v>26.727077960219994</v>
      </c>
      <c r="K22">
        <f t="shared" si="3"/>
        <v>388.37639999999999</v>
      </c>
      <c r="L22">
        <f t="shared" si="4"/>
        <v>281.35523794529104</v>
      </c>
      <c r="M22">
        <f t="shared" si="5"/>
        <v>28.630406944702255</v>
      </c>
      <c r="N22">
        <f t="shared" si="6"/>
        <v>39.520765495329435</v>
      </c>
      <c r="O22">
        <f t="shared" si="7"/>
        <v>0.45972090145792266</v>
      </c>
      <c r="P22">
        <f t="shared" si="8"/>
        <v>3.0372855575722331</v>
      </c>
      <c r="Q22">
        <f t="shared" si="9"/>
        <v>0.42426961485599352</v>
      </c>
      <c r="R22">
        <f t="shared" si="10"/>
        <v>0.2681254843718418</v>
      </c>
      <c r="S22">
        <f t="shared" si="11"/>
        <v>241.74119401558647</v>
      </c>
      <c r="T22">
        <f t="shared" si="12"/>
        <v>25.509346836955341</v>
      </c>
      <c r="U22">
        <f t="shared" si="13"/>
        <v>25.00048</v>
      </c>
      <c r="V22">
        <f t="shared" si="14"/>
        <v>3.1797685844702199</v>
      </c>
      <c r="W22">
        <f t="shared" si="15"/>
        <v>54.738866089731985</v>
      </c>
      <c r="X22">
        <f t="shared" si="16"/>
        <v>1.8047108407775208</v>
      </c>
      <c r="Y22">
        <f t="shared" si="17"/>
        <v>3.296945972207582</v>
      </c>
      <c r="Z22">
        <f t="shared" si="18"/>
        <v>1.3750577436926992</v>
      </c>
      <c r="AA22">
        <f t="shared" si="19"/>
        <v>-259.17787765271129</v>
      </c>
      <c r="AB22">
        <f t="shared" si="20"/>
        <v>99.619876032551602</v>
      </c>
      <c r="AC22">
        <f t="shared" si="21"/>
        <v>6.9590857573494169</v>
      </c>
      <c r="AD22">
        <f t="shared" si="22"/>
        <v>89.1422781527762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53971.107902178002</v>
      </c>
      <c r="AJ22" t="s">
        <v>342</v>
      </c>
      <c r="AK22" t="s">
        <v>342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342</v>
      </c>
      <c r="AQ22" t="s">
        <v>342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1261.2282000080759</v>
      </c>
      <c r="AW22">
        <f t="shared" si="29"/>
        <v>26.727077960219994</v>
      </c>
      <c r="AX22" t="e">
        <f t="shared" si="30"/>
        <v>#DIV/0!</v>
      </c>
      <c r="AY22">
        <f t="shared" si="31"/>
        <v>2.1191310153110161E-2</v>
      </c>
      <c r="AZ22" t="e">
        <f t="shared" si="32"/>
        <v>#DIV/0!</v>
      </c>
      <c r="BA22" t="e">
        <f t="shared" si="33"/>
        <v>#DIV/0!</v>
      </c>
      <c r="BB22" t="s">
        <v>342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165</v>
      </c>
      <c r="BM22">
        <v>290</v>
      </c>
      <c r="BN22">
        <v>752.12</v>
      </c>
      <c r="BO22">
        <v>225</v>
      </c>
      <c r="BP22">
        <v>8118.81</v>
      </c>
      <c r="BQ22">
        <v>749.5</v>
      </c>
      <c r="BR22">
        <v>2.62</v>
      </c>
      <c r="BS22">
        <v>300</v>
      </c>
      <c r="BT22">
        <v>19.100000000000001</v>
      </c>
      <c r="BU22">
        <v>776.847297841461</v>
      </c>
      <c r="BV22">
        <v>2.6062375782498401</v>
      </c>
      <c r="BW22">
        <v>-22.204896785992101</v>
      </c>
      <c r="BX22">
        <v>1.8925671903791601</v>
      </c>
      <c r="BY22">
        <v>0.83097495438304203</v>
      </c>
      <c r="BZ22">
        <v>-5.3702516129032303E-3</v>
      </c>
      <c r="CA22">
        <v>290</v>
      </c>
      <c r="CB22">
        <v>742.31</v>
      </c>
      <c r="CC22">
        <v>625</v>
      </c>
      <c r="CD22">
        <v>8112.81</v>
      </c>
      <c r="CE22">
        <v>749.48</v>
      </c>
      <c r="CF22">
        <v>-7.17</v>
      </c>
      <c r="CT22">
        <f t="shared" si="42"/>
        <v>1500.02</v>
      </c>
      <c r="CU22">
        <f t="shared" si="43"/>
        <v>1261.2282000080759</v>
      </c>
      <c r="CV22">
        <f t="shared" si="44"/>
        <v>0.84080758923752741</v>
      </c>
      <c r="CW22">
        <f t="shared" si="45"/>
        <v>0.16115864722842793</v>
      </c>
      <c r="CX22">
        <v>2</v>
      </c>
      <c r="CY22">
        <v>0.5</v>
      </c>
      <c r="CZ22" t="s">
        <v>343</v>
      </c>
      <c r="DA22">
        <v>2</v>
      </c>
      <c r="DB22">
        <v>1792125865.0999999</v>
      </c>
      <c r="DC22">
        <v>388.37639999999999</v>
      </c>
      <c r="DD22">
        <v>399.98099999999999</v>
      </c>
      <c r="DE22">
        <v>17.73516</v>
      </c>
      <c r="DF22">
        <v>15.425879999999999</v>
      </c>
      <c r="DG22">
        <v>388.97219999999999</v>
      </c>
      <c r="DH22">
        <v>17.893879999999999</v>
      </c>
      <c r="DI22">
        <v>499.96699999999998</v>
      </c>
      <c r="DJ22">
        <v>101.65900000000001</v>
      </c>
      <c r="DK22">
        <v>9.9926379999999995E-2</v>
      </c>
      <c r="DL22">
        <v>25.60886</v>
      </c>
      <c r="DM22">
        <v>25.00048</v>
      </c>
      <c r="DN22">
        <v>999.9</v>
      </c>
      <c r="DO22">
        <v>0</v>
      </c>
      <c r="DP22">
        <v>0</v>
      </c>
      <c r="DQ22">
        <v>9993.49</v>
      </c>
      <c r="DR22">
        <v>0</v>
      </c>
      <c r="DS22">
        <v>8.2442499999999992</v>
      </c>
      <c r="DT22">
        <v>1500.02</v>
      </c>
      <c r="DU22">
        <v>0.97299100000000005</v>
      </c>
      <c r="DV22">
        <v>2.7009180000000001E-2</v>
      </c>
      <c r="DW22">
        <v>0</v>
      </c>
      <c r="DX22">
        <v>279.95760000000001</v>
      </c>
      <c r="DY22">
        <v>4.9999900000000004</v>
      </c>
      <c r="DZ22">
        <v>4147.4939999999997</v>
      </c>
      <c r="EA22">
        <v>14882.76</v>
      </c>
      <c r="EB22">
        <v>36.949599999999997</v>
      </c>
      <c r="EC22">
        <v>38.375</v>
      </c>
      <c r="ED22">
        <v>37.524799999999999</v>
      </c>
      <c r="EE22">
        <v>37.686999999999998</v>
      </c>
      <c r="EF22">
        <v>38.625</v>
      </c>
      <c r="EG22">
        <v>1454.64</v>
      </c>
      <c r="EH22">
        <v>40.380000000000003</v>
      </c>
      <c r="EI22">
        <v>0</v>
      </c>
      <c r="EJ22">
        <v>3259.7999999523199</v>
      </c>
      <c r="EK22">
        <v>0</v>
      </c>
      <c r="EL22">
        <v>279.87948</v>
      </c>
      <c r="EM22">
        <v>2.1739230926095701</v>
      </c>
      <c r="EN22">
        <v>54.674615487048499</v>
      </c>
      <c r="EO22">
        <v>4143.3068000000003</v>
      </c>
      <c r="EP22">
        <v>15</v>
      </c>
      <c r="EQ22">
        <v>1792125798</v>
      </c>
      <c r="ER22" t="s">
        <v>360</v>
      </c>
      <c r="ES22">
        <v>1792125798</v>
      </c>
      <c r="ET22">
        <v>1792125798</v>
      </c>
      <c r="EU22">
        <v>43</v>
      </c>
      <c r="EV22">
        <v>-5.8000000000000003E-2</v>
      </c>
      <c r="EW22">
        <v>1E-3</v>
      </c>
      <c r="EX22">
        <v>-0.59099999999999997</v>
      </c>
      <c r="EY22">
        <v>-0.187</v>
      </c>
      <c r="EZ22">
        <v>400</v>
      </c>
      <c r="FA22">
        <v>15</v>
      </c>
      <c r="FB22">
        <v>7.0000000000000007E-2</v>
      </c>
      <c r="FC22">
        <v>0.03</v>
      </c>
      <c r="FD22">
        <v>26.623439553375398</v>
      </c>
      <c r="FE22">
        <v>0.26920013894171402</v>
      </c>
      <c r="FF22">
        <v>0.104272554943569</v>
      </c>
      <c r="FG22">
        <v>1</v>
      </c>
      <c r="FH22">
        <v>-11.5666476190476</v>
      </c>
      <c r="FI22">
        <v>-8.7389570758863597E-2</v>
      </c>
      <c r="FJ22">
        <v>3.8242853288743897E-2</v>
      </c>
      <c r="FK22">
        <v>1</v>
      </c>
      <c r="FL22">
        <v>279.54964705882298</v>
      </c>
      <c r="FM22">
        <v>3.75095493656847</v>
      </c>
      <c r="FN22">
        <v>0.62506272072831903</v>
      </c>
      <c r="FO22">
        <v>-1</v>
      </c>
      <c r="FP22">
        <v>2</v>
      </c>
      <c r="FQ22">
        <v>2</v>
      </c>
      <c r="FR22" t="s">
        <v>345</v>
      </c>
      <c r="FS22">
        <v>100</v>
      </c>
      <c r="FT22">
        <v>100</v>
      </c>
      <c r="FU22">
        <v>-0.59499999999999997</v>
      </c>
      <c r="FV22">
        <v>-0.15870000000000001</v>
      </c>
      <c r="FW22">
        <v>-0.66569392140177897</v>
      </c>
      <c r="FX22">
        <v>-6.1673298426602905E-5</v>
      </c>
      <c r="FY22">
        <v>6.1939807181674203E-7</v>
      </c>
      <c r="FZ22">
        <v>3.19222985850634E-12</v>
      </c>
      <c r="GA22">
        <v>-8.3128391315090297E-2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1.2</v>
      </c>
      <c r="GJ22">
        <v>1.2</v>
      </c>
      <c r="GK22">
        <v>1.0400400000000001</v>
      </c>
      <c r="GL22">
        <v>2.65747</v>
      </c>
      <c r="GM22">
        <v>1.65161</v>
      </c>
      <c r="GN22">
        <v>2.2705099999999998</v>
      </c>
      <c r="GO22">
        <v>1.5979000000000001</v>
      </c>
      <c r="GP22">
        <v>2.6415999999999999</v>
      </c>
      <c r="GQ22">
        <v>36.6233</v>
      </c>
      <c r="GR22">
        <v>23.903600000000001</v>
      </c>
      <c r="GS22">
        <v>18</v>
      </c>
      <c r="GT22">
        <v>488.548</v>
      </c>
      <c r="GU22">
        <v>537.55999999999995</v>
      </c>
      <c r="GV22">
        <v>23.197199999999999</v>
      </c>
      <c r="GW22">
        <v>28.171399999999998</v>
      </c>
      <c r="GX22">
        <v>30.0001</v>
      </c>
      <c r="GY22">
        <v>28.3687</v>
      </c>
      <c r="GZ22">
        <v>28.4374</v>
      </c>
      <c r="HA22">
        <v>20.793299999999999</v>
      </c>
      <c r="HB22">
        <v>21.989699999999999</v>
      </c>
      <c r="HC22">
        <v>30.3597</v>
      </c>
      <c r="HD22">
        <v>22.723400000000002</v>
      </c>
      <c r="HE22">
        <v>400</v>
      </c>
      <c r="HF22">
        <v>15.4846</v>
      </c>
      <c r="HG22">
        <v>98.314700000000002</v>
      </c>
      <c r="HH22">
        <v>94.82</v>
      </c>
    </row>
    <row r="23" spans="1:216" x14ac:dyDescent="0.3">
      <c r="A23">
        <v>7</v>
      </c>
      <c r="B23">
        <v>1792125989.0999999</v>
      </c>
      <c r="C23">
        <v>741.09999990463302</v>
      </c>
      <c r="D23" t="s">
        <v>361</v>
      </c>
      <c r="E23" t="s">
        <v>362</v>
      </c>
      <c r="F23">
        <v>5</v>
      </c>
      <c r="G23">
        <v>1792125986.0999999</v>
      </c>
      <c r="H23">
        <f t="shared" si="0"/>
        <v>6.0216386463390961E-3</v>
      </c>
      <c r="I23">
        <f t="shared" si="1"/>
        <v>6.0216386463390963</v>
      </c>
      <c r="J23">
        <f t="shared" si="2"/>
        <v>27.451295327271552</v>
      </c>
      <c r="K23">
        <f t="shared" si="3"/>
        <v>388.07319999999999</v>
      </c>
      <c r="L23">
        <f t="shared" si="4"/>
        <v>281.66719580410546</v>
      </c>
      <c r="M23">
        <f t="shared" si="5"/>
        <v>28.661627489806719</v>
      </c>
      <c r="N23">
        <f t="shared" si="6"/>
        <v>39.489190302845842</v>
      </c>
      <c r="O23">
        <f t="shared" si="7"/>
        <v>0.47593336502616818</v>
      </c>
      <c r="P23">
        <f t="shared" si="8"/>
        <v>3.038082365357698</v>
      </c>
      <c r="Q23">
        <f t="shared" si="9"/>
        <v>0.43805697983814013</v>
      </c>
      <c r="R23">
        <f t="shared" si="10"/>
        <v>0.27693702883735138</v>
      </c>
      <c r="S23">
        <f t="shared" si="11"/>
        <v>241.73690341557506</v>
      </c>
      <c r="T23">
        <f t="shared" si="12"/>
        <v>25.4467625514636</v>
      </c>
      <c r="U23">
        <f t="shared" si="13"/>
        <v>24.990739999999999</v>
      </c>
      <c r="V23">
        <f t="shared" si="14"/>
        <v>3.1779225999055289</v>
      </c>
      <c r="W23">
        <f t="shared" si="15"/>
        <v>55.089575432308934</v>
      </c>
      <c r="X23">
        <f t="shared" si="16"/>
        <v>1.8134513444353562</v>
      </c>
      <c r="Y23">
        <f t="shared" si="17"/>
        <v>3.2918230540070619</v>
      </c>
      <c r="Z23">
        <f t="shared" si="18"/>
        <v>1.3644712554701728</v>
      </c>
      <c r="AA23">
        <f t="shared" si="19"/>
        <v>-265.55426430355413</v>
      </c>
      <c r="AB23">
        <f t="shared" si="20"/>
        <v>96.950041989131023</v>
      </c>
      <c r="AC23">
        <f t="shared" si="21"/>
        <v>6.7695805699850053</v>
      </c>
      <c r="AD23">
        <f t="shared" si="22"/>
        <v>79.902261671136955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54000.737205292309</v>
      </c>
      <c r="AJ23" t="s">
        <v>342</v>
      </c>
      <c r="AK23" t="s">
        <v>342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342</v>
      </c>
      <c r="AQ23" t="s">
        <v>342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1261.21386000807</v>
      </c>
      <c r="AW23">
        <f t="shared" si="29"/>
        <v>27.451295327271552</v>
      </c>
      <c r="AX23" t="e">
        <f t="shared" si="30"/>
        <v>#DIV/0!</v>
      </c>
      <c r="AY23">
        <f t="shared" si="31"/>
        <v>2.1765773591400195E-2</v>
      </c>
      <c r="AZ23" t="e">
        <f t="shared" si="32"/>
        <v>#DIV/0!</v>
      </c>
      <c r="BA23" t="e">
        <f t="shared" si="33"/>
        <v>#DIV/0!</v>
      </c>
      <c r="BB23" t="s">
        <v>342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165</v>
      </c>
      <c r="BM23">
        <v>290</v>
      </c>
      <c r="BN23">
        <v>752.12</v>
      </c>
      <c r="BO23">
        <v>225</v>
      </c>
      <c r="BP23">
        <v>8118.81</v>
      </c>
      <c r="BQ23">
        <v>749.5</v>
      </c>
      <c r="BR23">
        <v>2.62</v>
      </c>
      <c r="BS23">
        <v>300</v>
      </c>
      <c r="BT23">
        <v>19.100000000000001</v>
      </c>
      <c r="BU23">
        <v>776.847297841461</v>
      </c>
      <c r="BV23">
        <v>2.6062375782498401</v>
      </c>
      <c r="BW23">
        <v>-22.204896785992101</v>
      </c>
      <c r="BX23">
        <v>1.8925671903791601</v>
      </c>
      <c r="BY23">
        <v>0.83097495438304203</v>
      </c>
      <c r="BZ23">
        <v>-5.3702516129032303E-3</v>
      </c>
      <c r="CA23">
        <v>290</v>
      </c>
      <c r="CB23">
        <v>742.31</v>
      </c>
      <c r="CC23">
        <v>625</v>
      </c>
      <c r="CD23">
        <v>8112.81</v>
      </c>
      <c r="CE23">
        <v>749.48</v>
      </c>
      <c r="CF23">
        <v>-7.17</v>
      </c>
      <c r="CT23">
        <f t="shared" si="42"/>
        <v>1500.0039999999999</v>
      </c>
      <c r="CU23">
        <f t="shared" si="43"/>
        <v>1261.21386000807</v>
      </c>
      <c r="CV23">
        <f t="shared" si="44"/>
        <v>0.84080699785338575</v>
      </c>
      <c r="CW23">
        <f t="shared" si="45"/>
        <v>0.16115750585703442</v>
      </c>
      <c r="CX23">
        <v>2</v>
      </c>
      <c r="CY23">
        <v>0.5</v>
      </c>
      <c r="CZ23" t="s">
        <v>343</v>
      </c>
      <c r="DA23">
        <v>2</v>
      </c>
      <c r="DB23">
        <v>1792125986.0999999</v>
      </c>
      <c r="DC23">
        <v>388.07319999999999</v>
      </c>
      <c r="DD23">
        <v>399.988</v>
      </c>
      <c r="DE23">
        <v>17.821380000000001</v>
      </c>
      <c r="DF23">
        <v>15.45574</v>
      </c>
      <c r="DG23">
        <v>388.66180000000003</v>
      </c>
      <c r="DH23">
        <v>17.979700000000001</v>
      </c>
      <c r="DI23">
        <v>500.01900000000001</v>
      </c>
      <c r="DJ23">
        <v>101.657</v>
      </c>
      <c r="DK23">
        <v>0.10006619999999999</v>
      </c>
      <c r="DL23">
        <v>25.582660000000001</v>
      </c>
      <c r="DM23">
        <v>24.990739999999999</v>
      </c>
      <c r="DN23">
        <v>999.9</v>
      </c>
      <c r="DO23">
        <v>0</v>
      </c>
      <c r="DP23">
        <v>0</v>
      </c>
      <c r="DQ23">
        <v>9998.5</v>
      </c>
      <c r="DR23">
        <v>0</v>
      </c>
      <c r="DS23">
        <v>8.5726060000000004</v>
      </c>
      <c r="DT23">
        <v>1500.0039999999999</v>
      </c>
      <c r="DU23">
        <v>0.97300799999999998</v>
      </c>
      <c r="DV23">
        <v>2.6992180000000001E-2</v>
      </c>
      <c r="DW23">
        <v>0</v>
      </c>
      <c r="DX23">
        <v>286.27719999999999</v>
      </c>
      <c r="DY23">
        <v>4.9999900000000004</v>
      </c>
      <c r="DZ23">
        <v>4221.1019999999999</v>
      </c>
      <c r="EA23">
        <v>14882.68</v>
      </c>
      <c r="EB23">
        <v>36.5</v>
      </c>
      <c r="EC23">
        <v>37.987400000000001</v>
      </c>
      <c r="ED23">
        <v>37.061999999999998</v>
      </c>
      <c r="EE23">
        <v>37.375</v>
      </c>
      <c r="EF23">
        <v>38.186999999999998</v>
      </c>
      <c r="EG23">
        <v>1454.654</v>
      </c>
      <c r="EH23">
        <v>40.35</v>
      </c>
      <c r="EI23">
        <v>0</v>
      </c>
      <c r="EJ23">
        <v>3381</v>
      </c>
      <c r="EK23">
        <v>0</v>
      </c>
      <c r="EL23">
        <v>286.01956000000001</v>
      </c>
      <c r="EM23">
        <v>0.24053844644766401</v>
      </c>
      <c r="EN23">
        <v>21.182307669236099</v>
      </c>
      <c r="EO23">
        <v>4219.5756000000001</v>
      </c>
      <c r="EP23">
        <v>15</v>
      </c>
      <c r="EQ23">
        <v>1792125922.0999999</v>
      </c>
      <c r="ER23" t="s">
        <v>363</v>
      </c>
      <c r="ES23">
        <v>1792125921.0999999</v>
      </c>
      <c r="ET23">
        <v>1792125922.0999999</v>
      </c>
      <c r="EU23">
        <v>44</v>
      </c>
      <c r="EV23">
        <v>7.0000000000000001E-3</v>
      </c>
      <c r="EW23">
        <v>-1E-3</v>
      </c>
      <c r="EX23">
        <v>-0.58399999999999996</v>
      </c>
      <c r="EY23">
        <v>-0.188</v>
      </c>
      <c r="EZ23">
        <v>400</v>
      </c>
      <c r="FA23">
        <v>16</v>
      </c>
      <c r="FB23">
        <v>0.17</v>
      </c>
      <c r="FC23">
        <v>0.04</v>
      </c>
      <c r="FD23">
        <v>27.488209270416299</v>
      </c>
      <c r="FE23">
        <v>-0.283203721387496</v>
      </c>
      <c r="FF23">
        <v>0.106863827664647</v>
      </c>
      <c r="FG23">
        <v>1</v>
      </c>
      <c r="FH23">
        <v>-11.931865</v>
      </c>
      <c r="FI23">
        <v>0.167580451127818</v>
      </c>
      <c r="FJ23">
        <v>3.7853537153085003E-2</v>
      </c>
      <c r="FK23">
        <v>1</v>
      </c>
      <c r="FL23">
        <v>285.944205882353</v>
      </c>
      <c r="FM23">
        <v>1.4344232173176401</v>
      </c>
      <c r="FN23">
        <v>0.481986805983182</v>
      </c>
      <c r="FO23">
        <v>-1</v>
      </c>
      <c r="FP23">
        <v>2</v>
      </c>
      <c r="FQ23">
        <v>2</v>
      </c>
      <c r="FR23" t="s">
        <v>345</v>
      </c>
      <c r="FS23">
        <v>100</v>
      </c>
      <c r="FT23">
        <v>100</v>
      </c>
      <c r="FU23">
        <v>-0.58799999999999997</v>
      </c>
      <c r="FV23">
        <v>-0.15840000000000001</v>
      </c>
      <c r="FW23">
        <v>-0.65838791463166202</v>
      </c>
      <c r="FX23">
        <v>-6.1673298426602905E-5</v>
      </c>
      <c r="FY23">
        <v>6.1939807181674203E-7</v>
      </c>
      <c r="FZ23">
        <v>3.19222985850634E-12</v>
      </c>
      <c r="GA23">
        <v>-8.39693571694302E-2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1.1000000000000001</v>
      </c>
      <c r="GJ23">
        <v>1.1000000000000001</v>
      </c>
      <c r="GK23">
        <v>1.0388200000000001</v>
      </c>
      <c r="GL23">
        <v>2.66235</v>
      </c>
      <c r="GM23">
        <v>1.65161</v>
      </c>
      <c r="GN23">
        <v>2.2705099999999998</v>
      </c>
      <c r="GO23">
        <v>1.5979000000000001</v>
      </c>
      <c r="GP23">
        <v>2.4450699999999999</v>
      </c>
      <c r="GQ23">
        <v>36.575899999999997</v>
      </c>
      <c r="GR23">
        <v>23.9299</v>
      </c>
      <c r="GS23">
        <v>18</v>
      </c>
      <c r="GT23">
        <v>488.44099999999997</v>
      </c>
      <c r="GU23">
        <v>538.04700000000003</v>
      </c>
      <c r="GV23">
        <v>22.834599999999998</v>
      </c>
      <c r="GW23">
        <v>28.145600000000002</v>
      </c>
      <c r="GX23">
        <v>30.0001</v>
      </c>
      <c r="GY23">
        <v>28.332699999999999</v>
      </c>
      <c r="GZ23">
        <v>28.400099999999998</v>
      </c>
      <c r="HA23">
        <v>20.7942</v>
      </c>
      <c r="HB23">
        <v>21.909400000000002</v>
      </c>
      <c r="HC23">
        <v>30.5519</v>
      </c>
      <c r="HD23">
        <v>22.839300000000001</v>
      </c>
      <c r="HE23">
        <v>400</v>
      </c>
      <c r="HF23">
        <v>15.447900000000001</v>
      </c>
      <c r="HG23">
        <v>98.314300000000003</v>
      </c>
      <c r="HH23">
        <v>94.825999999999993</v>
      </c>
    </row>
    <row r="24" spans="1:216" x14ac:dyDescent="0.3">
      <c r="A24">
        <v>8</v>
      </c>
      <c r="B24">
        <v>1792126121.0999999</v>
      </c>
      <c r="C24">
        <v>873.09999990463302</v>
      </c>
      <c r="D24" t="s">
        <v>364</v>
      </c>
      <c r="E24" t="s">
        <v>365</v>
      </c>
      <c r="F24">
        <v>5</v>
      </c>
      <c r="G24">
        <v>1792126117.5999999</v>
      </c>
      <c r="H24">
        <f t="shared" si="0"/>
        <v>5.7796606411883089E-3</v>
      </c>
      <c r="I24">
        <f t="shared" si="1"/>
        <v>5.7796606411883085</v>
      </c>
      <c r="J24">
        <f t="shared" si="2"/>
        <v>38.075563152064859</v>
      </c>
      <c r="K24">
        <f t="shared" si="3"/>
        <v>683.19316666666703</v>
      </c>
      <c r="L24">
        <f t="shared" si="4"/>
        <v>525.15983970459843</v>
      </c>
      <c r="M24">
        <f t="shared" si="5"/>
        <v>53.435434062889072</v>
      </c>
      <c r="N24">
        <f t="shared" si="6"/>
        <v>69.515451581689945</v>
      </c>
      <c r="O24">
        <f t="shared" si="7"/>
        <v>0.45036456871194464</v>
      </c>
      <c r="P24">
        <f t="shared" si="8"/>
        <v>3.0382619308294703</v>
      </c>
      <c r="Q24">
        <f t="shared" si="9"/>
        <v>0.41629438941488084</v>
      </c>
      <c r="R24">
        <f t="shared" si="10"/>
        <v>0.2630299513838289</v>
      </c>
      <c r="S24">
        <f t="shared" si="11"/>
        <v>241.72190101557607</v>
      </c>
      <c r="T24">
        <f t="shared" si="12"/>
        <v>25.475590914302913</v>
      </c>
      <c r="U24">
        <f t="shared" si="13"/>
        <v>25.042183333333298</v>
      </c>
      <c r="V24">
        <f t="shared" si="14"/>
        <v>3.1876830555714082</v>
      </c>
      <c r="W24">
        <f t="shared" si="15"/>
        <v>55.080305256126792</v>
      </c>
      <c r="X24">
        <f t="shared" si="16"/>
        <v>1.8097075160133096</v>
      </c>
      <c r="Y24">
        <f t="shared" si="17"/>
        <v>3.2855800409929805</v>
      </c>
      <c r="Z24">
        <f t="shared" si="18"/>
        <v>1.3779755395580986</v>
      </c>
      <c r="AA24">
        <f t="shared" si="19"/>
        <v>-254.88303427640443</v>
      </c>
      <c r="AB24">
        <f t="shared" si="20"/>
        <v>83.29167821376592</v>
      </c>
      <c r="AC24">
        <f t="shared" si="21"/>
        <v>5.8161032247744533</v>
      </c>
      <c r="AD24">
        <f t="shared" si="22"/>
        <v>75.946648177712007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54012.008491326524</v>
      </c>
      <c r="AJ24" t="s">
        <v>342</v>
      </c>
      <c r="AK24" t="s">
        <v>342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342</v>
      </c>
      <c r="AQ24" t="s">
        <v>342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1261.1349000080706</v>
      </c>
      <c r="AW24">
        <f t="shared" si="29"/>
        <v>38.075563152064859</v>
      </c>
      <c r="AX24" t="e">
        <f t="shared" si="30"/>
        <v>#DIV/0!</v>
      </c>
      <c r="AY24">
        <f t="shared" si="31"/>
        <v>3.0191506992488428E-2</v>
      </c>
      <c r="AZ24" t="e">
        <f t="shared" si="32"/>
        <v>#DIV/0!</v>
      </c>
      <c r="BA24" t="e">
        <f t="shared" si="33"/>
        <v>#DIV/0!</v>
      </c>
      <c r="BB24" t="s">
        <v>342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165</v>
      </c>
      <c r="BM24">
        <v>290</v>
      </c>
      <c r="BN24">
        <v>752.12</v>
      </c>
      <c r="BO24">
        <v>225</v>
      </c>
      <c r="BP24">
        <v>8118.81</v>
      </c>
      <c r="BQ24">
        <v>749.5</v>
      </c>
      <c r="BR24">
        <v>2.62</v>
      </c>
      <c r="BS24">
        <v>300</v>
      </c>
      <c r="BT24">
        <v>19.100000000000001</v>
      </c>
      <c r="BU24">
        <v>776.847297841461</v>
      </c>
      <c r="BV24">
        <v>2.6062375782498401</v>
      </c>
      <c r="BW24">
        <v>-22.204896785992101</v>
      </c>
      <c r="BX24">
        <v>1.8925671903791601</v>
      </c>
      <c r="BY24">
        <v>0.83097495438304203</v>
      </c>
      <c r="BZ24">
        <v>-5.3702516129032303E-3</v>
      </c>
      <c r="CA24">
        <v>290</v>
      </c>
      <c r="CB24">
        <v>742.31</v>
      </c>
      <c r="CC24">
        <v>625</v>
      </c>
      <c r="CD24">
        <v>8112.81</v>
      </c>
      <c r="CE24">
        <v>749.48</v>
      </c>
      <c r="CF24">
        <v>-7.17</v>
      </c>
      <c r="CT24">
        <f t="shared" si="42"/>
        <v>1499.91</v>
      </c>
      <c r="CU24">
        <f t="shared" si="43"/>
        <v>1261.1349000080706</v>
      </c>
      <c r="CV24">
        <f t="shared" si="44"/>
        <v>0.84080704842828602</v>
      </c>
      <c r="CW24">
        <f t="shared" si="45"/>
        <v>0.16115760346659203</v>
      </c>
      <c r="CX24">
        <v>2</v>
      </c>
      <c r="CY24">
        <v>0.5</v>
      </c>
      <c r="CZ24" t="s">
        <v>343</v>
      </c>
      <c r="DA24">
        <v>2</v>
      </c>
      <c r="DB24">
        <v>1792126117.5999999</v>
      </c>
      <c r="DC24">
        <v>683.19316666666703</v>
      </c>
      <c r="DD24">
        <v>700.00250000000005</v>
      </c>
      <c r="DE24">
        <v>17.785683333333299</v>
      </c>
      <c r="DF24">
        <v>15.5149833333333</v>
      </c>
      <c r="DG24">
        <v>683.30250000000001</v>
      </c>
      <c r="DH24">
        <v>17.9433166666667</v>
      </c>
      <c r="DI24">
        <v>500.01016666666698</v>
      </c>
      <c r="DJ24">
        <v>101.650833333333</v>
      </c>
      <c r="DK24">
        <v>9.9967133333333305E-2</v>
      </c>
      <c r="DL24">
        <v>25.5506833333333</v>
      </c>
      <c r="DM24">
        <v>25.042183333333298</v>
      </c>
      <c r="DN24">
        <v>999.9</v>
      </c>
      <c r="DO24">
        <v>0</v>
      </c>
      <c r="DP24">
        <v>0</v>
      </c>
      <c r="DQ24">
        <v>10000.1916666667</v>
      </c>
      <c r="DR24">
        <v>0</v>
      </c>
      <c r="DS24">
        <v>8.3473000000000006</v>
      </c>
      <c r="DT24">
        <v>1499.91</v>
      </c>
      <c r="DU24">
        <v>0.97300583333333301</v>
      </c>
      <c r="DV24">
        <v>2.699385E-2</v>
      </c>
      <c r="DW24">
        <v>0</v>
      </c>
      <c r="DX24">
        <v>287.10466666666701</v>
      </c>
      <c r="DY24">
        <v>4.9999900000000004</v>
      </c>
      <c r="DZ24">
        <v>4242.2466666666696</v>
      </c>
      <c r="EA24">
        <v>14881.75</v>
      </c>
      <c r="EB24">
        <v>36.780999999999999</v>
      </c>
      <c r="EC24">
        <v>38.593499999999999</v>
      </c>
      <c r="ED24">
        <v>37.364333333333299</v>
      </c>
      <c r="EE24">
        <v>38.218499999999999</v>
      </c>
      <c r="EF24">
        <v>38.728833333333299</v>
      </c>
      <c r="EG24">
        <v>1454.56</v>
      </c>
      <c r="EH24">
        <v>40.35</v>
      </c>
      <c r="EI24">
        <v>0</v>
      </c>
      <c r="EJ24">
        <v>3513</v>
      </c>
      <c r="EK24">
        <v>0</v>
      </c>
      <c r="EL24">
        <v>286.93072000000001</v>
      </c>
      <c r="EM24">
        <v>2.0495384729644401</v>
      </c>
      <c r="EN24">
        <v>22.502307689960201</v>
      </c>
      <c r="EO24">
        <v>4241.2907999999998</v>
      </c>
      <c r="EP24">
        <v>15</v>
      </c>
      <c r="EQ24">
        <v>1792126057.0999999</v>
      </c>
      <c r="ER24" t="s">
        <v>366</v>
      </c>
      <c r="ES24">
        <v>1792126047.0999999</v>
      </c>
      <c r="ET24">
        <v>1792126057.0999999</v>
      </c>
      <c r="EU24">
        <v>45</v>
      </c>
      <c r="EV24">
        <v>0.30099999999999999</v>
      </c>
      <c r="EW24">
        <v>1E-3</v>
      </c>
      <c r="EX24">
        <v>-9.6000000000000002E-2</v>
      </c>
      <c r="EY24">
        <v>-0.187</v>
      </c>
      <c r="EZ24">
        <v>700</v>
      </c>
      <c r="FA24">
        <v>15</v>
      </c>
      <c r="FB24">
        <v>0.09</v>
      </c>
      <c r="FC24">
        <v>0.03</v>
      </c>
      <c r="FD24">
        <v>38.0671013222059</v>
      </c>
      <c r="FE24">
        <v>0.39424277878921299</v>
      </c>
      <c r="FF24">
        <v>9.1647136198862E-2</v>
      </c>
      <c r="FG24">
        <v>1</v>
      </c>
      <c r="FH24">
        <v>-16.814680952381</v>
      </c>
      <c r="FI24">
        <v>-3.2914285714307101E-2</v>
      </c>
      <c r="FJ24">
        <v>3.4564964632491202E-2</v>
      </c>
      <c r="FK24">
        <v>1</v>
      </c>
      <c r="FL24">
        <v>286.83458823529401</v>
      </c>
      <c r="FM24">
        <v>0.76397249159318903</v>
      </c>
      <c r="FN24">
        <v>0.42668049195450097</v>
      </c>
      <c r="FO24">
        <v>-1</v>
      </c>
      <c r="FP24">
        <v>2</v>
      </c>
      <c r="FQ24">
        <v>2</v>
      </c>
      <c r="FR24" t="s">
        <v>345</v>
      </c>
      <c r="FS24">
        <v>100</v>
      </c>
      <c r="FT24">
        <v>100</v>
      </c>
      <c r="FU24">
        <v>-0.11</v>
      </c>
      <c r="FV24">
        <v>-0.15770000000000001</v>
      </c>
      <c r="FW24">
        <v>-0.35774750149767298</v>
      </c>
      <c r="FX24">
        <v>-6.1673298426602905E-5</v>
      </c>
      <c r="FY24">
        <v>6.1939807181674203E-7</v>
      </c>
      <c r="FZ24">
        <v>3.19222985850634E-12</v>
      </c>
      <c r="GA24">
        <v>-8.2764741592201194E-2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1.2</v>
      </c>
      <c r="GJ24">
        <v>1.1000000000000001</v>
      </c>
      <c r="GK24">
        <v>1.62598</v>
      </c>
      <c r="GL24">
        <v>2.65015</v>
      </c>
      <c r="GM24">
        <v>1.65161</v>
      </c>
      <c r="GN24">
        <v>2.2705099999999998</v>
      </c>
      <c r="GO24">
        <v>1.5979000000000001</v>
      </c>
      <c r="GP24">
        <v>2.65625</v>
      </c>
      <c r="GQ24">
        <v>36.505099999999999</v>
      </c>
      <c r="GR24">
        <v>23.956199999999999</v>
      </c>
      <c r="GS24">
        <v>18</v>
      </c>
      <c r="GT24">
        <v>488.40800000000002</v>
      </c>
      <c r="GU24">
        <v>538.57899999999995</v>
      </c>
      <c r="GV24">
        <v>22.430399999999999</v>
      </c>
      <c r="GW24">
        <v>28.144600000000001</v>
      </c>
      <c r="GX24">
        <v>30</v>
      </c>
      <c r="GY24">
        <v>28.313500000000001</v>
      </c>
      <c r="GZ24">
        <v>28.377199999999998</v>
      </c>
      <c r="HA24">
        <v>32.503900000000002</v>
      </c>
      <c r="HB24">
        <v>21.2409</v>
      </c>
      <c r="HC24">
        <v>30.4651</v>
      </c>
      <c r="HD24">
        <v>22.421700000000001</v>
      </c>
      <c r="HE24">
        <v>700</v>
      </c>
      <c r="HF24">
        <v>15.509399999999999</v>
      </c>
      <c r="HG24">
        <v>98.317400000000006</v>
      </c>
      <c r="HH24">
        <v>94.823800000000006</v>
      </c>
    </row>
    <row r="25" spans="1:216" x14ac:dyDescent="0.3">
      <c r="A25">
        <v>9</v>
      </c>
      <c r="B25">
        <v>1792126258.0999999</v>
      </c>
      <c r="C25">
        <v>1010.09999990463</v>
      </c>
      <c r="D25" t="s">
        <v>367</v>
      </c>
      <c r="E25" t="s">
        <v>368</v>
      </c>
      <c r="F25">
        <v>5</v>
      </c>
      <c r="G25">
        <v>1792126254.5999999</v>
      </c>
      <c r="H25">
        <f t="shared" si="0"/>
        <v>4.9461452240043636E-3</v>
      </c>
      <c r="I25">
        <f t="shared" si="1"/>
        <v>4.946145224004364</v>
      </c>
      <c r="J25">
        <f t="shared" si="2"/>
        <v>41.389506953834626</v>
      </c>
      <c r="K25">
        <f t="shared" si="3"/>
        <v>981.5385</v>
      </c>
      <c r="L25">
        <f t="shared" si="4"/>
        <v>775.28901942392326</v>
      </c>
      <c r="M25">
        <f t="shared" si="5"/>
        <v>78.881713314282763</v>
      </c>
      <c r="N25">
        <f t="shared" si="6"/>
        <v>99.866548634291163</v>
      </c>
      <c r="O25">
        <f t="shared" si="7"/>
        <v>0.37556414231262425</v>
      </c>
      <c r="P25">
        <f t="shared" si="8"/>
        <v>3.0370979960268318</v>
      </c>
      <c r="Q25">
        <f t="shared" si="9"/>
        <v>0.35153941807485567</v>
      </c>
      <c r="R25">
        <f t="shared" si="10"/>
        <v>0.22174246862776581</v>
      </c>
      <c r="S25">
        <f t="shared" si="11"/>
        <v>241.76257041915065</v>
      </c>
      <c r="T25">
        <f t="shared" si="12"/>
        <v>25.482433280702878</v>
      </c>
      <c r="U25">
        <f t="shared" si="13"/>
        <v>25.03585</v>
      </c>
      <c r="V25">
        <f t="shared" si="14"/>
        <v>3.1864800061838379</v>
      </c>
      <c r="W25">
        <f t="shared" si="15"/>
        <v>55.140427317160977</v>
      </c>
      <c r="X25">
        <f t="shared" si="16"/>
        <v>1.7899422829785441</v>
      </c>
      <c r="Y25">
        <f t="shared" si="17"/>
        <v>3.2461523605593685</v>
      </c>
      <c r="Z25">
        <f t="shared" si="18"/>
        <v>1.3965377232052938</v>
      </c>
      <c r="AA25">
        <f t="shared" si="19"/>
        <v>-218.12500437859242</v>
      </c>
      <c r="AB25">
        <f t="shared" si="20"/>
        <v>51.028332864974558</v>
      </c>
      <c r="AC25">
        <f t="shared" si="21"/>
        <v>3.5608234764904938</v>
      </c>
      <c r="AD25">
        <f t="shared" si="22"/>
        <v>78.226722382023283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54012.208223800662</v>
      </c>
      <c r="AJ25" t="s">
        <v>342</v>
      </c>
      <c r="AK25" t="s">
        <v>342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342</v>
      </c>
      <c r="AQ25" t="s">
        <v>342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1261.3452986627724</v>
      </c>
      <c r="AW25">
        <f t="shared" si="29"/>
        <v>41.389506953834626</v>
      </c>
      <c r="AX25" t="e">
        <f t="shared" si="30"/>
        <v>#DIV/0!</v>
      </c>
      <c r="AY25">
        <f t="shared" si="31"/>
        <v>3.2813779856883059E-2</v>
      </c>
      <c r="AZ25" t="e">
        <f t="shared" si="32"/>
        <v>#DIV/0!</v>
      </c>
      <c r="BA25" t="e">
        <f t="shared" si="33"/>
        <v>#DIV/0!</v>
      </c>
      <c r="BB25" t="s">
        <v>342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165</v>
      </c>
      <c r="BM25">
        <v>290</v>
      </c>
      <c r="BN25">
        <v>752.12</v>
      </c>
      <c r="BO25">
        <v>225</v>
      </c>
      <c r="BP25">
        <v>8118.81</v>
      </c>
      <c r="BQ25">
        <v>749.5</v>
      </c>
      <c r="BR25">
        <v>2.62</v>
      </c>
      <c r="BS25">
        <v>300</v>
      </c>
      <c r="BT25">
        <v>19.100000000000001</v>
      </c>
      <c r="BU25">
        <v>776.847297841461</v>
      </c>
      <c r="BV25">
        <v>2.6062375782498401</v>
      </c>
      <c r="BW25">
        <v>-22.204896785992101</v>
      </c>
      <c r="BX25">
        <v>1.8925671903791601</v>
      </c>
      <c r="BY25">
        <v>0.83097495438304203</v>
      </c>
      <c r="BZ25">
        <v>-5.3702516129032303E-3</v>
      </c>
      <c r="CA25">
        <v>290</v>
      </c>
      <c r="CB25">
        <v>742.31</v>
      </c>
      <c r="CC25">
        <v>625</v>
      </c>
      <c r="CD25">
        <v>8112.81</v>
      </c>
      <c r="CE25">
        <v>749.48</v>
      </c>
      <c r="CF25">
        <v>-7.17</v>
      </c>
      <c r="CT25">
        <f t="shared" si="42"/>
        <v>1500.16</v>
      </c>
      <c r="CU25">
        <f t="shared" si="43"/>
        <v>1261.3452986627724</v>
      </c>
      <c r="CV25">
        <f t="shared" si="44"/>
        <v>0.84080717967601615</v>
      </c>
      <c r="CW25">
        <f t="shared" si="45"/>
        <v>0.16115785677471112</v>
      </c>
      <c r="CX25">
        <v>2</v>
      </c>
      <c r="CY25">
        <v>0.5</v>
      </c>
      <c r="CZ25" t="s">
        <v>343</v>
      </c>
      <c r="DA25">
        <v>2</v>
      </c>
      <c r="DB25">
        <v>1792126254.5999999</v>
      </c>
      <c r="DC25">
        <v>981.5385</v>
      </c>
      <c r="DD25">
        <v>1000.03716666667</v>
      </c>
      <c r="DE25">
        <v>17.592449999999999</v>
      </c>
      <c r="DF25">
        <v>15.6487</v>
      </c>
      <c r="DG25">
        <v>981.40750000000003</v>
      </c>
      <c r="DH25">
        <v>17.7562</v>
      </c>
      <c r="DI25">
        <v>499.97483333333298</v>
      </c>
      <c r="DJ25">
        <v>101.644833333333</v>
      </c>
      <c r="DK25">
        <v>0.100079</v>
      </c>
      <c r="DL25">
        <v>25.3475</v>
      </c>
      <c r="DM25">
        <v>25.03585</v>
      </c>
      <c r="DN25">
        <v>999.9</v>
      </c>
      <c r="DO25">
        <v>0</v>
      </c>
      <c r="DP25">
        <v>0</v>
      </c>
      <c r="DQ25">
        <v>9993.75</v>
      </c>
      <c r="DR25">
        <v>0</v>
      </c>
      <c r="DS25">
        <v>8.6959900000000001</v>
      </c>
      <c r="DT25">
        <v>1500.16</v>
      </c>
      <c r="DU25">
        <v>0.97300516666666703</v>
      </c>
      <c r="DV25">
        <v>2.699505E-2</v>
      </c>
      <c r="DW25">
        <v>0</v>
      </c>
      <c r="DX25">
        <v>283.61733333333302</v>
      </c>
      <c r="DY25">
        <v>4.9999900000000004</v>
      </c>
      <c r="DZ25">
        <v>4237.1566666666704</v>
      </c>
      <c r="EA25">
        <v>14884.2</v>
      </c>
      <c r="EB25">
        <v>39.1353333333333</v>
      </c>
      <c r="EC25">
        <v>40.968499999999999</v>
      </c>
      <c r="ED25">
        <v>39.625</v>
      </c>
      <c r="EE25">
        <v>41.760166666666699</v>
      </c>
      <c r="EF25">
        <v>40.989333333333299</v>
      </c>
      <c r="EG25">
        <v>1454.79833333333</v>
      </c>
      <c r="EH25">
        <v>40.363333333333301</v>
      </c>
      <c r="EI25">
        <v>0</v>
      </c>
      <c r="EJ25">
        <v>3649.7999999523199</v>
      </c>
      <c r="EK25">
        <v>0</v>
      </c>
      <c r="EL25">
        <v>283.66467999999998</v>
      </c>
      <c r="EM25">
        <v>-1.7269230894704</v>
      </c>
      <c r="EN25">
        <v>-8.1338461540761706</v>
      </c>
      <c r="EO25">
        <v>4237.6679999999997</v>
      </c>
      <c r="EP25">
        <v>15</v>
      </c>
      <c r="EQ25">
        <v>1792126198.0999999</v>
      </c>
      <c r="ER25" t="s">
        <v>369</v>
      </c>
      <c r="ES25">
        <v>1792126198.0999999</v>
      </c>
      <c r="ET25">
        <v>1792126183.0999999</v>
      </c>
      <c r="EU25">
        <v>46</v>
      </c>
      <c r="EV25">
        <v>-4.9000000000000002E-2</v>
      </c>
      <c r="EW25">
        <v>-3.0000000000000001E-3</v>
      </c>
      <c r="EX25">
        <v>0.153</v>
      </c>
      <c r="EY25">
        <v>-0.19</v>
      </c>
      <c r="EZ25">
        <v>1000</v>
      </c>
      <c r="FA25">
        <v>16</v>
      </c>
      <c r="FB25">
        <v>0.1</v>
      </c>
      <c r="FC25">
        <v>0.03</v>
      </c>
      <c r="FD25">
        <v>41.368073642011502</v>
      </c>
      <c r="FE25">
        <v>0.54958323181928403</v>
      </c>
      <c r="FF25">
        <v>0.12921744060506499</v>
      </c>
      <c r="FG25">
        <v>1</v>
      </c>
      <c r="FH25">
        <v>-18.51465</v>
      </c>
      <c r="FI25">
        <v>5.9584962406020597E-2</v>
      </c>
      <c r="FJ25">
        <v>5.0615249678333599E-2</v>
      </c>
      <c r="FK25">
        <v>1</v>
      </c>
      <c r="FL25">
        <v>283.69076470588197</v>
      </c>
      <c r="FM25">
        <v>6.0290279579444002E-2</v>
      </c>
      <c r="FN25">
        <v>0.47012708287062299</v>
      </c>
      <c r="FO25">
        <v>-1</v>
      </c>
      <c r="FP25">
        <v>2</v>
      </c>
      <c r="FQ25">
        <v>2</v>
      </c>
      <c r="FR25" t="s">
        <v>345</v>
      </c>
      <c r="FS25">
        <v>100</v>
      </c>
      <c r="FT25">
        <v>100</v>
      </c>
      <c r="FU25">
        <v>0.13100000000000001</v>
      </c>
      <c r="FV25">
        <v>-0.16389999999999999</v>
      </c>
      <c r="FW25">
        <v>-0.408000545446491</v>
      </c>
      <c r="FX25">
        <v>-6.1673298426602905E-5</v>
      </c>
      <c r="FY25">
        <v>6.1939807181674203E-7</v>
      </c>
      <c r="FZ25">
        <v>3.19222985850634E-12</v>
      </c>
      <c r="GA25">
        <v>-8.6088605908475696E-2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</v>
      </c>
      <c r="GJ25">
        <v>1.2</v>
      </c>
      <c r="GK25">
        <v>2.17041</v>
      </c>
      <c r="GL25">
        <v>2.6428199999999999</v>
      </c>
      <c r="GM25">
        <v>1.65161</v>
      </c>
      <c r="GN25">
        <v>2.2692899999999998</v>
      </c>
      <c r="GO25">
        <v>1.5979000000000001</v>
      </c>
      <c r="GP25">
        <v>2.5293000000000001</v>
      </c>
      <c r="GQ25">
        <v>36.4343</v>
      </c>
      <c r="GR25">
        <v>23.938700000000001</v>
      </c>
      <c r="GS25">
        <v>18</v>
      </c>
      <c r="GT25">
        <v>488.43799999999999</v>
      </c>
      <c r="GU25">
        <v>539.197</v>
      </c>
      <c r="GV25">
        <v>21.4221</v>
      </c>
      <c r="GW25">
        <v>28.163799999999998</v>
      </c>
      <c r="GX25">
        <v>30.0001</v>
      </c>
      <c r="GY25">
        <v>28.313500000000001</v>
      </c>
      <c r="GZ25">
        <v>28.3748</v>
      </c>
      <c r="HA25">
        <v>43.3979</v>
      </c>
      <c r="HB25">
        <v>20.8034</v>
      </c>
      <c r="HC25">
        <v>30.654800000000002</v>
      </c>
      <c r="HD25">
        <v>21.393000000000001</v>
      </c>
      <c r="HE25">
        <v>1000</v>
      </c>
      <c r="HF25">
        <v>15.6325</v>
      </c>
      <c r="HG25">
        <v>98.311300000000003</v>
      </c>
      <c r="HH25">
        <v>94.816800000000001</v>
      </c>
    </row>
    <row r="26" spans="1:216" x14ac:dyDescent="0.3">
      <c r="A26">
        <v>10</v>
      </c>
      <c r="B26">
        <v>1792126385.0999999</v>
      </c>
      <c r="C26">
        <v>1137.0999999046301</v>
      </c>
      <c r="D26" t="s">
        <v>370</v>
      </c>
      <c r="E26" t="s">
        <v>371</v>
      </c>
      <c r="F26">
        <v>5</v>
      </c>
      <c r="G26">
        <v>1792126381.5999999</v>
      </c>
      <c r="H26">
        <f t="shared" si="0"/>
        <v>4.1705970757696647E-3</v>
      </c>
      <c r="I26">
        <f t="shared" si="1"/>
        <v>4.1705970757696651</v>
      </c>
      <c r="J26">
        <f t="shared" si="2"/>
        <v>41.22475505550694</v>
      </c>
      <c r="K26">
        <f t="shared" si="3"/>
        <v>1181.5316666666699</v>
      </c>
      <c r="L26">
        <f t="shared" si="4"/>
        <v>931.10612338517819</v>
      </c>
      <c r="M26">
        <f t="shared" si="5"/>
        <v>94.733401368898228</v>
      </c>
      <c r="N26">
        <f t="shared" si="6"/>
        <v>120.21241273922297</v>
      </c>
      <c r="O26">
        <f t="shared" si="7"/>
        <v>0.30542866842731276</v>
      </c>
      <c r="P26">
        <f t="shared" si="8"/>
        <v>3.0379620763314987</v>
      </c>
      <c r="Q26">
        <f t="shared" si="9"/>
        <v>0.28933713011753109</v>
      </c>
      <c r="R26">
        <f t="shared" si="10"/>
        <v>0.18221078789431419</v>
      </c>
      <c r="S26">
        <f t="shared" si="11"/>
        <v>241.73609301558346</v>
      </c>
      <c r="T26">
        <f t="shared" si="12"/>
        <v>25.50530271672865</v>
      </c>
      <c r="U26">
        <f t="shared" si="13"/>
        <v>25.068183333333302</v>
      </c>
      <c r="V26">
        <f t="shared" si="14"/>
        <v>3.1926260502249706</v>
      </c>
      <c r="W26">
        <f t="shared" si="15"/>
        <v>54.831693153484984</v>
      </c>
      <c r="X26">
        <f t="shared" si="16"/>
        <v>1.7617793900225942</v>
      </c>
      <c r="Y26">
        <f t="shared" si="17"/>
        <v>3.2130676415390238</v>
      </c>
      <c r="Z26">
        <f t="shared" si="18"/>
        <v>1.4308466602023764</v>
      </c>
      <c r="AA26">
        <f t="shared" si="19"/>
        <v>-183.92333104144222</v>
      </c>
      <c r="AB26">
        <f t="shared" si="20"/>
        <v>17.549306817851079</v>
      </c>
      <c r="AC26">
        <f t="shared" si="21"/>
        <v>1.223403905944539</v>
      </c>
      <c r="AD26">
        <f t="shared" si="22"/>
        <v>76.585472697936851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54070.427749509057</v>
      </c>
      <c r="AJ26" t="s">
        <v>342</v>
      </c>
      <c r="AK26" t="s">
        <v>342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342</v>
      </c>
      <c r="AQ26" t="s">
        <v>342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1261.2041000080769</v>
      </c>
      <c r="AW26">
        <f t="shared" si="29"/>
        <v>41.22475505550694</v>
      </c>
      <c r="AX26" t="e">
        <f t="shared" si="30"/>
        <v>#DIV/0!</v>
      </c>
      <c r="AY26">
        <f t="shared" si="31"/>
        <v>3.2686822898246946E-2</v>
      </c>
      <c r="AZ26" t="e">
        <f t="shared" si="32"/>
        <v>#DIV/0!</v>
      </c>
      <c r="BA26" t="e">
        <f t="shared" si="33"/>
        <v>#DIV/0!</v>
      </c>
      <c r="BB26" t="s">
        <v>342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165</v>
      </c>
      <c r="BM26">
        <v>290</v>
      </c>
      <c r="BN26">
        <v>752.12</v>
      </c>
      <c r="BO26">
        <v>225</v>
      </c>
      <c r="BP26">
        <v>8118.81</v>
      </c>
      <c r="BQ26">
        <v>749.5</v>
      </c>
      <c r="BR26">
        <v>2.62</v>
      </c>
      <c r="BS26">
        <v>300</v>
      </c>
      <c r="BT26">
        <v>19.100000000000001</v>
      </c>
      <c r="BU26">
        <v>776.847297841461</v>
      </c>
      <c r="BV26">
        <v>2.6062375782498401</v>
      </c>
      <c r="BW26">
        <v>-22.204896785992101</v>
      </c>
      <c r="BX26">
        <v>1.8925671903791601</v>
      </c>
      <c r="BY26">
        <v>0.83097495438304203</v>
      </c>
      <c r="BZ26">
        <v>-5.3702516129032303E-3</v>
      </c>
      <c r="CA26">
        <v>290</v>
      </c>
      <c r="CB26">
        <v>742.31</v>
      </c>
      <c r="CC26">
        <v>625</v>
      </c>
      <c r="CD26">
        <v>8112.81</v>
      </c>
      <c r="CE26">
        <v>749.48</v>
      </c>
      <c r="CF26">
        <v>-7.17</v>
      </c>
      <c r="CT26">
        <f t="shared" si="42"/>
        <v>1499.99166666667</v>
      </c>
      <c r="CU26">
        <f t="shared" si="43"/>
        <v>1261.2041000080769</v>
      </c>
      <c r="CV26">
        <f t="shared" si="44"/>
        <v>0.84080740449096325</v>
      </c>
      <c r="CW26">
        <f t="shared" si="45"/>
        <v>0.16115829066755899</v>
      </c>
      <c r="CX26">
        <v>2</v>
      </c>
      <c r="CY26">
        <v>0.5</v>
      </c>
      <c r="CZ26" t="s">
        <v>343</v>
      </c>
      <c r="DA26">
        <v>2</v>
      </c>
      <c r="DB26">
        <v>1792126381.5999999</v>
      </c>
      <c r="DC26">
        <v>1181.5316666666699</v>
      </c>
      <c r="DD26">
        <v>1199.99</v>
      </c>
      <c r="DE26">
        <v>17.315999999999999</v>
      </c>
      <c r="DF26">
        <v>15.676883333333301</v>
      </c>
      <c r="DG26">
        <v>1180.93166666667</v>
      </c>
      <c r="DH26">
        <v>17.482566666666699</v>
      </c>
      <c r="DI26">
        <v>500.071666666667</v>
      </c>
      <c r="DJ26">
        <v>101.642833333333</v>
      </c>
      <c r="DK26">
        <v>0.10002818333333301</v>
      </c>
      <c r="DL26">
        <v>25.175333333333299</v>
      </c>
      <c r="DM26">
        <v>25.068183333333302</v>
      </c>
      <c r="DN26">
        <v>999.9</v>
      </c>
      <c r="DO26">
        <v>0</v>
      </c>
      <c r="DP26">
        <v>0</v>
      </c>
      <c r="DQ26">
        <v>9999.1666666666697</v>
      </c>
      <c r="DR26">
        <v>0</v>
      </c>
      <c r="DS26">
        <v>8.6959900000000001</v>
      </c>
      <c r="DT26">
        <v>1499.99166666667</v>
      </c>
      <c r="DU26">
        <v>0.97299833333333297</v>
      </c>
      <c r="DV26">
        <v>2.70016166666667E-2</v>
      </c>
      <c r="DW26">
        <v>0</v>
      </c>
      <c r="DX26">
        <v>284.14666666666699</v>
      </c>
      <c r="DY26">
        <v>4.9999900000000004</v>
      </c>
      <c r="DZ26">
        <v>4226.72</v>
      </c>
      <c r="EA26">
        <v>14882.5</v>
      </c>
      <c r="EB26">
        <v>38</v>
      </c>
      <c r="EC26">
        <v>39.25</v>
      </c>
      <c r="ED26">
        <v>38.572499999999998</v>
      </c>
      <c r="EE26">
        <v>38.686999999999998</v>
      </c>
      <c r="EF26">
        <v>39.561999999999998</v>
      </c>
      <c r="EG26">
        <v>1454.6216666666701</v>
      </c>
      <c r="EH26">
        <v>40.369999999999997</v>
      </c>
      <c r="EI26">
        <v>0</v>
      </c>
      <c r="EJ26">
        <v>3777</v>
      </c>
      <c r="EK26">
        <v>0</v>
      </c>
      <c r="EL26">
        <v>284.07776000000001</v>
      </c>
      <c r="EM26">
        <v>3.4876923500384298</v>
      </c>
      <c r="EN26">
        <v>26.486923015620199</v>
      </c>
      <c r="EO26">
        <v>4224.9207999999999</v>
      </c>
      <c r="EP26">
        <v>15</v>
      </c>
      <c r="EQ26">
        <v>1792126323.0999999</v>
      </c>
      <c r="ER26" t="s">
        <v>372</v>
      </c>
      <c r="ES26">
        <v>1792126323.0999999</v>
      </c>
      <c r="ET26">
        <v>1792126317.0999999</v>
      </c>
      <c r="EU26">
        <v>47</v>
      </c>
      <c r="EV26">
        <v>0.21099999999999999</v>
      </c>
      <c r="EW26">
        <v>1E-3</v>
      </c>
      <c r="EX26">
        <v>0.626</v>
      </c>
      <c r="EY26">
        <v>-0.187</v>
      </c>
      <c r="EZ26">
        <v>1200</v>
      </c>
      <c r="FA26">
        <v>16</v>
      </c>
      <c r="FB26">
        <v>0.18</v>
      </c>
      <c r="FC26">
        <v>0.04</v>
      </c>
      <c r="FD26">
        <v>41.195346746753501</v>
      </c>
      <c r="FE26">
        <v>0.297144368292798</v>
      </c>
      <c r="FF26">
        <v>0.146173368797507</v>
      </c>
      <c r="FG26">
        <v>1</v>
      </c>
      <c r="FH26">
        <v>-18.481480952380998</v>
      </c>
      <c r="FI26">
        <v>9.2602597402574802E-2</v>
      </c>
      <c r="FJ26">
        <v>5.7682089479421897E-2</v>
      </c>
      <c r="FK26">
        <v>1</v>
      </c>
      <c r="FL26">
        <v>283.89164705882303</v>
      </c>
      <c r="FM26">
        <v>2.2862032347362402</v>
      </c>
      <c r="FN26">
        <v>0.489255309409585</v>
      </c>
      <c r="FO26">
        <v>-1</v>
      </c>
      <c r="FP26">
        <v>2</v>
      </c>
      <c r="FQ26">
        <v>2</v>
      </c>
      <c r="FR26" t="s">
        <v>345</v>
      </c>
      <c r="FS26">
        <v>100</v>
      </c>
      <c r="FT26">
        <v>100</v>
      </c>
      <c r="FU26">
        <v>0.6</v>
      </c>
      <c r="FV26">
        <v>-0.16669999999999999</v>
      </c>
      <c r="FW26">
        <v>-0.196361238228039</v>
      </c>
      <c r="FX26">
        <v>-6.1673298426602905E-5</v>
      </c>
      <c r="FY26">
        <v>6.1939807181674203E-7</v>
      </c>
      <c r="FZ26">
        <v>3.19222985850634E-12</v>
      </c>
      <c r="GA26">
        <v>-8.4950849800879302E-2</v>
      </c>
      <c r="GB26">
        <v>-2.57783215012692E-2</v>
      </c>
      <c r="GC26">
        <v>1.33723821780375E-3</v>
      </c>
      <c r="GD26">
        <v>-7.42160749481374E-6</v>
      </c>
      <c r="GE26">
        <v>7</v>
      </c>
      <c r="GF26">
        <v>2154</v>
      </c>
      <c r="GG26">
        <v>2</v>
      </c>
      <c r="GH26">
        <v>20</v>
      </c>
      <c r="GI26">
        <v>1</v>
      </c>
      <c r="GJ26">
        <v>1.1000000000000001</v>
      </c>
      <c r="GK26">
        <v>2.51831</v>
      </c>
      <c r="GL26">
        <v>2.6440399999999999</v>
      </c>
      <c r="GM26">
        <v>1.65161</v>
      </c>
      <c r="GN26">
        <v>2.2705099999999998</v>
      </c>
      <c r="GO26">
        <v>1.5979000000000001</v>
      </c>
      <c r="GP26">
        <v>2.4426299999999999</v>
      </c>
      <c r="GQ26">
        <v>36.387099999999997</v>
      </c>
      <c r="GR26">
        <v>23.9649</v>
      </c>
      <c r="GS26">
        <v>18</v>
      </c>
      <c r="GT26">
        <v>488.303</v>
      </c>
      <c r="GU26">
        <v>539.39499999999998</v>
      </c>
      <c r="GV26">
        <v>21.381499999999999</v>
      </c>
      <c r="GW26">
        <v>28.185400000000001</v>
      </c>
      <c r="GX26">
        <v>30.0002</v>
      </c>
      <c r="GY26">
        <v>28.320699999999999</v>
      </c>
      <c r="GZ26">
        <v>28.3797</v>
      </c>
      <c r="HA26">
        <v>50.3324</v>
      </c>
      <c r="HB26">
        <v>20.477599999999999</v>
      </c>
      <c r="HC26">
        <v>30.684799999999999</v>
      </c>
      <c r="HD26">
        <v>21.3492</v>
      </c>
      <c r="HE26">
        <v>1200</v>
      </c>
      <c r="HF26">
        <v>15.738300000000001</v>
      </c>
      <c r="HG26">
        <v>98.309700000000007</v>
      </c>
      <c r="HH26">
        <v>94.811400000000006</v>
      </c>
    </row>
    <row r="27" spans="1:216" x14ac:dyDescent="0.3">
      <c r="A27">
        <v>11</v>
      </c>
      <c r="B27">
        <v>1792126526.0999999</v>
      </c>
      <c r="C27">
        <v>1278.0999999046301</v>
      </c>
      <c r="D27" t="s">
        <v>373</v>
      </c>
      <c r="E27" t="s">
        <v>374</v>
      </c>
      <c r="F27">
        <v>5</v>
      </c>
      <c r="G27">
        <v>1792126523.0999999</v>
      </c>
      <c r="H27">
        <f t="shared" si="0"/>
        <v>3.4304485778526993E-3</v>
      </c>
      <c r="I27">
        <f t="shared" si="1"/>
        <v>3.4304485778526992</v>
      </c>
      <c r="J27">
        <f t="shared" si="2"/>
        <v>41.623162079180183</v>
      </c>
      <c r="K27">
        <f t="shared" si="3"/>
        <v>1481.4079999999999</v>
      </c>
      <c r="L27">
        <f t="shared" si="4"/>
        <v>1170.1355778800589</v>
      </c>
      <c r="M27">
        <f t="shared" si="5"/>
        <v>119.0487873998959</v>
      </c>
      <c r="N27">
        <f t="shared" si="6"/>
        <v>150.71742914100349</v>
      </c>
      <c r="O27">
        <f t="shared" si="7"/>
        <v>0.24646095783865971</v>
      </c>
      <c r="P27">
        <f t="shared" si="8"/>
        <v>3.0376684103831781</v>
      </c>
      <c r="Q27">
        <f t="shared" si="9"/>
        <v>0.2358662993728137</v>
      </c>
      <c r="R27">
        <f t="shared" si="10"/>
        <v>0.14833037155252979</v>
      </c>
      <c r="S27">
        <f t="shared" si="11"/>
        <v>241.73933821558271</v>
      </c>
      <c r="T27">
        <f t="shared" si="12"/>
        <v>25.424222775182233</v>
      </c>
      <c r="U27">
        <f t="shared" si="13"/>
        <v>25.0107</v>
      </c>
      <c r="V27">
        <f t="shared" si="14"/>
        <v>3.1817065489646015</v>
      </c>
      <c r="W27">
        <f t="shared" si="15"/>
        <v>54.954083834674051</v>
      </c>
      <c r="X27">
        <f t="shared" si="16"/>
        <v>1.7377806831590767</v>
      </c>
      <c r="Y27">
        <f t="shared" si="17"/>
        <v>3.1622412055618687</v>
      </c>
      <c r="Z27">
        <f t="shared" si="18"/>
        <v>1.4439258658055247</v>
      </c>
      <c r="AA27">
        <f t="shared" si="19"/>
        <v>-151.28278228330404</v>
      </c>
      <c r="AB27">
        <f t="shared" si="20"/>
        <v>-16.851601594145173</v>
      </c>
      <c r="AC27">
        <f t="shared" si="21"/>
        <v>-1.1729585253861146</v>
      </c>
      <c r="AD27">
        <f t="shared" si="22"/>
        <v>72.431995812747374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54109.699154790011</v>
      </c>
      <c r="AJ27" t="s">
        <v>342</v>
      </c>
      <c r="AK27" t="s">
        <v>342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342</v>
      </c>
      <c r="AQ27" t="s">
        <v>342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1261.2211800080738</v>
      </c>
      <c r="AW27">
        <f t="shared" si="29"/>
        <v>41.623162079180183</v>
      </c>
      <c r="AX27" t="e">
        <f t="shared" si="30"/>
        <v>#DIV/0!</v>
      </c>
      <c r="AY27">
        <f t="shared" si="31"/>
        <v>3.3002270132280624E-2</v>
      </c>
      <c r="AZ27" t="e">
        <f t="shared" si="32"/>
        <v>#DIV/0!</v>
      </c>
      <c r="BA27" t="e">
        <f t="shared" si="33"/>
        <v>#DIV/0!</v>
      </c>
      <c r="BB27" t="s">
        <v>342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165</v>
      </c>
      <c r="BM27">
        <v>290</v>
      </c>
      <c r="BN27">
        <v>752.12</v>
      </c>
      <c r="BO27">
        <v>225</v>
      </c>
      <c r="BP27">
        <v>8118.81</v>
      </c>
      <c r="BQ27">
        <v>749.5</v>
      </c>
      <c r="BR27">
        <v>2.62</v>
      </c>
      <c r="BS27">
        <v>300</v>
      </c>
      <c r="BT27">
        <v>19.100000000000001</v>
      </c>
      <c r="BU27">
        <v>776.847297841461</v>
      </c>
      <c r="BV27">
        <v>2.6062375782498401</v>
      </c>
      <c r="BW27">
        <v>-22.204896785992101</v>
      </c>
      <c r="BX27">
        <v>1.8925671903791601</v>
      </c>
      <c r="BY27">
        <v>0.83097495438304203</v>
      </c>
      <c r="BZ27">
        <v>-5.3702516129032303E-3</v>
      </c>
      <c r="CA27">
        <v>290</v>
      </c>
      <c r="CB27">
        <v>742.31</v>
      </c>
      <c r="CC27">
        <v>625</v>
      </c>
      <c r="CD27">
        <v>8112.81</v>
      </c>
      <c r="CE27">
        <v>749.48</v>
      </c>
      <c r="CF27">
        <v>-7.17</v>
      </c>
      <c r="CT27">
        <f t="shared" si="42"/>
        <v>1500.0119999999999</v>
      </c>
      <c r="CU27">
        <f t="shared" si="43"/>
        <v>1261.2211800080738</v>
      </c>
      <c r="CV27">
        <f t="shared" si="44"/>
        <v>0.84080739354623424</v>
      </c>
      <c r="CW27">
        <f t="shared" si="45"/>
        <v>0.16115826954423212</v>
      </c>
      <c r="CX27">
        <v>2</v>
      </c>
      <c r="CY27">
        <v>0.5</v>
      </c>
      <c r="CZ27" t="s">
        <v>343</v>
      </c>
      <c r="DA27">
        <v>2</v>
      </c>
      <c r="DB27">
        <v>1792126523.0999999</v>
      </c>
      <c r="DC27">
        <v>1481.4079999999999</v>
      </c>
      <c r="DD27">
        <v>1500.09</v>
      </c>
      <c r="DE27">
        <v>17.080719999999999</v>
      </c>
      <c r="DF27">
        <v>15.73198</v>
      </c>
      <c r="DG27">
        <v>1480.2260000000001</v>
      </c>
      <c r="DH27">
        <v>17.251860000000001</v>
      </c>
      <c r="DI27">
        <v>500.00060000000002</v>
      </c>
      <c r="DJ27">
        <v>101.63939999999999</v>
      </c>
      <c r="DK27">
        <v>9.9910940000000004E-2</v>
      </c>
      <c r="DL27">
        <v>24.907800000000002</v>
      </c>
      <c r="DM27">
        <v>25.0107</v>
      </c>
      <c r="DN27">
        <v>999.9</v>
      </c>
      <c r="DO27">
        <v>0</v>
      </c>
      <c r="DP27">
        <v>0</v>
      </c>
      <c r="DQ27">
        <v>9997.73</v>
      </c>
      <c r="DR27">
        <v>0</v>
      </c>
      <c r="DS27">
        <v>8.6959900000000001</v>
      </c>
      <c r="DT27">
        <v>1500.0119999999999</v>
      </c>
      <c r="DU27">
        <v>0.97299400000000003</v>
      </c>
      <c r="DV27">
        <v>2.7006140000000001E-2</v>
      </c>
      <c r="DW27">
        <v>0</v>
      </c>
      <c r="DX27">
        <v>284.78300000000002</v>
      </c>
      <c r="DY27">
        <v>4.9999900000000004</v>
      </c>
      <c r="DZ27">
        <v>4222.7219999999998</v>
      </c>
      <c r="EA27">
        <v>14882.7</v>
      </c>
      <c r="EB27">
        <v>37.199599999999997</v>
      </c>
      <c r="EC27">
        <v>38.612400000000001</v>
      </c>
      <c r="ED27">
        <v>37.774799999999999</v>
      </c>
      <c r="EE27">
        <v>38</v>
      </c>
      <c r="EF27">
        <v>38.799599999999998</v>
      </c>
      <c r="EG27">
        <v>1454.6420000000001</v>
      </c>
      <c r="EH27">
        <v>40.369999999999997</v>
      </c>
      <c r="EI27">
        <v>0</v>
      </c>
      <c r="EJ27">
        <v>3918</v>
      </c>
      <c r="EK27">
        <v>0</v>
      </c>
      <c r="EL27">
        <v>284.80869230769201</v>
      </c>
      <c r="EM27">
        <v>1.40505982337831</v>
      </c>
      <c r="EN27">
        <v>-1.4164102466769699</v>
      </c>
      <c r="EO27">
        <v>4222.7449999999999</v>
      </c>
      <c r="EP27">
        <v>15</v>
      </c>
      <c r="EQ27">
        <v>1792126455.0999999</v>
      </c>
      <c r="ER27" t="s">
        <v>375</v>
      </c>
      <c r="ES27">
        <v>1792126455.0999999</v>
      </c>
      <c r="ET27">
        <v>1792126439.0999999</v>
      </c>
      <c r="EU27">
        <v>48</v>
      </c>
      <c r="EV27">
        <v>0.105</v>
      </c>
      <c r="EW27">
        <v>-1E-3</v>
      </c>
      <c r="EX27">
        <v>1.2170000000000001</v>
      </c>
      <c r="EY27">
        <v>-0.187</v>
      </c>
      <c r="EZ27">
        <v>1500</v>
      </c>
      <c r="FA27">
        <v>16</v>
      </c>
      <c r="FB27">
        <v>0.15</v>
      </c>
      <c r="FC27">
        <v>0.05</v>
      </c>
      <c r="FD27">
        <v>41.717669990162698</v>
      </c>
      <c r="FE27">
        <v>0.19952836945265401</v>
      </c>
      <c r="FF27">
        <v>0.125886996777372</v>
      </c>
      <c r="FG27">
        <v>1</v>
      </c>
      <c r="FH27">
        <v>-18.743565</v>
      </c>
      <c r="FI27">
        <v>0.101616541353376</v>
      </c>
      <c r="FJ27">
        <v>5.1817721630731402E-2</v>
      </c>
      <c r="FK27">
        <v>1</v>
      </c>
      <c r="FL27">
        <v>284.64897058823499</v>
      </c>
      <c r="FM27">
        <v>2.4738426382548502</v>
      </c>
      <c r="FN27">
        <v>0.53879339515658897</v>
      </c>
      <c r="FO27">
        <v>-1</v>
      </c>
      <c r="FP27">
        <v>2</v>
      </c>
      <c r="FQ27">
        <v>2</v>
      </c>
      <c r="FR27" t="s">
        <v>345</v>
      </c>
      <c r="FS27">
        <v>100</v>
      </c>
      <c r="FT27">
        <v>100</v>
      </c>
      <c r="FU27">
        <v>1.18</v>
      </c>
      <c r="FV27">
        <v>-0.17119999999999999</v>
      </c>
      <c r="FW27">
        <v>-9.3221051073810707E-2</v>
      </c>
      <c r="FX27">
        <v>-6.1673298426602905E-5</v>
      </c>
      <c r="FY27">
        <v>6.1939807181674203E-7</v>
      </c>
      <c r="FZ27">
        <v>3.19222985850634E-12</v>
      </c>
      <c r="GA27">
        <v>-8.6329134239910094E-2</v>
      </c>
      <c r="GB27">
        <v>-2.57783215012692E-2</v>
      </c>
      <c r="GC27">
        <v>1.33723821780375E-3</v>
      </c>
      <c r="GD27">
        <v>-7.42160749481374E-6</v>
      </c>
      <c r="GE27">
        <v>7</v>
      </c>
      <c r="GF27">
        <v>2154</v>
      </c>
      <c r="GG27">
        <v>2</v>
      </c>
      <c r="GH27">
        <v>20</v>
      </c>
      <c r="GI27">
        <v>1.2</v>
      </c>
      <c r="GJ27">
        <v>1.4</v>
      </c>
      <c r="GK27">
        <v>3.0188000000000001</v>
      </c>
      <c r="GL27">
        <v>2.63916</v>
      </c>
      <c r="GM27">
        <v>1.65161</v>
      </c>
      <c r="GN27">
        <v>2.2692899999999998</v>
      </c>
      <c r="GO27">
        <v>1.5979000000000001</v>
      </c>
      <c r="GP27">
        <v>2.5097700000000001</v>
      </c>
      <c r="GQ27">
        <v>36.316499999999998</v>
      </c>
      <c r="GR27">
        <v>23.9649</v>
      </c>
      <c r="GS27">
        <v>18</v>
      </c>
      <c r="GT27">
        <v>488.18099999999998</v>
      </c>
      <c r="GU27">
        <v>540.23</v>
      </c>
      <c r="GV27">
        <v>21.096800000000002</v>
      </c>
      <c r="GW27">
        <v>28.1998</v>
      </c>
      <c r="GX27">
        <v>30.0002</v>
      </c>
      <c r="GY27">
        <v>28.335100000000001</v>
      </c>
      <c r="GZ27">
        <v>28.3917</v>
      </c>
      <c r="HA27">
        <v>60.3429</v>
      </c>
      <c r="HB27">
        <v>20.131900000000002</v>
      </c>
      <c r="HC27">
        <v>31.061699999999998</v>
      </c>
      <c r="HD27">
        <v>21.0977</v>
      </c>
      <c r="HE27">
        <v>1500</v>
      </c>
      <c r="HF27">
        <v>15.822699999999999</v>
      </c>
      <c r="HG27">
        <v>98.301000000000002</v>
      </c>
      <c r="HH27">
        <v>94.806299999999993</v>
      </c>
    </row>
    <row r="28" spans="1:216" x14ac:dyDescent="0.3">
      <c r="A28">
        <v>12</v>
      </c>
      <c r="B28">
        <v>1792126653.0999999</v>
      </c>
      <c r="C28">
        <v>1405.0999999046301</v>
      </c>
      <c r="D28" t="s">
        <v>376</v>
      </c>
      <c r="E28" t="s">
        <v>377</v>
      </c>
      <c r="F28">
        <v>5</v>
      </c>
      <c r="G28">
        <v>1792126649.5999999</v>
      </c>
      <c r="H28">
        <f t="shared" si="0"/>
        <v>2.9082881534803645E-3</v>
      </c>
      <c r="I28">
        <f t="shared" si="1"/>
        <v>2.9082881534803646</v>
      </c>
      <c r="J28">
        <f t="shared" si="2"/>
        <v>41.861181473960968</v>
      </c>
      <c r="K28">
        <f t="shared" si="3"/>
        <v>1781.19166666667</v>
      </c>
      <c r="L28">
        <f t="shared" si="4"/>
        <v>1408.7828453534514</v>
      </c>
      <c r="M28">
        <f t="shared" si="5"/>
        <v>143.32486393432569</v>
      </c>
      <c r="N28">
        <f t="shared" si="6"/>
        <v>181.21249425201901</v>
      </c>
      <c r="O28">
        <f t="shared" si="7"/>
        <v>0.20621648523287231</v>
      </c>
      <c r="P28">
        <f t="shared" si="8"/>
        <v>3.0370340295851941</v>
      </c>
      <c r="Q28">
        <f t="shared" si="9"/>
        <v>0.19874141123000999</v>
      </c>
      <c r="R28">
        <f t="shared" si="10"/>
        <v>0.1248624129030981</v>
      </c>
      <c r="S28">
        <f t="shared" si="11"/>
        <v>241.73812701557551</v>
      </c>
      <c r="T28">
        <f t="shared" si="12"/>
        <v>25.4138336423052</v>
      </c>
      <c r="U28">
        <f t="shared" si="13"/>
        <v>24.989266666666701</v>
      </c>
      <c r="V28">
        <f t="shared" si="14"/>
        <v>3.1776434462928869</v>
      </c>
      <c r="W28">
        <f t="shared" si="15"/>
        <v>55.006297385907388</v>
      </c>
      <c r="X28">
        <f t="shared" si="16"/>
        <v>1.7247467148935975</v>
      </c>
      <c r="Y28">
        <f t="shared" si="17"/>
        <v>3.1355441046927792</v>
      </c>
      <c r="Z28">
        <f t="shared" si="18"/>
        <v>1.4528967313992893</v>
      </c>
      <c r="AA28">
        <f t="shared" si="19"/>
        <v>-128.25550756848406</v>
      </c>
      <c r="AB28">
        <f t="shared" si="20"/>
        <v>-36.594231317770053</v>
      </c>
      <c r="AC28">
        <f t="shared" si="21"/>
        <v>-2.5455838880377715</v>
      </c>
      <c r="AD28">
        <f t="shared" si="22"/>
        <v>74.342804241283616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54115.545913493173</v>
      </c>
      <c r="AJ28" t="s">
        <v>342</v>
      </c>
      <c r="AK28" t="s">
        <v>342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342</v>
      </c>
      <c r="AQ28" t="s">
        <v>342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1261.2203000080729</v>
      </c>
      <c r="AW28">
        <f t="shared" si="29"/>
        <v>41.861181473960968</v>
      </c>
      <c r="AX28" t="e">
        <f t="shared" si="30"/>
        <v>#DIV/0!</v>
      </c>
      <c r="AY28">
        <f t="shared" si="31"/>
        <v>3.3191014665473605E-2</v>
      </c>
      <c r="AZ28" t="e">
        <f t="shared" si="32"/>
        <v>#DIV/0!</v>
      </c>
      <c r="BA28" t="e">
        <f t="shared" si="33"/>
        <v>#DIV/0!</v>
      </c>
      <c r="BB28" t="s">
        <v>342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165</v>
      </c>
      <c r="BM28">
        <v>290</v>
      </c>
      <c r="BN28">
        <v>752.12</v>
      </c>
      <c r="BO28">
        <v>225</v>
      </c>
      <c r="BP28">
        <v>8118.81</v>
      </c>
      <c r="BQ28">
        <v>749.5</v>
      </c>
      <c r="BR28">
        <v>2.62</v>
      </c>
      <c r="BS28">
        <v>300</v>
      </c>
      <c r="BT28">
        <v>19.100000000000001</v>
      </c>
      <c r="BU28">
        <v>776.847297841461</v>
      </c>
      <c r="BV28">
        <v>2.6062375782498401</v>
      </c>
      <c r="BW28">
        <v>-22.204896785992101</v>
      </c>
      <c r="BX28">
        <v>1.8925671903791601</v>
      </c>
      <c r="BY28">
        <v>0.83097495438304203</v>
      </c>
      <c r="BZ28">
        <v>-5.3702516129032303E-3</v>
      </c>
      <c r="CA28">
        <v>290</v>
      </c>
      <c r="CB28">
        <v>742.31</v>
      </c>
      <c r="CC28">
        <v>625</v>
      </c>
      <c r="CD28">
        <v>8112.81</v>
      </c>
      <c r="CE28">
        <v>749.48</v>
      </c>
      <c r="CF28">
        <v>-7.17</v>
      </c>
      <c r="CT28">
        <f t="shared" si="42"/>
        <v>1500.01166666667</v>
      </c>
      <c r="CU28">
        <f t="shared" si="43"/>
        <v>1261.2203000080729</v>
      </c>
      <c r="CV28">
        <f t="shared" si="44"/>
        <v>0.84080699372876211</v>
      </c>
      <c r="CW28">
        <f t="shared" si="45"/>
        <v>0.16115749789651079</v>
      </c>
      <c r="CX28">
        <v>2</v>
      </c>
      <c r="CY28">
        <v>0.5</v>
      </c>
      <c r="CZ28" t="s">
        <v>343</v>
      </c>
      <c r="DA28">
        <v>2</v>
      </c>
      <c r="DB28">
        <v>1792126649.5999999</v>
      </c>
      <c r="DC28">
        <v>1781.19166666667</v>
      </c>
      <c r="DD28">
        <v>1800.00833333333</v>
      </c>
      <c r="DE28">
        <v>16.953050000000001</v>
      </c>
      <c r="DF28">
        <v>15.80945</v>
      </c>
      <c r="DG28">
        <v>1779.7066666666699</v>
      </c>
      <c r="DH28">
        <v>17.123816666666698</v>
      </c>
      <c r="DI28">
        <v>499.997166666667</v>
      </c>
      <c r="DJ28">
        <v>101.636666666667</v>
      </c>
      <c r="DK28">
        <v>9.9995166666666704E-2</v>
      </c>
      <c r="DL28">
        <v>24.7657666666667</v>
      </c>
      <c r="DM28">
        <v>24.989266666666701</v>
      </c>
      <c r="DN28">
        <v>999.9</v>
      </c>
      <c r="DO28">
        <v>0</v>
      </c>
      <c r="DP28">
        <v>0</v>
      </c>
      <c r="DQ28">
        <v>9994.1666666666697</v>
      </c>
      <c r="DR28">
        <v>0</v>
      </c>
      <c r="DS28">
        <v>8.6959900000000001</v>
      </c>
      <c r="DT28">
        <v>1500.01166666667</v>
      </c>
      <c r="DU28">
        <v>0.97301000000000004</v>
      </c>
      <c r="DV28">
        <v>2.69901E-2</v>
      </c>
      <c r="DW28">
        <v>0</v>
      </c>
      <c r="DX28">
        <v>285.20533333333299</v>
      </c>
      <c r="DY28">
        <v>4.9999900000000004</v>
      </c>
      <c r="DZ28">
        <v>4218.2883333333302</v>
      </c>
      <c r="EA28">
        <v>14882.7833333333</v>
      </c>
      <c r="EB28">
        <v>36.718499999999999</v>
      </c>
      <c r="EC28">
        <v>38.218499999999999</v>
      </c>
      <c r="ED28">
        <v>37.311999999999998</v>
      </c>
      <c r="EE28">
        <v>37.625</v>
      </c>
      <c r="EF28">
        <v>38.343499999999999</v>
      </c>
      <c r="EG28">
        <v>1454.66166666667</v>
      </c>
      <c r="EH28">
        <v>40.35</v>
      </c>
      <c r="EI28">
        <v>0</v>
      </c>
      <c r="EJ28">
        <v>4045.2000000476801</v>
      </c>
      <c r="EK28">
        <v>0</v>
      </c>
      <c r="EL28">
        <v>285.00315384615402</v>
      </c>
      <c r="EM28">
        <v>1.7150085507233901</v>
      </c>
      <c r="EN28">
        <v>14.0485470072525</v>
      </c>
      <c r="EO28">
        <v>4217.6607692307698</v>
      </c>
      <c r="EP28">
        <v>15</v>
      </c>
      <c r="EQ28">
        <v>1792126589.0999999</v>
      </c>
      <c r="ER28" t="s">
        <v>378</v>
      </c>
      <c r="ES28">
        <v>1792126589.0999999</v>
      </c>
      <c r="ET28">
        <v>1792126582.0999999</v>
      </c>
      <c r="EU28">
        <v>49</v>
      </c>
      <c r="EV28">
        <v>-0.28999999999999998</v>
      </c>
      <c r="EW28">
        <v>2E-3</v>
      </c>
      <c r="EX28">
        <v>1.53</v>
      </c>
      <c r="EY28">
        <v>-0.184</v>
      </c>
      <c r="EZ28">
        <v>1800</v>
      </c>
      <c r="FA28">
        <v>16</v>
      </c>
      <c r="FB28">
        <v>0.2</v>
      </c>
      <c r="FC28">
        <v>0.05</v>
      </c>
      <c r="FD28">
        <v>41.824429851199397</v>
      </c>
      <c r="FE28">
        <v>0.55170420730745895</v>
      </c>
      <c r="FF28">
        <v>0.24325188889027499</v>
      </c>
      <c r="FG28">
        <v>1</v>
      </c>
      <c r="FH28">
        <v>-18.8341142857143</v>
      </c>
      <c r="FI28">
        <v>-9.4332467532485698E-2</v>
      </c>
      <c r="FJ28">
        <v>9.5036265186928801E-2</v>
      </c>
      <c r="FK28">
        <v>1</v>
      </c>
      <c r="FL28">
        <v>284.80714705882298</v>
      </c>
      <c r="FM28">
        <v>2.4025515732769702</v>
      </c>
      <c r="FN28">
        <v>0.43013623918016503</v>
      </c>
      <c r="FO28">
        <v>-1</v>
      </c>
      <c r="FP28">
        <v>2</v>
      </c>
      <c r="FQ28">
        <v>2</v>
      </c>
      <c r="FR28" t="s">
        <v>345</v>
      </c>
      <c r="FS28">
        <v>100</v>
      </c>
      <c r="FT28">
        <v>100</v>
      </c>
      <c r="FU28">
        <v>1.49</v>
      </c>
      <c r="FV28">
        <v>-0.17080000000000001</v>
      </c>
      <c r="FW28">
        <v>-0.38182078667084701</v>
      </c>
      <c r="FX28">
        <v>-6.1673298426602905E-5</v>
      </c>
      <c r="FY28">
        <v>6.1939807181674203E-7</v>
      </c>
      <c r="FZ28">
        <v>3.19222985850634E-12</v>
      </c>
      <c r="GA28">
        <v>-8.4180681694215401E-2</v>
      </c>
      <c r="GB28">
        <v>-2.57783215012692E-2</v>
      </c>
      <c r="GC28">
        <v>1.33723821780375E-3</v>
      </c>
      <c r="GD28">
        <v>-7.42160749481374E-6</v>
      </c>
      <c r="GE28">
        <v>7</v>
      </c>
      <c r="GF28">
        <v>2154</v>
      </c>
      <c r="GG28">
        <v>2</v>
      </c>
      <c r="GH28">
        <v>20</v>
      </c>
      <c r="GI28">
        <v>1.1000000000000001</v>
      </c>
      <c r="GJ28">
        <v>1.2</v>
      </c>
      <c r="GK28">
        <v>3.4960900000000001</v>
      </c>
      <c r="GL28">
        <v>2.6232899999999999</v>
      </c>
      <c r="GM28">
        <v>1.65161</v>
      </c>
      <c r="GN28">
        <v>2.2705099999999998</v>
      </c>
      <c r="GO28">
        <v>1.5979000000000001</v>
      </c>
      <c r="GP28">
        <v>2.6147499999999999</v>
      </c>
      <c r="GQ28">
        <v>36.269399999999997</v>
      </c>
      <c r="GR28">
        <v>23.991199999999999</v>
      </c>
      <c r="GS28">
        <v>18</v>
      </c>
      <c r="GT28">
        <v>488.41899999999998</v>
      </c>
      <c r="GU28">
        <v>541.02800000000002</v>
      </c>
      <c r="GV28">
        <v>21.129200000000001</v>
      </c>
      <c r="GW28">
        <v>28.207100000000001</v>
      </c>
      <c r="GX28">
        <v>30.0001</v>
      </c>
      <c r="GY28">
        <v>28.344899999999999</v>
      </c>
      <c r="GZ28">
        <v>28.403700000000001</v>
      </c>
      <c r="HA28">
        <v>69.8857</v>
      </c>
      <c r="HB28">
        <v>20.077400000000001</v>
      </c>
      <c r="HC28">
        <v>31.298999999999999</v>
      </c>
      <c r="HD28">
        <v>21.137</v>
      </c>
      <c r="HE28">
        <v>1800</v>
      </c>
      <c r="HF28">
        <v>15.887499999999999</v>
      </c>
      <c r="HG28">
        <v>98.300299999999993</v>
      </c>
      <c r="HH28">
        <v>94.798500000000004</v>
      </c>
    </row>
    <row r="29" spans="1:216" x14ac:dyDescent="0.3">
      <c r="A29">
        <v>13</v>
      </c>
      <c r="B29">
        <v>1792126776.0999999</v>
      </c>
      <c r="C29">
        <v>1528.0999999046301</v>
      </c>
      <c r="D29" t="s">
        <v>379</v>
      </c>
      <c r="E29" t="s">
        <v>380</v>
      </c>
      <c r="F29">
        <v>5</v>
      </c>
      <c r="G29">
        <v>1792126773.0999999</v>
      </c>
      <c r="H29">
        <f t="shared" si="0"/>
        <v>2.5677572826572547E-3</v>
      </c>
      <c r="I29">
        <f t="shared" si="1"/>
        <v>2.5677572826572548</v>
      </c>
      <c r="J29">
        <f t="shared" si="2"/>
        <v>17.082730895079152</v>
      </c>
      <c r="K29">
        <f t="shared" si="3"/>
        <v>392.70979999999997</v>
      </c>
      <c r="L29">
        <f t="shared" si="4"/>
        <v>229.1438533920861</v>
      </c>
      <c r="M29">
        <f t="shared" si="5"/>
        <v>23.312371563282753</v>
      </c>
      <c r="N29">
        <f t="shared" si="6"/>
        <v>39.953054112594579</v>
      </c>
      <c r="O29">
        <f t="shared" si="7"/>
        <v>0.17982907310683946</v>
      </c>
      <c r="P29">
        <f t="shared" si="8"/>
        <v>3.0368221593508973</v>
      </c>
      <c r="Q29">
        <f t="shared" si="9"/>
        <v>0.17411572193464828</v>
      </c>
      <c r="R29">
        <f t="shared" si="10"/>
        <v>0.10932052722174801</v>
      </c>
      <c r="S29">
        <f t="shared" si="11"/>
        <v>241.75254421557406</v>
      </c>
      <c r="T29">
        <f t="shared" si="12"/>
        <v>25.366541347614092</v>
      </c>
      <c r="U29">
        <f t="shared" si="13"/>
        <v>25.001239999999999</v>
      </c>
      <c r="V29">
        <f t="shared" si="14"/>
        <v>3.1799126637363186</v>
      </c>
      <c r="W29">
        <f t="shared" si="15"/>
        <v>55.153749404108495</v>
      </c>
      <c r="X29">
        <f t="shared" si="16"/>
        <v>1.7156554802462194</v>
      </c>
      <c r="Y29">
        <f t="shared" si="17"/>
        <v>3.1106778755433391</v>
      </c>
      <c r="Z29">
        <f t="shared" si="18"/>
        <v>1.4642571834900993</v>
      </c>
      <c r="AA29">
        <f t="shared" si="19"/>
        <v>-113.23809616518493</v>
      </c>
      <c r="AB29">
        <f t="shared" si="20"/>
        <v>-60.367264734316109</v>
      </c>
      <c r="AC29">
        <f t="shared" si="21"/>
        <v>-4.197023890686002</v>
      </c>
      <c r="AD29">
        <f t="shared" si="22"/>
        <v>63.950159425387014</v>
      </c>
      <c r="AE29">
        <v>0</v>
      </c>
      <c r="AF29">
        <v>0</v>
      </c>
      <c r="AG29">
        <f t="shared" si="23"/>
        <v>1</v>
      </c>
      <c r="AH29">
        <f t="shared" si="24"/>
        <v>0</v>
      </c>
      <c r="AI29">
        <f t="shared" si="25"/>
        <v>54133.126387998578</v>
      </c>
      <c r="AJ29" t="s">
        <v>342</v>
      </c>
      <c r="AK29" t="s">
        <v>342</v>
      </c>
      <c r="AL29">
        <v>0</v>
      </c>
      <c r="AM29">
        <v>0</v>
      </c>
      <c r="AN29" t="e">
        <f t="shared" si="26"/>
        <v>#DIV/0!</v>
      </c>
      <c r="AO29">
        <v>0</v>
      </c>
      <c r="AP29" t="s">
        <v>342</v>
      </c>
      <c r="AQ29" t="s">
        <v>342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1261.2961800080695</v>
      </c>
      <c r="AW29">
        <f t="shared" si="29"/>
        <v>17.082730895079152</v>
      </c>
      <c r="AX29" t="e">
        <f t="shared" si="30"/>
        <v>#DIV/0!</v>
      </c>
      <c r="AY29">
        <f t="shared" si="31"/>
        <v>1.3543790242011087E-2</v>
      </c>
      <c r="AZ29" t="e">
        <f t="shared" si="32"/>
        <v>#DIV/0!</v>
      </c>
      <c r="BA29" t="e">
        <f t="shared" si="33"/>
        <v>#DIV/0!</v>
      </c>
      <c r="BB29" t="s">
        <v>342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 t="e">
        <f t="shared" si="38"/>
        <v>#DIV/0!</v>
      </c>
      <c r="BI29" t="e">
        <f t="shared" si="39"/>
        <v>#DIV/0!</v>
      </c>
      <c r="BJ29" t="e">
        <f t="shared" si="40"/>
        <v>#DIV/0!</v>
      </c>
      <c r="BK29" t="e">
        <f t="shared" si="41"/>
        <v>#DIV/0!</v>
      </c>
      <c r="BL29">
        <v>165</v>
      </c>
      <c r="BM29">
        <v>290</v>
      </c>
      <c r="BN29">
        <v>752.12</v>
      </c>
      <c r="BO29">
        <v>225</v>
      </c>
      <c r="BP29">
        <v>8118.81</v>
      </c>
      <c r="BQ29">
        <v>749.5</v>
      </c>
      <c r="BR29">
        <v>2.62</v>
      </c>
      <c r="BS29">
        <v>300</v>
      </c>
      <c r="BT29">
        <v>19.100000000000001</v>
      </c>
      <c r="BU29">
        <v>776.847297841461</v>
      </c>
      <c r="BV29">
        <v>2.6062375782498401</v>
      </c>
      <c r="BW29">
        <v>-22.204896785992101</v>
      </c>
      <c r="BX29">
        <v>1.8925671903791601</v>
      </c>
      <c r="BY29">
        <v>0.83097495438304203</v>
      </c>
      <c r="BZ29">
        <v>-5.3702516129032303E-3</v>
      </c>
      <c r="CA29">
        <v>290</v>
      </c>
      <c r="CB29">
        <v>742.31</v>
      </c>
      <c r="CC29">
        <v>625</v>
      </c>
      <c r="CD29">
        <v>8112.81</v>
      </c>
      <c r="CE29">
        <v>749.48</v>
      </c>
      <c r="CF29">
        <v>-7.17</v>
      </c>
      <c r="CT29">
        <f t="shared" si="42"/>
        <v>1500.1020000000001</v>
      </c>
      <c r="CU29">
        <f t="shared" si="43"/>
        <v>1261.2961800080695</v>
      </c>
      <c r="CV29">
        <f t="shared" si="44"/>
        <v>0.84080694513311061</v>
      </c>
      <c r="CW29">
        <f t="shared" si="45"/>
        <v>0.16115740410690343</v>
      </c>
      <c r="CX29">
        <v>2</v>
      </c>
      <c r="CY29">
        <v>0.5</v>
      </c>
      <c r="CZ29" t="s">
        <v>343</v>
      </c>
      <c r="DA29">
        <v>2</v>
      </c>
      <c r="DB29">
        <v>1792126773.0999999</v>
      </c>
      <c r="DC29">
        <v>392.70979999999997</v>
      </c>
      <c r="DD29">
        <v>399.94580000000002</v>
      </c>
      <c r="DE29">
        <v>16.863659999999999</v>
      </c>
      <c r="DF29">
        <v>15.85394</v>
      </c>
      <c r="DG29">
        <v>393.51900000000001</v>
      </c>
      <c r="DH29">
        <v>17.031359999999999</v>
      </c>
      <c r="DI29">
        <v>500.0308</v>
      </c>
      <c r="DJ29">
        <v>101.63679999999999</v>
      </c>
      <c r="DK29">
        <v>0.10004006</v>
      </c>
      <c r="DL29">
        <v>24.63252</v>
      </c>
      <c r="DM29">
        <v>25.001239999999999</v>
      </c>
      <c r="DN29">
        <v>999.9</v>
      </c>
      <c r="DO29">
        <v>0</v>
      </c>
      <c r="DP29">
        <v>0</v>
      </c>
      <c r="DQ29">
        <v>9992.8739999999998</v>
      </c>
      <c r="DR29">
        <v>0</v>
      </c>
      <c r="DS29">
        <v>8.6790479999999999</v>
      </c>
      <c r="DT29">
        <v>1500.1020000000001</v>
      </c>
      <c r="DU29">
        <v>0.97300900000000001</v>
      </c>
      <c r="DV29">
        <v>2.699116E-2</v>
      </c>
      <c r="DW29">
        <v>0</v>
      </c>
      <c r="DX29">
        <v>282.94819999999999</v>
      </c>
      <c r="DY29">
        <v>4.9999900000000004</v>
      </c>
      <c r="DZ29">
        <v>4175.5060000000003</v>
      </c>
      <c r="EA29">
        <v>14883.64</v>
      </c>
      <c r="EB29">
        <v>36.375</v>
      </c>
      <c r="EC29">
        <v>37.936999999999998</v>
      </c>
      <c r="ED29">
        <v>36.987400000000001</v>
      </c>
      <c r="EE29">
        <v>37.311999999999998</v>
      </c>
      <c r="EF29">
        <v>38</v>
      </c>
      <c r="EG29">
        <v>1454.752</v>
      </c>
      <c r="EH29">
        <v>40.35</v>
      </c>
      <c r="EI29">
        <v>0</v>
      </c>
      <c r="EJ29">
        <v>4168.2000000476801</v>
      </c>
      <c r="EK29">
        <v>0</v>
      </c>
      <c r="EL29">
        <v>282.85712000000001</v>
      </c>
      <c r="EM29">
        <v>-0.74684617390923003</v>
      </c>
      <c r="EN29">
        <v>-18.5815384177161</v>
      </c>
      <c r="EO29">
        <v>4176.5752000000002</v>
      </c>
      <c r="EP29">
        <v>15</v>
      </c>
      <c r="EQ29">
        <v>1792126717.0999999</v>
      </c>
      <c r="ER29" t="s">
        <v>381</v>
      </c>
      <c r="ES29">
        <v>1792126715.0999999</v>
      </c>
      <c r="ET29">
        <v>1792126717.0999999</v>
      </c>
      <c r="EU29">
        <v>50</v>
      </c>
      <c r="EV29">
        <v>-0.499</v>
      </c>
      <c r="EW29">
        <v>4.0000000000000001E-3</v>
      </c>
      <c r="EX29">
        <v>-0.80600000000000005</v>
      </c>
      <c r="EY29">
        <v>-0.17899999999999999</v>
      </c>
      <c r="EZ29">
        <v>399</v>
      </c>
      <c r="FA29">
        <v>16</v>
      </c>
      <c r="FB29">
        <v>0.21</v>
      </c>
      <c r="FC29">
        <v>0.05</v>
      </c>
      <c r="FD29">
        <v>17.060757983115</v>
      </c>
      <c r="FE29">
        <v>0.56376751607748798</v>
      </c>
      <c r="FF29">
        <v>7.9634469189209703E-2</v>
      </c>
      <c r="FG29">
        <v>1</v>
      </c>
      <c r="FH29">
        <v>-7.237565</v>
      </c>
      <c r="FI29">
        <v>-0.145250526315786</v>
      </c>
      <c r="FJ29">
        <v>2.7192820651782201E-2</v>
      </c>
      <c r="FK29">
        <v>1</v>
      </c>
      <c r="FL29">
        <v>283.105205882353</v>
      </c>
      <c r="FM29">
        <v>-2.4702674011027401</v>
      </c>
      <c r="FN29">
        <v>0.49198330790740902</v>
      </c>
      <c r="FO29">
        <v>-1</v>
      </c>
      <c r="FP29">
        <v>2</v>
      </c>
      <c r="FQ29">
        <v>2</v>
      </c>
      <c r="FR29" t="s">
        <v>345</v>
      </c>
      <c r="FS29">
        <v>100</v>
      </c>
      <c r="FT29">
        <v>100</v>
      </c>
      <c r="FU29">
        <v>-0.80900000000000005</v>
      </c>
      <c r="FV29">
        <v>-0.16769999999999999</v>
      </c>
      <c r="FW29">
        <v>-0.88117692641294298</v>
      </c>
      <c r="FX29">
        <v>-6.1673298426602905E-5</v>
      </c>
      <c r="FY29">
        <v>6.1939807181674203E-7</v>
      </c>
      <c r="FZ29">
        <v>3.19222985850634E-12</v>
      </c>
      <c r="GA29">
        <v>-7.9848930169174104E-2</v>
      </c>
      <c r="GB29">
        <v>-2.57783215012692E-2</v>
      </c>
      <c r="GC29">
        <v>1.33723821780375E-3</v>
      </c>
      <c r="GD29">
        <v>-7.42160749481374E-6</v>
      </c>
      <c r="GE29">
        <v>7</v>
      </c>
      <c r="GF29">
        <v>2154</v>
      </c>
      <c r="GG29">
        <v>2</v>
      </c>
      <c r="GH29">
        <v>20</v>
      </c>
      <c r="GI29">
        <v>1</v>
      </c>
      <c r="GJ29">
        <v>1</v>
      </c>
      <c r="GK29">
        <v>1.0388200000000001</v>
      </c>
      <c r="GL29">
        <v>2.6403799999999999</v>
      </c>
      <c r="GM29">
        <v>1.65161</v>
      </c>
      <c r="GN29">
        <v>2.2705099999999998</v>
      </c>
      <c r="GO29">
        <v>1.5979000000000001</v>
      </c>
      <c r="GP29">
        <v>2.4279799999999998</v>
      </c>
      <c r="GQ29">
        <v>36.2224</v>
      </c>
      <c r="GR29">
        <v>23.982399999999998</v>
      </c>
      <c r="GS29">
        <v>18</v>
      </c>
      <c r="GT29">
        <v>487.79700000000003</v>
      </c>
      <c r="GU29">
        <v>538.67899999999997</v>
      </c>
      <c r="GV29">
        <v>20.8721</v>
      </c>
      <c r="GW29">
        <v>28.209399999999999</v>
      </c>
      <c r="GX29">
        <v>30</v>
      </c>
      <c r="GY29">
        <v>28.352</v>
      </c>
      <c r="GZ29">
        <v>28.411000000000001</v>
      </c>
      <c r="HA29">
        <v>20.786200000000001</v>
      </c>
      <c r="HB29">
        <v>20.379000000000001</v>
      </c>
      <c r="HC29">
        <v>32.1188</v>
      </c>
      <c r="HD29">
        <v>20.876100000000001</v>
      </c>
      <c r="HE29">
        <v>400</v>
      </c>
      <c r="HF29">
        <v>15.8619</v>
      </c>
      <c r="HG29">
        <v>98.296400000000006</v>
      </c>
      <c r="HH29">
        <v>94.796700000000001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2026-10-16T14:00:33Z</dcterms:created>
  <dcterms:modified xsi:type="dcterms:W3CDTF">2026-10-17T10:05:51Z</dcterms:modified>
</cp:coreProperties>
</file>