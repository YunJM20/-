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<sst xmlns="http://schemas.openxmlformats.org/spreadsheetml/2006/main" count="1144" uniqueCount="462">
  <si>
    <t>File opened</t>
  </si>
  <si>
    <t>2026-10-19 11:38:17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</si>
  <si>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</si>
  <si>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</si>
  <si>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</si>
  <si>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</si>
  <si>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</si>
  <si>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</si>
  <si>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</si>
  <si>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</si>
  <si>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</si>
  <si>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</si>
  <si>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</si>
  <si>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</si>
  <si>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</si>
  <si>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</si>
  <si>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</si>
  <si>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</si>
  <si>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</si>
  <si>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</si>
  <si>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</si>
  <si>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</si>
  <si>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</si>
  <si>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</si>
  <si>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</si>
  <si>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</si>
  <si>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</si>
  <si>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</si>
  <si>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</si>
  <si>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11:38:17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</si>
  <si>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</si>
  <si>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</si>
  <si>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</si>
  <si>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</si>
  <si>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</si>
  <si>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</si>
  <si>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</si>
  <si>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</si>
  <si>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</si>
  <si>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</si>
  <si>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</si>
  <si>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</si>
  <si>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</si>
  <si>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</si>
  <si>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</si>
  <si>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</si>
  <si>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</si>
  <si>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</si>
  <si>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</si>
  <si>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</si>
  <si>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</si>
  <si>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</si>
  <si>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</si>
  <si>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</si>
  <si>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</si>
  <si>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</si>
  <si>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</si>
  <si>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</si>
  <si>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</si>
  <si>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</si>
  <si>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</si>
  <si>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</si>
  <si>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</si>
  <si>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</si>
  <si>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</si>
  <si>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</si>
  <si>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</si>
  <si>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</si>
  <si>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</si>
  <si>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</si>
  <si>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</si>
  <si>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</si>
  <si>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</si>
  <si>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</si>
  <si>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</si>
  <si>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</si>
  <si>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</si>
  <si>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</si>
  <si>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</si>
  <si>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</si>
  <si>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</si>
  <si>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</si>
  <si>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</si>
  <si>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3.67316 215.33 352.128 586.696 876.376 1080.25 1251.47 1368.14</t>
  </si>
  <si>
    <t>Fs_true</t>
  </si>
  <si>
    <t>-0.129226 238.723 377.082 583.062 812.664 1001.14 1203.78 1400.74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</si>
  <si>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</si>
  <si>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</si>
  <si>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</si>
  <si>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</si>
  <si>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</si>
  <si>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</si>
  <si>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</si>
  <si>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</si>
  <si>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</si>
  <si>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</si>
  <si>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</si>
  <si>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</si>
  <si>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</si>
  <si>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</si>
  <si>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</si>
  <si>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</si>
  <si>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</si>
  <si>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</si>
  <si>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</si>
  <si>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</si>
  <si>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</si>
  <si>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</si>
  <si>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</si>
  <si>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</si>
  <si>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</si>
  <si>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</si>
  <si>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</si>
  <si>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</si>
  <si>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</si>
  <si>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</si>
  <si>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</si>
  <si>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</si>
  <si>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</si>
  <si>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</si>
  <si>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</si>
  <si>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</si>
  <si>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</si>
  <si>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</si>
  <si>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</si>
  <si>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</si>
  <si>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</si>
  <si>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</si>
  <si>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</si>
  <si>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</si>
  <si>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</si>
  <si>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</si>
  <si>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</si>
  <si>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</si>
  <si>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</si>
  <si>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</si>
  <si>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</si>
  <si>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</si>
  <si>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</si>
  <si>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</si>
  <si>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</si>
  <si>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</si>
  <si>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</si>
  <si>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</si>
  <si>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</si>
  <si>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</si>
  <si>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</si>
  <si>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</si>
  <si>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</si>
  <si>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</si>
  <si>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</si>
  <si>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</si>
  <si>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</si>
  <si>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</si>
  <si>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</si>
  <si>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</si>
  <si>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</si>
  <si>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</si>
  <si>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</si>
  <si>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</si>
  <si>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</si>
  <si>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</si>
  <si>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</si>
  <si>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</si>
  <si>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</si>
  <si>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</si>
  <si>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</si>
  <si>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</si>
  <si>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</si>
  <si>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</si>
  <si>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</si>
  <si>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</si>
  <si>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</si>
  <si>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</si>
  <si>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</si>
  <si>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</si>
  <si>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</si>
  <si>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</si>
  <si>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</si>
  <si>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</si>
  <si>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</si>
  <si>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</si>
  <si>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</si>
  <si>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</si>
  <si>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</si>
  <si>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</si>
  <si>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</si>
  <si>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</si>
  <si>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</si>
  <si>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</si>
  <si>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</si>
  <si>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</si>
  <si>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</si>
  <si>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</si>
  <si>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</si>
  <si>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</si>
  <si>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</si>
  <si>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</si>
  <si>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</si>
  <si>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</si>
  <si>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</si>
  <si>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</si>
  <si>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</si>
  <si>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</si>
  <si>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</si>
  <si>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</si>
  <si>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</si>
  <si>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</si>
  <si>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</si>
  <si>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</si>
  <si>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</si>
  <si>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</si>
  <si>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</si>
  <si>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</si>
  <si>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</si>
  <si>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</si>
  <si>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</si>
  <si>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</si>
  <si>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</si>
  <si>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</si>
  <si>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</si>
  <si>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</si>
  <si>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</si>
  <si>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</si>
  <si>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</si>
  <si>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</si>
  <si>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</si>
  <si>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</si>
  <si>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</si>
  <si>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</si>
  <si>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</si>
  <si>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</si>
  <si>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</si>
  <si>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</si>
  <si>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</si>
  <si>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</si>
  <si>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</si>
  <si>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</si>
  <si>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</si>
  <si>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</si>
  <si>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</si>
  <si>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</si>
  <si>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</si>
  <si>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</si>
  <si>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</si>
  <si>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</si>
  <si>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</si>
  <si>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</si>
  <si>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</si>
  <si>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</si>
  <si>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</si>
  <si>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</si>
  <si>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</si>
  <si>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</si>
  <si>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</si>
  <si>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</si>
  <si>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</si>
  <si>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</si>
  <si>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</si>
  <si>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</si>
  <si>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</si>
  <si>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</si>
  <si>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</si>
  <si>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</si>
  <si>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</si>
  <si>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</si>
  <si>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</si>
  <si>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</si>
  <si>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</si>
  <si>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</si>
  <si>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</si>
  <si>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</si>
  <si>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</si>
  <si>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</si>
  <si>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</si>
  <si>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</si>
  <si>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</si>
  <si>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</si>
  <si>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</si>
  <si>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</si>
  <si>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</si>
  <si>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</si>
  <si>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</si>
  <si>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</si>
  <si>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</si>
  <si>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</si>
  <si>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</si>
  <si>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</si>
  <si>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</si>
  <si>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</si>
  <si>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</si>
  <si>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</si>
  <si>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</si>
  <si>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</si>
  <si>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</si>
  <si>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</si>
  <si>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</si>
  <si>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</si>
  <si>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</si>
  <si>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</si>
  <si>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</si>
  <si>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</si>
  <si>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</si>
  <si>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</si>
  <si>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</si>
  <si>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</si>
  <si>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</si>
  <si>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</si>
  <si>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</si>
  <si>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</si>
  <si>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</si>
  <si>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</si>
  <si>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</si>
  <si>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</si>
  <si>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</si>
  <si>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</si>
  <si>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</si>
  <si>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</si>
  <si>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</si>
  <si>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</si>
  <si>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</si>
  <si>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</si>
  <si>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</si>
  <si>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</si>
  <si>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</si>
  <si>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</si>
  <si>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</si>
  <si>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</si>
  <si>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</si>
  <si>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</si>
  <si>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</si>
  <si>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</si>
  <si>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</si>
  <si>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</si>
  <si>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</si>
  <si>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</si>
  <si>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</si>
  <si>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</si>
  <si>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</si>
  <si>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</si>
  <si>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</si>
  <si>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</si>
  <si>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</si>
  <si>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</si>
  <si>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</si>
  <si>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</si>
  <si>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</si>
  <si>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</si>
  <si>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</si>
  <si>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</si>
  <si>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</si>
  <si>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</si>
  <si>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</si>
  <si>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</si>
  <si>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</si>
  <si>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</si>
  <si>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</si>
  <si>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</si>
  <si>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</si>
  <si>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</si>
  <si>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</si>
  <si>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</si>
  <si>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</si>
  <si>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</si>
  <si>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</si>
  <si>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</si>
  <si>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</si>
  <si>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</si>
  <si>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</si>
  <si>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</si>
  <si>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</si>
  <si>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</si>
  <si>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</si>
  <si>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</si>
  <si>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</si>
  <si>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</si>
  <si>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</si>
  <si>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</si>
  <si>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</si>
  <si>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</si>
  <si>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</si>
  <si>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</si>
  <si>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</si>
  <si>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</si>
  <si>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</si>
  <si>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</si>
  <si>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</si>
  <si>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</si>
  <si>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</si>
  <si>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</si>
  <si>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</si>
  <si>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</si>
  <si>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</si>
  <si>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</si>
  <si>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</si>
  <si>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</si>
  <si>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</si>
  <si>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</si>
  <si>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</si>
  <si>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</si>
  <si>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</si>
  <si>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</si>
  <si>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</si>
  <si>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</si>
  <si>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</si>
  <si>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</si>
  <si>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</si>
  <si>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</si>
  <si>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</si>
  <si>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</si>
  <si>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</si>
  <si>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hrs</t>
  </si>
  <si>
    <t>mg</t>
  </si>
  <si>
    <t>min</t>
  </si>
  <si>
    <t>20261019 11:58:21</t>
  </si>
  <si>
    <t>11:58:21</t>
  </si>
  <si>
    <t>-</t>
  </si>
  <si>
    <t>0: Broadleaf</t>
  </si>
  <si>
    <t>11:57:11</t>
  </si>
  <si>
    <t>2/3</t>
  </si>
  <si>
    <t>11111111</t>
  </si>
  <si>
    <t>oooooooo</t>
  </si>
  <si>
    <t>on</t>
  </si>
  <si>
    <t>20261019 12:00:22</t>
  </si>
  <si>
    <t>12:00:22</t>
  </si>
  <si>
    <t>11:59:23</t>
  </si>
  <si>
    <t>3/3</t>
  </si>
  <si>
    <t>20261019 12:02:23</t>
  </si>
  <si>
    <t>12:02:23</t>
  </si>
  <si>
    <t>12:01:38</t>
  </si>
  <si>
    <t>20261019 12:04:24</t>
  </si>
  <si>
    <t>12:04:24</t>
  </si>
  <si>
    <t>12:03:33</t>
  </si>
  <si>
    <t>20261019 12:06:25</t>
  </si>
  <si>
    <t>12:06:25</t>
  </si>
  <si>
    <t>12:05:32</t>
  </si>
  <si>
    <t>20261019 12:08:56</t>
  </si>
  <si>
    <t>12:08:56</t>
  </si>
  <si>
    <t>12:07:44</t>
  </si>
  <si>
    <t>20261019 12:11:27</t>
  </si>
  <si>
    <t>12:11:27</t>
  </si>
  <si>
    <t>12:09:52</t>
  </si>
  <si>
    <t>20261019 12:13:58</t>
  </si>
  <si>
    <t>12:13:58</t>
  </si>
  <si>
    <t>12:12:36</t>
  </si>
  <si>
    <t>20261019 12:16:29</t>
  </si>
  <si>
    <t>12:16:29</t>
  </si>
  <si>
    <t>12:15:06</t>
  </si>
  <si>
    <t>1/3</t>
  </si>
  <si>
    <t>20261019 12:18:30</t>
  </si>
  <si>
    <t>12:18:30</t>
  </si>
  <si>
    <t>12:17:44</t>
  </si>
  <si>
    <t>20261019 12:21:01</t>
  </si>
  <si>
    <t>12:21:01</t>
  </si>
  <si>
    <t>12:19:41</t>
  </si>
  <si>
    <t>0/3</t>
  </si>
  <si>
    <t>20261019 12:23:21</t>
  </si>
  <si>
    <t>12:23:21</t>
  </si>
  <si>
    <t>12:22:38</t>
  </si>
  <si>
    <t>20261019 12:25:27</t>
  </si>
  <si>
    <t>12:25:27</t>
  </si>
  <si>
    <t>12:24:40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</si>
</sst>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9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412</v>
      </c>
      <c r="HL16" t="s">
        <v>412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1792378701</v>
      </c>
      <c r="C17">
        <v>0</v>
      </c>
      <c r="D17" t="s">
        <v>414</v>
      </c>
      <c r="E17" t="s">
        <v>415</v>
      </c>
      <c r="F17">
        <v>5</v>
      </c>
      <c r="G17">
        <v>1792378697.5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 t="s">
        <v>416</v>
      </c>
      <c r="AL17">
        <v>0</v>
      </c>
      <c r="AM17">
        <v>0</v>
      </c>
      <c r="AN17">
        <f>1-AL17/AM17</f>
        <v>0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416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1193</v>
      </c>
      <c r="BM17">
        <v>290</v>
      </c>
      <c r="BN17">
        <v>913.63</v>
      </c>
      <c r="BO17">
        <v>165</v>
      </c>
      <c r="BP17">
        <v>8113.51</v>
      </c>
      <c r="BQ17">
        <v>909.95</v>
      </c>
      <c r="BR17">
        <v>3.68</v>
      </c>
      <c r="BS17">
        <v>300</v>
      </c>
      <c r="BT17">
        <v>19.3</v>
      </c>
      <c r="BU17">
        <v>937.689367094771</v>
      </c>
      <c r="BV17">
        <v>1.82427053634141</v>
      </c>
      <c r="BW17">
        <v>-22.5072017657996</v>
      </c>
      <c r="BX17">
        <v>1.32198731230578</v>
      </c>
      <c r="BY17">
        <v>0.911910931247248</v>
      </c>
      <c r="BZ17">
        <v>-0.00537830856507229</v>
      </c>
      <c r="CA17">
        <v>290</v>
      </c>
      <c r="CB17">
        <v>901.59</v>
      </c>
      <c r="CC17">
        <v>615</v>
      </c>
      <c r="CD17">
        <v>8097.11</v>
      </c>
      <c r="CE17">
        <v>909.89</v>
      </c>
      <c r="CF17">
        <v>-8.3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417</v>
      </c>
      <c r="DA17">
        <v>2</v>
      </c>
      <c r="DB17">
        <v>1792378697.5</v>
      </c>
      <c r="DC17">
        <v>392.119</v>
      </c>
      <c r="DD17">
        <v>399.995833333333</v>
      </c>
      <c r="DE17">
        <v>16.9786333333333</v>
      </c>
      <c r="DF17">
        <v>15.57035</v>
      </c>
      <c r="DG17">
        <v>391.262833333333</v>
      </c>
      <c r="DH17">
        <v>17.0871</v>
      </c>
      <c r="DI17">
        <v>499.998166666667</v>
      </c>
      <c r="DJ17">
        <v>101.382166666667</v>
      </c>
      <c r="DK17">
        <v>0.100059016666667</v>
      </c>
      <c r="DL17">
        <v>24.7874666666667</v>
      </c>
      <c r="DM17">
        <v>25.0382</v>
      </c>
      <c r="DN17">
        <v>999.9</v>
      </c>
      <c r="DO17">
        <v>0</v>
      </c>
      <c r="DP17">
        <v>0</v>
      </c>
      <c r="DQ17">
        <v>9991.86666666667</v>
      </c>
      <c r="DR17">
        <v>0</v>
      </c>
      <c r="DS17">
        <v>6.60177</v>
      </c>
      <c r="DT17">
        <v>-7.87670833333333</v>
      </c>
      <c r="DU17">
        <v>398.891666666667</v>
      </c>
      <c r="DV17">
        <v>406.322333333333</v>
      </c>
      <c r="DW17">
        <v>1.408295</v>
      </c>
      <c r="DX17">
        <v>399.995833333333</v>
      </c>
      <c r="DY17">
        <v>15.57035</v>
      </c>
      <c r="DZ17">
        <v>1.72133333333333</v>
      </c>
      <c r="EA17">
        <v>1.578555</v>
      </c>
      <c r="EB17">
        <v>15.0901333333333</v>
      </c>
      <c r="EC17">
        <v>13.7510166666667</v>
      </c>
      <c r="ED17">
        <v>1499.98</v>
      </c>
      <c r="EE17">
        <v>0.972992666666667</v>
      </c>
      <c r="EF17">
        <v>0.0270071333333333</v>
      </c>
      <c r="EG17">
        <v>0</v>
      </c>
      <c r="EH17">
        <v>381.091166666667</v>
      </c>
      <c r="EI17">
        <v>5.00064</v>
      </c>
      <c r="EJ17">
        <v>5865.725</v>
      </c>
      <c r="EK17">
        <v>15438.9666666667</v>
      </c>
      <c r="EL17">
        <v>39.562</v>
      </c>
      <c r="EM17">
        <v>40.25</v>
      </c>
      <c r="EN17">
        <v>39.875</v>
      </c>
      <c r="EO17">
        <v>39.812</v>
      </c>
      <c r="EP17">
        <v>41.125</v>
      </c>
      <c r="EQ17">
        <v>1454.6</v>
      </c>
      <c r="ER17">
        <v>40.38</v>
      </c>
      <c r="ES17">
        <v>0</v>
      </c>
      <c r="ET17">
        <v>1483.59999990463</v>
      </c>
      <c r="EU17">
        <v>0</v>
      </c>
      <c r="EV17">
        <v>381.23452</v>
      </c>
      <c r="EW17">
        <v>-0.696538468399987</v>
      </c>
      <c r="EX17">
        <v>-8.44076921298843</v>
      </c>
      <c r="EY17">
        <v>5866.4664</v>
      </c>
      <c r="EZ17">
        <v>15</v>
      </c>
      <c r="FA17">
        <v>1792378631</v>
      </c>
      <c r="FB17" t="s">
        <v>418</v>
      </c>
      <c r="FC17">
        <v>1792378629</v>
      </c>
      <c r="FD17">
        <v>1792378631</v>
      </c>
      <c r="FE17">
        <v>21</v>
      </c>
      <c r="FF17">
        <v>0.025</v>
      </c>
      <c r="FG17">
        <v>0.004</v>
      </c>
      <c r="FH17">
        <v>0.859</v>
      </c>
      <c r="FI17">
        <v>-0.158</v>
      </c>
      <c r="FJ17">
        <v>400</v>
      </c>
      <c r="FK17">
        <v>16</v>
      </c>
      <c r="FL17">
        <v>0.36</v>
      </c>
      <c r="FM17">
        <v>0.07</v>
      </c>
      <c r="FN17">
        <v>18.1469078531761</v>
      </c>
      <c r="FO17">
        <v>0.430002735034266</v>
      </c>
      <c r="FP17">
        <v>0.159749569733387</v>
      </c>
      <c r="FQ17">
        <v>1</v>
      </c>
      <c r="FR17">
        <v>-7.8285535</v>
      </c>
      <c r="FS17">
        <v>-0.195024812030066</v>
      </c>
      <c r="FT17">
        <v>0.0602934208081612</v>
      </c>
      <c r="FU17">
        <v>1</v>
      </c>
      <c r="FV17">
        <v>381.276029411765</v>
      </c>
      <c r="FW17">
        <v>-1.01871658127074</v>
      </c>
      <c r="FX17">
        <v>0.23344737223952</v>
      </c>
      <c r="FY17">
        <v>0</v>
      </c>
      <c r="FZ17">
        <v>2</v>
      </c>
      <c r="GA17">
        <v>3</v>
      </c>
      <c r="GB17" t="s">
        <v>419</v>
      </c>
      <c r="GC17">
        <v>3.1234</v>
      </c>
      <c r="GD17">
        <v>2.7651</v>
      </c>
      <c r="GE17">
        <v>0.0867163</v>
      </c>
      <c r="GF17">
        <v>0.0903638</v>
      </c>
      <c r="GG17">
        <v>0.0916505</v>
      </c>
      <c r="GH17">
        <v>0.0891283</v>
      </c>
      <c r="GI17">
        <v>17809.7</v>
      </c>
      <c r="GJ17">
        <v>26760.3</v>
      </c>
      <c r="GK17">
        <v>22784.2</v>
      </c>
      <c r="GL17">
        <v>30142.9</v>
      </c>
      <c r="GM17">
        <v>33941.3</v>
      </c>
      <c r="GN17">
        <v>34203.8</v>
      </c>
      <c r="GO17">
        <v>43102</v>
      </c>
      <c r="GP17">
        <v>42930.2</v>
      </c>
      <c r="GQ17">
        <v>1.97822</v>
      </c>
      <c r="GR17">
        <v>1.81732</v>
      </c>
      <c r="GS17">
        <v>0.10892</v>
      </c>
      <c r="GT17">
        <v>0</v>
      </c>
      <c r="GU17">
        <v>23.2226</v>
      </c>
      <c r="GV17">
        <v>999.9</v>
      </c>
      <c r="GW17">
        <v>38.622</v>
      </c>
      <c r="GX17">
        <v>33.204</v>
      </c>
      <c r="GY17">
        <v>19.4654</v>
      </c>
      <c r="GZ17">
        <v>63.2587</v>
      </c>
      <c r="HA17">
        <v>34.6755</v>
      </c>
      <c r="HB17">
        <v>1</v>
      </c>
      <c r="HC17">
        <v>0.0206047</v>
      </c>
      <c r="HD17">
        <v>1.97234</v>
      </c>
      <c r="HE17">
        <v>20.1531</v>
      </c>
      <c r="HF17">
        <v>5.23421</v>
      </c>
      <c r="HG17">
        <v>11.962</v>
      </c>
      <c r="HH17">
        <v>4.96785</v>
      </c>
      <c r="HI17">
        <v>3.295</v>
      </c>
      <c r="HJ17">
        <v>999.9</v>
      </c>
      <c r="HK17">
        <v>9999</v>
      </c>
      <c r="HL17">
        <v>9999</v>
      </c>
      <c r="HM17">
        <v>9999</v>
      </c>
      <c r="HN17">
        <v>4.96983</v>
      </c>
      <c r="HO17">
        <v>1.86385</v>
      </c>
      <c r="HP17">
        <v>1.86538</v>
      </c>
      <c r="HQ17">
        <v>1.86722</v>
      </c>
      <c r="HR17">
        <v>1.86427</v>
      </c>
      <c r="HS17">
        <v>1.86794</v>
      </c>
      <c r="HT17">
        <v>1.86472</v>
      </c>
      <c r="HU17">
        <v>1.86661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0.856</v>
      </c>
      <c r="IJ17">
        <v>-0.109</v>
      </c>
      <c r="IK17">
        <v>0.732803813935454</v>
      </c>
      <c r="IL17">
        <v>0.000216929631606078</v>
      </c>
      <c r="IM17">
        <v>2.72263024731635e-07</v>
      </c>
      <c r="IN17">
        <v>-5.43792051235154e-11</v>
      </c>
      <c r="IO17">
        <v>-0.00187751657073459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1.2</v>
      </c>
      <c r="IX17">
        <v>1.2</v>
      </c>
      <c r="IY17">
        <v>1.05591</v>
      </c>
      <c r="IZ17">
        <v>2.55981</v>
      </c>
      <c r="JA17">
        <v>1.34644</v>
      </c>
      <c r="JB17">
        <v>2.26074</v>
      </c>
      <c r="JC17">
        <v>1.55029</v>
      </c>
      <c r="JD17">
        <v>2.7417</v>
      </c>
      <c r="JE17">
        <v>38.994</v>
      </c>
      <c r="JF17">
        <v>23.8336</v>
      </c>
      <c r="JG17">
        <v>18</v>
      </c>
      <c r="JH17">
        <v>499.85</v>
      </c>
      <c r="JI17">
        <v>474.225</v>
      </c>
      <c r="JJ17">
        <v>21.8206</v>
      </c>
      <c r="JK17">
        <v>27.4696</v>
      </c>
      <c r="JL17">
        <v>30.0007</v>
      </c>
      <c r="JM17">
        <v>27.549</v>
      </c>
      <c r="JN17">
        <v>27.5806</v>
      </c>
      <c r="JO17">
        <v>21.1513</v>
      </c>
      <c r="JP17">
        <v>26.2562</v>
      </c>
      <c r="JQ17">
        <v>21.6425</v>
      </c>
      <c r="JR17">
        <v>21.7511</v>
      </c>
      <c r="JS17">
        <v>400</v>
      </c>
      <c r="JT17">
        <v>15.5711</v>
      </c>
      <c r="JU17">
        <v>101.78</v>
      </c>
      <c r="JV17">
        <v>97.4857</v>
      </c>
    </row>
    <row r="18" spans="1:282">
      <c r="A18">
        <v>2</v>
      </c>
      <c r="B18">
        <v>1792378822</v>
      </c>
      <c r="C18">
        <v>121</v>
      </c>
      <c r="D18" t="s">
        <v>423</v>
      </c>
      <c r="E18" t="s">
        <v>424</v>
      </c>
      <c r="F18">
        <v>5</v>
      </c>
      <c r="G18">
        <v>1792378819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 t="s">
        <v>416</v>
      </c>
      <c r="AL18">
        <v>0</v>
      </c>
      <c r="AM18">
        <v>0</v>
      </c>
      <c r="AN18">
        <f>1-AL18/AM18</f>
        <v>0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416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1193</v>
      </c>
      <c r="BM18">
        <v>290</v>
      </c>
      <c r="BN18">
        <v>913.63</v>
      </c>
      <c r="BO18">
        <v>165</v>
      </c>
      <c r="BP18">
        <v>8113.51</v>
      </c>
      <c r="BQ18">
        <v>909.95</v>
      </c>
      <c r="BR18">
        <v>3.68</v>
      </c>
      <c r="BS18">
        <v>300</v>
      </c>
      <c r="BT18">
        <v>19.3</v>
      </c>
      <c r="BU18">
        <v>937.689367094771</v>
      </c>
      <c r="BV18">
        <v>1.82427053634141</v>
      </c>
      <c r="BW18">
        <v>-22.5072017657996</v>
      </c>
      <c r="BX18">
        <v>1.32198731230578</v>
      </c>
      <c r="BY18">
        <v>0.911910931247248</v>
      </c>
      <c r="BZ18">
        <v>-0.00537830856507229</v>
      </c>
      <c r="CA18">
        <v>290</v>
      </c>
      <c r="CB18">
        <v>901.59</v>
      </c>
      <c r="CC18">
        <v>615</v>
      </c>
      <c r="CD18">
        <v>8097.11</v>
      </c>
      <c r="CE18">
        <v>909.89</v>
      </c>
      <c r="CF18">
        <v>-8.3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417</v>
      </c>
      <c r="DA18">
        <v>2</v>
      </c>
      <c r="DB18">
        <v>1792378819</v>
      </c>
      <c r="DC18">
        <v>294.1668</v>
      </c>
      <c r="DD18">
        <v>299.9794</v>
      </c>
      <c r="DE18">
        <v>17.03342</v>
      </c>
      <c r="DF18">
        <v>15.61512</v>
      </c>
      <c r="DG18">
        <v>293.5084</v>
      </c>
      <c r="DH18">
        <v>17.13996</v>
      </c>
      <c r="DI18">
        <v>500.1116</v>
      </c>
      <c r="DJ18">
        <v>101.3824</v>
      </c>
      <c r="DK18">
        <v>0.09998948</v>
      </c>
      <c r="DL18">
        <v>24.7574</v>
      </c>
      <c r="DM18">
        <v>24.98484</v>
      </c>
      <c r="DN18">
        <v>999.9</v>
      </c>
      <c r="DO18">
        <v>0</v>
      </c>
      <c r="DP18">
        <v>0</v>
      </c>
      <c r="DQ18">
        <v>9997.496</v>
      </c>
      <c r="DR18">
        <v>0</v>
      </c>
      <c r="DS18">
        <v>6.60177</v>
      </c>
      <c r="DT18">
        <v>-5.812922</v>
      </c>
      <c r="DU18">
        <v>299.2642</v>
      </c>
      <c r="DV18">
        <v>304.7384</v>
      </c>
      <c r="DW18">
        <v>1.418306</v>
      </c>
      <c r="DX18">
        <v>299.9794</v>
      </c>
      <c r="DY18">
        <v>15.61512</v>
      </c>
      <c r="DZ18">
        <v>1.726886</v>
      </c>
      <c r="EA18">
        <v>1.583096</v>
      </c>
      <c r="EB18">
        <v>15.14024</v>
      </c>
      <c r="EC18">
        <v>13.79526</v>
      </c>
      <c r="ED18">
        <v>1500.03</v>
      </c>
      <c r="EE18">
        <v>0.9729932</v>
      </c>
      <c r="EF18">
        <v>0.0270066</v>
      </c>
      <c r="EG18">
        <v>0</v>
      </c>
      <c r="EH18">
        <v>376.4566</v>
      </c>
      <c r="EI18">
        <v>5.00064</v>
      </c>
      <c r="EJ18">
        <v>5792.744</v>
      </c>
      <c r="EK18">
        <v>15439.54</v>
      </c>
      <c r="EL18">
        <v>39.5372</v>
      </c>
      <c r="EM18">
        <v>40.187</v>
      </c>
      <c r="EN18">
        <v>39.875</v>
      </c>
      <c r="EO18">
        <v>39.7748</v>
      </c>
      <c r="EP18">
        <v>41.0872</v>
      </c>
      <c r="EQ18">
        <v>1454.65</v>
      </c>
      <c r="ER18">
        <v>40.38</v>
      </c>
      <c r="ES18">
        <v>0</v>
      </c>
      <c r="ET18">
        <v>1604.79999995232</v>
      </c>
      <c r="EU18">
        <v>0</v>
      </c>
      <c r="EV18">
        <v>376.47096</v>
      </c>
      <c r="EW18">
        <v>-0.703615389694233</v>
      </c>
      <c r="EX18">
        <v>-10.3684615557875</v>
      </c>
      <c r="EY18">
        <v>5793.6016</v>
      </c>
      <c r="EZ18">
        <v>15</v>
      </c>
      <c r="FA18">
        <v>1792378763</v>
      </c>
      <c r="FB18" t="s">
        <v>425</v>
      </c>
      <c r="FC18">
        <v>1792378763</v>
      </c>
      <c r="FD18">
        <v>1792378761</v>
      </c>
      <c r="FE18">
        <v>22</v>
      </c>
      <c r="FF18">
        <v>-0.16</v>
      </c>
      <c r="FG18">
        <v>-0</v>
      </c>
      <c r="FH18">
        <v>0.66</v>
      </c>
      <c r="FI18">
        <v>-0.159</v>
      </c>
      <c r="FJ18">
        <v>300</v>
      </c>
      <c r="FK18">
        <v>16</v>
      </c>
      <c r="FL18">
        <v>0.19</v>
      </c>
      <c r="FM18">
        <v>0.04</v>
      </c>
      <c r="FN18">
        <v>13.5705277452336</v>
      </c>
      <c r="FO18">
        <v>-0.499175153552965</v>
      </c>
      <c r="FP18">
        <v>0.117173400488246</v>
      </c>
      <c r="FQ18">
        <v>1</v>
      </c>
      <c r="FR18">
        <v>-5.85107095238095</v>
      </c>
      <c r="FS18">
        <v>0.213688051948063</v>
      </c>
      <c r="FT18">
        <v>0.0472723774075267</v>
      </c>
      <c r="FU18">
        <v>1</v>
      </c>
      <c r="FV18">
        <v>376.519382352941</v>
      </c>
      <c r="FW18">
        <v>-0.76475171932248</v>
      </c>
      <c r="FX18">
        <v>0.226356695960665</v>
      </c>
      <c r="FY18">
        <v>1</v>
      </c>
      <c r="FZ18">
        <v>3</v>
      </c>
      <c r="GA18">
        <v>3</v>
      </c>
      <c r="GB18" t="s">
        <v>426</v>
      </c>
      <c r="GC18">
        <v>3.12365</v>
      </c>
      <c r="GD18">
        <v>2.76518</v>
      </c>
      <c r="GE18">
        <v>0.069139</v>
      </c>
      <c r="GF18">
        <v>0.0720984</v>
      </c>
      <c r="GG18">
        <v>0.0919141</v>
      </c>
      <c r="GH18">
        <v>0.0893351</v>
      </c>
      <c r="GI18">
        <v>18156.1</v>
      </c>
      <c r="GJ18">
        <v>27303.3</v>
      </c>
      <c r="GK18">
        <v>22788.2</v>
      </c>
      <c r="GL18">
        <v>30148.6</v>
      </c>
      <c r="GM18">
        <v>33934.8</v>
      </c>
      <c r="GN18">
        <v>34200.6</v>
      </c>
      <c r="GO18">
        <v>43108.3</v>
      </c>
      <c r="GP18">
        <v>42937.7</v>
      </c>
      <c r="GQ18">
        <v>1.97965</v>
      </c>
      <c r="GR18">
        <v>1.818</v>
      </c>
      <c r="GS18">
        <v>0.104617</v>
      </c>
      <c r="GT18">
        <v>0</v>
      </c>
      <c r="GU18">
        <v>23.2353</v>
      </c>
      <c r="GV18">
        <v>999.9</v>
      </c>
      <c r="GW18">
        <v>38.5</v>
      </c>
      <c r="GX18">
        <v>33.234</v>
      </c>
      <c r="GY18">
        <v>19.4381</v>
      </c>
      <c r="GZ18">
        <v>63.1887</v>
      </c>
      <c r="HA18">
        <v>34.4752</v>
      </c>
      <c r="HB18">
        <v>1</v>
      </c>
      <c r="HC18">
        <v>0.0124568</v>
      </c>
      <c r="HD18">
        <v>1.68182</v>
      </c>
      <c r="HE18">
        <v>20.156</v>
      </c>
      <c r="HF18">
        <v>5.23256</v>
      </c>
      <c r="HG18">
        <v>11.962</v>
      </c>
      <c r="HH18">
        <v>4.9679</v>
      </c>
      <c r="HI18">
        <v>3.295</v>
      </c>
      <c r="HJ18">
        <v>999.9</v>
      </c>
      <c r="HK18">
        <v>9999</v>
      </c>
      <c r="HL18">
        <v>9999</v>
      </c>
      <c r="HM18">
        <v>9999</v>
      </c>
      <c r="HN18">
        <v>4.96982</v>
      </c>
      <c r="HO18">
        <v>1.86386</v>
      </c>
      <c r="HP18">
        <v>1.86539</v>
      </c>
      <c r="HQ18">
        <v>1.86722</v>
      </c>
      <c r="HR18">
        <v>1.86426</v>
      </c>
      <c r="HS18">
        <v>1.86797</v>
      </c>
      <c r="HT18">
        <v>1.86476</v>
      </c>
      <c r="HU18">
        <v>1.86661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0.658</v>
      </c>
      <c r="IJ18">
        <v>-0.1067</v>
      </c>
      <c r="IK18">
        <v>0.572534331111568</v>
      </c>
      <c r="IL18">
        <v>0.000216929631606078</v>
      </c>
      <c r="IM18">
        <v>2.72263024731635e-07</v>
      </c>
      <c r="IN18">
        <v>-5.43792051235154e-11</v>
      </c>
      <c r="IO18">
        <v>-0.00206294845311766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1</v>
      </c>
      <c r="IX18">
        <v>1</v>
      </c>
      <c r="IY18">
        <v>0.849609</v>
      </c>
      <c r="IZ18">
        <v>2.57202</v>
      </c>
      <c r="JA18">
        <v>1.34644</v>
      </c>
      <c r="JB18">
        <v>2.25952</v>
      </c>
      <c r="JC18">
        <v>1.55029</v>
      </c>
      <c r="JD18">
        <v>2.70264</v>
      </c>
      <c r="JE18">
        <v>38.994</v>
      </c>
      <c r="JF18">
        <v>23.8336</v>
      </c>
      <c r="JG18">
        <v>18</v>
      </c>
      <c r="JH18">
        <v>499.88</v>
      </c>
      <c r="JI18">
        <v>473.819</v>
      </c>
      <c r="JJ18">
        <v>21.6263</v>
      </c>
      <c r="JK18">
        <v>27.3755</v>
      </c>
      <c r="JL18">
        <v>29.9998</v>
      </c>
      <c r="JM18">
        <v>27.4514</v>
      </c>
      <c r="JN18">
        <v>27.4831</v>
      </c>
      <c r="JO18">
        <v>17.022</v>
      </c>
      <c r="JP18">
        <v>25.8788</v>
      </c>
      <c r="JQ18">
        <v>21.2711</v>
      </c>
      <c r="JR18">
        <v>21.6269</v>
      </c>
      <c r="JS18">
        <v>300</v>
      </c>
      <c r="JT18">
        <v>15.5795</v>
      </c>
      <c r="JU18">
        <v>101.796</v>
      </c>
      <c r="JV18">
        <v>97.5034</v>
      </c>
    </row>
    <row r="19" spans="1:282">
      <c r="A19">
        <v>3</v>
      </c>
      <c r="B19">
        <v>1792378943</v>
      </c>
      <c r="C19">
        <v>242</v>
      </c>
      <c r="D19" t="s">
        <v>427</v>
      </c>
      <c r="E19" t="s">
        <v>428</v>
      </c>
      <c r="F19">
        <v>5</v>
      </c>
      <c r="G19">
        <v>1792378940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 t="s">
        <v>416</v>
      </c>
      <c r="AL19">
        <v>0</v>
      </c>
      <c r="AM19">
        <v>0</v>
      </c>
      <c r="AN19">
        <f>1-AL19/AM19</f>
        <v>0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416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1193</v>
      </c>
      <c r="BM19">
        <v>290</v>
      </c>
      <c r="BN19">
        <v>913.63</v>
      </c>
      <c r="BO19">
        <v>165</v>
      </c>
      <c r="BP19">
        <v>8113.51</v>
      </c>
      <c r="BQ19">
        <v>909.95</v>
      </c>
      <c r="BR19">
        <v>3.68</v>
      </c>
      <c r="BS19">
        <v>300</v>
      </c>
      <c r="BT19">
        <v>19.3</v>
      </c>
      <c r="BU19">
        <v>937.689367094771</v>
      </c>
      <c r="BV19">
        <v>1.82427053634141</v>
      </c>
      <c r="BW19">
        <v>-22.5072017657996</v>
      </c>
      <c r="BX19">
        <v>1.32198731230578</v>
      </c>
      <c r="BY19">
        <v>0.911910931247248</v>
      </c>
      <c r="BZ19">
        <v>-0.00537830856507229</v>
      </c>
      <c r="CA19">
        <v>290</v>
      </c>
      <c r="CB19">
        <v>901.59</v>
      </c>
      <c r="CC19">
        <v>615</v>
      </c>
      <c r="CD19">
        <v>8097.11</v>
      </c>
      <c r="CE19">
        <v>909.89</v>
      </c>
      <c r="CF19">
        <v>-8.3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417</v>
      </c>
      <c r="DA19">
        <v>2</v>
      </c>
      <c r="DB19">
        <v>1792378940</v>
      </c>
      <c r="DC19">
        <v>196.4154</v>
      </c>
      <c r="DD19">
        <v>200.0032</v>
      </c>
      <c r="DE19">
        <v>17.0454</v>
      </c>
      <c r="DF19">
        <v>15.49596</v>
      </c>
      <c r="DG19">
        <v>195.8986</v>
      </c>
      <c r="DH19">
        <v>17.15348</v>
      </c>
      <c r="DI19">
        <v>500.1328</v>
      </c>
      <c r="DJ19">
        <v>101.3826</v>
      </c>
      <c r="DK19">
        <v>0.10004968</v>
      </c>
      <c r="DL19">
        <v>24.799</v>
      </c>
      <c r="DM19">
        <v>25.03946</v>
      </c>
      <c r="DN19">
        <v>999.9</v>
      </c>
      <c r="DO19">
        <v>0</v>
      </c>
      <c r="DP19">
        <v>0</v>
      </c>
      <c r="DQ19">
        <v>9992.25</v>
      </c>
      <c r="DR19">
        <v>0</v>
      </c>
      <c r="DS19">
        <v>6.578312</v>
      </c>
      <c r="DT19">
        <v>-3.587656</v>
      </c>
      <c r="DU19">
        <v>199.8216</v>
      </c>
      <c r="DV19">
        <v>203.1512</v>
      </c>
      <c r="DW19">
        <v>1.54945</v>
      </c>
      <c r="DX19">
        <v>200.0032</v>
      </c>
      <c r="DY19">
        <v>15.49596</v>
      </c>
      <c r="DZ19">
        <v>1.728104</v>
      </c>
      <c r="EA19">
        <v>1.571018</v>
      </c>
      <c r="EB19">
        <v>15.15122</v>
      </c>
      <c r="EC19">
        <v>13.67742</v>
      </c>
      <c r="ED19">
        <v>1499.982</v>
      </c>
      <c r="EE19">
        <v>0.9729924</v>
      </c>
      <c r="EF19">
        <v>0.02700738</v>
      </c>
      <c r="EG19">
        <v>0</v>
      </c>
      <c r="EH19">
        <v>373.7862</v>
      </c>
      <c r="EI19">
        <v>5.00064</v>
      </c>
      <c r="EJ19">
        <v>5753.078</v>
      </c>
      <c r="EK19">
        <v>15439.02</v>
      </c>
      <c r="EL19">
        <v>39.562</v>
      </c>
      <c r="EM19">
        <v>40.1996</v>
      </c>
      <c r="EN19">
        <v>39.875</v>
      </c>
      <c r="EO19">
        <v>39.812</v>
      </c>
      <c r="EP19">
        <v>41.125</v>
      </c>
      <c r="EQ19">
        <v>1454.602</v>
      </c>
      <c r="ER19">
        <v>40.38</v>
      </c>
      <c r="ES19">
        <v>0</v>
      </c>
      <c r="ET19">
        <v>1726</v>
      </c>
      <c r="EU19">
        <v>0</v>
      </c>
      <c r="EV19">
        <v>373.75868</v>
      </c>
      <c r="EW19">
        <v>-0.0131538483156288</v>
      </c>
      <c r="EX19">
        <v>3.11384613223718</v>
      </c>
      <c r="EY19">
        <v>5752.9404</v>
      </c>
      <c r="EZ19">
        <v>15</v>
      </c>
      <c r="FA19">
        <v>1792378898</v>
      </c>
      <c r="FB19" t="s">
        <v>429</v>
      </c>
      <c r="FC19">
        <v>1792378898</v>
      </c>
      <c r="FD19">
        <v>1792378885</v>
      </c>
      <c r="FE19">
        <v>23</v>
      </c>
      <c r="FF19">
        <v>-0.108</v>
      </c>
      <c r="FG19">
        <v>-0.002</v>
      </c>
      <c r="FH19">
        <v>0.518</v>
      </c>
      <c r="FI19">
        <v>-0.161</v>
      </c>
      <c r="FJ19">
        <v>200</v>
      </c>
      <c r="FK19">
        <v>16</v>
      </c>
      <c r="FL19">
        <v>0.37</v>
      </c>
      <c r="FM19">
        <v>0.04</v>
      </c>
      <c r="FN19">
        <v>8.18216189134116</v>
      </c>
      <c r="FO19">
        <v>0.0463922653056047</v>
      </c>
      <c r="FP19">
        <v>0.0901129215282347</v>
      </c>
      <c r="FQ19">
        <v>1</v>
      </c>
      <c r="FR19">
        <v>-3.580377</v>
      </c>
      <c r="FS19">
        <v>-0.100821654135346</v>
      </c>
      <c r="FT19">
        <v>0.0299164620401544</v>
      </c>
      <c r="FU19">
        <v>1</v>
      </c>
      <c r="FV19">
        <v>373.737882352941</v>
      </c>
      <c r="FW19">
        <v>0.372559206574929</v>
      </c>
      <c r="FX19">
        <v>0.164776633963515</v>
      </c>
      <c r="FY19">
        <v>1</v>
      </c>
      <c r="FZ19">
        <v>3</v>
      </c>
      <c r="GA19">
        <v>3</v>
      </c>
      <c r="GB19" t="s">
        <v>426</v>
      </c>
      <c r="GC19">
        <v>3.12352</v>
      </c>
      <c r="GD19">
        <v>2.76519</v>
      </c>
      <c r="GE19">
        <v>0.0491863</v>
      </c>
      <c r="GF19">
        <v>0.051327</v>
      </c>
      <c r="GG19">
        <v>0.091947</v>
      </c>
      <c r="GH19">
        <v>0.0888583</v>
      </c>
      <c r="GI19">
        <v>18548.3</v>
      </c>
      <c r="GJ19">
        <v>27917.7</v>
      </c>
      <c r="GK19">
        <v>22791.4</v>
      </c>
      <c r="GL19">
        <v>30151.5</v>
      </c>
      <c r="GM19">
        <v>33935.9</v>
      </c>
      <c r="GN19">
        <v>34220.1</v>
      </c>
      <c r="GO19">
        <v>43113.1</v>
      </c>
      <c r="GP19">
        <v>42941.5</v>
      </c>
      <c r="GQ19">
        <v>1.9798</v>
      </c>
      <c r="GR19">
        <v>1.81837</v>
      </c>
      <c r="GS19">
        <v>0.105459</v>
      </c>
      <c r="GT19">
        <v>0</v>
      </c>
      <c r="GU19">
        <v>23.2754</v>
      </c>
      <c r="GV19">
        <v>999.9</v>
      </c>
      <c r="GW19">
        <v>38.359</v>
      </c>
      <c r="GX19">
        <v>33.254</v>
      </c>
      <c r="GY19">
        <v>19.39</v>
      </c>
      <c r="GZ19">
        <v>63.2687</v>
      </c>
      <c r="HA19">
        <v>34.7997</v>
      </c>
      <c r="HB19">
        <v>1</v>
      </c>
      <c r="HC19">
        <v>0.00859756</v>
      </c>
      <c r="HD19">
        <v>1.94849</v>
      </c>
      <c r="HE19">
        <v>20.1523</v>
      </c>
      <c r="HF19">
        <v>5.23391</v>
      </c>
      <c r="HG19">
        <v>11.962</v>
      </c>
      <c r="HH19">
        <v>4.96905</v>
      </c>
      <c r="HI19">
        <v>3.295</v>
      </c>
      <c r="HJ19">
        <v>999.9</v>
      </c>
      <c r="HK19">
        <v>9999</v>
      </c>
      <c r="HL19">
        <v>9999</v>
      </c>
      <c r="HM19">
        <v>9999</v>
      </c>
      <c r="HN19">
        <v>4.96981</v>
      </c>
      <c r="HO19">
        <v>1.86386</v>
      </c>
      <c r="HP19">
        <v>1.86539</v>
      </c>
      <c r="HQ19">
        <v>1.86723</v>
      </c>
      <c r="HR19">
        <v>1.86432</v>
      </c>
      <c r="HS19">
        <v>1.86795</v>
      </c>
      <c r="HT19">
        <v>1.86474</v>
      </c>
      <c r="HU19">
        <v>1.86662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0.516</v>
      </c>
      <c r="IJ19">
        <v>-0.1086</v>
      </c>
      <c r="IK19">
        <v>0.464246863508326</v>
      </c>
      <c r="IL19">
        <v>0.000216929631606078</v>
      </c>
      <c r="IM19">
        <v>2.72263024731635e-07</v>
      </c>
      <c r="IN19">
        <v>-5.43792051235154e-11</v>
      </c>
      <c r="IO19">
        <v>-0.00414238043022388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0.8</v>
      </c>
      <c r="IX19">
        <v>1</v>
      </c>
      <c r="IY19">
        <v>0.634766</v>
      </c>
      <c r="IZ19">
        <v>2.57568</v>
      </c>
      <c r="JA19">
        <v>1.34644</v>
      </c>
      <c r="JB19">
        <v>2.25952</v>
      </c>
      <c r="JC19">
        <v>1.55029</v>
      </c>
      <c r="JD19">
        <v>2.71118</v>
      </c>
      <c r="JE19">
        <v>39.0188</v>
      </c>
      <c r="JF19">
        <v>23.8336</v>
      </c>
      <c r="JG19">
        <v>18</v>
      </c>
      <c r="JH19">
        <v>499.293</v>
      </c>
      <c r="JI19">
        <v>473.358</v>
      </c>
      <c r="JJ19">
        <v>21.6799</v>
      </c>
      <c r="JK19">
        <v>27.3076</v>
      </c>
      <c r="JL19">
        <v>30</v>
      </c>
      <c r="JM19">
        <v>27.3738</v>
      </c>
      <c r="JN19">
        <v>27.4027</v>
      </c>
      <c r="JO19">
        <v>12.7264</v>
      </c>
      <c r="JP19">
        <v>26.2872</v>
      </c>
      <c r="JQ19">
        <v>20.8988</v>
      </c>
      <c r="JR19">
        <v>21.6521</v>
      </c>
      <c r="JS19">
        <v>200</v>
      </c>
      <c r="JT19">
        <v>15.4827</v>
      </c>
      <c r="JU19">
        <v>101.809</v>
      </c>
      <c r="JV19">
        <v>97.5122</v>
      </c>
    </row>
    <row r="20" spans="1:282">
      <c r="A20">
        <v>4</v>
      </c>
      <c r="B20">
        <v>1792379064</v>
      </c>
      <c r="C20">
        <v>363</v>
      </c>
      <c r="D20" t="s">
        <v>430</v>
      </c>
      <c r="E20" t="s">
        <v>431</v>
      </c>
      <c r="F20">
        <v>5</v>
      </c>
      <c r="G20">
        <v>1792379061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 t="s">
        <v>416</v>
      </c>
      <c r="AL20">
        <v>0</v>
      </c>
      <c r="AM20">
        <v>0</v>
      </c>
      <c r="AN20">
        <f>1-AL20/AM20</f>
        <v>0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416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1193</v>
      </c>
      <c r="BM20">
        <v>290</v>
      </c>
      <c r="BN20">
        <v>913.63</v>
      </c>
      <c r="BO20">
        <v>165</v>
      </c>
      <c r="BP20">
        <v>8113.51</v>
      </c>
      <c r="BQ20">
        <v>909.95</v>
      </c>
      <c r="BR20">
        <v>3.68</v>
      </c>
      <c r="BS20">
        <v>300</v>
      </c>
      <c r="BT20">
        <v>19.3</v>
      </c>
      <c r="BU20">
        <v>937.689367094771</v>
      </c>
      <c r="BV20">
        <v>1.82427053634141</v>
      </c>
      <c r="BW20">
        <v>-22.5072017657996</v>
      </c>
      <c r="BX20">
        <v>1.32198731230578</v>
      </c>
      <c r="BY20">
        <v>0.911910931247248</v>
      </c>
      <c r="BZ20">
        <v>-0.00537830856507229</v>
      </c>
      <c r="CA20">
        <v>290</v>
      </c>
      <c r="CB20">
        <v>901.59</v>
      </c>
      <c r="CC20">
        <v>615</v>
      </c>
      <c r="CD20">
        <v>8097.11</v>
      </c>
      <c r="CE20">
        <v>909.89</v>
      </c>
      <c r="CF20">
        <v>-8.3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417</v>
      </c>
      <c r="DA20">
        <v>2</v>
      </c>
      <c r="DB20">
        <v>1792379061</v>
      </c>
      <c r="DC20">
        <v>98.80934</v>
      </c>
      <c r="DD20">
        <v>100.0212</v>
      </c>
      <c r="DE20">
        <v>17.1066</v>
      </c>
      <c r="DF20">
        <v>15.40312</v>
      </c>
      <c r="DG20">
        <v>98.67836</v>
      </c>
      <c r="DH20">
        <v>17.21344</v>
      </c>
      <c r="DI20">
        <v>500.0484</v>
      </c>
      <c r="DJ20">
        <v>101.38</v>
      </c>
      <c r="DK20">
        <v>0.0998715</v>
      </c>
      <c r="DL20">
        <v>24.84102</v>
      </c>
      <c r="DM20">
        <v>25.0006</v>
      </c>
      <c r="DN20">
        <v>999.9</v>
      </c>
      <c r="DO20">
        <v>0</v>
      </c>
      <c r="DP20">
        <v>0</v>
      </c>
      <c r="DQ20">
        <v>10012.25</v>
      </c>
      <c r="DR20">
        <v>0</v>
      </c>
      <c r="DS20">
        <v>6.71089</v>
      </c>
      <c r="DT20">
        <v>-1.21193</v>
      </c>
      <c r="DU20">
        <v>100.5292</v>
      </c>
      <c r="DV20">
        <v>101.5862</v>
      </c>
      <c r="DW20">
        <v>1.703454</v>
      </c>
      <c r="DX20">
        <v>100.0212</v>
      </c>
      <c r="DY20">
        <v>15.40312</v>
      </c>
      <c r="DZ20">
        <v>1.734266</v>
      </c>
      <c r="EA20">
        <v>1.561572</v>
      </c>
      <c r="EB20">
        <v>15.2066</v>
      </c>
      <c r="EC20">
        <v>13.58472</v>
      </c>
      <c r="ED20">
        <v>1499.948</v>
      </c>
      <c r="EE20">
        <v>0.9729924</v>
      </c>
      <c r="EF20">
        <v>0.02700738</v>
      </c>
      <c r="EG20">
        <v>0</v>
      </c>
      <c r="EH20">
        <v>372.4544</v>
      </c>
      <c r="EI20">
        <v>5.00064</v>
      </c>
      <c r="EJ20">
        <v>5731.51</v>
      </c>
      <c r="EK20">
        <v>15438.66</v>
      </c>
      <c r="EL20">
        <v>39.625</v>
      </c>
      <c r="EM20">
        <v>40.2748</v>
      </c>
      <c r="EN20">
        <v>39.937</v>
      </c>
      <c r="EO20">
        <v>39.875</v>
      </c>
      <c r="EP20">
        <v>41.187</v>
      </c>
      <c r="EQ20">
        <v>1454.568</v>
      </c>
      <c r="ER20">
        <v>40.37</v>
      </c>
      <c r="ES20">
        <v>0</v>
      </c>
      <c r="ET20">
        <v>1846.59999990463</v>
      </c>
      <c r="EU20">
        <v>0</v>
      </c>
      <c r="EV20">
        <v>372.417461538462</v>
      </c>
      <c r="EW20">
        <v>-0.28082051833199</v>
      </c>
      <c r="EX20">
        <v>-1.07692307395869</v>
      </c>
      <c r="EY20">
        <v>5731.86</v>
      </c>
      <c r="EZ20">
        <v>15</v>
      </c>
      <c r="FA20">
        <v>1792379013</v>
      </c>
      <c r="FB20" t="s">
        <v>432</v>
      </c>
      <c r="FC20">
        <v>1792379013</v>
      </c>
      <c r="FD20">
        <v>1792379005</v>
      </c>
      <c r="FE20">
        <v>24</v>
      </c>
      <c r="FF20">
        <v>-0.357</v>
      </c>
      <c r="FG20">
        <v>-0.001</v>
      </c>
      <c r="FH20">
        <v>0.131</v>
      </c>
      <c r="FI20">
        <v>-0.165</v>
      </c>
      <c r="FJ20">
        <v>100</v>
      </c>
      <c r="FK20">
        <v>15</v>
      </c>
      <c r="FL20">
        <v>0.25</v>
      </c>
      <c r="FM20">
        <v>0.06</v>
      </c>
      <c r="FN20">
        <v>2.57231581566417</v>
      </c>
      <c r="FO20">
        <v>-0.271784367712873</v>
      </c>
      <c r="FP20">
        <v>0.100129529973089</v>
      </c>
      <c r="FQ20">
        <v>1</v>
      </c>
      <c r="FR20">
        <v>-1.200991</v>
      </c>
      <c r="FS20">
        <v>0.0915004511278171</v>
      </c>
      <c r="FT20">
        <v>0.0418496445504618</v>
      </c>
      <c r="FU20">
        <v>1</v>
      </c>
      <c r="FV20">
        <v>372.452088235294</v>
      </c>
      <c r="FW20">
        <v>-0.449579832415511</v>
      </c>
      <c r="FX20">
        <v>0.154891492882835</v>
      </c>
      <c r="FY20">
        <v>1</v>
      </c>
      <c r="FZ20">
        <v>3</v>
      </c>
      <c r="GA20">
        <v>3</v>
      </c>
      <c r="GB20" t="s">
        <v>426</v>
      </c>
      <c r="GC20">
        <v>3.12334</v>
      </c>
      <c r="GD20">
        <v>2.76522</v>
      </c>
      <c r="GE20">
        <v>0.0263366</v>
      </c>
      <c r="GF20">
        <v>0.0273747</v>
      </c>
      <c r="GG20">
        <v>0.0921956</v>
      </c>
      <c r="GH20">
        <v>0.0884868</v>
      </c>
      <c r="GI20">
        <v>18995.8</v>
      </c>
      <c r="GJ20">
        <v>28625.1</v>
      </c>
      <c r="GK20">
        <v>22793.1</v>
      </c>
      <c r="GL20">
        <v>30153.7</v>
      </c>
      <c r="GM20">
        <v>33927.2</v>
      </c>
      <c r="GN20">
        <v>34235.2</v>
      </c>
      <c r="GO20">
        <v>43116.1</v>
      </c>
      <c r="GP20">
        <v>42944.9</v>
      </c>
      <c r="GQ20">
        <v>1.98072</v>
      </c>
      <c r="GR20">
        <v>1.81845</v>
      </c>
      <c r="GS20">
        <v>0.0999086</v>
      </c>
      <c r="GT20">
        <v>0</v>
      </c>
      <c r="GU20">
        <v>23.3244</v>
      </c>
      <c r="GV20">
        <v>999.9</v>
      </c>
      <c r="GW20">
        <v>38.255</v>
      </c>
      <c r="GX20">
        <v>33.284</v>
      </c>
      <c r="GY20">
        <v>19.3709</v>
      </c>
      <c r="GZ20">
        <v>63.1087</v>
      </c>
      <c r="HA20">
        <v>35.0721</v>
      </c>
      <c r="HB20">
        <v>1</v>
      </c>
      <c r="HC20">
        <v>0.00442327</v>
      </c>
      <c r="HD20">
        <v>1.65811</v>
      </c>
      <c r="HE20">
        <v>20.1562</v>
      </c>
      <c r="HF20">
        <v>5.23391</v>
      </c>
      <c r="HG20">
        <v>11.962</v>
      </c>
      <c r="HH20">
        <v>4.96915</v>
      </c>
      <c r="HI20">
        <v>3.295</v>
      </c>
      <c r="HJ20">
        <v>999.9</v>
      </c>
      <c r="HK20">
        <v>9999</v>
      </c>
      <c r="HL20">
        <v>9999</v>
      </c>
      <c r="HM20">
        <v>9999</v>
      </c>
      <c r="HN20">
        <v>4.96982</v>
      </c>
      <c r="HO20">
        <v>1.86386</v>
      </c>
      <c r="HP20">
        <v>1.86539</v>
      </c>
      <c r="HQ20">
        <v>1.86722</v>
      </c>
      <c r="HR20">
        <v>1.86432</v>
      </c>
      <c r="HS20">
        <v>1.86798</v>
      </c>
      <c r="HT20">
        <v>1.86472</v>
      </c>
      <c r="HU20">
        <v>1.86661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0.131</v>
      </c>
      <c r="IJ20">
        <v>-0.1073</v>
      </c>
      <c r="IK20">
        <v>0.106963343224523</v>
      </c>
      <c r="IL20">
        <v>0.000216929631606078</v>
      </c>
      <c r="IM20">
        <v>2.72263024731635e-07</v>
      </c>
      <c r="IN20">
        <v>-5.43792051235154e-11</v>
      </c>
      <c r="IO20">
        <v>-0.00532397839626194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0.8</v>
      </c>
      <c r="IX20">
        <v>1</v>
      </c>
      <c r="IY20">
        <v>0.413818</v>
      </c>
      <c r="IZ20">
        <v>2.58667</v>
      </c>
      <c r="JA20">
        <v>1.34644</v>
      </c>
      <c r="JB20">
        <v>2.25952</v>
      </c>
      <c r="JC20">
        <v>1.55029</v>
      </c>
      <c r="JD20">
        <v>2.70508</v>
      </c>
      <c r="JE20">
        <v>39.0188</v>
      </c>
      <c r="JF20">
        <v>23.8336</v>
      </c>
      <c r="JG20">
        <v>18</v>
      </c>
      <c r="JH20">
        <v>499.355</v>
      </c>
      <c r="JI20">
        <v>472.872</v>
      </c>
      <c r="JJ20">
        <v>21.869</v>
      </c>
      <c r="JK20">
        <v>27.2643</v>
      </c>
      <c r="JL20">
        <v>30.0001</v>
      </c>
      <c r="JM20">
        <v>27.3156</v>
      </c>
      <c r="JN20">
        <v>27.3426</v>
      </c>
      <c r="JO20">
        <v>8.30829</v>
      </c>
      <c r="JP20">
        <v>26.5789</v>
      </c>
      <c r="JQ20">
        <v>20.4944</v>
      </c>
      <c r="JR20">
        <v>21.8398</v>
      </c>
      <c r="JS20">
        <v>100</v>
      </c>
      <c r="JT20">
        <v>15.3685</v>
      </c>
      <c r="JU20">
        <v>101.816</v>
      </c>
      <c r="JV20">
        <v>97.5196</v>
      </c>
    </row>
    <row r="21" spans="1:282">
      <c r="A21">
        <v>5</v>
      </c>
      <c r="B21">
        <v>1792379185</v>
      </c>
      <c r="C21">
        <v>484</v>
      </c>
      <c r="D21" t="s">
        <v>433</v>
      </c>
      <c r="E21" t="s">
        <v>434</v>
      </c>
      <c r="F21">
        <v>5</v>
      </c>
      <c r="G21">
        <v>1792379182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 t="s">
        <v>416</v>
      </c>
      <c r="AL21">
        <v>0</v>
      </c>
      <c r="AM21">
        <v>0</v>
      </c>
      <c r="AN21">
        <f>1-AL21/AM21</f>
        <v>0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416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1193</v>
      </c>
      <c r="BM21">
        <v>290</v>
      </c>
      <c r="BN21">
        <v>913.63</v>
      </c>
      <c r="BO21">
        <v>165</v>
      </c>
      <c r="BP21">
        <v>8113.51</v>
      </c>
      <c r="BQ21">
        <v>909.95</v>
      </c>
      <c r="BR21">
        <v>3.68</v>
      </c>
      <c r="BS21">
        <v>300</v>
      </c>
      <c r="BT21">
        <v>19.3</v>
      </c>
      <c r="BU21">
        <v>937.689367094771</v>
      </c>
      <c r="BV21">
        <v>1.82427053634141</v>
      </c>
      <c r="BW21">
        <v>-22.5072017657996</v>
      </c>
      <c r="BX21">
        <v>1.32198731230578</v>
      </c>
      <c r="BY21">
        <v>0.911910931247248</v>
      </c>
      <c r="BZ21">
        <v>-0.00537830856507229</v>
      </c>
      <c r="CA21">
        <v>290</v>
      </c>
      <c r="CB21">
        <v>901.59</v>
      </c>
      <c r="CC21">
        <v>615</v>
      </c>
      <c r="CD21">
        <v>8097.11</v>
      </c>
      <c r="CE21">
        <v>909.89</v>
      </c>
      <c r="CF21">
        <v>-8.3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417</v>
      </c>
      <c r="DA21">
        <v>2</v>
      </c>
      <c r="DB21">
        <v>1792379182</v>
      </c>
      <c r="DC21">
        <v>50.21546</v>
      </c>
      <c r="DD21">
        <v>49.98184</v>
      </c>
      <c r="DE21">
        <v>17.19432</v>
      </c>
      <c r="DF21">
        <v>15.28434</v>
      </c>
      <c r="DG21">
        <v>50.12058</v>
      </c>
      <c r="DH21">
        <v>17.298</v>
      </c>
      <c r="DI21">
        <v>500.1162</v>
      </c>
      <c r="DJ21">
        <v>101.379</v>
      </c>
      <c r="DK21">
        <v>0.1000221</v>
      </c>
      <c r="DL21">
        <v>24.94768</v>
      </c>
      <c r="DM21">
        <v>24.98914</v>
      </c>
      <c r="DN21">
        <v>999.9</v>
      </c>
      <c r="DO21">
        <v>0</v>
      </c>
      <c r="DP21">
        <v>0</v>
      </c>
      <c r="DQ21">
        <v>9996.74</v>
      </c>
      <c r="DR21">
        <v>0</v>
      </c>
      <c r="DS21">
        <v>6.71089</v>
      </c>
      <c r="DT21">
        <v>0.2336204</v>
      </c>
      <c r="DU21">
        <v>51.09398</v>
      </c>
      <c r="DV21">
        <v>50.75762</v>
      </c>
      <c r="DW21">
        <v>1.909984</v>
      </c>
      <c r="DX21">
        <v>49.98184</v>
      </c>
      <c r="DY21">
        <v>15.28434</v>
      </c>
      <c r="DZ21">
        <v>1.743144</v>
      </c>
      <c r="EA21">
        <v>1.549514</v>
      </c>
      <c r="EB21">
        <v>15.28608</v>
      </c>
      <c r="EC21">
        <v>13.46566</v>
      </c>
      <c r="ED21">
        <v>1499.984</v>
      </c>
      <c r="EE21">
        <v>0.9729932</v>
      </c>
      <c r="EF21">
        <v>0.02700664</v>
      </c>
      <c r="EG21">
        <v>0</v>
      </c>
      <c r="EH21">
        <v>373.4558</v>
      </c>
      <c r="EI21">
        <v>5.00064</v>
      </c>
      <c r="EJ21">
        <v>5747.956</v>
      </c>
      <c r="EK21">
        <v>15439.02</v>
      </c>
      <c r="EL21">
        <v>39.6746</v>
      </c>
      <c r="EM21">
        <v>40.312</v>
      </c>
      <c r="EN21">
        <v>40</v>
      </c>
      <c r="EO21">
        <v>39.937</v>
      </c>
      <c r="EP21">
        <v>41.25</v>
      </c>
      <c r="EQ21">
        <v>1454.604</v>
      </c>
      <c r="ER21">
        <v>40.37</v>
      </c>
      <c r="ES21">
        <v>0</v>
      </c>
      <c r="ET21">
        <v>1967.79999995232</v>
      </c>
      <c r="EU21">
        <v>0</v>
      </c>
      <c r="EV21">
        <v>373.501076923077</v>
      </c>
      <c r="EW21">
        <v>0.217230773894348</v>
      </c>
      <c r="EX21">
        <v>8.74974361326613</v>
      </c>
      <c r="EY21">
        <v>5747.365</v>
      </c>
      <c r="EZ21">
        <v>15</v>
      </c>
      <c r="FA21">
        <v>1792379132</v>
      </c>
      <c r="FB21" t="s">
        <v>435</v>
      </c>
      <c r="FC21">
        <v>1792379132</v>
      </c>
      <c r="FD21">
        <v>1792379127</v>
      </c>
      <c r="FE21">
        <v>25</v>
      </c>
      <c r="FF21">
        <v>-0.024</v>
      </c>
      <c r="FG21">
        <v>-0</v>
      </c>
      <c r="FH21">
        <v>0.095</v>
      </c>
      <c r="FI21">
        <v>-0.169</v>
      </c>
      <c r="FJ21">
        <v>50</v>
      </c>
      <c r="FK21">
        <v>15</v>
      </c>
      <c r="FL21">
        <v>0.19</v>
      </c>
      <c r="FM21">
        <v>0.04</v>
      </c>
      <c r="FN21">
        <v>-0.754267815688863</v>
      </c>
      <c r="FO21">
        <v>0.0313282817924494</v>
      </c>
      <c r="FP21">
        <v>0.0932165597708419</v>
      </c>
      <c r="FQ21">
        <v>1</v>
      </c>
      <c r="FR21">
        <v>0.20348765</v>
      </c>
      <c r="FS21">
        <v>0.00488530827067683</v>
      </c>
      <c r="FT21">
        <v>0.0376930832358869</v>
      </c>
      <c r="FU21">
        <v>1</v>
      </c>
      <c r="FV21">
        <v>373.473382352941</v>
      </c>
      <c r="FW21">
        <v>0.182322385329972</v>
      </c>
      <c r="FX21">
        <v>0.229261604325696</v>
      </c>
      <c r="FY21">
        <v>1</v>
      </c>
      <c r="FZ21">
        <v>3</v>
      </c>
      <c r="GA21">
        <v>3</v>
      </c>
      <c r="GB21" t="s">
        <v>426</v>
      </c>
      <c r="GC21">
        <v>3.12351</v>
      </c>
      <c r="GD21">
        <v>2.7652</v>
      </c>
      <c r="GE21">
        <v>0.0137248</v>
      </c>
      <c r="GF21">
        <v>0.0140673</v>
      </c>
      <c r="GG21">
        <v>0.092581</v>
      </c>
      <c r="GH21">
        <v>0.0880061</v>
      </c>
      <c r="GI21">
        <v>19242.4</v>
      </c>
      <c r="GJ21">
        <v>29018.1</v>
      </c>
      <c r="GK21">
        <v>22793.4</v>
      </c>
      <c r="GL21">
        <v>30154.6</v>
      </c>
      <c r="GM21">
        <v>33912</v>
      </c>
      <c r="GN21">
        <v>34253.3</v>
      </c>
      <c r="GO21">
        <v>43116.6</v>
      </c>
      <c r="GP21">
        <v>42946</v>
      </c>
      <c r="GQ21">
        <v>1.9812</v>
      </c>
      <c r="GR21">
        <v>1.81842</v>
      </c>
      <c r="GS21">
        <v>0.0968017</v>
      </c>
      <c r="GT21">
        <v>0</v>
      </c>
      <c r="GU21">
        <v>23.4095</v>
      </c>
      <c r="GV21">
        <v>999.9</v>
      </c>
      <c r="GW21">
        <v>38.139</v>
      </c>
      <c r="GX21">
        <v>33.304</v>
      </c>
      <c r="GY21">
        <v>19.3327</v>
      </c>
      <c r="GZ21">
        <v>63.0987</v>
      </c>
      <c r="HA21">
        <v>34.7516</v>
      </c>
      <c r="HB21">
        <v>1</v>
      </c>
      <c r="HC21">
        <v>0.00250762</v>
      </c>
      <c r="HD21">
        <v>1.36762</v>
      </c>
      <c r="HE21">
        <v>20.1585</v>
      </c>
      <c r="HF21">
        <v>5.23391</v>
      </c>
      <c r="HG21">
        <v>11.962</v>
      </c>
      <c r="HH21">
        <v>4.96785</v>
      </c>
      <c r="HI21">
        <v>3.295</v>
      </c>
      <c r="HJ21">
        <v>999.9</v>
      </c>
      <c r="HK21">
        <v>9999</v>
      </c>
      <c r="HL21">
        <v>9999</v>
      </c>
      <c r="HM21">
        <v>9999</v>
      </c>
      <c r="HN21">
        <v>4.96983</v>
      </c>
      <c r="HO21">
        <v>1.86386</v>
      </c>
      <c r="HP21">
        <v>1.86539</v>
      </c>
      <c r="HQ21">
        <v>1.86722</v>
      </c>
      <c r="HR21">
        <v>1.8643</v>
      </c>
      <c r="HS21">
        <v>1.86797</v>
      </c>
      <c r="HT21">
        <v>1.86472</v>
      </c>
      <c r="HU21">
        <v>1.86661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0.095</v>
      </c>
      <c r="IJ21">
        <v>-0.1036</v>
      </c>
      <c r="IK21">
        <v>0.0833321305652522</v>
      </c>
      <c r="IL21">
        <v>0.000216929631606078</v>
      </c>
      <c r="IM21">
        <v>2.72263024731635e-07</v>
      </c>
      <c r="IN21">
        <v>-5.43792051235154e-11</v>
      </c>
      <c r="IO21">
        <v>-0.00558818688200848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0.9</v>
      </c>
      <c r="IX21">
        <v>1</v>
      </c>
      <c r="IY21">
        <v>0.301514</v>
      </c>
      <c r="IZ21">
        <v>2.59888</v>
      </c>
      <c r="JA21">
        <v>1.34644</v>
      </c>
      <c r="JB21">
        <v>2.25952</v>
      </c>
      <c r="JC21">
        <v>1.55029</v>
      </c>
      <c r="JD21">
        <v>2.60254</v>
      </c>
      <c r="JE21">
        <v>39.0436</v>
      </c>
      <c r="JF21">
        <v>23.8336</v>
      </c>
      <c r="JG21">
        <v>18</v>
      </c>
      <c r="JH21">
        <v>499.286</v>
      </c>
      <c r="JI21">
        <v>472.463</v>
      </c>
      <c r="JJ21">
        <v>22.077</v>
      </c>
      <c r="JK21">
        <v>27.2366</v>
      </c>
      <c r="JL21">
        <v>30</v>
      </c>
      <c r="JM21">
        <v>27.2742</v>
      </c>
      <c r="JN21">
        <v>27.2988</v>
      </c>
      <c r="JO21">
        <v>6.07092</v>
      </c>
      <c r="JP21">
        <v>27.1634</v>
      </c>
      <c r="JQ21">
        <v>19.7533</v>
      </c>
      <c r="JR21">
        <v>22.0874</v>
      </c>
      <c r="JS21">
        <v>50</v>
      </c>
      <c r="JT21">
        <v>15.2477</v>
      </c>
      <c r="JU21">
        <v>101.817</v>
      </c>
      <c r="JV21">
        <v>97.5224</v>
      </c>
    </row>
    <row r="22" spans="1:282">
      <c r="A22">
        <v>6</v>
      </c>
      <c r="B22">
        <v>1792379336</v>
      </c>
      <c r="C22">
        <v>635</v>
      </c>
      <c r="D22" t="s">
        <v>436</v>
      </c>
      <c r="E22" t="s">
        <v>437</v>
      </c>
      <c r="F22">
        <v>5</v>
      </c>
      <c r="G22">
        <v>1792379332.5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 t="s">
        <v>416</v>
      </c>
      <c r="AL22">
        <v>0</v>
      </c>
      <c r="AM22">
        <v>0</v>
      </c>
      <c r="AN22">
        <f>1-AL22/AM22</f>
        <v>0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416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1193</v>
      </c>
      <c r="BM22">
        <v>290</v>
      </c>
      <c r="BN22">
        <v>913.63</v>
      </c>
      <c r="BO22">
        <v>165</v>
      </c>
      <c r="BP22">
        <v>8113.51</v>
      </c>
      <c r="BQ22">
        <v>909.95</v>
      </c>
      <c r="BR22">
        <v>3.68</v>
      </c>
      <c r="BS22">
        <v>300</v>
      </c>
      <c r="BT22">
        <v>19.3</v>
      </c>
      <c r="BU22">
        <v>937.689367094771</v>
      </c>
      <c r="BV22">
        <v>1.82427053634141</v>
      </c>
      <c r="BW22">
        <v>-22.5072017657996</v>
      </c>
      <c r="BX22">
        <v>1.32198731230578</v>
      </c>
      <c r="BY22">
        <v>0.911910931247248</v>
      </c>
      <c r="BZ22">
        <v>-0.00537830856507229</v>
      </c>
      <c r="CA22">
        <v>290</v>
      </c>
      <c r="CB22">
        <v>901.59</v>
      </c>
      <c r="CC22">
        <v>615</v>
      </c>
      <c r="CD22">
        <v>8097.11</v>
      </c>
      <c r="CE22">
        <v>909.89</v>
      </c>
      <c r="CF22">
        <v>-8.3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417</v>
      </c>
      <c r="DA22">
        <v>2</v>
      </c>
      <c r="DB22">
        <v>1792379332.5</v>
      </c>
      <c r="DC22">
        <v>391.209333333333</v>
      </c>
      <c r="DD22">
        <v>400.009333333333</v>
      </c>
      <c r="DE22">
        <v>17.3898333333333</v>
      </c>
      <c r="DF22">
        <v>15.20495</v>
      </c>
      <c r="DG22">
        <v>390.2295</v>
      </c>
      <c r="DH22">
        <v>17.47855</v>
      </c>
      <c r="DI22">
        <v>499.892666666667</v>
      </c>
      <c r="DJ22">
        <v>101.373333333333</v>
      </c>
      <c r="DK22">
        <v>0.0999363833333333</v>
      </c>
      <c r="DL22">
        <v>25.1642333333333</v>
      </c>
      <c r="DM22">
        <v>24.9647166666667</v>
      </c>
      <c r="DN22">
        <v>999.9</v>
      </c>
      <c r="DO22">
        <v>0</v>
      </c>
      <c r="DP22">
        <v>0</v>
      </c>
      <c r="DQ22">
        <v>9995</v>
      </c>
      <c r="DR22">
        <v>0</v>
      </c>
      <c r="DS22">
        <v>6.81364666666667</v>
      </c>
      <c r="DT22">
        <v>-8.800135</v>
      </c>
      <c r="DU22">
        <v>398.132666666667</v>
      </c>
      <c r="DV22">
        <v>406.185333333333</v>
      </c>
      <c r="DW22">
        <v>2.18491</v>
      </c>
      <c r="DX22">
        <v>400.009333333333</v>
      </c>
      <c r="DY22">
        <v>15.20495</v>
      </c>
      <c r="DZ22">
        <v>1.762865</v>
      </c>
      <c r="EA22">
        <v>1.54137333333333</v>
      </c>
      <c r="EB22">
        <v>15.4613333333333</v>
      </c>
      <c r="EC22">
        <v>13.3848833333333</v>
      </c>
      <c r="ED22">
        <v>1500.02</v>
      </c>
      <c r="EE22">
        <v>0.972995333333333</v>
      </c>
      <c r="EF22">
        <v>0.0270045</v>
      </c>
      <c r="EG22">
        <v>0</v>
      </c>
      <c r="EH22">
        <v>371.125</v>
      </c>
      <c r="EI22">
        <v>5.00064</v>
      </c>
      <c r="EJ22">
        <v>5718.18166666667</v>
      </c>
      <c r="EK22">
        <v>15439.4333333333</v>
      </c>
      <c r="EL22">
        <v>39.7706666666667</v>
      </c>
      <c r="EM22">
        <v>40.437</v>
      </c>
      <c r="EN22">
        <v>40.1145</v>
      </c>
      <c r="EO22">
        <v>40.062</v>
      </c>
      <c r="EP22">
        <v>41.375</v>
      </c>
      <c r="EQ22">
        <v>1454.65</v>
      </c>
      <c r="ER22">
        <v>40.37</v>
      </c>
      <c r="ES22">
        <v>0</v>
      </c>
      <c r="ET22">
        <v>2119</v>
      </c>
      <c r="EU22">
        <v>0</v>
      </c>
      <c r="EV22">
        <v>370.844307692308</v>
      </c>
      <c r="EW22">
        <v>4.17504271880968</v>
      </c>
      <c r="EX22">
        <v>71.0803417820535</v>
      </c>
      <c r="EY22">
        <v>5713.74461538462</v>
      </c>
      <c r="EZ22">
        <v>15</v>
      </c>
      <c r="FA22">
        <v>1792379264</v>
      </c>
      <c r="FB22" t="s">
        <v>438</v>
      </c>
      <c r="FC22">
        <v>1792379264</v>
      </c>
      <c r="FD22">
        <v>1792379253</v>
      </c>
      <c r="FE22">
        <v>26</v>
      </c>
      <c r="FF22">
        <v>0.773</v>
      </c>
      <c r="FG22">
        <v>0.008</v>
      </c>
      <c r="FH22">
        <v>0.983</v>
      </c>
      <c r="FI22">
        <v>-0.167</v>
      </c>
      <c r="FJ22">
        <v>400</v>
      </c>
      <c r="FK22">
        <v>15</v>
      </c>
      <c r="FL22">
        <v>0.26</v>
      </c>
      <c r="FM22">
        <v>0.02</v>
      </c>
      <c r="FN22">
        <v>19.6812770454149</v>
      </c>
      <c r="FO22">
        <v>0.220588693377973</v>
      </c>
      <c r="FP22">
        <v>0.129262024541189</v>
      </c>
      <c r="FQ22">
        <v>1</v>
      </c>
      <c r="FR22">
        <v>-8.745699</v>
      </c>
      <c r="FS22">
        <v>-0.131121203007522</v>
      </c>
      <c r="FT22">
        <v>0.0547228572810301</v>
      </c>
      <c r="FU22">
        <v>1</v>
      </c>
      <c r="FV22">
        <v>370.356617647059</v>
      </c>
      <c r="FW22">
        <v>6.07338425737853</v>
      </c>
      <c r="FX22">
        <v>0.629974883472529</v>
      </c>
      <c r="FY22">
        <v>0</v>
      </c>
      <c r="FZ22">
        <v>2</v>
      </c>
      <c r="GA22">
        <v>3</v>
      </c>
      <c r="GB22" t="s">
        <v>419</v>
      </c>
      <c r="GC22">
        <v>3.12363</v>
      </c>
      <c r="GD22">
        <v>2.76535</v>
      </c>
      <c r="GE22">
        <v>0.0865968</v>
      </c>
      <c r="GF22">
        <v>0.0904177</v>
      </c>
      <c r="GG22">
        <v>0.0932867</v>
      </c>
      <c r="GH22">
        <v>0.087675</v>
      </c>
      <c r="GI22">
        <v>17819.3</v>
      </c>
      <c r="GJ22">
        <v>26770.2</v>
      </c>
      <c r="GK22">
        <v>22792.5</v>
      </c>
      <c r="GL22">
        <v>30154.9</v>
      </c>
      <c r="GM22">
        <v>33888.8</v>
      </c>
      <c r="GN22">
        <v>34271.2</v>
      </c>
      <c r="GO22">
        <v>43116.1</v>
      </c>
      <c r="GP22">
        <v>42946.1</v>
      </c>
      <c r="GQ22">
        <v>1.98228</v>
      </c>
      <c r="GR22">
        <v>1.81872</v>
      </c>
      <c r="GS22">
        <v>0.085257</v>
      </c>
      <c r="GT22">
        <v>0</v>
      </c>
      <c r="GU22">
        <v>23.5641</v>
      </c>
      <c r="GV22">
        <v>999.9</v>
      </c>
      <c r="GW22">
        <v>37.956</v>
      </c>
      <c r="GX22">
        <v>33.355</v>
      </c>
      <c r="GY22">
        <v>19.2957</v>
      </c>
      <c r="GZ22">
        <v>63.4187</v>
      </c>
      <c r="HA22">
        <v>34.8317</v>
      </c>
      <c r="HB22">
        <v>1</v>
      </c>
      <c r="HC22">
        <v>0.00228404</v>
      </c>
      <c r="HD22">
        <v>1.26364</v>
      </c>
      <c r="HE22">
        <v>20.1583</v>
      </c>
      <c r="HF22">
        <v>5.22942</v>
      </c>
      <c r="HG22">
        <v>11.962</v>
      </c>
      <c r="HH22">
        <v>4.96505</v>
      </c>
      <c r="HI22">
        <v>3.295</v>
      </c>
      <c r="HJ22">
        <v>999.9</v>
      </c>
      <c r="HK22">
        <v>9999</v>
      </c>
      <c r="HL22">
        <v>9999</v>
      </c>
      <c r="HM22">
        <v>9999</v>
      </c>
      <c r="HN22">
        <v>4.96985</v>
      </c>
      <c r="HO22">
        <v>1.86386</v>
      </c>
      <c r="HP22">
        <v>1.86539</v>
      </c>
      <c r="HQ22">
        <v>1.86726</v>
      </c>
      <c r="HR22">
        <v>1.86431</v>
      </c>
      <c r="HS22">
        <v>1.86798</v>
      </c>
      <c r="HT22">
        <v>1.86478</v>
      </c>
      <c r="HU22">
        <v>1.86665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0.98</v>
      </c>
      <c r="IJ22">
        <v>-0.0886</v>
      </c>
      <c r="IK22">
        <v>0.856744872624714</v>
      </c>
      <c r="IL22">
        <v>0.000216929631606078</v>
      </c>
      <c r="IM22">
        <v>2.72263024731635e-07</v>
      </c>
      <c r="IN22">
        <v>-5.43792051235154e-11</v>
      </c>
      <c r="IO22">
        <v>0.00195652270452621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1.2</v>
      </c>
      <c r="IX22">
        <v>1.4</v>
      </c>
      <c r="IY22">
        <v>1.05591</v>
      </c>
      <c r="IZ22">
        <v>2.58301</v>
      </c>
      <c r="JA22">
        <v>1.34644</v>
      </c>
      <c r="JB22">
        <v>2.25952</v>
      </c>
      <c r="JC22">
        <v>1.55029</v>
      </c>
      <c r="JD22">
        <v>2.73071</v>
      </c>
      <c r="JE22">
        <v>39.118</v>
      </c>
      <c r="JF22">
        <v>23.8336</v>
      </c>
      <c r="JG22">
        <v>18</v>
      </c>
      <c r="JH22">
        <v>499.75</v>
      </c>
      <c r="JI22">
        <v>472.439</v>
      </c>
      <c r="JJ22">
        <v>22.4063</v>
      </c>
      <c r="JK22">
        <v>27.232</v>
      </c>
      <c r="JL22">
        <v>30.0001</v>
      </c>
      <c r="JM22">
        <v>27.2511</v>
      </c>
      <c r="JN22">
        <v>27.273</v>
      </c>
      <c r="JO22">
        <v>21.153</v>
      </c>
      <c r="JP22">
        <v>27.4226</v>
      </c>
      <c r="JQ22">
        <v>19.0673</v>
      </c>
      <c r="JR22">
        <v>22.4296</v>
      </c>
      <c r="JS22">
        <v>400</v>
      </c>
      <c r="JT22">
        <v>15.142</v>
      </c>
      <c r="JU22">
        <v>101.815</v>
      </c>
      <c r="JV22">
        <v>97.5229</v>
      </c>
    </row>
    <row r="23" spans="1:282">
      <c r="A23">
        <v>7</v>
      </c>
      <c r="B23">
        <v>1792379487</v>
      </c>
      <c r="C23">
        <v>786</v>
      </c>
      <c r="D23" t="s">
        <v>439</v>
      </c>
      <c r="E23" t="s">
        <v>440</v>
      </c>
      <c r="F23">
        <v>5</v>
      </c>
      <c r="G23">
        <v>1792379484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 t="s">
        <v>416</v>
      </c>
      <c r="AL23">
        <v>0</v>
      </c>
      <c r="AM23">
        <v>0</v>
      </c>
      <c r="AN23">
        <f>1-AL23/AM23</f>
        <v>0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416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1193</v>
      </c>
      <c r="BM23">
        <v>290</v>
      </c>
      <c r="BN23">
        <v>913.63</v>
      </c>
      <c r="BO23">
        <v>165</v>
      </c>
      <c r="BP23">
        <v>8113.51</v>
      </c>
      <c r="BQ23">
        <v>909.95</v>
      </c>
      <c r="BR23">
        <v>3.68</v>
      </c>
      <c r="BS23">
        <v>300</v>
      </c>
      <c r="BT23">
        <v>19.3</v>
      </c>
      <c r="BU23">
        <v>937.689367094771</v>
      </c>
      <c r="BV23">
        <v>1.82427053634141</v>
      </c>
      <c r="BW23">
        <v>-22.5072017657996</v>
      </c>
      <c r="BX23">
        <v>1.32198731230578</v>
      </c>
      <c r="BY23">
        <v>0.911910931247248</v>
      </c>
      <c r="BZ23">
        <v>-0.00537830856507229</v>
      </c>
      <c r="CA23">
        <v>290</v>
      </c>
      <c r="CB23">
        <v>901.59</v>
      </c>
      <c r="CC23">
        <v>615</v>
      </c>
      <c r="CD23">
        <v>8097.11</v>
      </c>
      <c r="CE23">
        <v>909.89</v>
      </c>
      <c r="CF23">
        <v>-8.3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417</v>
      </c>
      <c r="DA23">
        <v>2</v>
      </c>
      <c r="DB23">
        <v>1792379484</v>
      </c>
      <c r="DC23">
        <v>390.6774</v>
      </c>
      <c r="DD23">
        <v>399.9952</v>
      </c>
      <c r="DE23">
        <v>17.50208</v>
      </c>
      <c r="DF23">
        <v>15.09834</v>
      </c>
      <c r="DG23">
        <v>389.7414</v>
      </c>
      <c r="DH23">
        <v>17.58734</v>
      </c>
      <c r="DI23">
        <v>499.8734</v>
      </c>
      <c r="DJ23">
        <v>101.366</v>
      </c>
      <c r="DK23">
        <v>0.09966554</v>
      </c>
      <c r="DL23">
        <v>25.20194</v>
      </c>
      <c r="DM23">
        <v>25.00006</v>
      </c>
      <c r="DN23">
        <v>999.9</v>
      </c>
      <c r="DO23">
        <v>0</v>
      </c>
      <c r="DP23">
        <v>0</v>
      </c>
      <c r="DQ23">
        <v>10015.48</v>
      </c>
      <c r="DR23">
        <v>0</v>
      </c>
      <c r="DS23">
        <v>6.76545</v>
      </c>
      <c r="DT23">
        <v>-9.317652</v>
      </c>
      <c r="DU23">
        <v>397.6368</v>
      </c>
      <c r="DV23">
        <v>406.127</v>
      </c>
      <c r="DW23">
        <v>2.403718</v>
      </c>
      <c r="DX23">
        <v>399.9952</v>
      </c>
      <c r="DY23">
        <v>15.09834</v>
      </c>
      <c r="DZ23">
        <v>1.774114</v>
      </c>
      <c r="EA23">
        <v>1.530458</v>
      </c>
      <c r="EB23">
        <v>15.56058</v>
      </c>
      <c r="EC23">
        <v>13.2759</v>
      </c>
      <c r="ED23">
        <v>1499.92</v>
      </c>
      <c r="EE23">
        <v>0.972994</v>
      </c>
      <c r="EF23">
        <v>0.02700578</v>
      </c>
      <c r="EG23">
        <v>0</v>
      </c>
      <c r="EH23">
        <v>378.4348</v>
      </c>
      <c r="EI23">
        <v>5.00064</v>
      </c>
      <c r="EJ23">
        <v>5829.97</v>
      </c>
      <c r="EK23">
        <v>15438.36</v>
      </c>
      <c r="EL23">
        <v>39.875</v>
      </c>
      <c r="EM23">
        <v>40.562</v>
      </c>
      <c r="EN23">
        <v>40.187</v>
      </c>
      <c r="EO23">
        <v>40.187</v>
      </c>
      <c r="EP23">
        <v>41.4874</v>
      </c>
      <c r="EQ23">
        <v>1454.55</v>
      </c>
      <c r="ER23">
        <v>40.37</v>
      </c>
      <c r="ES23">
        <v>0</v>
      </c>
      <c r="ET23">
        <v>2269.59999990463</v>
      </c>
      <c r="EU23">
        <v>0</v>
      </c>
      <c r="EV23">
        <v>378.31184</v>
      </c>
      <c r="EW23">
        <v>1.42976923754166</v>
      </c>
      <c r="EX23">
        <v>26.0046154294371</v>
      </c>
      <c r="EY23">
        <v>5828.408</v>
      </c>
      <c r="EZ23">
        <v>15</v>
      </c>
      <c r="FA23">
        <v>1792379392</v>
      </c>
      <c r="FB23" t="s">
        <v>441</v>
      </c>
      <c r="FC23">
        <v>1792379388</v>
      </c>
      <c r="FD23">
        <v>1792379392</v>
      </c>
      <c r="FE23">
        <v>27</v>
      </c>
      <c r="FF23">
        <v>-0.043</v>
      </c>
      <c r="FG23">
        <v>-0.001</v>
      </c>
      <c r="FH23">
        <v>0.94</v>
      </c>
      <c r="FI23">
        <v>-0.17</v>
      </c>
      <c r="FJ23">
        <v>400</v>
      </c>
      <c r="FK23">
        <v>15</v>
      </c>
      <c r="FL23">
        <v>0.28</v>
      </c>
      <c r="FM23">
        <v>0.03</v>
      </c>
      <c r="FN23">
        <v>20.8698288474678</v>
      </c>
      <c r="FO23">
        <v>0.379418821589495</v>
      </c>
      <c r="FP23">
        <v>0.106455820742643</v>
      </c>
      <c r="FQ23">
        <v>1</v>
      </c>
      <c r="FR23">
        <v>-9.300307</v>
      </c>
      <c r="FS23">
        <v>-0.137503759398493</v>
      </c>
      <c r="FT23">
        <v>0.0439307621263279</v>
      </c>
      <c r="FU23">
        <v>1</v>
      </c>
      <c r="FV23">
        <v>378.241911764706</v>
      </c>
      <c r="FW23">
        <v>1.3719327739076</v>
      </c>
      <c r="FX23">
        <v>0.208250890492704</v>
      </c>
      <c r="FY23">
        <v>0</v>
      </c>
      <c r="FZ23">
        <v>2</v>
      </c>
      <c r="GA23">
        <v>3</v>
      </c>
      <c r="GB23" t="s">
        <v>419</v>
      </c>
      <c r="GC23">
        <v>3.12342</v>
      </c>
      <c r="GD23">
        <v>2.76531</v>
      </c>
      <c r="GE23">
        <v>0.086511</v>
      </c>
      <c r="GF23">
        <v>0.0904116</v>
      </c>
      <c r="GG23">
        <v>0.0936766</v>
      </c>
      <c r="GH23">
        <v>0.0871628</v>
      </c>
      <c r="GI23">
        <v>17819.6</v>
      </c>
      <c r="GJ23">
        <v>26768.4</v>
      </c>
      <c r="GK23">
        <v>22790.9</v>
      </c>
      <c r="GL23">
        <v>30152.8</v>
      </c>
      <c r="GM23">
        <v>33871.4</v>
      </c>
      <c r="GN23">
        <v>34288.5</v>
      </c>
      <c r="GO23">
        <v>43113</v>
      </c>
      <c r="GP23">
        <v>42943.5</v>
      </c>
      <c r="GQ23">
        <v>1.9816</v>
      </c>
      <c r="GR23">
        <v>1.8184</v>
      </c>
      <c r="GS23">
        <v>0.0823066</v>
      </c>
      <c r="GT23">
        <v>0</v>
      </c>
      <c r="GU23">
        <v>23.6525</v>
      </c>
      <c r="GV23">
        <v>999.9</v>
      </c>
      <c r="GW23">
        <v>37.688</v>
      </c>
      <c r="GX23">
        <v>33.365</v>
      </c>
      <c r="GY23">
        <v>19.1714</v>
      </c>
      <c r="GZ23">
        <v>63.4088</v>
      </c>
      <c r="HA23">
        <v>34.5553</v>
      </c>
      <c r="HB23">
        <v>1</v>
      </c>
      <c r="HC23">
        <v>0.00498222</v>
      </c>
      <c r="HD23">
        <v>1.54051</v>
      </c>
      <c r="HE23">
        <v>20.1565</v>
      </c>
      <c r="HF23">
        <v>5.23002</v>
      </c>
      <c r="HG23">
        <v>11.962</v>
      </c>
      <c r="HH23">
        <v>4.96855</v>
      </c>
      <c r="HI23">
        <v>3.295</v>
      </c>
      <c r="HJ23">
        <v>999.9</v>
      </c>
      <c r="HK23">
        <v>9999</v>
      </c>
      <c r="HL23">
        <v>9999</v>
      </c>
      <c r="HM23">
        <v>9999</v>
      </c>
      <c r="HN23">
        <v>4.96983</v>
      </c>
      <c r="HO23">
        <v>1.86386</v>
      </c>
      <c r="HP23">
        <v>1.86539</v>
      </c>
      <c r="HQ23">
        <v>1.86728</v>
      </c>
      <c r="HR23">
        <v>1.86432</v>
      </c>
      <c r="HS23">
        <v>1.86797</v>
      </c>
      <c r="HT23">
        <v>1.86478</v>
      </c>
      <c r="HU23">
        <v>1.86664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0.936</v>
      </c>
      <c r="IJ23">
        <v>-0.0853</v>
      </c>
      <c r="IK23">
        <v>0.813324880402882</v>
      </c>
      <c r="IL23">
        <v>0.000216929631606078</v>
      </c>
      <c r="IM23">
        <v>2.72263024731635e-07</v>
      </c>
      <c r="IN23">
        <v>-5.43792051235154e-11</v>
      </c>
      <c r="IO23">
        <v>0.000846107182595569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1.6</v>
      </c>
      <c r="IX23">
        <v>1.6</v>
      </c>
      <c r="IY23">
        <v>1.05591</v>
      </c>
      <c r="IZ23">
        <v>2.59277</v>
      </c>
      <c r="JA23">
        <v>1.34766</v>
      </c>
      <c r="JB23">
        <v>2.25952</v>
      </c>
      <c r="JC23">
        <v>1.55029</v>
      </c>
      <c r="JD23">
        <v>2.56958</v>
      </c>
      <c r="JE23">
        <v>39.1676</v>
      </c>
      <c r="JF23">
        <v>23.8161</v>
      </c>
      <c r="JG23">
        <v>18</v>
      </c>
      <c r="JH23">
        <v>499.392</v>
      </c>
      <c r="JI23">
        <v>472.22</v>
      </c>
      <c r="JJ23">
        <v>22.2544</v>
      </c>
      <c r="JK23">
        <v>27.2621</v>
      </c>
      <c r="JL23">
        <v>30.0005</v>
      </c>
      <c r="JM23">
        <v>27.258</v>
      </c>
      <c r="JN23">
        <v>27.2735</v>
      </c>
      <c r="JO23">
        <v>21.1501</v>
      </c>
      <c r="JP23">
        <v>27.3425</v>
      </c>
      <c r="JQ23">
        <v>18.0033</v>
      </c>
      <c r="JR23">
        <v>22.2224</v>
      </c>
      <c r="JS23">
        <v>400</v>
      </c>
      <c r="JT23">
        <v>15.118</v>
      </c>
      <c r="JU23">
        <v>101.808</v>
      </c>
      <c r="JV23">
        <v>97.5166</v>
      </c>
    </row>
    <row r="24" spans="1:282">
      <c r="A24">
        <v>8</v>
      </c>
      <c r="B24">
        <v>1792379638</v>
      </c>
      <c r="C24">
        <v>937</v>
      </c>
      <c r="D24" t="s">
        <v>442</v>
      </c>
      <c r="E24" t="s">
        <v>443</v>
      </c>
      <c r="F24">
        <v>5</v>
      </c>
      <c r="G24">
        <v>1792379634.5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 t="s">
        <v>416</v>
      </c>
      <c r="AL24">
        <v>0</v>
      </c>
      <c r="AM24">
        <v>0</v>
      </c>
      <c r="AN24">
        <f>1-AL24/AM24</f>
        <v>0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416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1193</v>
      </c>
      <c r="BM24">
        <v>290</v>
      </c>
      <c r="BN24">
        <v>913.63</v>
      </c>
      <c r="BO24">
        <v>165</v>
      </c>
      <c r="BP24">
        <v>8113.51</v>
      </c>
      <c r="BQ24">
        <v>909.95</v>
      </c>
      <c r="BR24">
        <v>3.68</v>
      </c>
      <c r="BS24">
        <v>300</v>
      </c>
      <c r="BT24">
        <v>19.3</v>
      </c>
      <c r="BU24">
        <v>937.689367094771</v>
      </c>
      <c r="BV24">
        <v>1.82427053634141</v>
      </c>
      <c r="BW24">
        <v>-22.5072017657996</v>
      </c>
      <c r="BX24">
        <v>1.32198731230578</v>
      </c>
      <c r="BY24">
        <v>0.911910931247248</v>
      </c>
      <c r="BZ24">
        <v>-0.00537830856507229</v>
      </c>
      <c r="CA24">
        <v>290</v>
      </c>
      <c r="CB24">
        <v>901.59</v>
      </c>
      <c r="CC24">
        <v>615</v>
      </c>
      <c r="CD24">
        <v>8097.11</v>
      </c>
      <c r="CE24">
        <v>909.89</v>
      </c>
      <c r="CF24">
        <v>-8.3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417</v>
      </c>
      <c r="DA24">
        <v>2</v>
      </c>
      <c r="DB24">
        <v>1792379634.5</v>
      </c>
      <c r="DC24">
        <v>687.663666666667</v>
      </c>
      <c r="DD24">
        <v>699.97</v>
      </c>
      <c r="DE24">
        <v>17.3940166666667</v>
      </c>
      <c r="DF24">
        <v>14.9566166666667</v>
      </c>
      <c r="DG24">
        <v>686.598833333333</v>
      </c>
      <c r="DH24">
        <v>17.4779833333333</v>
      </c>
      <c r="DI24">
        <v>500.0325</v>
      </c>
      <c r="DJ24">
        <v>101.367166666667</v>
      </c>
      <c r="DK24">
        <v>0.0999665833333333</v>
      </c>
      <c r="DL24">
        <v>25.13765</v>
      </c>
      <c r="DM24">
        <v>25.0117833333333</v>
      </c>
      <c r="DN24">
        <v>999.9</v>
      </c>
      <c r="DO24">
        <v>0</v>
      </c>
      <c r="DP24">
        <v>0</v>
      </c>
      <c r="DQ24">
        <v>10004.3583333333</v>
      </c>
      <c r="DR24">
        <v>0</v>
      </c>
      <c r="DS24">
        <v>6.60177</v>
      </c>
      <c r="DT24">
        <v>-12.30635</v>
      </c>
      <c r="DU24">
        <v>699.836833333333</v>
      </c>
      <c r="DV24">
        <v>710.598</v>
      </c>
      <c r="DW24">
        <v>2.43740333333333</v>
      </c>
      <c r="DX24">
        <v>699.97</v>
      </c>
      <c r="DY24">
        <v>14.9566166666667</v>
      </c>
      <c r="DZ24">
        <v>1.76318166666667</v>
      </c>
      <c r="EA24">
        <v>1.51611</v>
      </c>
      <c r="EB24">
        <v>15.4641333333333</v>
      </c>
      <c r="EC24">
        <v>13.1316</v>
      </c>
      <c r="ED24">
        <v>1499.98833333333</v>
      </c>
      <c r="EE24">
        <v>0.972996</v>
      </c>
      <c r="EF24">
        <v>0.0270038833333333</v>
      </c>
      <c r="EG24">
        <v>0</v>
      </c>
      <c r="EH24">
        <v>377.669166666667</v>
      </c>
      <c r="EI24">
        <v>5.00064</v>
      </c>
      <c r="EJ24">
        <v>5822.82833333333</v>
      </c>
      <c r="EK24">
        <v>15439.05</v>
      </c>
      <c r="EL24">
        <v>39.937</v>
      </c>
      <c r="EM24">
        <v>40.625</v>
      </c>
      <c r="EN24">
        <v>40.281</v>
      </c>
      <c r="EO24">
        <v>40.25</v>
      </c>
      <c r="EP24">
        <v>41.5</v>
      </c>
      <c r="EQ24">
        <v>1454.61833333333</v>
      </c>
      <c r="ER24">
        <v>40.37</v>
      </c>
      <c r="ES24">
        <v>0</v>
      </c>
      <c r="ET24">
        <v>2420.79999995232</v>
      </c>
      <c r="EU24">
        <v>0</v>
      </c>
      <c r="EV24">
        <v>377.6556</v>
      </c>
      <c r="EW24">
        <v>1.22384614808094</v>
      </c>
      <c r="EX24">
        <v>17.9969230703244</v>
      </c>
      <c r="EY24">
        <v>5821.8432</v>
      </c>
      <c r="EZ24">
        <v>15</v>
      </c>
      <c r="FA24">
        <v>1792379556</v>
      </c>
      <c r="FB24" t="s">
        <v>444</v>
      </c>
      <c r="FC24">
        <v>1792379556</v>
      </c>
      <c r="FD24">
        <v>1792379551</v>
      </c>
      <c r="FE24">
        <v>28</v>
      </c>
      <c r="FF24">
        <v>-0.008</v>
      </c>
      <c r="FG24">
        <v>0.006</v>
      </c>
      <c r="FH24">
        <v>1.071</v>
      </c>
      <c r="FI24">
        <v>-0.165</v>
      </c>
      <c r="FJ24">
        <v>700</v>
      </c>
      <c r="FK24">
        <v>15</v>
      </c>
      <c r="FL24">
        <v>0.12</v>
      </c>
      <c r="FM24">
        <v>0.04</v>
      </c>
      <c r="FN24">
        <v>26.5713203627529</v>
      </c>
      <c r="FO24">
        <v>0.0672891533939252</v>
      </c>
      <c r="FP24">
        <v>0.101637847317092</v>
      </c>
      <c r="FQ24">
        <v>1</v>
      </c>
      <c r="FR24">
        <v>-12.341135</v>
      </c>
      <c r="FS24">
        <v>0.0852045112781961</v>
      </c>
      <c r="FT24">
        <v>0.0412024061797365</v>
      </c>
      <c r="FU24">
        <v>1</v>
      </c>
      <c r="FV24">
        <v>377.556676470588</v>
      </c>
      <c r="FW24">
        <v>1.33312451758116</v>
      </c>
      <c r="FX24">
        <v>0.243063501819903</v>
      </c>
      <c r="FY24">
        <v>0</v>
      </c>
      <c r="FZ24">
        <v>2</v>
      </c>
      <c r="GA24">
        <v>3</v>
      </c>
      <c r="GB24" t="s">
        <v>419</v>
      </c>
      <c r="GC24">
        <v>3.1235</v>
      </c>
      <c r="GD24">
        <v>2.76534</v>
      </c>
      <c r="GE24">
        <v>0.130128</v>
      </c>
      <c r="GF24">
        <v>0.135143</v>
      </c>
      <c r="GG24">
        <v>0.0932679</v>
      </c>
      <c r="GH24">
        <v>0.0866279</v>
      </c>
      <c r="GI24">
        <v>16967.6</v>
      </c>
      <c r="GJ24">
        <v>25450.2</v>
      </c>
      <c r="GK24">
        <v>22789.5</v>
      </c>
      <c r="GL24">
        <v>30150.9</v>
      </c>
      <c r="GM24">
        <v>33888.6</v>
      </c>
      <c r="GN24">
        <v>34310.4</v>
      </c>
      <c r="GO24">
        <v>43111.4</v>
      </c>
      <c r="GP24">
        <v>42941.8</v>
      </c>
      <c r="GQ24">
        <v>1.98142</v>
      </c>
      <c r="GR24">
        <v>1.81815</v>
      </c>
      <c r="GS24">
        <v>0.0838339</v>
      </c>
      <c r="GT24">
        <v>0</v>
      </c>
      <c r="GU24">
        <v>23.6521</v>
      </c>
      <c r="GV24">
        <v>999.9</v>
      </c>
      <c r="GW24">
        <v>37.413</v>
      </c>
      <c r="GX24">
        <v>33.425</v>
      </c>
      <c r="GY24">
        <v>19.0979</v>
      </c>
      <c r="GZ24">
        <v>62.9488</v>
      </c>
      <c r="HA24">
        <v>34.347</v>
      </c>
      <c r="HB24">
        <v>1</v>
      </c>
      <c r="HC24">
        <v>0.00751016</v>
      </c>
      <c r="HD24">
        <v>1.76269</v>
      </c>
      <c r="HE24">
        <v>20.1544</v>
      </c>
      <c r="HF24">
        <v>5.23466</v>
      </c>
      <c r="HG24">
        <v>11.962</v>
      </c>
      <c r="HH24">
        <v>4.9693</v>
      </c>
      <c r="HI24">
        <v>3.295</v>
      </c>
      <c r="HJ24">
        <v>999.9</v>
      </c>
      <c r="HK24">
        <v>9999</v>
      </c>
      <c r="HL24">
        <v>9999</v>
      </c>
      <c r="HM24">
        <v>9999</v>
      </c>
      <c r="HN24">
        <v>4.96984</v>
      </c>
      <c r="HO24">
        <v>1.86388</v>
      </c>
      <c r="HP24">
        <v>1.86539</v>
      </c>
      <c r="HQ24">
        <v>1.86727</v>
      </c>
      <c r="HR24">
        <v>1.86432</v>
      </c>
      <c r="HS24">
        <v>1.86798</v>
      </c>
      <c r="HT24">
        <v>1.86477</v>
      </c>
      <c r="HU24">
        <v>1.86669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1.065</v>
      </c>
      <c r="IJ24">
        <v>-0.0838</v>
      </c>
      <c r="IK24">
        <v>0.805052336342759</v>
      </c>
      <c r="IL24">
        <v>0.000216929631606078</v>
      </c>
      <c r="IM24">
        <v>2.72263024731635e-07</v>
      </c>
      <c r="IN24">
        <v>-5.43792051235154e-11</v>
      </c>
      <c r="IO24">
        <v>0.00672283446159287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1.4</v>
      </c>
      <c r="IX24">
        <v>1.4</v>
      </c>
      <c r="IY24">
        <v>1.6394</v>
      </c>
      <c r="IZ24">
        <v>2.57935</v>
      </c>
      <c r="JA24">
        <v>1.34644</v>
      </c>
      <c r="JB24">
        <v>2.25952</v>
      </c>
      <c r="JC24">
        <v>1.55029</v>
      </c>
      <c r="JD24">
        <v>2.64404</v>
      </c>
      <c r="JE24">
        <v>39.1924</v>
      </c>
      <c r="JF24">
        <v>23.8248</v>
      </c>
      <c r="JG24">
        <v>18</v>
      </c>
      <c r="JH24">
        <v>499.399</v>
      </c>
      <c r="JI24">
        <v>472.131</v>
      </c>
      <c r="JJ24">
        <v>21.9838</v>
      </c>
      <c r="JK24">
        <v>27.2874</v>
      </c>
      <c r="JL24">
        <v>30.0001</v>
      </c>
      <c r="JM24">
        <v>27.2713</v>
      </c>
      <c r="JN24">
        <v>27.2828</v>
      </c>
      <c r="JO24">
        <v>32.8213</v>
      </c>
      <c r="JP24">
        <v>27.5808</v>
      </c>
      <c r="JQ24">
        <v>17.1507</v>
      </c>
      <c r="JR24">
        <v>21.9702</v>
      </c>
      <c r="JS24">
        <v>700</v>
      </c>
      <c r="JT24">
        <v>14.9907</v>
      </c>
      <c r="JU24">
        <v>101.803</v>
      </c>
      <c r="JV24">
        <v>97.5118</v>
      </c>
    </row>
    <row r="25" spans="1:282">
      <c r="A25">
        <v>9</v>
      </c>
      <c r="B25">
        <v>1792379789.1</v>
      </c>
      <c r="C25">
        <v>1088.09999990463</v>
      </c>
      <c r="D25" t="s">
        <v>445</v>
      </c>
      <c r="E25" t="s">
        <v>446</v>
      </c>
      <c r="F25">
        <v>5</v>
      </c>
      <c r="G25">
        <v>1792379786.1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416</v>
      </c>
      <c r="AK25" t="s">
        <v>416</v>
      </c>
      <c r="AL25">
        <v>0</v>
      </c>
      <c r="AM25">
        <v>0</v>
      </c>
      <c r="AN25">
        <f>1-AL25/AM25</f>
        <v>0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416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1193</v>
      </c>
      <c r="BM25">
        <v>290</v>
      </c>
      <c r="BN25">
        <v>913.63</v>
      </c>
      <c r="BO25">
        <v>165</v>
      </c>
      <c r="BP25">
        <v>8113.51</v>
      </c>
      <c r="BQ25">
        <v>909.95</v>
      </c>
      <c r="BR25">
        <v>3.68</v>
      </c>
      <c r="BS25">
        <v>300</v>
      </c>
      <c r="BT25">
        <v>19.3</v>
      </c>
      <c r="BU25">
        <v>937.689367094771</v>
      </c>
      <c r="BV25">
        <v>1.82427053634141</v>
      </c>
      <c r="BW25">
        <v>-22.5072017657996</v>
      </c>
      <c r="BX25">
        <v>1.32198731230578</v>
      </c>
      <c r="BY25">
        <v>0.911910931247248</v>
      </c>
      <c r="BZ25">
        <v>-0.00537830856507229</v>
      </c>
      <c r="CA25">
        <v>290</v>
      </c>
      <c r="CB25">
        <v>901.59</v>
      </c>
      <c r="CC25">
        <v>615</v>
      </c>
      <c r="CD25">
        <v>8097.11</v>
      </c>
      <c r="CE25">
        <v>909.89</v>
      </c>
      <c r="CF25">
        <v>-8.3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417</v>
      </c>
      <c r="DA25">
        <v>2</v>
      </c>
      <c r="DB25">
        <v>1792379786.1</v>
      </c>
      <c r="DC25">
        <v>986.844</v>
      </c>
      <c r="DD25">
        <v>999.9788</v>
      </c>
      <c r="DE25">
        <v>17.18094</v>
      </c>
      <c r="DF25">
        <v>14.9905</v>
      </c>
      <c r="DG25">
        <v>985.8836</v>
      </c>
      <c r="DH25">
        <v>17.27116</v>
      </c>
      <c r="DI25">
        <v>500.1476</v>
      </c>
      <c r="DJ25">
        <v>101.3792</v>
      </c>
      <c r="DK25">
        <v>0.10010074</v>
      </c>
      <c r="DL25">
        <v>24.95268</v>
      </c>
      <c r="DM25">
        <v>25.02808</v>
      </c>
      <c r="DN25">
        <v>999.9</v>
      </c>
      <c r="DO25">
        <v>0</v>
      </c>
      <c r="DP25">
        <v>0</v>
      </c>
      <c r="DQ25">
        <v>9996.74</v>
      </c>
      <c r="DR25">
        <v>0</v>
      </c>
      <c r="DS25">
        <v>6.54721</v>
      </c>
      <c r="DT25">
        <v>-13.13412</v>
      </c>
      <c r="DU25">
        <v>1004.098</v>
      </c>
      <c r="DV25">
        <v>1015.198</v>
      </c>
      <c r="DW25">
        <v>2.190466</v>
      </c>
      <c r="DX25">
        <v>999.9788</v>
      </c>
      <c r="DY25">
        <v>14.9905</v>
      </c>
      <c r="DZ25">
        <v>1.741788</v>
      </c>
      <c r="EA25">
        <v>1.519722</v>
      </c>
      <c r="EB25">
        <v>15.27396</v>
      </c>
      <c r="EC25">
        <v>13.16804</v>
      </c>
      <c r="ED25">
        <v>1500.03</v>
      </c>
      <c r="EE25">
        <v>0.9729972</v>
      </c>
      <c r="EF25">
        <v>0.0270027</v>
      </c>
      <c r="EG25">
        <v>0</v>
      </c>
      <c r="EH25">
        <v>375.0766</v>
      </c>
      <c r="EI25">
        <v>5.00064</v>
      </c>
      <c r="EJ25">
        <v>5785.872</v>
      </c>
      <c r="EK25">
        <v>15439.52</v>
      </c>
      <c r="EL25">
        <v>40</v>
      </c>
      <c r="EM25">
        <v>40.687</v>
      </c>
      <c r="EN25">
        <v>40.3624</v>
      </c>
      <c r="EO25">
        <v>40.312</v>
      </c>
      <c r="EP25">
        <v>41.562</v>
      </c>
      <c r="EQ25">
        <v>1454.66</v>
      </c>
      <c r="ER25">
        <v>40.37</v>
      </c>
      <c r="ES25">
        <v>0</v>
      </c>
      <c r="ET25">
        <v>2572</v>
      </c>
      <c r="EU25">
        <v>0</v>
      </c>
      <c r="EV25">
        <v>375.20644</v>
      </c>
      <c r="EW25">
        <v>-1.04315383443306</v>
      </c>
      <c r="EX25">
        <v>-9.2730769225147</v>
      </c>
      <c r="EY25">
        <v>5786.4776</v>
      </c>
      <c r="EZ25">
        <v>15</v>
      </c>
      <c r="FA25">
        <v>1792379706</v>
      </c>
      <c r="FB25" t="s">
        <v>447</v>
      </c>
      <c r="FC25">
        <v>1792379706</v>
      </c>
      <c r="FD25">
        <v>1792379697</v>
      </c>
      <c r="FE25">
        <v>29</v>
      </c>
      <c r="FF25">
        <v>-0.27</v>
      </c>
      <c r="FG25">
        <v>0.002</v>
      </c>
      <c r="FH25">
        <v>0.969</v>
      </c>
      <c r="FI25">
        <v>-0.165</v>
      </c>
      <c r="FJ25">
        <v>1000</v>
      </c>
      <c r="FK25">
        <v>15</v>
      </c>
      <c r="FL25">
        <v>0.23</v>
      </c>
      <c r="FM25">
        <v>0.03</v>
      </c>
      <c r="FN25">
        <v>27.4339130549967</v>
      </c>
      <c r="FO25">
        <v>-2.22596554403376</v>
      </c>
      <c r="FP25">
        <v>0.277874635815314</v>
      </c>
      <c r="FQ25">
        <v>0</v>
      </c>
      <c r="FR25">
        <v>-13.1956047619048</v>
      </c>
      <c r="FS25">
        <v>1.02603322997646</v>
      </c>
      <c r="FT25">
        <v>0.123740548368987</v>
      </c>
      <c r="FU25">
        <v>0</v>
      </c>
      <c r="FV25">
        <v>375.206352941176</v>
      </c>
      <c r="FW25">
        <v>-0.39043544344852</v>
      </c>
      <c r="FX25">
        <v>0.204662689831336</v>
      </c>
      <c r="FY25">
        <v>1</v>
      </c>
      <c r="FZ25">
        <v>1</v>
      </c>
      <c r="GA25">
        <v>3</v>
      </c>
      <c r="GB25" t="s">
        <v>448</v>
      </c>
      <c r="GC25">
        <v>3.12358</v>
      </c>
      <c r="GD25">
        <v>2.76557</v>
      </c>
      <c r="GE25">
        <v>0.164879</v>
      </c>
      <c r="GF25">
        <v>0.17056</v>
      </c>
      <c r="GG25">
        <v>0.0924663</v>
      </c>
      <c r="GH25">
        <v>0.0867813</v>
      </c>
      <c r="GI25">
        <v>16289.3</v>
      </c>
      <c r="GJ25">
        <v>24407.2</v>
      </c>
      <c r="GK25">
        <v>22788.9</v>
      </c>
      <c r="GL25">
        <v>30149.8</v>
      </c>
      <c r="GM25">
        <v>33920.9</v>
      </c>
      <c r="GN25">
        <v>34305.6</v>
      </c>
      <c r="GO25">
        <v>43110.5</v>
      </c>
      <c r="GP25">
        <v>42940</v>
      </c>
      <c r="GQ25">
        <v>1.98165</v>
      </c>
      <c r="GR25">
        <v>1.81842</v>
      </c>
      <c r="GS25">
        <v>0.0898689</v>
      </c>
      <c r="GT25">
        <v>0</v>
      </c>
      <c r="GU25">
        <v>23.5662</v>
      </c>
      <c r="GV25">
        <v>999.9</v>
      </c>
      <c r="GW25">
        <v>37.126</v>
      </c>
      <c r="GX25">
        <v>33.445</v>
      </c>
      <c r="GY25">
        <v>18.9687</v>
      </c>
      <c r="GZ25">
        <v>63.0506</v>
      </c>
      <c r="HA25">
        <v>34.367</v>
      </c>
      <c r="HB25">
        <v>1</v>
      </c>
      <c r="HC25">
        <v>0.00954268</v>
      </c>
      <c r="HD25">
        <v>2.13282</v>
      </c>
      <c r="HE25">
        <v>20.1505</v>
      </c>
      <c r="HF25">
        <v>5.23436</v>
      </c>
      <c r="HG25">
        <v>11.962</v>
      </c>
      <c r="HH25">
        <v>4.96785</v>
      </c>
      <c r="HI25">
        <v>3.295</v>
      </c>
      <c r="HJ25">
        <v>999.9</v>
      </c>
      <c r="HK25">
        <v>9999</v>
      </c>
      <c r="HL25">
        <v>9999</v>
      </c>
      <c r="HM25">
        <v>9999</v>
      </c>
      <c r="HN25">
        <v>4.96983</v>
      </c>
      <c r="HO25">
        <v>1.86386</v>
      </c>
      <c r="HP25">
        <v>1.86539</v>
      </c>
      <c r="HQ25">
        <v>1.86723</v>
      </c>
      <c r="HR25">
        <v>1.86432</v>
      </c>
      <c r="HS25">
        <v>1.86798</v>
      </c>
      <c r="HT25">
        <v>1.86478</v>
      </c>
      <c r="HU25">
        <v>1.86664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0.961</v>
      </c>
      <c r="IJ25">
        <v>-0.0902</v>
      </c>
      <c r="IK25">
        <v>0.534226178772467</v>
      </c>
      <c r="IL25">
        <v>0.000216929631606078</v>
      </c>
      <c r="IM25">
        <v>2.72263024731635e-07</v>
      </c>
      <c r="IN25">
        <v>-5.43792051235154e-11</v>
      </c>
      <c r="IO25">
        <v>0.00894035948182643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1.4</v>
      </c>
      <c r="IX25">
        <v>1.5</v>
      </c>
      <c r="IY25">
        <v>2.1814</v>
      </c>
      <c r="IZ25">
        <v>2.57446</v>
      </c>
      <c r="JA25">
        <v>1.34644</v>
      </c>
      <c r="JB25">
        <v>2.25952</v>
      </c>
      <c r="JC25">
        <v>1.55029</v>
      </c>
      <c r="JD25">
        <v>2.49634</v>
      </c>
      <c r="JE25">
        <v>39.2422</v>
      </c>
      <c r="JF25">
        <v>23.8161</v>
      </c>
      <c r="JG25">
        <v>18</v>
      </c>
      <c r="JH25">
        <v>499.645</v>
      </c>
      <c r="JI25">
        <v>472.422</v>
      </c>
      <c r="JJ25">
        <v>21.5074</v>
      </c>
      <c r="JK25">
        <v>27.3083</v>
      </c>
      <c r="JL25">
        <v>30.0003</v>
      </c>
      <c r="JM25">
        <v>27.2833</v>
      </c>
      <c r="JN25">
        <v>27.2943</v>
      </c>
      <c r="JO25">
        <v>43.669</v>
      </c>
      <c r="JP25">
        <v>26.4087</v>
      </c>
      <c r="JQ25">
        <v>16.7316</v>
      </c>
      <c r="JR25">
        <v>21.4964</v>
      </c>
      <c r="JS25">
        <v>1000</v>
      </c>
      <c r="JT25">
        <v>15.0319</v>
      </c>
      <c r="JU25">
        <v>101.801</v>
      </c>
      <c r="JV25">
        <v>97.5079</v>
      </c>
    </row>
    <row r="26" spans="1:282">
      <c r="A26">
        <v>10</v>
      </c>
      <c r="B26">
        <v>1792379910.1</v>
      </c>
      <c r="C26">
        <v>1209.09999990463</v>
      </c>
      <c r="D26" t="s">
        <v>449</v>
      </c>
      <c r="E26" t="s">
        <v>450</v>
      </c>
      <c r="F26">
        <v>5</v>
      </c>
      <c r="G26">
        <v>1792379906.6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416</v>
      </c>
      <c r="AK26" t="s">
        <v>416</v>
      </c>
      <c r="AL26">
        <v>0</v>
      </c>
      <c r="AM26">
        <v>0</v>
      </c>
      <c r="AN26">
        <f>1-AL26/AM26</f>
        <v>0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416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1193</v>
      </c>
      <c r="BM26">
        <v>290</v>
      </c>
      <c r="BN26">
        <v>913.63</v>
      </c>
      <c r="BO26">
        <v>165</v>
      </c>
      <c r="BP26">
        <v>8113.51</v>
      </c>
      <c r="BQ26">
        <v>909.95</v>
      </c>
      <c r="BR26">
        <v>3.68</v>
      </c>
      <c r="BS26">
        <v>300</v>
      </c>
      <c r="BT26">
        <v>19.3</v>
      </c>
      <c r="BU26">
        <v>937.689367094771</v>
      </c>
      <c r="BV26">
        <v>1.82427053634141</v>
      </c>
      <c r="BW26">
        <v>-22.5072017657996</v>
      </c>
      <c r="BX26">
        <v>1.32198731230578</v>
      </c>
      <c r="BY26">
        <v>0.911910931247248</v>
      </c>
      <c r="BZ26">
        <v>-0.00537830856507229</v>
      </c>
      <c r="CA26">
        <v>290</v>
      </c>
      <c r="CB26">
        <v>901.59</v>
      </c>
      <c r="CC26">
        <v>615</v>
      </c>
      <c r="CD26">
        <v>8097.11</v>
      </c>
      <c r="CE26">
        <v>909.89</v>
      </c>
      <c r="CF26">
        <v>-8.3</v>
      </c>
      <c r="CT26">
        <f>$B$11*DR26+$C$11*DS26+$F$11*ED26*(1-EG26)</f>
        <v>0</v>
      </c>
      <c r="CU26">
        <f>CT26*CV26</f>
        <v>0</v>
      </c>
      <c r="CV26">
        <f>($B$11*$D$9+$C$11*$D$9+$F$11*((EQ26+EI26)/MAX(EQ26+EI26+ER26, 0.1)*$I$9+ER26/MAX(EQ26+EI26+ER26, 0.1)*$J$9))/($B$11+$C$11+$F$11)</f>
        <v>0</v>
      </c>
      <c r="CW26">
        <f>($B$11*$K$9+$C$11*$K$9+$F$11*((EQ26+EI26)/MAX(EQ26+EI26+ER26, 0.1)*$P$9+ER26/MAX(EQ26+EI26+ER26, 0.1)*$Q$9))/($B$11+$C$11+$F$11)</f>
        <v>0</v>
      </c>
      <c r="CX26">
        <v>2</v>
      </c>
      <c r="CY26">
        <v>0.5</v>
      </c>
      <c r="CZ26" t="s">
        <v>417</v>
      </c>
      <c r="DA26">
        <v>2</v>
      </c>
      <c r="DB26">
        <v>1792379906.6</v>
      </c>
      <c r="DC26">
        <v>1186.91666666667</v>
      </c>
      <c r="DD26">
        <v>1199.94333333333</v>
      </c>
      <c r="DE26">
        <v>17.0446666666667</v>
      </c>
      <c r="DF26">
        <v>15.2280833333333</v>
      </c>
      <c r="DG26">
        <v>1185.20666666667</v>
      </c>
      <c r="DH26">
        <v>17.1392833333333</v>
      </c>
      <c r="DI26">
        <v>499.989</v>
      </c>
      <c r="DJ26">
        <v>101.386666666667</v>
      </c>
      <c r="DK26">
        <v>0.0999241666666667</v>
      </c>
      <c r="DL26">
        <v>24.7494</v>
      </c>
      <c r="DM26">
        <v>25.05685</v>
      </c>
      <c r="DN26">
        <v>999.9</v>
      </c>
      <c r="DO26">
        <v>0</v>
      </c>
      <c r="DP26">
        <v>0</v>
      </c>
      <c r="DQ26">
        <v>10000.5166666667</v>
      </c>
      <c r="DR26">
        <v>0</v>
      </c>
      <c r="DS26">
        <v>6.54266333333333</v>
      </c>
      <c r="DT26">
        <v>-13.0281333333333</v>
      </c>
      <c r="DU26">
        <v>1207.495</v>
      </c>
      <c r="DV26">
        <v>1218.49833333333</v>
      </c>
      <c r="DW26">
        <v>1.81657166666667</v>
      </c>
      <c r="DX26">
        <v>1199.94333333333</v>
      </c>
      <c r="DY26">
        <v>15.2280833333333</v>
      </c>
      <c r="DZ26">
        <v>1.7281</v>
      </c>
      <c r="EA26">
        <v>1.54392333333333</v>
      </c>
      <c r="EB26">
        <v>15.1511833333333</v>
      </c>
      <c r="EC26">
        <v>13.4102333333333</v>
      </c>
      <c r="ED26">
        <v>1499.995</v>
      </c>
      <c r="EE26">
        <v>0.972996666666667</v>
      </c>
      <c r="EF26">
        <v>0.0270032</v>
      </c>
      <c r="EG26">
        <v>0</v>
      </c>
      <c r="EH26">
        <v>374.4375</v>
      </c>
      <c r="EI26">
        <v>5.00064</v>
      </c>
      <c r="EJ26">
        <v>5775.78333333333</v>
      </c>
      <c r="EK26">
        <v>15439.1333333333</v>
      </c>
      <c r="EL26">
        <v>40.062</v>
      </c>
      <c r="EM26">
        <v>40.6975</v>
      </c>
      <c r="EN26">
        <v>40.375</v>
      </c>
      <c r="EO26">
        <v>40.312</v>
      </c>
      <c r="EP26">
        <v>41.5725</v>
      </c>
      <c r="EQ26">
        <v>1454.625</v>
      </c>
      <c r="ER26">
        <v>40.37</v>
      </c>
      <c r="ES26">
        <v>0</v>
      </c>
      <c r="ET26">
        <v>2692.59999990463</v>
      </c>
      <c r="EU26">
        <v>0</v>
      </c>
      <c r="EV26">
        <v>374.373</v>
      </c>
      <c r="EW26">
        <v>0.857230773501156</v>
      </c>
      <c r="EX26">
        <v>7.08307690630952</v>
      </c>
      <c r="EY26">
        <v>5775.01307692308</v>
      </c>
      <c r="EZ26">
        <v>15</v>
      </c>
      <c r="FA26">
        <v>1792379864.1</v>
      </c>
      <c r="FB26" t="s">
        <v>451</v>
      </c>
      <c r="FC26">
        <v>1792379864.1</v>
      </c>
      <c r="FD26">
        <v>1792379850.1</v>
      </c>
      <c r="FE26">
        <v>30</v>
      </c>
      <c r="FF26">
        <v>0.628</v>
      </c>
      <c r="FG26">
        <v>0.001</v>
      </c>
      <c r="FH26">
        <v>1.718</v>
      </c>
      <c r="FI26">
        <v>-0.162</v>
      </c>
      <c r="FJ26">
        <v>1200</v>
      </c>
      <c r="FK26">
        <v>15</v>
      </c>
      <c r="FL26">
        <v>0.26</v>
      </c>
      <c r="FM26">
        <v>0.04</v>
      </c>
      <c r="FN26">
        <v>27.0352772276602</v>
      </c>
      <c r="FO26">
        <v>-0.315417743452034</v>
      </c>
      <c r="FP26">
        <v>0.114688173109761</v>
      </c>
      <c r="FQ26">
        <v>1</v>
      </c>
      <c r="FR26">
        <v>-13.0623285714286</v>
      </c>
      <c r="FS26">
        <v>0.385994805194791</v>
      </c>
      <c r="FT26">
        <v>0.0637223751003945</v>
      </c>
      <c r="FU26">
        <v>1</v>
      </c>
      <c r="FV26">
        <v>374.342882352941</v>
      </c>
      <c r="FW26">
        <v>0.769564553284809</v>
      </c>
      <c r="FX26">
        <v>0.220945929598688</v>
      </c>
      <c r="FY26">
        <v>1</v>
      </c>
      <c r="FZ26">
        <v>3</v>
      </c>
      <c r="GA26">
        <v>3</v>
      </c>
      <c r="GB26" t="s">
        <v>426</v>
      </c>
      <c r="GC26">
        <v>3.12326</v>
      </c>
      <c r="GD26">
        <v>2.76496</v>
      </c>
      <c r="GE26">
        <v>0.184795</v>
      </c>
      <c r="GF26">
        <v>0.190905</v>
      </c>
      <c r="GG26">
        <v>0.0919071</v>
      </c>
      <c r="GH26">
        <v>0.0877778</v>
      </c>
      <c r="GI26">
        <v>15900.2</v>
      </c>
      <c r="GJ26">
        <v>23808.2</v>
      </c>
      <c r="GK26">
        <v>22787.8</v>
      </c>
      <c r="GL26">
        <v>30149.4</v>
      </c>
      <c r="GM26">
        <v>33942.4</v>
      </c>
      <c r="GN26">
        <v>34269.2</v>
      </c>
      <c r="GO26">
        <v>43108.8</v>
      </c>
      <c r="GP26">
        <v>42939.7</v>
      </c>
      <c r="GQ26">
        <v>1.9804</v>
      </c>
      <c r="GR26">
        <v>1.81988</v>
      </c>
      <c r="GS26">
        <v>0.096947</v>
      </c>
      <c r="GT26">
        <v>0</v>
      </c>
      <c r="GU26">
        <v>23.4697</v>
      </c>
      <c r="GV26">
        <v>999.9</v>
      </c>
      <c r="GW26">
        <v>36.949</v>
      </c>
      <c r="GX26">
        <v>33.506</v>
      </c>
      <c r="GY26">
        <v>18.9416</v>
      </c>
      <c r="GZ26">
        <v>63.3706</v>
      </c>
      <c r="HA26">
        <v>34.383</v>
      </c>
      <c r="HB26">
        <v>1</v>
      </c>
      <c r="HC26">
        <v>0.0117632</v>
      </c>
      <c r="HD26">
        <v>2.58982</v>
      </c>
      <c r="HE26">
        <v>20.1433</v>
      </c>
      <c r="HF26">
        <v>5.22717</v>
      </c>
      <c r="HG26">
        <v>11.962</v>
      </c>
      <c r="HH26">
        <v>4.96765</v>
      </c>
      <c r="HI26">
        <v>3.29455</v>
      </c>
      <c r="HJ26">
        <v>999.9</v>
      </c>
      <c r="HK26">
        <v>9999</v>
      </c>
      <c r="HL26">
        <v>9999</v>
      </c>
      <c r="HM26">
        <v>9999</v>
      </c>
      <c r="HN26">
        <v>4.96984</v>
      </c>
      <c r="HO26">
        <v>1.8639</v>
      </c>
      <c r="HP26">
        <v>1.8654</v>
      </c>
      <c r="HQ26">
        <v>1.86726</v>
      </c>
      <c r="HR26">
        <v>1.86432</v>
      </c>
      <c r="HS26">
        <v>1.86798</v>
      </c>
      <c r="HT26">
        <v>1.86478</v>
      </c>
      <c r="HU26">
        <v>1.86667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1.71</v>
      </c>
      <c r="IJ26">
        <v>-0.0952</v>
      </c>
      <c r="IK26">
        <v>1.1606971569888</v>
      </c>
      <c r="IL26">
        <v>0.000216929631606078</v>
      </c>
      <c r="IM26">
        <v>2.72263024731635e-07</v>
      </c>
      <c r="IN26">
        <v>-5.43792051235154e-11</v>
      </c>
      <c r="IO26">
        <v>0.00989749741228658</v>
      </c>
      <c r="IP26">
        <v>-0.0584433849545669</v>
      </c>
      <c r="IQ26">
        <v>0.00341568706061026</v>
      </c>
      <c r="IR26">
        <v>-2.10952612506686e-05</v>
      </c>
      <c r="IS26">
        <v>-0</v>
      </c>
      <c r="IT26">
        <v>1734</v>
      </c>
      <c r="IU26">
        <v>2</v>
      </c>
      <c r="IV26">
        <v>19</v>
      </c>
      <c r="IW26">
        <v>0.8</v>
      </c>
      <c r="IX26">
        <v>1</v>
      </c>
      <c r="IY26">
        <v>2.52441</v>
      </c>
      <c r="IZ26">
        <v>2.55737</v>
      </c>
      <c r="JA26">
        <v>1.34644</v>
      </c>
      <c r="JB26">
        <v>2.25952</v>
      </c>
      <c r="JC26">
        <v>1.55029</v>
      </c>
      <c r="JD26">
        <v>2.72339</v>
      </c>
      <c r="JE26">
        <v>39.292</v>
      </c>
      <c r="JF26">
        <v>23.8248</v>
      </c>
      <c r="JG26">
        <v>18</v>
      </c>
      <c r="JH26">
        <v>498.931</v>
      </c>
      <c r="JI26">
        <v>473.48</v>
      </c>
      <c r="JJ26">
        <v>20.9082</v>
      </c>
      <c r="JK26">
        <v>27.3152</v>
      </c>
      <c r="JL26">
        <v>30.0003</v>
      </c>
      <c r="JM26">
        <v>27.2902</v>
      </c>
      <c r="JN26">
        <v>27.3012</v>
      </c>
      <c r="JO26">
        <v>50.5377</v>
      </c>
      <c r="JP26">
        <v>24.6838</v>
      </c>
      <c r="JQ26">
        <v>16.1972</v>
      </c>
      <c r="JR26">
        <v>20.8473</v>
      </c>
      <c r="JS26">
        <v>1200</v>
      </c>
      <c r="JT26">
        <v>15.1805</v>
      </c>
      <c r="JU26">
        <v>101.797</v>
      </c>
      <c r="JV26">
        <v>97.507</v>
      </c>
    </row>
    <row r="27" spans="1:282">
      <c r="A27">
        <v>11</v>
      </c>
      <c r="B27">
        <v>1792380061.1</v>
      </c>
      <c r="C27">
        <v>1360.09999990463</v>
      </c>
      <c r="D27" t="s">
        <v>452</v>
      </c>
      <c r="E27" t="s">
        <v>453</v>
      </c>
      <c r="F27">
        <v>5</v>
      </c>
      <c r="G27">
        <v>1792380057.6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416</v>
      </c>
      <c r="AK27" t="s">
        <v>416</v>
      </c>
      <c r="AL27">
        <v>0</v>
      </c>
      <c r="AM27">
        <v>0</v>
      </c>
      <c r="AN27">
        <f>1-AL27/AM27</f>
        <v>0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416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1193</v>
      </c>
      <c r="BM27">
        <v>290</v>
      </c>
      <c r="BN27">
        <v>913.63</v>
      </c>
      <c r="BO27">
        <v>165</v>
      </c>
      <c r="BP27">
        <v>8113.51</v>
      </c>
      <c r="BQ27">
        <v>909.95</v>
      </c>
      <c r="BR27">
        <v>3.68</v>
      </c>
      <c r="BS27">
        <v>300</v>
      </c>
      <c r="BT27">
        <v>19.3</v>
      </c>
      <c r="BU27">
        <v>937.689367094771</v>
      </c>
      <c r="BV27">
        <v>1.82427053634141</v>
      </c>
      <c r="BW27">
        <v>-22.5072017657996</v>
      </c>
      <c r="BX27">
        <v>1.32198731230578</v>
      </c>
      <c r="BY27">
        <v>0.911910931247248</v>
      </c>
      <c r="BZ27">
        <v>-0.00537830856507229</v>
      </c>
      <c r="CA27">
        <v>290</v>
      </c>
      <c r="CB27">
        <v>901.59</v>
      </c>
      <c r="CC27">
        <v>615</v>
      </c>
      <c r="CD27">
        <v>8097.11</v>
      </c>
      <c r="CE27">
        <v>909.89</v>
      </c>
      <c r="CF27">
        <v>-8.3</v>
      </c>
      <c r="CT27">
        <f>$B$11*DR27+$C$11*DS27+$F$11*ED27*(1-EG27)</f>
        <v>0</v>
      </c>
      <c r="CU27">
        <f>CT27*CV27</f>
        <v>0</v>
      </c>
      <c r="CV27">
        <f>($B$11*$D$9+$C$11*$D$9+$F$11*((EQ27+EI27)/MAX(EQ27+EI27+ER27, 0.1)*$I$9+ER27/MAX(EQ27+EI27+ER27, 0.1)*$J$9))/($B$11+$C$11+$F$11)</f>
        <v>0</v>
      </c>
      <c r="CW27">
        <f>($B$11*$K$9+$C$11*$K$9+$F$11*((EQ27+EI27)/MAX(EQ27+EI27+ER27, 0.1)*$P$9+ER27/MAX(EQ27+EI27+ER27, 0.1)*$Q$9))/($B$11+$C$11+$F$11)</f>
        <v>0</v>
      </c>
      <c r="CX27">
        <v>2</v>
      </c>
      <c r="CY27">
        <v>0.5</v>
      </c>
      <c r="CZ27" t="s">
        <v>417</v>
      </c>
      <c r="DA27">
        <v>2</v>
      </c>
      <c r="DB27">
        <v>1792380057.6</v>
      </c>
      <c r="DC27">
        <v>1487.00666666667</v>
      </c>
      <c r="DD27">
        <v>1499.97</v>
      </c>
      <c r="DE27">
        <v>16.7105333333333</v>
      </c>
      <c r="DF27">
        <v>15.4412333333333</v>
      </c>
      <c r="DG27">
        <v>1484.74166666667</v>
      </c>
      <c r="DH27">
        <v>16.8180833333333</v>
      </c>
      <c r="DI27">
        <v>500.053166666667</v>
      </c>
      <c r="DJ27">
        <v>101.392833333333</v>
      </c>
      <c r="DK27">
        <v>0.100068833333333</v>
      </c>
      <c r="DL27">
        <v>24.4814</v>
      </c>
      <c r="DM27">
        <v>25.0511166666667</v>
      </c>
      <c r="DN27">
        <v>999.9</v>
      </c>
      <c r="DO27">
        <v>0</v>
      </c>
      <c r="DP27">
        <v>0</v>
      </c>
      <c r="DQ27">
        <v>10016.8666666667</v>
      </c>
      <c r="DR27">
        <v>0</v>
      </c>
      <c r="DS27">
        <v>6.386715</v>
      </c>
      <c r="DT27">
        <v>-12.9638666666667</v>
      </c>
      <c r="DU27">
        <v>1512.27666666667</v>
      </c>
      <c r="DV27">
        <v>1523.49333333333</v>
      </c>
      <c r="DW27">
        <v>1.26927666666667</v>
      </c>
      <c r="DX27">
        <v>1499.97</v>
      </c>
      <c r="DY27">
        <v>15.4412333333333</v>
      </c>
      <c r="DZ27">
        <v>1.69432833333333</v>
      </c>
      <c r="EA27">
        <v>1.565635</v>
      </c>
      <c r="EB27">
        <v>14.8445833333333</v>
      </c>
      <c r="EC27">
        <v>13.62465</v>
      </c>
      <c r="ED27">
        <v>1499.99166666667</v>
      </c>
      <c r="EE27">
        <v>0.972997333333333</v>
      </c>
      <c r="EF27">
        <v>0.02700255</v>
      </c>
      <c r="EG27">
        <v>0</v>
      </c>
      <c r="EH27">
        <v>375.053833333333</v>
      </c>
      <c r="EI27">
        <v>5.00064</v>
      </c>
      <c r="EJ27">
        <v>5786.56</v>
      </c>
      <c r="EK27">
        <v>15439.1333333333</v>
      </c>
      <c r="EL27">
        <v>40.083</v>
      </c>
      <c r="EM27">
        <v>40.75</v>
      </c>
      <c r="EN27">
        <v>40.4266666666667</v>
      </c>
      <c r="EO27">
        <v>40.375</v>
      </c>
      <c r="EP27">
        <v>41.625</v>
      </c>
      <c r="EQ27">
        <v>1454.62166666667</v>
      </c>
      <c r="ER27">
        <v>40.37</v>
      </c>
      <c r="ES27">
        <v>0</v>
      </c>
      <c r="ET27">
        <v>2843.79999995232</v>
      </c>
      <c r="EU27">
        <v>0</v>
      </c>
      <c r="EV27">
        <v>374.932192307692</v>
      </c>
      <c r="EW27">
        <v>2.12331624430948</v>
      </c>
      <c r="EX27">
        <v>31.2283760937983</v>
      </c>
      <c r="EY27">
        <v>5784.06576923077</v>
      </c>
      <c r="EZ27">
        <v>15</v>
      </c>
      <c r="FA27">
        <v>1792379981.1</v>
      </c>
      <c r="FB27" t="s">
        <v>454</v>
      </c>
      <c r="FC27">
        <v>1792379981.1</v>
      </c>
      <c r="FD27">
        <v>1792379964.1</v>
      </c>
      <c r="FE27">
        <v>31</v>
      </c>
      <c r="FF27">
        <v>0.358</v>
      </c>
      <c r="FG27">
        <v>-0</v>
      </c>
      <c r="FH27">
        <v>2.271</v>
      </c>
      <c r="FI27">
        <v>-0.16</v>
      </c>
      <c r="FJ27">
        <v>1500</v>
      </c>
      <c r="FK27">
        <v>15</v>
      </c>
      <c r="FL27">
        <v>0.13</v>
      </c>
      <c r="FM27">
        <v>0.03</v>
      </c>
      <c r="FN27">
        <v>27.6248393135457</v>
      </c>
      <c r="FO27">
        <v>-0.697844447257746</v>
      </c>
      <c r="FP27">
        <v>0.200368112400023</v>
      </c>
      <c r="FQ27">
        <v>0</v>
      </c>
      <c r="FR27">
        <v>-13.00865</v>
      </c>
      <c r="FS27">
        <v>0.511290225563913</v>
      </c>
      <c r="FT27">
        <v>0.101779828551634</v>
      </c>
      <c r="FU27">
        <v>0</v>
      </c>
      <c r="FV27">
        <v>374.827411764706</v>
      </c>
      <c r="FW27">
        <v>2.01182581961667</v>
      </c>
      <c r="FX27">
        <v>0.273526116362187</v>
      </c>
      <c r="FY27">
        <v>0</v>
      </c>
      <c r="FZ27">
        <v>0</v>
      </c>
      <c r="GA27">
        <v>3</v>
      </c>
      <c r="GB27" t="s">
        <v>455</v>
      </c>
      <c r="GC27">
        <v>3.12368</v>
      </c>
      <c r="GD27">
        <v>2.76547</v>
      </c>
      <c r="GE27">
        <v>0.211344</v>
      </c>
      <c r="GF27">
        <v>0.21795</v>
      </c>
      <c r="GG27">
        <v>0.0906493</v>
      </c>
      <c r="GH27">
        <v>0.0886633</v>
      </c>
      <c r="GI27">
        <v>15382.5</v>
      </c>
      <c r="GJ27">
        <v>23012.2</v>
      </c>
      <c r="GK27">
        <v>22787.6</v>
      </c>
      <c r="GL27">
        <v>30148.7</v>
      </c>
      <c r="GM27">
        <v>33992.2</v>
      </c>
      <c r="GN27">
        <v>34237</v>
      </c>
      <c r="GO27">
        <v>43108.5</v>
      </c>
      <c r="GP27">
        <v>42938.9</v>
      </c>
      <c r="GQ27">
        <v>1.98075</v>
      </c>
      <c r="GR27">
        <v>1.82027</v>
      </c>
      <c r="GS27">
        <v>0.104457</v>
      </c>
      <c r="GT27">
        <v>0</v>
      </c>
      <c r="GU27">
        <v>23.3</v>
      </c>
      <c r="GV27">
        <v>999.9</v>
      </c>
      <c r="GW27">
        <v>36.748</v>
      </c>
      <c r="GX27">
        <v>33.546</v>
      </c>
      <c r="GY27">
        <v>18.8809</v>
      </c>
      <c r="GZ27">
        <v>63.0906</v>
      </c>
      <c r="HA27">
        <v>34.2788</v>
      </c>
      <c r="HB27">
        <v>1</v>
      </c>
      <c r="HC27">
        <v>0.0121875</v>
      </c>
      <c r="HD27">
        <v>2.45884</v>
      </c>
      <c r="HE27">
        <v>20.1461</v>
      </c>
      <c r="HF27">
        <v>5.23316</v>
      </c>
      <c r="HG27">
        <v>11.962</v>
      </c>
      <c r="HH27">
        <v>4.96785</v>
      </c>
      <c r="HI27">
        <v>3.295</v>
      </c>
      <c r="HJ27">
        <v>999.9</v>
      </c>
      <c r="HK27">
        <v>9999</v>
      </c>
      <c r="HL27">
        <v>9999</v>
      </c>
      <c r="HM27">
        <v>9999</v>
      </c>
      <c r="HN27">
        <v>4.96983</v>
      </c>
      <c r="HO27">
        <v>1.86386</v>
      </c>
      <c r="HP27">
        <v>1.86539</v>
      </c>
      <c r="HQ27">
        <v>1.86724</v>
      </c>
      <c r="HR27">
        <v>1.86432</v>
      </c>
      <c r="HS27">
        <v>1.86798</v>
      </c>
      <c r="HT27">
        <v>1.86478</v>
      </c>
      <c r="HU27">
        <v>1.86665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2.26</v>
      </c>
      <c r="IJ27">
        <v>-0.1081</v>
      </c>
      <c r="IK27">
        <v>1.51769799897147</v>
      </c>
      <c r="IL27">
        <v>0.000216929631606078</v>
      </c>
      <c r="IM27">
        <v>2.72263024731635e-07</v>
      </c>
      <c r="IN27">
        <v>-5.43792051235154e-11</v>
      </c>
      <c r="IO27">
        <v>0.00956883678148366</v>
      </c>
      <c r="IP27">
        <v>-0.0584433849545669</v>
      </c>
      <c r="IQ27">
        <v>0.00341568706061026</v>
      </c>
      <c r="IR27">
        <v>-2.10952612506686e-05</v>
      </c>
      <c r="IS27">
        <v>-0</v>
      </c>
      <c r="IT27">
        <v>1734</v>
      </c>
      <c r="IU27">
        <v>2</v>
      </c>
      <c r="IV27">
        <v>19</v>
      </c>
      <c r="IW27">
        <v>1.3</v>
      </c>
      <c r="IX27">
        <v>1.6</v>
      </c>
      <c r="IY27">
        <v>3.01514</v>
      </c>
      <c r="IZ27">
        <v>2.53418</v>
      </c>
      <c r="JA27">
        <v>1.34644</v>
      </c>
      <c r="JB27">
        <v>2.25952</v>
      </c>
      <c r="JC27">
        <v>1.55029</v>
      </c>
      <c r="JD27">
        <v>2.69775</v>
      </c>
      <c r="JE27">
        <v>39.3169</v>
      </c>
      <c r="JF27">
        <v>23.8248</v>
      </c>
      <c r="JG27">
        <v>18</v>
      </c>
      <c r="JH27">
        <v>499.249</v>
      </c>
      <c r="JI27">
        <v>473.858</v>
      </c>
      <c r="JJ27">
        <v>20.6455</v>
      </c>
      <c r="JK27">
        <v>27.3315</v>
      </c>
      <c r="JL27">
        <v>29.9999</v>
      </c>
      <c r="JM27">
        <v>27.3017</v>
      </c>
      <c r="JN27">
        <v>27.3127</v>
      </c>
      <c r="JO27">
        <v>60.3659</v>
      </c>
      <c r="JP27">
        <v>23.3323</v>
      </c>
      <c r="JQ27">
        <v>16.3758</v>
      </c>
      <c r="JR27">
        <v>20.5929</v>
      </c>
      <c r="JS27">
        <v>1500</v>
      </c>
      <c r="JT27">
        <v>15.456</v>
      </c>
      <c r="JU27">
        <v>101.796</v>
      </c>
      <c r="JV27">
        <v>97.505</v>
      </c>
    </row>
    <row r="28" spans="1:282">
      <c r="A28">
        <v>12</v>
      </c>
      <c r="B28">
        <v>1792380201.1</v>
      </c>
      <c r="C28">
        <v>1500.09999990463</v>
      </c>
      <c r="D28" t="s">
        <v>456</v>
      </c>
      <c r="E28" t="s">
        <v>457</v>
      </c>
      <c r="F28">
        <v>5</v>
      </c>
      <c r="G28">
        <v>1792380198.1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416</v>
      </c>
      <c r="AK28" t="s">
        <v>416</v>
      </c>
      <c r="AL28">
        <v>0</v>
      </c>
      <c r="AM28">
        <v>0</v>
      </c>
      <c r="AN28">
        <f>1-AL28/AM28</f>
        <v>0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416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1193</v>
      </c>
      <c r="BM28">
        <v>290</v>
      </c>
      <c r="BN28">
        <v>913.63</v>
      </c>
      <c r="BO28">
        <v>165</v>
      </c>
      <c r="BP28">
        <v>8113.51</v>
      </c>
      <c r="BQ28">
        <v>909.95</v>
      </c>
      <c r="BR28">
        <v>3.68</v>
      </c>
      <c r="BS28">
        <v>300</v>
      </c>
      <c r="BT28">
        <v>19.3</v>
      </c>
      <c r="BU28">
        <v>937.689367094771</v>
      </c>
      <c r="BV28">
        <v>1.82427053634141</v>
      </c>
      <c r="BW28">
        <v>-22.5072017657996</v>
      </c>
      <c r="BX28">
        <v>1.32198731230578</v>
      </c>
      <c r="BY28">
        <v>0.911910931247248</v>
      </c>
      <c r="BZ28">
        <v>-0.00537830856507229</v>
      </c>
      <c r="CA28">
        <v>290</v>
      </c>
      <c r="CB28">
        <v>901.59</v>
      </c>
      <c r="CC28">
        <v>615</v>
      </c>
      <c r="CD28">
        <v>8097.11</v>
      </c>
      <c r="CE28">
        <v>909.89</v>
      </c>
      <c r="CF28">
        <v>-8.3</v>
      </c>
      <c r="CT28">
        <f>$B$11*DR28+$C$11*DS28+$F$11*ED28*(1-EG28)</f>
        <v>0</v>
      </c>
      <c r="CU28">
        <f>CT28*CV28</f>
        <v>0</v>
      </c>
      <c r="CV28">
        <f>($B$11*$D$9+$C$11*$D$9+$F$11*((EQ28+EI28)/MAX(EQ28+EI28+ER28, 0.1)*$I$9+ER28/MAX(EQ28+EI28+ER28, 0.1)*$J$9))/($B$11+$C$11+$F$11)</f>
        <v>0</v>
      </c>
      <c r="CW28">
        <f>($B$11*$K$9+$C$11*$K$9+$F$11*((EQ28+EI28)/MAX(EQ28+EI28+ER28, 0.1)*$P$9+ER28/MAX(EQ28+EI28+ER28, 0.1)*$Q$9))/($B$11+$C$11+$F$11)</f>
        <v>0</v>
      </c>
      <c r="CX28">
        <v>2</v>
      </c>
      <c r="CY28">
        <v>0.5</v>
      </c>
      <c r="CZ28" t="s">
        <v>417</v>
      </c>
      <c r="DA28">
        <v>2</v>
      </c>
      <c r="DB28">
        <v>1792380198.1</v>
      </c>
      <c r="DC28">
        <v>1787.49</v>
      </c>
      <c r="DD28">
        <v>1800.04</v>
      </c>
      <c r="DE28">
        <v>16.57006</v>
      </c>
      <c r="DF28">
        <v>15.75916</v>
      </c>
      <c r="DG28">
        <v>1784.98</v>
      </c>
      <c r="DH28">
        <v>16.67924</v>
      </c>
      <c r="DI28">
        <v>500.0864</v>
      </c>
      <c r="DJ28">
        <v>101.3932</v>
      </c>
      <c r="DK28">
        <v>0.1001372</v>
      </c>
      <c r="DL28">
        <v>24.28062</v>
      </c>
      <c r="DM28">
        <v>24.93756</v>
      </c>
      <c r="DN28">
        <v>999.9</v>
      </c>
      <c r="DO28">
        <v>0</v>
      </c>
      <c r="DP28">
        <v>0</v>
      </c>
      <c r="DQ28">
        <v>10005.124</v>
      </c>
      <c r="DR28">
        <v>0</v>
      </c>
      <c r="DS28">
        <v>6.38353</v>
      </c>
      <c r="DT28">
        <v>-12.54806</v>
      </c>
      <c r="DU28">
        <v>1817.61</v>
      </c>
      <c r="DV28">
        <v>1828.86</v>
      </c>
      <c r="DW28">
        <v>0.8109032</v>
      </c>
      <c r="DX28">
        <v>1800.04</v>
      </c>
      <c r="DY28">
        <v>15.75916</v>
      </c>
      <c r="DZ28">
        <v>1.680096</v>
      </c>
      <c r="EA28">
        <v>1.597872</v>
      </c>
      <c r="EB28">
        <v>14.71372</v>
      </c>
      <c r="EC28">
        <v>13.93832</v>
      </c>
      <c r="ED28">
        <v>1499.964</v>
      </c>
      <c r="EE28">
        <v>0.9729964</v>
      </c>
      <c r="EF28">
        <v>0.02700346</v>
      </c>
      <c r="EG28">
        <v>0</v>
      </c>
      <c r="EH28">
        <v>376.2528</v>
      </c>
      <c r="EI28">
        <v>5.00064</v>
      </c>
      <c r="EJ28">
        <v>5808.01</v>
      </c>
      <c r="EK28">
        <v>15438.86</v>
      </c>
      <c r="EL28">
        <v>40.125</v>
      </c>
      <c r="EM28">
        <v>40.812</v>
      </c>
      <c r="EN28">
        <v>40.437</v>
      </c>
      <c r="EO28">
        <v>40.3998</v>
      </c>
      <c r="EP28">
        <v>41.625</v>
      </c>
      <c r="EQ28">
        <v>1454.594</v>
      </c>
      <c r="ER28">
        <v>40.37</v>
      </c>
      <c r="ES28">
        <v>0</v>
      </c>
      <c r="ET28">
        <v>2983.59999990463</v>
      </c>
      <c r="EU28">
        <v>0</v>
      </c>
      <c r="EV28">
        <v>376.28304</v>
      </c>
      <c r="EW28">
        <v>0.768000017899364</v>
      </c>
      <c r="EX28">
        <v>19.2038461498251</v>
      </c>
      <c r="EY28">
        <v>5806.5948</v>
      </c>
      <c r="EZ28">
        <v>15</v>
      </c>
      <c r="FA28">
        <v>1792380158.1</v>
      </c>
      <c r="FB28" t="s">
        <v>458</v>
      </c>
      <c r="FC28">
        <v>1792380158.1</v>
      </c>
      <c r="FD28">
        <v>1792380149.1</v>
      </c>
      <c r="FE28">
        <v>32</v>
      </c>
      <c r="FF28">
        <v>0.004</v>
      </c>
      <c r="FG28">
        <v>0.004</v>
      </c>
      <c r="FH28">
        <v>2.475</v>
      </c>
      <c r="FI28">
        <v>-0.141</v>
      </c>
      <c r="FJ28">
        <v>1800</v>
      </c>
      <c r="FK28">
        <v>16</v>
      </c>
      <c r="FL28">
        <v>0.33</v>
      </c>
      <c r="FM28">
        <v>0.03</v>
      </c>
      <c r="FN28">
        <v>27.5995241337062</v>
      </c>
      <c r="FO28">
        <v>0.127646278496071</v>
      </c>
      <c r="FP28">
        <v>0.205494925560495</v>
      </c>
      <c r="FQ28">
        <v>1</v>
      </c>
      <c r="FR28">
        <v>-12.53037</v>
      </c>
      <c r="FS28">
        <v>-0.0994375939849726</v>
      </c>
      <c r="FT28">
        <v>0.0769698518902044</v>
      </c>
      <c r="FU28">
        <v>1</v>
      </c>
      <c r="FV28">
        <v>376.262264705882</v>
      </c>
      <c r="FW28">
        <v>-0.0288617209899959</v>
      </c>
      <c r="FX28">
        <v>0.189644607067061</v>
      </c>
      <c r="FY28">
        <v>1</v>
      </c>
      <c r="FZ28">
        <v>3</v>
      </c>
      <c r="GA28">
        <v>3</v>
      </c>
      <c r="GB28" t="s">
        <v>426</v>
      </c>
      <c r="GC28">
        <v>3.12361</v>
      </c>
      <c r="GD28">
        <v>2.76525</v>
      </c>
      <c r="GE28">
        <v>0.234784</v>
      </c>
      <c r="GF28">
        <v>0.241803</v>
      </c>
      <c r="GG28">
        <v>0.0901404</v>
      </c>
      <c r="GH28">
        <v>0.089968</v>
      </c>
      <c r="GI28">
        <v>14924.9</v>
      </c>
      <c r="GJ28">
        <v>22310</v>
      </c>
      <c r="GK28">
        <v>22786.7</v>
      </c>
      <c r="GL28">
        <v>30147.8</v>
      </c>
      <c r="GM28">
        <v>34012.2</v>
      </c>
      <c r="GN28">
        <v>34188.8</v>
      </c>
      <c r="GO28">
        <v>43107.2</v>
      </c>
      <c r="GP28">
        <v>42938.3</v>
      </c>
      <c r="GQ28">
        <v>1.98035</v>
      </c>
      <c r="GR28">
        <v>1.821</v>
      </c>
      <c r="GS28">
        <v>0.11019</v>
      </c>
      <c r="GT28">
        <v>0</v>
      </c>
      <c r="GU28">
        <v>23.132</v>
      </c>
      <c r="GV28">
        <v>999.9</v>
      </c>
      <c r="GW28">
        <v>36.644</v>
      </c>
      <c r="GX28">
        <v>33.586</v>
      </c>
      <c r="GY28">
        <v>18.8696</v>
      </c>
      <c r="GZ28">
        <v>63.2206</v>
      </c>
      <c r="HA28">
        <v>34.6234</v>
      </c>
      <c r="HB28">
        <v>1</v>
      </c>
      <c r="HC28">
        <v>0.0123704</v>
      </c>
      <c r="HD28">
        <v>2.16816</v>
      </c>
      <c r="HE28">
        <v>20.1506</v>
      </c>
      <c r="HF28">
        <v>5.23436</v>
      </c>
      <c r="HG28">
        <v>11.962</v>
      </c>
      <c r="HH28">
        <v>4.9693</v>
      </c>
      <c r="HI28">
        <v>3.295</v>
      </c>
      <c r="HJ28">
        <v>999.9</v>
      </c>
      <c r="HK28">
        <v>9999</v>
      </c>
      <c r="HL28">
        <v>9999</v>
      </c>
      <c r="HM28">
        <v>9999</v>
      </c>
      <c r="HN28">
        <v>4.96982</v>
      </c>
      <c r="HO28">
        <v>1.86386</v>
      </c>
      <c r="HP28">
        <v>1.8654</v>
      </c>
      <c r="HQ28">
        <v>1.86723</v>
      </c>
      <c r="HR28">
        <v>1.86432</v>
      </c>
      <c r="HS28">
        <v>1.86798</v>
      </c>
      <c r="HT28">
        <v>1.86477</v>
      </c>
      <c r="HU28">
        <v>1.86665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2.51</v>
      </c>
      <c r="IJ28">
        <v>-0.1093</v>
      </c>
      <c r="IK28">
        <v>1.5645</v>
      </c>
      <c r="IL28">
        <v>0.00021693</v>
      </c>
      <c r="IM28">
        <v>2.72263e-07</v>
      </c>
      <c r="IN28">
        <v>-5.43792e-11</v>
      </c>
      <c r="IO28">
        <v>0.013279411260439</v>
      </c>
      <c r="IP28">
        <v>-0.0584433849545669</v>
      </c>
      <c r="IQ28">
        <v>0.00341568706061026</v>
      </c>
      <c r="IR28">
        <v>-2.10952612506686e-05</v>
      </c>
      <c r="IS28">
        <v>-0</v>
      </c>
      <c r="IT28">
        <v>1734</v>
      </c>
      <c r="IU28">
        <v>2</v>
      </c>
      <c r="IV28">
        <v>19</v>
      </c>
      <c r="IW28">
        <v>0.7</v>
      </c>
      <c r="IX28">
        <v>0.9</v>
      </c>
      <c r="IY28">
        <v>3.48267</v>
      </c>
      <c r="IZ28">
        <v>2.54272</v>
      </c>
      <c r="JA28">
        <v>1.34766</v>
      </c>
      <c r="JB28">
        <v>2.25952</v>
      </c>
      <c r="JC28">
        <v>1.55029</v>
      </c>
      <c r="JD28">
        <v>2.47314</v>
      </c>
      <c r="JE28">
        <v>39.3667</v>
      </c>
      <c r="JF28">
        <v>23.8161</v>
      </c>
      <c r="JG28">
        <v>18</v>
      </c>
      <c r="JH28">
        <v>499.143</v>
      </c>
      <c r="JI28">
        <v>474.482</v>
      </c>
      <c r="JJ28">
        <v>20.5647</v>
      </c>
      <c r="JK28">
        <v>27.3477</v>
      </c>
      <c r="JL28">
        <v>30</v>
      </c>
      <c r="JM28">
        <v>27.3179</v>
      </c>
      <c r="JN28">
        <v>27.3265</v>
      </c>
      <c r="JO28">
        <v>69.6895</v>
      </c>
      <c r="JP28">
        <v>20.6175</v>
      </c>
      <c r="JQ28">
        <v>16.3758</v>
      </c>
      <c r="JR28">
        <v>20.6095</v>
      </c>
      <c r="JS28">
        <v>1800</v>
      </c>
      <c r="JT28">
        <v>15.7197</v>
      </c>
      <c r="JU28">
        <v>101.792</v>
      </c>
      <c r="JV28">
        <v>97.503</v>
      </c>
    </row>
    <row r="29" spans="1:282">
      <c r="A29">
        <v>13</v>
      </c>
      <c r="B29">
        <v>1792380327.1</v>
      </c>
      <c r="C29">
        <v>1626.09999990463</v>
      </c>
      <c r="D29" t="s">
        <v>459</v>
      </c>
      <c r="E29" t="s">
        <v>460</v>
      </c>
      <c r="F29">
        <v>5</v>
      </c>
      <c r="G29">
        <v>1792380324.1</v>
      </c>
      <c r="H29">
        <f>(I29)/1000</f>
        <v>0</v>
      </c>
      <c r="I29">
        <f>1000*DI29*AG29*(DE29-DF29)/(100*CX29*(1000-AG29*DE29))</f>
        <v>0</v>
      </c>
      <c r="J29">
        <f>DI29*AG29*(DD29-DC29*(1000-AG29*DF29)/(1000-AG29*DE29))/(100*CX29)</f>
        <v>0</v>
      </c>
      <c r="K29">
        <f>DC29 - IF(AG29&gt;1, J29*CX29*100.0/(AI29), 0)</f>
        <v>0</v>
      </c>
      <c r="L29">
        <f>((R29-H29/2)*K29-J29)/(R29+H29/2)</f>
        <v>0</v>
      </c>
      <c r="M29">
        <f>L29*(DJ29+DK29)/1000.0</f>
        <v>0</v>
      </c>
      <c r="N29">
        <f>(DC29 - IF(AG29&gt;1, J29*CX29*100.0/(AI29), 0))*(DJ29+DK29)/1000.0</f>
        <v>0</v>
      </c>
      <c r="O29">
        <f>2.0/((1/Q29-1/P29)+SIGN(Q29)*SQRT((1/Q29-1/P29)*(1/Q29-1/P29) + 4*CY29/((CY29+1)*(CY29+1))*(2*1/Q29*1/P29-1/P29*1/P29)))</f>
        <v>0</v>
      </c>
      <c r="P29">
        <f>IF(LEFT(CZ29,1)&lt;&gt;"0",IF(LEFT(CZ29,1)="1",3.0,DA29),$D$5+$E$5*(DQ29*DJ29/($K$5*1000))+$F$5*(DQ29*DJ29/($K$5*1000))*MAX(MIN(CX29,$J$5),$I$5)*MAX(MIN(CX29,$J$5),$I$5)+$G$5*MAX(MIN(CX29,$J$5),$I$5)*(DQ29*DJ29/($K$5*1000))+$H$5*(DQ29*DJ29/($K$5*1000))*(DQ29*DJ29/($K$5*1000)))</f>
        <v>0</v>
      </c>
      <c r="Q29">
        <f>H29*(1000-(1000*0.61365*exp(17.502*U29/(240.97+U29))/(DJ29+DK29)+DE29)/2)/(1000*0.61365*exp(17.502*U29/(240.97+U29))/(DJ29+DK29)-DE29)</f>
        <v>0</v>
      </c>
      <c r="R29">
        <f>1/((CY29+1)/(O29/1.6)+1/(P29/1.37)) + CY29/((CY29+1)/(O29/1.6) + CY29/(P29/1.37))</f>
        <v>0</v>
      </c>
      <c r="S29">
        <f>(CT29*CW29)</f>
        <v>0</v>
      </c>
      <c r="T29">
        <f>(DL29+(S29+2*0.95*5.67E-8*(((DL29+$B$7)+273)^4-(DL29+273)^4)-44100*H29)/(1.84*29.3*P29+8*0.95*5.67E-8*(DL29+273)^3))</f>
        <v>0</v>
      </c>
      <c r="U29">
        <f>($C$7*DM29+$D$7*DN29+$E$7*T29)</f>
        <v>0</v>
      </c>
      <c r="V29">
        <f>0.61365*exp(17.502*U29/(240.97+U29))</f>
        <v>0</v>
      </c>
      <c r="W29">
        <f>(X29/Y29*100)</f>
        <v>0</v>
      </c>
      <c r="X29">
        <f>DE29*(DJ29+DK29)/1000</f>
        <v>0</v>
      </c>
      <c r="Y29">
        <f>0.61365*exp(17.502*DL29/(240.97+DL29))</f>
        <v>0</v>
      </c>
      <c r="Z29">
        <f>(V29-DE29*(DJ29+DK29)/1000)</f>
        <v>0</v>
      </c>
      <c r="AA29">
        <f>(-H29*44100)</f>
        <v>0</v>
      </c>
      <c r="AB29">
        <f>2*29.3*P29*0.92*(DL29-U29)</f>
        <v>0</v>
      </c>
      <c r="AC29">
        <f>2*0.95*5.67E-8*(((DL29+$B$7)+273)^4-(U29+273)^4)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MAX(0,($B$13+$C$13*DQ29)/(1+$D$13*DQ29)*DJ29/(DL29+273)*$E$13)</f>
        <v>0</v>
      </c>
      <c r="AJ29" t="s">
        <v>416</v>
      </c>
      <c r="AK29" t="s">
        <v>416</v>
      </c>
      <c r="AL29">
        <v>0</v>
      </c>
      <c r="AM29">
        <v>0</v>
      </c>
      <c r="AN29">
        <f>1-AL29/AM29</f>
        <v>0</v>
      </c>
      <c r="AO29">
        <v>0</v>
      </c>
      <c r="AP29" t="s">
        <v>416</v>
      </c>
      <c r="AQ29" t="s">
        <v>416</v>
      </c>
      <c r="AR29">
        <v>0</v>
      </c>
      <c r="AS29">
        <v>0</v>
      </c>
      <c r="AT29">
        <f>1-AR29/AS29</f>
        <v>0</v>
      </c>
      <c r="AU29">
        <v>0.5</v>
      </c>
      <c r="AV29">
        <f>CU29</f>
        <v>0</v>
      </c>
      <c r="AW29">
        <f>J29</f>
        <v>0</v>
      </c>
      <c r="AX29">
        <f>AT29*AU29*AV29</f>
        <v>0</v>
      </c>
      <c r="AY29">
        <f>(AW29-AO29)/AV29</f>
        <v>0</v>
      </c>
      <c r="AZ29">
        <f>(AM29-AS29)/AS29</f>
        <v>0</v>
      </c>
      <c r="BA29">
        <f>AL29/(AN29+AL29/AS29)</f>
        <v>0</v>
      </c>
      <c r="BB29" t="s">
        <v>416</v>
      </c>
      <c r="BC29">
        <v>0</v>
      </c>
      <c r="BD29">
        <f>IF(BC29&lt;&gt;0, BC29, BA29)</f>
        <v>0</v>
      </c>
      <c r="BE29">
        <f>1-BD29/AS29</f>
        <v>0</v>
      </c>
      <c r="BF29">
        <f>(AS29-AR29)/(AS29-BD29)</f>
        <v>0</v>
      </c>
      <c r="BG29">
        <f>(AM29-AS29)/(AM29-BD29)</f>
        <v>0</v>
      </c>
      <c r="BH29">
        <f>(AS29-AR29)/(AS29-AL29)</f>
        <v>0</v>
      </c>
      <c r="BI29">
        <f>(AM29-AS29)/(AM29-AL29)</f>
        <v>0</v>
      </c>
      <c r="BJ29">
        <f>(BF29*BD29/AR29)</f>
        <v>0</v>
      </c>
      <c r="BK29">
        <f>(1-BJ29)</f>
        <v>0</v>
      </c>
      <c r="BL29">
        <v>1193</v>
      </c>
      <c r="BM29">
        <v>290</v>
      </c>
      <c r="BN29">
        <v>913.63</v>
      </c>
      <c r="BO29">
        <v>165</v>
      </c>
      <c r="BP29">
        <v>8113.51</v>
      </c>
      <c r="BQ29">
        <v>909.95</v>
      </c>
      <c r="BR29">
        <v>3.68</v>
      </c>
      <c r="BS29">
        <v>300</v>
      </c>
      <c r="BT29">
        <v>19.3</v>
      </c>
      <c r="BU29">
        <v>937.689367094771</v>
      </c>
      <c r="BV29">
        <v>1.82427053634141</v>
      </c>
      <c r="BW29">
        <v>-22.5072017657996</v>
      </c>
      <c r="BX29">
        <v>1.32198731230578</v>
      </c>
      <c r="BY29">
        <v>0.911910931247248</v>
      </c>
      <c r="BZ29">
        <v>-0.00537830856507229</v>
      </c>
      <c r="CA29">
        <v>290</v>
      </c>
      <c r="CB29">
        <v>901.59</v>
      </c>
      <c r="CC29">
        <v>615</v>
      </c>
      <c r="CD29">
        <v>8097.11</v>
      </c>
      <c r="CE29">
        <v>909.89</v>
      </c>
      <c r="CF29">
        <v>-8.3</v>
      </c>
      <c r="CT29">
        <f>$B$11*DR29+$C$11*DS29+$F$11*ED29*(1-EG29)</f>
        <v>0</v>
      </c>
      <c r="CU29">
        <f>CT29*CV29</f>
        <v>0</v>
      </c>
      <c r="CV29">
        <f>($B$11*$D$9+$C$11*$D$9+$F$11*((EQ29+EI29)/MAX(EQ29+EI29+ER29, 0.1)*$I$9+ER29/MAX(EQ29+EI29+ER29, 0.1)*$J$9))/($B$11+$C$11+$F$11)</f>
        <v>0</v>
      </c>
      <c r="CW29">
        <f>($B$11*$K$9+$C$11*$K$9+$F$11*((EQ29+EI29)/MAX(EQ29+EI29+ER29, 0.1)*$P$9+ER29/MAX(EQ29+EI29+ER29, 0.1)*$Q$9))/($B$11+$C$11+$F$11)</f>
        <v>0</v>
      </c>
      <c r="CX29">
        <v>2</v>
      </c>
      <c r="CY29">
        <v>0.5</v>
      </c>
      <c r="CZ29" t="s">
        <v>417</v>
      </c>
      <c r="DA29">
        <v>2</v>
      </c>
      <c r="DB29">
        <v>1792380324.1</v>
      </c>
      <c r="DC29">
        <v>396.0362</v>
      </c>
      <c r="DD29">
        <v>399.9932</v>
      </c>
      <c r="DE29">
        <v>16.51038</v>
      </c>
      <c r="DF29">
        <v>15.87978</v>
      </c>
      <c r="DG29">
        <v>395.3762</v>
      </c>
      <c r="DH29">
        <v>16.63278</v>
      </c>
      <c r="DI29">
        <v>500.0162</v>
      </c>
      <c r="DJ29">
        <v>101.3944</v>
      </c>
      <c r="DK29">
        <v>0.10002962</v>
      </c>
      <c r="DL29">
        <v>24.19038</v>
      </c>
      <c r="DM29">
        <v>24.98406</v>
      </c>
      <c r="DN29">
        <v>999.9</v>
      </c>
      <c r="DO29">
        <v>0</v>
      </c>
      <c r="DP29">
        <v>0</v>
      </c>
      <c r="DQ29">
        <v>9992.25</v>
      </c>
      <c r="DR29">
        <v>0</v>
      </c>
      <c r="DS29">
        <v>6.38353</v>
      </c>
      <c r="DT29">
        <v>-3.956964</v>
      </c>
      <c r="DU29">
        <v>402.685</v>
      </c>
      <c r="DV29">
        <v>406.4476</v>
      </c>
      <c r="DW29">
        <v>0.630589</v>
      </c>
      <c r="DX29">
        <v>399.9932</v>
      </c>
      <c r="DY29">
        <v>15.87978</v>
      </c>
      <c r="DZ29">
        <v>1.674058</v>
      </c>
      <c r="EA29">
        <v>1.610122</v>
      </c>
      <c r="EB29">
        <v>14.65792</v>
      </c>
      <c r="EC29">
        <v>14.056</v>
      </c>
      <c r="ED29">
        <v>1499.974</v>
      </c>
      <c r="EE29">
        <v>0.9729964</v>
      </c>
      <c r="EF29">
        <v>0.02700346</v>
      </c>
      <c r="EG29">
        <v>0</v>
      </c>
      <c r="EH29">
        <v>369.2808</v>
      </c>
      <c r="EI29">
        <v>5.00064</v>
      </c>
      <c r="EJ29">
        <v>5694.096</v>
      </c>
      <c r="EK29">
        <v>15438.94</v>
      </c>
      <c r="EL29">
        <v>40.125</v>
      </c>
      <c r="EM29">
        <v>40.812</v>
      </c>
      <c r="EN29">
        <v>40.437</v>
      </c>
      <c r="EO29">
        <v>40.4246</v>
      </c>
      <c r="EP29">
        <v>41.5872</v>
      </c>
      <c r="EQ29">
        <v>1454.604</v>
      </c>
      <c r="ER29">
        <v>40.37</v>
      </c>
      <c r="ES29">
        <v>0</v>
      </c>
      <c r="ET29">
        <v>3109.59999990463</v>
      </c>
      <c r="EU29">
        <v>0</v>
      </c>
      <c r="EV29">
        <v>369.33768</v>
      </c>
      <c r="EW29">
        <v>-0.569461536655743</v>
      </c>
      <c r="EX29">
        <v>-6.39461540942504</v>
      </c>
      <c r="EY29">
        <v>5694.9136</v>
      </c>
      <c r="EZ29">
        <v>15</v>
      </c>
      <c r="FA29">
        <v>1792380280.1</v>
      </c>
      <c r="FB29" t="s">
        <v>461</v>
      </c>
      <c r="FC29">
        <v>1792380280.1</v>
      </c>
      <c r="FD29">
        <v>1792380279.1</v>
      </c>
      <c r="FE29">
        <v>33</v>
      </c>
      <c r="FF29">
        <v>-1.029</v>
      </c>
      <c r="FG29">
        <v>-0.011</v>
      </c>
      <c r="FH29">
        <v>0.662</v>
      </c>
      <c r="FI29">
        <v>-0.146</v>
      </c>
      <c r="FJ29">
        <v>400</v>
      </c>
      <c r="FK29">
        <v>16</v>
      </c>
      <c r="FL29">
        <v>0.57</v>
      </c>
      <c r="FM29">
        <v>0.09</v>
      </c>
      <c r="FN29">
        <v>9.20110400833999</v>
      </c>
      <c r="FO29">
        <v>0.0492847499603922</v>
      </c>
      <c r="FP29">
        <v>0.0924729414938701</v>
      </c>
      <c r="FQ29">
        <v>1</v>
      </c>
      <c r="FR29">
        <v>-3.9381575</v>
      </c>
      <c r="FS29">
        <v>0.00670962406014708</v>
      </c>
      <c r="FT29">
        <v>0.033370464017601</v>
      </c>
      <c r="FU29">
        <v>1</v>
      </c>
      <c r="FV29">
        <v>369.357264705882</v>
      </c>
      <c r="FW29">
        <v>-0.544033614549364</v>
      </c>
      <c r="FX29">
        <v>0.191446399935968</v>
      </c>
      <c r="FY29">
        <v>1</v>
      </c>
      <c r="FZ29">
        <v>3</v>
      </c>
      <c r="GA29">
        <v>3</v>
      </c>
      <c r="GB29" t="s">
        <v>426</v>
      </c>
      <c r="GC29">
        <v>3.12376</v>
      </c>
      <c r="GD29">
        <v>2.76543</v>
      </c>
      <c r="GE29">
        <v>0.0874636</v>
      </c>
      <c r="GF29">
        <v>0.0904372</v>
      </c>
      <c r="GG29">
        <v>0.0899427</v>
      </c>
      <c r="GH29">
        <v>0.0904606</v>
      </c>
      <c r="GI29">
        <v>17798</v>
      </c>
      <c r="GJ29">
        <v>26763.3</v>
      </c>
      <c r="GK29">
        <v>22787.3</v>
      </c>
      <c r="GL29">
        <v>30148.3</v>
      </c>
      <c r="GM29">
        <v>34010.6</v>
      </c>
      <c r="GN29">
        <v>34159.4</v>
      </c>
      <c r="GO29">
        <v>43106.9</v>
      </c>
      <c r="GP29">
        <v>42937.8</v>
      </c>
      <c r="GQ29">
        <v>1.97927</v>
      </c>
      <c r="GR29">
        <v>1.81785</v>
      </c>
      <c r="GS29">
        <v>0.115089</v>
      </c>
      <c r="GT29">
        <v>0</v>
      </c>
      <c r="GU29">
        <v>23.0304</v>
      </c>
      <c r="GV29">
        <v>999.9</v>
      </c>
      <c r="GW29">
        <v>36.546</v>
      </c>
      <c r="GX29">
        <v>33.627</v>
      </c>
      <c r="GY29">
        <v>18.8616</v>
      </c>
      <c r="GZ29">
        <v>63.2506</v>
      </c>
      <c r="HA29">
        <v>34.2909</v>
      </c>
      <c r="HB29">
        <v>1</v>
      </c>
      <c r="HC29">
        <v>0.0132088</v>
      </c>
      <c r="HD29">
        <v>2.44027</v>
      </c>
      <c r="HE29">
        <v>20.1467</v>
      </c>
      <c r="HF29">
        <v>5.23182</v>
      </c>
      <c r="HG29">
        <v>11.962</v>
      </c>
      <c r="HH29">
        <v>4.9694</v>
      </c>
      <c r="HI29">
        <v>3.295</v>
      </c>
      <c r="HJ29">
        <v>999.9</v>
      </c>
      <c r="HK29">
        <v>9999</v>
      </c>
      <c r="HL29">
        <v>9999</v>
      </c>
      <c r="HM29">
        <v>9999</v>
      </c>
      <c r="HN29">
        <v>4.96981</v>
      </c>
      <c r="HO29">
        <v>1.86387</v>
      </c>
      <c r="HP29">
        <v>1.8654</v>
      </c>
      <c r="HQ29">
        <v>1.8673</v>
      </c>
      <c r="HR29">
        <v>1.86431</v>
      </c>
      <c r="HS29">
        <v>1.86798</v>
      </c>
      <c r="HT29">
        <v>1.86478</v>
      </c>
      <c r="HU29">
        <v>1.86664</v>
      </c>
      <c r="HV29">
        <v>0</v>
      </c>
      <c r="HW29">
        <v>0</v>
      </c>
      <c r="HX29">
        <v>0</v>
      </c>
      <c r="HY29">
        <v>0</v>
      </c>
      <c r="HZ29" t="s">
        <v>420</v>
      </c>
      <c r="IA29" t="s">
        <v>421</v>
      </c>
      <c r="IB29" t="s">
        <v>422</v>
      </c>
      <c r="IC29" t="s">
        <v>422</v>
      </c>
      <c r="ID29" t="s">
        <v>422</v>
      </c>
      <c r="IE29" t="s">
        <v>422</v>
      </c>
      <c r="IF29">
        <v>0</v>
      </c>
      <c r="IG29">
        <v>100</v>
      </c>
      <c r="IH29">
        <v>100</v>
      </c>
      <c r="II29">
        <v>0.661</v>
      </c>
      <c r="IJ29">
        <v>-0.1227</v>
      </c>
      <c r="IK29">
        <v>0.535484876926932</v>
      </c>
      <c r="IL29">
        <v>0.000216929631606078</v>
      </c>
      <c r="IM29">
        <v>2.72263024731635e-07</v>
      </c>
      <c r="IN29">
        <v>-5.43792051235154e-11</v>
      </c>
      <c r="IO29">
        <v>0.00179403271931811</v>
      </c>
      <c r="IP29">
        <v>-0.0584433849545669</v>
      </c>
      <c r="IQ29">
        <v>0.00341568706061026</v>
      </c>
      <c r="IR29">
        <v>-2.10952612506686e-05</v>
      </c>
      <c r="IS29">
        <v>-0</v>
      </c>
      <c r="IT29">
        <v>1734</v>
      </c>
      <c r="IU29">
        <v>2</v>
      </c>
      <c r="IV29">
        <v>19</v>
      </c>
      <c r="IW29">
        <v>0.8</v>
      </c>
      <c r="IX29">
        <v>0.8</v>
      </c>
      <c r="IY29">
        <v>1.05469</v>
      </c>
      <c r="IZ29">
        <v>2.56104</v>
      </c>
      <c r="JA29">
        <v>1.34766</v>
      </c>
      <c r="JB29">
        <v>2.2583</v>
      </c>
      <c r="JC29">
        <v>1.55029</v>
      </c>
      <c r="JD29">
        <v>2.52441</v>
      </c>
      <c r="JE29">
        <v>39.3917</v>
      </c>
      <c r="JF29">
        <v>23.8161</v>
      </c>
      <c r="JG29">
        <v>18</v>
      </c>
      <c r="JH29">
        <v>498.497</v>
      </c>
      <c r="JI29">
        <v>472.357</v>
      </c>
      <c r="JJ29">
        <v>20.4203</v>
      </c>
      <c r="JK29">
        <v>27.343</v>
      </c>
      <c r="JL29">
        <v>30.0002</v>
      </c>
      <c r="JM29">
        <v>27.3202</v>
      </c>
      <c r="JN29">
        <v>27.3311</v>
      </c>
      <c r="JO29">
        <v>21.1364</v>
      </c>
      <c r="JP29">
        <v>19.6721</v>
      </c>
      <c r="JQ29">
        <v>16.3758</v>
      </c>
      <c r="JR29">
        <v>20.4095</v>
      </c>
      <c r="JS29">
        <v>400</v>
      </c>
      <c r="JT29">
        <v>15.8246</v>
      </c>
      <c r="JU29">
        <v>101.793</v>
      </c>
      <c r="JV29">
        <v>97.503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2026-10-19T12:27:08Z</dcterms:created>
  <dcterms:modified xsi:type="dcterms:W3CDTF">2026-10-19T12:27:08Z</dcterms:modified>
</cp:coreProperties>
</file>