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jbnuackr-my.sharepoint.com/personal/eunbin23_jbnu_ac_kr/Documents/바탕 화면/CEPLAB/과제 및 실험/개인실험/260708-2601023 상추_재해처리 실험/작기2 (260822-261023)/광합성/RAW/2026-10-04 lettuce park/"/>
    </mc:Choice>
  </mc:AlternateContent>
  <xr:revisionPtr revIDLastSave="0" documentId="11_ACE07100D6B312845BECFDD8E98BDA9604E095E1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Measurements" sheetId="1" r:id="rId1"/>
    <sheet name="Remar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W28" i="1" l="1"/>
  <c r="CV28" i="1"/>
  <c r="CT28" i="1"/>
  <c r="BI28" i="1"/>
  <c r="BH28" i="1"/>
  <c r="AZ28" i="1"/>
  <c r="AT28" i="1"/>
  <c r="AN28" i="1"/>
  <c r="BA28" i="1" s="1"/>
  <c r="BD28" i="1" s="1"/>
  <c r="AI28" i="1"/>
  <c r="AG28" i="1"/>
  <c r="Y28" i="1"/>
  <c r="X28" i="1"/>
  <c r="P28" i="1"/>
  <c r="CW27" i="1"/>
  <c r="CV27" i="1"/>
  <c r="CT27" i="1"/>
  <c r="BI27" i="1"/>
  <c r="BH27" i="1"/>
  <c r="AZ27" i="1"/>
  <c r="AT27" i="1"/>
  <c r="AN27" i="1"/>
  <c r="BA27" i="1" s="1"/>
  <c r="BD27" i="1" s="1"/>
  <c r="AI27" i="1"/>
  <c r="AG27" i="1"/>
  <c r="Y27" i="1"/>
  <c r="X27" i="1"/>
  <c r="W27" i="1" s="1"/>
  <c r="P27" i="1"/>
  <c r="CW26" i="1"/>
  <c r="CV26" i="1"/>
  <c r="CT26" i="1"/>
  <c r="BI26" i="1"/>
  <c r="BH26" i="1"/>
  <c r="AZ26" i="1"/>
  <c r="AT26" i="1"/>
  <c r="AN26" i="1"/>
  <c r="BA26" i="1" s="1"/>
  <c r="BD26" i="1" s="1"/>
  <c r="AI26" i="1"/>
  <c r="AG26" i="1" s="1"/>
  <c r="Y26" i="1"/>
  <c r="X26" i="1"/>
  <c r="W26" i="1"/>
  <c r="S26" i="1"/>
  <c r="P26" i="1"/>
  <c r="CW25" i="1"/>
  <c r="CV25" i="1"/>
  <c r="CT25" i="1"/>
  <c r="BI25" i="1"/>
  <c r="BH25" i="1"/>
  <c r="AZ25" i="1"/>
  <c r="AT25" i="1"/>
  <c r="AN25" i="1"/>
  <c r="BA25" i="1" s="1"/>
  <c r="BD25" i="1" s="1"/>
  <c r="AI25" i="1"/>
  <c r="AG25" i="1"/>
  <c r="Y25" i="1"/>
  <c r="X25" i="1"/>
  <c r="W25" i="1" s="1"/>
  <c r="P25" i="1"/>
  <c r="CW24" i="1"/>
  <c r="CV24" i="1"/>
  <c r="CT24" i="1"/>
  <c r="BI24" i="1"/>
  <c r="BH24" i="1"/>
  <c r="AZ24" i="1"/>
  <c r="AT24" i="1"/>
  <c r="AN24" i="1"/>
  <c r="BA24" i="1" s="1"/>
  <c r="BD24" i="1" s="1"/>
  <c r="AI24" i="1"/>
  <c r="AG24" i="1" s="1"/>
  <c r="Y24" i="1"/>
  <c r="X24" i="1"/>
  <c r="W24" i="1"/>
  <c r="P24" i="1"/>
  <c r="CW23" i="1"/>
  <c r="S23" i="1" s="1"/>
  <c r="CV23" i="1"/>
  <c r="CT23" i="1"/>
  <c r="BI23" i="1"/>
  <c r="BH23" i="1"/>
  <c r="AZ23" i="1"/>
  <c r="AT23" i="1"/>
  <c r="AN23" i="1"/>
  <c r="BA23" i="1" s="1"/>
  <c r="BD23" i="1" s="1"/>
  <c r="AI23" i="1"/>
  <c r="AG23" i="1"/>
  <c r="Y23" i="1"/>
  <c r="X23" i="1"/>
  <c r="P23" i="1"/>
  <c r="CW22" i="1"/>
  <c r="CV22" i="1"/>
  <c r="CT22" i="1"/>
  <c r="BI22" i="1"/>
  <c r="BH22" i="1"/>
  <c r="AZ22" i="1"/>
  <c r="AT22" i="1"/>
  <c r="AN22" i="1"/>
  <c r="BA22" i="1" s="1"/>
  <c r="BD22" i="1" s="1"/>
  <c r="AI22" i="1"/>
  <c r="AG22" i="1"/>
  <c r="Y22" i="1"/>
  <c r="X22" i="1"/>
  <c r="W22" i="1" s="1"/>
  <c r="P22" i="1"/>
  <c r="CW21" i="1"/>
  <c r="CV21" i="1"/>
  <c r="CT21" i="1"/>
  <c r="CU21" i="1" s="1"/>
  <c r="AV21" i="1" s="1"/>
  <c r="BI21" i="1"/>
  <c r="BH21" i="1"/>
  <c r="AZ21" i="1"/>
  <c r="AT21" i="1"/>
  <c r="AX21" i="1" s="1"/>
  <c r="AN21" i="1"/>
  <c r="BA21" i="1" s="1"/>
  <c r="BD21" i="1" s="1"/>
  <c r="AI21" i="1"/>
  <c r="AG21" i="1" s="1"/>
  <c r="Y21" i="1"/>
  <c r="X21" i="1"/>
  <c r="W21" i="1"/>
  <c r="S21" i="1"/>
  <c r="P21" i="1"/>
  <c r="CW20" i="1"/>
  <c r="CV20" i="1"/>
  <c r="CT20" i="1"/>
  <c r="CU20" i="1" s="1"/>
  <c r="AV20" i="1" s="1"/>
  <c r="BI20" i="1"/>
  <c r="BH20" i="1"/>
  <c r="AZ20" i="1"/>
  <c r="AT20" i="1"/>
  <c r="AN20" i="1"/>
  <c r="BA20" i="1" s="1"/>
  <c r="BD20" i="1" s="1"/>
  <c r="AI20" i="1"/>
  <c r="AG20" i="1" s="1"/>
  <c r="Y20" i="1"/>
  <c r="X20" i="1"/>
  <c r="W20" i="1" s="1"/>
  <c r="S20" i="1"/>
  <c r="P20" i="1"/>
  <c r="CW19" i="1"/>
  <c r="CV19" i="1"/>
  <c r="CT19" i="1"/>
  <c r="BI19" i="1"/>
  <c r="BH19" i="1"/>
  <c r="AZ19" i="1"/>
  <c r="AT19" i="1"/>
  <c r="AN19" i="1"/>
  <c r="BA19" i="1" s="1"/>
  <c r="BD19" i="1" s="1"/>
  <c r="AI19" i="1"/>
  <c r="AG19" i="1"/>
  <c r="AH19" i="1" s="1"/>
  <c r="Y19" i="1"/>
  <c r="X19" i="1"/>
  <c r="W19" i="1" s="1"/>
  <c r="S19" i="1"/>
  <c r="P19" i="1"/>
  <c r="N19" i="1"/>
  <c r="K19" i="1"/>
  <c r="J19" i="1"/>
  <c r="AW19" i="1" s="1"/>
  <c r="I19" i="1"/>
  <c r="H19" i="1" s="1"/>
  <c r="CW18" i="1"/>
  <c r="CV18" i="1"/>
  <c r="CT18" i="1"/>
  <c r="BI18" i="1"/>
  <c r="BH18" i="1"/>
  <c r="AZ18" i="1"/>
  <c r="AT18" i="1"/>
  <c r="AN18" i="1"/>
  <c r="BA18" i="1" s="1"/>
  <c r="BD18" i="1" s="1"/>
  <c r="AI18" i="1"/>
  <c r="AG18" i="1" s="1"/>
  <c r="Y18" i="1"/>
  <c r="W18" i="1" s="1"/>
  <c r="X18" i="1"/>
  <c r="S18" i="1"/>
  <c r="P18" i="1"/>
  <c r="CW17" i="1"/>
  <c r="CV17" i="1"/>
  <c r="CT17" i="1"/>
  <c r="CU17" i="1" s="1"/>
  <c r="AV17" i="1" s="1"/>
  <c r="BI17" i="1"/>
  <c r="BH17" i="1"/>
  <c r="AZ17" i="1"/>
  <c r="AT17" i="1"/>
  <c r="AX17" i="1" s="1"/>
  <c r="AN17" i="1"/>
  <c r="BA17" i="1" s="1"/>
  <c r="BD17" i="1" s="1"/>
  <c r="AI17" i="1"/>
  <c r="AG17" i="1"/>
  <c r="AH17" i="1" s="1"/>
  <c r="Y17" i="1"/>
  <c r="X17" i="1"/>
  <c r="W17" i="1" s="1"/>
  <c r="S17" i="1"/>
  <c r="P17" i="1"/>
  <c r="N17" i="1"/>
  <c r="K17" i="1"/>
  <c r="J17" i="1"/>
  <c r="AW17" i="1" s="1"/>
  <c r="AY17" i="1" s="1"/>
  <c r="I17" i="1"/>
  <c r="H17" i="1" s="1"/>
  <c r="W28" i="1" l="1"/>
  <c r="CU26" i="1"/>
  <c r="AV26" i="1" s="1"/>
  <c r="AX26" i="1" s="1"/>
  <c r="CU18" i="1"/>
  <c r="AV18" i="1" s="1"/>
  <c r="AX18" i="1" s="1"/>
  <c r="CU19" i="1"/>
  <c r="AV19" i="1" s="1"/>
  <c r="CU23" i="1"/>
  <c r="AV23" i="1" s="1"/>
  <c r="AX23" i="1" s="1"/>
  <c r="W23" i="1"/>
  <c r="AH27" i="1"/>
  <c r="N27" i="1"/>
  <c r="K27" i="1"/>
  <c r="J27" i="1"/>
  <c r="AW27" i="1" s="1"/>
  <c r="I27" i="1"/>
  <c r="H27" i="1" s="1"/>
  <c r="K20" i="1"/>
  <c r="I20" i="1"/>
  <c r="H20" i="1" s="1"/>
  <c r="J20" i="1"/>
  <c r="AW20" i="1" s="1"/>
  <c r="N20" i="1"/>
  <c r="AH20" i="1"/>
  <c r="CU28" i="1"/>
  <c r="AV28" i="1" s="1"/>
  <c r="AX28" i="1" s="1"/>
  <c r="S28" i="1"/>
  <c r="BE28" i="1"/>
  <c r="BF28" i="1"/>
  <c r="BJ28" i="1" s="1"/>
  <c r="BK28" i="1" s="1"/>
  <c r="BG28" i="1"/>
  <c r="AH28" i="1"/>
  <c r="N28" i="1"/>
  <c r="K28" i="1"/>
  <c r="J28" i="1"/>
  <c r="AW28" i="1" s="1"/>
  <c r="AY28" i="1" s="1"/>
  <c r="I28" i="1"/>
  <c r="H28" i="1" s="1"/>
  <c r="CU27" i="1"/>
  <c r="AV27" i="1" s="1"/>
  <c r="S27" i="1"/>
  <c r="BE27" i="1"/>
  <c r="BF27" i="1"/>
  <c r="BJ27" i="1" s="1"/>
  <c r="BK27" i="1" s="1"/>
  <c r="BG27" i="1"/>
  <c r="AA27" i="1"/>
  <c r="BE26" i="1"/>
  <c r="BF26" i="1"/>
  <c r="BJ26" i="1" s="1"/>
  <c r="BK26" i="1" s="1"/>
  <c r="BG26" i="1"/>
  <c r="AH26" i="1"/>
  <c r="I26" i="1"/>
  <c r="H26" i="1" s="1"/>
  <c r="T26" i="1" s="1"/>
  <c r="U26" i="1" s="1"/>
  <c r="J26" i="1"/>
  <c r="AW26" i="1" s="1"/>
  <c r="K26" i="1"/>
  <c r="N26" i="1"/>
  <c r="CU25" i="1"/>
  <c r="AV25" i="1" s="1"/>
  <c r="AX25" i="1" s="1"/>
  <c r="S25" i="1"/>
  <c r="BE25" i="1"/>
  <c r="BF25" i="1"/>
  <c r="BJ25" i="1" s="1"/>
  <c r="BK25" i="1" s="1"/>
  <c r="BG25" i="1"/>
  <c r="J25" i="1"/>
  <c r="AW25" i="1" s="1"/>
  <c r="AY25" i="1" s="1"/>
  <c r="K25" i="1"/>
  <c r="AH25" i="1"/>
  <c r="I25" i="1"/>
  <c r="H25" i="1" s="1"/>
  <c r="N25" i="1"/>
  <c r="CU24" i="1"/>
  <c r="AV24" i="1" s="1"/>
  <c r="AX24" i="1" s="1"/>
  <c r="S24" i="1"/>
  <c r="BE24" i="1"/>
  <c r="BF24" i="1"/>
  <c r="BJ24" i="1" s="1"/>
  <c r="BK24" i="1" s="1"/>
  <c r="BG24" i="1"/>
  <c r="AH24" i="1"/>
  <c r="I24" i="1"/>
  <c r="H24" i="1" s="1"/>
  <c r="J24" i="1"/>
  <c r="AW24" i="1" s="1"/>
  <c r="AY24" i="1" s="1"/>
  <c r="K24" i="1"/>
  <c r="N24" i="1"/>
  <c r="BE23" i="1"/>
  <c r="BF23" i="1"/>
  <c r="BJ23" i="1" s="1"/>
  <c r="BK23" i="1" s="1"/>
  <c r="BG23" i="1"/>
  <c r="J23" i="1"/>
  <c r="AW23" i="1" s="1"/>
  <c r="N23" i="1"/>
  <c r="AH23" i="1"/>
  <c r="I23" i="1"/>
  <c r="H23" i="1" s="1"/>
  <c r="T23" i="1" s="1"/>
  <c r="U23" i="1" s="1"/>
  <c r="K23" i="1"/>
  <c r="S22" i="1"/>
  <c r="CU22" i="1"/>
  <c r="AV22" i="1" s="1"/>
  <c r="AX22" i="1" s="1"/>
  <c r="BE22" i="1"/>
  <c r="BF22" i="1"/>
  <c r="BJ22" i="1" s="1"/>
  <c r="BK22" i="1" s="1"/>
  <c r="BG22" i="1"/>
  <c r="I22" i="1"/>
  <c r="H22" i="1" s="1"/>
  <c r="AH22" i="1"/>
  <c r="N22" i="1"/>
  <c r="K22" i="1"/>
  <c r="J22" i="1"/>
  <c r="AW22" i="1" s="1"/>
  <c r="AY22" i="1" s="1"/>
  <c r="BE21" i="1"/>
  <c r="BF21" i="1"/>
  <c r="BJ21" i="1" s="1"/>
  <c r="BK21" i="1" s="1"/>
  <c r="BG21" i="1"/>
  <c r="N21" i="1"/>
  <c r="K21" i="1"/>
  <c r="J21" i="1"/>
  <c r="AW21" i="1" s="1"/>
  <c r="AY21" i="1" s="1"/>
  <c r="I21" i="1"/>
  <c r="H21" i="1" s="1"/>
  <c r="AH21" i="1"/>
  <c r="T21" i="1"/>
  <c r="U21" i="1" s="1"/>
  <c r="BE20" i="1"/>
  <c r="BF20" i="1"/>
  <c r="BJ20" i="1" s="1"/>
  <c r="BK20" i="1" s="1"/>
  <c r="BG20" i="1"/>
  <c r="T20" i="1"/>
  <c r="U20" i="1" s="1"/>
  <c r="Q20" i="1"/>
  <c r="O20" i="1" s="1"/>
  <c r="R20" i="1" s="1"/>
  <c r="L20" i="1" s="1"/>
  <c r="M20" i="1" s="1"/>
  <c r="AA20" i="1"/>
  <c r="BF19" i="1"/>
  <c r="BJ19" i="1" s="1"/>
  <c r="BK19" i="1" s="1"/>
  <c r="BE19" i="1"/>
  <c r="BG19" i="1"/>
  <c r="T19" i="1"/>
  <c r="U19" i="1" s="1"/>
  <c r="Q19" i="1" s="1"/>
  <c r="O19" i="1" s="1"/>
  <c r="R19" i="1" s="1"/>
  <c r="L19" i="1" s="1"/>
  <c r="M19" i="1" s="1"/>
  <c r="AA19" i="1"/>
  <c r="BF18" i="1"/>
  <c r="BJ18" i="1" s="1"/>
  <c r="BK18" i="1" s="1"/>
  <c r="BG18" i="1"/>
  <c r="BE18" i="1"/>
  <c r="AH18" i="1"/>
  <c r="I18" i="1"/>
  <c r="H18" i="1" s="1"/>
  <c r="J18" i="1"/>
  <c r="AW18" i="1" s="1"/>
  <c r="K18" i="1"/>
  <c r="N18" i="1"/>
  <c r="T18" i="1"/>
  <c r="U18" i="1" s="1"/>
  <c r="BE17" i="1"/>
  <c r="BG17" i="1"/>
  <c r="BF17" i="1"/>
  <c r="BJ17" i="1" s="1"/>
  <c r="BK17" i="1" s="1"/>
  <c r="T17" i="1"/>
  <c r="U17" i="1" s="1"/>
  <c r="Q17" i="1" s="1"/>
  <c r="O17" i="1" s="1"/>
  <c r="R17" i="1" s="1"/>
  <c r="L17" i="1" s="1"/>
  <c r="M17" i="1" s="1"/>
  <c r="AA17" i="1"/>
  <c r="AX20" i="1"/>
  <c r="AY20" i="1"/>
  <c r="AY19" i="1" l="1"/>
  <c r="AX19" i="1"/>
  <c r="AY26" i="1"/>
  <c r="AY23" i="1"/>
  <c r="AY18" i="1"/>
  <c r="T28" i="1"/>
  <c r="U28" i="1" s="1"/>
  <c r="Q28" i="1" s="1"/>
  <c r="O28" i="1" s="1"/>
  <c r="R28" i="1" s="1"/>
  <c r="L28" i="1" s="1"/>
  <c r="M28" i="1" s="1"/>
  <c r="AA28" i="1"/>
  <c r="AY27" i="1"/>
  <c r="AX27" i="1"/>
  <c r="T27" i="1"/>
  <c r="U27" i="1" s="1"/>
  <c r="Q26" i="1"/>
  <c r="O26" i="1" s="1"/>
  <c r="R26" i="1" s="1"/>
  <c r="L26" i="1" s="1"/>
  <c r="M26" i="1" s="1"/>
  <c r="AA26" i="1"/>
  <c r="AB26" i="1"/>
  <c r="V26" i="1"/>
  <c r="Z26" i="1" s="1"/>
  <c r="AC26" i="1"/>
  <c r="AD26" i="1" s="1"/>
  <c r="T25" i="1"/>
  <c r="U25" i="1" s="1"/>
  <c r="Q25" i="1"/>
  <c r="O25" i="1" s="1"/>
  <c r="R25" i="1" s="1"/>
  <c r="L25" i="1" s="1"/>
  <c r="M25" i="1" s="1"/>
  <c r="AA25" i="1"/>
  <c r="T24" i="1"/>
  <c r="U24" i="1" s="1"/>
  <c r="Q24" i="1"/>
  <c r="O24" i="1" s="1"/>
  <c r="R24" i="1" s="1"/>
  <c r="L24" i="1" s="1"/>
  <c r="M24" i="1" s="1"/>
  <c r="AA24" i="1"/>
  <c r="Q23" i="1"/>
  <c r="O23" i="1" s="1"/>
  <c r="R23" i="1" s="1"/>
  <c r="L23" i="1" s="1"/>
  <c r="M23" i="1" s="1"/>
  <c r="AA23" i="1"/>
  <c r="AB23" i="1"/>
  <c r="AC23" i="1"/>
  <c r="AD23" i="1" s="1"/>
  <c r="V23" i="1"/>
  <c r="Z23" i="1" s="1"/>
  <c r="T22" i="1"/>
  <c r="U22" i="1" s="1"/>
  <c r="Q22" i="1"/>
  <c r="O22" i="1" s="1"/>
  <c r="R22" i="1" s="1"/>
  <c r="L22" i="1" s="1"/>
  <c r="M22" i="1" s="1"/>
  <c r="AA22" i="1"/>
  <c r="Q21" i="1"/>
  <c r="O21" i="1" s="1"/>
  <c r="R21" i="1" s="1"/>
  <c r="L21" i="1" s="1"/>
  <c r="M21" i="1" s="1"/>
  <c r="AA21" i="1"/>
  <c r="AB21" i="1"/>
  <c r="V21" i="1"/>
  <c r="Z21" i="1" s="1"/>
  <c r="AC21" i="1"/>
  <c r="AD21" i="1" s="1"/>
  <c r="AB20" i="1"/>
  <c r="V20" i="1"/>
  <c r="Z20" i="1" s="1"/>
  <c r="AC20" i="1"/>
  <c r="AD20" i="1" s="1"/>
  <c r="AB19" i="1"/>
  <c r="V19" i="1"/>
  <c r="Z19" i="1" s="1"/>
  <c r="AC19" i="1"/>
  <c r="Q18" i="1"/>
  <c r="O18" i="1" s="1"/>
  <c r="R18" i="1" s="1"/>
  <c r="L18" i="1" s="1"/>
  <c r="M18" i="1" s="1"/>
  <c r="AA18" i="1"/>
  <c r="AB18" i="1"/>
  <c r="V18" i="1"/>
  <c r="Z18" i="1" s="1"/>
  <c r="AC18" i="1"/>
  <c r="AB17" i="1"/>
  <c r="AC17" i="1"/>
  <c r="AD17" i="1" s="1"/>
  <c r="V17" i="1"/>
  <c r="Z17" i="1" s="1"/>
  <c r="V28" i="1" l="1"/>
  <c r="Z28" i="1" s="1"/>
  <c r="AB28" i="1"/>
  <c r="AC28" i="1"/>
  <c r="AD28" i="1" s="1"/>
  <c r="Q27" i="1"/>
  <c r="O27" i="1" s="1"/>
  <c r="R27" i="1" s="1"/>
  <c r="L27" i="1" s="1"/>
  <c r="M27" i="1" s="1"/>
  <c r="AB27" i="1"/>
  <c r="V27" i="1"/>
  <c r="Z27" i="1" s="1"/>
  <c r="AC27" i="1"/>
  <c r="AB25" i="1"/>
  <c r="V25" i="1"/>
  <c r="Z25" i="1" s="1"/>
  <c r="AC25" i="1"/>
  <c r="AD25" i="1" s="1"/>
  <c r="AB24" i="1"/>
  <c r="V24" i="1"/>
  <c r="Z24" i="1" s="1"/>
  <c r="AC24" i="1"/>
  <c r="AD24" i="1" s="1"/>
  <c r="V22" i="1"/>
  <c r="Z22" i="1" s="1"/>
  <c r="AB22" i="1"/>
  <c r="AC22" i="1"/>
  <c r="AD18" i="1"/>
  <c r="AD19" i="1"/>
  <c r="AD27" i="1" l="1"/>
  <c r="AD22" i="1"/>
</calcChain>
</file>

<file path=xl/sharedStrings.xml><?xml version="1.0" encoding="utf-8"?>
<sst xmlns="http://schemas.openxmlformats.org/spreadsheetml/2006/main" count="786" uniqueCount="381">
  <si>
    <t>File opened</t>
  </si>
  <si>
    <t>2026-10-04 14:19:12</t>
  </si>
  <si>
    <t>Console s/n</t>
  </si>
  <si>
    <t>68C-812153</t>
  </si>
  <si>
    <t>Console ver</t>
  </si>
  <si>
    <t>Bluestem v.2.1.13</t>
  </si>
  <si>
    <t>Scripts ver</t>
  </si>
  <si>
    <t>2024.01  2.1.13, Apr 2024</t>
  </si>
  <si>
    <t>Head s/n</t>
  </si>
  <si>
    <t>68H-982143</t>
  </si>
  <si>
    <t>Head ver</t>
  </si>
  <si>
    <t>1.4.23</t>
  </si>
  <si>
    <t>Head cal</t>
  </si>
  <si>
    <t>{"chamberpressurezero": "2.71033", "co2aspan2a": "0.106022", "co2bzero": "0.953041", "flowmeterzero": "2.483", "co2aspan2b": "0.105998", "h2oazero": "1.03097", "flowazero": "0.276", "h2oaspan2a": "0.0964052", "h2oaspan1": "1.02308", "co2azero": "0.931334", "h2obspan2a": "0.0961931", "co2aspan2": "-0.00988168", "co2aspanconc1": "437.6", "h2obspan2b": "0.0971974", "co2bspan2b": "0.105618", "h2obspanconc2": "0", "tazero": "0.15448", "co2bspanconc1": "437.6", "co2bspanconc2": "1516", "h2obspanconc1": "17.96", "h2obspan2": "0", "h2oaspan2": "0", "co2bspan2": "-0.00857283", "co2aspanconc2": "1516", "flowbzero": "0.30473", "co2aspan1": "1.00082", "oxygen": "21", "tbzero": "0.143742", "h2oaspanconc2": "0", "h2oaspanconc1": "17.96", "h2obspan1": "1.01044", "co2bspan1": "1.00005", "co2bspan2a": "0.105708", "h2oaspan2b": "0.0986302", "ssb_ref": "36242.9", "ssa_ref": "37830.5", "h2obzero": "1.01897"}</t>
  </si>
  <si>
    <t>Factory cal date</t>
  </si>
  <si>
    <t>14 Dec 2023</t>
  </si>
  <si>
    <t>CO2 rangematch</t>
  </si>
  <si>
    <t>Mon Sep 14 10:06</t>
  </si>
  <si>
    <t>H2O rangematch</t>
  </si>
  <si>
    <t>Mon Sep 14 10:14</t>
  </si>
  <si>
    <t>Chamber type</t>
  </si>
  <si>
    <t>6800-01A</t>
  </si>
  <si>
    <t>Chamber s/n</t>
  </si>
  <si>
    <t>MPF-742752</t>
  </si>
  <si>
    <t>Chamber rev</t>
  </si>
  <si>
    <t>0</t>
  </si>
  <si>
    <t>Chamber cal</t>
  </si>
  <si>
    <t>Fluorometer</t>
  </si>
  <si>
    <t>Flr. Version</t>
  </si>
  <si>
    <t>14:19:12</t>
  </si>
  <si>
    <t>Stability Definition:	ΔCO2 (Meas2): Slp&lt;0.5 Per=20	F (FlrLS): Per=20	A (GasEx): Slp&lt;0.6 Per=20</t>
  </si>
  <si>
    <t>SysConst</t>
  </si>
  <si>
    <t>AvgTime</t>
  </si>
  <si>
    <t>4</t>
  </si>
  <si>
    <t>Oxygen</t>
  </si>
  <si>
    <t>ChambConst</t>
  </si>
  <si>
    <t>Chamber</t>
  </si>
  <si>
    <t>Aperture</t>
  </si>
  <si>
    <t>2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</si>
  <si>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</si>
  <si>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</si>
  <si>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</si>
  <si>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</si>
  <si>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</si>
  <si>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</si>
  <si>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</si>
  <si>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</si>
  <si>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</si>
  <si>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</si>
  <si>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</si>
  <si>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</si>
  <si>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</si>
  <si>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</si>
  <si>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</si>
  <si>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</si>
  <si>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</si>
  <si>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</si>
  <si>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</si>
  <si>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</si>
  <si>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</si>
  <si>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</si>
  <si>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</si>
  <si>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</si>
  <si>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</si>
  <si>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</si>
  <si>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</si>
  <si>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</si>
  <si>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</si>
  <si>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</si>
  <si>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</si>
  <si>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</si>
  <si>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</si>
  <si>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</si>
  <si>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</si>
  <si>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</si>
  <si>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</si>
  <si>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</si>
  <si>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</si>
  <si>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</si>
  <si>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</si>
  <si>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</si>
  <si>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</si>
  <si>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</si>
  <si>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4.72514 203.78 363.155 594.255 857.394 1066.3 1251.07 1380.19</t>
  </si>
  <si>
    <t>Fs_true</t>
  </si>
  <si>
    <t>0.127932 227.245 386.898 590.184 811.883 1001.42 1202.73 1400.77</t>
  </si>
  <si>
    <t>leak_wt</t>
  </si>
  <si>
    <t>SysObs</t>
  </si>
  <si>
    <t>GasEx</t>
  </si>
  <si>
    <t>Leak</t>
  </si>
  <si>
    <t>FLR</t>
  </si>
  <si>
    <t>MPF</t>
  </si>
  <si>
    <t>FastKntcs</t>
  </si>
  <si>
    <t>LeafQ</t>
  </si>
  <si>
    <t>Const</t>
  </si>
  <si>
    <t>Meas</t>
  </si>
  <si>
    <t>FlrLS</t>
  </si>
  <si>
    <t>FlrStats</t>
  </si>
  <si>
    <t>MchEvent</t>
  </si>
  <si>
    <t>Stability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</si>
  <si>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</si>
  <si>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</si>
  <si>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</si>
  <si>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</si>
  <si>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</si>
  <si>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</si>
  <si>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</si>
  <si>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</si>
  <si>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</si>
  <si>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</si>
  <si>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</si>
  <si>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</si>
  <si>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</si>
  <si>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</si>
  <si>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</si>
  <si>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</si>
  <si>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</si>
  <si>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</si>
  <si>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</si>
  <si>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</si>
  <si>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</si>
  <si>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</si>
  <si>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</si>
  <si>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</si>
  <si>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</si>
  <si>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</si>
  <si>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</si>
  <si>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</si>
  <si>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</si>
  <si>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</si>
  <si>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</si>
  <si>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</si>
  <si>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</si>
  <si>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</si>
  <si>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</si>
  <si>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</si>
  <si>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</si>
  <si>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</si>
  <si>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</si>
  <si>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</si>
  <si>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</si>
  <si>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</si>
  <si>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</si>
  <si>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</si>
  <si>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</si>
  <si>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</si>
  <si>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</si>
  <si>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</si>
  <si>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</si>
  <si>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</si>
  <si>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</si>
  <si>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</si>
  <si>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</si>
  <si>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</si>
  <si>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</si>
  <si>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</si>
  <si>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</si>
  <si>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</si>
  <si>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</si>
  <si>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</si>
  <si>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</si>
  <si>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</si>
  <si>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</si>
  <si>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</si>
  <si>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</si>
  <si>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</si>
  <si>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</si>
  <si>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</si>
  <si>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</si>
  <si>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</si>
  <si>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</si>
  <si>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</si>
  <si>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</si>
  <si>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</si>
  <si>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</si>
  <si>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</si>
  <si>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</si>
  <si>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</si>
  <si>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</si>
  <si>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</si>
  <si>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</si>
  <si>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</si>
  <si>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</si>
  <si>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</si>
  <si>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</si>
  <si>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</si>
  <si>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</si>
  <si>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</si>
  <si>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</si>
  <si>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</si>
  <si>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</si>
  <si>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</si>
  <si>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</si>
  <si>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</si>
  <si>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</si>
  <si>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</si>
  <si>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</si>
  <si>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</si>
  <si>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</si>
  <si>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</si>
  <si>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</si>
  <si>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</si>
  <si>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</si>
  <si>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</si>
  <si>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</si>
  <si>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</si>
  <si>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</si>
  <si>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</si>
  <si>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</si>
  <si>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</si>
  <si>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</si>
  <si>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</si>
  <si>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</si>
  <si>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</si>
  <si>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</si>
  <si>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</si>
  <si>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</si>
  <si>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</si>
  <si>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</si>
  <si>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</si>
  <si>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</si>
  <si>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</si>
  <si>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</si>
  <si>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</si>
  <si>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</si>
  <si>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</si>
  <si>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</si>
  <si>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</si>
  <si>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</si>
  <si>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</si>
  <si>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</si>
  <si>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</si>
  <si>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</si>
  <si>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</si>
  <si>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</si>
  <si>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</si>
  <si>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</si>
  <si>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</si>
  <si>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</si>
  <si>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</si>
  <si>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</si>
  <si>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</si>
  <si>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</si>
  <si>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</si>
  <si>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</si>
  <si>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</si>
  <si>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</si>
  <si>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</si>
  <si>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</si>
  <si>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</si>
  <si>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</si>
  <si>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</si>
  <si>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</si>
  <si>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</si>
  <si>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</si>
  <si>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</si>
  <si>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A:MN</t>
  </si>
  <si>
    <t>A:SLP</t>
  </si>
  <si>
    <t>A:SD</t>
  </si>
  <si>
    <t>A:OK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</si>
  <si>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</si>
  <si>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</si>
  <si>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</si>
  <si>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</si>
  <si>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</si>
  <si>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</si>
  <si>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</si>
  <si>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</si>
  <si>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Stable</t>
  </si>
  <si>
    <t>Total</t>
  </si>
  <si>
    <t>State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</si>
  <si>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</si>
  <si>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</si>
  <si>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</si>
  <si>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</si>
  <si>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</si>
  <si>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</si>
  <si>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</si>
  <si>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</si>
  <si>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</si>
  <si>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</si>
  <si>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</si>
  <si>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</si>
  <si>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</si>
  <si>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</si>
  <si>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</si>
  <si>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</si>
  <si>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</si>
  <si>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</si>
  <si>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</si>
  <si>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</si>
  <si>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</si>
  <si>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</si>
  <si>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</si>
  <si>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</si>
  <si>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</si>
  <si>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</si>
  <si>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</si>
  <si>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</si>
  <si>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</si>
  <si>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</si>
  <si>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</si>
  <si>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</si>
  <si>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</si>
  <si>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</si>
  <si>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</si>
  <si>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</si>
  <si>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</si>
  <si>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</si>
  <si>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</si>
  <si>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</si>
  <si>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</si>
  <si>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</si>
  <si>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</si>
  <si>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</si>
  <si>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</si>
  <si>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</si>
  <si>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</si>
  <si>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</si>
  <si>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</si>
  <si>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</si>
  <si>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</si>
  <si>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</si>
  <si>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</si>
  <si>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</si>
  <si>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</si>
  <si>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</si>
  <si>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</si>
  <si>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</si>
  <si>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</si>
  <si>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mmol mol⁻¹</t>
  </si>
  <si>
    <t>rpm</t>
  </si>
  <si>
    <t>min⁻¹</t>
  </si>
  <si>
    <t>secs</t>
  </si>
  <si>
    <t>µmol/mol</t>
  </si>
  <si>
    <t>mmol/mol</t>
  </si>
  <si>
    <t>µmol m⁻² s⁻¹ min⁻¹</t>
  </si>
  <si>
    <t>µmol mol⁻¹ min⁻¹</t>
  </si>
  <si>
    <t xml:space="preserve"> min⁻¹</t>
  </si>
  <si>
    <t>min</t>
  </si>
  <si>
    <t>V</t>
  </si>
  <si>
    <t>20261004 14:57:50</t>
  </si>
  <si>
    <t>14:57:50</t>
  </si>
  <si>
    <t>-</t>
  </si>
  <si>
    <t>0: Broadleaf</t>
  </si>
  <si>
    <t>14:56:40</t>
  </si>
  <si>
    <t>2/2</t>
  </si>
  <si>
    <t>20261004 14:59:51</t>
  </si>
  <si>
    <t>14:59:51</t>
  </si>
  <si>
    <t>14:58:56</t>
  </si>
  <si>
    <t>20261004 15:01:52</t>
  </si>
  <si>
    <t>15:01:52</t>
  </si>
  <si>
    <t>15:00:57</t>
  </si>
  <si>
    <t>20261004 15:03:53</t>
  </si>
  <si>
    <t>15:03:53</t>
  </si>
  <si>
    <t>15:03:02</t>
  </si>
  <si>
    <t>20261004 15:05:54</t>
  </si>
  <si>
    <t>15:05:54</t>
  </si>
  <si>
    <t>15:04:56</t>
  </si>
  <si>
    <t>20261004 15:07:55</t>
  </si>
  <si>
    <t>15:07:55</t>
  </si>
  <si>
    <t>15:07:09</t>
  </si>
  <si>
    <t>20261004 15:09:56</t>
  </si>
  <si>
    <t>15:09:56</t>
  </si>
  <si>
    <t>15:08:51</t>
  </si>
  <si>
    <t>20261004 15:11:57</t>
  </si>
  <si>
    <t>15:11:57</t>
  </si>
  <si>
    <t>15:10:57</t>
  </si>
  <si>
    <t>1/2</t>
  </si>
  <si>
    <t>20261004 15:13:58</t>
  </si>
  <si>
    <t>15:13:58</t>
  </si>
  <si>
    <t>15:13:07</t>
  </si>
  <si>
    <t>20261004 15:16:03</t>
  </si>
  <si>
    <t>15:16:03</t>
  </si>
  <si>
    <t>15:15:03</t>
  </si>
  <si>
    <t>20261004 15:18:04</t>
  </si>
  <si>
    <t>15:18:04</t>
  </si>
  <si>
    <t>15:17:01</t>
  </si>
  <si>
    <t>20261004 15:20:05</t>
  </si>
  <si>
    <t>15:20:05</t>
  </si>
  <si>
    <t>15:19:04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</si>
</sst>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H28"/>
  <sheetViews>
    <sheetView tabSelected="1" workbookViewId="0"/>
  </sheetViews>
  <sheetFormatPr defaultRowHeight="16.899999999999999" x14ac:dyDescent="0.6"/>
  <sheetData>
    <row r="2" spans="1:216" x14ac:dyDescent="0.6">
      <c r="A2" t="s">
        <v>31</v>
      </c>
      <c r="B2" t="s">
        <v>32</v>
      </c>
      <c r="C2" t="s">
        <v>34</v>
      </c>
    </row>
    <row r="3" spans="1:216" x14ac:dyDescent="0.6">
      <c r="B3" t="s">
        <v>33</v>
      </c>
      <c r="C3">
        <v>21</v>
      </c>
    </row>
    <row r="4" spans="1:216" x14ac:dyDescent="0.6">
      <c r="A4" t="s">
        <v>35</v>
      </c>
      <c r="B4" t="s">
        <v>36</v>
      </c>
      <c r="C4" t="s">
        <v>37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45</v>
      </c>
      <c r="K4" t="s">
        <v>46</v>
      </c>
    </row>
    <row r="5" spans="1:216" x14ac:dyDescent="0.6">
      <c r="B5" t="s">
        <v>21</v>
      </c>
      <c r="C5" t="s">
        <v>38</v>
      </c>
      <c r="D5">
        <v>0.57199999999999995</v>
      </c>
      <c r="E5">
        <v>0.38727420000000001</v>
      </c>
      <c r="F5">
        <v>-1.8705840000000001E-2</v>
      </c>
      <c r="G5">
        <v>0</v>
      </c>
      <c r="H5">
        <v>-7.3738900000000001E-3</v>
      </c>
      <c r="I5">
        <v>1</v>
      </c>
      <c r="J5">
        <v>2</v>
      </c>
      <c r="K5">
        <v>96.9</v>
      </c>
    </row>
    <row r="6" spans="1:216" x14ac:dyDescent="0.6">
      <c r="A6" t="s">
        <v>47</v>
      </c>
      <c r="B6" t="s">
        <v>48</v>
      </c>
      <c r="C6" t="s">
        <v>49</v>
      </c>
      <c r="D6" t="s">
        <v>50</v>
      </c>
      <c r="E6" t="s">
        <v>51</v>
      </c>
    </row>
    <row r="7" spans="1:216" x14ac:dyDescent="0.6">
      <c r="B7">
        <v>0</v>
      </c>
      <c r="C7">
        <v>1</v>
      </c>
      <c r="D7">
        <v>0</v>
      </c>
      <c r="E7">
        <v>0</v>
      </c>
    </row>
    <row r="8" spans="1:216" x14ac:dyDescent="0.6">
      <c r="A8" t="s">
        <v>52</v>
      </c>
      <c r="B8" t="s">
        <v>53</v>
      </c>
      <c r="C8" t="s">
        <v>55</v>
      </c>
      <c r="D8" t="s">
        <v>57</v>
      </c>
      <c r="E8" t="s">
        <v>58</v>
      </c>
      <c r="F8" t="s">
        <v>59</v>
      </c>
      <c r="G8" t="s">
        <v>60</v>
      </c>
      <c r="H8" t="s">
        <v>61</v>
      </c>
      <c r="I8" t="s">
        <v>62</v>
      </c>
      <c r="J8" t="s">
        <v>63</v>
      </c>
      <c r="K8" t="s">
        <v>64</v>
      </c>
      <c r="L8" t="s">
        <v>65</v>
      </c>
      <c r="M8" t="s">
        <v>66</v>
      </c>
      <c r="N8" t="s">
        <v>67</v>
      </c>
      <c r="O8" t="s">
        <v>68</v>
      </c>
      <c r="P8" t="s">
        <v>69</v>
      </c>
      <c r="Q8" t="s">
        <v>70</v>
      </c>
    </row>
    <row r="9" spans="1:216" x14ac:dyDescent="0.6">
      <c r="B9" t="s">
        <v>54</v>
      </c>
      <c r="C9" t="s">
        <v>56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0.19109999999999999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16" x14ac:dyDescent="0.6">
      <c r="A10" t="s">
        <v>71</v>
      </c>
      <c r="B10" t="s">
        <v>72</v>
      </c>
      <c r="C10" t="s">
        <v>73</v>
      </c>
      <c r="D10" t="s">
        <v>74</v>
      </c>
      <c r="E10" t="s">
        <v>75</v>
      </c>
      <c r="F10" t="s">
        <v>76</v>
      </c>
    </row>
    <row r="11" spans="1:216" x14ac:dyDescent="0.6">
      <c r="B11">
        <v>0</v>
      </c>
      <c r="C11">
        <v>0</v>
      </c>
      <c r="D11">
        <v>0</v>
      </c>
      <c r="E11">
        <v>0</v>
      </c>
      <c r="F11">
        <v>1</v>
      </c>
    </row>
    <row r="12" spans="1:216" x14ac:dyDescent="0.6">
      <c r="A12" t="s">
        <v>77</v>
      </c>
      <c r="B12" t="s">
        <v>78</v>
      </c>
      <c r="C12" t="s">
        <v>79</v>
      </c>
      <c r="D12" t="s">
        <v>80</v>
      </c>
      <c r="E12" t="s">
        <v>81</v>
      </c>
      <c r="F12" t="s">
        <v>82</v>
      </c>
      <c r="G12" t="s">
        <v>84</v>
      </c>
      <c r="H12" t="s">
        <v>86</v>
      </c>
    </row>
    <row r="13" spans="1:216" x14ac:dyDescent="0.6">
      <c r="B13">
        <v>-6276</v>
      </c>
      <c r="C13">
        <v>6.6</v>
      </c>
      <c r="D13">
        <v>1.7090000000000001E-5</v>
      </c>
      <c r="E13">
        <v>3.11</v>
      </c>
      <c r="F13" t="s">
        <v>83</v>
      </c>
      <c r="G13" t="s">
        <v>85</v>
      </c>
      <c r="H13">
        <v>0</v>
      </c>
    </row>
    <row r="14" spans="1:216" x14ac:dyDescent="0.6">
      <c r="A14" t="s">
        <v>87</v>
      </c>
      <c r="B14" t="s">
        <v>87</v>
      </c>
      <c r="C14" t="s">
        <v>87</v>
      </c>
      <c r="D14" t="s">
        <v>87</v>
      </c>
      <c r="E14" t="s">
        <v>87</v>
      </c>
      <c r="F14" t="s">
        <v>87</v>
      </c>
      <c r="G14" t="s">
        <v>88</v>
      </c>
      <c r="H14" t="s">
        <v>88</v>
      </c>
      <c r="I14" t="s">
        <v>88</v>
      </c>
      <c r="J14" t="s">
        <v>88</v>
      </c>
      <c r="K14" t="s">
        <v>88</v>
      </c>
      <c r="L14" t="s">
        <v>88</v>
      </c>
      <c r="M14" t="s">
        <v>88</v>
      </c>
      <c r="N14" t="s">
        <v>88</v>
      </c>
      <c r="O14" t="s">
        <v>88</v>
      </c>
      <c r="P14" t="s">
        <v>88</v>
      </c>
      <c r="Q14" t="s">
        <v>88</v>
      </c>
      <c r="R14" t="s">
        <v>88</v>
      </c>
      <c r="S14" t="s">
        <v>88</v>
      </c>
      <c r="T14" t="s">
        <v>88</v>
      </c>
      <c r="U14" t="s">
        <v>88</v>
      </c>
      <c r="V14" t="s">
        <v>88</v>
      </c>
      <c r="W14" t="s">
        <v>88</v>
      </c>
      <c r="X14" t="s">
        <v>88</v>
      </c>
      <c r="Y14" t="s">
        <v>88</v>
      </c>
      <c r="Z14" t="s">
        <v>88</v>
      </c>
      <c r="AA14" t="s">
        <v>88</v>
      </c>
      <c r="AB14" t="s">
        <v>88</v>
      </c>
      <c r="AC14" t="s">
        <v>88</v>
      </c>
      <c r="AD14" t="s">
        <v>88</v>
      </c>
      <c r="AE14" t="s">
        <v>89</v>
      </c>
      <c r="AF14" t="s">
        <v>89</v>
      </c>
      <c r="AG14" t="s">
        <v>89</v>
      </c>
      <c r="AH14" t="s">
        <v>89</v>
      </c>
      <c r="AI14" t="s">
        <v>89</v>
      </c>
      <c r="AJ14" t="s">
        <v>90</v>
      </c>
      <c r="AK14" t="s">
        <v>90</v>
      </c>
      <c r="AL14" t="s">
        <v>90</v>
      </c>
      <c r="AM14" t="s">
        <v>90</v>
      </c>
      <c r="AN14" t="s">
        <v>90</v>
      </c>
      <c r="AO14" t="s">
        <v>90</v>
      </c>
      <c r="AP14" t="s">
        <v>90</v>
      </c>
      <c r="AQ14" t="s">
        <v>90</v>
      </c>
      <c r="AR14" t="s">
        <v>90</v>
      </c>
      <c r="AS14" t="s">
        <v>90</v>
      </c>
      <c r="AT14" t="s">
        <v>90</v>
      </c>
      <c r="AU14" t="s">
        <v>90</v>
      </c>
      <c r="AV14" t="s">
        <v>90</v>
      </c>
      <c r="AW14" t="s">
        <v>90</v>
      </c>
      <c r="AX14" t="s">
        <v>90</v>
      </c>
      <c r="AY14" t="s">
        <v>90</v>
      </c>
      <c r="AZ14" t="s">
        <v>90</v>
      </c>
      <c r="BA14" t="s">
        <v>90</v>
      </c>
      <c r="BB14" t="s">
        <v>90</v>
      </c>
      <c r="BC14" t="s">
        <v>90</v>
      </c>
      <c r="BD14" t="s">
        <v>90</v>
      </c>
      <c r="BE14" t="s">
        <v>90</v>
      </c>
      <c r="BF14" t="s">
        <v>90</v>
      </c>
      <c r="BG14" t="s">
        <v>90</v>
      </c>
      <c r="BH14" t="s">
        <v>90</v>
      </c>
      <c r="BI14" t="s">
        <v>90</v>
      </c>
      <c r="BJ14" t="s">
        <v>90</v>
      </c>
      <c r="BK14" t="s">
        <v>90</v>
      </c>
      <c r="BL14" t="s">
        <v>91</v>
      </c>
      <c r="BM14" t="s">
        <v>91</v>
      </c>
      <c r="BN14" t="s">
        <v>91</v>
      </c>
      <c r="BO14" t="s">
        <v>91</v>
      </c>
      <c r="BP14" t="s">
        <v>91</v>
      </c>
      <c r="BQ14" t="s">
        <v>91</v>
      </c>
      <c r="BR14" t="s">
        <v>91</v>
      </c>
      <c r="BS14" t="s">
        <v>91</v>
      </c>
      <c r="BT14" t="s">
        <v>91</v>
      </c>
      <c r="BU14" t="s">
        <v>91</v>
      </c>
      <c r="BV14" t="s">
        <v>91</v>
      </c>
      <c r="BW14" t="s">
        <v>91</v>
      </c>
      <c r="BX14" t="s">
        <v>91</v>
      </c>
      <c r="BY14" t="s">
        <v>91</v>
      </c>
      <c r="BZ14" t="s">
        <v>91</v>
      </c>
      <c r="CA14" t="s">
        <v>91</v>
      </c>
      <c r="CB14" t="s">
        <v>91</v>
      </c>
      <c r="CC14" t="s">
        <v>91</v>
      </c>
      <c r="CD14" t="s">
        <v>91</v>
      </c>
      <c r="CE14" t="s">
        <v>91</v>
      </c>
      <c r="CF14" t="s">
        <v>91</v>
      </c>
      <c r="CG14" t="s">
        <v>92</v>
      </c>
      <c r="CH14" t="s">
        <v>92</v>
      </c>
      <c r="CI14" t="s">
        <v>92</v>
      </c>
      <c r="CJ14" t="s">
        <v>92</v>
      </c>
      <c r="CK14" t="s">
        <v>92</v>
      </c>
      <c r="CL14" t="s">
        <v>92</v>
      </c>
      <c r="CM14" t="s">
        <v>92</v>
      </c>
      <c r="CN14" t="s">
        <v>92</v>
      </c>
      <c r="CO14" t="s">
        <v>92</v>
      </c>
      <c r="CP14" t="s">
        <v>92</v>
      </c>
      <c r="CQ14" t="s">
        <v>92</v>
      </c>
      <c r="CR14" t="s">
        <v>92</v>
      </c>
      <c r="CS14" t="s">
        <v>92</v>
      </c>
      <c r="CT14" t="s">
        <v>93</v>
      </c>
      <c r="CU14" t="s">
        <v>93</v>
      </c>
      <c r="CV14" t="s">
        <v>93</v>
      </c>
      <c r="CW14" t="s">
        <v>93</v>
      </c>
      <c r="CX14" t="s">
        <v>94</v>
      </c>
      <c r="CY14" t="s">
        <v>94</v>
      </c>
      <c r="CZ14" t="s">
        <v>94</v>
      </c>
      <c r="DA14" t="s">
        <v>94</v>
      </c>
      <c r="DB14" t="s">
        <v>95</v>
      </c>
      <c r="DC14" t="s">
        <v>95</v>
      </c>
      <c r="DD14" t="s">
        <v>95</v>
      </c>
      <c r="DE14" t="s">
        <v>95</v>
      </c>
      <c r="DF14" t="s">
        <v>95</v>
      </c>
      <c r="DG14" t="s">
        <v>95</v>
      </c>
      <c r="DH14" t="s">
        <v>95</v>
      </c>
      <c r="DI14" t="s">
        <v>95</v>
      </c>
      <c r="DJ14" t="s">
        <v>95</v>
      </c>
      <c r="DK14" t="s">
        <v>95</v>
      </c>
      <c r="DL14" t="s">
        <v>95</v>
      </c>
      <c r="DM14" t="s">
        <v>95</v>
      </c>
      <c r="DN14" t="s">
        <v>95</v>
      </c>
      <c r="DO14" t="s">
        <v>95</v>
      </c>
      <c r="DP14" t="s">
        <v>95</v>
      </c>
      <c r="DQ14" t="s">
        <v>95</v>
      </c>
      <c r="DR14" t="s">
        <v>95</v>
      </c>
      <c r="DS14" t="s">
        <v>95</v>
      </c>
      <c r="DT14" t="s">
        <v>96</v>
      </c>
      <c r="DU14" t="s">
        <v>96</v>
      </c>
      <c r="DV14" t="s">
        <v>96</v>
      </c>
      <c r="DW14" t="s">
        <v>96</v>
      </c>
      <c r="DX14" t="s">
        <v>96</v>
      </c>
      <c r="DY14" t="s">
        <v>96</v>
      </c>
      <c r="DZ14" t="s">
        <v>96</v>
      </c>
      <c r="EA14" t="s">
        <v>96</v>
      </c>
      <c r="EB14" t="s">
        <v>96</v>
      </c>
      <c r="EC14" t="s">
        <v>96</v>
      </c>
      <c r="ED14" t="s">
        <v>96</v>
      </c>
      <c r="EE14" t="s">
        <v>96</v>
      </c>
      <c r="EF14" t="s">
        <v>96</v>
      </c>
      <c r="EG14" t="s">
        <v>96</v>
      </c>
      <c r="EH14" t="s">
        <v>96</v>
      </c>
      <c r="EI14" t="s">
        <v>96</v>
      </c>
      <c r="EJ14" t="s">
        <v>96</v>
      </c>
      <c r="EK14" t="s">
        <v>96</v>
      </c>
      <c r="EL14" t="s">
        <v>97</v>
      </c>
      <c r="EM14" t="s">
        <v>97</v>
      </c>
      <c r="EN14" t="s">
        <v>97</v>
      </c>
      <c r="EO14" t="s">
        <v>97</v>
      </c>
      <c r="EP14" t="s">
        <v>97</v>
      </c>
      <c r="EQ14" t="s">
        <v>98</v>
      </c>
      <c r="ER14" t="s">
        <v>98</v>
      </c>
      <c r="ES14" t="s">
        <v>98</v>
      </c>
      <c r="ET14" t="s">
        <v>98</v>
      </c>
      <c r="EU14" t="s">
        <v>98</v>
      </c>
      <c r="EV14" t="s">
        <v>98</v>
      </c>
      <c r="EW14" t="s">
        <v>98</v>
      </c>
      <c r="EX14" t="s">
        <v>98</v>
      </c>
      <c r="EY14" t="s">
        <v>98</v>
      </c>
      <c r="EZ14" t="s">
        <v>98</v>
      </c>
      <c r="FA14" t="s">
        <v>98</v>
      </c>
      <c r="FB14" t="s">
        <v>98</v>
      </c>
      <c r="FC14" t="s">
        <v>98</v>
      </c>
      <c r="FD14" t="s">
        <v>99</v>
      </c>
      <c r="FE14" t="s">
        <v>99</v>
      </c>
      <c r="FF14" t="s">
        <v>99</v>
      </c>
      <c r="FG14" t="s">
        <v>99</v>
      </c>
      <c r="FH14" t="s">
        <v>99</v>
      </c>
      <c r="FI14" t="s">
        <v>99</v>
      </c>
      <c r="FJ14" t="s">
        <v>99</v>
      </c>
      <c r="FK14" t="s">
        <v>99</v>
      </c>
      <c r="FL14" t="s">
        <v>99</v>
      </c>
      <c r="FM14" t="s">
        <v>99</v>
      </c>
      <c r="FN14" t="s">
        <v>99</v>
      </c>
      <c r="FO14" t="s">
        <v>99</v>
      </c>
      <c r="FP14" t="s">
        <v>99</v>
      </c>
      <c r="FQ14" t="s">
        <v>99</v>
      </c>
      <c r="FR14" t="s">
        <v>99</v>
      </c>
      <c r="FS14" t="s">
        <v>100</v>
      </c>
      <c r="FT14" t="s">
        <v>100</v>
      </c>
      <c r="FU14" t="s">
        <v>100</v>
      </c>
      <c r="FV14" t="s">
        <v>100</v>
      </c>
      <c r="FW14" t="s">
        <v>100</v>
      </c>
      <c r="FX14" t="s">
        <v>100</v>
      </c>
      <c r="FY14" t="s">
        <v>100</v>
      </c>
      <c r="FZ14" t="s">
        <v>100</v>
      </c>
      <c r="GA14" t="s">
        <v>100</v>
      </c>
      <c r="GB14" t="s">
        <v>100</v>
      </c>
      <c r="GC14" t="s">
        <v>100</v>
      </c>
      <c r="GD14" t="s">
        <v>100</v>
      </c>
      <c r="GE14" t="s">
        <v>100</v>
      </c>
      <c r="GF14" t="s">
        <v>100</v>
      </c>
      <c r="GG14" t="s">
        <v>100</v>
      </c>
      <c r="GH14" t="s">
        <v>100</v>
      </c>
      <c r="GI14" t="s">
        <v>100</v>
      </c>
      <c r="GJ14" t="s">
        <v>100</v>
      </c>
      <c r="GK14" t="s">
        <v>101</v>
      </c>
      <c r="GL14" t="s">
        <v>101</v>
      </c>
      <c r="GM14" t="s">
        <v>101</v>
      </c>
      <c r="GN14" t="s">
        <v>101</v>
      </c>
      <c r="GO14" t="s">
        <v>101</v>
      </c>
      <c r="GP14" t="s">
        <v>101</v>
      </c>
      <c r="GQ14" t="s">
        <v>101</v>
      </c>
      <c r="GR14" t="s">
        <v>101</v>
      </c>
      <c r="GS14" t="s">
        <v>102</v>
      </c>
      <c r="GT14" t="s">
        <v>102</v>
      </c>
      <c r="GU14" t="s">
        <v>102</v>
      </c>
      <c r="GV14" t="s">
        <v>102</v>
      </c>
      <c r="GW14" t="s">
        <v>102</v>
      </c>
      <c r="GX14" t="s">
        <v>102</v>
      </c>
      <c r="GY14" t="s">
        <v>102</v>
      </c>
      <c r="GZ14" t="s">
        <v>102</v>
      </c>
      <c r="HA14" t="s">
        <v>102</v>
      </c>
      <c r="HB14" t="s">
        <v>102</v>
      </c>
      <c r="HC14" t="s">
        <v>102</v>
      </c>
      <c r="HD14" t="s">
        <v>102</v>
      </c>
      <c r="HE14" t="s">
        <v>102</v>
      </c>
      <c r="HF14" t="s">
        <v>102</v>
      </c>
      <c r="HG14" t="s">
        <v>102</v>
      </c>
      <c r="HH14" t="s">
        <v>102</v>
      </c>
    </row>
    <row r="15" spans="1:216" x14ac:dyDescent="0.6">
      <c r="A15" t="s">
        <v>103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 t="s">
        <v>109</v>
      </c>
      <c r="H15" t="s">
        <v>110</v>
      </c>
      <c r="I15" t="s">
        <v>111</v>
      </c>
      <c r="J15" t="s">
        <v>112</v>
      </c>
      <c r="K15" t="s">
        <v>113</v>
      </c>
      <c r="L15" t="s">
        <v>114</v>
      </c>
      <c r="M15" t="s">
        <v>115</v>
      </c>
      <c r="N15" t="s">
        <v>116</v>
      </c>
      <c r="O15" t="s">
        <v>117</v>
      </c>
      <c r="P15" t="s">
        <v>118</v>
      </c>
      <c r="Q15" t="s">
        <v>119</v>
      </c>
      <c r="R15" t="s">
        <v>120</v>
      </c>
      <c r="S15" t="s">
        <v>121</v>
      </c>
      <c r="T15" t="s">
        <v>122</v>
      </c>
      <c r="U15" t="s">
        <v>123</v>
      </c>
      <c r="V15" t="s">
        <v>124</v>
      </c>
      <c r="W15" t="s">
        <v>125</v>
      </c>
      <c r="X15" t="s">
        <v>126</v>
      </c>
      <c r="Y15" t="s">
        <v>127</v>
      </c>
      <c r="Z15" t="s">
        <v>128</v>
      </c>
      <c r="AA15" t="s">
        <v>129</v>
      </c>
      <c r="AB15" t="s">
        <v>130</v>
      </c>
      <c r="AC15" t="s">
        <v>131</v>
      </c>
      <c r="AD15" t="s">
        <v>132</v>
      </c>
      <c r="AE15" t="s">
        <v>89</v>
      </c>
      <c r="AF15" t="s">
        <v>133</v>
      </c>
      <c r="AG15" t="s">
        <v>134</v>
      </c>
      <c r="AH15" t="s">
        <v>135</v>
      </c>
      <c r="AI15" t="s">
        <v>136</v>
      </c>
      <c r="AJ15" t="s">
        <v>137</v>
      </c>
      <c r="AK15" t="s">
        <v>138</v>
      </c>
      <c r="AL15" t="s">
        <v>139</v>
      </c>
      <c r="AM15" t="s">
        <v>140</v>
      </c>
      <c r="AN15" t="s">
        <v>141</v>
      </c>
      <c r="AO15" t="s">
        <v>142</v>
      </c>
      <c r="AP15" t="s">
        <v>143</v>
      </c>
      <c r="AQ15" t="s">
        <v>144</v>
      </c>
      <c r="AR15" t="s">
        <v>145</v>
      </c>
      <c r="AS15" t="s">
        <v>146</v>
      </c>
      <c r="AT15" t="s">
        <v>147</v>
      </c>
      <c r="AU15" t="s">
        <v>148</v>
      </c>
      <c r="AV15" t="s">
        <v>149</v>
      </c>
      <c r="AW15" t="s">
        <v>150</v>
      </c>
      <c r="AX15" t="s">
        <v>151</v>
      </c>
      <c r="AY15" t="s">
        <v>152</v>
      </c>
      <c r="AZ15" t="s">
        <v>153</v>
      </c>
      <c r="BA15" t="s">
        <v>154</v>
      </c>
      <c r="BB15" t="s">
        <v>155</v>
      </c>
      <c r="BC15" t="s">
        <v>156</v>
      </c>
      <c r="BD15" t="s">
        <v>157</v>
      </c>
      <c r="BE15" t="s">
        <v>158</v>
      </c>
      <c r="BF15" t="s">
        <v>159</v>
      </c>
      <c r="BG15" t="s">
        <v>160</v>
      </c>
      <c r="BH15" t="s">
        <v>161</v>
      </c>
      <c r="BI15" t="s">
        <v>162</v>
      </c>
      <c r="BJ15" t="s">
        <v>163</v>
      </c>
      <c r="BK15" t="s">
        <v>164</v>
      </c>
      <c r="BL15" t="s">
        <v>165</v>
      </c>
      <c r="BM15" t="s">
        <v>166</v>
      </c>
      <c r="BN15" t="s">
        <v>167</v>
      </c>
      <c r="BO15" t="s">
        <v>168</v>
      </c>
      <c r="BP15" t="s">
        <v>169</v>
      </c>
      <c r="BQ15" t="s">
        <v>170</v>
      </c>
      <c r="BR15" t="s">
        <v>171</v>
      </c>
      <c r="BS15" t="s">
        <v>172</v>
      </c>
      <c r="BT15" t="s">
        <v>173</v>
      </c>
      <c r="BU15" t="s">
        <v>174</v>
      </c>
      <c r="BV15" t="s">
        <v>175</v>
      </c>
      <c r="BW15" t="s">
        <v>176</v>
      </c>
      <c r="BX15" t="s">
        <v>177</v>
      </c>
      <c r="BY15" t="s">
        <v>178</v>
      </c>
      <c r="BZ15" t="s">
        <v>179</v>
      </c>
      <c r="CA15" t="s">
        <v>180</v>
      </c>
      <c r="CB15" t="s">
        <v>181</v>
      </c>
      <c r="CC15" t="s">
        <v>182</v>
      </c>
      <c r="CD15" t="s">
        <v>183</v>
      </c>
      <c r="CE15" t="s">
        <v>184</v>
      </c>
      <c r="CF15" t="s">
        <v>185</v>
      </c>
      <c r="CG15" t="s">
        <v>165</v>
      </c>
      <c r="CH15" t="s">
        <v>186</v>
      </c>
      <c r="CI15" t="s">
        <v>187</v>
      </c>
      <c r="CJ15" t="s">
        <v>188</v>
      </c>
      <c r="CK15" t="s">
        <v>139</v>
      </c>
      <c r="CL15" t="s">
        <v>189</v>
      </c>
      <c r="CM15" t="s">
        <v>190</v>
      </c>
      <c r="CN15" t="s">
        <v>191</v>
      </c>
      <c r="CO15" t="s">
        <v>192</v>
      </c>
      <c r="CP15" t="s">
        <v>193</v>
      </c>
      <c r="CQ15" t="s">
        <v>194</v>
      </c>
      <c r="CR15" t="s">
        <v>195</v>
      </c>
      <c r="CS15" t="s">
        <v>196</v>
      </c>
      <c r="CT15" t="s">
        <v>197</v>
      </c>
      <c r="CU15" t="s">
        <v>198</v>
      </c>
      <c r="CV15" t="s">
        <v>199</v>
      </c>
      <c r="CW15" t="s">
        <v>200</v>
      </c>
      <c r="CX15" t="s">
        <v>201</v>
      </c>
      <c r="CY15" t="s">
        <v>202</v>
      </c>
      <c r="CZ15" t="s">
        <v>203</v>
      </c>
      <c r="DA15" t="s">
        <v>204</v>
      </c>
      <c r="DB15" t="s">
        <v>109</v>
      </c>
      <c r="DC15" t="s">
        <v>205</v>
      </c>
      <c r="DD15" t="s">
        <v>206</v>
      </c>
      <c r="DE15" t="s">
        <v>207</v>
      </c>
      <c r="DF15" t="s">
        <v>208</v>
      </c>
      <c r="DG15" t="s">
        <v>209</v>
      </c>
      <c r="DH15" t="s">
        <v>210</v>
      </c>
      <c r="DI15" t="s">
        <v>211</v>
      </c>
      <c r="DJ15" t="s">
        <v>212</v>
      </c>
      <c r="DK15" t="s">
        <v>213</v>
      </c>
      <c r="DL15" t="s">
        <v>214</v>
      </c>
      <c r="DM15" t="s">
        <v>215</v>
      </c>
      <c r="DN15" t="s">
        <v>216</v>
      </c>
      <c r="DO15" t="s">
        <v>217</v>
      </c>
      <c r="DP15" t="s">
        <v>218</v>
      </c>
      <c r="DQ15" t="s">
        <v>219</v>
      </c>
      <c r="DR15" t="s">
        <v>220</v>
      </c>
      <c r="DS15" t="s">
        <v>221</v>
      </c>
      <c r="DT15" t="s">
        <v>222</v>
      </c>
      <c r="DU15" t="s">
        <v>223</v>
      </c>
      <c r="DV15" t="s">
        <v>224</v>
      </c>
      <c r="DW15" t="s">
        <v>225</v>
      </c>
      <c r="DX15" t="s">
        <v>226</v>
      </c>
      <c r="DY15" t="s">
        <v>227</v>
      </c>
      <c r="DZ15" t="s">
        <v>228</v>
      </c>
      <c r="EA15" t="s">
        <v>229</v>
      </c>
      <c r="EB15" t="s">
        <v>230</v>
      </c>
      <c r="EC15" t="s">
        <v>231</v>
      </c>
      <c r="ED15" t="s">
        <v>232</v>
      </c>
      <c r="EE15" t="s">
        <v>233</v>
      </c>
      <c r="EF15" t="s">
        <v>234</v>
      </c>
      <c r="EG15" t="s">
        <v>235</v>
      </c>
      <c r="EH15" t="s">
        <v>236</v>
      </c>
      <c r="EI15" t="s">
        <v>237</v>
      </c>
      <c r="EJ15" t="s">
        <v>238</v>
      </c>
      <c r="EK15" t="s">
        <v>239</v>
      </c>
      <c r="EL15" t="s">
        <v>240</v>
      </c>
      <c r="EM15" t="s">
        <v>241</v>
      </c>
      <c r="EN15" t="s">
        <v>242</v>
      </c>
      <c r="EO15" t="s">
        <v>243</v>
      </c>
      <c r="EP15" t="s">
        <v>244</v>
      </c>
      <c r="EQ15" t="s">
        <v>104</v>
      </c>
      <c r="ER15" t="s">
        <v>107</v>
      </c>
      <c r="ES15" t="s">
        <v>245</v>
      </c>
      <c r="ET15" t="s">
        <v>246</v>
      </c>
      <c r="EU15" t="s">
        <v>247</v>
      </c>
      <c r="EV15" t="s">
        <v>248</v>
      </c>
      <c r="EW15" t="s">
        <v>249</v>
      </c>
      <c r="EX15" t="s">
        <v>250</v>
      </c>
      <c r="EY15" t="s">
        <v>251</v>
      </c>
      <c r="EZ15" t="s">
        <v>252</v>
      </c>
      <c r="FA15" t="s">
        <v>253</v>
      </c>
      <c r="FB15" t="s">
        <v>254</v>
      </c>
      <c r="FC15" t="s">
        <v>255</v>
      </c>
      <c r="FD15" t="s">
        <v>256</v>
      </c>
      <c r="FE15" t="s">
        <v>257</v>
      </c>
      <c r="FF15" t="s">
        <v>258</v>
      </c>
      <c r="FG15" t="s">
        <v>259</v>
      </c>
      <c r="FH15" t="s">
        <v>260</v>
      </c>
      <c r="FI15" t="s">
        <v>261</v>
      </c>
      <c r="FJ15" t="s">
        <v>262</v>
      </c>
      <c r="FK15" t="s">
        <v>263</v>
      </c>
      <c r="FL15" t="s">
        <v>264</v>
      </c>
      <c r="FM15" t="s">
        <v>265</v>
      </c>
      <c r="FN15" t="s">
        <v>266</v>
      </c>
      <c r="FO15" t="s">
        <v>267</v>
      </c>
      <c r="FP15" t="s">
        <v>268</v>
      </c>
      <c r="FQ15" t="s">
        <v>269</v>
      </c>
      <c r="FR15" t="s">
        <v>270</v>
      </c>
      <c r="FS15" t="s">
        <v>271</v>
      </c>
      <c r="FT15" t="s">
        <v>272</v>
      </c>
      <c r="FU15" t="s">
        <v>273</v>
      </c>
      <c r="FV15" t="s">
        <v>274</v>
      </c>
      <c r="FW15" t="s">
        <v>275</v>
      </c>
      <c r="FX15" t="s">
        <v>276</v>
      </c>
      <c r="FY15" t="s">
        <v>277</v>
      </c>
      <c r="FZ15" t="s">
        <v>278</v>
      </c>
      <c r="GA15" t="s">
        <v>279</v>
      </c>
      <c r="GB15" t="s">
        <v>280</v>
      </c>
      <c r="GC15" t="s">
        <v>281</v>
      </c>
      <c r="GD15" t="s">
        <v>282</v>
      </c>
      <c r="GE15" t="s">
        <v>283</v>
      </c>
      <c r="GF15" t="s">
        <v>284</v>
      </c>
      <c r="GG15" t="s">
        <v>285</v>
      </c>
      <c r="GH15" t="s">
        <v>286</v>
      </c>
      <c r="GI15" t="s">
        <v>287</v>
      </c>
      <c r="GJ15" t="s">
        <v>288</v>
      </c>
      <c r="GK15" t="s">
        <v>289</v>
      </c>
      <c r="GL15" t="s">
        <v>290</v>
      </c>
      <c r="GM15" t="s">
        <v>291</v>
      </c>
      <c r="GN15" t="s">
        <v>292</v>
      </c>
      <c r="GO15" t="s">
        <v>293</v>
      </c>
      <c r="GP15" t="s">
        <v>294</v>
      </c>
      <c r="GQ15" t="s">
        <v>295</v>
      </c>
      <c r="GR15" t="s">
        <v>296</v>
      </c>
      <c r="GS15" t="s">
        <v>297</v>
      </c>
      <c r="GT15" t="s">
        <v>298</v>
      </c>
      <c r="GU15" t="s">
        <v>299</v>
      </c>
      <c r="GV15" t="s">
        <v>300</v>
      </c>
      <c r="GW15" t="s">
        <v>301</v>
      </c>
      <c r="GX15" t="s">
        <v>302</v>
      </c>
      <c r="GY15" t="s">
        <v>303</v>
      </c>
      <c r="GZ15" t="s">
        <v>304</v>
      </c>
      <c r="HA15" t="s">
        <v>305</v>
      </c>
      <c r="HB15" t="s">
        <v>306</v>
      </c>
      <c r="HC15" t="s">
        <v>307</v>
      </c>
      <c r="HD15" t="s">
        <v>308</v>
      </c>
      <c r="HE15" t="s">
        <v>309</v>
      </c>
      <c r="HF15" t="s">
        <v>310</v>
      </c>
      <c r="HG15" t="s">
        <v>311</v>
      </c>
      <c r="HH15" t="s">
        <v>312</v>
      </c>
    </row>
    <row r="16" spans="1:216" x14ac:dyDescent="0.6">
      <c r="B16" t="s">
        <v>313</v>
      </c>
      <c r="C16" t="s">
        <v>313</v>
      </c>
      <c r="F16" t="s">
        <v>313</v>
      </c>
      <c r="G16" t="s">
        <v>313</v>
      </c>
      <c r="H16" t="s">
        <v>314</v>
      </c>
      <c r="I16" t="s">
        <v>315</v>
      </c>
      <c r="J16" t="s">
        <v>316</v>
      </c>
      <c r="K16" t="s">
        <v>317</v>
      </c>
      <c r="L16" t="s">
        <v>317</v>
      </c>
      <c r="M16" t="s">
        <v>212</v>
      </c>
      <c r="N16" t="s">
        <v>212</v>
      </c>
      <c r="O16" t="s">
        <v>314</v>
      </c>
      <c r="P16" t="s">
        <v>314</v>
      </c>
      <c r="Q16" t="s">
        <v>314</v>
      </c>
      <c r="R16" t="s">
        <v>314</v>
      </c>
      <c r="S16" t="s">
        <v>318</v>
      </c>
      <c r="T16" t="s">
        <v>319</v>
      </c>
      <c r="U16" t="s">
        <v>319</v>
      </c>
      <c r="V16" t="s">
        <v>320</v>
      </c>
      <c r="W16" t="s">
        <v>321</v>
      </c>
      <c r="X16" t="s">
        <v>320</v>
      </c>
      <c r="Y16" t="s">
        <v>320</v>
      </c>
      <c r="Z16" t="s">
        <v>320</v>
      </c>
      <c r="AA16" t="s">
        <v>318</v>
      </c>
      <c r="AB16" t="s">
        <v>318</v>
      </c>
      <c r="AC16" t="s">
        <v>318</v>
      </c>
      <c r="AD16" t="s">
        <v>318</v>
      </c>
      <c r="AE16" t="s">
        <v>322</v>
      </c>
      <c r="AF16" t="s">
        <v>321</v>
      </c>
      <c r="AH16" t="s">
        <v>321</v>
      </c>
      <c r="AI16" t="s">
        <v>322</v>
      </c>
      <c r="AO16" t="s">
        <v>316</v>
      </c>
      <c r="AV16" t="s">
        <v>316</v>
      </c>
      <c r="AW16" t="s">
        <v>316</v>
      </c>
      <c r="AX16" t="s">
        <v>316</v>
      </c>
      <c r="AY16" t="s">
        <v>323</v>
      </c>
      <c r="BM16" t="s">
        <v>324</v>
      </c>
      <c r="BO16" t="s">
        <v>324</v>
      </c>
      <c r="BP16" t="s">
        <v>316</v>
      </c>
      <c r="BS16" t="s">
        <v>324</v>
      </c>
      <c r="BT16" t="s">
        <v>321</v>
      </c>
      <c r="BW16" t="s">
        <v>325</v>
      </c>
      <c r="BX16" t="s">
        <v>325</v>
      </c>
      <c r="BZ16" t="s">
        <v>326</v>
      </c>
      <c r="CA16" t="s">
        <v>324</v>
      </c>
      <c r="CC16" t="s">
        <v>324</v>
      </c>
      <c r="CD16" t="s">
        <v>316</v>
      </c>
      <c r="CH16" t="s">
        <v>324</v>
      </c>
      <c r="CJ16" t="s">
        <v>327</v>
      </c>
      <c r="CM16" t="s">
        <v>324</v>
      </c>
      <c r="CN16" t="s">
        <v>324</v>
      </c>
      <c r="CP16" t="s">
        <v>324</v>
      </c>
      <c r="CR16" t="s">
        <v>324</v>
      </c>
      <c r="CT16" t="s">
        <v>316</v>
      </c>
      <c r="CU16" t="s">
        <v>316</v>
      </c>
      <c r="CW16" t="s">
        <v>328</v>
      </c>
      <c r="CX16" t="s">
        <v>329</v>
      </c>
      <c r="DA16" t="s">
        <v>314</v>
      </c>
      <c r="DB16" t="s">
        <v>313</v>
      </c>
      <c r="DC16" t="s">
        <v>317</v>
      </c>
      <c r="DD16" t="s">
        <v>317</v>
      </c>
      <c r="DE16" t="s">
        <v>330</v>
      </c>
      <c r="DF16" t="s">
        <v>330</v>
      </c>
      <c r="DG16" t="s">
        <v>317</v>
      </c>
      <c r="DH16" t="s">
        <v>330</v>
      </c>
      <c r="DI16" t="s">
        <v>322</v>
      </c>
      <c r="DJ16" t="s">
        <v>320</v>
      </c>
      <c r="DK16" t="s">
        <v>320</v>
      </c>
      <c r="DL16" t="s">
        <v>319</v>
      </c>
      <c r="DM16" t="s">
        <v>319</v>
      </c>
      <c r="DN16" t="s">
        <v>319</v>
      </c>
      <c r="DO16" t="s">
        <v>319</v>
      </c>
      <c r="DP16" t="s">
        <v>319</v>
      </c>
      <c r="DQ16" t="s">
        <v>331</v>
      </c>
      <c r="DR16" t="s">
        <v>316</v>
      </c>
      <c r="DS16" t="s">
        <v>316</v>
      </c>
      <c r="DT16" t="s">
        <v>316</v>
      </c>
      <c r="DY16" t="s">
        <v>316</v>
      </c>
      <c r="EB16" t="s">
        <v>319</v>
      </c>
      <c r="EC16" t="s">
        <v>319</v>
      </c>
      <c r="ED16" t="s">
        <v>319</v>
      </c>
      <c r="EE16" t="s">
        <v>319</v>
      </c>
      <c r="EF16" t="s">
        <v>319</v>
      </c>
      <c r="EG16" t="s">
        <v>316</v>
      </c>
      <c r="EH16" t="s">
        <v>316</v>
      </c>
      <c r="EI16" t="s">
        <v>316</v>
      </c>
      <c r="EJ16" t="s">
        <v>313</v>
      </c>
      <c r="EM16" t="s">
        <v>332</v>
      </c>
      <c r="EN16" t="s">
        <v>332</v>
      </c>
      <c r="EP16" t="s">
        <v>313</v>
      </c>
      <c r="EQ16" t="s">
        <v>333</v>
      </c>
      <c r="ES16" t="s">
        <v>313</v>
      </c>
      <c r="ET16" t="s">
        <v>313</v>
      </c>
      <c r="EV16" t="s">
        <v>334</v>
      </c>
      <c r="EW16" t="s">
        <v>335</v>
      </c>
      <c r="EX16" t="s">
        <v>334</v>
      </c>
      <c r="EY16" t="s">
        <v>335</v>
      </c>
      <c r="EZ16" t="s">
        <v>334</v>
      </c>
      <c r="FA16" t="s">
        <v>335</v>
      </c>
      <c r="FB16" t="s">
        <v>321</v>
      </c>
      <c r="FC16" t="s">
        <v>321</v>
      </c>
      <c r="FD16" t="s">
        <v>316</v>
      </c>
      <c r="FE16" t="s">
        <v>336</v>
      </c>
      <c r="FF16" t="s">
        <v>316</v>
      </c>
      <c r="FH16" t="s">
        <v>317</v>
      </c>
      <c r="FI16" t="s">
        <v>337</v>
      </c>
      <c r="FJ16" t="s">
        <v>317</v>
      </c>
      <c r="FM16" t="s">
        <v>338</v>
      </c>
      <c r="FS16" t="s">
        <v>321</v>
      </c>
      <c r="FT16" t="s">
        <v>321</v>
      </c>
      <c r="FU16" t="s">
        <v>334</v>
      </c>
      <c r="FV16" t="s">
        <v>335</v>
      </c>
      <c r="FW16" t="s">
        <v>334</v>
      </c>
      <c r="GA16" t="s">
        <v>335</v>
      </c>
      <c r="GE16" t="s">
        <v>317</v>
      </c>
      <c r="GF16" t="s">
        <v>317</v>
      </c>
      <c r="GG16" t="s">
        <v>330</v>
      </c>
      <c r="GH16" t="s">
        <v>330</v>
      </c>
      <c r="GI16" t="s">
        <v>339</v>
      </c>
      <c r="GJ16" t="s">
        <v>339</v>
      </c>
      <c r="GK16" t="s">
        <v>340</v>
      </c>
      <c r="GL16" t="s">
        <v>340</v>
      </c>
      <c r="GM16" t="s">
        <v>340</v>
      </c>
      <c r="GN16" t="s">
        <v>340</v>
      </c>
      <c r="GO16" t="s">
        <v>340</v>
      </c>
      <c r="GP16" t="s">
        <v>340</v>
      </c>
      <c r="GQ16" t="s">
        <v>319</v>
      </c>
      <c r="GR16" t="s">
        <v>340</v>
      </c>
      <c r="GT16" t="s">
        <v>322</v>
      </c>
      <c r="GU16" t="s">
        <v>322</v>
      </c>
      <c r="GV16" t="s">
        <v>319</v>
      </c>
      <c r="GW16" t="s">
        <v>319</v>
      </c>
      <c r="GX16" t="s">
        <v>319</v>
      </c>
      <c r="GY16" t="s">
        <v>319</v>
      </c>
      <c r="GZ16" t="s">
        <v>319</v>
      </c>
      <c r="HA16" t="s">
        <v>321</v>
      </c>
      <c r="HB16" t="s">
        <v>321</v>
      </c>
      <c r="HC16" t="s">
        <v>321</v>
      </c>
      <c r="HD16" t="s">
        <v>319</v>
      </c>
      <c r="HE16" t="s">
        <v>317</v>
      </c>
      <c r="HF16" t="s">
        <v>330</v>
      </c>
      <c r="HG16" t="s">
        <v>321</v>
      </c>
      <c r="HH16" t="s">
        <v>321</v>
      </c>
    </row>
    <row r="17" spans="1:216" x14ac:dyDescent="0.6">
      <c r="A17">
        <v>1</v>
      </c>
      <c r="B17">
        <v>1791093470</v>
      </c>
      <c r="C17">
        <v>0</v>
      </c>
      <c r="D17" t="s">
        <v>341</v>
      </c>
      <c r="E17" t="s">
        <v>342</v>
      </c>
      <c r="F17">
        <v>5</v>
      </c>
      <c r="G17">
        <v>1791093466.5</v>
      </c>
      <c r="H17">
        <f t="shared" ref="H17:H28" si="0">(I17)/1000</f>
        <v>5.6638360059722906E-3</v>
      </c>
      <c r="I17">
        <f t="shared" ref="I17:I28" si="1">1000*DI17*AG17*(DE17-DF17)/(100*CX17*(1000-AG17*DE17))</f>
        <v>5.663836005972291</v>
      </c>
      <c r="J17">
        <f t="shared" ref="J17:J28" si="2">DI17*AG17*(DD17-DC17*(1000-AG17*DF17)/(1000-AG17*DE17))/(100*CX17)</f>
        <v>24.558415731702201</v>
      </c>
      <c r="K17">
        <f t="shared" ref="K17:K28" si="3">DC17 - IF(AG17&gt;1, J17*CX17*100/(AI17), 0)</f>
        <v>389.33383333333302</v>
      </c>
      <c r="L17">
        <f t="shared" ref="L17:L28" si="4">((R17-H17/2)*K17-J17)/(R17+H17/2)</f>
        <v>285.97113940090691</v>
      </c>
      <c r="M17">
        <f t="shared" ref="M17:M28" si="5">L17*(DJ17+DK17)/1000</f>
        <v>28.87193816278694</v>
      </c>
      <c r="N17">
        <f t="shared" ref="N17:N28" si="6">(DC17 - IF(AG17&gt;1, J17*CX17*100/(AI17), 0))*(DJ17+DK17)/1000</f>
        <v>39.30754125828804</v>
      </c>
      <c r="O17">
        <f t="shared" ref="O17:O28" si="7">2/((1/Q17-1/P17)+SIGN(Q17)*SQRT((1/Q17-1/P17)*(1/Q17-1/P17) + 4*CY17/((CY17+1)*(CY17+1))*(2*1/Q17*1/P17-1/P17*1/P17)))</f>
        <v>0.43782919235541062</v>
      </c>
      <c r="P17">
        <f t="shared" ref="P17:P28" si="8">IF(LEFT(CZ17,1)&lt;&gt;"0",IF(LEFT(CZ17,1)="1",3,DA17),$D$5+$E$5*(DQ17*DJ17/($K$5*1000))+$F$5*(DQ17*DJ17/($K$5*1000))*MAX(MIN(CX17,$J$5),$I$5)*MAX(MIN(CX17,$J$5),$I$5)+$G$5*MAX(MIN(CX17,$J$5),$I$5)*(DQ17*DJ17/($K$5*1000))+$H$5*(DQ17*DJ17/($K$5*1000))*(DQ17*DJ17/($K$5*1000)))</f>
        <v>3.0238892087291247</v>
      </c>
      <c r="Q17">
        <f t="shared" ref="Q17:Q28" si="9">H17*(1000-(1000*0.61365*EXP(17.502*U17/(240.97+U17))/(DJ17+DK17)+DE17)/2)/(1000*0.61365*EXP(17.502*U17/(240.97+U17))/(DJ17+DK17)-DE17)</f>
        <v>0.40541519289950878</v>
      </c>
      <c r="R17">
        <f t="shared" ref="R17:R28" si="10">1/((CY17+1)/(O17/1.6)+1/(P17/1.37)) + CY17/((CY17+1)/(O17/1.6) + CY17/(P17/1.37))</f>
        <v>0.25609649898250331</v>
      </c>
      <c r="S17">
        <f t="shared" ref="S17:S28" si="11">(CT17*CW17)</f>
        <v>241.73440301557469</v>
      </c>
      <c r="T17">
        <f t="shared" ref="T17:T28" si="12">(DL17+(S17+2*0.95*0.0000000567*(((DL17+$B$7)+273)^4-(DL17+273)^4)-44100*H17)/(1.84*29.3*P17+8*0.95*0.0000000567*(DL17+273)^3))</f>
        <v>25.413182612045514</v>
      </c>
      <c r="U17">
        <f t="shared" ref="U17:U28" si="13">($C$7*DM17+$D$7*DN17+$E$7*T17)</f>
        <v>24.986833333333301</v>
      </c>
      <c r="V17">
        <f t="shared" ref="V17:V28" si="14">0.61365*EXP(17.502*U17/(240.97+U17))</f>
        <v>3.177182447654614</v>
      </c>
      <c r="W17">
        <f t="shared" ref="W17:W28" si="15">(X17/Y17*100)</f>
        <v>55.128644333706134</v>
      </c>
      <c r="X17">
        <f t="shared" ref="X17:X28" si="16">DE17*(DJ17+DK17)/1000</f>
        <v>1.801487879137494</v>
      </c>
      <c r="Y17">
        <f t="shared" ref="Y17:Y28" si="17">0.61365*EXP(17.502*DL17/(240.97+DL17))</f>
        <v>3.2677891881989352</v>
      </c>
      <c r="Z17">
        <f t="shared" ref="Z17:Z28" si="18">(V17-DE17*(DJ17+DK17)/1000)</f>
        <v>1.37569456851712</v>
      </c>
      <c r="AA17">
        <f t="shared" ref="AA17:AA28" si="19">(-H17*44100)</f>
        <v>-249.77516786337802</v>
      </c>
      <c r="AB17">
        <f t="shared" ref="AB17:AB28" si="20">2*29.3*P17*0.92*(DL17-U17)</f>
        <v>77.017931586433932</v>
      </c>
      <c r="AC17">
        <f t="shared" ref="AC17:AC28" si="21">2*0.95*0.0000000567*(((DL17+$B$7)+273)^4-(U17+273)^4)</f>
        <v>5.3995936588173548</v>
      </c>
      <c r="AD17">
        <f t="shared" ref="AD17:AD28" si="22">S17+AC17+AA17+AB17</f>
        <v>74.376760397447967</v>
      </c>
      <c r="AE17">
        <v>0</v>
      </c>
      <c r="AF17">
        <v>0</v>
      </c>
      <c r="AG17">
        <f t="shared" ref="AG17:AG28" si="23">IF(AE17*$H$13&gt;=AI17,1,(AI17/(AI17-AE17*$H$13)))</f>
        <v>1</v>
      </c>
      <c r="AH17">
        <f t="shared" ref="AH17:AH28" si="24">(AG17-1)*100</f>
        <v>0</v>
      </c>
      <c r="AI17">
        <f t="shared" ref="AI17:AI28" si="25">MAX(0,($B$13+$C$13*DQ17)/(1+$D$13*DQ17)*DJ17/(DL17+273)*$E$13)</f>
        <v>53563.191859778693</v>
      </c>
      <c r="AJ17" t="s">
        <v>343</v>
      </c>
      <c r="AK17" t="s">
        <v>343</v>
      </c>
      <c r="AL17">
        <v>0</v>
      </c>
      <c r="AM17">
        <v>0</v>
      </c>
      <c r="AN17" t="e">
        <f t="shared" ref="AN17:AN28" si="26">1-AL17/AM17</f>
        <v>#DIV/0!</v>
      </c>
      <c r="AO17">
        <v>0</v>
      </c>
      <c r="AP17" t="s">
        <v>343</v>
      </c>
      <c r="AQ17" t="s">
        <v>343</v>
      </c>
      <c r="AR17">
        <v>0</v>
      </c>
      <c r="AS17">
        <v>0</v>
      </c>
      <c r="AT17" t="e">
        <f t="shared" ref="AT17:AT28" si="27">1-AR17/AS17</f>
        <v>#DIV/0!</v>
      </c>
      <c r="AU17">
        <v>0.5</v>
      </c>
      <c r="AV17">
        <f t="shared" ref="AV17:AV28" si="28">CU17</f>
        <v>1261.2007000080673</v>
      </c>
      <c r="AW17">
        <f t="shared" ref="AW17:AW28" si="29">J17</f>
        <v>24.558415731702201</v>
      </c>
      <c r="AX17" t="e">
        <f t="shared" ref="AX17:AX28" si="30">AT17*AU17*AV17</f>
        <v>#DIV/0!</v>
      </c>
      <c r="AY17">
        <f t="shared" ref="AY17:AY28" si="31">(AW17-AO17)/AV17</f>
        <v>1.9472250317927282E-2</v>
      </c>
      <c r="AZ17" t="e">
        <f t="shared" ref="AZ17:AZ28" si="32">(AM17-AS17)/AS17</f>
        <v>#DIV/0!</v>
      </c>
      <c r="BA17" t="e">
        <f t="shared" ref="BA17:BA28" si="33">AL17/(AN17+AL17/AS17)</f>
        <v>#DIV/0!</v>
      </c>
      <c r="BB17" t="s">
        <v>343</v>
      </c>
      <c r="BC17">
        <v>0</v>
      </c>
      <c r="BD17" t="e">
        <f t="shared" ref="BD17:BD28" si="34">IF(BC17&lt;&gt;0, BC17, BA17)</f>
        <v>#DIV/0!</v>
      </c>
      <c r="BE17" t="e">
        <f t="shared" ref="BE17:BE28" si="35">1-BD17/AS17</f>
        <v>#DIV/0!</v>
      </c>
      <c r="BF17" t="e">
        <f t="shared" ref="BF17:BF28" si="36">(AS17-AR17)/(AS17-BD17)</f>
        <v>#DIV/0!</v>
      </c>
      <c r="BG17" t="e">
        <f t="shared" ref="BG17:BG28" si="37">(AM17-AS17)/(AM17-BD17)</f>
        <v>#DIV/0!</v>
      </c>
      <c r="BH17" t="e">
        <f t="shared" ref="BH17:BH28" si="38">(AS17-AR17)/(AS17-AL17)</f>
        <v>#DIV/0!</v>
      </c>
      <c r="BI17" t="e">
        <f t="shared" ref="BI17:BI28" si="39">(AM17-AS17)/(AM17-AL17)</f>
        <v>#DIV/0!</v>
      </c>
      <c r="BJ17" t="e">
        <f t="shared" ref="BJ17:BJ28" si="40">(BF17*BD17/AR17)</f>
        <v>#DIV/0!</v>
      </c>
      <c r="BK17" t="e">
        <f t="shared" ref="BK17:BK28" si="41">(1-BJ17)</f>
        <v>#DIV/0!</v>
      </c>
      <c r="BL17">
        <v>117</v>
      </c>
      <c r="BM17">
        <v>290</v>
      </c>
      <c r="BN17">
        <v>998.4</v>
      </c>
      <c r="BO17">
        <v>185</v>
      </c>
      <c r="BP17">
        <v>8132.16</v>
      </c>
      <c r="BQ17">
        <v>996.73</v>
      </c>
      <c r="BR17">
        <v>1.67</v>
      </c>
      <c r="BS17">
        <v>300</v>
      </c>
      <c r="BT17">
        <v>19.100000000000001</v>
      </c>
      <c r="BU17">
        <v>1021.61977518023</v>
      </c>
      <c r="BV17">
        <v>2.7367026859621499</v>
      </c>
      <c r="BW17">
        <v>-20.238360863933099</v>
      </c>
      <c r="BX17">
        <v>1.9901516023113599</v>
      </c>
      <c r="BY17">
        <v>0.78693251800012298</v>
      </c>
      <c r="BZ17">
        <v>-5.3780449388209197E-3</v>
      </c>
      <c r="CA17">
        <v>290</v>
      </c>
      <c r="CB17">
        <v>989.56</v>
      </c>
      <c r="CC17">
        <v>615</v>
      </c>
      <c r="CD17">
        <v>8124.76</v>
      </c>
      <c r="CE17">
        <v>996.71</v>
      </c>
      <c r="CF17">
        <v>-7.15</v>
      </c>
      <c r="CT17">
        <f t="shared" ref="CT17:CT28" si="42">$B$11*DR17+$C$11*DS17+$F$11*DT17*(1-DW17)</f>
        <v>1499.98833333333</v>
      </c>
      <c r="CU17">
        <f t="shared" ref="CU17:CU28" si="43">CT17*CV17</f>
        <v>1261.2007000080673</v>
      </c>
      <c r="CV17">
        <f t="shared" ref="CV17:CV28" si="44">($B$11*$D$9+$C$11*$D$9+$F$11*((EG17+DY17)/MAX(EG17+DY17+EH17, 0.1)*$I$9+EH17/MAX(EG17+DY17+EH17, 0.1)*$J$9))/($B$11+$C$11+$F$11)</f>
        <v>0.84080700628209559</v>
      </c>
      <c r="CW17">
        <f t="shared" ref="CW17:CW28" si="45">($B$11*$K$9+$C$11*$K$9+$F$11*((EG17+DY17)/MAX(EG17+DY17+EH17, 0.1)*$P$9+EH17/MAX(EG17+DY17+EH17, 0.1)*$Q$9))/($B$11+$C$11+$F$11)</f>
        <v>0.16115752212444445</v>
      </c>
      <c r="CX17">
        <v>2</v>
      </c>
      <c r="CY17">
        <v>0.5</v>
      </c>
      <c r="CZ17" t="s">
        <v>344</v>
      </c>
      <c r="DA17">
        <v>2</v>
      </c>
      <c r="DB17">
        <v>1791093466.5</v>
      </c>
      <c r="DC17">
        <v>389.33383333333302</v>
      </c>
      <c r="DD17">
        <v>400.03800000000001</v>
      </c>
      <c r="DE17">
        <v>17.843399999999999</v>
      </c>
      <c r="DF17">
        <v>15.618550000000001</v>
      </c>
      <c r="DG17">
        <v>389.56633333333298</v>
      </c>
      <c r="DH17">
        <v>18.0118166666667</v>
      </c>
      <c r="DI17">
        <v>500.058333333333</v>
      </c>
      <c r="DJ17">
        <v>100.86083333333301</v>
      </c>
      <c r="DK17">
        <v>0.1001875</v>
      </c>
      <c r="DL17">
        <v>25.4592666666667</v>
      </c>
      <c r="DM17">
        <v>24.986833333333301</v>
      </c>
      <c r="DN17">
        <v>999.9</v>
      </c>
      <c r="DO17">
        <v>0</v>
      </c>
      <c r="DP17">
        <v>0</v>
      </c>
      <c r="DQ17">
        <v>9991.35</v>
      </c>
      <c r="DR17">
        <v>0</v>
      </c>
      <c r="DS17">
        <v>8.5830500000000001</v>
      </c>
      <c r="DT17">
        <v>1499.98833333333</v>
      </c>
      <c r="DU17">
        <v>0.97300916666666704</v>
      </c>
      <c r="DV17">
        <v>2.6990966666666699E-2</v>
      </c>
      <c r="DW17">
        <v>0</v>
      </c>
      <c r="DX17">
        <v>291.41716666666701</v>
      </c>
      <c r="DY17">
        <v>4.9999900000000004</v>
      </c>
      <c r="DZ17">
        <v>4335.4816666666702</v>
      </c>
      <c r="EA17">
        <v>14882.5333333333</v>
      </c>
      <c r="EB17">
        <v>38.582999999999998</v>
      </c>
      <c r="EC17">
        <v>40.270666666666699</v>
      </c>
      <c r="ED17">
        <v>39.25</v>
      </c>
      <c r="EE17">
        <v>39.707999999999998</v>
      </c>
      <c r="EF17">
        <v>40.125</v>
      </c>
      <c r="EG17">
        <v>1454.6383333333299</v>
      </c>
      <c r="EH17">
        <v>40.35</v>
      </c>
      <c r="EI17">
        <v>0</v>
      </c>
      <c r="EJ17">
        <v>2546.7999999523199</v>
      </c>
      <c r="EK17">
        <v>0</v>
      </c>
      <c r="EL17">
        <v>291.44280769230801</v>
      </c>
      <c r="EM17">
        <v>0.92235900313528396</v>
      </c>
      <c r="EN17">
        <v>-2.0635897389223801</v>
      </c>
      <c r="EO17">
        <v>4335.63</v>
      </c>
      <c r="EP17">
        <v>15</v>
      </c>
      <c r="EQ17">
        <v>1791093400</v>
      </c>
      <c r="ER17" t="s">
        <v>345</v>
      </c>
      <c r="ES17">
        <v>1791093394</v>
      </c>
      <c r="ET17">
        <v>1791093400</v>
      </c>
      <c r="EU17">
        <v>39</v>
      </c>
      <c r="EV17">
        <v>1.0999999999999999E-2</v>
      </c>
      <c r="EW17">
        <v>-1E-3</v>
      </c>
      <c r="EX17">
        <v>-0.218</v>
      </c>
      <c r="EY17">
        <v>-0.17499999999999999</v>
      </c>
      <c r="EZ17">
        <v>400</v>
      </c>
      <c r="FA17">
        <v>16</v>
      </c>
      <c r="FB17">
        <v>0.17</v>
      </c>
      <c r="FC17">
        <v>0.04</v>
      </c>
      <c r="FD17">
        <v>24.4503202027913</v>
      </c>
      <c r="FE17">
        <v>-0.18410024937036201</v>
      </c>
      <c r="FF17">
        <v>0.122633494404242</v>
      </c>
      <c r="FG17">
        <v>1</v>
      </c>
      <c r="FH17">
        <v>-10.657705</v>
      </c>
      <c r="FI17">
        <v>-0.12066315789473001</v>
      </c>
      <c r="FJ17">
        <v>4.4309823685047503E-2</v>
      </c>
      <c r="FK17">
        <v>1</v>
      </c>
      <c r="FL17">
        <v>291.56467647058798</v>
      </c>
      <c r="FM17">
        <v>-9.2742360461811803E-3</v>
      </c>
      <c r="FN17">
        <v>0.58590807954974</v>
      </c>
      <c r="FO17">
        <v>-1</v>
      </c>
      <c r="FP17">
        <v>2</v>
      </c>
      <c r="FQ17">
        <v>2</v>
      </c>
      <c r="FR17" t="s">
        <v>346</v>
      </c>
      <c r="FS17">
        <v>100</v>
      </c>
      <c r="FT17">
        <v>100</v>
      </c>
      <c r="FU17">
        <v>-0.23200000000000001</v>
      </c>
      <c r="FV17">
        <v>-0.16850000000000001</v>
      </c>
      <c r="FW17">
        <v>-0.64286292541568302</v>
      </c>
      <c r="FX17">
        <v>7.6835882421071803E-4</v>
      </c>
      <c r="FY17">
        <v>7.9312579872174805E-7</v>
      </c>
      <c r="FZ17">
        <v>-1.5433145656851401E-10</v>
      </c>
      <c r="GA17">
        <v>-1.9658725956583498E-2</v>
      </c>
      <c r="GB17">
        <v>-2.1578312386681502E-2</v>
      </c>
      <c r="GC17">
        <v>7.7134661959739901E-4</v>
      </c>
      <c r="GD17">
        <v>-1.7684492548540801E-6</v>
      </c>
      <c r="GE17">
        <v>4</v>
      </c>
      <c r="GF17">
        <v>2093</v>
      </c>
      <c r="GG17">
        <v>1</v>
      </c>
      <c r="GH17">
        <v>31</v>
      </c>
      <c r="GI17">
        <v>1.3</v>
      </c>
      <c r="GJ17">
        <v>1.2</v>
      </c>
      <c r="GK17">
        <v>1.0388200000000001</v>
      </c>
      <c r="GL17">
        <v>2.66235</v>
      </c>
      <c r="GM17">
        <v>1.65161</v>
      </c>
      <c r="GN17">
        <v>2.2827099999999998</v>
      </c>
      <c r="GO17">
        <v>1.5979000000000001</v>
      </c>
      <c r="GP17">
        <v>2.6220699999999999</v>
      </c>
      <c r="GQ17">
        <v>39.316899999999997</v>
      </c>
      <c r="GR17">
        <v>24.017499999999998</v>
      </c>
      <c r="GS17">
        <v>18</v>
      </c>
      <c r="GT17">
        <v>509.57799999999997</v>
      </c>
      <c r="GU17">
        <v>495.54500000000002</v>
      </c>
      <c r="GV17">
        <v>20.9709</v>
      </c>
      <c r="GW17">
        <v>31.528600000000001</v>
      </c>
      <c r="GX17">
        <v>29.9998</v>
      </c>
      <c r="GY17">
        <v>31.675899999999999</v>
      </c>
      <c r="GZ17">
        <v>31.7288</v>
      </c>
      <c r="HA17">
        <v>20.779299999999999</v>
      </c>
      <c r="HB17">
        <v>33.9101</v>
      </c>
      <c r="HC17">
        <v>0</v>
      </c>
      <c r="HD17">
        <v>20.9727</v>
      </c>
      <c r="HE17">
        <v>400</v>
      </c>
      <c r="HF17">
        <v>15.616</v>
      </c>
      <c r="HG17">
        <v>97.648499999999999</v>
      </c>
      <c r="HH17">
        <v>94.236599999999996</v>
      </c>
    </row>
    <row r="18" spans="1:216" x14ac:dyDescent="0.6">
      <c r="A18">
        <v>2</v>
      </c>
      <c r="B18">
        <v>1791093591</v>
      </c>
      <c r="C18">
        <v>121</v>
      </c>
      <c r="D18" t="s">
        <v>347</v>
      </c>
      <c r="E18" t="s">
        <v>348</v>
      </c>
      <c r="F18">
        <v>5</v>
      </c>
      <c r="G18">
        <v>1791093588</v>
      </c>
      <c r="H18">
        <f t="shared" si="0"/>
        <v>5.8100224037069782E-3</v>
      </c>
      <c r="I18">
        <f t="shared" si="1"/>
        <v>5.8100224037069781</v>
      </c>
      <c r="J18">
        <f t="shared" si="2"/>
        <v>18.678591827021499</v>
      </c>
      <c r="K18">
        <f t="shared" si="3"/>
        <v>291.84359999999998</v>
      </c>
      <c r="L18">
        <f t="shared" si="4"/>
        <v>215.21589422595338</v>
      </c>
      <c r="M18">
        <f t="shared" si="5"/>
        <v>21.728017307213054</v>
      </c>
      <c r="N18">
        <f t="shared" si="6"/>
        <v>29.464286616033142</v>
      </c>
      <c r="O18">
        <f t="shared" si="7"/>
        <v>0.45037514275824198</v>
      </c>
      <c r="P18">
        <f t="shared" si="8"/>
        <v>3.0285386058361845</v>
      </c>
      <c r="Q18">
        <f t="shared" si="9"/>
        <v>0.41620293047049539</v>
      </c>
      <c r="R18">
        <f t="shared" si="10"/>
        <v>0.26298066912215057</v>
      </c>
      <c r="S18">
        <f t="shared" si="11"/>
        <v>241.73141449972078</v>
      </c>
      <c r="T18">
        <f t="shared" si="12"/>
        <v>25.363748591989932</v>
      </c>
      <c r="U18">
        <f t="shared" si="13"/>
        <v>24.971260000000001</v>
      </c>
      <c r="V18">
        <f t="shared" si="14"/>
        <v>3.1742334400981345</v>
      </c>
      <c r="W18">
        <f t="shared" si="15"/>
        <v>55.11210865623891</v>
      </c>
      <c r="X18">
        <f t="shared" si="16"/>
        <v>1.7996011819421618</v>
      </c>
      <c r="Y18">
        <f t="shared" si="17"/>
        <v>3.2653462656766621</v>
      </c>
      <c r="Z18">
        <f t="shared" si="18"/>
        <v>1.3746322581559727</v>
      </c>
      <c r="AA18">
        <f t="shared" si="19"/>
        <v>-256.22198800347775</v>
      </c>
      <c r="AB18">
        <f t="shared" si="20"/>
        <v>77.623997646767648</v>
      </c>
      <c r="AC18">
        <f t="shared" si="21"/>
        <v>5.4329596921657242</v>
      </c>
      <c r="AD18">
        <f t="shared" si="22"/>
        <v>68.56638383517641</v>
      </c>
      <c r="AE18">
        <v>0</v>
      </c>
      <c r="AF18">
        <v>0</v>
      </c>
      <c r="AG18">
        <f t="shared" si="23"/>
        <v>1</v>
      </c>
      <c r="AH18">
        <f t="shared" si="24"/>
        <v>0</v>
      </c>
      <c r="AI18">
        <f t="shared" si="25"/>
        <v>53709.973697735142</v>
      </c>
      <c r="AJ18" t="s">
        <v>343</v>
      </c>
      <c r="AK18" t="s">
        <v>343</v>
      </c>
      <c r="AL18">
        <v>0</v>
      </c>
      <c r="AM18">
        <v>0</v>
      </c>
      <c r="AN18" t="e">
        <f t="shared" si="26"/>
        <v>#DIV/0!</v>
      </c>
      <c r="AO18">
        <v>0</v>
      </c>
      <c r="AP18" t="s">
        <v>343</v>
      </c>
      <c r="AQ18" t="s">
        <v>343</v>
      </c>
      <c r="AR18">
        <v>0</v>
      </c>
      <c r="AS18">
        <v>0</v>
      </c>
      <c r="AT18" t="e">
        <f t="shared" si="27"/>
        <v>#DIV/0!</v>
      </c>
      <c r="AU18">
        <v>0.5</v>
      </c>
      <c r="AV18">
        <f t="shared" si="28"/>
        <v>1261.1822383936378</v>
      </c>
      <c r="AW18">
        <f t="shared" si="29"/>
        <v>18.678591827021499</v>
      </c>
      <c r="AX18" t="e">
        <f t="shared" si="30"/>
        <v>#DIV/0!</v>
      </c>
      <c r="AY18">
        <f t="shared" si="31"/>
        <v>1.4810382876000805E-2</v>
      </c>
      <c r="AZ18" t="e">
        <f t="shared" si="32"/>
        <v>#DIV/0!</v>
      </c>
      <c r="BA18" t="e">
        <f t="shared" si="33"/>
        <v>#DIV/0!</v>
      </c>
      <c r="BB18" t="s">
        <v>343</v>
      </c>
      <c r="BC18">
        <v>0</v>
      </c>
      <c r="BD18" t="e">
        <f t="shared" si="34"/>
        <v>#DIV/0!</v>
      </c>
      <c r="BE18" t="e">
        <f t="shared" si="35"/>
        <v>#DIV/0!</v>
      </c>
      <c r="BF18" t="e">
        <f t="shared" si="36"/>
        <v>#DIV/0!</v>
      </c>
      <c r="BG18" t="e">
        <f t="shared" si="37"/>
        <v>#DIV/0!</v>
      </c>
      <c r="BH18" t="e">
        <f t="shared" si="38"/>
        <v>#DIV/0!</v>
      </c>
      <c r="BI18" t="e">
        <f t="shared" si="39"/>
        <v>#DIV/0!</v>
      </c>
      <c r="BJ18" t="e">
        <f t="shared" si="40"/>
        <v>#DIV/0!</v>
      </c>
      <c r="BK18" t="e">
        <f t="shared" si="41"/>
        <v>#DIV/0!</v>
      </c>
      <c r="BL18">
        <v>117</v>
      </c>
      <c r="BM18">
        <v>290</v>
      </c>
      <c r="BN18">
        <v>998.4</v>
      </c>
      <c r="BO18">
        <v>185</v>
      </c>
      <c r="BP18">
        <v>8132.16</v>
      </c>
      <c r="BQ18">
        <v>996.73</v>
      </c>
      <c r="BR18">
        <v>1.67</v>
      </c>
      <c r="BS18">
        <v>300</v>
      </c>
      <c r="BT18">
        <v>19.100000000000001</v>
      </c>
      <c r="BU18">
        <v>1021.61977518023</v>
      </c>
      <c r="BV18">
        <v>2.7367026859621499</v>
      </c>
      <c r="BW18">
        <v>-20.238360863933099</v>
      </c>
      <c r="BX18">
        <v>1.9901516023113599</v>
      </c>
      <c r="BY18">
        <v>0.78693251800012298</v>
      </c>
      <c r="BZ18">
        <v>-5.3780449388209197E-3</v>
      </c>
      <c r="CA18">
        <v>290</v>
      </c>
      <c r="CB18">
        <v>989.56</v>
      </c>
      <c r="CC18">
        <v>615</v>
      </c>
      <c r="CD18">
        <v>8124.76</v>
      </c>
      <c r="CE18">
        <v>996.71</v>
      </c>
      <c r="CF18">
        <v>-7.15</v>
      </c>
      <c r="CT18">
        <f t="shared" si="42"/>
        <v>1499.9659999999999</v>
      </c>
      <c r="CU18">
        <f t="shared" si="43"/>
        <v>1261.1822383936378</v>
      </c>
      <c r="CV18">
        <f t="shared" si="44"/>
        <v>0.8408072172260157</v>
      </c>
      <c r="CW18">
        <f t="shared" si="45"/>
        <v>0.16115792924621011</v>
      </c>
      <c r="CX18">
        <v>2</v>
      </c>
      <c r="CY18">
        <v>0.5</v>
      </c>
      <c r="CZ18" t="s">
        <v>344</v>
      </c>
      <c r="DA18">
        <v>2</v>
      </c>
      <c r="DB18">
        <v>1791093588</v>
      </c>
      <c r="DC18">
        <v>291.84359999999998</v>
      </c>
      <c r="DD18">
        <v>299.99419999999998</v>
      </c>
      <c r="DE18">
        <v>17.825040000000001</v>
      </c>
      <c r="DF18">
        <v>15.542199999999999</v>
      </c>
      <c r="DG18">
        <v>292.14920000000001</v>
      </c>
      <c r="DH18">
        <v>17.992719999999998</v>
      </c>
      <c r="DI18">
        <v>499.94380000000001</v>
      </c>
      <c r="DJ18">
        <v>100.85939999999999</v>
      </c>
      <c r="DK18">
        <v>9.9766540000000001E-2</v>
      </c>
      <c r="DL18">
        <v>25.446680000000001</v>
      </c>
      <c r="DM18">
        <v>24.971260000000001</v>
      </c>
      <c r="DN18">
        <v>999.9</v>
      </c>
      <c r="DO18">
        <v>0</v>
      </c>
      <c r="DP18">
        <v>0</v>
      </c>
      <c r="DQ18">
        <v>10019.61</v>
      </c>
      <c r="DR18">
        <v>0</v>
      </c>
      <c r="DS18">
        <v>8.5265900000000006</v>
      </c>
      <c r="DT18">
        <v>1499.9659999999999</v>
      </c>
      <c r="DU18">
        <v>0.97300600000000004</v>
      </c>
      <c r="DV18">
        <v>2.6994219999999999E-2</v>
      </c>
      <c r="DW18">
        <v>0</v>
      </c>
      <c r="DX18">
        <v>284.02659999999997</v>
      </c>
      <c r="DY18">
        <v>4.9999900000000004</v>
      </c>
      <c r="DZ18">
        <v>4214.8900000000003</v>
      </c>
      <c r="EA18">
        <v>14882.28</v>
      </c>
      <c r="EB18">
        <v>38.311999999999998</v>
      </c>
      <c r="EC18">
        <v>40.061999999999998</v>
      </c>
      <c r="ED18">
        <v>39</v>
      </c>
      <c r="EE18">
        <v>39.436999999999998</v>
      </c>
      <c r="EF18">
        <v>39.8874</v>
      </c>
      <c r="EG18">
        <v>1454.6079999999999</v>
      </c>
      <c r="EH18">
        <v>40.36</v>
      </c>
      <c r="EI18">
        <v>0</v>
      </c>
      <c r="EJ18">
        <v>2668</v>
      </c>
      <c r="EK18">
        <v>0</v>
      </c>
      <c r="EL18">
        <v>283.80642307692301</v>
      </c>
      <c r="EM18">
        <v>-0.21405124454669899</v>
      </c>
      <c r="EN18">
        <v>-3.1128205455967501</v>
      </c>
      <c r="EO18">
        <v>4215.2080769230797</v>
      </c>
      <c r="EP18">
        <v>15</v>
      </c>
      <c r="EQ18">
        <v>1791093536</v>
      </c>
      <c r="ER18" t="s">
        <v>349</v>
      </c>
      <c r="ES18">
        <v>1791093536</v>
      </c>
      <c r="ET18">
        <v>1791093532</v>
      </c>
      <c r="EU18">
        <v>40</v>
      </c>
      <c r="EV18">
        <v>4.9000000000000002E-2</v>
      </c>
      <c r="EW18">
        <v>1E-3</v>
      </c>
      <c r="EX18">
        <v>-0.29599999999999999</v>
      </c>
      <c r="EY18">
        <v>-0.17399999999999999</v>
      </c>
      <c r="EZ18">
        <v>300</v>
      </c>
      <c r="FA18">
        <v>16</v>
      </c>
      <c r="FB18">
        <v>0.33</v>
      </c>
      <c r="FC18">
        <v>0.02</v>
      </c>
      <c r="FD18">
        <v>18.599507219861099</v>
      </c>
      <c r="FE18">
        <v>3.0214989201598898E-2</v>
      </c>
      <c r="FF18">
        <v>6.9079219067186198E-2</v>
      </c>
      <c r="FG18">
        <v>1</v>
      </c>
      <c r="FH18">
        <v>-8.1223128571428607</v>
      </c>
      <c r="FI18">
        <v>-9.2135064935181202E-3</v>
      </c>
      <c r="FJ18">
        <v>2.7228175208229798E-2</v>
      </c>
      <c r="FK18">
        <v>1</v>
      </c>
      <c r="FL18">
        <v>283.82547058823502</v>
      </c>
      <c r="FM18">
        <v>5.8365192525289197E-2</v>
      </c>
      <c r="FN18">
        <v>0.59609055940964695</v>
      </c>
      <c r="FO18">
        <v>-1</v>
      </c>
      <c r="FP18">
        <v>2</v>
      </c>
      <c r="FQ18">
        <v>2</v>
      </c>
      <c r="FR18" t="s">
        <v>346</v>
      </c>
      <c r="FS18">
        <v>100</v>
      </c>
      <c r="FT18">
        <v>100</v>
      </c>
      <c r="FU18">
        <v>-0.30599999999999999</v>
      </c>
      <c r="FV18">
        <v>-0.1678</v>
      </c>
      <c r="FW18">
        <v>-0.59396123584248794</v>
      </c>
      <c r="FX18">
        <v>7.6835882421071803E-4</v>
      </c>
      <c r="FY18">
        <v>7.9312579872174805E-7</v>
      </c>
      <c r="FZ18">
        <v>-1.5433145656851401E-10</v>
      </c>
      <c r="GA18">
        <v>-1.8853483044692101E-2</v>
      </c>
      <c r="GB18">
        <v>-2.1578312386681502E-2</v>
      </c>
      <c r="GC18">
        <v>7.7134661959739901E-4</v>
      </c>
      <c r="GD18">
        <v>-1.7684492548540801E-6</v>
      </c>
      <c r="GE18">
        <v>4</v>
      </c>
      <c r="GF18">
        <v>2093</v>
      </c>
      <c r="GG18">
        <v>1</v>
      </c>
      <c r="GH18">
        <v>31</v>
      </c>
      <c r="GI18">
        <v>0.9</v>
      </c>
      <c r="GJ18">
        <v>1</v>
      </c>
      <c r="GK18">
        <v>0.82763699999999996</v>
      </c>
      <c r="GL18">
        <v>2.66479</v>
      </c>
      <c r="GM18">
        <v>1.65161</v>
      </c>
      <c r="GN18">
        <v>2.2814899999999998</v>
      </c>
      <c r="GO18">
        <v>1.5979000000000001</v>
      </c>
      <c r="GP18">
        <v>2.5146500000000001</v>
      </c>
      <c r="GQ18">
        <v>39.217300000000002</v>
      </c>
      <c r="GR18">
        <v>24.008700000000001</v>
      </c>
      <c r="GS18">
        <v>18</v>
      </c>
      <c r="GT18">
        <v>509.53800000000001</v>
      </c>
      <c r="GU18">
        <v>495.85899999999998</v>
      </c>
      <c r="GV18">
        <v>21.258600000000001</v>
      </c>
      <c r="GW18">
        <v>31.459700000000002</v>
      </c>
      <c r="GX18">
        <v>29.999500000000001</v>
      </c>
      <c r="GY18">
        <v>31.6327</v>
      </c>
      <c r="GZ18">
        <v>31.6891</v>
      </c>
      <c r="HA18">
        <v>16.570599999999999</v>
      </c>
      <c r="HB18">
        <v>33.826099999999997</v>
      </c>
      <c r="HC18">
        <v>0</v>
      </c>
      <c r="HD18">
        <v>21.2836</v>
      </c>
      <c r="HE18">
        <v>300</v>
      </c>
      <c r="HF18">
        <v>15.5595</v>
      </c>
      <c r="HG18">
        <v>97.665999999999997</v>
      </c>
      <c r="HH18">
        <v>94.253299999999996</v>
      </c>
    </row>
    <row r="19" spans="1:216" x14ac:dyDescent="0.6">
      <c r="A19">
        <v>3</v>
      </c>
      <c r="B19">
        <v>1791093712</v>
      </c>
      <c r="C19">
        <v>242</v>
      </c>
      <c r="D19" t="s">
        <v>350</v>
      </c>
      <c r="E19" t="s">
        <v>351</v>
      </c>
      <c r="F19">
        <v>5</v>
      </c>
      <c r="G19">
        <v>1791093709</v>
      </c>
      <c r="H19">
        <f t="shared" si="0"/>
        <v>5.7835705001040936E-3</v>
      </c>
      <c r="I19">
        <f t="shared" si="1"/>
        <v>5.7835705001040933</v>
      </c>
      <c r="J19">
        <f t="shared" si="2"/>
        <v>11.58226556769365</v>
      </c>
      <c r="K19">
        <f t="shared" si="3"/>
        <v>194.892</v>
      </c>
      <c r="L19">
        <f t="shared" si="4"/>
        <v>147.02374225897793</v>
      </c>
      <c r="M19">
        <f t="shared" si="5"/>
        <v>14.843940370391772</v>
      </c>
      <c r="N19">
        <f t="shared" si="6"/>
        <v>19.676857507616159</v>
      </c>
      <c r="O19">
        <f t="shared" si="7"/>
        <v>0.44976321387631857</v>
      </c>
      <c r="P19">
        <f t="shared" si="8"/>
        <v>3.0232838648775715</v>
      </c>
      <c r="Q19">
        <f t="shared" si="9"/>
        <v>0.41562561174843443</v>
      </c>
      <c r="R19">
        <f t="shared" si="10"/>
        <v>0.26261687935104611</v>
      </c>
      <c r="S19">
        <f t="shared" si="11"/>
        <v>241.74258961557857</v>
      </c>
      <c r="T19">
        <f t="shared" si="12"/>
        <v>25.381205557807252</v>
      </c>
      <c r="U19">
        <f t="shared" si="13"/>
        <v>24.970179999999999</v>
      </c>
      <c r="V19">
        <f t="shared" si="14"/>
        <v>3.1740290171675638</v>
      </c>
      <c r="W19">
        <f t="shared" si="15"/>
        <v>55.202989006320237</v>
      </c>
      <c r="X19">
        <f t="shared" si="16"/>
        <v>1.8037301115164541</v>
      </c>
      <c r="Y19">
        <f t="shared" si="17"/>
        <v>3.2674500855559532</v>
      </c>
      <c r="Z19">
        <f t="shared" si="18"/>
        <v>1.3702989056511097</v>
      </c>
      <c r="AA19">
        <f t="shared" si="19"/>
        <v>-255.05545905459053</v>
      </c>
      <c r="AB19">
        <f t="shared" si="20"/>
        <v>79.432170260343057</v>
      </c>
      <c r="AC19">
        <f t="shared" si="21"/>
        <v>5.5694515324974549</v>
      </c>
      <c r="AD19">
        <f t="shared" si="22"/>
        <v>71.688752353828548</v>
      </c>
      <c r="AE19">
        <v>0</v>
      </c>
      <c r="AF19">
        <v>0</v>
      </c>
      <c r="AG19">
        <f t="shared" si="23"/>
        <v>1</v>
      </c>
      <c r="AH19">
        <f t="shared" si="24"/>
        <v>0</v>
      </c>
      <c r="AI19">
        <f t="shared" si="25"/>
        <v>53544.747755085169</v>
      </c>
      <c r="AJ19" t="s">
        <v>343</v>
      </c>
      <c r="AK19" t="s">
        <v>343</v>
      </c>
      <c r="AL19">
        <v>0</v>
      </c>
      <c r="AM19">
        <v>0</v>
      </c>
      <c r="AN19" t="e">
        <f t="shared" si="26"/>
        <v>#DIV/0!</v>
      </c>
      <c r="AO19">
        <v>0</v>
      </c>
      <c r="AP19" t="s">
        <v>343</v>
      </c>
      <c r="AQ19" t="s">
        <v>343</v>
      </c>
      <c r="AR19">
        <v>0</v>
      </c>
      <c r="AS19">
        <v>0</v>
      </c>
      <c r="AT19" t="e">
        <f t="shared" si="27"/>
        <v>#DIV/0!</v>
      </c>
      <c r="AU19">
        <v>0.5</v>
      </c>
      <c r="AV19">
        <f t="shared" si="28"/>
        <v>1261.2410400080719</v>
      </c>
      <c r="AW19">
        <f t="shared" si="29"/>
        <v>11.58226556769365</v>
      </c>
      <c r="AX19" t="e">
        <f t="shared" si="30"/>
        <v>#DIV/0!</v>
      </c>
      <c r="AY19">
        <f t="shared" si="31"/>
        <v>9.1832292165338388E-3</v>
      </c>
      <c r="AZ19" t="e">
        <f t="shared" si="32"/>
        <v>#DIV/0!</v>
      </c>
      <c r="BA19" t="e">
        <f t="shared" si="33"/>
        <v>#DIV/0!</v>
      </c>
      <c r="BB19" t="s">
        <v>343</v>
      </c>
      <c r="BC19">
        <v>0</v>
      </c>
      <c r="BD19" t="e">
        <f t="shared" si="34"/>
        <v>#DIV/0!</v>
      </c>
      <c r="BE19" t="e">
        <f t="shared" si="35"/>
        <v>#DIV/0!</v>
      </c>
      <c r="BF19" t="e">
        <f t="shared" si="36"/>
        <v>#DIV/0!</v>
      </c>
      <c r="BG19" t="e">
        <f t="shared" si="37"/>
        <v>#DIV/0!</v>
      </c>
      <c r="BH19" t="e">
        <f t="shared" si="38"/>
        <v>#DIV/0!</v>
      </c>
      <c r="BI19" t="e">
        <f t="shared" si="39"/>
        <v>#DIV/0!</v>
      </c>
      <c r="BJ19" t="e">
        <f t="shared" si="40"/>
        <v>#DIV/0!</v>
      </c>
      <c r="BK19" t="e">
        <f t="shared" si="41"/>
        <v>#DIV/0!</v>
      </c>
      <c r="BL19">
        <v>117</v>
      </c>
      <c r="BM19">
        <v>290</v>
      </c>
      <c r="BN19">
        <v>998.4</v>
      </c>
      <c r="BO19">
        <v>185</v>
      </c>
      <c r="BP19">
        <v>8132.16</v>
      </c>
      <c r="BQ19">
        <v>996.73</v>
      </c>
      <c r="BR19">
        <v>1.67</v>
      </c>
      <c r="BS19">
        <v>300</v>
      </c>
      <c r="BT19">
        <v>19.100000000000001</v>
      </c>
      <c r="BU19">
        <v>1021.61977518023</v>
      </c>
      <c r="BV19">
        <v>2.7367026859621499</v>
      </c>
      <c r="BW19">
        <v>-20.238360863933099</v>
      </c>
      <c r="BX19">
        <v>1.9901516023113599</v>
      </c>
      <c r="BY19">
        <v>0.78693251800012298</v>
      </c>
      <c r="BZ19">
        <v>-5.3780449388209197E-3</v>
      </c>
      <c r="CA19">
        <v>290</v>
      </c>
      <c r="CB19">
        <v>989.56</v>
      </c>
      <c r="CC19">
        <v>615</v>
      </c>
      <c r="CD19">
        <v>8124.76</v>
      </c>
      <c r="CE19">
        <v>996.71</v>
      </c>
      <c r="CF19">
        <v>-7.15</v>
      </c>
      <c r="CT19">
        <f t="shared" si="42"/>
        <v>1500.0360000000001</v>
      </c>
      <c r="CU19">
        <f t="shared" si="43"/>
        <v>1261.2410400080719</v>
      </c>
      <c r="CV19">
        <f t="shared" si="44"/>
        <v>0.84080718063304605</v>
      </c>
      <c r="CW19">
        <f t="shared" si="45"/>
        <v>0.16115785862177878</v>
      </c>
      <c r="CX19">
        <v>2</v>
      </c>
      <c r="CY19">
        <v>0.5</v>
      </c>
      <c r="CZ19" t="s">
        <v>344</v>
      </c>
      <c r="DA19">
        <v>2</v>
      </c>
      <c r="DB19">
        <v>1791093709</v>
      </c>
      <c r="DC19">
        <v>194.892</v>
      </c>
      <c r="DD19">
        <v>199.97559999999999</v>
      </c>
      <c r="DE19">
        <v>17.865279999999998</v>
      </c>
      <c r="DF19">
        <v>15.593260000000001</v>
      </c>
      <c r="DG19">
        <v>195.18940000000001</v>
      </c>
      <c r="DH19">
        <v>18.03546</v>
      </c>
      <c r="DI19">
        <v>500.0172</v>
      </c>
      <c r="DJ19">
        <v>100.86279999999999</v>
      </c>
      <c r="DK19">
        <v>0.10007948</v>
      </c>
      <c r="DL19">
        <v>25.457519999999999</v>
      </c>
      <c r="DM19">
        <v>24.970179999999999</v>
      </c>
      <c r="DN19">
        <v>999.9</v>
      </c>
      <c r="DO19">
        <v>0</v>
      </c>
      <c r="DP19">
        <v>0</v>
      </c>
      <c r="DQ19">
        <v>9987.5</v>
      </c>
      <c r="DR19">
        <v>0</v>
      </c>
      <c r="DS19">
        <v>8.5302579999999999</v>
      </c>
      <c r="DT19">
        <v>1500.0360000000001</v>
      </c>
      <c r="DU19">
        <v>0.97300500000000001</v>
      </c>
      <c r="DV19">
        <v>2.69953E-2</v>
      </c>
      <c r="DW19">
        <v>0</v>
      </c>
      <c r="DX19">
        <v>279.00540000000001</v>
      </c>
      <c r="DY19">
        <v>4.9999900000000004</v>
      </c>
      <c r="DZ19">
        <v>4140.1779999999999</v>
      </c>
      <c r="EA19">
        <v>14882.96</v>
      </c>
      <c r="EB19">
        <v>38.074599999999997</v>
      </c>
      <c r="EC19">
        <v>39.787199999999999</v>
      </c>
      <c r="ED19">
        <v>38.75</v>
      </c>
      <c r="EE19">
        <v>39.186999999999998</v>
      </c>
      <c r="EF19">
        <v>39.686999999999998</v>
      </c>
      <c r="EG19">
        <v>1454.6759999999999</v>
      </c>
      <c r="EH19">
        <v>40.36</v>
      </c>
      <c r="EI19">
        <v>0</v>
      </c>
      <c r="EJ19">
        <v>2788.6000001430498</v>
      </c>
      <c r="EK19">
        <v>0</v>
      </c>
      <c r="EL19">
        <v>278.86011999999999</v>
      </c>
      <c r="EM19">
        <v>1.0988461578726501</v>
      </c>
      <c r="EN19">
        <v>-5.8069230715822604</v>
      </c>
      <c r="EO19">
        <v>4140.5396000000001</v>
      </c>
      <c r="EP19">
        <v>15</v>
      </c>
      <c r="EQ19">
        <v>1791093657</v>
      </c>
      <c r="ER19" t="s">
        <v>352</v>
      </c>
      <c r="ES19">
        <v>1791093653</v>
      </c>
      <c r="ET19">
        <v>1791093657</v>
      </c>
      <c r="EU19">
        <v>41</v>
      </c>
      <c r="EV19">
        <v>0.11700000000000001</v>
      </c>
      <c r="EW19">
        <v>-3.0000000000000001E-3</v>
      </c>
      <c r="EX19">
        <v>-0.29199999999999998</v>
      </c>
      <c r="EY19">
        <v>-0.17699999999999999</v>
      </c>
      <c r="EZ19">
        <v>200</v>
      </c>
      <c r="FA19">
        <v>15</v>
      </c>
      <c r="FB19">
        <v>0.43</v>
      </c>
      <c r="FC19">
        <v>0.03</v>
      </c>
      <c r="FD19">
        <v>11.5934965579631</v>
      </c>
      <c r="FE19">
        <v>0.160549525431326</v>
      </c>
      <c r="FF19">
        <v>6.9865731262364505E-2</v>
      </c>
      <c r="FG19">
        <v>1</v>
      </c>
      <c r="FH19">
        <v>-5.0878538095238097</v>
      </c>
      <c r="FI19">
        <v>-2.9186493506492901E-2</v>
      </c>
      <c r="FJ19">
        <v>2.7744582392859901E-2</v>
      </c>
      <c r="FK19">
        <v>1</v>
      </c>
      <c r="FL19">
        <v>278.88850000000002</v>
      </c>
      <c r="FM19">
        <v>-0.101925132412227</v>
      </c>
      <c r="FN19">
        <v>0.448124408277565</v>
      </c>
      <c r="FO19">
        <v>-1</v>
      </c>
      <c r="FP19">
        <v>2</v>
      </c>
      <c r="FQ19">
        <v>2</v>
      </c>
      <c r="FR19" t="s">
        <v>346</v>
      </c>
      <c r="FS19">
        <v>100</v>
      </c>
      <c r="FT19">
        <v>100</v>
      </c>
      <c r="FU19">
        <v>-0.29799999999999999</v>
      </c>
      <c r="FV19">
        <v>-0.1701</v>
      </c>
      <c r="FW19">
        <v>-0.47674539999717103</v>
      </c>
      <c r="FX19">
        <v>7.6835882421071803E-4</v>
      </c>
      <c r="FY19">
        <v>7.9312579872174805E-7</v>
      </c>
      <c r="FZ19">
        <v>-1.5433145656851401E-10</v>
      </c>
      <c r="GA19">
        <v>-2.1500245296358099E-2</v>
      </c>
      <c r="GB19">
        <v>-2.1578312386681502E-2</v>
      </c>
      <c r="GC19">
        <v>7.7134661959739901E-4</v>
      </c>
      <c r="GD19">
        <v>-1.7684492548540801E-6</v>
      </c>
      <c r="GE19">
        <v>4</v>
      </c>
      <c r="GF19">
        <v>2093</v>
      </c>
      <c r="GG19">
        <v>1</v>
      </c>
      <c r="GH19">
        <v>31</v>
      </c>
      <c r="GI19">
        <v>1</v>
      </c>
      <c r="GJ19">
        <v>0.9</v>
      </c>
      <c r="GK19">
        <v>0.60913099999999998</v>
      </c>
      <c r="GL19">
        <v>2.6696800000000001</v>
      </c>
      <c r="GM19">
        <v>1.65161</v>
      </c>
      <c r="GN19">
        <v>2.2814899999999998</v>
      </c>
      <c r="GO19">
        <v>1.5979000000000001</v>
      </c>
      <c r="GP19">
        <v>2.65381</v>
      </c>
      <c r="GQ19">
        <v>39.0931</v>
      </c>
      <c r="GR19">
        <v>24.026199999999999</v>
      </c>
      <c r="GS19">
        <v>18</v>
      </c>
      <c r="GT19">
        <v>509.59699999999998</v>
      </c>
      <c r="GU19">
        <v>496.827</v>
      </c>
      <c r="GV19">
        <v>21.2332</v>
      </c>
      <c r="GW19">
        <v>31.333500000000001</v>
      </c>
      <c r="GX19">
        <v>29.999300000000002</v>
      </c>
      <c r="GY19">
        <v>31.5426</v>
      </c>
      <c r="GZ19">
        <v>31.605599999999999</v>
      </c>
      <c r="HA19">
        <v>12.1671</v>
      </c>
      <c r="HB19">
        <v>32.952300000000001</v>
      </c>
      <c r="HC19">
        <v>0</v>
      </c>
      <c r="HD19">
        <v>21.258400000000002</v>
      </c>
      <c r="HE19">
        <v>200</v>
      </c>
      <c r="HF19">
        <v>15.5688</v>
      </c>
      <c r="HG19">
        <v>97.694599999999994</v>
      </c>
      <c r="HH19">
        <v>94.284700000000001</v>
      </c>
    </row>
    <row r="20" spans="1:216" x14ac:dyDescent="0.6">
      <c r="A20">
        <v>4</v>
      </c>
      <c r="B20">
        <v>1791093833</v>
      </c>
      <c r="C20">
        <v>363</v>
      </c>
      <c r="D20" t="s">
        <v>353</v>
      </c>
      <c r="E20" t="s">
        <v>354</v>
      </c>
      <c r="F20">
        <v>5</v>
      </c>
      <c r="G20">
        <v>1791093830</v>
      </c>
      <c r="H20">
        <f t="shared" si="0"/>
        <v>6.0108782425234378E-3</v>
      </c>
      <c r="I20">
        <f t="shared" si="1"/>
        <v>6.0108782425234377</v>
      </c>
      <c r="J20">
        <f t="shared" si="2"/>
        <v>3.7326828236598244</v>
      </c>
      <c r="K20">
        <f t="shared" si="3"/>
        <v>98.283079999999998</v>
      </c>
      <c r="L20">
        <f t="shared" si="4"/>
        <v>82.5838864929637</v>
      </c>
      <c r="M20">
        <f t="shared" si="5"/>
        <v>8.3383876105917718</v>
      </c>
      <c r="N20">
        <f t="shared" si="6"/>
        <v>9.9235147606261513</v>
      </c>
      <c r="O20">
        <f t="shared" si="7"/>
        <v>0.46768748660539555</v>
      </c>
      <c r="P20">
        <f t="shared" si="8"/>
        <v>3.0257205376505381</v>
      </c>
      <c r="Q20">
        <f t="shared" si="9"/>
        <v>0.43092106110443301</v>
      </c>
      <c r="R20">
        <f t="shared" si="10"/>
        <v>0.27238771715152815</v>
      </c>
      <c r="S20">
        <f t="shared" si="11"/>
        <v>241.74163201557863</v>
      </c>
      <c r="T20">
        <f t="shared" si="12"/>
        <v>25.35714072814714</v>
      </c>
      <c r="U20">
        <f t="shared" si="13"/>
        <v>24.991700000000002</v>
      </c>
      <c r="V20">
        <f t="shared" si="14"/>
        <v>3.1781045033831532</v>
      </c>
      <c r="W20">
        <f t="shared" si="15"/>
        <v>55.115941427224733</v>
      </c>
      <c r="X20">
        <f t="shared" si="16"/>
        <v>1.8044520144571601</v>
      </c>
      <c r="Y20">
        <f t="shared" si="17"/>
        <v>3.2739203354437199</v>
      </c>
      <c r="Z20">
        <f t="shared" si="18"/>
        <v>1.3736524889259931</v>
      </c>
      <c r="AA20">
        <f t="shared" si="19"/>
        <v>-265.07973049528363</v>
      </c>
      <c r="AB20">
        <f t="shared" si="20"/>
        <v>81.417774884756824</v>
      </c>
      <c r="AC20">
        <f t="shared" si="21"/>
        <v>5.7056496972586519</v>
      </c>
      <c r="AD20">
        <f t="shared" si="22"/>
        <v>63.785326102310478</v>
      </c>
      <c r="AE20">
        <v>0</v>
      </c>
      <c r="AF20">
        <v>0</v>
      </c>
      <c r="AG20">
        <f t="shared" si="23"/>
        <v>1</v>
      </c>
      <c r="AH20">
        <f t="shared" si="24"/>
        <v>0</v>
      </c>
      <c r="AI20">
        <f t="shared" si="25"/>
        <v>53614.599736106502</v>
      </c>
      <c r="AJ20" t="s">
        <v>343</v>
      </c>
      <c r="AK20" t="s">
        <v>343</v>
      </c>
      <c r="AL20">
        <v>0</v>
      </c>
      <c r="AM20">
        <v>0</v>
      </c>
      <c r="AN20" t="e">
        <f t="shared" si="26"/>
        <v>#DIV/0!</v>
      </c>
      <c r="AO20">
        <v>0</v>
      </c>
      <c r="AP20" t="s">
        <v>343</v>
      </c>
      <c r="AQ20" t="s">
        <v>343</v>
      </c>
      <c r="AR20">
        <v>0</v>
      </c>
      <c r="AS20">
        <v>0</v>
      </c>
      <c r="AT20" t="e">
        <f t="shared" si="27"/>
        <v>#DIV/0!</v>
      </c>
      <c r="AU20">
        <v>0.5</v>
      </c>
      <c r="AV20">
        <f t="shared" si="28"/>
        <v>1261.2360000080716</v>
      </c>
      <c r="AW20">
        <f t="shared" si="29"/>
        <v>3.7326828236598244</v>
      </c>
      <c r="AX20" t="e">
        <f t="shared" si="30"/>
        <v>#DIV/0!</v>
      </c>
      <c r="AY20">
        <f t="shared" si="31"/>
        <v>2.9595435141685903E-3</v>
      </c>
      <c r="AZ20" t="e">
        <f t="shared" si="32"/>
        <v>#DIV/0!</v>
      </c>
      <c r="BA20" t="e">
        <f t="shared" si="33"/>
        <v>#DIV/0!</v>
      </c>
      <c r="BB20" t="s">
        <v>343</v>
      </c>
      <c r="BC20">
        <v>0</v>
      </c>
      <c r="BD20" t="e">
        <f t="shared" si="34"/>
        <v>#DIV/0!</v>
      </c>
      <c r="BE20" t="e">
        <f t="shared" si="35"/>
        <v>#DIV/0!</v>
      </c>
      <c r="BF20" t="e">
        <f t="shared" si="36"/>
        <v>#DIV/0!</v>
      </c>
      <c r="BG20" t="e">
        <f t="shared" si="37"/>
        <v>#DIV/0!</v>
      </c>
      <c r="BH20" t="e">
        <f t="shared" si="38"/>
        <v>#DIV/0!</v>
      </c>
      <c r="BI20" t="e">
        <f t="shared" si="39"/>
        <v>#DIV/0!</v>
      </c>
      <c r="BJ20" t="e">
        <f t="shared" si="40"/>
        <v>#DIV/0!</v>
      </c>
      <c r="BK20" t="e">
        <f t="shared" si="41"/>
        <v>#DIV/0!</v>
      </c>
      <c r="BL20">
        <v>117</v>
      </c>
      <c r="BM20">
        <v>290</v>
      </c>
      <c r="BN20">
        <v>998.4</v>
      </c>
      <c r="BO20">
        <v>185</v>
      </c>
      <c r="BP20">
        <v>8132.16</v>
      </c>
      <c r="BQ20">
        <v>996.73</v>
      </c>
      <c r="BR20">
        <v>1.67</v>
      </c>
      <c r="BS20">
        <v>300</v>
      </c>
      <c r="BT20">
        <v>19.100000000000001</v>
      </c>
      <c r="BU20">
        <v>1021.61977518023</v>
      </c>
      <c r="BV20">
        <v>2.7367026859621499</v>
      </c>
      <c r="BW20">
        <v>-20.238360863933099</v>
      </c>
      <c r="BX20">
        <v>1.9901516023113599</v>
      </c>
      <c r="BY20">
        <v>0.78693251800012298</v>
      </c>
      <c r="BZ20">
        <v>-5.3780449388209197E-3</v>
      </c>
      <c r="CA20">
        <v>290</v>
      </c>
      <c r="CB20">
        <v>989.56</v>
      </c>
      <c r="CC20">
        <v>615</v>
      </c>
      <c r="CD20">
        <v>8124.76</v>
      </c>
      <c r="CE20">
        <v>996.71</v>
      </c>
      <c r="CF20">
        <v>-7.15</v>
      </c>
      <c r="CT20">
        <f t="shared" si="42"/>
        <v>1500.03</v>
      </c>
      <c r="CU20">
        <f t="shared" si="43"/>
        <v>1261.2360000080716</v>
      </c>
      <c r="CV20">
        <f t="shared" si="44"/>
        <v>0.84080718386170394</v>
      </c>
      <c r="CW20">
        <f t="shared" si="45"/>
        <v>0.16115786485308869</v>
      </c>
      <c r="CX20">
        <v>2</v>
      </c>
      <c r="CY20">
        <v>0.5</v>
      </c>
      <c r="CZ20" t="s">
        <v>344</v>
      </c>
      <c r="DA20">
        <v>2</v>
      </c>
      <c r="DB20">
        <v>1791093830</v>
      </c>
      <c r="DC20">
        <v>98.283079999999998</v>
      </c>
      <c r="DD20">
        <v>100.0124</v>
      </c>
      <c r="DE20">
        <v>17.871400000000001</v>
      </c>
      <c r="DF20">
        <v>15.5101</v>
      </c>
      <c r="DG20">
        <v>98.572980000000001</v>
      </c>
      <c r="DH20">
        <v>18.03998</v>
      </c>
      <c r="DI20">
        <v>500.01740000000001</v>
      </c>
      <c r="DJ20">
        <v>100.86879999999999</v>
      </c>
      <c r="DK20">
        <v>9.9899399999999999E-2</v>
      </c>
      <c r="DL20">
        <v>25.490819999999999</v>
      </c>
      <c r="DM20">
        <v>24.991700000000002</v>
      </c>
      <c r="DN20">
        <v>999.9</v>
      </c>
      <c r="DO20">
        <v>0</v>
      </c>
      <c r="DP20">
        <v>0</v>
      </c>
      <c r="DQ20">
        <v>10001.626</v>
      </c>
      <c r="DR20">
        <v>0</v>
      </c>
      <c r="DS20">
        <v>8.5830500000000001</v>
      </c>
      <c r="DT20">
        <v>1500.03</v>
      </c>
      <c r="DU20">
        <v>0.97300299999999995</v>
      </c>
      <c r="DV20">
        <v>2.6997340000000002E-2</v>
      </c>
      <c r="DW20">
        <v>0</v>
      </c>
      <c r="DX20">
        <v>279.59039999999999</v>
      </c>
      <c r="DY20">
        <v>4.9999900000000004</v>
      </c>
      <c r="DZ20">
        <v>4145.5839999999998</v>
      </c>
      <c r="EA20">
        <v>14882.9</v>
      </c>
      <c r="EB20">
        <v>37.875</v>
      </c>
      <c r="EC20">
        <v>39.561999999999998</v>
      </c>
      <c r="ED20">
        <v>38.5</v>
      </c>
      <c r="EE20">
        <v>39</v>
      </c>
      <c r="EF20">
        <v>39.487400000000001</v>
      </c>
      <c r="EG20">
        <v>1454.67</v>
      </c>
      <c r="EH20">
        <v>40.36</v>
      </c>
      <c r="EI20">
        <v>0</v>
      </c>
      <c r="EJ20">
        <v>2909.7999999523199</v>
      </c>
      <c r="EK20">
        <v>0</v>
      </c>
      <c r="EL20">
        <v>279.62515999999999</v>
      </c>
      <c r="EM20">
        <v>-0.185999996999369</v>
      </c>
      <c r="EN20">
        <v>4.4046153619449404</v>
      </c>
      <c r="EO20">
        <v>4145.2071999999998</v>
      </c>
      <c r="EP20">
        <v>15</v>
      </c>
      <c r="EQ20">
        <v>1791093782</v>
      </c>
      <c r="ER20" t="s">
        <v>355</v>
      </c>
      <c r="ES20">
        <v>1791093772</v>
      </c>
      <c r="ET20">
        <v>1791093782</v>
      </c>
      <c r="EU20">
        <v>42</v>
      </c>
      <c r="EV20">
        <v>0.104</v>
      </c>
      <c r="EW20">
        <v>2E-3</v>
      </c>
      <c r="EX20">
        <v>-0.28799999999999998</v>
      </c>
      <c r="EY20">
        <v>-0.17499999999999999</v>
      </c>
      <c r="EZ20">
        <v>100</v>
      </c>
      <c r="FA20">
        <v>16</v>
      </c>
      <c r="FB20">
        <v>0.22</v>
      </c>
      <c r="FC20">
        <v>0.02</v>
      </c>
      <c r="FD20">
        <v>3.6895622490747901</v>
      </c>
      <c r="FE20">
        <v>7.7488700678661803E-3</v>
      </c>
      <c r="FF20">
        <v>4.6210086335091799E-2</v>
      </c>
      <c r="FG20">
        <v>1</v>
      </c>
      <c r="FH20">
        <v>-1.7125645</v>
      </c>
      <c r="FI20">
        <v>-2.4332481203007999E-2</v>
      </c>
      <c r="FJ20">
        <v>1.7990127424507001E-2</v>
      </c>
      <c r="FK20">
        <v>1</v>
      </c>
      <c r="FL20">
        <v>279.59302941176497</v>
      </c>
      <c r="FM20">
        <v>-0.24249044719041701</v>
      </c>
      <c r="FN20">
        <v>0.31998065063688602</v>
      </c>
      <c r="FO20">
        <v>-1</v>
      </c>
      <c r="FP20">
        <v>2</v>
      </c>
      <c r="FQ20">
        <v>2</v>
      </c>
      <c r="FR20" t="s">
        <v>346</v>
      </c>
      <c r="FS20">
        <v>100</v>
      </c>
      <c r="FT20">
        <v>100</v>
      </c>
      <c r="FU20">
        <v>-0.28999999999999998</v>
      </c>
      <c r="FV20">
        <v>-0.1686</v>
      </c>
      <c r="FW20">
        <v>-0.373181795463851</v>
      </c>
      <c r="FX20">
        <v>7.6835882421071803E-4</v>
      </c>
      <c r="FY20">
        <v>7.9312579872174805E-7</v>
      </c>
      <c r="FZ20">
        <v>-1.5433145656851401E-10</v>
      </c>
      <c r="GA20">
        <v>-1.99450800769032E-2</v>
      </c>
      <c r="GB20">
        <v>-2.1578312386681502E-2</v>
      </c>
      <c r="GC20">
        <v>7.7134661959739901E-4</v>
      </c>
      <c r="GD20">
        <v>-1.7684492548540801E-6</v>
      </c>
      <c r="GE20">
        <v>4</v>
      </c>
      <c r="GF20">
        <v>2093</v>
      </c>
      <c r="GG20">
        <v>1</v>
      </c>
      <c r="GH20">
        <v>31</v>
      </c>
      <c r="GI20">
        <v>1</v>
      </c>
      <c r="GJ20">
        <v>0.8</v>
      </c>
      <c r="GK20">
        <v>0.380859</v>
      </c>
      <c r="GL20">
        <v>2.7050800000000002</v>
      </c>
      <c r="GM20">
        <v>1.65161</v>
      </c>
      <c r="GN20">
        <v>2.2814899999999998</v>
      </c>
      <c r="GO20">
        <v>1.5979000000000001</v>
      </c>
      <c r="GP20">
        <v>2.5134300000000001</v>
      </c>
      <c r="GQ20">
        <v>38.969299999999997</v>
      </c>
      <c r="GR20">
        <v>24.008700000000001</v>
      </c>
      <c r="GS20">
        <v>18</v>
      </c>
      <c r="GT20">
        <v>509.33699999999999</v>
      </c>
      <c r="GU20">
        <v>498.005</v>
      </c>
      <c r="GV20">
        <v>21.5975</v>
      </c>
      <c r="GW20">
        <v>31.1737</v>
      </c>
      <c r="GX20">
        <v>29.999600000000001</v>
      </c>
      <c r="GY20">
        <v>31.415800000000001</v>
      </c>
      <c r="GZ20">
        <v>31.485299999999999</v>
      </c>
      <c r="HA20">
        <v>7.6021900000000002</v>
      </c>
      <c r="HB20">
        <v>32.686900000000001</v>
      </c>
      <c r="HC20">
        <v>0</v>
      </c>
      <c r="HD20">
        <v>21.601800000000001</v>
      </c>
      <c r="HE20">
        <v>100</v>
      </c>
      <c r="HF20">
        <v>15.495900000000001</v>
      </c>
      <c r="HG20">
        <v>97.728999999999999</v>
      </c>
      <c r="HH20">
        <v>94.319599999999994</v>
      </c>
    </row>
    <row r="21" spans="1:216" x14ac:dyDescent="0.6">
      <c r="A21">
        <v>5</v>
      </c>
      <c r="B21">
        <v>1791093954</v>
      </c>
      <c r="C21">
        <v>484</v>
      </c>
      <c r="D21" t="s">
        <v>356</v>
      </c>
      <c r="E21" t="s">
        <v>357</v>
      </c>
      <c r="F21">
        <v>5</v>
      </c>
      <c r="G21">
        <v>1791093950.5</v>
      </c>
      <c r="H21">
        <f t="shared" si="0"/>
        <v>6.001587932319084E-3</v>
      </c>
      <c r="I21">
        <f t="shared" si="1"/>
        <v>6.0015879323190839</v>
      </c>
      <c r="J21">
        <f t="shared" si="2"/>
        <v>-0.521408830143963</v>
      </c>
      <c r="K21">
        <f t="shared" si="3"/>
        <v>50.067733333333301</v>
      </c>
      <c r="L21">
        <f t="shared" si="4"/>
        <v>50.86667436376392</v>
      </c>
      <c r="M21">
        <f t="shared" si="5"/>
        <v>5.1363707152930171</v>
      </c>
      <c r="N21">
        <f t="shared" si="6"/>
        <v>5.0556959441726708</v>
      </c>
      <c r="O21">
        <f t="shared" si="7"/>
        <v>0.46976190023967079</v>
      </c>
      <c r="P21">
        <f t="shared" si="8"/>
        <v>3.026571770655035</v>
      </c>
      <c r="Q21">
        <f t="shared" si="9"/>
        <v>0.43269199234702083</v>
      </c>
      <c r="R21">
        <f t="shared" si="10"/>
        <v>0.27351889592007111</v>
      </c>
      <c r="S21">
        <f t="shared" si="11"/>
        <v>241.73848182134452</v>
      </c>
      <c r="T21">
        <f t="shared" si="12"/>
        <v>25.351616605792344</v>
      </c>
      <c r="U21">
        <f t="shared" si="13"/>
        <v>24.959599999999998</v>
      </c>
      <c r="V21">
        <f t="shared" si="14"/>
        <v>3.1720270378797206</v>
      </c>
      <c r="W21">
        <f t="shared" si="15"/>
        <v>55.187926066453819</v>
      </c>
      <c r="X21">
        <f t="shared" si="16"/>
        <v>1.8059624802015379</v>
      </c>
      <c r="Y21">
        <f t="shared" si="17"/>
        <v>3.272386931204684</v>
      </c>
      <c r="Z21">
        <f t="shared" si="18"/>
        <v>1.3660645576781827</v>
      </c>
      <c r="AA21">
        <f t="shared" si="19"/>
        <v>-264.67002781527162</v>
      </c>
      <c r="AB21">
        <f t="shared" si="20"/>
        <v>85.391534520094865</v>
      </c>
      <c r="AC21">
        <f t="shared" si="21"/>
        <v>5.9812398029224694</v>
      </c>
      <c r="AD21">
        <f t="shared" si="22"/>
        <v>68.441228329090222</v>
      </c>
      <c r="AE21">
        <v>0</v>
      </c>
      <c r="AF21">
        <v>0</v>
      </c>
      <c r="AG21">
        <f t="shared" si="23"/>
        <v>1</v>
      </c>
      <c r="AH21">
        <f t="shared" si="24"/>
        <v>0</v>
      </c>
      <c r="AI21">
        <f t="shared" si="25"/>
        <v>53642.66123798379</v>
      </c>
      <c r="AJ21" t="s">
        <v>343</v>
      </c>
      <c r="AK21" t="s">
        <v>343</v>
      </c>
      <c r="AL21">
        <v>0</v>
      </c>
      <c r="AM21">
        <v>0</v>
      </c>
      <c r="AN21" t="e">
        <f t="shared" si="26"/>
        <v>#DIV/0!</v>
      </c>
      <c r="AO21">
        <v>0</v>
      </c>
      <c r="AP21" t="s">
        <v>343</v>
      </c>
      <c r="AQ21" t="s">
        <v>343</v>
      </c>
      <c r="AR21">
        <v>0</v>
      </c>
      <c r="AS21">
        <v>0</v>
      </c>
      <c r="AT21" t="e">
        <f t="shared" si="27"/>
        <v>#DIV/0!</v>
      </c>
      <c r="AU21">
        <v>0.5</v>
      </c>
      <c r="AV21">
        <f t="shared" si="28"/>
        <v>1261.2166973167614</v>
      </c>
      <c r="AW21">
        <f t="shared" si="29"/>
        <v>-0.521408830143963</v>
      </c>
      <c r="AX21" t="e">
        <f t="shared" si="30"/>
        <v>#DIV/0!</v>
      </c>
      <c r="AY21">
        <f t="shared" si="31"/>
        <v>-4.1341732253724546E-4</v>
      </c>
      <c r="AZ21" t="e">
        <f t="shared" si="32"/>
        <v>#DIV/0!</v>
      </c>
      <c r="BA21" t="e">
        <f t="shared" si="33"/>
        <v>#DIV/0!</v>
      </c>
      <c r="BB21" t="s">
        <v>343</v>
      </c>
      <c r="BC21">
        <v>0</v>
      </c>
      <c r="BD21" t="e">
        <f t="shared" si="34"/>
        <v>#DIV/0!</v>
      </c>
      <c r="BE21" t="e">
        <f t="shared" si="35"/>
        <v>#DIV/0!</v>
      </c>
      <c r="BF21" t="e">
        <f t="shared" si="36"/>
        <v>#DIV/0!</v>
      </c>
      <c r="BG21" t="e">
        <f t="shared" si="37"/>
        <v>#DIV/0!</v>
      </c>
      <c r="BH21" t="e">
        <f t="shared" si="38"/>
        <v>#DIV/0!</v>
      </c>
      <c r="BI21" t="e">
        <f t="shared" si="39"/>
        <v>#DIV/0!</v>
      </c>
      <c r="BJ21" t="e">
        <f t="shared" si="40"/>
        <v>#DIV/0!</v>
      </c>
      <c r="BK21" t="e">
        <f t="shared" si="41"/>
        <v>#DIV/0!</v>
      </c>
      <c r="BL21">
        <v>117</v>
      </c>
      <c r="BM21">
        <v>290</v>
      </c>
      <c r="BN21">
        <v>998.4</v>
      </c>
      <c r="BO21">
        <v>185</v>
      </c>
      <c r="BP21">
        <v>8132.16</v>
      </c>
      <c r="BQ21">
        <v>996.73</v>
      </c>
      <c r="BR21">
        <v>1.67</v>
      </c>
      <c r="BS21">
        <v>300</v>
      </c>
      <c r="BT21">
        <v>19.100000000000001</v>
      </c>
      <c r="BU21">
        <v>1021.61977518023</v>
      </c>
      <c r="BV21">
        <v>2.7367026859621499</v>
      </c>
      <c r="BW21">
        <v>-20.238360863933099</v>
      </c>
      <c r="BX21">
        <v>1.9901516023113599</v>
      </c>
      <c r="BY21">
        <v>0.78693251800012298</v>
      </c>
      <c r="BZ21">
        <v>-5.3780449388209197E-3</v>
      </c>
      <c r="CA21">
        <v>290</v>
      </c>
      <c r="CB21">
        <v>989.56</v>
      </c>
      <c r="CC21">
        <v>615</v>
      </c>
      <c r="CD21">
        <v>8124.76</v>
      </c>
      <c r="CE21">
        <v>996.71</v>
      </c>
      <c r="CF21">
        <v>-7.15</v>
      </c>
      <c r="CT21">
        <f t="shared" si="42"/>
        <v>1500.0066666666701</v>
      </c>
      <c r="CU21">
        <f t="shared" si="43"/>
        <v>1261.2166973167614</v>
      </c>
      <c r="CV21">
        <f t="shared" si="44"/>
        <v>0.84080739462275178</v>
      </c>
      <c r="CW21">
        <f t="shared" si="45"/>
        <v>0.16115827162191099</v>
      </c>
      <c r="CX21">
        <v>2</v>
      </c>
      <c r="CY21">
        <v>0.5</v>
      </c>
      <c r="CZ21" t="s">
        <v>344</v>
      </c>
      <c r="DA21">
        <v>2</v>
      </c>
      <c r="DB21">
        <v>1791093950.5</v>
      </c>
      <c r="DC21">
        <v>50.067733333333301</v>
      </c>
      <c r="DD21">
        <v>49.979366666666699</v>
      </c>
      <c r="DE21">
        <v>17.884866666666699</v>
      </c>
      <c r="DF21">
        <v>15.527233333333299</v>
      </c>
      <c r="DG21">
        <v>50.355216666666699</v>
      </c>
      <c r="DH21">
        <v>18.055566666666699</v>
      </c>
      <c r="DI21">
        <v>500.01416666666699</v>
      </c>
      <c r="DJ21">
        <v>100.87716666666699</v>
      </c>
      <c r="DK21">
        <v>9.9961866666666704E-2</v>
      </c>
      <c r="DL21">
        <v>25.4829333333333</v>
      </c>
      <c r="DM21">
        <v>24.959599999999998</v>
      </c>
      <c r="DN21">
        <v>999.9</v>
      </c>
      <c r="DO21">
        <v>0</v>
      </c>
      <c r="DP21">
        <v>0</v>
      </c>
      <c r="DQ21">
        <v>10005.9433333333</v>
      </c>
      <c r="DR21">
        <v>0</v>
      </c>
      <c r="DS21">
        <v>8.5265900000000006</v>
      </c>
      <c r="DT21">
        <v>1500.0066666666701</v>
      </c>
      <c r="DU21">
        <v>0.97299999999999998</v>
      </c>
      <c r="DV21">
        <v>2.70005E-2</v>
      </c>
      <c r="DW21">
        <v>0</v>
      </c>
      <c r="DX21">
        <v>283.72716666666702</v>
      </c>
      <c r="DY21">
        <v>4.9999900000000004</v>
      </c>
      <c r="DZ21">
        <v>4193.2299999999996</v>
      </c>
      <c r="EA21">
        <v>14882.65</v>
      </c>
      <c r="EB21">
        <v>37.625</v>
      </c>
      <c r="EC21">
        <v>39.322499999999998</v>
      </c>
      <c r="ED21">
        <v>38.270666666666699</v>
      </c>
      <c r="EE21">
        <v>38.75</v>
      </c>
      <c r="EF21">
        <v>39.270666666666699</v>
      </c>
      <c r="EG21">
        <v>1454.64</v>
      </c>
      <c r="EH21">
        <v>40.369999999999997</v>
      </c>
      <c r="EI21">
        <v>0</v>
      </c>
      <c r="EJ21">
        <v>3031</v>
      </c>
      <c r="EK21">
        <v>0</v>
      </c>
      <c r="EL21">
        <v>283.52787999999998</v>
      </c>
      <c r="EM21">
        <v>1.4133846130902901</v>
      </c>
      <c r="EN21">
        <v>16.759230803586998</v>
      </c>
      <c r="EO21">
        <v>4192.2204000000002</v>
      </c>
      <c r="EP21">
        <v>15</v>
      </c>
      <c r="EQ21">
        <v>1791093896</v>
      </c>
      <c r="ER21" t="s">
        <v>358</v>
      </c>
      <c r="ES21">
        <v>1791093893</v>
      </c>
      <c r="ET21">
        <v>1791093896</v>
      </c>
      <c r="EU21">
        <v>43</v>
      </c>
      <c r="EV21">
        <v>4.4999999999999998E-2</v>
      </c>
      <c r="EW21">
        <v>-2E-3</v>
      </c>
      <c r="EX21">
        <v>-0.28799999999999998</v>
      </c>
      <c r="EY21">
        <v>-0.17799999999999999</v>
      </c>
      <c r="EZ21">
        <v>50</v>
      </c>
      <c r="FA21">
        <v>15</v>
      </c>
      <c r="FB21">
        <v>0.4</v>
      </c>
      <c r="FC21">
        <v>0.04</v>
      </c>
      <c r="FD21">
        <v>-0.50336142770548198</v>
      </c>
      <c r="FE21">
        <v>-0.23481211306643399</v>
      </c>
      <c r="FF21">
        <v>4.8076928130112197E-2</v>
      </c>
      <c r="FG21">
        <v>1</v>
      </c>
      <c r="FH21">
        <v>8.1790371428571401E-2</v>
      </c>
      <c r="FI21">
        <v>9.8115732467532399E-2</v>
      </c>
      <c r="FJ21">
        <v>1.9420118492825302E-2</v>
      </c>
      <c r="FK21">
        <v>1</v>
      </c>
      <c r="FL21">
        <v>283.45747058823503</v>
      </c>
      <c r="FM21">
        <v>1.51388846479773</v>
      </c>
      <c r="FN21">
        <v>0.44564343668942502</v>
      </c>
      <c r="FO21">
        <v>-1</v>
      </c>
      <c r="FP21">
        <v>2</v>
      </c>
      <c r="FQ21">
        <v>2</v>
      </c>
      <c r="FR21" t="s">
        <v>346</v>
      </c>
      <c r="FS21">
        <v>100</v>
      </c>
      <c r="FT21">
        <v>100</v>
      </c>
      <c r="FU21">
        <v>-0.28799999999999998</v>
      </c>
      <c r="FV21">
        <v>-0.17080000000000001</v>
      </c>
      <c r="FW21">
        <v>-0.32819059568903802</v>
      </c>
      <c r="FX21">
        <v>7.6835882421071803E-4</v>
      </c>
      <c r="FY21">
        <v>7.9312579872174805E-7</v>
      </c>
      <c r="FZ21">
        <v>-1.5433145656851401E-10</v>
      </c>
      <c r="GA21">
        <v>-2.21328214435162E-2</v>
      </c>
      <c r="GB21">
        <v>-2.1578312386681502E-2</v>
      </c>
      <c r="GC21">
        <v>7.7134661959739901E-4</v>
      </c>
      <c r="GD21">
        <v>-1.7684492548540801E-6</v>
      </c>
      <c r="GE21">
        <v>4</v>
      </c>
      <c r="GF21">
        <v>2093</v>
      </c>
      <c r="GG21">
        <v>1</v>
      </c>
      <c r="GH21">
        <v>31</v>
      </c>
      <c r="GI21">
        <v>1</v>
      </c>
      <c r="GJ21">
        <v>1</v>
      </c>
      <c r="GK21">
        <v>0.26733400000000002</v>
      </c>
      <c r="GL21">
        <v>2.7294900000000002</v>
      </c>
      <c r="GM21">
        <v>1.65161</v>
      </c>
      <c r="GN21">
        <v>2.2814899999999998</v>
      </c>
      <c r="GO21">
        <v>1.5979000000000001</v>
      </c>
      <c r="GP21">
        <v>2.4621599999999999</v>
      </c>
      <c r="GQ21">
        <v>38.845700000000001</v>
      </c>
      <c r="GR21">
        <v>23.9999</v>
      </c>
      <c r="GS21">
        <v>18</v>
      </c>
      <c r="GT21">
        <v>509.18400000000003</v>
      </c>
      <c r="GU21">
        <v>499.13</v>
      </c>
      <c r="GV21">
        <v>21.518999999999998</v>
      </c>
      <c r="GW21">
        <v>31.018999999999998</v>
      </c>
      <c r="GX21">
        <v>29.999300000000002</v>
      </c>
      <c r="GY21">
        <v>31.281300000000002</v>
      </c>
      <c r="GZ21">
        <v>31.354500000000002</v>
      </c>
      <c r="HA21">
        <v>5.3440799999999999</v>
      </c>
      <c r="HB21">
        <v>31.3413</v>
      </c>
      <c r="HC21">
        <v>0</v>
      </c>
      <c r="HD21">
        <v>21.538399999999999</v>
      </c>
      <c r="HE21">
        <v>50</v>
      </c>
      <c r="HF21">
        <v>15.5458</v>
      </c>
      <c r="HG21">
        <v>97.755300000000005</v>
      </c>
      <c r="HH21">
        <v>94.3459</v>
      </c>
    </row>
    <row r="22" spans="1:216" x14ac:dyDescent="0.6">
      <c r="A22">
        <v>6</v>
      </c>
      <c r="B22">
        <v>1791094075.0999999</v>
      </c>
      <c r="C22">
        <v>605.09999990463302</v>
      </c>
      <c r="D22" t="s">
        <v>359</v>
      </c>
      <c r="E22" t="s">
        <v>360</v>
      </c>
      <c r="F22">
        <v>5</v>
      </c>
      <c r="G22">
        <v>1791094071.5999999</v>
      </c>
      <c r="H22">
        <f t="shared" si="0"/>
        <v>6.1512009239401179E-3</v>
      </c>
      <c r="I22">
        <f t="shared" si="1"/>
        <v>6.1512009239401175</v>
      </c>
      <c r="J22">
        <f t="shared" si="2"/>
        <v>23.452854123424327</v>
      </c>
      <c r="K22">
        <f t="shared" si="3"/>
        <v>389.6705</v>
      </c>
      <c r="L22">
        <f t="shared" si="4"/>
        <v>298.7294385754397</v>
      </c>
      <c r="M22">
        <f t="shared" si="5"/>
        <v>30.165576925313545</v>
      </c>
      <c r="N22">
        <f t="shared" si="6"/>
        <v>39.3487682343263</v>
      </c>
      <c r="O22">
        <f t="shared" si="7"/>
        <v>0.4838816467081497</v>
      </c>
      <c r="P22">
        <f t="shared" si="8"/>
        <v>3.0276456082249945</v>
      </c>
      <c r="Q22">
        <f t="shared" si="9"/>
        <v>0.4446621593728054</v>
      </c>
      <c r="R22">
        <f t="shared" si="10"/>
        <v>0.28117218879987099</v>
      </c>
      <c r="S22">
        <f t="shared" si="11"/>
        <v>241.74487101558287</v>
      </c>
      <c r="T22">
        <f t="shared" si="12"/>
        <v>25.395602150233316</v>
      </c>
      <c r="U22">
        <f t="shared" si="13"/>
        <v>24.983599999999999</v>
      </c>
      <c r="V22">
        <f t="shared" si="14"/>
        <v>3.1765699782461034</v>
      </c>
      <c r="W22">
        <f t="shared" si="15"/>
        <v>55.171313489797868</v>
      </c>
      <c r="X22">
        <f t="shared" si="16"/>
        <v>1.8141959898742648</v>
      </c>
      <c r="Y22">
        <f t="shared" si="17"/>
        <v>3.2882958101219413</v>
      </c>
      <c r="Z22">
        <f t="shared" si="18"/>
        <v>1.3623739883718387</v>
      </c>
      <c r="AA22">
        <f t="shared" si="19"/>
        <v>-271.26796074575918</v>
      </c>
      <c r="AB22">
        <f t="shared" si="20"/>
        <v>94.834555847793581</v>
      </c>
      <c r="AC22">
        <f t="shared" si="21"/>
        <v>6.6438501327998081</v>
      </c>
      <c r="AD22">
        <f t="shared" si="22"/>
        <v>71.95531625041707</v>
      </c>
      <c r="AE22">
        <v>0</v>
      </c>
      <c r="AF22">
        <v>0</v>
      </c>
      <c r="AG22">
        <f t="shared" si="23"/>
        <v>1</v>
      </c>
      <c r="AH22">
        <f t="shared" si="24"/>
        <v>0</v>
      </c>
      <c r="AI22">
        <f t="shared" si="25"/>
        <v>53661.430306223992</v>
      </c>
      <c r="AJ22" t="s">
        <v>343</v>
      </c>
      <c r="AK22" t="s">
        <v>343</v>
      </c>
      <c r="AL22">
        <v>0</v>
      </c>
      <c r="AM22">
        <v>0</v>
      </c>
      <c r="AN22" t="e">
        <f t="shared" si="26"/>
        <v>#DIV/0!</v>
      </c>
      <c r="AO22">
        <v>0</v>
      </c>
      <c r="AP22" t="s">
        <v>343</v>
      </c>
      <c r="AQ22" t="s">
        <v>343</v>
      </c>
      <c r="AR22">
        <v>0</v>
      </c>
      <c r="AS22">
        <v>0</v>
      </c>
      <c r="AT22" t="e">
        <f t="shared" si="27"/>
        <v>#DIV/0!</v>
      </c>
      <c r="AU22">
        <v>0.5</v>
      </c>
      <c r="AV22">
        <f t="shared" si="28"/>
        <v>1261.2503000080767</v>
      </c>
      <c r="AW22">
        <f t="shared" si="29"/>
        <v>23.452854123424327</v>
      </c>
      <c r="AX22" t="e">
        <f t="shared" si="30"/>
        <v>#DIV/0!</v>
      </c>
      <c r="AY22">
        <f t="shared" si="31"/>
        <v>1.8594924515200624E-2</v>
      </c>
      <c r="AZ22" t="e">
        <f t="shared" si="32"/>
        <v>#DIV/0!</v>
      </c>
      <c r="BA22" t="e">
        <f t="shared" si="33"/>
        <v>#DIV/0!</v>
      </c>
      <c r="BB22" t="s">
        <v>343</v>
      </c>
      <c r="BC22">
        <v>0</v>
      </c>
      <c r="BD22" t="e">
        <f t="shared" si="34"/>
        <v>#DIV/0!</v>
      </c>
      <c r="BE22" t="e">
        <f t="shared" si="35"/>
        <v>#DIV/0!</v>
      </c>
      <c r="BF22" t="e">
        <f t="shared" si="36"/>
        <v>#DIV/0!</v>
      </c>
      <c r="BG22" t="e">
        <f t="shared" si="37"/>
        <v>#DIV/0!</v>
      </c>
      <c r="BH22" t="e">
        <f t="shared" si="38"/>
        <v>#DIV/0!</v>
      </c>
      <c r="BI22" t="e">
        <f t="shared" si="39"/>
        <v>#DIV/0!</v>
      </c>
      <c r="BJ22" t="e">
        <f t="shared" si="40"/>
        <v>#DIV/0!</v>
      </c>
      <c r="BK22" t="e">
        <f t="shared" si="41"/>
        <v>#DIV/0!</v>
      </c>
      <c r="BL22">
        <v>117</v>
      </c>
      <c r="BM22">
        <v>290</v>
      </c>
      <c r="BN22">
        <v>998.4</v>
      </c>
      <c r="BO22">
        <v>185</v>
      </c>
      <c r="BP22">
        <v>8132.16</v>
      </c>
      <c r="BQ22">
        <v>996.73</v>
      </c>
      <c r="BR22">
        <v>1.67</v>
      </c>
      <c r="BS22">
        <v>300</v>
      </c>
      <c r="BT22">
        <v>19.100000000000001</v>
      </c>
      <c r="BU22">
        <v>1021.61977518023</v>
      </c>
      <c r="BV22">
        <v>2.7367026859621499</v>
      </c>
      <c r="BW22">
        <v>-20.238360863933099</v>
      </c>
      <c r="BX22">
        <v>1.9901516023113599</v>
      </c>
      <c r="BY22">
        <v>0.78693251800012298</v>
      </c>
      <c r="BZ22">
        <v>-5.3780449388209197E-3</v>
      </c>
      <c r="CA22">
        <v>290</v>
      </c>
      <c r="CB22">
        <v>989.56</v>
      </c>
      <c r="CC22">
        <v>615</v>
      </c>
      <c r="CD22">
        <v>8124.76</v>
      </c>
      <c r="CE22">
        <v>996.71</v>
      </c>
      <c r="CF22">
        <v>-7.15</v>
      </c>
      <c r="CT22">
        <f t="shared" si="42"/>
        <v>1500.04666666667</v>
      </c>
      <c r="CU22">
        <f t="shared" si="43"/>
        <v>1261.2503000080767</v>
      </c>
      <c r="CV22">
        <f t="shared" si="44"/>
        <v>0.84080737488705271</v>
      </c>
      <c r="CW22">
        <f t="shared" si="45"/>
        <v>0.16115823353201167</v>
      </c>
      <c r="CX22">
        <v>2</v>
      </c>
      <c r="CY22">
        <v>0.5</v>
      </c>
      <c r="CZ22" t="s">
        <v>344</v>
      </c>
      <c r="DA22">
        <v>2</v>
      </c>
      <c r="DB22">
        <v>1791094071.5999999</v>
      </c>
      <c r="DC22">
        <v>389.6705</v>
      </c>
      <c r="DD22">
        <v>400.01016666666698</v>
      </c>
      <c r="DE22">
        <v>17.965966666666699</v>
      </c>
      <c r="DF22">
        <v>15.54975</v>
      </c>
      <c r="DG22">
        <v>389.91449999999998</v>
      </c>
      <c r="DH22">
        <v>18.132400000000001</v>
      </c>
      <c r="DI22">
        <v>500.01216666666699</v>
      </c>
      <c r="DJ22">
        <v>100.87966666666701</v>
      </c>
      <c r="DK22">
        <v>9.9925666666666704E-2</v>
      </c>
      <c r="DL22">
        <v>25.564599999999999</v>
      </c>
      <c r="DM22">
        <v>24.983599999999999</v>
      </c>
      <c r="DN22">
        <v>999.9</v>
      </c>
      <c r="DO22">
        <v>0</v>
      </c>
      <c r="DP22">
        <v>0</v>
      </c>
      <c r="DQ22">
        <v>10012.1916666667</v>
      </c>
      <c r="DR22">
        <v>0</v>
      </c>
      <c r="DS22">
        <v>8.4701199999999996</v>
      </c>
      <c r="DT22">
        <v>1500.04666666667</v>
      </c>
      <c r="DU22">
        <v>0.97299899999999995</v>
      </c>
      <c r="DV22">
        <v>2.700135E-2</v>
      </c>
      <c r="DW22">
        <v>0</v>
      </c>
      <c r="DX22">
        <v>281.45016666666697</v>
      </c>
      <c r="DY22">
        <v>4.9999900000000004</v>
      </c>
      <c r="DZ22">
        <v>4167.5983333333297</v>
      </c>
      <c r="EA22">
        <v>14883.0666666667</v>
      </c>
      <c r="EB22">
        <v>37.436999999999998</v>
      </c>
      <c r="EC22">
        <v>39.125</v>
      </c>
      <c r="ED22">
        <v>38.1145</v>
      </c>
      <c r="EE22">
        <v>38.561999999999998</v>
      </c>
      <c r="EF22">
        <v>39.103999999999999</v>
      </c>
      <c r="EG22">
        <v>1454.6766666666699</v>
      </c>
      <c r="EH22">
        <v>40.369999999999997</v>
      </c>
      <c r="EI22">
        <v>0</v>
      </c>
      <c r="EJ22">
        <v>3152.2000000476801</v>
      </c>
      <c r="EK22">
        <v>0</v>
      </c>
      <c r="EL22">
        <v>281.02728000000002</v>
      </c>
      <c r="EM22">
        <v>3.7116922819740799</v>
      </c>
      <c r="EN22">
        <v>37.7823076277258</v>
      </c>
      <c r="EO22">
        <v>4165.3371999999999</v>
      </c>
      <c r="EP22">
        <v>15</v>
      </c>
      <c r="EQ22">
        <v>1791094029.0999999</v>
      </c>
      <c r="ER22" t="s">
        <v>361</v>
      </c>
      <c r="ES22">
        <v>1791094029.0999999</v>
      </c>
      <c r="ET22">
        <v>1791094022.0999999</v>
      </c>
      <c r="EU22">
        <v>44</v>
      </c>
      <c r="EV22">
        <v>-0.32700000000000001</v>
      </c>
      <c r="EW22">
        <v>4.0000000000000001E-3</v>
      </c>
      <c r="EX22">
        <v>-0.23</v>
      </c>
      <c r="EY22">
        <v>-0.17399999999999999</v>
      </c>
      <c r="EZ22">
        <v>400</v>
      </c>
      <c r="FA22">
        <v>15</v>
      </c>
      <c r="FB22">
        <v>0.08</v>
      </c>
      <c r="FC22">
        <v>0.02</v>
      </c>
      <c r="FD22">
        <v>23.413543354929502</v>
      </c>
      <c r="FE22">
        <v>0.57821180973451702</v>
      </c>
      <c r="FF22">
        <v>0.116386772740099</v>
      </c>
      <c r="FG22">
        <v>1</v>
      </c>
      <c r="FH22">
        <v>-10.329135000000001</v>
      </c>
      <c r="FI22">
        <v>-0.199944360902267</v>
      </c>
      <c r="FJ22">
        <v>4.4221242350255097E-2</v>
      </c>
      <c r="FK22">
        <v>1</v>
      </c>
      <c r="FL22">
        <v>280.784882352941</v>
      </c>
      <c r="FM22">
        <v>2.3238502714545999</v>
      </c>
      <c r="FN22">
        <v>0.57954057690278804</v>
      </c>
      <c r="FO22">
        <v>-1</v>
      </c>
      <c r="FP22">
        <v>2</v>
      </c>
      <c r="FQ22">
        <v>2</v>
      </c>
      <c r="FR22" t="s">
        <v>346</v>
      </c>
      <c r="FS22">
        <v>100</v>
      </c>
      <c r="FT22">
        <v>100</v>
      </c>
      <c r="FU22">
        <v>-0.24399999999999999</v>
      </c>
      <c r="FV22">
        <v>-0.16650000000000001</v>
      </c>
      <c r="FW22">
        <v>-0.65486332212032194</v>
      </c>
      <c r="FX22">
        <v>7.6835882421071803E-4</v>
      </c>
      <c r="FY22">
        <v>7.9312579872174805E-7</v>
      </c>
      <c r="FZ22">
        <v>-1.5433145656851401E-10</v>
      </c>
      <c r="GA22">
        <v>-1.8202165445103901E-2</v>
      </c>
      <c r="GB22">
        <v>-2.1578312386681502E-2</v>
      </c>
      <c r="GC22">
        <v>7.7134661959739901E-4</v>
      </c>
      <c r="GD22">
        <v>-1.7684492548540801E-6</v>
      </c>
      <c r="GE22">
        <v>4</v>
      </c>
      <c r="GF22">
        <v>2093</v>
      </c>
      <c r="GG22">
        <v>1</v>
      </c>
      <c r="GH22">
        <v>31</v>
      </c>
      <c r="GI22">
        <v>0.8</v>
      </c>
      <c r="GJ22">
        <v>0.9</v>
      </c>
      <c r="GK22">
        <v>1.0400400000000001</v>
      </c>
      <c r="GL22">
        <v>2.6843300000000001</v>
      </c>
      <c r="GM22">
        <v>1.65161</v>
      </c>
      <c r="GN22">
        <v>2.2814899999999998</v>
      </c>
      <c r="GO22">
        <v>1.5979000000000001</v>
      </c>
      <c r="GP22">
        <v>2.52075</v>
      </c>
      <c r="GQ22">
        <v>38.722499999999997</v>
      </c>
      <c r="GR22">
        <v>24.008700000000001</v>
      </c>
      <c r="GS22">
        <v>18</v>
      </c>
      <c r="GT22">
        <v>509.07400000000001</v>
      </c>
      <c r="GU22">
        <v>500.87700000000001</v>
      </c>
      <c r="GV22">
        <v>21.7957</v>
      </c>
      <c r="GW22">
        <v>30.872499999999999</v>
      </c>
      <c r="GX22">
        <v>29.998799999999999</v>
      </c>
      <c r="GY22">
        <v>31.1447</v>
      </c>
      <c r="GZ22">
        <v>31.219000000000001</v>
      </c>
      <c r="HA22">
        <v>20.801600000000001</v>
      </c>
      <c r="HB22">
        <v>30.6143</v>
      </c>
      <c r="HC22">
        <v>0</v>
      </c>
      <c r="HD22">
        <v>21.822900000000001</v>
      </c>
      <c r="HE22">
        <v>400</v>
      </c>
      <c r="HF22">
        <v>15.5358</v>
      </c>
      <c r="HG22">
        <v>97.783100000000005</v>
      </c>
      <c r="HH22">
        <v>94.368300000000005</v>
      </c>
    </row>
    <row r="23" spans="1:216" x14ac:dyDescent="0.6">
      <c r="A23">
        <v>7</v>
      </c>
      <c r="B23">
        <v>1791094196.0999999</v>
      </c>
      <c r="C23">
        <v>726.09999990463302</v>
      </c>
      <c r="D23" t="s">
        <v>362</v>
      </c>
      <c r="E23" t="s">
        <v>363</v>
      </c>
      <c r="F23">
        <v>5</v>
      </c>
      <c r="G23">
        <v>1791094193.0999999</v>
      </c>
      <c r="H23">
        <f t="shared" si="0"/>
        <v>6.1032932444503776E-3</v>
      </c>
      <c r="I23">
        <f t="shared" si="1"/>
        <v>6.1032932444503771</v>
      </c>
      <c r="J23">
        <f t="shared" si="2"/>
        <v>24.130396869662057</v>
      </c>
      <c r="K23">
        <f t="shared" si="3"/>
        <v>389.40460000000002</v>
      </c>
      <c r="L23">
        <f t="shared" si="4"/>
        <v>295.29468635764408</v>
      </c>
      <c r="M23">
        <f t="shared" si="5"/>
        <v>29.818836521531107</v>
      </c>
      <c r="N23">
        <f t="shared" si="6"/>
        <v>39.322048938154325</v>
      </c>
      <c r="O23">
        <f t="shared" si="7"/>
        <v>0.47915016451245579</v>
      </c>
      <c r="P23">
        <f t="shared" si="8"/>
        <v>3.0269569478140461</v>
      </c>
      <c r="Q23">
        <f t="shared" si="9"/>
        <v>0.44065325339819567</v>
      </c>
      <c r="R23">
        <f t="shared" si="10"/>
        <v>0.27860887465860562</v>
      </c>
      <c r="S23">
        <f t="shared" si="11"/>
        <v>241.74380701558241</v>
      </c>
      <c r="T23">
        <f t="shared" si="12"/>
        <v>25.44996089464421</v>
      </c>
      <c r="U23">
        <f t="shared" si="13"/>
        <v>24.998539999999998</v>
      </c>
      <c r="V23">
        <f t="shared" si="14"/>
        <v>3.179400829052264</v>
      </c>
      <c r="W23">
        <f t="shared" si="15"/>
        <v>55.06835206174501</v>
      </c>
      <c r="X23">
        <f t="shared" si="16"/>
        <v>1.8153626379958321</v>
      </c>
      <c r="Y23">
        <f t="shared" si="17"/>
        <v>3.2965624901220387</v>
      </c>
      <c r="Z23">
        <f t="shared" si="18"/>
        <v>1.3640381910564319</v>
      </c>
      <c r="AA23">
        <f t="shared" si="19"/>
        <v>-269.15523208026167</v>
      </c>
      <c r="AB23">
        <f t="shared" si="20"/>
        <v>99.277844355164504</v>
      </c>
      <c r="AC23">
        <f t="shared" si="21"/>
        <v>6.9587205146391504</v>
      </c>
      <c r="AD23">
        <f t="shared" si="22"/>
        <v>78.82513980512438</v>
      </c>
      <c r="AE23">
        <v>0</v>
      </c>
      <c r="AF23">
        <v>0</v>
      </c>
      <c r="AG23">
        <f t="shared" si="23"/>
        <v>1</v>
      </c>
      <c r="AH23">
        <f t="shared" si="24"/>
        <v>0</v>
      </c>
      <c r="AI23">
        <f t="shared" si="25"/>
        <v>53632.42571401599</v>
      </c>
      <c r="AJ23" t="s">
        <v>343</v>
      </c>
      <c r="AK23" t="s">
        <v>343</v>
      </c>
      <c r="AL23">
        <v>0</v>
      </c>
      <c r="AM23">
        <v>0</v>
      </c>
      <c r="AN23" t="e">
        <f t="shared" si="26"/>
        <v>#DIV/0!</v>
      </c>
      <c r="AO23">
        <v>0</v>
      </c>
      <c r="AP23" t="s">
        <v>343</v>
      </c>
      <c r="AQ23" t="s">
        <v>343</v>
      </c>
      <c r="AR23">
        <v>0</v>
      </c>
      <c r="AS23">
        <v>0</v>
      </c>
      <c r="AT23" t="e">
        <f t="shared" si="27"/>
        <v>#DIV/0!</v>
      </c>
      <c r="AU23">
        <v>0.5</v>
      </c>
      <c r="AV23">
        <f t="shared" si="28"/>
        <v>1261.244700008074</v>
      </c>
      <c r="AW23">
        <f t="shared" si="29"/>
        <v>24.130396869662057</v>
      </c>
      <c r="AX23" t="e">
        <f t="shared" si="30"/>
        <v>#DIV/0!</v>
      </c>
      <c r="AY23">
        <f t="shared" si="31"/>
        <v>1.9132208737533313E-2</v>
      </c>
      <c r="AZ23" t="e">
        <f t="shared" si="32"/>
        <v>#DIV/0!</v>
      </c>
      <c r="BA23" t="e">
        <f t="shared" si="33"/>
        <v>#DIV/0!</v>
      </c>
      <c r="BB23" t="s">
        <v>343</v>
      </c>
      <c r="BC23">
        <v>0</v>
      </c>
      <c r="BD23" t="e">
        <f t="shared" si="34"/>
        <v>#DIV/0!</v>
      </c>
      <c r="BE23" t="e">
        <f t="shared" si="35"/>
        <v>#DIV/0!</v>
      </c>
      <c r="BF23" t="e">
        <f t="shared" si="36"/>
        <v>#DIV/0!</v>
      </c>
      <c r="BG23" t="e">
        <f t="shared" si="37"/>
        <v>#DIV/0!</v>
      </c>
      <c r="BH23" t="e">
        <f t="shared" si="38"/>
        <v>#DIV/0!</v>
      </c>
      <c r="BI23" t="e">
        <f t="shared" si="39"/>
        <v>#DIV/0!</v>
      </c>
      <c r="BJ23" t="e">
        <f t="shared" si="40"/>
        <v>#DIV/0!</v>
      </c>
      <c r="BK23" t="e">
        <f t="shared" si="41"/>
        <v>#DIV/0!</v>
      </c>
      <c r="BL23">
        <v>117</v>
      </c>
      <c r="BM23">
        <v>290</v>
      </c>
      <c r="BN23">
        <v>998.4</v>
      </c>
      <c r="BO23">
        <v>185</v>
      </c>
      <c r="BP23">
        <v>8132.16</v>
      </c>
      <c r="BQ23">
        <v>996.73</v>
      </c>
      <c r="BR23">
        <v>1.67</v>
      </c>
      <c r="BS23">
        <v>300</v>
      </c>
      <c r="BT23">
        <v>19.100000000000001</v>
      </c>
      <c r="BU23">
        <v>1021.61977518023</v>
      </c>
      <c r="BV23">
        <v>2.7367026859621499</v>
      </c>
      <c r="BW23">
        <v>-20.238360863933099</v>
      </c>
      <c r="BX23">
        <v>1.9901516023113599</v>
      </c>
      <c r="BY23">
        <v>0.78693251800012298</v>
      </c>
      <c r="BZ23">
        <v>-5.3780449388209197E-3</v>
      </c>
      <c r="CA23">
        <v>290</v>
      </c>
      <c r="CB23">
        <v>989.56</v>
      </c>
      <c r="CC23">
        <v>615</v>
      </c>
      <c r="CD23">
        <v>8124.76</v>
      </c>
      <c r="CE23">
        <v>996.71</v>
      </c>
      <c r="CF23">
        <v>-7.15</v>
      </c>
      <c r="CT23">
        <f t="shared" si="42"/>
        <v>1500.04</v>
      </c>
      <c r="CU23">
        <f t="shared" si="43"/>
        <v>1261.244700008074</v>
      </c>
      <c r="CV23">
        <f t="shared" si="44"/>
        <v>0.84080737847528997</v>
      </c>
      <c r="CW23">
        <f t="shared" si="45"/>
        <v>0.16115824045730942</v>
      </c>
      <c r="CX23">
        <v>2</v>
      </c>
      <c r="CY23">
        <v>0.5</v>
      </c>
      <c r="CZ23" t="s">
        <v>344</v>
      </c>
      <c r="DA23">
        <v>2</v>
      </c>
      <c r="DB23">
        <v>1791094193.0999999</v>
      </c>
      <c r="DC23">
        <v>389.40460000000002</v>
      </c>
      <c r="DD23">
        <v>400.00799999999998</v>
      </c>
      <c r="DE23">
        <v>17.977460000000001</v>
      </c>
      <c r="DF23">
        <v>15.5799</v>
      </c>
      <c r="DG23">
        <v>389.60759999999999</v>
      </c>
      <c r="DH23">
        <v>18.143840000000001</v>
      </c>
      <c r="DI23">
        <v>499.9726</v>
      </c>
      <c r="DJ23">
        <v>100.88</v>
      </c>
      <c r="DK23">
        <v>9.9929199999999996E-2</v>
      </c>
      <c r="DL23">
        <v>25.6069</v>
      </c>
      <c r="DM23">
        <v>24.998539999999998</v>
      </c>
      <c r="DN23">
        <v>999.9</v>
      </c>
      <c r="DO23">
        <v>0</v>
      </c>
      <c r="DP23">
        <v>0</v>
      </c>
      <c r="DQ23">
        <v>10007.992</v>
      </c>
      <c r="DR23">
        <v>0</v>
      </c>
      <c r="DS23">
        <v>8.4701199999999996</v>
      </c>
      <c r="DT23">
        <v>1500.04</v>
      </c>
      <c r="DU23">
        <v>0.97299740000000001</v>
      </c>
      <c r="DV23">
        <v>2.7002559999999998E-2</v>
      </c>
      <c r="DW23">
        <v>0</v>
      </c>
      <c r="DX23">
        <v>286.12619999999998</v>
      </c>
      <c r="DY23">
        <v>4.9999900000000004</v>
      </c>
      <c r="DZ23">
        <v>4245.3119999999999</v>
      </c>
      <c r="EA23">
        <v>14882.94</v>
      </c>
      <c r="EB23">
        <v>37.311999999999998</v>
      </c>
      <c r="EC23">
        <v>38.987400000000001</v>
      </c>
      <c r="ED23">
        <v>37.936999999999998</v>
      </c>
      <c r="EE23">
        <v>38.375</v>
      </c>
      <c r="EF23">
        <v>38.936999999999998</v>
      </c>
      <c r="EG23">
        <v>1454.67</v>
      </c>
      <c r="EH23">
        <v>40.369999999999997</v>
      </c>
      <c r="EI23">
        <v>0</v>
      </c>
      <c r="EJ23">
        <v>3272.7999999523199</v>
      </c>
      <c r="EK23">
        <v>0</v>
      </c>
      <c r="EL23">
        <v>286.43057692307701</v>
      </c>
      <c r="EM23">
        <v>2.2442735124570001</v>
      </c>
      <c r="EN23">
        <v>26.289572622945698</v>
      </c>
      <c r="EO23">
        <v>4242.9065384615396</v>
      </c>
      <c r="EP23">
        <v>15</v>
      </c>
      <c r="EQ23">
        <v>1791094131.0999999</v>
      </c>
      <c r="ER23" t="s">
        <v>364</v>
      </c>
      <c r="ES23">
        <v>1791094126.0999999</v>
      </c>
      <c r="ET23">
        <v>1791094131.0999999</v>
      </c>
      <c r="EU23">
        <v>45</v>
      </c>
      <c r="EV23">
        <v>4.1000000000000002E-2</v>
      </c>
      <c r="EW23">
        <v>0</v>
      </c>
      <c r="EX23">
        <v>-0.189</v>
      </c>
      <c r="EY23">
        <v>-0.17399999999999999</v>
      </c>
      <c r="EZ23">
        <v>400</v>
      </c>
      <c r="FA23">
        <v>15</v>
      </c>
      <c r="FB23">
        <v>0.18</v>
      </c>
      <c r="FC23">
        <v>0.04</v>
      </c>
      <c r="FD23">
        <v>24.1046926167222</v>
      </c>
      <c r="FE23">
        <v>0.56781484472907895</v>
      </c>
      <c r="FF23">
        <v>7.4227854077900002E-2</v>
      </c>
      <c r="FG23">
        <v>1</v>
      </c>
      <c r="FH23">
        <v>-10.591695</v>
      </c>
      <c r="FI23">
        <v>-0.18171879699246299</v>
      </c>
      <c r="FJ23">
        <v>2.8503078342522799E-2</v>
      </c>
      <c r="FK23">
        <v>1</v>
      </c>
      <c r="FL23">
        <v>286.40952941176499</v>
      </c>
      <c r="FM23">
        <v>0.43394958716903298</v>
      </c>
      <c r="FN23">
        <v>0.43772830918773598</v>
      </c>
      <c r="FO23">
        <v>-1</v>
      </c>
      <c r="FP23">
        <v>2</v>
      </c>
      <c r="FQ23">
        <v>2</v>
      </c>
      <c r="FR23" t="s">
        <v>346</v>
      </c>
      <c r="FS23">
        <v>100</v>
      </c>
      <c r="FT23">
        <v>100</v>
      </c>
      <c r="FU23">
        <v>-0.20300000000000001</v>
      </c>
      <c r="FV23">
        <v>-0.16639999999999999</v>
      </c>
      <c r="FW23">
        <v>-0.61355202723341096</v>
      </c>
      <c r="FX23">
        <v>7.6835882421071803E-4</v>
      </c>
      <c r="FY23">
        <v>7.9312579872174805E-7</v>
      </c>
      <c r="FZ23">
        <v>-1.5433145656851401E-10</v>
      </c>
      <c r="GA23">
        <v>-1.82434221898812E-2</v>
      </c>
      <c r="GB23">
        <v>-2.1578312386681502E-2</v>
      </c>
      <c r="GC23">
        <v>7.7134661959739901E-4</v>
      </c>
      <c r="GD23">
        <v>-1.7684492548540801E-6</v>
      </c>
      <c r="GE23">
        <v>4</v>
      </c>
      <c r="GF23">
        <v>2093</v>
      </c>
      <c r="GG23">
        <v>1</v>
      </c>
      <c r="GH23">
        <v>31</v>
      </c>
      <c r="GI23">
        <v>1.2</v>
      </c>
      <c r="GJ23">
        <v>1.1000000000000001</v>
      </c>
      <c r="GK23">
        <v>1.0400400000000001</v>
      </c>
      <c r="GL23">
        <v>2.6843300000000001</v>
      </c>
      <c r="GM23">
        <v>1.65161</v>
      </c>
      <c r="GN23">
        <v>2.2814899999999998</v>
      </c>
      <c r="GO23">
        <v>1.5979000000000001</v>
      </c>
      <c r="GP23">
        <v>2.48291</v>
      </c>
      <c r="GQ23">
        <v>38.648699999999998</v>
      </c>
      <c r="GR23">
        <v>24.008700000000001</v>
      </c>
      <c r="GS23">
        <v>18</v>
      </c>
      <c r="GT23">
        <v>509.06900000000002</v>
      </c>
      <c r="GU23">
        <v>501.94299999999998</v>
      </c>
      <c r="GV23">
        <v>21.970700000000001</v>
      </c>
      <c r="GW23">
        <v>30.733799999999999</v>
      </c>
      <c r="GX23">
        <v>29.999600000000001</v>
      </c>
      <c r="GY23">
        <v>31.0062</v>
      </c>
      <c r="GZ23">
        <v>31.082100000000001</v>
      </c>
      <c r="HA23">
        <v>20.804200000000002</v>
      </c>
      <c r="HB23">
        <v>29.934799999999999</v>
      </c>
      <c r="HC23">
        <v>0</v>
      </c>
      <c r="HD23">
        <v>21.9697</v>
      </c>
      <c r="HE23">
        <v>400</v>
      </c>
      <c r="HF23">
        <v>15.5825</v>
      </c>
      <c r="HG23">
        <v>97.808000000000007</v>
      </c>
      <c r="HH23">
        <v>94.397099999999995</v>
      </c>
    </row>
    <row r="24" spans="1:216" x14ac:dyDescent="0.6">
      <c r="A24">
        <v>8</v>
      </c>
      <c r="B24">
        <v>1791094317.0999999</v>
      </c>
      <c r="C24">
        <v>847.09999990463302</v>
      </c>
      <c r="D24" t="s">
        <v>365</v>
      </c>
      <c r="E24" t="s">
        <v>366</v>
      </c>
      <c r="F24">
        <v>5</v>
      </c>
      <c r="G24">
        <v>1791094313.5999999</v>
      </c>
      <c r="H24">
        <f t="shared" si="0"/>
        <v>6.0454881171440556E-3</v>
      </c>
      <c r="I24">
        <f t="shared" si="1"/>
        <v>6.045488117144056</v>
      </c>
      <c r="J24">
        <f t="shared" si="2"/>
        <v>32.152703852082908</v>
      </c>
      <c r="K24">
        <f t="shared" si="3"/>
        <v>685.473833333333</v>
      </c>
      <c r="L24">
        <f t="shared" si="4"/>
        <v>555.02557737334575</v>
      </c>
      <c r="M24">
        <f t="shared" si="5"/>
        <v>56.045648645969983</v>
      </c>
      <c r="N24">
        <f t="shared" si="6"/>
        <v>69.218117479951516</v>
      </c>
      <c r="O24">
        <f t="shared" si="7"/>
        <v>0.47289241121279063</v>
      </c>
      <c r="P24">
        <f t="shared" si="8"/>
        <v>3.0276278304108</v>
      </c>
      <c r="Q24">
        <f t="shared" si="9"/>
        <v>0.43535991262873835</v>
      </c>
      <c r="R24">
        <f t="shared" si="10"/>
        <v>0.27522342718381015</v>
      </c>
      <c r="S24">
        <f t="shared" si="11"/>
        <v>241.73848701558333</v>
      </c>
      <c r="T24">
        <f t="shared" si="12"/>
        <v>25.432101878599013</v>
      </c>
      <c r="U24">
        <f t="shared" si="13"/>
        <v>25.00055</v>
      </c>
      <c r="V24">
        <f t="shared" si="14"/>
        <v>3.1797818546904146</v>
      </c>
      <c r="W24">
        <f t="shared" si="15"/>
        <v>55.079487005607966</v>
      </c>
      <c r="X24">
        <f t="shared" si="16"/>
        <v>1.8122358425303187</v>
      </c>
      <c r="Y24">
        <f t="shared" si="17"/>
        <v>3.2902191742377784</v>
      </c>
      <c r="Z24">
        <f t="shared" si="18"/>
        <v>1.367546012160096</v>
      </c>
      <c r="AA24">
        <f t="shared" si="19"/>
        <v>-266.60602596605287</v>
      </c>
      <c r="AB24">
        <f t="shared" si="20"/>
        <v>93.675098147283876</v>
      </c>
      <c r="AC24">
        <f t="shared" si="21"/>
        <v>6.5635445987103944</v>
      </c>
      <c r="AD24">
        <f t="shared" si="22"/>
        <v>75.371103795524732</v>
      </c>
      <c r="AE24">
        <v>0</v>
      </c>
      <c r="AF24">
        <v>0</v>
      </c>
      <c r="AG24">
        <f t="shared" si="23"/>
        <v>1</v>
      </c>
      <c r="AH24">
        <f t="shared" si="24"/>
        <v>0</v>
      </c>
      <c r="AI24">
        <f t="shared" si="25"/>
        <v>53659.085269987263</v>
      </c>
      <c r="AJ24" t="s">
        <v>343</v>
      </c>
      <c r="AK24" t="s">
        <v>343</v>
      </c>
      <c r="AL24">
        <v>0</v>
      </c>
      <c r="AM24">
        <v>0</v>
      </c>
      <c r="AN24" t="e">
        <f t="shared" si="26"/>
        <v>#DIV/0!</v>
      </c>
      <c r="AO24">
        <v>0</v>
      </c>
      <c r="AP24" t="s">
        <v>343</v>
      </c>
      <c r="AQ24" t="s">
        <v>343</v>
      </c>
      <c r="AR24">
        <v>0</v>
      </c>
      <c r="AS24">
        <v>0</v>
      </c>
      <c r="AT24" t="e">
        <f t="shared" si="27"/>
        <v>#DIV/0!</v>
      </c>
      <c r="AU24">
        <v>0.5</v>
      </c>
      <c r="AV24">
        <f t="shared" si="28"/>
        <v>1261.2167000080767</v>
      </c>
      <c r="AW24">
        <f t="shared" si="29"/>
        <v>32.152703852082908</v>
      </c>
      <c r="AX24" t="e">
        <f t="shared" si="30"/>
        <v>#DIV/0!</v>
      </c>
      <c r="AY24">
        <f t="shared" si="31"/>
        <v>2.549340161121955E-2</v>
      </c>
      <c r="AZ24" t="e">
        <f t="shared" si="32"/>
        <v>#DIV/0!</v>
      </c>
      <c r="BA24" t="e">
        <f t="shared" si="33"/>
        <v>#DIV/0!</v>
      </c>
      <c r="BB24" t="s">
        <v>343</v>
      </c>
      <c r="BC24">
        <v>0</v>
      </c>
      <c r="BD24" t="e">
        <f t="shared" si="34"/>
        <v>#DIV/0!</v>
      </c>
      <c r="BE24" t="e">
        <f t="shared" si="35"/>
        <v>#DIV/0!</v>
      </c>
      <c r="BF24" t="e">
        <f t="shared" si="36"/>
        <v>#DIV/0!</v>
      </c>
      <c r="BG24" t="e">
        <f t="shared" si="37"/>
        <v>#DIV/0!</v>
      </c>
      <c r="BH24" t="e">
        <f t="shared" si="38"/>
        <v>#DIV/0!</v>
      </c>
      <c r="BI24" t="e">
        <f t="shared" si="39"/>
        <v>#DIV/0!</v>
      </c>
      <c r="BJ24" t="e">
        <f t="shared" si="40"/>
        <v>#DIV/0!</v>
      </c>
      <c r="BK24" t="e">
        <f t="shared" si="41"/>
        <v>#DIV/0!</v>
      </c>
      <c r="BL24">
        <v>117</v>
      </c>
      <c r="BM24">
        <v>290</v>
      </c>
      <c r="BN24">
        <v>998.4</v>
      </c>
      <c r="BO24">
        <v>185</v>
      </c>
      <c r="BP24">
        <v>8132.16</v>
      </c>
      <c r="BQ24">
        <v>996.73</v>
      </c>
      <c r="BR24">
        <v>1.67</v>
      </c>
      <c r="BS24">
        <v>300</v>
      </c>
      <c r="BT24">
        <v>19.100000000000001</v>
      </c>
      <c r="BU24">
        <v>1021.61977518023</v>
      </c>
      <c r="BV24">
        <v>2.7367026859621499</v>
      </c>
      <c r="BW24">
        <v>-20.238360863933099</v>
      </c>
      <c r="BX24">
        <v>1.9901516023113599</v>
      </c>
      <c r="BY24">
        <v>0.78693251800012298</v>
      </c>
      <c r="BZ24">
        <v>-5.3780449388209197E-3</v>
      </c>
      <c r="CA24">
        <v>290</v>
      </c>
      <c r="CB24">
        <v>989.56</v>
      </c>
      <c r="CC24">
        <v>615</v>
      </c>
      <c r="CD24">
        <v>8124.76</v>
      </c>
      <c r="CE24">
        <v>996.71</v>
      </c>
      <c r="CF24">
        <v>-7.15</v>
      </c>
      <c r="CT24">
        <f t="shared" si="42"/>
        <v>1500.0066666666701</v>
      </c>
      <c r="CU24">
        <f t="shared" si="43"/>
        <v>1261.2167000080767</v>
      </c>
      <c r="CV24">
        <f t="shared" si="44"/>
        <v>0.84080739641695412</v>
      </c>
      <c r="CW24">
        <f t="shared" si="45"/>
        <v>0.16115827508472147</v>
      </c>
      <c r="CX24">
        <v>2</v>
      </c>
      <c r="CY24">
        <v>0.5</v>
      </c>
      <c r="CZ24" t="s">
        <v>344</v>
      </c>
      <c r="DA24">
        <v>2</v>
      </c>
      <c r="DB24">
        <v>1791094313.5999999</v>
      </c>
      <c r="DC24">
        <v>685.473833333333</v>
      </c>
      <c r="DD24">
        <v>699.99366666666697</v>
      </c>
      <c r="DE24">
        <v>17.946750000000002</v>
      </c>
      <c r="DF24">
        <v>15.571766666666701</v>
      </c>
      <c r="DG24">
        <v>685.10500000000002</v>
      </c>
      <c r="DH24">
        <v>18.115866666666701</v>
      </c>
      <c r="DI24">
        <v>499.96066666666701</v>
      </c>
      <c r="DJ24">
        <v>100.878666666667</v>
      </c>
      <c r="DK24">
        <v>9.9830416666666699E-2</v>
      </c>
      <c r="DL24">
        <v>25.574449999999999</v>
      </c>
      <c r="DM24">
        <v>25.00055</v>
      </c>
      <c r="DN24">
        <v>999.9</v>
      </c>
      <c r="DO24">
        <v>0</v>
      </c>
      <c r="DP24">
        <v>0</v>
      </c>
      <c r="DQ24">
        <v>10012.1833333333</v>
      </c>
      <c r="DR24">
        <v>0</v>
      </c>
      <c r="DS24">
        <v>8.4564699999999995</v>
      </c>
      <c r="DT24">
        <v>1500.0066666666701</v>
      </c>
      <c r="DU24">
        <v>0.97299483333333303</v>
      </c>
      <c r="DV24">
        <v>2.7004766666666701E-2</v>
      </c>
      <c r="DW24">
        <v>0</v>
      </c>
      <c r="DX24">
        <v>288.70933333333301</v>
      </c>
      <c r="DY24">
        <v>4.9999900000000004</v>
      </c>
      <c r="DZ24">
        <v>4273.8816666666698</v>
      </c>
      <c r="EA24">
        <v>14882.583333333299</v>
      </c>
      <c r="EB24">
        <v>37.125</v>
      </c>
      <c r="EC24">
        <v>38.832999999999998</v>
      </c>
      <c r="ED24">
        <v>37.770666666666699</v>
      </c>
      <c r="EE24">
        <v>38.25</v>
      </c>
      <c r="EF24">
        <v>38.811999999999998</v>
      </c>
      <c r="EG24">
        <v>1454.63666666667</v>
      </c>
      <c r="EH24">
        <v>40.369999999999997</v>
      </c>
      <c r="EI24">
        <v>0</v>
      </c>
      <c r="EJ24">
        <v>3394</v>
      </c>
      <c r="EK24">
        <v>0</v>
      </c>
      <c r="EL24">
        <v>288.85903846153798</v>
      </c>
      <c r="EM24">
        <v>-0.57193161434147299</v>
      </c>
      <c r="EN24">
        <v>-8.0242735204977205</v>
      </c>
      <c r="EO24">
        <v>4274.3434615384604</v>
      </c>
      <c r="EP24">
        <v>15</v>
      </c>
      <c r="EQ24">
        <v>1791094257.0999999</v>
      </c>
      <c r="ER24" t="s">
        <v>367</v>
      </c>
      <c r="ES24">
        <v>1791094257.0999999</v>
      </c>
      <c r="ET24">
        <v>1791094257.0999999</v>
      </c>
      <c r="EU24">
        <v>46</v>
      </c>
      <c r="EV24">
        <v>0.13300000000000001</v>
      </c>
      <c r="EW24">
        <v>-3.0000000000000001E-3</v>
      </c>
      <c r="EX24">
        <v>0.39300000000000002</v>
      </c>
      <c r="EY24">
        <v>-0.17599999999999999</v>
      </c>
      <c r="EZ24">
        <v>700</v>
      </c>
      <c r="FA24">
        <v>16</v>
      </c>
      <c r="FB24">
        <v>0.06</v>
      </c>
      <c r="FC24">
        <v>0.02</v>
      </c>
      <c r="FD24">
        <v>32.249443452700604</v>
      </c>
      <c r="FE24">
        <v>-0.72563451363381204</v>
      </c>
      <c r="FF24">
        <v>0.109064401265133</v>
      </c>
      <c r="FG24">
        <v>0</v>
      </c>
      <c r="FH24">
        <v>-14.555571428571399</v>
      </c>
      <c r="FI24">
        <v>0.36620259740258698</v>
      </c>
      <c r="FJ24">
        <v>5.0575997910331502E-2</v>
      </c>
      <c r="FK24">
        <v>1</v>
      </c>
      <c r="FL24">
        <v>288.88791176470602</v>
      </c>
      <c r="FM24">
        <v>6.2597413954887396E-2</v>
      </c>
      <c r="FN24">
        <v>0.36933384926721202</v>
      </c>
      <c r="FO24">
        <v>-1</v>
      </c>
      <c r="FP24">
        <v>1</v>
      </c>
      <c r="FQ24">
        <v>2</v>
      </c>
      <c r="FR24" t="s">
        <v>368</v>
      </c>
      <c r="FS24">
        <v>100</v>
      </c>
      <c r="FT24">
        <v>100</v>
      </c>
      <c r="FU24">
        <v>0.36899999999999999</v>
      </c>
      <c r="FV24">
        <v>-0.16919999999999999</v>
      </c>
      <c r="FW24">
        <v>-0.48001677394023701</v>
      </c>
      <c r="FX24">
        <v>7.6835882421071803E-4</v>
      </c>
      <c r="FY24">
        <v>7.9312579872174805E-7</v>
      </c>
      <c r="FZ24">
        <v>-1.5433145656851401E-10</v>
      </c>
      <c r="GA24">
        <v>-2.0835440798462699E-2</v>
      </c>
      <c r="GB24">
        <v>-2.1578312386681502E-2</v>
      </c>
      <c r="GC24">
        <v>7.7134661959739901E-4</v>
      </c>
      <c r="GD24">
        <v>-1.7684492548540801E-6</v>
      </c>
      <c r="GE24">
        <v>4</v>
      </c>
      <c r="GF24">
        <v>2093</v>
      </c>
      <c r="GG24">
        <v>1</v>
      </c>
      <c r="GH24">
        <v>31</v>
      </c>
      <c r="GI24">
        <v>1</v>
      </c>
      <c r="GJ24">
        <v>1</v>
      </c>
      <c r="GK24">
        <v>1.6272</v>
      </c>
      <c r="GL24">
        <v>2.6721200000000001</v>
      </c>
      <c r="GM24">
        <v>1.65161</v>
      </c>
      <c r="GN24">
        <v>2.2814899999999998</v>
      </c>
      <c r="GO24">
        <v>1.5979000000000001</v>
      </c>
      <c r="GP24">
        <v>2.50122</v>
      </c>
      <c r="GQ24">
        <v>38.5259</v>
      </c>
      <c r="GR24">
        <v>24.017499999999998</v>
      </c>
      <c r="GS24">
        <v>18</v>
      </c>
      <c r="GT24">
        <v>508.49900000000002</v>
      </c>
      <c r="GU24">
        <v>503.61200000000002</v>
      </c>
      <c r="GV24">
        <v>21.759799999999998</v>
      </c>
      <c r="GW24">
        <v>30.601500000000001</v>
      </c>
      <c r="GX24">
        <v>29.999600000000001</v>
      </c>
      <c r="GY24">
        <v>30.870899999999999</v>
      </c>
      <c r="GZ24">
        <v>30.9483</v>
      </c>
      <c r="HA24">
        <v>32.516800000000003</v>
      </c>
      <c r="HB24">
        <v>29.500900000000001</v>
      </c>
      <c r="HC24">
        <v>0</v>
      </c>
      <c r="HD24">
        <v>21.764399999999998</v>
      </c>
      <c r="HE24">
        <v>700</v>
      </c>
      <c r="HF24">
        <v>15.619899999999999</v>
      </c>
      <c r="HG24">
        <v>97.833299999999994</v>
      </c>
      <c r="HH24">
        <v>94.422600000000003</v>
      </c>
    </row>
    <row r="25" spans="1:216" x14ac:dyDescent="0.6">
      <c r="A25">
        <v>9</v>
      </c>
      <c r="B25">
        <v>1791094438.0999999</v>
      </c>
      <c r="C25">
        <v>968.09999990463302</v>
      </c>
      <c r="D25" t="s">
        <v>369</v>
      </c>
      <c r="E25" t="s">
        <v>370</v>
      </c>
      <c r="F25">
        <v>5</v>
      </c>
      <c r="G25">
        <v>1791094435.0999999</v>
      </c>
      <c r="H25">
        <f t="shared" si="0"/>
        <v>5.8464513044456648E-3</v>
      </c>
      <c r="I25">
        <f t="shared" si="1"/>
        <v>5.8464513044456652</v>
      </c>
      <c r="J25">
        <f t="shared" si="2"/>
        <v>34.813703778137786</v>
      </c>
      <c r="K25">
        <f t="shared" si="3"/>
        <v>983.79899999999998</v>
      </c>
      <c r="L25">
        <f t="shared" si="4"/>
        <v>832.75401736301774</v>
      </c>
      <c r="M25">
        <f t="shared" si="5"/>
        <v>84.089742313209882</v>
      </c>
      <c r="N25">
        <f t="shared" si="6"/>
        <v>99.341945728411503</v>
      </c>
      <c r="O25">
        <f t="shared" si="7"/>
        <v>0.45526456321302988</v>
      </c>
      <c r="P25">
        <f t="shared" si="8"/>
        <v>3.0276718681040018</v>
      </c>
      <c r="Q25">
        <f t="shared" si="9"/>
        <v>0.42036797107141965</v>
      </c>
      <c r="R25">
        <f t="shared" si="10"/>
        <v>0.26564204554578846</v>
      </c>
      <c r="S25">
        <f t="shared" si="11"/>
        <v>241.73518861558298</v>
      </c>
      <c r="T25">
        <f t="shared" si="12"/>
        <v>25.412874807858007</v>
      </c>
      <c r="U25">
        <f t="shared" si="13"/>
        <v>25.00366</v>
      </c>
      <c r="V25">
        <f t="shared" si="14"/>
        <v>3.1803714804577208</v>
      </c>
      <c r="W25">
        <f t="shared" si="15"/>
        <v>55.259762877036067</v>
      </c>
      <c r="X25">
        <f t="shared" si="16"/>
        <v>1.8106850076377501</v>
      </c>
      <c r="Y25">
        <f t="shared" si="17"/>
        <v>3.2766789312268374</v>
      </c>
      <c r="Z25">
        <f t="shared" si="18"/>
        <v>1.3696864728199707</v>
      </c>
      <c r="AA25">
        <f t="shared" si="19"/>
        <v>-257.8285025260538</v>
      </c>
      <c r="AB25">
        <f t="shared" si="20"/>
        <v>81.832648189920633</v>
      </c>
      <c r="AC25">
        <f t="shared" si="21"/>
        <v>5.731780977634628</v>
      </c>
      <c r="AD25">
        <f t="shared" si="22"/>
        <v>71.471115257084449</v>
      </c>
      <c r="AE25">
        <v>0</v>
      </c>
      <c r="AF25">
        <v>0</v>
      </c>
      <c r="AG25">
        <f t="shared" si="23"/>
        <v>1</v>
      </c>
      <c r="AH25">
        <f t="shared" si="24"/>
        <v>0</v>
      </c>
      <c r="AI25">
        <f t="shared" si="25"/>
        <v>53672.924738559857</v>
      </c>
      <c r="AJ25" t="s">
        <v>343</v>
      </c>
      <c r="AK25" t="s">
        <v>343</v>
      </c>
      <c r="AL25">
        <v>0</v>
      </c>
      <c r="AM25">
        <v>0</v>
      </c>
      <c r="AN25" t="e">
        <f t="shared" si="26"/>
        <v>#DIV/0!</v>
      </c>
      <c r="AO25">
        <v>0</v>
      </c>
      <c r="AP25" t="s">
        <v>343</v>
      </c>
      <c r="AQ25" t="s">
        <v>343</v>
      </c>
      <c r="AR25">
        <v>0</v>
      </c>
      <c r="AS25">
        <v>0</v>
      </c>
      <c r="AT25" t="e">
        <f t="shared" si="27"/>
        <v>#DIV/0!</v>
      </c>
      <c r="AU25">
        <v>0.5</v>
      </c>
      <c r="AV25">
        <f t="shared" si="28"/>
        <v>1261.1993400080744</v>
      </c>
      <c r="AW25">
        <f t="shared" si="29"/>
        <v>34.813703778137786</v>
      </c>
      <c r="AX25" t="e">
        <f t="shared" si="30"/>
        <v>#DIV/0!</v>
      </c>
      <c r="AY25">
        <f t="shared" si="31"/>
        <v>2.7603648902888661E-2</v>
      </c>
      <c r="AZ25" t="e">
        <f t="shared" si="32"/>
        <v>#DIV/0!</v>
      </c>
      <c r="BA25" t="e">
        <f t="shared" si="33"/>
        <v>#DIV/0!</v>
      </c>
      <c r="BB25" t="s">
        <v>343</v>
      </c>
      <c r="BC25">
        <v>0</v>
      </c>
      <c r="BD25" t="e">
        <f t="shared" si="34"/>
        <v>#DIV/0!</v>
      </c>
      <c r="BE25" t="e">
        <f t="shared" si="35"/>
        <v>#DIV/0!</v>
      </c>
      <c r="BF25" t="e">
        <f t="shared" si="36"/>
        <v>#DIV/0!</v>
      </c>
      <c r="BG25" t="e">
        <f t="shared" si="37"/>
        <v>#DIV/0!</v>
      </c>
      <c r="BH25" t="e">
        <f t="shared" si="38"/>
        <v>#DIV/0!</v>
      </c>
      <c r="BI25" t="e">
        <f t="shared" si="39"/>
        <v>#DIV/0!</v>
      </c>
      <c r="BJ25" t="e">
        <f t="shared" si="40"/>
        <v>#DIV/0!</v>
      </c>
      <c r="BK25" t="e">
        <f t="shared" si="41"/>
        <v>#DIV/0!</v>
      </c>
      <c r="BL25">
        <v>117</v>
      </c>
      <c r="BM25">
        <v>290</v>
      </c>
      <c r="BN25">
        <v>998.4</v>
      </c>
      <c r="BO25">
        <v>185</v>
      </c>
      <c r="BP25">
        <v>8132.16</v>
      </c>
      <c r="BQ25">
        <v>996.73</v>
      </c>
      <c r="BR25">
        <v>1.67</v>
      </c>
      <c r="BS25">
        <v>300</v>
      </c>
      <c r="BT25">
        <v>19.100000000000001</v>
      </c>
      <c r="BU25">
        <v>1021.61977518023</v>
      </c>
      <c r="BV25">
        <v>2.7367026859621499</v>
      </c>
      <c r="BW25">
        <v>-20.238360863933099</v>
      </c>
      <c r="BX25">
        <v>1.9901516023113599</v>
      </c>
      <c r="BY25">
        <v>0.78693251800012298</v>
      </c>
      <c r="BZ25">
        <v>-5.3780449388209197E-3</v>
      </c>
      <c r="CA25">
        <v>290</v>
      </c>
      <c r="CB25">
        <v>989.56</v>
      </c>
      <c r="CC25">
        <v>615</v>
      </c>
      <c r="CD25">
        <v>8124.76</v>
      </c>
      <c r="CE25">
        <v>996.71</v>
      </c>
      <c r="CF25">
        <v>-7.15</v>
      </c>
      <c r="CT25">
        <f t="shared" si="42"/>
        <v>1499.9860000000001</v>
      </c>
      <c r="CU25">
        <f t="shared" si="43"/>
        <v>1261.1993400080744</v>
      </c>
      <c r="CV25">
        <f t="shared" si="44"/>
        <v>0.84080740754118655</v>
      </c>
      <c r="CW25">
        <f t="shared" si="45"/>
        <v>0.16115829655448982</v>
      </c>
      <c r="CX25">
        <v>2</v>
      </c>
      <c r="CY25">
        <v>0.5</v>
      </c>
      <c r="CZ25" t="s">
        <v>344</v>
      </c>
      <c r="DA25">
        <v>2</v>
      </c>
      <c r="DB25">
        <v>1791094435.0999999</v>
      </c>
      <c r="DC25">
        <v>983.79899999999998</v>
      </c>
      <c r="DD25">
        <v>1000.024</v>
      </c>
      <c r="DE25">
        <v>17.9315</v>
      </c>
      <c r="DF25">
        <v>15.635020000000001</v>
      </c>
      <c r="DG25">
        <v>983.08320000000003</v>
      </c>
      <c r="DH25">
        <v>18.10464</v>
      </c>
      <c r="DI25">
        <v>500.03620000000001</v>
      </c>
      <c r="DJ25">
        <v>100.878</v>
      </c>
      <c r="DK25">
        <v>9.9888500000000005E-2</v>
      </c>
      <c r="DL25">
        <v>25.504999999999999</v>
      </c>
      <c r="DM25">
        <v>25.00366</v>
      </c>
      <c r="DN25">
        <v>999.9</v>
      </c>
      <c r="DO25">
        <v>0</v>
      </c>
      <c r="DP25">
        <v>0</v>
      </c>
      <c r="DQ25">
        <v>10012.516</v>
      </c>
      <c r="DR25">
        <v>0</v>
      </c>
      <c r="DS25">
        <v>8.4136500000000005</v>
      </c>
      <c r="DT25">
        <v>1499.9860000000001</v>
      </c>
      <c r="DU25">
        <v>0.97299400000000003</v>
      </c>
      <c r="DV25">
        <v>2.7005600000000001E-2</v>
      </c>
      <c r="DW25">
        <v>0</v>
      </c>
      <c r="DX25">
        <v>286.84339999999997</v>
      </c>
      <c r="DY25">
        <v>4.9999900000000004</v>
      </c>
      <c r="DZ25">
        <v>4244.5739999999996</v>
      </c>
      <c r="EA25">
        <v>14882.42</v>
      </c>
      <c r="EB25">
        <v>37.061999999999998</v>
      </c>
      <c r="EC25">
        <v>38.699599999999997</v>
      </c>
      <c r="ED25">
        <v>37.686999999999998</v>
      </c>
      <c r="EE25">
        <v>38.186999999999998</v>
      </c>
      <c r="EF25">
        <v>38.699599999999997</v>
      </c>
      <c r="EG25">
        <v>1454.616</v>
      </c>
      <c r="EH25">
        <v>40.369999999999997</v>
      </c>
      <c r="EI25">
        <v>0</v>
      </c>
      <c r="EJ25">
        <v>3515.2000000476801</v>
      </c>
      <c r="EK25">
        <v>0</v>
      </c>
      <c r="EL25">
        <v>286.72734615384599</v>
      </c>
      <c r="EM25">
        <v>0.43176067294881698</v>
      </c>
      <c r="EN25">
        <v>30.656752103415901</v>
      </c>
      <c r="EO25">
        <v>4242.4465384615396</v>
      </c>
      <c r="EP25">
        <v>15</v>
      </c>
      <c r="EQ25">
        <v>1791094387.0999999</v>
      </c>
      <c r="ER25" t="s">
        <v>371</v>
      </c>
      <c r="ES25">
        <v>1791094387.0999999</v>
      </c>
      <c r="ET25">
        <v>1791094382.0999999</v>
      </c>
      <c r="EU25">
        <v>47</v>
      </c>
      <c r="EV25">
        <v>-0.17899999999999999</v>
      </c>
      <c r="EW25">
        <v>-4.0000000000000001E-3</v>
      </c>
      <c r="EX25">
        <v>0.747</v>
      </c>
      <c r="EY25">
        <v>-0.18</v>
      </c>
      <c r="EZ25">
        <v>1000</v>
      </c>
      <c r="FA25">
        <v>16</v>
      </c>
      <c r="FB25">
        <v>0.08</v>
      </c>
      <c r="FC25">
        <v>0.04</v>
      </c>
      <c r="FD25">
        <v>34.740414294352</v>
      </c>
      <c r="FE25">
        <v>0.40567547581587099</v>
      </c>
      <c r="FF25">
        <v>0.143395233639493</v>
      </c>
      <c r="FG25">
        <v>1</v>
      </c>
      <c r="FH25">
        <v>-16.207439999999998</v>
      </c>
      <c r="FI25">
        <v>-0.167630075187988</v>
      </c>
      <c r="FJ25">
        <v>5.7791447464136197E-2</v>
      </c>
      <c r="FK25">
        <v>1</v>
      </c>
      <c r="FL25">
        <v>286.62147058823501</v>
      </c>
      <c r="FM25">
        <v>1.99917493707454</v>
      </c>
      <c r="FN25">
        <v>0.44267523850110102</v>
      </c>
      <c r="FO25">
        <v>-1</v>
      </c>
      <c r="FP25">
        <v>2</v>
      </c>
      <c r="FQ25">
        <v>2</v>
      </c>
      <c r="FR25" t="s">
        <v>346</v>
      </c>
      <c r="FS25">
        <v>100</v>
      </c>
      <c r="FT25">
        <v>100</v>
      </c>
      <c r="FU25">
        <v>0.71599999999999997</v>
      </c>
      <c r="FV25">
        <v>-0.1731</v>
      </c>
      <c r="FW25">
        <v>-0.659492784207245</v>
      </c>
      <c r="FX25">
        <v>7.6835882421071803E-4</v>
      </c>
      <c r="FY25">
        <v>7.9312579872174805E-7</v>
      </c>
      <c r="FZ25">
        <v>-1.5433145656851401E-10</v>
      </c>
      <c r="GA25">
        <v>-2.4796524590449301E-2</v>
      </c>
      <c r="GB25">
        <v>-2.1578312386681502E-2</v>
      </c>
      <c r="GC25">
        <v>7.7134661959739901E-4</v>
      </c>
      <c r="GD25">
        <v>-1.7684492548540801E-6</v>
      </c>
      <c r="GE25">
        <v>4</v>
      </c>
      <c r="GF25">
        <v>2093</v>
      </c>
      <c r="GG25">
        <v>1</v>
      </c>
      <c r="GH25">
        <v>31</v>
      </c>
      <c r="GI25">
        <v>0.8</v>
      </c>
      <c r="GJ25">
        <v>0.9</v>
      </c>
      <c r="GK25">
        <v>2.17041</v>
      </c>
      <c r="GL25">
        <v>2.6672400000000001</v>
      </c>
      <c r="GM25">
        <v>1.65161</v>
      </c>
      <c r="GN25">
        <v>2.2814899999999998</v>
      </c>
      <c r="GO25">
        <v>1.5979000000000001</v>
      </c>
      <c r="GP25">
        <v>2.4572799999999999</v>
      </c>
      <c r="GQ25">
        <v>38.452399999999997</v>
      </c>
      <c r="GR25">
        <v>24.008700000000001</v>
      </c>
      <c r="GS25">
        <v>18</v>
      </c>
      <c r="GT25">
        <v>508.435</v>
      </c>
      <c r="GU25">
        <v>505.03699999999998</v>
      </c>
      <c r="GV25">
        <v>21.607099999999999</v>
      </c>
      <c r="GW25">
        <v>30.473400000000002</v>
      </c>
      <c r="GX25">
        <v>29.999600000000001</v>
      </c>
      <c r="GY25">
        <v>30.7395</v>
      </c>
      <c r="GZ25">
        <v>30.815799999999999</v>
      </c>
      <c r="HA25">
        <v>43.397799999999997</v>
      </c>
      <c r="HB25">
        <v>28.718800000000002</v>
      </c>
      <c r="HC25">
        <v>0</v>
      </c>
      <c r="HD25">
        <v>21.6067</v>
      </c>
      <c r="HE25">
        <v>1000</v>
      </c>
      <c r="HF25">
        <v>15.6046</v>
      </c>
      <c r="HG25">
        <v>97.857699999999994</v>
      </c>
      <c r="HH25">
        <v>94.441999999999993</v>
      </c>
    </row>
    <row r="26" spans="1:216" x14ac:dyDescent="0.6">
      <c r="A26">
        <v>10</v>
      </c>
      <c r="B26">
        <v>1791094563.0999999</v>
      </c>
      <c r="C26">
        <v>1093.0999999046301</v>
      </c>
      <c r="D26" t="s">
        <v>372</v>
      </c>
      <c r="E26" t="s">
        <v>373</v>
      </c>
      <c r="F26">
        <v>5</v>
      </c>
      <c r="G26">
        <v>1791094559.5999999</v>
      </c>
      <c r="H26">
        <f t="shared" si="0"/>
        <v>5.6883913540030015E-3</v>
      </c>
      <c r="I26">
        <f t="shared" si="1"/>
        <v>5.6883913540030013</v>
      </c>
      <c r="J26">
        <f t="shared" si="2"/>
        <v>35.353822902862326</v>
      </c>
      <c r="K26">
        <f t="shared" si="3"/>
        <v>1183.1016666666701</v>
      </c>
      <c r="L26">
        <f t="shared" si="4"/>
        <v>1021.087795006943</v>
      </c>
      <c r="M26">
        <f t="shared" si="5"/>
        <v>103.10720758764452</v>
      </c>
      <c r="N26">
        <f t="shared" si="6"/>
        <v>119.4670132566408</v>
      </c>
      <c r="O26">
        <f t="shared" si="7"/>
        <v>0.43927691949644254</v>
      </c>
      <c r="P26">
        <f t="shared" si="8"/>
        <v>3.0277187963774206</v>
      </c>
      <c r="Q26">
        <f t="shared" si="9"/>
        <v>0.40669474166753661</v>
      </c>
      <c r="R26">
        <f t="shared" si="10"/>
        <v>0.25690990910004408</v>
      </c>
      <c r="S26">
        <f t="shared" si="11"/>
        <v>241.72337201558705</v>
      </c>
      <c r="T26">
        <f t="shared" si="12"/>
        <v>25.411141701740938</v>
      </c>
      <c r="U26">
        <f t="shared" si="13"/>
        <v>25.001950000000001</v>
      </c>
      <c r="V26">
        <f t="shared" si="14"/>
        <v>3.1800472692576438</v>
      </c>
      <c r="W26">
        <f t="shared" si="15"/>
        <v>55.146818157825429</v>
      </c>
      <c r="X26">
        <f t="shared" si="16"/>
        <v>1.8025279279527253</v>
      </c>
      <c r="Y26">
        <f t="shared" si="17"/>
        <v>3.2685982404171461</v>
      </c>
      <c r="Z26">
        <f t="shared" si="18"/>
        <v>1.3775193413049185</v>
      </c>
      <c r="AA26">
        <f t="shared" si="19"/>
        <v>-250.85805871153238</v>
      </c>
      <c r="AB26">
        <f t="shared" si="20"/>
        <v>75.328097902494974</v>
      </c>
      <c r="AC26">
        <f t="shared" si="21"/>
        <v>5.2749539994768044</v>
      </c>
      <c r="AD26">
        <f t="shared" si="22"/>
        <v>71.468365206026434</v>
      </c>
      <c r="AE26">
        <v>0</v>
      </c>
      <c r="AF26">
        <v>0</v>
      </c>
      <c r="AG26">
        <f t="shared" si="23"/>
        <v>1</v>
      </c>
      <c r="AH26">
        <f t="shared" si="24"/>
        <v>0</v>
      </c>
      <c r="AI26">
        <f t="shared" si="25"/>
        <v>53681.859625985511</v>
      </c>
      <c r="AJ26" t="s">
        <v>343</v>
      </c>
      <c r="AK26" t="s">
        <v>343</v>
      </c>
      <c r="AL26">
        <v>0</v>
      </c>
      <c r="AM26">
        <v>0</v>
      </c>
      <c r="AN26" t="e">
        <f t="shared" si="26"/>
        <v>#DIV/0!</v>
      </c>
      <c r="AO26">
        <v>0</v>
      </c>
      <c r="AP26" t="s">
        <v>343</v>
      </c>
      <c r="AQ26" t="s">
        <v>343</v>
      </c>
      <c r="AR26">
        <v>0</v>
      </c>
      <c r="AS26">
        <v>0</v>
      </c>
      <c r="AT26" t="e">
        <f t="shared" si="27"/>
        <v>#DIV/0!</v>
      </c>
      <c r="AU26">
        <v>0.5</v>
      </c>
      <c r="AV26">
        <f t="shared" si="28"/>
        <v>1261.1344000080735</v>
      </c>
      <c r="AW26">
        <f t="shared" si="29"/>
        <v>35.353822902862326</v>
      </c>
      <c r="AX26" t="e">
        <f t="shared" si="30"/>
        <v>#DIV/0!</v>
      </c>
      <c r="AY26">
        <f t="shared" si="31"/>
        <v>2.8033350690169104E-2</v>
      </c>
      <c r="AZ26" t="e">
        <f t="shared" si="32"/>
        <v>#DIV/0!</v>
      </c>
      <c r="BA26" t="e">
        <f t="shared" si="33"/>
        <v>#DIV/0!</v>
      </c>
      <c r="BB26" t="s">
        <v>343</v>
      </c>
      <c r="BC26">
        <v>0</v>
      </c>
      <c r="BD26" t="e">
        <f t="shared" si="34"/>
        <v>#DIV/0!</v>
      </c>
      <c r="BE26" t="e">
        <f t="shared" si="35"/>
        <v>#DIV/0!</v>
      </c>
      <c r="BF26" t="e">
        <f t="shared" si="36"/>
        <v>#DIV/0!</v>
      </c>
      <c r="BG26" t="e">
        <f t="shared" si="37"/>
        <v>#DIV/0!</v>
      </c>
      <c r="BH26" t="e">
        <f t="shared" si="38"/>
        <v>#DIV/0!</v>
      </c>
      <c r="BI26" t="e">
        <f t="shared" si="39"/>
        <v>#DIV/0!</v>
      </c>
      <c r="BJ26" t="e">
        <f t="shared" si="40"/>
        <v>#DIV/0!</v>
      </c>
      <c r="BK26" t="e">
        <f t="shared" si="41"/>
        <v>#DIV/0!</v>
      </c>
      <c r="BL26">
        <v>117</v>
      </c>
      <c r="BM26">
        <v>290</v>
      </c>
      <c r="BN26">
        <v>998.4</v>
      </c>
      <c r="BO26">
        <v>185</v>
      </c>
      <c r="BP26">
        <v>8132.16</v>
      </c>
      <c r="BQ26">
        <v>996.73</v>
      </c>
      <c r="BR26">
        <v>1.67</v>
      </c>
      <c r="BS26">
        <v>300</v>
      </c>
      <c r="BT26">
        <v>19.100000000000001</v>
      </c>
      <c r="BU26">
        <v>1021.61977518023</v>
      </c>
      <c r="BV26">
        <v>2.7367026859621499</v>
      </c>
      <c r="BW26">
        <v>-20.238360863933099</v>
      </c>
      <c r="BX26">
        <v>1.9901516023113599</v>
      </c>
      <c r="BY26">
        <v>0.78693251800012298</v>
      </c>
      <c r="BZ26">
        <v>-5.3780449388209197E-3</v>
      </c>
      <c r="CA26">
        <v>290</v>
      </c>
      <c r="CB26">
        <v>989.56</v>
      </c>
      <c r="CC26">
        <v>615</v>
      </c>
      <c r="CD26">
        <v>8124.76</v>
      </c>
      <c r="CE26">
        <v>996.71</v>
      </c>
      <c r="CF26">
        <v>-7.15</v>
      </c>
      <c r="CT26">
        <f t="shared" si="42"/>
        <v>1499.9083333333299</v>
      </c>
      <c r="CU26">
        <f t="shared" si="43"/>
        <v>1261.1344000080735</v>
      </c>
      <c r="CV26">
        <f t="shared" si="44"/>
        <v>0.84080764936173413</v>
      </c>
      <c r="CW26">
        <f t="shared" si="45"/>
        <v>0.16115876326814702</v>
      </c>
      <c r="CX26">
        <v>2</v>
      </c>
      <c r="CY26">
        <v>0.5</v>
      </c>
      <c r="CZ26" t="s">
        <v>344</v>
      </c>
      <c r="DA26">
        <v>2</v>
      </c>
      <c r="DB26">
        <v>1791094559.5999999</v>
      </c>
      <c r="DC26">
        <v>1183.1016666666701</v>
      </c>
      <c r="DD26">
        <v>1199.9349999999999</v>
      </c>
      <c r="DE26">
        <v>17.850733333333299</v>
      </c>
      <c r="DF26">
        <v>15.616016666666701</v>
      </c>
      <c r="DG26">
        <v>1181.9649999999999</v>
      </c>
      <c r="DH26">
        <v>18.0254333333333</v>
      </c>
      <c r="DI26">
        <v>500.00516666666698</v>
      </c>
      <c r="DJ26">
        <v>100.878</v>
      </c>
      <c r="DK26">
        <v>9.9808266666666701E-2</v>
      </c>
      <c r="DL26">
        <v>25.463433333333299</v>
      </c>
      <c r="DM26">
        <v>25.001950000000001</v>
      </c>
      <c r="DN26">
        <v>999.9</v>
      </c>
      <c r="DO26">
        <v>0</v>
      </c>
      <c r="DP26">
        <v>0</v>
      </c>
      <c r="DQ26">
        <v>10012.799999999999</v>
      </c>
      <c r="DR26">
        <v>0</v>
      </c>
      <c r="DS26">
        <v>8.3633000000000006</v>
      </c>
      <c r="DT26">
        <v>1499.9083333333299</v>
      </c>
      <c r="DU26">
        <v>0.972990666666667</v>
      </c>
      <c r="DV26">
        <v>2.7009016666666701E-2</v>
      </c>
      <c r="DW26">
        <v>0</v>
      </c>
      <c r="DX26">
        <v>288.82933333333301</v>
      </c>
      <c r="DY26">
        <v>4.9999900000000004</v>
      </c>
      <c r="DZ26">
        <v>4268.0233333333299</v>
      </c>
      <c r="EA26">
        <v>14881.6166666667</v>
      </c>
      <c r="EB26">
        <v>36.9895</v>
      </c>
      <c r="EC26">
        <v>38.625</v>
      </c>
      <c r="ED26">
        <v>37.561999999999998</v>
      </c>
      <c r="EE26">
        <v>38.061999999999998</v>
      </c>
      <c r="EF26">
        <v>38.625</v>
      </c>
      <c r="EG26">
        <v>1454.52833333333</v>
      </c>
      <c r="EH26">
        <v>40.380000000000003</v>
      </c>
      <c r="EI26">
        <v>0</v>
      </c>
      <c r="EJ26">
        <v>3640</v>
      </c>
      <c r="EK26">
        <v>0</v>
      </c>
      <c r="EL26">
        <v>288.68303846153799</v>
      </c>
      <c r="EM26">
        <v>0.59046151411980496</v>
      </c>
      <c r="EN26">
        <v>17.102905995798299</v>
      </c>
      <c r="EO26">
        <v>4266.8876923076896</v>
      </c>
      <c r="EP26">
        <v>15</v>
      </c>
      <c r="EQ26">
        <v>1791094503.0999999</v>
      </c>
      <c r="ER26" t="s">
        <v>374</v>
      </c>
      <c r="ES26">
        <v>1791094503.0999999</v>
      </c>
      <c r="ET26">
        <v>1791094496.0999999</v>
      </c>
      <c r="EU26">
        <v>48</v>
      </c>
      <c r="EV26">
        <v>3.6999999999999998E-2</v>
      </c>
      <c r="EW26">
        <v>-1E-3</v>
      </c>
      <c r="EX26">
        <v>1.1719999999999999</v>
      </c>
      <c r="EY26">
        <v>-0.18099999999999999</v>
      </c>
      <c r="EZ26">
        <v>1200</v>
      </c>
      <c r="FA26">
        <v>16</v>
      </c>
      <c r="FB26">
        <v>0.17</v>
      </c>
      <c r="FC26">
        <v>0.06</v>
      </c>
      <c r="FD26">
        <v>35.478074776162401</v>
      </c>
      <c r="FE26">
        <v>0.46879096609119503</v>
      </c>
      <c r="FF26">
        <v>0.160115507837752</v>
      </c>
      <c r="FG26">
        <v>1</v>
      </c>
      <c r="FH26">
        <v>-16.889890000000001</v>
      </c>
      <c r="FI26">
        <v>5.8628571428583298E-2</v>
      </c>
      <c r="FJ26">
        <v>6.4699782843530507E-2</v>
      </c>
      <c r="FK26">
        <v>1</v>
      </c>
      <c r="FL26">
        <v>288.59144117647099</v>
      </c>
      <c r="FM26">
        <v>1.3472116060508099</v>
      </c>
      <c r="FN26">
        <v>0.45366067853151498</v>
      </c>
      <c r="FO26">
        <v>-1</v>
      </c>
      <c r="FP26">
        <v>2</v>
      </c>
      <c r="FQ26">
        <v>2</v>
      </c>
      <c r="FR26" t="s">
        <v>346</v>
      </c>
      <c r="FS26">
        <v>100</v>
      </c>
      <c r="FT26">
        <v>100</v>
      </c>
      <c r="FU26">
        <v>1.1399999999999999</v>
      </c>
      <c r="FV26">
        <v>-0.17469999999999999</v>
      </c>
      <c r="FW26">
        <v>-0.62334323968189598</v>
      </c>
      <c r="FX26">
        <v>7.6835882421071803E-4</v>
      </c>
      <c r="FY26">
        <v>7.9312579872174805E-7</v>
      </c>
      <c r="FZ26">
        <v>-1.5433145656851401E-10</v>
      </c>
      <c r="GA26">
        <v>-2.60027461509462E-2</v>
      </c>
      <c r="GB26">
        <v>-2.1578312386681502E-2</v>
      </c>
      <c r="GC26">
        <v>7.7134661959739901E-4</v>
      </c>
      <c r="GD26">
        <v>-1.7684492548540801E-6</v>
      </c>
      <c r="GE26">
        <v>4</v>
      </c>
      <c r="GF26">
        <v>2093</v>
      </c>
      <c r="GG26">
        <v>1</v>
      </c>
      <c r="GH26">
        <v>31</v>
      </c>
      <c r="GI26">
        <v>1</v>
      </c>
      <c r="GJ26">
        <v>1.1000000000000001</v>
      </c>
      <c r="GK26">
        <v>2.51831</v>
      </c>
      <c r="GL26">
        <v>2.65015</v>
      </c>
      <c r="GM26">
        <v>1.65161</v>
      </c>
      <c r="GN26">
        <v>2.2814899999999998</v>
      </c>
      <c r="GO26">
        <v>1.5979000000000001</v>
      </c>
      <c r="GP26">
        <v>2.63184</v>
      </c>
      <c r="GQ26">
        <v>38.354500000000002</v>
      </c>
      <c r="GR26">
        <v>24.017499999999998</v>
      </c>
      <c r="GS26">
        <v>18</v>
      </c>
      <c r="GT26">
        <v>507.99</v>
      </c>
      <c r="GU26">
        <v>506.66199999999998</v>
      </c>
      <c r="GV26">
        <v>21.724</v>
      </c>
      <c r="GW26">
        <v>30.3461</v>
      </c>
      <c r="GX26">
        <v>29.999700000000001</v>
      </c>
      <c r="GY26">
        <v>30.606999999999999</v>
      </c>
      <c r="GZ26">
        <v>30.683599999999998</v>
      </c>
      <c r="HA26">
        <v>50.3322</v>
      </c>
      <c r="HB26">
        <v>28.435400000000001</v>
      </c>
      <c r="HC26">
        <v>0</v>
      </c>
      <c r="HD26">
        <v>21.7197</v>
      </c>
      <c r="HE26">
        <v>1200</v>
      </c>
      <c r="HF26">
        <v>15.5914</v>
      </c>
      <c r="HG26">
        <v>97.882400000000004</v>
      </c>
      <c r="HH26">
        <v>94.467100000000002</v>
      </c>
    </row>
    <row r="27" spans="1:216" x14ac:dyDescent="0.6">
      <c r="A27">
        <v>11</v>
      </c>
      <c r="B27">
        <v>1791094684.0999999</v>
      </c>
      <c r="C27">
        <v>1214.0999999046301</v>
      </c>
      <c r="D27" t="s">
        <v>375</v>
      </c>
      <c r="E27" t="s">
        <v>376</v>
      </c>
      <c r="F27">
        <v>5</v>
      </c>
      <c r="G27">
        <v>1791094681.0999999</v>
      </c>
      <c r="H27">
        <f t="shared" si="0"/>
        <v>5.5455931575921795E-3</v>
      </c>
      <c r="I27">
        <f t="shared" si="1"/>
        <v>5.5455931575921795</v>
      </c>
      <c r="J27">
        <f t="shared" si="2"/>
        <v>35.484493447938597</v>
      </c>
      <c r="K27">
        <f t="shared" si="3"/>
        <v>1482.51</v>
      </c>
      <c r="L27">
        <f t="shared" si="4"/>
        <v>1308.6314884869362</v>
      </c>
      <c r="M27">
        <f t="shared" si="5"/>
        <v>132.13600122686225</v>
      </c>
      <c r="N27">
        <f t="shared" si="6"/>
        <v>149.6929769016414</v>
      </c>
      <c r="O27">
        <f t="shared" si="7"/>
        <v>0.42411484612395683</v>
      </c>
      <c r="P27">
        <f t="shared" si="8"/>
        <v>3.0267330823890375</v>
      </c>
      <c r="Q27">
        <f t="shared" si="9"/>
        <v>0.39365035597007986</v>
      </c>
      <c r="R27">
        <f t="shared" si="10"/>
        <v>0.24858598478917532</v>
      </c>
      <c r="S27">
        <f t="shared" si="11"/>
        <v>241.72395721558755</v>
      </c>
      <c r="T27">
        <f t="shared" si="12"/>
        <v>25.40277585122374</v>
      </c>
      <c r="U27">
        <f t="shared" si="13"/>
        <v>24.993020000000001</v>
      </c>
      <c r="V27">
        <f t="shared" si="14"/>
        <v>3.1783546355216377</v>
      </c>
      <c r="W27">
        <f t="shared" si="15"/>
        <v>54.935663007414647</v>
      </c>
      <c r="X27">
        <f t="shared" si="16"/>
        <v>1.7908934910238787</v>
      </c>
      <c r="Y27">
        <f t="shared" si="17"/>
        <v>3.2599833932688909</v>
      </c>
      <c r="Z27">
        <f t="shared" si="18"/>
        <v>1.3874611444977589</v>
      </c>
      <c r="AA27">
        <f t="shared" si="19"/>
        <v>-244.56065824981511</v>
      </c>
      <c r="AB27">
        <f t="shared" si="20"/>
        <v>69.513501657484554</v>
      </c>
      <c r="AC27">
        <f t="shared" si="21"/>
        <v>4.8680574095665756</v>
      </c>
      <c r="AD27">
        <f t="shared" si="22"/>
        <v>71.544858032823569</v>
      </c>
      <c r="AE27">
        <v>0</v>
      </c>
      <c r="AF27">
        <v>0</v>
      </c>
      <c r="AG27">
        <f t="shared" si="23"/>
        <v>1</v>
      </c>
      <c r="AH27">
        <f t="shared" si="24"/>
        <v>0</v>
      </c>
      <c r="AI27">
        <f t="shared" si="25"/>
        <v>53659.067289189683</v>
      </c>
      <c r="AJ27" t="s">
        <v>343</v>
      </c>
      <c r="AK27" t="s">
        <v>343</v>
      </c>
      <c r="AL27">
        <v>0</v>
      </c>
      <c r="AM27">
        <v>0</v>
      </c>
      <c r="AN27" t="e">
        <f t="shared" si="26"/>
        <v>#DIV/0!</v>
      </c>
      <c r="AO27">
        <v>0</v>
      </c>
      <c r="AP27" t="s">
        <v>343</v>
      </c>
      <c r="AQ27" t="s">
        <v>343</v>
      </c>
      <c r="AR27">
        <v>0</v>
      </c>
      <c r="AS27">
        <v>0</v>
      </c>
      <c r="AT27" t="e">
        <f t="shared" si="27"/>
        <v>#DIV/0!</v>
      </c>
      <c r="AU27">
        <v>0.5</v>
      </c>
      <c r="AV27">
        <f t="shared" si="28"/>
        <v>1261.1374800080764</v>
      </c>
      <c r="AW27">
        <f t="shared" si="29"/>
        <v>35.484493447938597</v>
      </c>
      <c r="AX27" t="e">
        <f t="shared" si="30"/>
        <v>#DIV/0!</v>
      </c>
      <c r="AY27">
        <f t="shared" si="31"/>
        <v>2.8136895469724168E-2</v>
      </c>
      <c r="AZ27" t="e">
        <f t="shared" si="32"/>
        <v>#DIV/0!</v>
      </c>
      <c r="BA27" t="e">
        <f t="shared" si="33"/>
        <v>#DIV/0!</v>
      </c>
      <c r="BB27" t="s">
        <v>343</v>
      </c>
      <c r="BC27">
        <v>0</v>
      </c>
      <c r="BD27" t="e">
        <f t="shared" si="34"/>
        <v>#DIV/0!</v>
      </c>
      <c r="BE27" t="e">
        <f t="shared" si="35"/>
        <v>#DIV/0!</v>
      </c>
      <c r="BF27" t="e">
        <f t="shared" si="36"/>
        <v>#DIV/0!</v>
      </c>
      <c r="BG27" t="e">
        <f t="shared" si="37"/>
        <v>#DIV/0!</v>
      </c>
      <c r="BH27" t="e">
        <f t="shared" si="38"/>
        <v>#DIV/0!</v>
      </c>
      <c r="BI27" t="e">
        <f t="shared" si="39"/>
        <v>#DIV/0!</v>
      </c>
      <c r="BJ27" t="e">
        <f t="shared" si="40"/>
        <v>#DIV/0!</v>
      </c>
      <c r="BK27" t="e">
        <f t="shared" si="41"/>
        <v>#DIV/0!</v>
      </c>
      <c r="BL27">
        <v>117</v>
      </c>
      <c r="BM27">
        <v>290</v>
      </c>
      <c r="BN27">
        <v>998.4</v>
      </c>
      <c r="BO27">
        <v>185</v>
      </c>
      <c r="BP27">
        <v>8132.16</v>
      </c>
      <c r="BQ27">
        <v>996.73</v>
      </c>
      <c r="BR27">
        <v>1.67</v>
      </c>
      <c r="BS27">
        <v>300</v>
      </c>
      <c r="BT27">
        <v>19.100000000000001</v>
      </c>
      <c r="BU27">
        <v>1021.61977518023</v>
      </c>
      <c r="BV27">
        <v>2.7367026859621499</v>
      </c>
      <c r="BW27">
        <v>-20.238360863933099</v>
      </c>
      <c r="BX27">
        <v>1.9901516023113599</v>
      </c>
      <c r="BY27">
        <v>0.78693251800012298</v>
      </c>
      <c r="BZ27">
        <v>-5.3780449388209197E-3</v>
      </c>
      <c r="CA27">
        <v>290</v>
      </c>
      <c r="CB27">
        <v>989.56</v>
      </c>
      <c r="CC27">
        <v>615</v>
      </c>
      <c r="CD27">
        <v>8124.76</v>
      </c>
      <c r="CE27">
        <v>996.71</v>
      </c>
      <c r="CF27">
        <v>-7.15</v>
      </c>
      <c r="CT27">
        <f t="shared" si="42"/>
        <v>1499.912</v>
      </c>
      <c r="CU27">
        <f t="shared" si="43"/>
        <v>1261.1374800080764</v>
      </c>
      <c r="CV27">
        <f t="shared" si="44"/>
        <v>0.84080764738736424</v>
      </c>
      <c r="CW27">
        <f t="shared" si="45"/>
        <v>0.16115875945761321</v>
      </c>
      <c r="CX27">
        <v>2</v>
      </c>
      <c r="CY27">
        <v>0.5</v>
      </c>
      <c r="CZ27" t="s">
        <v>344</v>
      </c>
      <c r="DA27">
        <v>2</v>
      </c>
      <c r="DB27">
        <v>1791094681.0999999</v>
      </c>
      <c r="DC27">
        <v>1482.51</v>
      </c>
      <c r="DD27">
        <v>1499.99</v>
      </c>
      <c r="DE27">
        <v>17.736419999999999</v>
      </c>
      <c r="DF27">
        <v>15.55782</v>
      </c>
      <c r="DG27">
        <v>1480.65</v>
      </c>
      <c r="DH27">
        <v>17.909300000000002</v>
      </c>
      <c r="DI27">
        <v>500.06740000000002</v>
      </c>
      <c r="DJ27">
        <v>100.87260000000001</v>
      </c>
      <c r="DK27">
        <v>0.10005914</v>
      </c>
      <c r="DL27">
        <v>25.41902</v>
      </c>
      <c r="DM27">
        <v>24.993020000000001</v>
      </c>
      <c r="DN27">
        <v>999.9</v>
      </c>
      <c r="DO27">
        <v>0</v>
      </c>
      <c r="DP27">
        <v>0</v>
      </c>
      <c r="DQ27">
        <v>10007.371999999999</v>
      </c>
      <c r="DR27">
        <v>0</v>
      </c>
      <c r="DS27">
        <v>8.3007200000000001</v>
      </c>
      <c r="DT27">
        <v>1499.912</v>
      </c>
      <c r="DU27">
        <v>0.97299000000000002</v>
      </c>
      <c r="DV27">
        <v>2.7009780000000001E-2</v>
      </c>
      <c r="DW27">
        <v>0</v>
      </c>
      <c r="DX27">
        <v>288.59460000000001</v>
      </c>
      <c r="DY27">
        <v>4.9999900000000004</v>
      </c>
      <c r="DZ27">
        <v>4265.5600000000004</v>
      </c>
      <c r="EA27">
        <v>14881.64</v>
      </c>
      <c r="EB27">
        <v>36.875</v>
      </c>
      <c r="EC27">
        <v>38.5124</v>
      </c>
      <c r="ED27">
        <v>37.5</v>
      </c>
      <c r="EE27">
        <v>37.974800000000002</v>
      </c>
      <c r="EF27">
        <v>38.561999999999998</v>
      </c>
      <c r="EG27">
        <v>1454.5319999999999</v>
      </c>
      <c r="EH27">
        <v>40.380000000000003</v>
      </c>
      <c r="EI27">
        <v>0</v>
      </c>
      <c r="EJ27">
        <v>3761.2000000476801</v>
      </c>
      <c r="EK27">
        <v>0</v>
      </c>
      <c r="EL27">
        <v>288.58861538461503</v>
      </c>
      <c r="EM27">
        <v>0.102495713104871</v>
      </c>
      <c r="EN27">
        <v>13.807179517551299</v>
      </c>
      <c r="EO27">
        <v>4264.9253846153797</v>
      </c>
      <c r="EP27">
        <v>15</v>
      </c>
      <c r="EQ27">
        <v>1791094621.0999999</v>
      </c>
      <c r="ER27" t="s">
        <v>377</v>
      </c>
      <c r="ES27">
        <v>1791094621.0999999</v>
      </c>
      <c r="ET27">
        <v>1791094619.0999999</v>
      </c>
      <c r="EU27">
        <v>49</v>
      </c>
      <c r="EV27">
        <v>0.107</v>
      </c>
      <c r="EW27">
        <v>2E-3</v>
      </c>
      <c r="EX27">
        <v>1.8959999999999999</v>
      </c>
      <c r="EY27">
        <v>-0.17899999999999999</v>
      </c>
      <c r="EZ27">
        <v>1500</v>
      </c>
      <c r="FA27">
        <v>16</v>
      </c>
      <c r="FB27">
        <v>0.09</v>
      </c>
      <c r="FC27">
        <v>0.04</v>
      </c>
      <c r="FD27">
        <v>35.510344951277702</v>
      </c>
      <c r="FE27">
        <v>-0.29948889722232103</v>
      </c>
      <c r="FF27">
        <v>0.19052255585342601</v>
      </c>
      <c r="FG27">
        <v>1</v>
      </c>
      <c r="FH27">
        <v>-17.525085714285701</v>
      </c>
      <c r="FI27">
        <v>0.21317922077918</v>
      </c>
      <c r="FJ27">
        <v>7.9710459884296495E-2</v>
      </c>
      <c r="FK27">
        <v>1</v>
      </c>
      <c r="FL27">
        <v>288.40123529411801</v>
      </c>
      <c r="FM27">
        <v>0.77237584942066395</v>
      </c>
      <c r="FN27">
        <v>0.49558076796608203</v>
      </c>
      <c r="FO27">
        <v>-1</v>
      </c>
      <c r="FP27">
        <v>2</v>
      </c>
      <c r="FQ27">
        <v>2</v>
      </c>
      <c r="FR27" t="s">
        <v>346</v>
      </c>
      <c r="FS27">
        <v>100</v>
      </c>
      <c r="FT27">
        <v>100</v>
      </c>
      <c r="FU27">
        <v>1.86</v>
      </c>
      <c r="FV27">
        <v>-0.1729</v>
      </c>
      <c r="FW27">
        <v>-0.51711122420011701</v>
      </c>
      <c r="FX27">
        <v>7.6835882421071803E-4</v>
      </c>
      <c r="FY27">
        <v>7.9312579872174805E-7</v>
      </c>
      <c r="FZ27">
        <v>-1.5433145656851401E-10</v>
      </c>
      <c r="GA27">
        <v>-2.3684278771060101E-2</v>
      </c>
      <c r="GB27">
        <v>-2.1578312386681502E-2</v>
      </c>
      <c r="GC27">
        <v>7.7134661959739901E-4</v>
      </c>
      <c r="GD27">
        <v>-1.7684492548540801E-6</v>
      </c>
      <c r="GE27">
        <v>4</v>
      </c>
      <c r="GF27">
        <v>2093</v>
      </c>
      <c r="GG27">
        <v>1</v>
      </c>
      <c r="GH27">
        <v>31</v>
      </c>
      <c r="GI27">
        <v>1.1000000000000001</v>
      </c>
      <c r="GJ27">
        <v>1.1000000000000001</v>
      </c>
      <c r="GK27">
        <v>3.0175800000000002</v>
      </c>
      <c r="GL27">
        <v>2.65015</v>
      </c>
      <c r="GM27">
        <v>1.65161</v>
      </c>
      <c r="GN27">
        <v>2.2802699999999998</v>
      </c>
      <c r="GO27">
        <v>1.5979000000000001</v>
      </c>
      <c r="GP27">
        <v>2.6171899999999999</v>
      </c>
      <c r="GQ27">
        <v>38.256799999999998</v>
      </c>
      <c r="GR27">
        <v>24.017499999999998</v>
      </c>
      <c r="GS27">
        <v>18</v>
      </c>
      <c r="GT27">
        <v>507.95100000000002</v>
      </c>
      <c r="GU27">
        <v>507.548</v>
      </c>
      <c r="GV27">
        <v>21.730899999999998</v>
      </c>
      <c r="GW27">
        <v>30.235900000000001</v>
      </c>
      <c r="GX27">
        <v>29.9998</v>
      </c>
      <c r="GY27">
        <v>30.489100000000001</v>
      </c>
      <c r="GZ27">
        <v>30.564699999999998</v>
      </c>
      <c r="HA27">
        <v>60.311700000000002</v>
      </c>
      <c r="HB27">
        <v>27.891300000000001</v>
      </c>
      <c r="HC27">
        <v>0</v>
      </c>
      <c r="HD27">
        <v>21.733000000000001</v>
      </c>
      <c r="HE27">
        <v>1500</v>
      </c>
      <c r="HF27">
        <v>15.633800000000001</v>
      </c>
      <c r="HG27">
        <v>97.900700000000001</v>
      </c>
      <c r="HH27">
        <v>94.480900000000005</v>
      </c>
    </row>
    <row r="28" spans="1:216" x14ac:dyDescent="0.6">
      <c r="A28">
        <v>12</v>
      </c>
      <c r="B28">
        <v>1791094805.0999999</v>
      </c>
      <c r="C28">
        <v>1335.0999999046301</v>
      </c>
      <c r="D28" t="s">
        <v>378</v>
      </c>
      <c r="E28" t="s">
        <v>379</v>
      </c>
      <c r="F28">
        <v>5</v>
      </c>
      <c r="G28">
        <v>1791094802.0999999</v>
      </c>
      <c r="H28">
        <f t="shared" si="0"/>
        <v>5.4185119491465218E-3</v>
      </c>
      <c r="I28">
        <f t="shared" si="1"/>
        <v>5.4185119491465219</v>
      </c>
      <c r="J28">
        <f t="shared" si="2"/>
        <v>36.109677682635933</v>
      </c>
      <c r="K28">
        <f t="shared" si="3"/>
        <v>1781.664</v>
      </c>
      <c r="L28">
        <f t="shared" si="4"/>
        <v>1594.8343762839047</v>
      </c>
      <c r="M28">
        <f t="shared" si="5"/>
        <v>161.04082589955627</v>
      </c>
      <c r="N28">
        <f t="shared" si="6"/>
        <v>179.9062312063123</v>
      </c>
      <c r="O28">
        <f t="shared" si="7"/>
        <v>0.41260282485475547</v>
      </c>
      <c r="P28">
        <f t="shared" si="8"/>
        <v>3.0254520828346356</v>
      </c>
      <c r="Q28">
        <f t="shared" si="9"/>
        <v>0.38369802655376306</v>
      </c>
      <c r="R28">
        <f t="shared" si="10"/>
        <v>0.24223929364913172</v>
      </c>
      <c r="S28">
        <f t="shared" si="11"/>
        <v>241.74725881558606</v>
      </c>
      <c r="T28">
        <f t="shared" si="12"/>
        <v>25.402728432030571</v>
      </c>
      <c r="U28">
        <f t="shared" si="13"/>
        <v>25.003019999999999</v>
      </c>
      <c r="V28">
        <f t="shared" si="14"/>
        <v>3.1802501348720527</v>
      </c>
      <c r="W28">
        <f t="shared" si="15"/>
        <v>54.994301630101674</v>
      </c>
      <c r="X28">
        <f t="shared" si="16"/>
        <v>1.7893685661066432</v>
      </c>
      <c r="Y28">
        <f t="shared" si="17"/>
        <v>3.2537345016982901</v>
      </c>
      <c r="Z28">
        <f t="shared" si="18"/>
        <v>1.3908815687654095</v>
      </c>
      <c r="AA28">
        <f t="shared" si="19"/>
        <v>-238.95637695736161</v>
      </c>
      <c r="AB28">
        <f t="shared" si="20"/>
        <v>62.58786802452277</v>
      </c>
      <c r="AC28">
        <f t="shared" si="21"/>
        <v>4.3844166044237545</v>
      </c>
      <c r="AD28">
        <f t="shared" si="22"/>
        <v>69.763166487170992</v>
      </c>
      <c r="AE28">
        <v>0</v>
      </c>
      <c r="AF28">
        <v>0</v>
      </c>
      <c r="AG28">
        <f t="shared" si="23"/>
        <v>1</v>
      </c>
      <c r="AH28">
        <f t="shared" si="24"/>
        <v>0</v>
      </c>
      <c r="AI28">
        <f t="shared" si="25"/>
        <v>53625.124180125058</v>
      </c>
      <c r="AJ28" t="s">
        <v>343</v>
      </c>
      <c r="AK28" t="s">
        <v>343</v>
      </c>
      <c r="AL28">
        <v>0</v>
      </c>
      <c r="AM28">
        <v>0</v>
      </c>
      <c r="AN28" t="e">
        <f t="shared" si="26"/>
        <v>#DIV/0!</v>
      </c>
      <c r="AO28">
        <v>0</v>
      </c>
      <c r="AP28" t="s">
        <v>343</v>
      </c>
      <c r="AQ28" t="s">
        <v>343</v>
      </c>
      <c r="AR28">
        <v>0</v>
      </c>
      <c r="AS28">
        <v>0</v>
      </c>
      <c r="AT28" t="e">
        <f t="shared" si="27"/>
        <v>#DIV/0!</v>
      </c>
      <c r="AU28">
        <v>0.5</v>
      </c>
      <c r="AV28">
        <f t="shared" si="28"/>
        <v>1261.2601200080758</v>
      </c>
      <c r="AW28">
        <f t="shared" si="29"/>
        <v>36.109677682635933</v>
      </c>
      <c r="AX28" t="e">
        <f t="shared" si="30"/>
        <v>#DIV/0!</v>
      </c>
      <c r="AY28">
        <f t="shared" si="31"/>
        <v>2.8629841782680583E-2</v>
      </c>
      <c r="AZ28" t="e">
        <f t="shared" si="32"/>
        <v>#DIV/0!</v>
      </c>
      <c r="BA28" t="e">
        <f t="shared" si="33"/>
        <v>#DIV/0!</v>
      </c>
      <c r="BB28" t="s">
        <v>343</v>
      </c>
      <c r="BC28">
        <v>0</v>
      </c>
      <c r="BD28" t="e">
        <f t="shared" si="34"/>
        <v>#DIV/0!</v>
      </c>
      <c r="BE28" t="e">
        <f t="shared" si="35"/>
        <v>#DIV/0!</v>
      </c>
      <c r="BF28" t="e">
        <f t="shared" si="36"/>
        <v>#DIV/0!</v>
      </c>
      <c r="BG28" t="e">
        <f t="shared" si="37"/>
        <v>#DIV/0!</v>
      </c>
      <c r="BH28" t="e">
        <f t="shared" si="38"/>
        <v>#DIV/0!</v>
      </c>
      <c r="BI28" t="e">
        <f t="shared" si="39"/>
        <v>#DIV/0!</v>
      </c>
      <c r="BJ28" t="e">
        <f t="shared" si="40"/>
        <v>#DIV/0!</v>
      </c>
      <c r="BK28" t="e">
        <f t="shared" si="41"/>
        <v>#DIV/0!</v>
      </c>
      <c r="BL28">
        <v>117</v>
      </c>
      <c r="BM28">
        <v>290</v>
      </c>
      <c r="BN28">
        <v>998.4</v>
      </c>
      <c r="BO28">
        <v>185</v>
      </c>
      <c r="BP28">
        <v>8132.16</v>
      </c>
      <c r="BQ28">
        <v>996.73</v>
      </c>
      <c r="BR28">
        <v>1.67</v>
      </c>
      <c r="BS28">
        <v>300</v>
      </c>
      <c r="BT28">
        <v>19.100000000000001</v>
      </c>
      <c r="BU28">
        <v>1021.61977518023</v>
      </c>
      <c r="BV28">
        <v>2.7367026859621499</v>
      </c>
      <c r="BW28">
        <v>-20.238360863933099</v>
      </c>
      <c r="BX28">
        <v>1.9901516023113599</v>
      </c>
      <c r="BY28">
        <v>0.78693251800012298</v>
      </c>
      <c r="BZ28">
        <v>-5.3780449388209197E-3</v>
      </c>
      <c r="CA28">
        <v>290</v>
      </c>
      <c r="CB28">
        <v>989.56</v>
      </c>
      <c r="CC28">
        <v>615</v>
      </c>
      <c r="CD28">
        <v>8124.76</v>
      </c>
      <c r="CE28">
        <v>996.71</v>
      </c>
      <c r="CF28">
        <v>-7.15</v>
      </c>
      <c r="CT28">
        <f t="shared" si="42"/>
        <v>1500.058</v>
      </c>
      <c r="CU28">
        <f t="shared" si="43"/>
        <v>1261.2601200080758</v>
      </c>
      <c r="CV28">
        <f t="shared" si="44"/>
        <v>0.840807568779391</v>
      </c>
      <c r="CW28">
        <f t="shared" si="45"/>
        <v>0.16115860774422461</v>
      </c>
      <c r="CX28">
        <v>2</v>
      </c>
      <c r="CY28">
        <v>0.5</v>
      </c>
      <c r="CZ28" t="s">
        <v>344</v>
      </c>
      <c r="DA28">
        <v>2</v>
      </c>
      <c r="DB28">
        <v>1791094802.0999999</v>
      </c>
      <c r="DC28">
        <v>1781.664</v>
      </c>
      <c r="DD28">
        <v>1799.97</v>
      </c>
      <c r="DE28">
        <v>17.72064</v>
      </c>
      <c r="DF28">
        <v>15.59158</v>
      </c>
      <c r="DG28">
        <v>1779.4480000000001</v>
      </c>
      <c r="DH28">
        <v>17.890640000000001</v>
      </c>
      <c r="DI28">
        <v>499.98520000000002</v>
      </c>
      <c r="DJ28">
        <v>100.8766</v>
      </c>
      <c r="DK28">
        <v>9.9920380000000003E-2</v>
      </c>
      <c r="DL28">
        <v>25.38674</v>
      </c>
      <c r="DM28">
        <v>25.003019999999999</v>
      </c>
      <c r="DN28">
        <v>999.9</v>
      </c>
      <c r="DO28">
        <v>0</v>
      </c>
      <c r="DP28">
        <v>0</v>
      </c>
      <c r="DQ28">
        <v>9999.23</v>
      </c>
      <c r="DR28">
        <v>0</v>
      </c>
      <c r="DS28">
        <v>8.2442499999999992</v>
      </c>
      <c r="DT28">
        <v>1500.058</v>
      </c>
      <c r="DU28">
        <v>0.97299199999999997</v>
      </c>
      <c r="DV28">
        <v>2.7007719999999999E-2</v>
      </c>
      <c r="DW28">
        <v>0</v>
      </c>
      <c r="DX28">
        <v>288.77460000000002</v>
      </c>
      <c r="DY28">
        <v>4.9999900000000004</v>
      </c>
      <c r="DZ28">
        <v>4268.3500000000004</v>
      </c>
      <c r="EA28">
        <v>14883.12</v>
      </c>
      <c r="EB28">
        <v>36.811999999999998</v>
      </c>
      <c r="EC28">
        <v>38.436999999999998</v>
      </c>
      <c r="ED28">
        <v>37.424599999999998</v>
      </c>
      <c r="EE28">
        <v>37.875</v>
      </c>
      <c r="EF28">
        <v>38.449599999999997</v>
      </c>
      <c r="EG28">
        <v>1454.6780000000001</v>
      </c>
      <c r="EH28">
        <v>40.380000000000003</v>
      </c>
      <c r="EI28">
        <v>0</v>
      </c>
      <c r="EJ28">
        <v>3881.7999999523199</v>
      </c>
      <c r="EK28">
        <v>0</v>
      </c>
      <c r="EL28">
        <v>288.68783999999999</v>
      </c>
      <c r="EM28">
        <v>0.94930765611474099</v>
      </c>
      <c r="EN28">
        <v>11.9030769551795</v>
      </c>
      <c r="EO28">
        <v>4267.2936</v>
      </c>
      <c r="EP28">
        <v>15</v>
      </c>
      <c r="EQ28">
        <v>1791094744.0999999</v>
      </c>
      <c r="ER28" t="s">
        <v>380</v>
      </c>
      <c r="ES28">
        <v>1791094743.0999999</v>
      </c>
      <c r="ET28">
        <v>1791094744.0999999</v>
      </c>
      <c r="EU28">
        <v>50</v>
      </c>
      <c r="EV28">
        <v>-0.27900000000000003</v>
      </c>
      <c r="EW28">
        <v>3.0000000000000001E-3</v>
      </c>
      <c r="EX28">
        <v>2.254</v>
      </c>
      <c r="EY28">
        <v>-0.17599999999999999</v>
      </c>
      <c r="EZ28">
        <v>1800</v>
      </c>
      <c r="FA28">
        <v>16</v>
      </c>
      <c r="FB28">
        <v>0.21</v>
      </c>
      <c r="FC28">
        <v>0.02</v>
      </c>
      <c r="FD28">
        <v>36.201725533085003</v>
      </c>
      <c r="FE28">
        <v>-0.24784936417056799</v>
      </c>
      <c r="FF28">
        <v>0.17421093236150001</v>
      </c>
      <c r="FG28">
        <v>1</v>
      </c>
      <c r="FH28">
        <v>-18.348409523809501</v>
      </c>
      <c r="FI28">
        <v>0.27557142857140998</v>
      </c>
      <c r="FJ28">
        <v>7.7075725934593997E-2</v>
      </c>
      <c r="FK28">
        <v>1</v>
      </c>
      <c r="FL28">
        <v>288.70932352941202</v>
      </c>
      <c r="FM28">
        <v>-0.17422461190928601</v>
      </c>
      <c r="FN28">
        <v>0.412263459494776</v>
      </c>
      <c r="FO28">
        <v>-1</v>
      </c>
      <c r="FP28">
        <v>2</v>
      </c>
      <c r="FQ28">
        <v>2</v>
      </c>
      <c r="FR28" t="s">
        <v>346</v>
      </c>
      <c r="FS28">
        <v>100</v>
      </c>
      <c r="FT28">
        <v>100</v>
      </c>
      <c r="FU28">
        <v>2.2200000000000002</v>
      </c>
      <c r="FV28">
        <v>-0.1701</v>
      </c>
      <c r="FW28">
        <v>-0.79449101593837501</v>
      </c>
      <c r="FX28">
        <v>7.6835882421071803E-4</v>
      </c>
      <c r="FY28">
        <v>7.9312579872174805E-7</v>
      </c>
      <c r="FZ28">
        <v>-1.5433145656851401E-10</v>
      </c>
      <c r="GA28">
        <v>-2.0741089814292998E-2</v>
      </c>
      <c r="GB28">
        <v>-2.1578312386681502E-2</v>
      </c>
      <c r="GC28">
        <v>7.7134661959739901E-4</v>
      </c>
      <c r="GD28">
        <v>-1.7684492548540801E-6</v>
      </c>
      <c r="GE28">
        <v>4</v>
      </c>
      <c r="GF28">
        <v>2093</v>
      </c>
      <c r="GG28">
        <v>1</v>
      </c>
      <c r="GH28">
        <v>31</v>
      </c>
      <c r="GI28">
        <v>1</v>
      </c>
      <c r="GJ28">
        <v>1</v>
      </c>
      <c r="GK28">
        <v>3.4936500000000001</v>
      </c>
      <c r="GL28">
        <v>2.6440399999999999</v>
      </c>
      <c r="GM28">
        <v>1.65161</v>
      </c>
      <c r="GN28">
        <v>2.2814899999999998</v>
      </c>
      <c r="GO28">
        <v>1.5979000000000001</v>
      </c>
      <c r="GP28">
        <v>2.5561500000000001</v>
      </c>
      <c r="GQ28">
        <v>38.183700000000002</v>
      </c>
      <c r="GR28">
        <v>24.017499999999998</v>
      </c>
      <c r="GS28">
        <v>18</v>
      </c>
      <c r="GT28">
        <v>507.74599999999998</v>
      </c>
      <c r="GU28">
        <v>508.88900000000001</v>
      </c>
      <c r="GV28">
        <v>21.696200000000001</v>
      </c>
      <c r="GW28">
        <v>30.148</v>
      </c>
      <c r="GX28">
        <v>29.9999</v>
      </c>
      <c r="GY28">
        <v>30.391400000000001</v>
      </c>
      <c r="GZ28">
        <v>30.464700000000001</v>
      </c>
      <c r="HA28">
        <v>69.8399</v>
      </c>
      <c r="HB28">
        <v>27.653099999999998</v>
      </c>
      <c r="HC28">
        <v>0</v>
      </c>
      <c r="HD28">
        <v>21.6982</v>
      </c>
      <c r="HE28">
        <v>1800</v>
      </c>
      <c r="HF28">
        <v>15.648199999999999</v>
      </c>
      <c r="HG28">
        <v>97.914299999999997</v>
      </c>
      <c r="HH28">
        <v>94.491100000000003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"/>
  <sheetViews>
    <sheetView workbookViewId="0"/>
  </sheetViews>
  <sheetFormatPr defaultRowHeight="16.899999999999999" x14ac:dyDescent="0.6"/>
  <sheetData>
    <row r="1" spans="1:2" x14ac:dyDescent="0.6">
      <c r="A1" t="s">
        <v>0</v>
      </c>
      <c r="B1" t="s">
        <v>1</v>
      </c>
    </row>
    <row r="2" spans="1:2" x14ac:dyDescent="0.6">
      <c r="A2" t="s">
        <v>2</v>
      </c>
      <c r="B2" t="s">
        <v>3</v>
      </c>
    </row>
    <row r="3" spans="1:2" x14ac:dyDescent="0.6">
      <c r="A3" t="s">
        <v>4</v>
      </c>
      <c r="B3" t="s">
        <v>5</v>
      </c>
    </row>
    <row r="4" spans="1:2" x14ac:dyDescent="0.6">
      <c r="A4" t="s">
        <v>6</v>
      </c>
      <c r="B4" t="s">
        <v>7</v>
      </c>
    </row>
    <row r="5" spans="1:2" x14ac:dyDescent="0.6">
      <c r="A5" t="s">
        <v>8</v>
      </c>
      <c r="B5" t="s">
        <v>9</v>
      </c>
    </row>
    <row r="6" spans="1:2" x14ac:dyDescent="0.6">
      <c r="A6" t="s">
        <v>10</v>
      </c>
      <c r="B6" t="s">
        <v>11</v>
      </c>
    </row>
    <row r="7" spans="1:2" x14ac:dyDescent="0.6">
      <c r="A7" t="s">
        <v>12</v>
      </c>
      <c r="B7" t="s">
        <v>13</v>
      </c>
    </row>
    <row r="8" spans="1:2" x14ac:dyDescent="0.6">
      <c r="A8" t="s">
        <v>14</v>
      </c>
      <c r="B8" t="s">
        <v>15</v>
      </c>
    </row>
    <row r="9" spans="1:2" x14ac:dyDescent="0.6">
      <c r="A9" t="s">
        <v>16</v>
      </c>
      <c r="B9" t="s">
        <v>17</v>
      </c>
    </row>
    <row r="10" spans="1:2" x14ac:dyDescent="0.6">
      <c r="A10" t="s">
        <v>18</v>
      </c>
      <c r="B10" t="s">
        <v>19</v>
      </c>
    </row>
    <row r="11" spans="1:2" x14ac:dyDescent="0.6">
      <c r="A11" t="s">
        <v>20</v>
      </c>
      <c r="B11" t="s">
        <v>21</v>
      </c>
    </row>
    <row r="12" spans="1:2" x14ac:dyDescent="0.6">
      <c r="A12" t="s">
        <v>22</v>
      </c>
      <c r="B12" t="s">
        <v>23</v>
      </c>
    </row>
    <row r="13" spans="1:2" x14ac:dyDescent="0.6">
      <c r="A13" t="s">
        <v>24</v>
      </c>
      <c r="B13" t="s">
        <v>25</v>
      </c>
    </row>
    <row r="14" spans="1:2" x14ac:dyDescent="0.6">
      <c r="A14" t="s">
        <v>26</v>
      </c>
      <c r="B14" t="s">
        <v>25</v>
      </c>
    </row>
    <row r="15" spans="1:2" x14ac:dyDescent="0.6">
      <c r="A15" t="s">
        <v>27</v>
      </c>
      <c r="B15" t="s">
        <v>23</v>
      </c>
    </row>
    <row r="16" spans="1:2" x14ac:dyDescent="0.6">
      <c r="A16" t="s">
        <v>28</v>
      </c>
      <c r="B16" t="s">
        <v>11</v>
      </c>
    </row>
    <row r="17" spans="1:2" x14ac:dyDescent="0.6">
      <c r="A17" t="s">
        <v>29</v>
      </c>
      <c r="B17" t="s">
        <v>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박은빈</cp:lastModifiedBy>
  <dcterms:created xsi:type="dcterms:W3CDTF">2026-10-04T15:21:37Z</dcterms:created>
  <dcterms:modified xsi:type="dcterms:W3CDTF">2026-10-04T08:30:31Z</dcterms:modified>
</cp:coreProperties>
</file>