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04 lettuce park/"/>
    </mc:Choice>
  </mc:AlternateContent>
  <xr:revisionPtr revIDLastSave="0" documentId="11_ACE07100D24BDAAFE3DEF6C331AAC79604E37086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5" i="1" l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 s="1"/>
  <c r="Y24" i="1"/>
  <c r="X24" i="1"/>
  <c r="W24" i="1" s="1"/>
  <c r="P24" i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/>
  <c r="Y23" i="1"/>
  <c r="X23" i="1"/>
  <c r="W23" i="1" s="1"/>
  <c r="P23" i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 s="1"/>
  <c r="S22" i="1"/>
  <c r="P22" i="1"/>
  <c r="CW21" i="1"/>
  <c r="CV21" i="1"/>
  <c r="CT21" i="1"/>
  <c r="S21" i="1" s="1"/>
  <c r="BI21" i="1"/>
  <c r="BH21" i="1"/>
  <c r="AZ21" i="1"/>
  <c r="AT21" i="1"/>
  <c r="AN21" i="1"/>
  <c r="BA21" i="1" s="1"/>
  <c r="BD21" i="1" s="1"/>
  <c r="AI21" i="1"/>
  <c r="AG21" i="1"/>
  <c r="AH21" i="1" s="1"/>
  <c r="Y21" i="1"/>
  <c r="X21" i="1"/>
  <c r="W21" i="1"/>
  <c r="P21" i="1"/>
  <c r="N21" i="1"/>
  <c r="K21" i="1"/>
  <c r="J21" i="1"/>
  <c r="AW21" i="1" s="1"/>
  <c r="I21" i="1"/>
  <c r="H21" i="1" s="1"/>
  <c r="CW20" i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X20" i="1"/>
  <c r="W20" i="1" s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W19" i="1" s="1"/>
  <c r="X19" i="1"/>
  <c r="S19" i="1"/>
  <c r="P19" i="1"/>
  <c r="CW18" i="1"/>
  <c r="CV18" i="1"/>
  <c r="CT18" i="1"/>
  <c r="CU18" i="1" s="1"/>
  <c r="AV18" i="1" s="1"/>
  <c r="BI18" i="1"/>
  <c r="BH18" i="1"/>
  <c r="AZ18" i="1"/>
  <c r="AT18" i="1"/>
  <c r="AX18" i="1" s="1"/>
  <c r="AN18" i="1"/>
  <c r="BA18" i="1" s="1"/>
  <c r="BD18" i="1" s="1"/>
  <c r="AI18" i="1"/>
  <c r="AG18" i="1" s="1"/>
  <c r="N18" i="1" s="1"/>
  <c r="Y18" i="1"/>
  <c r="W18" i="1" s="1"/>
  <c r="X18" i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W17" i="1" s="1"/>
  <c r="S17" i="1"/>
  <c r="P17" i="1"/>
  <c r="CU19" i="1" l="1"/>
  <c r="AV19" i="1" s="1"/>
  <c r="CU17" i="1"/>
  <c r="AV17" i="1" s="1"/>
  <c r="CU22" i="1"/>
  <c r="AV22" i="1" s="1"/>
  <c r="AX22" i="1" s="1"/>
  <c r="CU21" i="1"/>
  <c r="AV21" i="1" s="1"/>
  <c r="N25" i="1"/>
  <c r="I25" i="1"/>
  <c r="H25" i="1" s="1"/>
  <c r="AA25" i="1" s="1"/>
  <c r="J25" i="1"/>
  <c r="AW25" i="1" s="1"/>
  <c r="K25" i="1"/>
  <c r="AH25" i="1"/>
  <c r="CU23" i="1"/>
  <c r="AV23" i="1" s="1"/>
  <c r="AX23" i="1" s="1"/>
  <c r="S23" i="1"/>
  <c r="CU25" i="1"/>
  <c r="AV25" i="1" s="1"/>
  <c r="S25" i="1"/>
  <c r="BE25" i="1"/>
  <c r="BF25" i="1"/>
  <c r="BJ25" i="1" s="1"/>
  <c r="BK25" i="1" s="1"/>
  <c r="BG25" i="1"/>
  <c r="CU24" i="1"/>
  <c r="AV24" i="1" s="1"/>
  <c r="AX24" i="1" s="1"/>
  <c r="S24" i="1"/>
  <c r="BE24" i="1"/>
  <c r="BF24" i="1"/>
  <c r="BJ24" i="1" s="1"/>
  <c r="BK24" i="1" s="1"/>
  <c r="BG24" i="1"/>
  <c r="N24" i="1"/>
  <c r="I24" i="1"/>
  <c r="H24" i="1" s="1"/>
  <c r="AH24" i="1"/>
  <c r="J24" i="1"/>
  <c r="AW24" i="1" s="1"/>
  <c r="AY24" i="1" s="1"/>
  <c r="K24" i="1"/>
  <c r="BG23" i="1"/>
  <c r="BE23" i="1"/>
  <c r="BF23" i="1"/>
  <c r="BJ23" i="1" s="1"/>
  <c r="BK23" i="1" s="1"/>
  <c r="AH23" i="1"/>
  <c r="I23" i="1"/>
  <c r="H23" i="1" s="1"/>
  <c r="N23" i="1"/>
  <c r="J23" i="1"/>
  <c r="AW23" i="1" s="1"/>
  <c r="AY23" i="1" s="1"/>
  <c r="K23" i="1"/>
  <c r="T23" i="1"/>
  <c r="U23" i="1" s="1"/>
  <c r="BF22" i="1"/>
  <c r="BJ22" i="1" s="1"/>
  <c r="BK22" i="1" s="1"/>
  <c r="BG22" i="1"/>
  <c r="BE22" i="1"/>
  <c r="I22" i="1"/>
  <c r="H22" i="1" s="1"/>
  <c r="T22" i="1" s="1"/>
  <c r="U22" i="1" s="1"/>
  <c r="AH22" i="1"/>
  <c r="J22" i="1"/>
  <c r="AW22" i="1" s="1"/>
  <c r="AY22" i="1" s="1"/>
  <c r="K22" i="1"/>
  <c r="N22" i="1"/>
  <c r="BE21" i="1"/>
  <c r="BF21" i="1"/>
  <c r="BJ21" i="1" s="1"/>
  <c r="BK21" i="1" s="1"/>
  <c r="BG21" i="1"/>
  <c r="T21" i="1"/>
  <c r="U21" i="1" s="1"/>
  <c r="AA21" i="1"/>
  <c r="Q21" i="1"/>
  <c r="O21" i="1" s="1"/>
  <c r="R21" i="1" s="1"/>
  <c r="L21" i="1" s="1"/>
  <c r="M21" i="1" s="1"/>
  <c r="S20" i="1"/>
  <c r="CU20" i="1"/>
  <c r="AV20" i="1" s="1"/>
  <c r="AX20" i="1" s="1"/>
  <c r="BE20" i="1"/>
  <c r="BF20" i="1"/>
  <c r="BJ20" i="1" s="1"/>
  <c r="BK20" i="1" s="1"/>
  <c r="BG20" i="1"/>
  <c r="N20" i="1"/>
  <c r="AH20" i="1"/>
  <c r="I20" i="1"/>
  <c r="H20" i="1" s="1"/>
  <c r="J20" i="1"/>
  <c r="AW20" i="1" s="1"/>
  <c r="AY20" i="1" s="1"/>
  <c r="K20" i="1"/>
  <c r="BE19" i="1"/>
  <c r="BF19" i="1"/>
  <c r="BJ19" i="1" s="1"/>
  <c r="BK19" i="1" s="1"/>
  <c r="BG19" i="1"/>
  <c r="AH19" i="1"/>
  <c r="I19" i="1"/>
  <c r="H19" i="1" s="1"/>
  <c r="J19" i="1"/>
  <c r="AW19" i="1" s="1"/>
  <c r="AY19" i="1" s="1"/>
  <c r="K19" i="1"/>
  <c r="N19" i="1"/>
  <c r="BE18" i="1"/>
  <c r="BF18" i="1"/>
  <c r="BJ18" i="1" s="1"/>
  <c r="BK18" i="1" s="1"/>
  <c r="BG18" i="1"/>
  <c r="AH18" i="1"/>
  <c r="K18" i="1"/>
  <c r="J18" i="1"/>
  <c r="AW18" i="1" s="1"/>
  <c r="AY18" i="1" s="1"/>
  <c r="I18" i="1"/>
  <c r="H18" i="1" s="1"/>
  <c r="T18" i="1"/>
  <c r="U18" i="1" s="1"/>
  <c r="BE17" i="1"/>
  <c r="BF17" i="1"/>
  <c r="BJ17" i="1" s="1"/>
  <c r="BK17" i="1" s="1"/>
  <c r="BG17" i="1"/>
  <c r="I17" i="1"/>
  <c r="H17" i="1" s="1"/>
  <c r="T17" i="1" s="1"/>
  <c r="U17" i="1" s="1"/>
  <c r="AH17" i="1"/>
  <c r="J17" i="1"/>
  <c r="AW17" i="1" s="1"/>
  <c r="AY17" i="1" s="1"/>
  <c r="K17" i="1"/>
  <c r="N17" i="1"/>
  <c r="AX19" i="1"/>
  <c r="AX17" i="1"/>
  <c r="AX21" i="1" l="1"/>
  <c r="AY21" i="1"/>
  <c r="AY25" i="1"/>
  <c r="AX25" i="1"/>
  <c r="T25" i="1"/>
  <c r="U25" i="1" s="1"/>
  <c r="T24" i="1"/>
  <c r="U24" i="1" s="1"/>
  <c r="AA24" i="1"/>
  <c r="Q24" i="1"/>
  <c r="O24" i="1" s="1"/>
  <c r="R24" i="1" s="1"/>
  <c r="L24" i="1" s="1"/>
  <c r="M24" i="1" s="1"/>
  <c r="Q23" i="1"/>
  <c r="O23" i="1" s="1"/>
  <c r="R23" i="1" s="1"/>
  <c r="L23" i="1" s="1"/>
  <c r="M23" i="1" s="1"/>
  <c r="AA23" i="1"/>
  <c r="AB23" i="1"/>
  <c r="AC23" i="1"/>
  <c r="AD23" i="1" s="1"/>
  <c r="V23" i="1"/>
  <c r="Z23" i="1" s="1"/>
  <c r="Q22" i="1"/>
  <c r="O22" i="1" s="1"/>
  <c r="R22" i="1" s="1"/>
  <c r="L22" i="1" s="1"/>
  <c r="M22" i="1" s="1"/>
  <c r="AA22" i="1"/>
  <c r="AB22" i="1"/>
  <c r="AC22" i="1"/>
  <c r="AD22" i="1" s="1"/>
  <c r="V22" i="1"/>
  <c r="Z22" i="1" s="1"/>
  <c r="AB21" i="1"/>
  <c r="V21" i="1"/>
  <c r="Z21" i="1" s="1"/>
  <c r="AC21" i="1"/>
  <c r="AD21" i="1" s="1"/>
  <c r="T20" i="1"/>
  <c r="U20" i="1" s="1"/>
  <c r="Q20" i="1" s="1"/>
  <c r="O20" i="1" s="1"/>
  <c r="R20" i="1" s="1"/>
  <c r="L20" i="1" s="1"/>
  <c r="M20" i="1" s="1"/>
  <c r="AA20" i="1"/>
  <c r="T19" i="1"/>
  <c r="U19" i="1" s="1"/>
  <c r="Q19" i="1" s="1"/>
  <c r="O19" i="1" s="1"/>
  <c r="R19" i="1" s="1"/>
  <c r="L19" i="1" s="1"/>
  <c r="M19" i="1" s="1"/>
  <c r="AA19" i="1"/>
  <c r="Q18" i="1"/>
  <c r="O18" i="1" s="1"/>
  <c r="R18" i="1" s="1"/>
  <c r="L18" i="1" s="1"/>
  <c r="M18" i="1" s="1"/>
  <c r="AA18" i="1"/>
  <c r="AB18" i="1"/>
  <c r="V18" i="1"/>
  <c r="Z18" i="1" s="1"/>
  <c r="AC18" i="1"/>
  <c r="AD18" i="1" s="1"/>
  <c r="Q17" i="1"/>
  <c r="O17" i="1" s="1"/>
  <c r="R17" i="1" s="1"/>
  <c r="L17" i="1" s="1"/>
  <c r="M17" i="1" s="1"/>
  <c r="AA17" i="1"/>
  <c r="AB17" i="1"/>
  <c r="AC17" i="1"/>
  <c r="AD17" i="1" s="1"/>
  <c r="V17" i="1"/>
  <c r="Z17" i="1" s="1"/>
  <c r="Q25" i="1" l="1"/>
  <c r="O25" i="1" s="1"/>
  <c r="R25" i="1" s="1"/>
  <c r="L25" i="1" s="1"/>
  <c r="M25" i="1" s="1"/>
  <c r="AB25" i="1"/>
  <c r="V25" i="1"/>
  <c r="Z25" i="1" s="1"/>
  <c r="AC25" i="1"/>
  <c r="AD25" i="1" s="1"/>
  <c r="AB24" i="1"/>
  <c r="V24" i="1"/>
  <c r="Z24" i="1" s="1"/>
  <c r="AC24" i="1"/>
  <c r="AD24" i="1" s="1"/>
  <c r="V20" i="1"/>
  <c r="Z20" i="1" s="1"/>
  <c r="AB20" i="1"/>
  <c r="AC20" i="1"/>
  <c r="AD20" i="1" s="1"/>
  <c r="AB19" i="1"/>
  <c r="V19" i="1"/>
  <c r="Z19" i="1" s="1"/>
  <c r="AC19" i="1"/>
  <c r="AD19" i="1" s="1"/>
</calcChain>
</file>

<file path=xl/sharedStrings.xml><?xml version="1.0" encoding="utf-8"?>
<sst xmlns="http://schemas.openxmlformats.org/spreadsheetml/2006/main" count="739" uniqueCount="378">
  <si>
    <t>File opened</t>
  </si>
  <si>
    <t>2026-10-04 11:47:08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</si>
  <si>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</si>
  <si>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</si>
  <si>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</si>
  <si>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</si>
  <si>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</si>
  <si>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</si>
  <si>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</si>
  <si>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</si>
  <si>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</si>
  <si>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</si>
  <si>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</si>
  <si>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{"chamberpressurezero": "2.71033", "co2aspan2a": "0.106022", "co2bzero": "0.953041", "flowmeterzero": "2.483", "co2aspan2b": "0.105998", "h2oazero": "1.03097", "flowazero": "0.276", "h2oaspan2a": "0.0964052", "h2oaspan1": "1.02308", "co2azero": "0.931334", "h2obspan2a": "0.0961931", "co2aspan2": "-0.00988168", "co2aspanconc1": "437.6", "h2obspan2b": "0.0971974", "co2bspan2b": "0.105618", "h2obspanconc2": "0", "tazero": "0.15448", "co2bspanconc1": "437.6", "co2bspanconc2": "1516", "h2obspanconc1": "17.96", "h2obspan2": "0", "h2oaspan2": "0", "co2bspan2": "-0.00857283", "co2aspanconc2": "1516", "flowbzero": "0.30473", "co2aspan1": "1.00082", "oxygen": "21", "tbzero": "0.143742", "h2oaspanconc2": "0", "h2oaspanconc1": "17.96", "h2obspan1": "1.01044", "co2bspan1": "1.00005", "co2bspan2a": "0.105708", "h2oaspan2b": "0.0986302", "ssb_ref": "36242.9", "ssa_ref": "37830.5", "h2obzero": "1.01897"}</t>
  </si>
  <si>
    <t>Factory cal date</t>
  </si>
  <si>
    <t>14 Dec 2023</t>
  </si>
  <si>
    <t>CO2 rangematch</t>
  </si>
  <si>
    <t>Mon Sep 14 10:06</t>
  </si>
  <si>
    <t>H2O rangematch</t>
  </si>
  <si>
    <t>Mon Sep 14 10:14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</si>
  <si>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</si>
  <si>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</si>
  <si>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</si>
  <si>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</si>
  <si>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</si>
  <si>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</si>
  <si>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</si>
  <si>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</si>
  <si>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</si>
  <si>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11:47:08</t>
  </si>
  <si>
    <t>Stability Definition:	ΔCO2 (Meas2): Slp&lt;0.5 Per=20	F (FlrLS): Slp&lt;1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</si>
  <si>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</si>
  <si>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</si>
  <si>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</si>
  <si>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</si>
  <si>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</si>
  <si>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</si>
  <si>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</si>
  <si>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</si>
  <si>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</si>
  <si>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</si>
  <si>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</si>
  <si>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</si>
  <si>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</si>
  <si>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</si>
  <si>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</si>
  <si>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</si>
  <si>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</si>
  <si>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</si>
  <si>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</si>
  <si>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</si>
  <si>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</si>
  <si>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</si>
  <si>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</si>
  <si>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</si>
  <si>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</si>
  <si>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</si>
  <si>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</si>
  <si>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</si>
  <si>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</si>
  <si>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</si>
  <si>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</si>
  <si>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</si>
  <si>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</si>
  <si>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</si>
  <si>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</si>
  <si>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</si>
  <si>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</si>
  <si>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</si>
  <si>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</si>
  <si>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</si>
  <si>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</si>
  <si>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</si>
  <si>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</si>
  <si>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</si>
  <si>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</si>
  <si>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</si>
  <si>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</si>
  <si>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</si>
  <si>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</si>
  <si>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</si>
  <si>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</si>
  <si>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</si>
  <si>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4.72514 203.78 363.155 594.255 857.394 1066.3 1251.07 1380.19</t>
  </si>
  <si>
    <t>Fs_true</t>
  </si>
  <si>
    <t>0.127932 227.245 386.898 590.184 811.883 1001.42 1202.73 1400.77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</si>
  <si>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</si>
  <si>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</si>
  <si>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</si>
  <si>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</si>
  <si>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</si>
  <si>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</si>
  <si>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</si>
  <si>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</si>
  <si>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</si>
  <si>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</si>
  <si>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</si>
  <si>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</si>
  <si>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</si>
  <si>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</si>
  <si>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</si>
  <si>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</si>
  <si>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</si>
  <si>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</si>
  <si>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</si>
  <si>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</si>
  <si>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</si>
  <si>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</si>
  <si>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</si>
  <si>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</si>
  <si>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</si>
  <si>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</si>
  <si>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</si>
  <si>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</si>
  <si>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</si>
  <si>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</si>
  <si>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</si>
  <si>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</si>
  <si>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</si>
  <si>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</si>
  <si>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</si>
  <si>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</si>
  <si>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</si>
  <si>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</si>
  <si>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</si>
  <si>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</si>
  <si>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</si>
  <si>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</si>
  <si>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</si>
  <si>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</si>
  <si>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</si>
  <si>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</si>
  <si>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</si>
  <si>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</si>
  <si>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</si>
  <si>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</si>
  <si>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</si>
  <si>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</si>
  <si>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</si>
  <si>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</si>
  <si>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</si>
  <si>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</si>
  <si>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</si>
  <si>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</si>
  <si>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</si>
  <si>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</si>
  <si>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</si>
  <si>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</si>
  <si>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</si>
  <si>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</si>
  <si>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</si>
  <si>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</si>
  <si>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</si>
  <si>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</si>
  <si>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</si>
  <si>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</si>
  <si>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</si>
  <si>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</si>
  <si>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</si>
  <si>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</si>
  <si>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</si>
  <si>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</si>
  <si>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</si>
  <si>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</si>
  <si>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</si>
  <si>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</si>
  <si>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</si>
  <si>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</si>
  <si>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</si>
  <si>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</si>
  <si>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</si>
  <si>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</si>
  <si>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</si>
  <si>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</si>
  <si>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</si>
  <si>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</si>
  <si>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</si>
  <si>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</si>
  <si>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</si>
  <si>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</si>
  <si>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</si>
  <si>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</si>
  <si>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</si>
  <si>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</si>
  <si>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</si>
  <si>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</si>
  <si>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</si>
  <si>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</si>
  <si>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</si>
  <si>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</si>
  <si>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</si>
  <si>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</si>
  <si>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</si>
  <si>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</si>
  <si>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</si>
  <si>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</si>
  <si>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</si>
  <si>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</si>
  <si>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</si>
  <si>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</si>
  <si>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</si>
  <si>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</si>
  <si>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</si>
  <si>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</si>
  <si>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</si>
  <si>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</si>
  <si>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</si>
  <si>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</si>
  <si>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</si>
  <si>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</si>
  <si>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</si>
  <si>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</si>
  <si>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</si>
  <si>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</si>
  <si>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</si>
  <si>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</si>
  <si>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</si>
  <si>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</si>
  <si>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</si>
  <si>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</si>
  <si>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</si>
  <si>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</si>
  <si>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</si>
  <si>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</si>
  <si>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</si>
  <si>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</si>
  <si>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</si>
  <si>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</si>
  <si>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</si>
  <si>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</si>
  <si>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</si>
  <si>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</si>
  <si>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</si>
  <si>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</si>
  <si>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</si>
  <si>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</si>
  <si>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</si>
  <si>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</si>
  <si>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</si>
  <si>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</si>
  <si>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</si>
  <si>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</si>
  <si>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</si>
  <si>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</si>
  <si>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</si>
  <si>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</si>
  <si>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</si>
  <si>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</si>
  <si>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</si>
  <si>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</si>
  <si>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</si>
  <si>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</si>
  <si>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</si>
  <si>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</si>
  <si>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</si>
  <si>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</si>
  <si>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</si>
  <si>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</si>
  <si>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</si>
  <si>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</si>
  <si>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</si>
  <si>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</si>
  <si>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</si>
  <si>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</si>
  <si>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</si>
  <si>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</si>
  <si>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</si>
  <si>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</si>
  <si>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</si>
  <si>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</si>
  <si>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</si>
  <si>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</si>
  <si>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</si>
  <si>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</si>
  <si>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</si>
  <si>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</si>
  <si>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</si>
  <si>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</si>
  <si>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</si>
  <si>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</si>
  <si>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</si>
  <si>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</si>
  <si>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</si>
  <si>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</si>
  <si>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</si>
  <si>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</si>
  <si>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</si>
  <si>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</si>
  <si>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</si>
  <si>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</si>
  <si>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</si>
  <si>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</si>
  <si>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</si>
  <si>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</si>
  <si>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</si>
  <si>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</si>
  <si>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</si>
  <si>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</si>
  <si>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</si>
  <si>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</si>
  <si>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</si>
  <si>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</si>
  <si>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</si>
  <si>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</si>
  <si>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</si>
  <si>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</si>
  <si>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</si>
  <si>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</si>
  <si>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</si>
  <si>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</si>
  <si>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</si>
  <si>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</si>
  <si>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</si>
  <si>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</si>
  <si>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</si>
  <si>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</si>
  <si>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</si>
  <si>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</si>
  <si>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</si>
  <si>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</si>
  <si>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</si>
  <si>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</si>
  <si>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</si>
  <si>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</si>
  <si>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</si>
  <si>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</si>
  <si>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</si>
  <si>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</si>
  <si>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</si>
  <si>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</si>
  <si>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</si>
  <si>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</si>
  <si>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</si>
  <si>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</si>
  <si>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</si>
  <si>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</si>
  <si>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</si>
  <si>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</si>
  <si>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</si>
  <si>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</si>
  <si>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</si>
  <si>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20261004 12:02:00</t>
  </si>
  <si>
    <t>12:02:00</t>
  </si>
  <si>
    <t>MPF-98-20261003-15_08_55</t>
  </si>
  <si>
    <t>MPF-100-20261004-12_02_03</t>
  </si>
  <si>
    <t>-</t>
  </si>
  <si>
    <t>0: Broadleaf</t>
  </si>
  <si>
    <t>11:58:14</t>
  </si>
  <si>
    <t>3/3</t>
  </si>
  <si>
    <t>20261004 12:04:03</t>
  </si>
  <si>
    <t>12:04:03</t>
  </si>
  <si>
    <t>MPF-101-20261004-12_04_06</t>
  </si>
  <si>
    <t>20261004 12:07:04</t>
  </si>
  <si>
    <t>12:07:04</t>
  </si>
  <si>
    <t>MPF-102-20261004-12_07_07</t>
  </si>
  <si>
    <t>20261004 12:10:07</t>
  </si>
  <si>
    <t>12:10:07</t>
  </si>
  <si>
    <t>MPF-103-20261004-12_10_10</t>
  </si>
  <si>
    <t>2/3</t>
  </si>
  <si>
    <t>20261004 12:12:10</t>
  </si>
  <si>
    <t>12:12:10</t>
  </si>
  <si>
    <t>MPF-104-20261004-12_12_13</t>
  </si>
  <si>
    <t>20261004 12:14:29</t>
  </si>
  <si>
    <t>12:14:29</t>
  </si>
  <si>
    <t>MPF-105-20261004-12_14_32</t>
  </si>
  <si>
    <t>12:13:28</t>
  </si>
  <si>
    <t>20261004 12:16:34</t>
  </si>
  <si>
    <t>12:16:34</t>
  </si>
  <si>
    <t>MPF-106-20261004-12_16_37</t>
  </si>
  <si>
    <t>12:15:46</t>
  </si>
  <si>
    <t>20261004 12:18:55</t>
  </si>
  <si>
    <t>12:18:55</t>
  </si>
  <si>
    <t>MPF-107-20261004-12_18_58</t>
  </si>
  <si>
    <t>12:17:43</t>
  </si>
  <si>
    <t>20261004 12:21:24</t>
  </si>
  <si>
    <t>12:21:24</t>
  </si>
  <si>
    <t>MPF-108-20261004-12_21_27</t>
  </si>
  <si>
    <t>12:19:59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</si>
</sst>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5"/>
  <sheetViews>
    <sheetView tabSelected="1" workbookViewId="0"/>
  </sheetViews>
  <sheetFormatPr defaultRowHeight="16.899999999999999" x14ac:dyDescent="0.6"/>
  <sheetData>
    <row r="2" spans="1:216" x14ac:dyDescent="0.6">
      <c r="A2" t="s">
        <v>31</v>
      </c>
      <c r="B2" t="s">
        <v>32</v>
      </c>
      <c r="C2" t="s">
        <v>34</v>
      </c>
    </row>
    <row r="3" spans="1:216" x14ac:dyDescent="0.6">
      <c r="B3" t="s">
        <v>33</v>
      </c>
      <c r="C3">
        <v>21</v>
      </c>
    </row>
    <row r="4" spans="1:216" x14ac:dyDescent="0.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6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6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6">
      <c r="B7">
        <v>0</v>
      </c>
      <c r="C7">
        <v>1</v>
      </c>
      <c r="D7">
        <v>0</v>
      </c>
      <c r="E7">
        <v>0</v>
      </c>
    </row>
    <row r="8" spans="1:216" x14ac:dyDescent="0.6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6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6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6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6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6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6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6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6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6">
      <c r="A17">
        <v>1</v>
      </c>
      <c r="B17">
        <v>1791082920.0999999</v>
      </c>
      <c r="C17">
        <v>0</v>
      </c>
      <c r="D17" t="s">
        <v>341</v>
      </c>
      <c r="E17" t="s">
        <v>342</v>
      </c>
      <c r="F17">
        <v>5</v>
      </c>
      <c r="G17">
        <v>1791082916.5999999</v>
      </c>
      <c r="H17">
        <f t="shared" ref="H17:H25" si="0">(I17)/1000</f>
        <v>5.056074075530409E-3</v>
      </c>
      <c r="I17">
        <f t="shared" ref="I17:I25" si="1">1000*DI17*AG17*(DE17-DF17)/(100*CX17*(1000-AG17*DE17))</f>
        <v>5.0560740755304092</v>
      </c>
      <c r="J17">
        <f t="shared" ref="J17:J25" si="2">DI17*AG17*(DD17-DC17*(1000-AG17*DF17)/(1000-AG17*DE17))/(100*CX17)</f>
        <v>20.604049407356833</v>
      </c>
      <c r="K17">
        <f t="shared" ref="K17:K25" si="3">DC17 - IF(AG17&gt;1, J17*CX17*100/(AI17), 0)</f>
        <v>399.99683333333297</v>
      </c>
      <c r="L17">
        <f t="shared" ref="L17:L25" si="4">((R17-H17/2)*K17-J17)/(R17+H17/2)</f>
        <v>301.09697408980389</v>
      </c>
      <c r="M17">
        <f t="shared" ref="M17:M25" si="5">L17*(DJ17+DK17)/1000</f>
        <v>30.439979291232955</v>
      </c>
      <c r="N17">
        <f t="shared" ref="N17:N25" si="6">(DC17 - IF(AG17&gt;1, J17*CX17*100/(AI17), 0))*(DJ17+DK17)/1000</f>
        <v>40.438451299726061</v>
      </c>
      <c r="O17">
        <f t="shared" ref="O17:O25" si="7">2/((1/Q17-1/P17)+SIGN(Q17)*SQRT((1/Q17-1/P17)*(1/Q17-1/P17) + 4*CY17/((CY17+1)*(CY17+1))*(2*1/Q17*1/P17-1/P17*1/P17)))</f>
        <v>0.38372831969878074</v>
      </c>
      <c r="P17">
        <f t="shared" ref="P17:P25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3.0279640514376265</v>
      </c>
      <c r="Q17">
        <f t="shared" ref="Q17:Q25" si="9">H17*(1000-(1000*0.61365*EXP(17.502*U17/(240.97+U17))/(DJ17+DK17)+DE17)/2)/(1000*0.61365*EXP(17.502*U17/(240.97+U17))/(DJ17+DK17)-DE17)</f>
        <v>0.35861483326621291</v>
      </c>
      <c r="R17">
        <f t="shared" ref="R17:R25" si="10">1/((CY17+1)/(O17/1.6)+1/(P17/1.37)) + CY17/((CY17+1)/(O17/1.6) + CY17/(P17/1.37))</f>
        <v>0.22625351229642332</v>
      </c>
      <c r="S17">
        <f t="shared" ref="S17:S25" si="11">(CT17*CW17)</f>
        <v>241.73764201557893</v>
      </c>
      <c r="T17">
        <f t="shared" ref="T17:T25" si="12">(DL17+(S17+2*0.95*0.0000000567*(((DL17+$B$7)+273)^4-(DL17+273)^4)-44100*H17)/(1.84*29.3*P17+8*0.95*0.0000000567*(DL17+273)^3))</f>
        <v>25.450519584954232</v>
      </c>
      <c r="U17">
        <f t="shared" ref="U17:U25" si="13">($C$7*DM17+$D$7*DN17+$E$7*T17)</f>
        <v>25.0004666666667</v>
      </c>
      <c r="V17">
        <f t="shared" ref="V17:V25" si="14">0.61365*EXP(17.502*U17/(240.97+U17))</f>
        <v>3.179766056814723</v>
      </c>
      <c r="W17">
        <f t="shared" ref="W17:W25" si="15">(X17/Y17*100)</f>
        <v>55.139407203311777</v>
      </c>
      <c r="X17">
        <f t="shared" ref="X17:X25" si="16">DE17*(DJ17+DK17)/1000</f>
        <v>1.78944091045215</v>
      </c>
      <c r="Y17">
        <f t="shared" ref="Y17:Y25" si="17">0.61365*EXP(17.502*DL17/(240.97+DL17))</f>
        <v>3.2453031347509174</v>
      </c>
      <c r="Z17">
        <f t="shared" ref="Z17:Z25" si="18">(V17-DE17*(DJ17+DK17)/1000)</f>
        <v>1.390325146362573</v>
      </c>
      <c r="AA17">
        <f t="shared" ref="AA17:AA25" si="19">(-H17*44100)</f>
        <v>-222.97286673089104</v>
      </c>
      <c r="AB17">
        <f t="shared" ref="AB17:AB25" si="20">2*29.3*P17*0.92*(DL17-U17)</f>
        <v>55.932698107881912</v>
      </c>
      <c r="AC17">
        <f t="shared" ref="AC17:AC25" si="21">2*0.95*0.0000000567*(((DL17+$B$7)+273)^4-(U17+273)^4)</f>
        <v>3.9140469810595824</v>
      </c>
      <c r="AD17">
        <f t="shared" ref="AD17:AD25" si="22">S17+AC17+AA17+AB17</f>
        <v>78.611520373629389</v>
      </c>
      <c r="AE17">
        <v>0</v>
      </c>
      <c r="AF17">
        <v>0</v>
      </c>
      <c r="AG17">
        <f t="shared" ref="AG17:AG25" si="23">IF(AE17*$H$13&gt;=AI17,1,(AI17/(AI17-AE17*$H$13)))</f>
        <v>1</v>
      </c>
      <c r="AH17">
        <f t="shared" ref="AH17:AH25" si="24">(AG17-1)*100</f>
        <v>0</v>
      </c>
      <c r="AI17">
        <f t="shared" ref="AI17:AI25" si="25">MAX(0,($B$13+$C$13*DQ17)/(1+$D$13*DQ17)*DJ17/(DL17+273)*$E$13)</f>
        <v>53713.745924150317</v>
      </c>
      <c r="AJ17" t="s">
        <v>343</v>
      </c>
      <c r="AK17">
        <v>8120.04</v>
      </c>
      <c r="AL17">
        <v>210.59615384615401</v>
      </c>
      <c r="AM17">
        <v>825.39381343585001</v>
      </c>
      <c r="AN17">
        <f t="shared" ref="AN17:AN25" si="26">1-AL17/AM17</f>
        <v>0.74485372870737954</v>
      </c>
      <c r="AO17">
        <v>-1.3921664163079699</v>
      </c>
      <c r="AP17" t="s">
        <v>344</v>
      </c>
      <c r="AQ17">
        <v>8153.72</v>
      </c>
      <c r="AR17">
        <v>288.22239999999999</v>
      </c>
      <c r="AS17">
        <v>358.06956010653897</v>
      </c>
      <c r="AT17">
        <f t="shared" ref="AT17:AT25" si="27">1-AR17/AS17</f>
        <v>0.19506589749141723</v>
      </c>
      <c r="AU17">
        <v>0.5</v>
      </c>
      <c r="AV17">
        <f t="shared" ref="AV17:AV25" si="28">CU17</f>
        <v>1261.2150000080721</v>
      </c>
      <c r="AW17">
        <f t="shared" ref="AW17:AW25" si="29">J17</f>
        <v>20.604049407356833</v>
      </c>
      <c r="AX17">
        <f t="shared" ref="AX17:AX25" si="30">AT17*AU17*AV17</f>
        <v>123.01001795310619</v>
      </c>
      <c r="AY17">
        <f t="shared" ref="AY17:AY25" si="31">(AW17-AO17)/AV17</f>
        <v>1.7440496524005835E-2</v>
      </c>
      <c r="AZ17">
        <f t="shared" ref="AZ17:AZ25" si="32">(AM17-AS17)/AS17</f>
        <v>1.3051214216317766</v>
      </c>
      <c r="BA17">
        <f t="shared" ref="BA17:BA25" si="33">AL17/(AN17+AL17/AS17)</f>
        <v>157.98698367877745</v>
      </c>
      <c r="BB17" t="s">
        <v>345</v>
      </c>
      <c r="BC17">
        <v>0</v>
      </c>
      <c r="BD17">
        <f t="shared" ref="BD17:BD25" si="34">IF(BC17&lt;&gt;0, BC17, BA17)</f>
        <v>157.98698367877745</v>
      </c>
      <c r="BE17">
        <f t="shared" ref="BE17:BE25" si="35">1-BD17/AS17</f>
        <v>0.55878130597928943</v>
      </c>
      <c r="BF17">
        <f t="shared" ref="BF17:BF25" si="36">(AS17-AR17)/(AS17-BD17)</f>
        <v>0.34909166681865889</v>
      </c>
      <c r="BG17">
        <f t="shared" ref="BG17:BG25" si="37">(AM17-AS17)/(AM17-BD17)</f>
        <v>0.70020897673374283</v>
      </c>
      <c r="BH17">
        <f t="shared" ref="BH17:BH25" si="38">(AS17-AR17)/(AS17-AL17)</f>
        <v>0.47362546155076957</v>
      </c>
      <c r="BI17">
        <f t="shared" ref="BI17:BI25" si="39">(AM17-AS17)/(AM17-AL17)</f>
        <v>0.76012692312653596</v>
      </c>
      <c r="BJ17">
        <f t="shared" ref="BJ17:BJ25" si="40">(BF17*BD17/AR17)</f>
        <v>0.19135202353486988</v>
      </c>
      <c r="BK17">
        <f t="shared" ref="BK17:BK25" si="41">(1-BJ17)</f>
        <v>0.80864797646513009</v>
      </c>
      <c r="BL17">
        <v>100</v>
      </c>
      <c r="BM17">
        <v>290</v>
      </c>
      <c r="BN17">
        <v>344.27</v>
      </c>
      <c r="BO17">
        <v>225</v>
      </c>
      <c r="BP17">
        <v>8153.72</v>
      </c>
      <c r="BQ17">
        <v>344.62</v>
      </c>
      <c r="BR17">
        <v>-0.35</v>
      </c>
      <c r="BS17">
        <v>300</v>
      </c>
      <c r="BT17">
        <v>19.100000000000001</v>
      </c>
      <c r="BU17">
        <v>358.06956010653897</v>
      </c>
      <c r="BV17">
        <v>2.72556617753352</v>
      </c>
      <c r="BW17">
        <v>-10.965938132520201</v>
      </c>
      <c r="BX17">
        <v>2.0331705945360699</v>
      </c>
      <c r="BY17">
        <v>0.50954645789713504</v>
      </c>
      <c r="BZ17">
        <v>-4.3928295884315899E-3</v>
      </c>
      <c r="CA17">
        <v>290</v>
      </c>
      <c r="CB17">
        <v>345.46</v>
      </c>
      <c r="CC17">
        <v>675</v>
      </c>
      <c r="CD17">
        <v>8147.14</v>
      </c>
      <c r="CE17">
        <v>344.61</v>
      </c>
      <c r="CF17">
        <v>0.85</v>
      </c>
      <c r="CT17">
        <f t="shared" ref="CT17:CT25" si="42">$B$11*DR17+$C$11*DS17+$F$11*DT17*(1-DW17)</f>
        <v>1500.0050000000001</v>
      </c>
      <c r="CU17">
        <f t="shared" ref="CU17:CU25" si="43">CT17*CV17</f>
        <v>1261.2150000080721</v>
      </c>
      <c r="CV17">
        <f t="shared" ref="CV17:CV25" si="44">($B$11*$D$9+$C$11*$D$9+$F$11*((EG17+DY17)/MAX(EG17+DY17+EH17, 0.1)*$I$9+EH17/MAX(EG17+DY17+EH17, 0.1)*$J$9))/($B$11+$C$11+$F$11)</f>
        <v>0.84080719731472364</v>
      </c>
      <c r="CW17">
        <f t="shared" ref="CW17:CW25" si="45">($B$11*$K$9+$C$11*$K$9+$F$11*((EG17+DY17)/MAX(EG17+DY17+EH17, 0.1)*$P$9+EH17/MAX(EG17+DY17+EH17, 0.1)*$Q$9))/($B$11+$C$11+$F$11)</f>
        <v>0.16115789081741655</v>
      </c>
      <c r="CX17">
        <v>2</v>
      </c>
      <c r="CY17">
        <v>0.5</v>
      </c>
      <c r="CZ17" t="s">
        <v>346</v>
      </c>
      <c r="DA17">
        <v>2</v>
      </c>
      <c r="DB17">
        <v>1791082916.5999999</v>
      </c>
      <c r="DC17">
        <v>399.99683333333297</v>
      </c>
      <c r="DD17">
        <v>409.04750000000001</v>
      </c>
      <c r="DE17">
        <v>17.70025</v>
      </c>
      <c r="DF17">
        <v>15.7136</v>
      </c>
      <c r="DG17">
        <v>400.411</v>
      </c>
      <c r="DH17">
        <v>17.879933333333302</v>
      </c>
      <c r="DI17">
        <v>499.99549999999999</v>
      </c>
      <c r="DJ17">
        <v>100.997</v>
      </c>
      <c r="DK17">
        <v>9.9928600000000006E-2</v>
      </c>
      <c r="DL17">
        <v>25.3431</v>
      </c>
      <c r="DM17">
        <v>25.0004666666667</v>
      </c>
      <c r="DN17">
        <v>999.9</v>
      </c>
      <c r="DO17">
        <v>0</v>
      </c>
      <c r="DP17">
        <v>0</v>
      </c>
      <c r="DQ17">
        <v>10002.485000000001</v>
      </c>
      <c r="DR17">
        <v>0</v>
      </c>
      <c r="DS17">
        <v>8.5442300000000007</v>
      </c>
      <c r="DT17">
        <v>1500.0050000000001</v>
      </c>
      <c r="DU17">
        <v>0.97300149999999996</v>
      </c>
      <c r="DV17">
        <v>2.6998433333333301E-2</v>
      </c>
      <c r="DW17">
        <v>0</v>
      </c>
      <c r="DX17">
        <v>288.23899999999998</v>
      </c>
      <c r="DY17">
        <v>4.9999900000000004</v>
      </c>
      <c r="DZ17">
        <v>4268.0933333333296</v>
      </c>
      <c r="EA17">
        <v>14882.65</v>
      </c>
      <c r="EB17">
        <v>37.301666666666698</v>
      </c>
      <c r="EC17">
        <v>38.916333333333299</v>
      </c>
      <c r="ED17">
        <v>37.875</v>
      </c>
      <c r="EE17">
        <v>38.375</v>
      </c>
      <c r="EF17">
        <v>38.875</v>
      </c>
      <c r="EG17">
        <v>1454.645</v>
      </c>
      <c r="EH17">
        <v>40.36</v>
      </c>
      <c r="EI17">
        <v>0</v>
      </c>
      <c r="EJ17">
        <v>1791082924.2</v>
      </c>
      <c r="EK17">
        <v>0</v>
      </c>
      <c r="EL17">
        <v>288.22239999999999</v>
      </c>
      <c r="EM17">
        <v>2.3724615438780301</v>
      </c>
      <c r="EN17">
        <v>-1.36230773191953</v>
      </c>
      <c r="EO17">
        <v>4268.0608000000002</v>
      </c>
      <c r="EP17">
        <v>15</v>
      </c>
      <c r="EQ17">
        <v>1791082694.0999999</v>
      </c>
      <c r="ER17" t="s">
        <v>347</v>
      </c>
      <c r="ES17">
        <v>1791082688.0999999</v>
      </c>
      <c r="ET17">
        <v>1791082694.0999999</v>
      </c>
      <c r="EU17">
        <v>15</v>
      </c>
      <c r="EV17">
        <v>0.24099999999999999</v>
      </c>
      <c r="EW17">
        <v>0</v>
      </c>
      <c r="EX17">
        <v>-0.40200000000000002</v>
      </c>
      <c r="EY17">
        <v>-0.186</v>
      </c>
      <c r="EZ17">
        <v>409</v>
      </c>
      <c r="FA17">
        <v>16</v>
      </c>
      <c r="FB17">
        <v>0.13</v>
      </c>
      <c r="FC17">
        <v>0.04</v>
      </c>
      <c r="FD17">
        <v>20.600597205754202</v>
      </c>
      <c r="FE17">
        <v>0.35240438607298302</v>
      </c>
      <c r="FF17">
        <v>7.7949417566698306E-2</v>
      </c>
      <c r="FG17">
        <v>1</v>
      </c>
      <c r="FH17">
        <v>-9.0444228571428607</v>
      </c>
      <c r="FI17">
        <v>-0.17315064935064201</v>
      </c>
      <c r="FJ17">
        <v>3.17529063001072E-2</v>
      </c>
      <c r="FK17">
        <v>1</v>
      </c>
      <c r="FL17">
        <v>288.19402941176497</v>
      </c>
      <c r="FM17">
        <v>0.94660046429628797</v>
      </c>
      <c r="FN17">
        <v>0.35400145274661499</v>
      </c>
      <c r="FO17">
        <v>1</v>
      </c>
      <c r="FP17">
        <v>3</v>
      </c>
      <c r="FQ17">
        <v>3</v>
      </c>
      <c r="FR17" t="s">
        <v>348</v>
      </c>
      <c r="FS17">
        <v>100</v>
      </c>
      <c r="FT17">
        <v>100</v>
      </c>
      <c r="FU17">
        <v>-0.41399999999999998</v>
      </c>
      <c r="FV17">
        <v>-0.1797</v>
      </c>
      <c r="FW17">
        <v>-0.83924886499706197</v>
      </c>
      <c r="FX17">
        <v>7.6835882421071803E-4</v>
      </c>
      <c r="FY17">
        <v>7.9312579872174805E-7</v>
      </c>
      <c r="FZ17">
        <v>-1.5433145656851401E-10</v>
      </c>
      <c r="GA17">
        <v>-3.0323615786433E-2</v>
      </c>
      <c r="GB17">
        <v>-2.1578312386681502E-2</v>
      </c>
      <c r="GC17">
        <v>7.7134661959739901E-4</v>
      </c>
      <c r="GD17">
        <v>-1.7684492548540801E-6</v>
      </c>
      <c r="GE17">
        <v>4</v>
      </c>
      <c r="GF17">
        <v>2093</v>
      </c>
      <c r="GG17">
        <v>1</v>
      </c>
      <c r="GH17">
        <v>31</v>
      </c>
      <c r="GI17">
        <v>3.9</v>
      </c>
      <c r="GJ17">
        <v>3.8</v>
      </c>
      <c r="GK17">
        <v>1.0546899999999999</v>
      </c>
      <c r="GL17">
        <v>2.6232899999999999</v>
      </c>
      <c r="GM17">
        <v>1.65161</v>
      </c>
      <c r="GN17">
        <v>2.2839399999999999</v>
      </c>
      <c r="GO17">
        <v>1.5979000000000001</v>
      </c>
      <c r="GP17">
        <v>2.49878</v>
      </c>
      <c r="GQ17">
        <v>34.304200000000002</v>
      </c>
      <c r="GR17">
        <v>15.497999999999999</v>
      </c>
      <c r="GS17">
        <v>18</v>
      </c>
      <c r="GT17">
        <v>505.27199999999999</v>
      </c>
      <c r="GU17">
        <v>529.25900000000001</v>
      </c>
      <c r="GV17">
        <v>21.4268</v>
      </c>
      <c r="GW17">
        <v>29.864899999999999</v>
      </c>
      <c r="GX17">
        <v>30.0001</v>
      </c>
      <c r="GY17">
        <v>29.956299999999999</v>
      </c>
      <c r="GZ17">
        <v>30.003</v>
      </c>
      <c r="HA17">
        <v>21.093299999999999</v>
      </c>
      <c r="HB17">
        <v>31.528700000000001</v>
      </c>
      <c r="HC17">
        <v>0</v>
      </c>
      <c r="HD17">
        <v>21.430800000000001</v>
      </c>
      <c r="HE17">
        <v>409.00400000000002</v>
      </c>
      <c r="HF17">
        <v>15.6625</v>
      </c>
      <c r="HG17">
        <v>98.011899999999997</v>
      </c>
      <c r="HH17">
        <v>94.592799999999997</v>
      </c>
    </row>
    <row r="18" spans="1:216" x14ac:dyDescent="0.6">
      <c r="A18">
        <v>2</v>
      </c>
      <c r="B18">
        <v>1791083043.0999999</v>
      </c>
      <c r="C18">
        <v>123</v>
      </c>
      <c r="D18" t="s">
        <v>349</v>
      </c>
      <c r="E18" t="s">
        <v>350</v>
      </c>
      <c r="F18">
        <v>5</v>
      </c>
      <c r="G18">
        <v>1791083039.5999999</v>
      </c>
      <c r="H18">
        <f t="shared" si="0"/>
        <v>4.7806563667394395E-3</v>
      </c>
      <c r="I18">
        <f t="shared" si="1"/>
        <v>4.7806563667394393</v>
      </c>
      <c r="J18">
        <f t="shared" si="2"/>
        <v>20.20032699907803</v>
      </c>
      <c r="K18">
        <f t="shared" si="3"/>
        <v>400.01850000000002</v>
      </c>
      <c r="L18">
        <f t="shared" si="4"/>
        <v>297.69398592441325</v>
      </c>
      <c r="M18">
        <f t="shared" si="5"/>
        <v>30.096357033380823</v>
      </c>
      <c r="N18">
        <f t="shared" si="6"/>
        <v>40.441191845287278</v>
      </c>
      <c r="O18">
        <f t="shared" si="7"/>
        <v>0.3612484313257559</v>
      </c>
      <c r="P18">
        <f t="shared" si="8"/>
        <v>3.0301962372510123</v>
      </c>
      <c r="Q18">
        <f t="shared" si="9"/>
        <v>0.3389146520652489</v>
      </c>
      <c r="R18">
        <f t="shared" si="10"/>
        <v>0.2137130971559584</v>
      </c>
      <c r="S18">
        <f t="shared" si="11"/>
        <v>193.80331001902925</v>
      </c>
      <c r="T18">
        <f t="shared" si="12"/>
        <v>25.511681775950638</v>
      </c>
      <c r="U18">
        <f t="shared" si="13"/>
        <v>25.040333333333301</v>
      </c>
      <c r="V18">
        <f t="shared" si="14"/>
        <v>3.1873315974837184</v>
      </c>
      <c r="W18">
        <f t="shared" si="15"/>
        <v>54.486499465002836</v>
      </c>
      <c r="X18">
        <f t="shared" si="16"/>
        <v>1.7964107056031593</v>
      </c>
      <c r="Y18">
        <f t="shared" si="17"/>
        <v>3.2969831485632692</v>
      </c>
      <c r="Z18">
        <f t="shared" si="18"/>
        <v>1.3909208918805591</v>
      </c>
      <c r="AA18">
        <f t="shared" si="19"/>
        <v>-210.82694577320927</v>
      </c>
      <c r="AB18">
        <f t="shared" si="20"/>
        <v>92.907795150251175</v>
      </c>
      <c r="AC18">
        <f t="shared" si="21"/>
        <v>6.5066972932897009</v>
      </c>
      <c r="AD18">
        <f t="shared" si="22"/>
        <v>82.390856689360859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53735.411625904642</v>
      </c>
      <c r="AJ18" t="s">
        <v>343</v>
      </c>
      <c r="AK18">
        <v>8120.04</v>
      </c>
      <c r="AL18">
        <v>210.59615384615401</v>
      </c>
      <c r="AM18">
        <v>825.39381343585001</v>
      </c>
      <c r="AN18">
        <f t="shared" si="26"/>
        <v>0.74485372870737954</v>
      </c>
      <c r="AO18">
        <v>-1.3921664163079699</v>
      </c>
      <c r="AP18" t="s">
        <v>351</v>
      </c>
      <c r="AQ18">
        <v>8154.4</v>
      </c>
      <c r="AR18">
        <v>285.15596153846201</v>
      </c>
      <c r="AS18">
        <v>388.54459533061799</v>
      </c>
      <c r="AT18">
        <f t="shared" si="27"/>
        <v>0.26609206519571105</v>
      </c>
      <c r="AU18">
        <v>0.5</v>
      </c>
      <c r="AV18">
        <f t="shared" si="28"/>
        <v>1009.1818000098571</v>
      </c>
      <c r="AW18">
        <f t="shared" si="29"/>
        <v>20.20032699907803</v>
      </c>
      <c r="AX18">
        <f t="shared" si="30"/>
        <v>134.26763466127395</v>
      </c>
      <c r="AY18">
        <f t="shared" si="31"/>
        <v>2.1396039261880363E-2</v>
      </c>
      <c r="AZ18">
        <f t="shared" si="32"/>
        <v>1.1243219526281429</v>
      </c>
      <c r="BA18">
        <f t="shared" si="33"/>
        <v>163.65034369761969</v>
      </c>
      <c r="BB18" t="s">
        <v>345</v>
      </c>
      <c r="BC18">
        <v>0</v>
      </c>
      <c r="BD18">
        <f t="shared" si="34"/>
        <v>163.65034369761969</v>
      </c>
      <c r="BE18">
        <f t="shared" si="35"/>
        <v>0.57881194162958993</v>
      </c>
      <c r="BF18">
        <f t="shared" si="36"/>
        <v>0.45972110465888832</v>
      </c>
      <c r="BG18">
        <f t="shared" si="37"/>
        <v>0.66014889165138113</v>
      </c>
      <c r="BH18">
        <f t="shared" si="38"/>
        <v>0.5810033115754063</v>
      </c>
      <c r="BI18">
        <f t="shared" si="39"/>
        <v>0.71055771161649628</v>
      </c>
      <c r="BJ18">
        <f t="shared" si="40"/>
        <v>0.26383287368982089</v>
      </c>
      <c r="BK18">
        <f t="shared" si="41"/>
        <v>0.73616712631017911</v>
      </c>
      <c r="BL18">
        <v>101</v>
      </c>
      <c r="BM18">
        <v>290</v>
      </c>
      <c r="BN18">
        <v>365.28</v>
      </c>
      <c r="BO18">
        <v>235</v>
      </c>
      <c r="BP18">
        <v>8154.4</v>
      </c>
      <c r="BQ18">
        <v>364.33</v>
      </c>
      <c r="BR18">
        <v>0.95</v>
      </c>
      <c r="BS18">
        <v>300</v>
      </c>
      <c r="BT18">
        <v>19.100000000000001</v>
      </c>
      <c r="BU18">
        <v>388.54459533061799</v>
      </c>
      <c r="BV18">
        <v>3.5406795846080499</v>
      </c>
      <c r="BW18">
        <v>-19.7439170142571</v>
      </c>
      <c r="BX18">
        <v>2.6298018643460401</v>
      </c>
      <c r="BY18">
        <v>0.66811446225686599</v>
      </c>
      <c r="BZ18">
        <v>-4.5942436040044502E-3</v>
      </c>
      <c r="CA18">
        <v>290</v>
      </c>
      <c r="CB18">
        <v>363.23</v>
      </c>
      <c r="CC18">
        <v>755</v>
      </c>
      <c r="CD18">
        <v>8146.77</v>
      </c>
      <c r="CE18">
        <v>364.31</v>
      </c>
      <c r="CF18">
        <v>-1.08</v>
      </c>
      <c r="CT18">
        <f t="shared" si="42"/>
        <v>1199.99833333333</v>
      </c>
      <c r="CU18">
        <f t="shared" si="43"/>
        <v>1009.1818000098571</v>
      </c>
      <c r="CV18">
        <f t="shared" si="44"/>
        <v>0.84098600137766288</v>
      </c>
      <c r="CW18">
        <f t="shared" si="45"/>
        <v>0.16150298265888963</v>
      </c>
      <c r="CX18">
        <v>2</v>
      </c>
      <c r="CY18">
        <v>0.5</v>
      </c>
      <c r="CZ18" t="s">
        <v>346</v>
      </c>
      <c r="DA18">
        <v>2</v>
      </c>
      <c r="DB18">
        <v>1791083039.5999999</v>
      </c>
      <c r="DC18">
        <v>400.01850000000002</v>
      </c>
      <c r="DD18">
        <v>408.86200000000002</v>
      </c>
      <c r="DE18">
        <v>17.76895</v>
      </c>
      <c r="DF18">
        <v>15.891</v>
      </c>
      <c r="DG18">
        <v>400.43283333333301</v>
      </c>
      <c r="DH18">
        <v>17.948316666666699</v>
      </c>
      <c r="DI18">
        <v>500.08883333333301</v>
      </c>
      <c r="DJ18">
        <v>100.99850000000001</v>
      </c>
      <c r="DK18">
        <v>9.9803816666666698E-2</v>
      </c>
      <c r="DL18">
        <v>25.60905</v>
      </c>
      <c r="DM18">
        <v>25.040333333333301</v>
      </c>
      <c r="DN18">
        <v>999.9</v>
      </c>
      <c r="DO18">
        <v>0</v>
      </c>
      <c r="DP18">
        <v>0</v>
      </c>
      <c r="DQ18">
        <v>10015.84</v>
      </c>
      <c r="DR18">
        <v>0</v>
      </c>
      <c r="DS18">
        <v>8.7242200000000008</v>
      </c>
      <c r="DT18">
        <v>1199.99833333333</v>
      </c>
      <c r="DU18">
        <v>0.96699633333333301</v>
      </c>
      <c r="DV18">
        <v>3.3003733333333299E-2</v>
      </c>
      <c r="DW18">
        <v>0</v>
      </c>
      <c r="DX18">
        <v>285.20683333333301</v>
      </c>
      <c r="DY18">
        <v>4.9999900000000004</v>
      </c>
      <c r="DZ18">
        <v>3379.3483333333302</v>
      </c>
      <c r="EA18">
        <v>11872.6333333333</v>
      </c>
      <c r="EB18">
        <v>37.125</v>
      </c>
      <c r="EC18">
        <v>39</v>
      </c>
      <c r="ED18">
        <v>37.936999999999998</v>
      </c>
      <c r="EE18">
        <v>38.5</v>
      </c>
      <c r="EF18">
        <v>38.853999999999999</v>
      </c>
      <c r="EG18">
        <v>1155.55833333333</v>
      </c>
      <c r="EH18">
        <v>39.44</v>
      </c>
      <c r="EI18">
        <v>0</v>
      </c>
      <c r="EJ18">
        <v>121.700000047684</v>
      </c>
      <c r="EK18">
        <v>0</v>
      </c>
      <c r="EL18">
        <v>285.15596153846201</v>
      </c>
      <c r="EM18">
        <v>0.94211968386290801</v>
      </c>
      <c r="EN18">
        <v>10.3976068176379</v>
      </c>
      <c r="EO18">
        <v>3378.66423076923</v>
      </c>
      <c r="EP18">
        <v>15</v>
      </c>
      <c r="EQ18">
        <v>1791082694.0999999</v>
      </c>
      <c r="ER18" t="s">
        <v>347</v>
      </c>
      <c r="ES18">
        <v>1791082688.0999999</v>
      </c>
      <c r="ET18">
        <v>1791082694.0999999</v>
      </c>
      <c r="EU18">
        <v>15</v>
      </c>
      <c r="EV18">
        <v>0.24099999999999999</v>
      </c>
      <c r="EW18">
        <v>0</v>
      </c>
      <c r="EX18">
        <v>-0.40200000000000002</v>
      </c>
      <c r="EY18">
        <v>-0.186</v>
      </c>
      <c r="EZ18">
        <v>409</v>
      </c>
      <c r="FA18">
        <v>16</v>
      </c>
      <c r="FB18">
        <v>0.13</v>
      </c>
      <c r="FC18">
        <v>0.04</v>
      </c>
      <c r="FD18">
        <v>20.2865939698445</v>
      </c>
      <c r="FE18">
        <v>-0.113069026810902</v>
      </c>
      <c r="FF18">
        <v>9.9679390802932893E-2</v>
      </c>
      <c r="FG18">
        <v>1</v>
      </c>
      <c r="FH18">
        <v>-8.8946852380952404</v>
      </c>
      <c r="FI18">
        <v>0.22072519480519501</v>
      </c>
      <c r="FJ18">
        <v>4.4942296402116597E-2</v>
      </c>
      <c r="FK18">
        <v>1</v>
      </c>
      <c r="FL18">
        <v>285.09058823529398</v>
      </c>
      <c r="FM18">
        <v>0.52158901500194099</v>
      </c>
      <c r="FN18">
        <v>0.41880826145336603</v>
      </c>
      <c r="FO18">
        <v>1</v>
      </c>
      <c r="FP18">
        <v>3</v>
      </c>
      <c r="FQ18">
        <v>3</v>
      </c>
      <c r="FR18" t="s">
        <v>348</v>
      </c>
      <c r="FS18">
        <v>100</v>
      </c>
      <c r="FT18">
        <v>100</v>
      </c>
      <c r="FU18">
        <v>-0.41499999999999998</v>
      </c>
      <c r="FV18">
        <v>-0.17929999999999999</v>
      </c>
      <c r="FW18">
        <v>-0.83924886499706197</v>
      </c>
      <c r="FX18">
        <v>7.6835882421071803E-4</v>
      </c>
      <c r="FY18">
        <v>7.9312579872174805E-7</v>
      </c>
      <c r="FZ18">
        <v>-1.5433145656851401E-10</v>
      </c>
      <c r="GA18">
        <v>-3.0323615786433E-2</v>
      </c>
      <c r="GB18">
        <v>-2.1578312386681502E-2</v>
      </c>
      <c r="GC18">
        <v>7.7134661959739901E-4</v>
      </c>
      <c r="GD18">
        <v>-1.7684492548540801E-6</v>
      </c>
      <c r="GE18">
        <v>4</v>
      </c>
      <c r="GF18">
        <v>2093</v>
      </c>
      <c r="GG18">
        <v>1</v>
      </c>
      <c r="GH18">
        <v>31</v>
      </c>
      <c r="GI18">
        <v>5.9</v>
      </c>
      <c r="GJ18">
        <v>5.8</v>
      </c>
      <c r="GK18">
        <v>1.0546899999999999</v>
      </c>
      <c r="GL18">
        <v>2.63184</v>
      </c>
      <c r="GM18">
        <v>1.65161</v>
      </c>
      <c r="GN18">
        <v>2.2839399999999999</v>
      </c>
      <c r="GO18">
        <v>1.5979000000000001</v>
      </c>
      <c r="GP18">
        <v>2.47437</v>
      </c>
      <c r="GQ18">
        <v>34.349699999999999</v>
      </c>
      <c r="GR18">
        <v>15.4717</v>
      </c>
      <c r="GS18">
        <v>18</v>
      </c>
      <c r="GT18">
        <v>505.18099999999998</v>
      </c>
      <c r="GU18">
        <v>529.25300000000004</v>
      </c>
      <c r="GV18">
        <v>22.235900000000001</v>
      </c>
      <c r="GW18">
        <v>29.903199999999998</v>
      </c>
      <c r="GX18">
        <v>30.0029</v>
      </c>
      <c r="GY18">
        <v>29.998799999999999</v>
      </c>
      <c r="GZ18">
        <v>30.046900000000001</v>
      </c>
      <c r="HA18">
        <v>21.089600000000001</v>
      </c>
      <c r="HB18">
        <v>30.389900000000001</v>
      </c>
      <c r="HC18">
        <v>0</v>
      </c>
      <c r="HD18">
        <v>22.2316</v>
      </c>
      <c r="HE18">
        <v>408.911</v>
      </c>
      <c r="HF18">
        <v>15.981999999999999</v>
      </c>
      <c r="HG18">
        <v>98.001300000000001</v>
      </c>
      <c r="HH18">
        <v>94.582899999999995</v>
      </c>
    </row>
    <row r="19" spans="1:216" x14ac:dyDescent="0.6">
      <c r="A19">
        <v>3</v>
      </c>
      <c r="B19">
        <v>1791083224</v>
      </c>
      <c r="C19">
        <v>303.90000009536698</v>
      </c>
      <c r="D19" t="s">
        <v>352</v>
      </c>
      <c r="E19" t="s">
        <v>353</v>
      </c>
      <c r="F19">
        <v>5</v>
      </c>
      <c r="G19">
        <v>1791083220.5</v>
      </c>
      <c r="H19">
        <f t="shared" si="0"/>
        <v>4.6193565405006623E-3</v>
      </c>
      <c r="I19">
        <f t="shared" si="1"/>
        <v>4.6193565405006627</v>
      </c>
      <c r="J19">
        <f t="shared" si="2"/>
        <v>19.625274736103687</v>
      </c>
      <c r="K19">
        <f t="shared" si="3"/>
        <v>400.0025</v>
      </c>
      <c r="L19">
        <f t="shared" si="4"/>
        <v>299.59537061666748</v>
      </c>
      <c r="M19">
        <f t="shared" si="5"/>
        <v>30.290167806334455</v>
      </c>
      <c r="N19">
        <f t="shared" si="6"/>
        <v>40.441689145644084</v>
      </c>
      <c r="O19">
        <f t="shared" si="7"/>
        <v>0.35741133900224126</v>
      </c>
      <c r="P19">
        <f t="shared" si="8"/>
        <v>3.0267285302231199</v>
      </c>
      <c r="Q19">
        <f t="shared" si="9"/>
        <v>0.33551065721056894</v>
      </c>
      <c r="R19">
        <f t="shared" si="10"/>
        <v>0.21154992545087553</v>
      </c>
      <c r="S19">
        <f t="shared" si="11"/>
        <v>145.91712338310279</v>
      </c>
      <c r="T19">
        <f t="shared" si="12"/>
        <v>25.449928038506204</v>
      </c>
      <c r="U19">
        <f t="shared" si="13"/>
        <v>25.020383333333299</v>
      </c>
      <c r="V19">
        <f t="shared" si="14"/>
        <v>3.1835437003897913</v>
      </c>
      <c r="W19">
        <f t="shared" si="15"/>
        <v>54.823273907121994</v>
      </c>
      <c r="X19">
        <f t="shared" si="16"/>
        <v>1.8260218460898703</v>
      </c>
      <c r="Y19">
        <f t="shared" si="17"/>
        <v>3.3307420661950928</v>
      </c>
      <c r="Z19">
        <f t="shared" si="18"/>
        <v>1.357521854299921</v>
      </c>
      <c r="AA19">
        <f t="shared" si="19"/>
        <v>-203.71362343607922</v>
      </c>
      <c r="AB19">
        <f t="shared" si="20"/>
        <v>124.08522130462551</v>
      </c>
      <c r="AC19">
        <f t="shared" si="21"/>
        <v>8.7067801438378218</v>
      </c>
      <c r="AD19">
        <f t="shared" si="22"/>
        <v>74.995501395486897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53596.791849768466</v>
      </c>
      <c r="AJ19" t="s">
        <v>343</v>
      </c>
      <c r="AK19">
        <v>8120.04</v>
      </c>
      <c r="AL19">
        <v>210.59615384615401</v>
      </c>
      <c r="AM19">
        <v>825.39381343585001</v>
      </c>
      <c r="AN19">
        <f t="shared" si="26"/>
        <v>0.74485372870737954</v>
      </c>
      <c r="AO19">
        <v>-1.3921664163079699</v>
      </c>
      <c r="AP19" t="s">
        <v>354</v>
      </c>
      <c r="AQ19">
        <v>8162.89</v>
      </c>
      <c r="AR19">
        <v>291.37099999999998</v>
      </c>
      <c r="AS19">
        <v>448.90529330795198</v>
      </c>
      <c r="AT19">
        <f t="shared" si="27"/>
        <v>0.35092990805943214</v>
      </c>
      <c r="AU19">
        <v>0.5</v>
      </c>
      <c r="AV19">
        <f t="shared" si="28"/>
        <v>757.16294351456133</v>
      </c>
      <c r="AW19">
        <f t="shared" si="29"/>
        <v>19.625274736103687</v>
      </c>
      <c r="AX19">
        <f t="shared" si="30"/>
        <v>132.85556107678701</v>
      </c>
      <c r="AY19">
        <f t="shared" si="31"/>
        <v>2.775814814028529E-2</v>
      </c>
      <c r="AZ19">
        <f t="shared" si="32"/>
        <v>0.83868140059917817</v>
      </c>
      <c r="BA19">
        <f t="shared" si="33"/>
        <v>173.47488263976695</v>
      </c>
      <c r="BB19" t="s">
        <v>345</v>
      </c>
      <c r="BC19">
        <v>0</v>
      </c>
      <c r="BD19">
        <f t="shared" si="34"/>
        <v>173.47488263976695</v>
      </c>
      <c r="BE19">
        <f t="shared" si="35"/>
        <v>0.61356017577462152</v>
      </c>
      <c r="BF19">
        <f t="shared" si="36"/>
        <v>0.5719567891061087</v>
      </c>
      <c r="BG19">
        <f t="shared" si="37"/>
        <v>0.57750818751060584</v>
      </c>
      <c r="BH19">
        <f t="shared" si="38"/>
        <v>0.66105015386204047</v>
      </c>
      <c r="BI19">
        <f t="shared" si="39"/>
        <v>0.61237793321978351</v>
      </c>
      <c r="BJ19">
        <f t="shared" si="40"/>
        <v>0.34052852502548348</v>
      </c>
      <c r="BK19">
        <f t="shared" si="41"/>
        <v>0.65947147497451652</v>
      </c>
      <c r="BL19">
        <v>102</v>
      </c>
      <c r="BM19">
        <v>290</v>
      </c>
      <c r="BN19">
        <v>417.05</v>
      </c>
      <c r="BO19">
        <v>125</v>
      </c>
      <c r="BP19">
        <v>8162.89</v>
      </c>
      <c r="BQ19">
        <v>416.78</v>
      </c>
      <c r="BR19">
        <v>0.27</v>
      </c>
      <c r="BS19">
        <v>300</v>
      </c>
      <c r="BT19">
        <v>19.100000000000001</v>
      </c>
      <c r="BU19">
        <v>448.90529330795198</v>
      </c>
      <c r="BV19">
        <v>2.8477288698996799</v>
      </c>
      <c r="BW19">
        <v>-26.221092348070599</v>
      </c>
      <c r="BX19">
        <v>2.10651549009251</v>
      </c>
      <c r="BY19">
        <v>0.84694694847017404</v>
      </c>
      <c r="BZ19">
        <v>-4.7966226918798698E-3</v>
      </c>
      <c r="CA19">
        <v>290</v>
      </c>
      <c r="CB19">
        <v>414.15</v>
      </c>
      <c r="CC19">
        <v>645</v>
      </c>
      <c r="CD19">
        <v>8151.83</v>
      </c>
      <c r="CE19">
        <v>416.74</v>
      </c>
      <c r="CF19">
        <v>-2.59</v>
      </c>
      <c r="CT19">
        <f t="shared" si="42"/>
        <v>899.97766666666701</v>
      </c>
      <c r="CU19">
        <f t="shared" si="43"/>
        <v>757.16294351456133</v>
      </c>
      <c r="CV19">
        <f t="shared" si="44"/>
        <v>0.84131303648782507</v>
      </c>
      <c r="CW19">
        <f t="shared" si="45"/>
        <v>0.16213416042150239</v>
      </c>
      <c r="CX19">
        <v>2</v>
      </c>
      <c r="CY19">
        <v>0.5</v>
      </c>
      <c r="CZ19" t="s">
        <v>346</v>
      </c>
      <c r="DA19">
        <v>2</v>
      </c>
      <c r="DB19">
        <v>1791083220.5</v>
      </c>
      <c r="DC19">
        <v>400.0025</v>
      </c>
      <c r="DD19">
        <v>408.590666666667</v>
      </c>
      <c r="DE19">
        <v>18.0609</v>
      </c>
      <c r="DF19">
        <v>16.246749999999999</v>
      </c>
      <c r="DG19">
        <v>400.41683333333299</v>
      </c>
      <c r="DH19">
        <v>18.2389333333333</v>
      </c>
      <c r="DI19">
        <v>500.06083333333299</v>
      </c>
      <c r="DJ19">
        <v>101.0035</v>
      </c>
      <c r="DK19">
        <v>0.100090966666667</v>
      </c>
      <c r="DL19">
        <v>25.780816666666698</v>
      </c>
      <c r="DM19">
        <v>25.020383333333299</v>
      </c>
      <c r="DN19">
        <v>999.9</v>
      </c>
      <c r="DO19">
        <v>0</v>
      </c>
      <c r="DP19">
        <v>0</v>
      </c>
      <c r="DQ19">
        <v>9994.375</v>
      </c>
      <c r="DR19">
        <v>0</v>
      </c>
      <c r="DS19">
        <v>8.6301116666666697</v>
      </c>
      <c r="DT19">
        <v>899.97766666666701</v>
      </c>
      <c r="DU19">
        <v>0.955985166666667</v>
      </c>
      <c r="DV19">
        <v>4.4015100000000001E-2</v>
      </c>
      <c r="DW19">
        <v>0</v>
      </c>
      <c r="DX19">
        <v>291.148666666667</v>
      </c>
      <c r="DY19">
        <v>4.9999900000000004</v>
      </c>
      <c r="DZ19">
        <v>2580.9016666666698</v>
      </c>
      <c r="EA19">
        <v>8859.6149999999998</v>
      </c>
      <c r="EB19">
        <v>36.561999999999998</v>
      </c>
      <c r="EC19">
        <v>38.875</v>
      </c>
      <c r="ED19">
        <v>37.625</v>
      </c>
      <c r="EE19">
        <v>38.375</v>
      </c>
      <c r="EF19">
        <v>38.5</v>
      </c>
      <c r="EG19">
        <v>855.58500000000004</v>
      </c>
      <c r="EH19">
        <v>39.39</v>
      </c>
      <c r="EI19">
        <v>0</v>
      </c>
      <c r="EJ19">
        <v>179.89999985694899</v>
      </c>
      <c r="EK19">
        <v>0</v>
      </c>
      <c r="EL19">
        <v>291.37099999999998</v>
      </c>
      <c r="EM19">
        <v>-0.88384614215092805</v>
      </c>
      <c r="EN19">
        <v>9.9907691900340208</v>
      </c>
      <c r="EO19">
        <v>2580.3719999999998</v>
      </c>
      <c r="EP19">
        <v>15</v>
      </c>
      <c r="EQ19">
        <v>1791082694.0999999</v>
      </c>
      <c r="ER19" t="s">
        <v>347</v>
      </c>
      <c r="ES19">
        <v>1791082688.0999999</v>
      </c>
      <c r="ET19">
        <v>1791082694.0999999</v>
      </c>
      <c r="EU19">
        <v>15</v>
      </c>
      <c r="EV19">
        <v>0.24099999999999999</v>
      </c>
      <c r="EW19">
        <v>0</v>
      </c>
      <c r="EX19">
        <v>-0.40200000000000002</v>
      </c>
      <c r="EY19">
        <v>-0.186</v>
      </c>
      <c r="EZ19">
        <v>409</v>
      </c>
      <c r="FA19">
        <v>16</v>
      </c>
      <c r="FB19">
        <v>0.13</v>
      </c>
      <c r="FC19">
        <v>0.04</v>
      </c>
      <c r="FD19">
        <v>19.623298999881001</v>
      </c>
      <c r="FE19">
        <v>0.35226483815201498</v>
      </c>
      <c r="FF19">
        <v>8.2413701666734507E-2</v>
      </c>
      <c r="FG19">
        <v>1</v>
      </c>
      <c r="FH19">
        <v>-8.6099180952381005</v>
      </c>
      <c r="FI19">
        <v>3.0732467532459298E-2</v>
      </c>
      <c r="FJ19">
        <v>3.5383038527230903E-2</v>
      </c>
      <c r="FK19">
        <v>1</v>
      </c>
      <c r="FL19">
        <v>291.31985294117601</v>
      </c>
      <c r="FM19">
        <v>0.75570665361616596</v>
      </c>
      <c r="FN19">
        <v>0.39884444353457899</v>
      </c>
      <c r="FO19">
        <v>1</v>
      </c>
      <c r="FP19">
        <v>3</v>
      </c>
      <c r="FQ19">
        <v>3</v>
      </c>
      <c r="FR19" t="s">
        <v>348</v>
      </c>
      <c r="FS19">
        <v>100</v>
      </c>
      <c r="FT19">
        <v>100</v>
      </c>
      <c r="FU19">
        <v>-0.41499999999999998</v>
      </c>
      <c r="FV19">
        <v>-0.17799999999999999</v>
      </c>
      <c r="FW19">
        <v>-0.83924886499706197</v>
      </c>
      <c r="FX19">
        <v>7.6835882421071803E-4</v>
      </c>
      <c r="FY19">
        <v>7.9312579872174805E-7</v>
      </c>
      <c r="FZ19">
        <v>-1.5433145656851401E-10</v>
      </c>
      <c r="GA19">
        <v>-3.0323615786433E-2</v>
      </c>
      <c r="GB19">
        <v>-2.1578312386681502E-2</v>
      </c>
      <c r="GC19">
        <v>7.7134661959739901E-4</v>
      </c>
      <c r="GD19">
        <v>-1.7684492548540801E-6</v>
      </c>
      <c r="GE19">
        <v>4</v>
      </c>
      <c r="GF19">
        <v>2093</v>
      </c>
      <c r="GG19">
        <v>1</v>
      </c>
      <c r="GH19">
        <v>31</v>
      </c>
      <c r="GI19">
        <v>8.9</v>
      </c>
      <c r="GJ19">
        <v>8.8000000000000007</v>
      </c>
      <c r="GK19">
        <v>1.0546899999999999</v>
      </c>
      <c r="GL19">
        <v>2.63306</v>
      </c>
      <c r="GM19">
        <v>1.65161</v>
      </c>
      <c r="GN19">
        <v>2.2827099999999998</v>
      </c>
      <c r="GO19">
        <v>1.5979000000000001</v>
      </c>
      <c r="GP19">
        <v>2.5573700000000001</v>
      </c>
      <c r="GQ19">
        <v>34.417999999999999</v>
      </c>
      <c r="GR19">
        <v>15.4717</v>
      </c>
      <c r="GS19">
        <v>18</v>
      </c>
      <c r="GT19">
        <v>505.69</v>
      </c>
      <c r="GU19">
        <v>528.79899999999998</v>
      </c>
      <c r="GV19">
        <v>22.824999999999999</v>
      </c>
      <c r="GW19">
        <v>29.967600000000001</v>
      </c>
      <c r="GX19">
        <v>30.0002</v>
      </c>
      <c r="GY19">
        <v>30.062799999999999</v>
      </c>
      <c r="GZ19">
        <v>30.111499999999999</v>
      </c>
      <c r="HA19">
        <v>21.084800000000001</v>
      </c>
      <c r="HB19">
        <v>29.5549</v>
      </c>
      <c r="HC19">
        <v>0</v>
      </c>
      <c r="HD19">
        <v>22.809100000000001</v>
      </c>
      <c r="HE19">
        <v>408.524</v>
      </c>
      <c r="HF19">
        <v>16.203800000000001</v>
      </c>
      <c r="HG19">
        <v>97.993899999999996</v>
      </c>
      <c r="HH19">
        <v>94.570899999999995</v>
      </c>
    </row>
    <row r="20" spans="1:216" x14ac:dyDescent="0.6">
      <c r="A20">
        <v>4</v>
      </c>
      <c r="B20">
        <v>1791083407</v>
      </c>
      <c r="C20">
        <v>486.90000009536698</v>
      </c>
      <c r="D20" t="s">
        <v>355</v>
      </c>
      <c r="E20" t="s">
        <v>356</v>
      </c>
      <c r="F20">
        <v>5</v>
      </c>
      <c r="G20">
        <v>1791083403.5</v>
      </c>
      <c r="H20">
        <f t="shared" si="0"/>
        <v>4.5751176287284314E-3</v>
      </c>
      <c r="I20">
        <f t="shared" si="1"/>
        <v>4.5751176287284316</v>
      </c>
      <c r="J20">
        <f t="shared" si="2"/>
        <v>17.838618049383616</v>
      </c>
      <c r="K20">
        <f t="shared" si="3"/>
        <v>400.00200000000001</v>
      </c>
      <c r="L20">
        <f t="shared" si="4"/>
        <v>309.12749222589764</v>
      </c>
      <c r="M20">
        <f t="shared" si="5"/>
        <v>31.252737680031078</v>
      </c>
      <c r="N20">
        <f t="shared" si="6"/>
        <v>40.44013519299817</v>
      </c>
      <c r="O20">
        <f t="shared" si="7"/>
        <v>0.3620516299142772</v>
      </c>
      <c r="P20">
        <f t="shared" si="8"/>
        <v>3.0268229646226934</v>
      </c>
      <c r="Q20">
        <f t="shared" si="9"/>
        <v>0.33959840040782835</v>
      </c>
      <c r="R20">
        <f t="shared" si="10"/>
        <v>0.21415019400409402</v>
      </c>
      <c r="S20">
        <f t="shared" si="11"/>
        <v>98.066814552456123</v>
      </c>
      <c r="T20">
        <f t="shared" si="12"/>
        <v>25.335843500458626</v>
      </c>
      <c r="U20">
        <f t="shared" si="13"/>
        <v>25.009733333333301</v>
      </c>
      <c r="V20">
        <f t="shared" si="14"/>
        <v>3.1815232008967129</v>
      </c>
      <c r="W20">
        <f t="shared" si="15"/>
        <v>55.157750865314291</v>
      </c>
      <c r="X20">
        <f t="shared" si="16"/>
        <v>1.8534076240090782</v>
      </c>
      <c r="Y20">
        <f t="shared" si="17"/>
        <v>3.36019434246835</v>
      </c>
      <c r="Z20">
        <f t="shared" si="18"/>
        <v>1.3281155768876347</v>
      </c>
      <c r="AA20">
        <f t="shared" si="19"/>
        <v>-201.76268742692383</v>
      </c>
      <c r="AB20">
        <f t="shared" si="20"/>
        <v>150.07855867133875</v>
      </c>
      <c r="AC20">
        <f t="shared" si="21"/>
        <v>10.537658171062557</v>
      </c>
      <c r="AD20">
        <f t="shared" si="22"/>
        <v>56.920343967933604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53572.999441025473</v>
      </c>
      <c r="AJ20" t="s">
        <v>343</v>
      </c>
      <c r="AK20">
        <v>8120.04</v>
      </c>
      <c r="AL20">
        <v>210.59615384615401</v>
      </c>
      <c r="AM20">
        <v>825.39381343585001</v>
      </c>
      <c r="AN20">
        <f t="shared" si="26"/>
        <v>0.74485372870737954</v>
      </c>
      <c r="AO20">
        <v>-1.3921664163079699</v>
      </c>
      <c r="AP20" t="s">
        <v>357</v>
      </c>
      <c r="AQ20">
        <v>8164.14</v>
      </c>
      <c r="AR20">
        <v>315.43561538461501</v>
      </c>
      <c r="AS20">
        <v>599.128527065708</v>
      </c>
      <c r="AT20">
        <f t="shared" si="27"/>
        <v>0.47350927032386103</v>
      </c>
      <c r="AU20">
        <v>0.5</v>
      </c>
      <c r="AV20">
        <f t="shared" si="28"/>
        <v>505.18728899090985</v>
      </c>
      <c r="AW20">
        <f t="shared" si="29"/>
        <v>17.838618049383616</v>
      </c>
      <c r="AX20">
        <f t="shared" si="30"/>
        <v>119.60543229348762</v>
      </c>
      <c r="AY20">
        <f t="shared" si="31"/>
        <v>3.8066643569168696E-2</v>
      </c>
      <c r="AZ20">
        <f t="shared" si="32"/>
        <v>0.37765734086857611</v>
      </c>
      <c r="BA20">
        <f t="shared" si="33"/>
        <v>192.08705576750285</v>
      </c>
      <c r="BB20" t="s">
        <v>345</v>
      </c>
      <c r="BC20">
        <v>0</v>
      </c>
      <c r="BD20">
        <f t="shared" si="34"/>
        <v>192.08705576750285</v>
      </c>
      <c r="BE20">
        <f t="shared" si="35"/>
        <v>0.67938923437969401</v>
      </c>
      <c r="BF20">
        <f t="shared" si="36"/>
        <v>0.69696316391617752</v>
      </c>
      <c r="BG20">
        <f t="shared" si="37"/>
        <v>0.3572759703420591</v>
      </c>
      <c r="BH20">
        <f t="shared" si="38"/>
        <v>0.73016544111958026</v>
      </c>
      <c r="BI20">
        <f t="shared" si="39"/>
        <v>0.36803212055352824</v>
      </c>
      <c r="BJ20">
        <f t="shared" si="40"/>
        <v>0.42442132595529264</v>
      </c>
      <c r="BK20">
        <f t="shared" si="41"/>
        <v>0.57557867404470731</v>
      </c>
      <c r="BL20">
        <v>103</v>
      </c>
      <c r="BM20">
        <v>290</v>
      </c>
      <c r="BN20">
        <v>551.45000000000005</v>
      </c>
      <c r="BO20">
        <v>195</v>
      </c>
      <c r="BP20">
        <v>8164.14</v>
      </c>
      <c r="BQ20">
        <v>550.48</v>
      </c>
      <c r="BR20">
        <v>0.97</v>
      </c>
      <c r="BS20">
        <v>300</v>
      </c>
      <c r="BT20">
        <v>19.100000000000001</v>
      </c>
      <c r="BU20">
        <v>599.128527065708</v>
      </c>
      <c r="BV20">
        <v>2.87722587221874</v>
      </c>
      <c r="BW20">
        <v>-39.715348021142802</v>
      </c>
      <c r="BX20">
        <v>2.11994391554716</v>
      </c>
      <c r="BY20">
        <v>0.92611520954694504</v>
      </c>
      <c r="BZ20">
        <v>-5.0006040044493901E-3</v>
      </c>
      <c r="CA20">
        <v>290</v>
      </c>
      <c r="CB20">
        <v>543.49</v>
      </c>
      <c r="CC20">
        <v>615</v>
      </c>
      <c r="CD20">
        <v>8157.24</v>
      </c>
      <c r="CE20">
        <v>550.44000000000005</v>
      </c>
      <c r="CF20">
        <v>-6.95</v>
      </c>
      <c r="CT20">
        <f t="shared" si="42"/>
        <v>599.98950000000002</v>
      </c>
      <c r="CU20">
        <f t="shared" si="43"/>
        <v>505.18728899090985</v>
      </c>
      <c r="CV20">
        <f t="shared" si="44"/>
        <v>0.8419935498719725</v>
      </c>
      <c r="CW20">
        <f t="shared" si="45"/>
        <v>0.16344755125290714</v>
      </c>
      <c r="CX20">
        <v>2</v>
      </c>
      <c r="CY20">
        <v>0.5</v>
      </c>
      <c r="CZ20" t="s">
        <v>346</v>
      </c>
      <c r="DA20">
        <v>2</v>
      </c>
      <c r="DB20">
        <v>1791083403.5</v>
      </c>
      <c r="DC20">
        <v>400.00200000000001</v>
      </c>
      <c r="DD20">
        <v>407.86933333333297</v>
      </c>
      <c r="DE20">
        <v>18.332450000000001</v>
      </c>
      <c r="DF20">
        <v>16.535983333333299</v>
      </c>
      <c r="DG20">
        <v>400.416</v>
      </c>
      <c r="DH20">
        <v>18.509150000000002</v>
      </c>
      <c r="DI20">
        <v>500.00866666666701</v>
      </c>
      <c r="DJ20">
        <v>100.999833333333</v>
      </c>
      <c r="DK20">
        <v>9.9999149999999995E-2</v>
      </c>
      <c r="DL20">
        <v>25.9294333333333</v>
      </c>
      <c r="DM20">
        <v>25.009733333333301</v>
      </c>
      <c r="DN20">
        <v>999.9</v>
      </c>
      <c r="DO20">
        <v>0</v>
      </c>
      <c r="DP20">
        <v>0</v>
      </c>
      <c r="DQ20">
        <v>9995.3083333333307</v>
      </c>
      <c r="DR20">
        <v>0</v>
      </c>
      <c r="DS20">
        <v>8.7524599999999992</v>
      </c>
      <c r="DT20">
        <v>599.98950000000002</v>
      </c>
      <c r="DU20">
        <v>0.932985333333333</v>
      </c>
      <c r="DV20">
        <v>6.70148666666667E-2</v>
      </c>
      <c r="DW20">
        <v>0</v>
      </c>
      <c r="DX20">
        <v>315.59666666666698</v>
      </c>
      <c r="DY20">
        <v>4.9999900000000004</v>
      </c>
      <c r="DZ20">
        <v>1850.6283333333299</v>
      </c>
      <c r="EA20">
        <v>5845.1983333333301</v>
      </c>
      <c r="EB20">
        <v>35.811999999999998</v>
      </c>
      <c r="EC20">
        <v>38.5103333333333</v>
      </c>
      <c r="ED20">
        <v>37.125</v>
      </c>
      <c r="EE20">
        <v>38.125</v>
      </c>
      <c r="EF20">
        <v>37.9895</v>
      </c>
      <c r="EG20">
        <v>555.11500000000001</v>
      </c>
      <c r="EH20">
        <v>39.869999999999997</v>
      </c>
      <c r="EI20">
        <v>0</v>
      </c>
      <c r="EJ20">
        <v>181.69999980926499</v>
      </c>
      <c r="EK20">
        <v>0</v>
      </c>
      <c r="EL20">
        <v>315.43561538461501</v>
      </c>
      <c r="EM20">
        <v>3.49887179488295</v>
      </c>
      <c r="EN20">
        <v>20.9405128310744</v>
      </c>
      <c r="EO20">
        <v>1849.2419230769201</v>
      </c>
      <c r="EP20">
        <v>15</v>
      </c>
      <c r="EQ20">
        <v>1791082694.0999999</v>
      </c>
      <c r="ER20" t="s">
        <v>347</v>
      </c>
      <c r="ES20">
        <v>1791082688.0999999</v>
      </c>
      <c r="ET20">
        <v>1791082694.0999999</v>
      </c>
      <c r="EU20">
        <v>15</v>
      </c>
      <c r="EV20">
        <v>0.24099999999999999</v>
      </c>
      <c r="EW20">
        <v>0</v>
      </c>
      <c r="EX20">
        <v>-0.40200000000000002</v>
      </c>
      <c r="EY20">
        <v>-0.186</v>
      </c>
      <c r="EZ20">
        <v>409</v>
      </c>
      <c r="FA20">
        <v>16</v>
      </c>
      <c r="FB20">
        <v>0.13</v>
      </c>
      <c r="FC20">
        <v>0.04</v>
      </c>
      <c r="FD20">
        <v>17.906535009084699</v>
      </c>
      <c r="FE20">
        <v>-0.11201027398942399</v>
      </c>
      <c r="FF20">
        <v>0.12147334473810199</v>
      </c>
      <c r="FG20">
        <v>1</v>
      </c>
      <c r="FH20">
        <v>-7.892976</v>
      </c>
      <c r="FI20">
        <v>7.9627669172921398E-2</v>
      </c>
      <c r="FJ20">
        <v>5.0151970290308601E-2</v>
      </c>
      <c r="FK20">
        <v>1</v>
      </c>
      <c r="FL20">
        <v>315.223558823529</v>
      </c>
      <c r="FM20">
        <v>3.0674560680051401</v>
      </c>
      <c r="FN20">
        <v>0.39629847568961402</v>
      </c>
      <c r="FO20">
        <v>0</v>
      </c>
      <c r="FP20">
        <v>2</v>
      </c>
      <c r="FQ20">
        <v>3</v>
      </c>
      <c r="FR20" t="s">
        <v>358</v>
      </c>
      <c r="FS20">
        <v>100</v>
      </c>
      <c r="FT20">
        <v>100</v>
      </c>
      <c r="FU20">
        <v>-0.41399999999999998</v>
      </c>
      <c r="FV20">
        <v>-0.1767</v>
      </c>
      <c r="FW20">
        <v>-0.83924886499706197</v>
      </c>
      <c r="FX20">
        <v>7.6835882421071803E-4</v>
      </c>
      <c r="FY20">
        <v>7.9312579872174805E-7</v>
      </c>
      <c r="FZ20">
        <v>-1.5433145656851401E-10</v>
      </c>
      <c r="GA20">
        <v>-3.0323615786433E-2</v>
      </c>
      <c r="GB20">
        <v>-2.1578312386681502E-2</v>
      </c>
      <c r="GC20">
        <v>7.7134661959739901E-4</v>
      </c>
      <c r="GD20">
        <v>-1.7684492548540801E-6</v>
      </c>
      <c r="GE20">
        <v>4</v>
      </c>
      <c r="GF20">
        <v>2093</v>
      </c>
      <c r="GG20">
        <v>1</v>
      </c>
      <c r="GH20">
        <v>31</v>
      </c>
      <c r="GI20">
        <v>12</v>
      </c>
      <c r="GJ20">
        <v>11.9</v>
      </c>
      <c r="GK20">
        <v>1.0534699999999999</v>
      </c>
      <c r="GL20">
        <v>2.63062</v>
      </c>
      <c r="GM20">
        <v>1.65161</v>
      </c>
      <c r="GN20">
        <v>2.2839399999999999</v>
      </c>
      <c r="GO20">
        <v>1.5979000000000001</v>
      </c>
      <c r="GP20">
        <v>2.49512</v>
      </c>
      <c r="GQ20">
        <v>34.5092</v>
      </c>
      <c r="GR20">
        <v>15.4542</v>
      </c>
      <c r="GS20">
        <v>18</v>
      </c>
      <c r="GT20">
        <v>505.637</v>
      </c>
      <c r="GU20">
        <v>528.60500000000002</v>
      </c>
      <c r="GV20">
        <v>23.2928</v>
      </c>
      <c r="GW20">
        <v>30.032399999999999</v>
      </c>
      <c r="GX20">
        <v>30.0001</v>
      </c>
      <c r="GY20">
        <v>30.127500000000001</v>
      </c>
      <c r="GZ20">
        <v>30.175999999999998</v>
      </c>
      <c r="HA20">
        <v>21.064499999999999</v>
      </c>
      <c r="HB20">
        <v>28.603200000000001</v>
      </c>
      <c r="HC20">
        <v>0</v>
      </c>
      <c r="HD20">
        <v>23.287700000000001</v>
      </c>
      <c r="HE20">
        <v>407.90600000000001</v>
      </c>
      <c r="HF20">
        <v>16.5136</v>
      </c>
      <c r="HG20">
        <v>97.983900000000006</v>
      </c>
      <c r="HH20">
        <v>94.559100000000001</v>
      </c>
    </row>
    <row r="21" spans="1:216" x14ac:dyDescent="0.6">
      <c r="A21">
        <v>5</v>
      </c>
      <c r="B21">
        <v>1791083530</v>
      </c>
      <c r="C21">
        <v>609.90000009536698</v>
      </c>
      <c r="D21" t="s">
        <v>359</v>
      </c>
      <c r="E21" t="s">
        <v>360</v>
      </c>
      <c r="F21">
        <v>5</v>
      </c>
      <c r="G21">
        <v>1791083526.5</v>
      </c>
      <c r="H21">
        <f t="shared" si="0"/>
        <v>4.5699332321016521E-3</v>
      </c>
      <c r="I21">
        <f t="shared" si="1"/>
        <v>4.5699332321016524</v>
      </c>
      <c r="J21">
        <f t="shared" si="2"/>
        <v>14.980367762695453</v>
      </c>
      <c r="K21">
        <f t="shared" si="3"/>
        <v>399.98099999999999</v>
      </c>
      <c r="L21">
        <f t="shared" si="4"/>
        <v>322.03168269134733</v>
      </c>
      <c r="M21">
        <f t="shared" si="5"/>
        <v>32.556346448269295</v>
      </c>
      <c r="N21">
        <f t="shared" si="6"/>
        <v>40.43676665567753</v>
      </c>
      <c r="O21">
        <f t="shared" si="7"/>
        <v>0.36061202678590709</v>
      </c>
      <c r="P21">
        <f t="shared" si="8"/>
        <v>3.0272524229661011</v>
      </c>
      <c r="Q21">
        <f t="shared" si="9"/>
        <v>0.33833405765789842</v>
      </c>
      <c r="R21">
        <f t="shared" si="10"/>
        <v>0.21334558419749577</v>
      </c>
      <c r="S21">
        <f t="shared" si="11"/>
        <v>66.129151929301955</v>
      </c>
      <c r="T21">
        <f t="shared" si="12"/>
        <v>25.275078268252162</v>
      </c>
      <c r="U21">
        <f t="shared" si="13"/>
        <v>25.0139833333333</v>
      </c>
      <c r="V21">
        <f t="shared" si="14"/>
        <v>3.1823293691044183</v>
      </c>
      <c r="W21">
        <f t="shared" si="15"/>
        <v>54.688239459952179</v>
      </c>
      <c r="X21">
        <f t="shared" si="16"/>
        <v>1.8507911094136338</v>
      </c>
      <c r="Y21">
        <f t="shared" si="17"/>
        <v>3.3842579825027195</v>
      </c>
      <c r="Z21">
        <f t="shared" si="18"/>
        <v>1.3315382596907845</v>
      </c>
      <c r="AA21">
        <f t="shared" si="19"/>
        <v>-201.53405553568285</v>
      </c>
      <c r="AB21">
        <f t="shared" si="20"/>
        <v>169.08606117595031</v>
      </c>
      <c r="AC21">
        <f t="shared" si="21"/>
        <v>11.87802838962932</v>
      </c>
      <c r="AD21">
        <f t="shared" si="22"/>
        <v>45.559185959198729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53564.664287465595</v>
      </c>
      <c r="AJ21" t="s">
        <v>343</v>
      </c>
      <c r="AK21">
        <v>8120.04</v>
      </c>
      <c r="AL21">
        <v>210.59615384615401</v>
      </c>
      <c r="AM21">
        <v>825.39381343585001</v>
      </c>
      <c r="AN21">
        <f t="shared" si="26"/>
        <v>0.74485372870737954</v>
      </c>
      <c r="AO21">
        <v>-1.3921664163079699</v>
      </c>
      <c r="AP21" t="s">
        <v>361</v>
      </c>
      <c r="AQ21">
        <v>8164.96</v>
      </c>
      <c r="AR21">
        <v>324.792384615385</v>
      </c>
      <c r="AS21">
        <v>745.66437338787102</v>
      </c>
      <c r="AT21">
        <f t="shared" si="27"/>
        <v>0.56442550266990121</v>
      </c>
      <c r="AU21">
        <v>0.5</v>
      </c>
      <c r="AV21">
        <f t="shared" si="28"/>
        <v>337.19328348668495</v>
      </c>
      <c r="AW21">
        <f t="shared" si="29"/>
        <v>14.980367762695453</v>
      </c>
      <c r="AX21">
        <f t="shared" si="30"/>
        <v>95.160244264443321</v>
      </c>
      <c r="AY21">
        <f t="shared" si="31"/>
        <v>4.8555338972669483E-2</v>
      </c>
      <c r="AZ21">
        <f t="shared" si="32"/>
        <v>0.10692403029225354</v>
      </c>
      <c r="BA21">
        <f t="shared" si="33"/>
        <v>205.00340119101875</v>
      </c>
      <c r="BB21" t="s">
        <v>345</v>
      </c>
      <c r="BC21">
        <v>0</v>
      </c>
      <c r="BD21">
        <f t="shared" si="34"/>
        <v>205.00340119101875</v>
      </c>
      <c r="BE21">
        <f t="shared" si="35"/>
        <v>0.72507282296510844</v>
      </c>
      <c r="BF21">
        <f t="shared" si="36"/>
        <v>0.77843974397184412</v>
      </c>
      <c r="BG21">
        <f t="shared" si="37"/>
        <v>0.12851494554773116</v>
      </c>
      <c r="BH21">
        <f t="shared" si="38"/>
        <v>0.7865763156947736</v>
      </c>
      <c r="BI21">
        <f t="shared" si="39"/>
        <v>0.1296840331194313</v>
      </c>
      <c r="BJ21">
        <f t="shared" si="40"/>
        <v>0.49133785980071476</v>
      </c>
      <c r="BK21">
        <f t="shared" si="41"/>
        <v>0.50866214019928524</v>
      </c>
      <c r="BL21">
        <v>104</v>
      </c>
      <c r="BM21">
        <v>290</v>
      </c>
      <c r="BN21">
        <v>690.46</v>
      </c>
      <c r="BO21">
        <v>245</v>
      </c>
      <c r="BP21">
        <v>8164.96</v>
      </c>
      <c r="BQ21">
        <v>689.12</v>
      </c>
      <c r="BR21">
        <v>1.34</v>
      </c>
      <c r="BS21">
        <v>300</v>
      </c>
      <c r="BT21">
        <v>19.100000000000001</v>
      </c>
      <c r="BU21">
        <v>745.66437338787102</v>
      </c>
      <c r="BV21">
        <v>3.1670798848080501</v>
      </c>
      <c r="BW21">
        <v>-46.167735100857797</v>
      </c>
      <c r="BX21">
        <v>2.3272137745278201</v>
      </c>
      <c r="BY21">
        <v>0.93357912645788799</v>
      </c>
      <c r="BZ21">
        <v>-5.1366687430478399E-3</v>
      </c>
      <c r="CA21">
        <v>290</v>
      </c>
      <c r="CB21">
        <v>681.44</v>
      </c>
      <c r="CC21">
        <v>615</v>
      </c>
      <c r="CD21">
        <v>8160.05</v>
      </c>
      <c r="CE21">
        <v>689.09</v>
      </c>
      <c r="CF21">
        <v>-7.65</v>
      </c>
      <c r="CT21">
        <f t="shared" si="42"/>
        <v>400.0095</v>
      </c>
      <c r="CU21">
        <f t="shared" si="43"/>
        <v>337.19328348668495</v>
      </c>
      <c r="CV21">
        <f t="shared" si="44"/>
        <v>0.84296318834098927</v>
      </c>
      <c r="CW21">
        <f t="shared" si="45"/>
        <v>0.16531895349810929</v>
      </c>
      <c r="CX21">
        <v>2</v>
      </c>
      <c r="CY21">
        <v>0.5</v>
      </c>
      <c r="CZ21" t="s">
        <v>346</v>
      </c>
      <c r="DA21">
        <v>2</v>
      </c>
      <c r="DB21">
        <v>1791083526.5</v>
      </c>
      <c r="DC21">
        <v>399.98099999999999</v>
      </c>
      <c r="DD21">
        <v>406.70383333333302</v>
      </c>
      <c r="DE21">
        <v>18.307133333333301</v>
      </c>
      <c r="DF21">
        <v>16.51275</v>
      </c>
      <c r="DG21">
        <v>400.39499999999998</v>
      </c>
      <c r="DH21">
        <v>18.483933333333301</v>
      </c>
      <c r="DI21">
        <v>500.03483333333298</v>
      </c>
      <c r="DJ21">
        <v>100.996666666667</v>
      </c>
      <c r="DK21">
        <v>0.10005206666666699</v>
      </c>
      <c r="DL21">
        <v>26.0500166666667</v>
      </c>
      <c r="DM21">
        <v>25.0139833333333</v>
      </c>
      <c r="DN21">
        <v>999.9</v>
      </c>
      <c r="DO21">
        <v>0</v>
      </c>
      <c r="DP21">
        <v>0</v>
      </c>
      <c r="DQ21">
        <v>9998.2166666666708</v>
      </c>
      <c r="DR21">
        <v>0</v>
      </c>
      <c r="DS21">
        <v>8.6971666666666696</v>
      </c>
      <c r="DT21">
        <v>400.0095</v>
      </c>
      <c r="DU21">
        <v>0.89997799999999994</v>
      </c>
      <c r="DV21">
        <v>0.100022</v>
      </c>
      <c r="DW21">
        <v>0</v>
      </c>
      <c r="DX21">
        <v>324.78266666666701</v>
      </c>
      <c r="DY21">
        <v>4.9999900000000004</v>
      </c>
      <c r="DZ21">
        <v>1260.8883333333299</v>
      </c>
      <c r="EA21">
        <v>3837.9450000000002</v>
      </c>
      <c r="EB21">
        <v>35.343499999999999</v>
      </c>
      <c r="EC21">
        <v>38.2603333333333</v>
      </c>
      <c r="ED21">
        <v>36.811999999999998</v>
      </c>
      <c r="EE21">
        <v>37.936999999999998</v>
      </c>
      <c r="EF21">
        <v>37.625</v>
      </c>
      <c r="EG21">
        <v>355.49833333333299</v>
      </c>
      <c r="EH21">
        <v>39.51</v>
      </c>
      <c r="EI21">
        <v>0</v>
      </c>
      <c r="EJ21">
        <v>122.09999990463299</v>
      </c>
      <c r="EK21">
        <v>0</v>
      </c>
      <c r="EL21">
        <v>324.792384615385</v>
      </c>
      <c r="EM21">
        <v>2.1197264763735602</v>
      </c>
      <c r="EN21">
        <v>6.3620512936387597</v>
      </c>
      <c r="EO21">
        <v>1260.3465384615399</v>
      </c>
      <c r="EP21">
        <v>15</v>
      </c>
      <c r="EQ21">
        <v>1791082694.0999999</v>
      </c>
      <c r="ER21" t="s">
        <v>347</v>
      </c>
      <c r="ES21">
        <v>1791082688.0999999</v>
      </c>
      <c r="ET21">
        <v>1791082694.0999999</v>
      </c>
      <c r="EU21">
        <v>15</v>
      </c>
      <c r="EV21">
        <v>0.24099999999999999</v>
      </c>
      <c r="EW21">
        <v>0</v>
      </c>
      <c r="EX21">
        <v>-0.40200000000000002</v>
      </c>
      <c r="EY21">
        <v>-0.186</v>
      </c>
      <c r="EZ21">
        <v>409</v>
      </c>
      <c r="FA21">
        <v>16</v>
      </c>
      <c r="FB21">
        <v>0.13</v>
      </c>
      <c r="FC21">
        <v>0.04</v>
      </c>
      <c r="FD21">
        <v>14.9818237726081</v>
      </c>
      <c r="FE21">
        <v>0.13671189202252501</v>
      </c>
      <c r="FF21">
        <v>7.4945807523889102E-2</v>
      </c>
      <c r="FG21">
        <v>1</v>
      </c>
      <c r="FH21">
        <v>-6.7218435000000003</v>
      </c>
      <c r="FI21">
        <v>-7.7855187969936707E-2</v>
      </c>
      <c r="FJ21">
        <v>3.0916512137529401E-2</v>
      </c>
      <c r="FK21">
        <v>1</v>
      </c>
      <c r="FL21">
        <v>324.73305882352901</v>
      </c>
      <c r="FM21">
        <v>0.99153551833362197</v>
      </c>
      <c r="FN21">
        <v>0.35024965391731799</v>
      </c>
      <c r="FO21">
        <v>1</v>
      </c>
      <c r="FP21">
        <v>3</v>
      </c>
      <c r="FQ21">
        <v>3</v>
      </c>
      <c r="FR21" t="s">
        <v>348</v>
      </c>
      <c r="FS21">
        <v>100</v>
      </c>
      <c r="FT21">
        <v>100</v>
      </c>
      <c r="FU21">
        <v>-0.41499999999999998</v>
      </c>
      <c r="FV21">
        <v>-0.1769</v>
      </c>
      <c r="FW21">
        <v>-0.83924886499706197</v>
      </c>
      <c r="FX21">
        <v>7.6835882421071803E-4</v>
      </c>
      <c r="FY21">
        <v>7.9312579872174805E-7</v>
      </c>
      <c r="FZ21">
        <v>-1.5433145656851401E-10</v>
      </c>
      <c r="GA21">
        <v>-3.0323615786433E-2</v>
      </c>
      <c r="GB21">
        <v>-2.1578312386681502E-2</v>
      </c>
      <c r="GC21">
        <v>7.7134661959739901E-4</v>
      </c>
      <c r="GD21">
        <v>-1.7684492548540801E-6</v>
      </c>
      <c r="GE21">
        <v>4</v>
      </c>
      <c r="GF21">
        <v>2093</v>
      </c>
      <c r="GG21">
        <v>1</v>
      </c>
      <c r="GH21">
        <v>31</v>
      </c>
      <c r="GI21">
        <v>14</v>
      </c>
      <c r="GJ21">
        <v>13.9</v>
      </c>
      <c r="GK21">
        <v>1.0510299999999999</v>
      </c>
      <c r="GL21">
        <v>2.63062</v>
      </c>
      <c r="GM21">
        <v>1.65161</v>
      </c>
      <c r="GN21">
        <v>2.2827099999999998</v>
      </c>
      <c r="GO21">
        <v>1.5979000000000001</v>
      </c>
      <c r="GP21">
        <v>2.5805699999999998</v>
      </c>
      <c r="GQ21">
        <v>34.554900000000004</v>
      </c>
      <c r="GR21">
        <v>15.4367</v>
      </c>
      <c r="GS21">
        <v>18</v>
      </c>
      <c r="GT21">
        <v>505.42899999999997</v>
      </c>
      <c r="GU21">
        <v>527.81200000000001</v>
      </c>
      <c r="GV21">
        <v>23.803100000000001</v>
      </c>
      <c r="GW21">
        <v>30.076699999999999</v>
      </c>
      <c r="GX21">
        <v>30.002300000000002</v>
      </c>
      <c r="GY21">
        <v>30.168900000000001</v>
      </c>
      <c r="GZ21">
        <v>30.2179</v>
      </c>
      <c r="HA21">
        <v>21.014500000000002</v>
      </c>
      <c r="HB21">
        <v>28.875800000000002</v>
      </c>
      <c r="HC21">
        <v>0</v>
      </c>
      <c r="HD21">
        <v>23.7819</v>
      </c>
      <c r="HE21">
        <v>406.77600000000001</v>
      </c>
      <c r="HF21">
        <v>16.572600000000001</v>
      </c>
      <c r="HG21">
        <v>97.973699999999994</v>
      </c>
      <c r="HH21">
        <v>94.551299999999998</v>
      </c>
    </row>
    <row r="22" spans="1:216" x14ac:dyDescent="0.6">
      <c r="A22">
        <v>6</v>
      </c>
      <c r="B22">
        <v>1791083669</v>
      </c>
      <c r="C22">
        <v>748.90000009536698</v>
      </c>
      <c r="D22" t="s">
        <v>362</v>
      </c>
      <c r="E22" t="s">
        <v>363</v>
      </c>
      <c r="F22">
        <v>5</v>
      </c>
      <c r="G22">
        <v>1791083666</v>
      </c>
      <c r="H22">
        <f t="shared" si="0"/>
        <v>4.4305760384210531E-3</v>
      </c>
      <c r="I22">
        <f t="shared" si="1"/>
        <v>4.4305760384210533</v>
      </c>
      <c r="J22">
        <f t="shared" si="2"/>
        <v>8.6115148717358601</v>
      </c>
      <c r="K22">
        <f t="shared" si="3"/>
        <v>399.99599999999998</v>
      </c>
      <c r="L22">
        <f t="shared" si="4"/>
        <v>351.00309765224631</v>
      </c>
      <c r="M22">
        <f t="shared" si="5"/>
        <v>35.4860759990665</v>
      </c>
      <c r="N22">
        <f t="shared" si="6"/>
        <v>40.439211363842404</v>
      </c>
      <c r="O22">
        <f t="shared" si="7"/>
        <v>0.35417655358378475</v>
      </c>
      <c r="P22">
        <f t="shared" si="8"/>
        <v>3.0247466137923236</v>
      </c>
      <c r="Q22">
        <f t="shared" si="9"/>
        <v>0.33264452126846605</v>
      </c>
      <c r="R22">
        <f t="shared" si="10"/>
        <v>0.20972821945246375</v>
      </c>
      <c r="S22">
        <f t="shared" si="11"/>
        <v>33.048906569909214</v>
      </c>
      <c r="T22">
        <f t="shared" si="12"/>
        <v>25.192837529155263</v>
      </c>
      <c r="U22">
        <f t="shared" si="13"/>
        <v>24.999420000000001</v>
      </c>
      <c r="V22">
        <f t="shared" si="14"/>
        <v>3.1795676413366056</v>
      </c>
      <c r="W22">
        <f t="shared" si="15"/>
        <v>54.919425276608933</v>
      </c>
      <c r="X22">
        <f t="shared" si="16"/>
        <v>1.8666097622692923</v>
      </c>
      <c r="Y22">
        <f t="shared" si="17"/>
        <v>3.3988151785417742</v>
      </c>
      <c r="Z22">
        <f t="shared" si="18"/>
        <v>1.3129578790673133</v>
      </c>
      <c r="AA22">
        <f t="shared" si="19"/>
        <v>-195.38840329436843</v>
      </c>
      <c r="AB22">
        <f t="shared" si="20"/>
        <v>183.15711921933203</v>
      </c>
      <c r="AC22">
        <f t="shared" si="21"/>
        <v>12.880918222860402</v>
      </c>
      <c r="AD22">
        <f t="shared" si="22"/>
        <v>33.698540717733209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53473.956525823312</v>
      </c>
      <c r="AJ22" t="s">
        <v>343</v>
      </c>
      <c r="AK22">
        <v>8120.04</v>
      </c>
      <c r="AL22">
        <v>210.59615384615401</v>
      </c>
      <c r="AM22">
        <v>825.39381343585001</v>
      </c>
      <c r="AN22">
        <f t="shared" si="26"/>
        <v>0.74485372870737954</v>
      </c>
      <c r="AO22">
        <v>-1.3921664163079699</v>
      </c>
      <c r="AP22" t="s">
        <v>364</v>
      </c>
      <c r="AQ22">
        <v>8147.59</v>
      </c>
      <c r="AR22">
        <v>301.99795999999998</v>
      </c>
      <c r="AS22">
        <v>850.54772140388695</v>
      </c>
      <c r="AT22">
        <f t="shared" si="27"/>
        <v>0.64493707713244852</v>
      </c>
      <c r="AU22">
        <v>0.5</v>
      </c>
      <c r="AV22">
        <f t="shared" si="28"/>
        <v>168.58431983933119</v>
      </c>
      <c r="AW22">
        <f t="shared" si="29"/>
        <v>8.6115148717358601</v>
      </c>
      <c r="AX22">
        <f t="shared" si="30"/>
        <v>54.363139243770057</v>
      </c>
      <c r="AY22">
        <f t="shared" si="31"/>
        <v>5.9339334153839511E-2</v>
      </c>
      <c r="AZ22">
        <f t="shared" si="32"/>
        <v>-2.9573776209192246E-2</v>
      </c>
      <c r="BA22">
        <f t="shared" si="33"/>
        <v>212.19731814790995</v>
      </c>
      <c r="BB22" t="s">
        <v>345</v>
      </c>
      <c r="BC22">
        <v>0</v>
      </c>
      <c r="BD22">
        <f t="shared" si="34"/>
        <v>212.19731814790995</v>
      </c>
      <c r="BE22">
        <f t="shared" si="35"/>
        <v>0.75051685777528876</v>
      </c>
      <c r="BF22">
        <f t="shared" si="36"/>
        <v>0.85932390518741464</v>
      </c>
      <c r="BG22">
        <f t="shared" si="37"/>
        <v>-4.1020958471436421E-2</v>
      </c>
      <c r="BH22">
        <f t="shared" si="38"/>
        <v>0.85717386941848517</v>
      </c>
      <c r="BI22">
        <f t="shared" si="39"/>
        <v>-4.091412446954365E-2</v>
      </c>
      <c r="BJ22">
        <f t="shared" si="40"/>
        <v>0.60379953593447533</v>
      </c>
      <c r="BK22">
        <f t="shared" si="41"/>
        <v>0.39620046406552467</v>
      </c>
      <c r="BL22">
        <v>105</v>
      </c>
      <c r="BM22">
        <v>290</v>
      </c>
      <c r="BN22">
        <v>799.06</v>
      </c>
      <c r="BO22">
        <v>255</v>
      </c>
      <c r="BP22">
        <v>8147.59</v>
      </c>
      <c r="BQ22">
        <v>798.5</v>
      </c>
      <c r="BR22">
        <v>0.56000000000000005</v>
      </c>
      <c r="BS22">
        <v>300</v>
      </c>
      <c r="BT22">
        <v>19.100000000000001</v>
      </c>
      <c r="BU22">
        <v>850.54772140388695</v>
      </c>
      <c r="BV22">
        <v>2.8447520494291401</v>
      </c>
      <c r="BW22">
        <v>-42.4072012797388</v>
      </c>
      <c r="BX22">
        <v>2.0796451789692001</v>
      </c>
      <c r="BY22">
        <v>0.93691072918446106</v>
      </c>
      <c r="BZ22">
        <v>-5.2593924360400399E-3</v>
      </c>
      <c r="CA22">
        <v>290</v>
      </c>
      <c r="CB22">
        <v>791.68</v>
      </c>
      <c r="CC22">
        <v>615</v>
      </c>
      <c r="CD22">
        <v>8143.06</v>
      </c>
      <c r="CE22">
        <v>798.47</v>
      </c>
      <c r="CF22">
        <v>-6.79</v>
      </c>
      <c r="CT22">
        <f t="shared" si="42"/>
        <v>199.9992</v>
      </c>
      <c r="CU22">
        <f t="shared" si="43"/>
        <v>168.58431983933119</v>
      </c>
      <c r="CV22">
        <f t="shared" si="44"/>
        <v>0.8429249708965395</v>
      </c>
      <c r="CW22">
        <f t="shared" si="45"/>
        <v>0.16524519383032138</v>
      </c>
      <c r="CX22">
        <v>2</v>
      </c>
      <c r="CY22">
        <v>0.5</v>
      </c>
      <c r="CZ22" t="s">
        <v>346</v>
      </c>
      <c r="DA22">
        <v>2</v>
      </c>
      <c r="DB22">
        <v>1791083666</v>
      </c>
      <c r="DC22">
        <v>399.99599999999998</v>
      </c>
      <c r="DD22">
        <v>404.14879999999999</v>
      </c>
      <c r="DE22">
        <v>18.463180000000001</v>
      </c>
      <c r="DF22">
        <v>16.723960000000002</v>
      </c>
      <c r="DG22">
        <v>400.33620000000002</v>
      </c>
      <c r="DH22">
        <v>18.632180000000002</v>
      </c>
      <c r="DI22">
        <v>500.08319999999998</v>
      </c>
      <c r="DJ22">
        <v>100.9988</v>
      </c>
      <c r="DK22">
        <v>0.10023940000000001</v>
      </c>
      <c r="DL22">
        <v>26.122599999999998</v>
      </c>
      <c r="DM22">
        <v>24.999420000000001</v>
      </c>
      <c r="DN22">
        <v>999.9</v>
      </c>
      <c r="DO22">
        <v>0</v>
      </c>
      <c r="DP22">
        <v>0</v>
      </c>
      <c r="DQ22">
        <v>9982.8739999999998</v>
      </c>
      <c r="DR22">
        <v>0</v>
      </c>
      <c r="DS22">
        <v>8.7524599999999992</v>
      </c>
      <c r="DT22">
        <v>199.9992</v>
      </c>
      <c r="DU22">
        <v>0.90000279999999999</v>
      </c>
      <c r="DV22">
        <v>9.9997340000000004E-2</v>
      </c>
      <c r="DW22">
        <v>0</v>
      </c>
      <c r="DX22">
        <v>302.14760000000001</v>
      </c>
      <c r="DY22">
        <v>4.9999900000000004</v>
      </c>
      <c r="DZ22">
        <v>583.79459999999995</v>
      </c>
      <c r="EA22">
        <v>1894.6420000000001</v>
      </c>
      <c r="EB22">
        <v>34.75</v>
      </c>
      <c r="EC22">
        <v>37.987400000000001</v>
      </c>
      <c r="ED22">
        <v>36.375</v>
      </c>
      <c r="EE22">
        <v>37.686999999999998</v>
      </c>
      <c r="EF22">
        <v>37.186999999999998</v>
      </c>
      <c r="EG22">
        <v>175.50200000000001</v>
      </c>
      <c r="EH22">
        <v>19.5</v>
      </c>
      <c r="EI22">
        <v>0</v>
      </c>
      <c r="EJ22">
        <v>138.09999990463299</v>
      </c>
      <c r="EK22">
        <v>0</v>
      </c>
      <c r="EL22">
        <v>301.99795999999998</v>
      </c>
      <c r="EM22">
        <v>0.49507693541665299</v>
      </c>
      <c r="EN22">
        <v>-1.21584616289956</v>
      </c>
      <c r="EO22">
        <v>583.82320000000004</v>
      </c>
      <c r="EP22">
        <v>15</v>
      </c>
      <c r="EQ22">
        <v>1791083608</v>
      </c>
      <c r="ER22" t="s">
        <v>365</v>
      </c>
      <c r="ES22">
        <v>1791083602</v>
      </c>
      <c r="ET22">
        <v>1791083608</v>
      </c>
      <c r="EU22">
        <v>16</v>
      </c>
      <c r="EV22">
        <v>7.3999999999999996E-2</v>
      </c>
      <c r="EW22">
        <v>7.0000000000000001E-3</v>
      </c>
      <c r="EX22">
        <v>-0.33500000000000002</v>
      </c>
      <c r="EY22">
        <v>-0.17599999999999999</v>
      </c>
      <c r="EZ22">
        <v>404</v>
      </c>
      <c r="FA22">
        <v>17</v>
      </c>
      <c r="FB22">
        <v>0.24</v>
      </c>
      <c r="FC22">
        <v>0.02</v>
      </c>
      <c r="FD22">
        <v>8.6583690170844996</v>
      </c>
      <c r="FE22">
        <v>0.42402335625010401</v>
      </c>
      <c r="FF22">
        <v>8.2548043537524804E-2</v>
      </c>
      <c r="FG22">
        <v>1</v>
      </c>
      <c r="FH22">
        <v>-4.1759455000000001</v>
      </c>
      <c r="FI22">
        <v>-3.2151428571431599E-2</v>
      </c>
      <c r="FJ22">
        <v>2.92024869617298E-2</v>
      </c>
      <c r="FK22">
        <v>1</v>
      </c>
      <c r="FL22">
        <v>301.92976470588201</v>
      </c>
      <c r="FM22">
        <v>0.31795264396469802</v>
      </c>
      <c r="FN22">
        <v>0.28825846845613901</v>
      </c>
      <c r="FO22">
        <v>1</v>
      </c>
      <c r="FP22">
        <v>3</v>
      </c>
      <c r="FQ22">
        <v>3</v>
      </c>
      <c r="FR22" t="s">
        <v>348</v>
      </c>
      <c r="FS22">
        <v>100</v>
      </c>
      <c r="FT22">
        <v>100</v>
      </c>
      <c r="FU22">
        <v>-0.34100000000000003</v>
      </c>
      <c r="FV22">
        <v>-0.16900000000000001</v>
      </c>
      <c r="FW22">
        <v>-0.76521489014097199</v>
      </c>
      <c r="FX22">
        <v>7.6835882421071803E-4</v>
      </c>
      <c r="FY22">
        <v>7.9312579872174805E-7</v>
      </c>
      <c r="FZ22">
        <v>-1.5433145656851401E-10</v>
      </c>
      <c r="GA22">
        <v>-2.33149614949947E-2</v>
      </c>
      <c r="GB22">
        <v>-2.1578312386681502E-2</v>
      </c>
      <c r="GC22">
        <v>7.7134661959739901E-4</v>
      </c>
      <c r="GD22">
        <v>-1.7684492548540801E-6</v>
      </c>
      <c r="GE22">
        <v>4</v>
      </c>
      <c r="GF22">
        <v>2093</v>
      </c>
      <c r="GG22">
        <v>1</v>
      </c>
      <c r="GH22">
        <v>31</v>
      </c>
      <c r="GI22">
        <v>1.1000000000000001</v>
      </c>
      <c r="GJ22">
        <v>1</v>
      </c>
      <c r="GK22">
        <v>1.0449200000000001</v>
      </c>
      <c r="GL22">
        <v>2.6293899999999999</v>
      </c>
      <c r="GM22">
        <v>1.65161</v>
      </c>
      <c r="GN22">
        <v>2.2827099999999998</v>
      </c>
      <c r="GO22">
        <v>1.5979000000000001</v>
      </c>
      <c r="GP22">
        <v>2.4682599999999999</v>
      </c>
      <c r="GQ22">
        <v>34.6006</v>
      </c>
      <c r="GR22">
        <v>15.4367</v>
      </c>
      <c r="GS22">
        <v>18</v>
      </c>
      <c r="GT22">
        <v>505.88099999999997</v>
      </c>
      <c r="GU22">
        <v>527.476</v>
      </c>
      <c r="GV22">
        <v>24.254300000000001</v>
      </c>
      <c r="GW22">
        <v>30.1234</v>
      </c>
      <c r="GX22">
        <v>29.9999</v>
      </c>
      <c r="GY22">
        <v>30.2182</v>
      </c>
      <c r="GZ22">
        <v>30.265000000000001</v>
      </c>
      <c r="HA22">
        <v>20.914400000000001</v>
      </c>
      <c r="HB22">
        <v>27.9831</v>
      </c>
      <c r="HC22">
        <v>0</v>
      </c>
      <c r="HD22">
        <v>24.260899999999999</v>
      </c>
      <c r="HE22">
        <v>404.226</v>
      </c>
      <c r="HF22">
        <v>16.6965</v>
      </c>
      <c r="HG22">
        <v>97.965100000000007</v>
      </c>
      <c r="HH22">
        <v>94.544799999999995</v>
      </c>
    </row>
    <row r="23" spans="1:216" x14ac:dyDescent="0.6">
      <c r="A23">
        <v>7</v>
      </c>
      <c r="B23">
        <v>1791083794</v>
      </c>
      <c r="C23">
        <v>873.90000009536698</v>
      </c>
      <c r="D23" t="s">
        <v>366</v>
      </c>
      <c r="E23" t="s">
        <v>367</v>
      </c>
      <c r="F23">
        <v>5</v>
      </c>
      <c r="G23">
        <v>1791083790.5</v>
      </c>
      <c r="H23">
        <f t="shared" si="0"/>
        <v>4.428414027030151E-3</v>
      </c>
      <c r="I23">
        <f t="shared" si="1"/>
        <v>4.4284140270301506</v>
      </c>
      <c r="J23">
        <f t="shared" si="2"/>
        <v>3.9625725394786371</v>
      </c>
      <c r="K23">
        <f t="shared" si="3"/>
        <v>400.01016666666698</v>
      </c>
      <c r="L23">
        <f t="shared" si="4"/>
        <v>373.01966252190005</v>
      </c>
      <c r="M23">
        <f t="shared" si="5"/>
        <v>37.712300283867876</v>
      </c>
      <c r="N23">
        <f t="shared" si="6"/>
        <v>40.441041150338073</v>
      </c>
      <c r="O23">
        <f t="shared" si="7"/>
        <v>0.35505678522237855</v>
      </c>
      <c r="P23">
        <f t="shared" si="8"/>
        <v>3.026981832360105</v>
      </c>
      <c r="Q23">
        <f t="shared" si="9"/>
        <v>0.33343603339293704</v>
      </c>
      <c r="R23">
        <f t="shared" si="10"/>
        <v>0.21023025648168453</v>
      </c>
      <c r="S23">
        <f t="shared" si="11"/>
        <v>16.51093743822512</v>
      </c>
      <c r="T23">
        <f t="shared" si="12"/>
        <v>25.16481665027657</v>
      </c>
      <c r="U23">
        <f t="shared" si="13"/>
        <v>25.016500000000001</v>
      </c>
      <c r="V23">
        <f t="shared" si="14"/>
        <v>3.1828068312861619</v>
      </c>
      <c r="W23">
        <f t="shared" si="15"/>
        <v>54.914178242904612</v>
      </c>
      <c r="X23">
        <f t="shared" si="16"/>
        <v>1.87365995621338</v>
      </c>
      <c r="Y23">
        <f t="shared" si="17"/>
        <v>3.4119785020282505</v>
      </c>
      <c r="Z23">
        <f t="shared" si="18"/>
        <v>1.3091468750727819</v>
      </c>
      <c r="AA23">
        <f t="shared" si="19"/>
        <v>-195.29305859202967</v>
      </c>
      <c r="AB23">
        <f t="shared" si="20"/>
        <v>191.17784008587066</v>
      </c>
      <c r="AC23">
        <f t="shared" si="21"/>
        <v>13.4406367175452</v>
      </c>
      <c r="AD23">
        <f t="shared" si="22"/>
        <v>25.836355649611306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53531.634235987971</v>
      </c>
      <c r="AJ23" t="s">
        <v>343</v>
      </c>
      <c r="AK23">
        <v>8120.04</v>
      </c>
      <c r="AL23">
        <v>210.59615384615401</v>
      </c>
      <c r="AM23">
        <v>825.39381343585001</v>
      </c>
      <c r="AN23">
        <f t="shared" si="26"/>
        <v>0.74485372870737954</v>
      </c>
      <c r="AO23">
        <v>-1.3921664163079699</v>
      </c>
      <c r="AP23" t="s">
        <v>368</v>
      </c>
      <c r="AQ23">
        <v>8136.92</v>
      </c>
      <c r="AR23">
        <v>282.81049999999999</v>
      </c>
      <c r="AS23">
        <v>894.09128890454394</v>
      </c>
      <c r="AT23">
        <f t="shared" si="27"/>
        <v>0.68368945821348481</v>
      </c>
      <c r="AU23">
        <v>0.5</v>
      </c>
      <c r="AV23">
        <f t="shared" si="28"/>
        <v>84.295052351412224</v>
      </c>
      <c r="AW23">
        <f t="shared" si="29"/>
        <v>3.9625725394786371</v>
      </c>
      <c r="AX23">
        <f t="shared" si="30"/>
        <v>28.815819336107182</v>
      </c>
      <c r="AY23">
        <f t="shared" si="31"/>
        <v>6.3523763333861866E-2</v>
      </c>
      <c r="AZ23">
        <f t="shared" si="32"/>
        <v>-7.6834967884390495E-2</v>
      </c>
      <c r="BA23">
        <f t="shared" si="33"/>
        <v>214.80726896243925</v>
      </c>
      <c r="BB23" t="s">
        <v>345</v>
      </c>
      <c r="BC23">
        <v>0</v>
      </c>
      <c r="BD23">
        <f t="shared" si="34"/>
        <v>214.80726896243925</v>
      </c>
      <c r="BE23">
        <f t="shared" si="35"/>
        <v>0.75974794562015602</v>
      </c>
      <c r="BF23">
        <f t="shared" si="36"/>
        <v>0.89988984130179195</v>
      </c>
      <c r="BG23">
        <f t="shared" si="37"/>
        <v>-0.11251062783890992</v>
      </c>
      <c r="BH23">
        <f t="shared" si="38"/>
        <v>0.89434548623718169</v>
      </c>
      <c r="BI23">
        <f t="shared" si="39"/>
        <v>-0.11173997557918698</v>
      </c>
      <c r="BJ23">
        <f t="shared" si="40"/>
        <v>0.68350672686155856</v>
      </c>
      <c r="BK23">
        <f t="shared" si="41"/>
        <v>0.31649327313844144</v>
      </c>
      <c r="BL23">
        <v>106</v>
      </c>
      <c r="BM23">
        <v>290</v>
      </c>
      <c r="BN23">
        <v>849.82</v>
      </c>
      <c r="BO23">
        <v>175</v>
      </c>
      <c r="BP23">
        <v>8136.92</v>
      </c>
      <c r="BQ23">
        <v>848.57</v>
      </c>
      <c r="BR23">
        <v>1.25</v>
      </c>
      <c r="BS23">
        <v>300</v>
      </c>
      <c r="BT23">
        <v>19.100000000000001</v>
      </c>
      <c r="BU23">
        <v>894.09128890454394</v>
      </c>
      <c r="BV23">
        <v>2.7855448420612499</v>
      </c>
      <c r="BW23">
        <v>-37.037554145620803</v>
      </c>
      <c r="BX23">
        <v>2.0296360572030898</v>
      </c>
      <c r="BY23">
        <v>0.92243833635980199</v>
      </c>
      <c r="BZ23">
        <v>-5.3182731924360299E-3</v>
      </c>
      <c r="CA23">
        <v>290</v>
      </c>
      <c r="CB23">
        <v>841.31</v>
      </c>
      <c r="CC23">
        <v>625</v>
      </c>
      <c r="CD23">
        <v>8128.54</v>
      </c>
      <c r="CE23">
        <v>848.53</v>
      </c>
      <c r="CF23">
        <v>-7.22</v>
      </c>
      <c r="CT23">
        <f t="shared" si="42"/>
        <v>100.012666666667</v>
      </c>
      <c r="CU23">
        <f t="shared" si="43"/>
        <v>84.295052351412224</v>
      </c>
      <c r="CV23">
        <f t="shared" si="44"/>
        <v>0.84284376330410082</v>
      </c>
      <c r="CW23">
        <f t="shared" si="45"/>
        <v>0.16508846317691489</v>
      </c>
      <c r="CX23">
        <v>2</v>
      </c>
      <c r="CY23">
        <v>0.5</v>
      </c>
      <c r="CZ23" t="s">
        <v>346</v>
      </c>
      <c r="DA23">
        <v>2</v>
      </c>
      <c r="DB23">
        <v>1791083790.5</v>
      </c>
      <c r="DC23">
        <v>400.01016666666698</v>
      </c>
      <c r="DD23">
        <v>402.30366666666703</v>
      </c>
      <c r="DE23">
        <v>18.532733333333301</v>
      </c>
      <c r="DF23">
        <v>16.794266666666701</v>
      </c>
      <c r="DG23">
        <v>400.40800000000002</v>
      </c>
      <c r="DH23">
        <v>18.704750000000001</v>
      </c>
      <c r="DI23">
        <v>500.02033333333299</v>
      </c>
      <c r="DJ23">
        <v>101</v>
      </c>
      <c r="DK23">
        <v>0.10003325</v>
      </c>
      <c r="DL23">
        <v>26.187999999999999</v>
      </c>
      <c r="DM23">
        <v>25.016500000000001</v>
      </c>
      <c r="DN23">
        <v>999.9</v>
      </c>
      <c r="DO23">
        <v>0</v>
      </c>
      <c r="DP23">
        <v>0</v>
      </c>
      <c r="DQ23">
        <v>9996.2516666666706</v>
      </c>
      <c r="DR23">
        <v>0</v>
      </c>
      <c r="DS23">
        <v>8.7472833333333302</v>
      </c>
      <c r="DT23">
        <v>100.012666666667</v>
      </c>
      <c r="DU23">
        <v>0.90018500000000001</v>
      </c>
      <c r="DV23">
        <v>9.9815200000000007E-2</v>
      </c>
      <c r="DW23">
        <v>0</v>
      </c>
      <c r="DX23">
        <v>282.75650000000002</v>
      </c>
      <c r="DY23">
        <v>4.9999900000000004</v>
      </c>
      <c r="DZ23">
        <v>271.46966666666702</v>
      </c>
      <c r="EA23">
        <v>923.21666666666704</v>
      </c>
      <c r="EB23">
        <v>35.728999999999999</v>
      </c>
      <c r="EC23">
        <v>40.916333333333299</v>
      </c>
      <c r="ED23">
        <v>38.020666666666699</v>
      </c>
      <c r="EE23">
        <v>41.499666666666698</v>
      </c>
      <c r="EF23">
        <v>39.020666666666699</v>
      </c>
      <c r="EG23">
        <v>85.528333333333293</v>
      </c>
      <c r="EH23">
        <v>9.48</v>
      </c>
      <c r="EI23">
        <v>0</v>
      </c>
      <c r="EJ23">
        <v>123.69999980926499</v>
      </c>
      <c r="EK23">
        <v>0</v>
      </c>
      <c r="EL23">
        <v>282.81049999999999</v>
      </c>
      <c r="EM23">
        <v>-0.40536753230709099</v>
      </c>
      <c r="EN23">
        <v>2.6705641193478802</v>
      </c>
      <c r="EO23">
        <v>271.33884615384602</v>
      </c>
      <c r="EP23">
        <v>15</v>
      </c>
      <c r="EQ23">
        <v>1791083746</v>
      </c>
      <c r="ER23" t="s">
        <v>369</v>
      </c>
      <c r="ES23">
        <v>1791083746</v>
      </c>
      <c r="ET23">
        <v>1791083741</v>
      </c>
      <c r="EU23">
        <v>17</v>
      </c>
      <c r="EV23">
        <v>-5.7000000000000002E-2</v>
      </c>
      <c r="EW23">
        <v>-3.0000000000000001E-3</v>
      </c>
      <c r="EX23">
        <v>-0.39500000000000002</v>
      </c>
      <c r="EY23">
        <v>-0.17899999999999999</v>
      </c>
      <c r="EZ23">
        <v>402</v>
      </c>
      <c r="FA23">
        <v>17</v>
      </c>
      <c r="FB23">
        <v>0.3</v>
      </c>
      <c r="FC23">
        <v>0.03</v>
      </c>
      <c r="FD23">
        <v>4.0304608023328203</v>
      </c>
      <c r="FE23">
        <v>0.46070216274674702</v>
      </c>
      <c r="FF23">
        <v>9.1752174042388099E-2</v>
      </c>
      <c r="FG23">
        <v>1</v>
      </c>
      <c r="FH23">
        <v>-2.3111814285714298</v>
      </c>
      <c r="FI23">
        <v>-0.18804233766233799</v>
      </c>
      <c r="FJ23">
        <v>4.7513627747928298E-2</v>
      </c>
      <c r="FK23">
        <v>1</v>
      </c>
      <c r="FL23">
        <v>282.77199999999999</v>
      </c>
      <c r="FM23">
        <v>0.39749426751891498</v>
      </c>
      <c r="FN23">
        <v>0.413901664934192</v>
      </c>
      <c r="FO23">
        <v>1</v>
      </c>
      <c r="FP23">
        <v>3</v>
      </c>
      <c r="FQ23">
        <v>3</v>
      </c>
      <c r="FR23" t="s">
        <v>348</v>
      </c>
      <c r="FS23">
        <v>100</v>
      </c>
      <c r="FT23">
        <v>100</v>
      </c>
      <c r="FU23">
        <v>-0.39800000000000002</v>
      </c>
      <c r="FV23">
        <v>-0.1721</v>
      </c>
      <c r="FW23">
        <v>-0.82254166221512504</v>
      </c>
      <c r="FX23">
        <v>7.6835882421071803E-4</v>
      </c>
      <c r="FY23">
        <v>7.9312579872174805E-7</v>
      </c>
      <c r="FZ23">
        <v>-1.5433145656851401E-10</v>
      </c>
      <c r="GA23">
        <v>-2.66893557788421E-2</v>
      </c>
      <c r="GB23">
        <v>-2.1578312386681502E-2</v>
      </c>
      <c r="GC23">
        <v>7.7134661959739901E-4</v>
      </c>
      <c r="GD23">
        <v>-1.7684492548540801E-6</v>
      </c>
      <c r="GE23">
        <v>4</v>
      </c>
      <c r="GF23">
        <v>2093</v>
      </c>
      <c r="GG23">
        <v>1</v>
      </c>
      <c r="GH23">
        <v>31</v>
      </c>
      <c r="GI23">
        <v>0.8</v>
      </c>
      <c r="GJ23">
        <v>0.9</v>
      </c>
      <c r="GK23">
        <v>1.0424800000000001</v>
      </c>
      <c r="GL23">
        <v>2.6245099999999999</v>
      </c>
      <c r="GM23">
        <v>1.65161</v>
      </c>
      <c r="GN23">
        <v>2.2839399999999999</v>
      </c>
      <c r="GO23">
        <v>1.5979000000000001</v>
      </c>
      <c r="GP23">
        <v>2.63794</v>
      </c>
      <c r="GQ23">
        <v>34.646299999999997</v>
      </c>
      <c r="GR23">
        <v>15.4367</v>
      </c>
      <c r="GS23">
        <v>18</v>
      </c>
      <c r="GT23">
        <v>505.56400000000002</v>
      </c>
      <c r="GU23">
        <v>527.226</v>
      </c>
      <c r="GV23">
        <v>24.252600000000001</v>
      </c>
      <c r="GW23">
        <v>30.165400000000002</v>
      </c>
      <c r="GX23">
        <v>30.0002</v>
      </c>
      <c r="GY23">
        <v>30.261500000000002</v>
      </c>
      <c r="GZ23">
        <v>30.309100000000001</v>
      </c>
      <c r="HA23">
        <v>20.841200000000001</v>
      </c>
      <c r="HB23">
        <v>27.799800000000001</v>
      </c>
      <c r="HC23">
        <v>0</v>
      </c>
      <c r="HD23">
        <v>24.252600000000001</v>
      </c>
      <c r="HE23">
        <v>402.29500000000002</v>
      </c>
      <c r="HF23">
        <v>16.8489</v>
      </c>
      <c r="HG23">
        <v>97.958500000000001</v>
      </c>
      <c r="HH23">
        <v>94.535200000000003</v>
      </c>
    </row>
    <row r="24" spans="1:216" x14ac:dyDescent="0.6">
      <c r="A24">
        <v>8</v>
      </c>
      <c r="B24">
        <v>1791083935</v>
      </c>
      <c r="C24">
        <v>1014.90000009537</v>
      </c>
      <c r="D24" t="s">
        <v>370</v>
      </c>
      <c r="E24" t="s">
        <v>371</v>
      </c>
      <c r="F24">
        <v>5</v>
      </c>
      <c r="G24">
        <v>1791083931.5</v>
      </c>
      <c r="H24">
        <f t="shared" si="0"/>
        <v>4.1199750570675301E-3</v>
      </c>
      <c r="I24">
        <f t="shared" si="1"/>
        <v>4.1199750570675304</v>
      </c>
      <c r="J24">
        <f t="shared" si="2"/>
        <v>1.3424664679473475</v>
      </c>
      <c r="K24">
        <f t="shared" si="3"/>
        <v>399.97533333333303</v>
      </c>
      <c r="L24">
        <f t="shared" si="4"/>
        <v>384.86668970663698</v>
      </c>
      <c r="M24">
        <f t="shared" si="5"/>
        <v>38.911260426238321</v>
      </c>
      <c r="N24">
        <f t="shared" si="6"/>
        <v>40.438792900648401</v>
      </c>
      <c r="O24">
        <f t="shared" si="7"/>
        <v>0.32952832009303973</v>
      </c>
      <c r="P24">
        <f t="shared" si="8"/>
        <v>3.0302536648176601</v>
      </c>
      <c r="Q24">
        <f t="shared" si="9"/>
        <v>0.31083589918544058</v>
      </c>
      <c r="R24">
        <f t="shared" si="10"/>
        <v>0.19586346202845856</v>
      </c>
      <c r="S24">
        <f t="shared" si="11"/>
        <v>8.2424694207557234</v>
      </c>
      <c r="T24">
        <f t="shared" si="12"/>
        <v>25.169441864355488</v>
      </c>
      <c r="U24">
        <f t="shared" si="13"/>
        <v>25.0080666666667</v>
      </c>
      <c r="V24">
        <f t="shared" si="14"/>
        <v>3.1812071052207309</v>
      </c>
      <c r="W24">
        <f t="shared" si="15"/>
        <v>55.030278923868018</v>
      </c>
      <c r="X24">
        <f t="shared" si="16"/>
        <v>1.8746406832043514</v>
      </c>
      <c r="Y24">
        <f t="shared" si="17"/>
        <v>3.4065622051413458</v>
      </c>
      <c r="Z24">
        <f t="shared" si="18"/>
        <v>1.3065664220163795</v>
      </c>
      <c r="AA24">
        <f t="shared" si="19"/>
        <v>-181.69090001667809</v>
      </c>
      <c r="AB24">
        <f t="shared" si="20"/>
        <v>188.37036037280907</v>
      </c>
      <c r="AC24">
        <f t="shared" si="21"/>
        <v>13.226611201890249</v>
      </c>
      <c r="AD24">
        <f t="shared" si="22"/>
        <v>28.148540978776964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53638.139991422511</v>
      </c>
      <c r="AJ24" t="s">
        <v>343</v>
      </c>
      <c r="AK24">
        <v>8120.04</v>
      </c>
      <c r="AL24">
        <v>210.59615384615401</v>
      </c>
      <c r="AM24">
        <v>825.39381343585001</v>
      </c>
      <c r="AN24">
        <f t="shared" si="26"/>
        <v>0.74485372870737954</v>
      </c>
      <c r="AO24">
        <v>-1.3921664163079699</v>
      </c>
      <c r="AP24" t="s">
        <v>372</v>
      </c>
      <c r="AQ24">
        <v>8133.12</v>
      </c>
      <c r="AR24">
        <v>274.21246153846198</v>
      </c>
      <c r="AS24">
        <v>936.05797866465002</v>
      </c>
      <c r="AT24">
        <f t="shared" si="27"/>
        <v>0.70705611427013892</v>
      </c>
      <c r="AU24">
        <v>0.5</v>
      </c>
      <c r="AV24">
        <f t="shared" si="28"/>
        <v>42.143643306091043</v>
      </c>
      <c r="AW24">
        <f t="shared" si="29"/>
        <v>1.3424664679473475</v>
      </c>
      <c r="AX24">
        <f t="shared" si="30"/>
        <v>14.898960338595742</v>
      </c>
      <c r="AY24">
        <f t="shared" si="31"/>
        <v>6.4888383389009929E-2</v>
      </c>
      <c r="AZ24">
        <f t="shared" si="32"/>
        <v>-0.11822362262930543</v>
      </c>
      <c r="BA24">
        <f t="shared" si="33"/>
        <v>217.14622118721135</v>
      </c>
      <c r="BB24" t="s">
        <v>345</v>
      </c>
      <c r="BC24">
        <v>0</v>
      </c>
      <c r="BD24">
        <f t="shared" si="34"/>
        <v>217.14622118721135</v>
      </c>
      <c r="BE24">
        <f t="shared" si="35"/>
        <v>0.7680205434528905</v>
      </c>
      <c r="BF24">
        <f t="shared" si="36"/>
        <v>0.92062135615713381</v>
      </c>
      <c r="BG24">
        <f t="shared" si="37"/>
        <v>-0.18193933957006586</v>
      </c>
      <c r="BH24">
        <f t="shared" si="38"/>
        <v>0.91230922770026646</v>
      </c>
      <c r="BI24">
        <f t="shared" si="39"/>
        <v>-0.18000095397671997</v>
      </c>
      <c r="BJ24">
        <f t="shared" si="40"/>
        <v>0.72903123188559926</v>
      </c>
      <c r="BK24">
        <f t="shared" si="41"/>
        <v>0.27096876811440074</v>
      </c>
      <c r="BL24">
        <v>107</v>
      </c>
      <c r="BM24">
        <v>290</v>
      </c>
      <c r="BN24">
        <v>893.11</v>
      </c>
      <c r="BO24">
        <v>215</v>
      </c>
      <c r="BP24">
        <v>8133.12</v>
      </c>
      <c r="BQ24">
        <v>891.81</v>
      </c>
      <c r="BR24">
        <v>1.3</v>
      </c>
      <c r="BS24">
        <v>300</v>
      </c>
      <c r="BT24">
        <v>19.100000000000001</v>
      </c>
      <c r="BU24">
        <v>936.05797866465002</v>
      </c>
      <c r="BV24">
        <v>2.57401546712026</v>
      </c>
      <c r="BW24">
        <v>-35.988282122443898</v>
      </c>
      <c r="BX24">
        <v>1.8736407624631299</v>
      </c>
      <c r="BY24">
        <v>0.92945944141121895</v>
      </c>
      <c r="BZ24">
        <v>-5.3499150166852003E-3</v>
      </c>
      <c r="CA24">
        <v>290</v>
      </c>
      <c r="CB24">
        <v>883.73</v>
      </c>
      <c r="CC24">
        <v>615</v>
      </c>
      <c r="CD24">
        <v>8126.94</v>
      </c>
      <c r="CE24">
        <v>891.78</v>
      </c>
      <c r="CF24">
        <v>-8.0500000000000007</v>
      </c>
      <c r="CT24">
        <f t="shared" si="42"/>
        <v>50.010100000000001</v>
      </c>
      <c r="CU24">
        <f t="shared" si="43"/>
        <v>42.143643306091043</v>
      </c>
      <c r="CV24">
        <f t="shared" si="44"/>
        <v>0.84270264018850283</v>
      </c>
      <c r="CW24">
        <f t="shared" si="45"/>
        <v>0.16481609556381058</v>
      </c>
      <c r="CX24">
        <v>2</v>
      </c>
      <c r="CY24">
        <v>0.5</v>
      </c>
      <c r="CZ24" t="s">
        <v>346</v>
      </c>
      <c r="DA24">
        <v>2</v>
      </c>
      <c r="DB24">
        <v>1791083931.5</v>
      </c>
      <c r="DC24">
        <v>399.97533333333303</v>
      </c>
      <c r="DD24">
        <v>401.17149999999998</v>
      </c>
      <c r="DE24">
        <v>18.54185</v>
      </c>
      <c r="DF24">
        <v>16.924383333333299</v>
      </c>
      <c r="DG24">
        <v>400.35783333333302</v>
      </c>
      <c r="DH24">
        <v>18.7137666666667</v>
      </c>
      <c r="DI24">
        <v>499.98966666666701</v>
      </c>
      <c r="DJ24">
        <v>101.003333333333</v>
      </c>
      <c r="DK24">
        <v>9.9883616666666702E-2</v>
      </c>
      <c r="DL24">
        <v>26.1611166666667</v>
      </c>
      <c r="DM24">
        <v>25.0080666666667</v>
      </c>
      <c r="DN24">
        <v>999.9</v>
      </c>
      <c r="DO24">
        <v>0</v>
      </c>
      <c r="DP24">
        <v>0</v>
      </c>
      <c r="DQ24">
        <v>10015.708333333299</v>
      </c>
      <c r="DR24">
        <v>0</v>
      </c>
      <c r="DS24">
        <v>8.6959900000000001</v>
      </c>
      <c r="DT24">
        <v>50.010100000000001</v>
      </c>
      <c r="DU24">
        <v>0.89986666666666704</v>
      </c>
      <c r="DV24">
        <v>0.100133483333333</v>
      </c>
      <c r="DW24">
        <v>0</v>
      </c>
      <c r="DX24">
        <v>274.19133333333298</v>
      </c>
      <c r="DY24">
        <v>4.9999900000000004</v>
      </c>
      <c r="DZ24">
        <v>123.241666666667</v>
      </c>
      <c r="EA24">
        <v>437.305833333333</v>
      </c>
      <c r="EB24">
        <v>35.3645</v>
      </c>
      <c r="EC24">
        <v>38.936999999999998</v>
      </c>
      <c r="ED24">
        <v>37.207999999999998</v>
      </c>
      <c r="EE24">
        <v>38.832999999999998</v>
      </c>
      <c r="EF24">
        <v>37.875</v>
      </c>
      <c r="EG24">
        <v>40.501666666666701</v>
      </c>
      <c r="EH24">
        <v>4.5049999999999999</v>
      </c>
      <c r="EI24">
        <v>0</v>
      </c>
      <c r="EJ24">
        <v>140.09999990463299</v>
      </c>
      <c r="EK24">
        <v>0</v>
      </c>
      <c r="EL24">
        <v>274.21246153846198</v>
      </c>
      <c r="EM24">
        <v>-0.264957257774938</v>
      </c>
      <c r="EN24">
        <v>-0.33641021953240002</v>
      </c>
      <c r="EO24">
        <v>123.174769230769</v>
      </c>
      <c r="EP24">
        <v>15</v>
      </c>
      <c r="EQ24">
        <v>1791083863</v>
      </c>
      <c r="ER24" t="s">
        <v>373</v>
      </c>
      <c r="ES24">
        <v>1791083859</v>
      </c>
      <c r="ET24">
        <v>1791083863</v>
      </c>
      <c r="EU24">
        <v>18</v>
      </c>
      <c r="EV24">
        <v>1.4999999999999999E-2</v>
      </c>
      <c r="EW24">
        <v>0</v>
      </c>
      <c r="EX24">
        <v>-0.38100000000000001</v>
      </c>
      <c r="EY24">
        <v>-0.17899999999999999</v>
      </c>
      <c r="EZ24">
        <v>401</v>
      </c>
      <c r="FA24">
        <v>17</v>
      </c>
      <c r="FB24">
        <v>0.6</v>
      </c>
      <c r="FC24">
        <v>0.06</v>
      </c>
      <c r="FD24">
        <v>1.3093444256600899</v>
      </c>
      <c r="FE24">
        <v>-0.16200525992158801</v>
      </c>
      <c r="FF24">
        <v>7.8768786908709004E-2</v>
      </c>
      <c r="FG24">
        <v>1</v>
      </c>
      <c r="FH24">
        <v>-1.1850179999999999</v>
      </c>
      <c r="FI24">
        <v>7.1616541353381802E-2</v>
      </c>
      <c r="FJ24">
        <v>3.2673580550652802E-2</v>
      </c>
      <c r="FK24">
        <v>1</v>
      </c>
      <c r="FL24">
        <v>274.16279411764702</v>
      </c>
      <c r="FM24">
        <v>0.83210083920169198</v>
      </c>
      <c r="FN24">
        <v>0.39489989643034101</v>
      </c>
      <c r="FO24">
        <v>1</v>
      </c>
      <c r="FP24">
        <v>3</v>
      </c>
      <c r="FQ24">
        <v>3</v>
      </c>
      <c r="FR24" t="s">
        <v>348</v>
      </c>
      <c r="FS24">
        <v>100</v>
      </c>
      <c r="FT24">
        <v>100</v>
      </c>
      <c r="FU24">
        <v>-0.38200000000000001</v>
      </c>
      <c r="FV24">
        <v>-0.1719</v>
      </c>
      <c r="FW24">
        <v>-0.807354935109454</v>
      </c>
      <c r="FX24">
        <v>7.6835882421071803E-4</v>
      </c>
      <c r="FY24">
        <v>7.9312579872174805E-7</v>
      </c>
      <c r="FZ24">
        <v>-1.5433145656851401E-10</v>
      </c>
      <c r="GA24">
        <v>-2.66432940353632E-2</v>
      </c>
      <c r="GB24">
        <v>-2.1578312386681502E-2</v>
      </c>
      <c r="GC24">
        <v>7.7134661959739901E-4</v>
      </c>
      <c r="GD24">
        <v>-1.7684492548540801E-6</v>
      </c>
      <c r="GE24">
        <v>4</v>
      </c>
      <c r="GF24">
        <v>2093</v>
      </c>
      <c r="GG24">
        <v>1</v>
      </c>
      <c r="GH24">
        <v>31</v>
      </c>
      <c r="GI24">
        <v>1.3</v>
      </c>
      <c r="GJ24">
        <v>1.2</v>
      </c>
      <c r="GK24">
        <v>1.0400400000000001</v>
      </c>
      <c r="GL24">
        <v>2.6232899999999999</v>
      </c>
      <c r="GM24">
        <v>1.65161</v>
      </c>
      <c r="GN24">
        <v>2.2839399999999999</v>
      </c>
      <c r="GO24">
        <v>1.5979000000000001</v>
      </c>
      <c r="GP24">
        <v>2.6184099999999999</v>
      </c>
      <c r="GQ24">
        <v>34.692100000000003</v>
      </c>
      <c r="GR24">
        <v>15.410399999999999</v>
      </c>
      <c r="GS24">
        <v>18</v>
      </c>
      <c r="GT24">
        <v>505.88400000000001</v>
      </c>
      <c r="GU24">
        <v>526.87</v>
      </c>
      <c r="GV24">
        <v>24.021899999999999</v>
      </c>
      <c r="GW24">
        <v>30.215</v>
      </c>
      <c r="GX24">
        <v>30.0002</v>
      </c>
      <c r="GY24">
        <v>30.3078</v>
      </c>
      <c r="GZ24">
        <v>30.356100000000001</v>
      </c>
      <c r="HA24">
        <v>20.800899999999999</v>
      </c>
      <c r="HB24">
        <v>27.469100000000001</v>
      </c>
      <c r="HC24">
        <v>0</v>
      </c>
      <c r="HD24">
        <v>24.0213</v>
      </c>
      <c r="HE24">
        <v>401.19400000000002</v>
      </c>
      <c r="HF24">
        <v>16.943300000000001</v>
      </c>
      <c r="HG24">
        <v>97.946399999999997</v>
      </c>
      <c r="HH24">
        <v>94.525099999999995</v>
      </c>
    </row>
    <row r="25" spans="1:216" x14ac:dyDescent="0.6">
      <c r="A25">
        <v>9</v>
      </c>
      <c r="B25">
        <v>1791084084</v>
      </c>
      <c r="C25">
        <v>1163.9000000953699</v>
      </c>
      <c r="D25" t="s">
        <v>374</v>
      </c>
      <c r="E25" t="s">
        <v>375</v>
      </c>
      <c r="F25">
        <v>5</v>
      </c>
      <c r="G25">
        <v>1791084081</v>
      </c>
      <c r="H25">
        <f t="shared" si="0"/>
        <v>3.9120460813143925E-3</v>
      </c>
      <c r="I25">
        <f t="shared" si="1"/>
        <v>3.9120460813143922</v>
      </c>
      <c r="J25">
        <f t="shared" si="2"/>
        <v>-2.1413844498151873</v>
      </c>
      <c r="K25">
        <f t="shared" si="3"/>
        <v>399.99759999999998</v>
      </c>
      <c r="L25">
        <f t="shared" si="4"/>
        <v>403.07829889393037</v>
      </c>
      <c r="M25">
        <f t="shared" si="5"/>
        <v>40.754338165940801</v>
      </c>
      <c r="N25">
        <f t="shared" si="6"/>
        <v>40.44285564541017</v>
      </c>
      <c r="O25">
        <f t="shared" si="7"/>
        <v>0.3107358049619629</v>
      </c>
      <c r="P25">
        <f t="shared" si="8"/>
        <v>3.0274171769781719</v>
      </c>
      <c r="Q25">
        <f t="shared" si="9"/>
        <v>0.29404193895470282</v>
      </c>
      <c r="R25">
        <f t="shared" si="10"/>
        <v>0.18520131561908701</v>
      </c>
      <c r="S25">
        <f t="shared" si="11"/>
        <v>6.3839361601596015E-4</v>
      </c>
      <c r="T25">
        <f t="shared" si="12"/>
        <v>25.124694742712151</v>
      </c>
      <c r="U25">
        <f t="shared" si="13"/>
        <v>25.001940000000001</v>
      </c>
      <c r="V25">
        <f t="shared" si="14"/>
        <v>3.1800453733706604</v>
      </c>
      <c r="W25">
        <f t="shared" si="15"/>
        <v>55.008247463693586</v>
      </c>
      <c r="X25">
        <f t="shared" si="16"/>
        <v>1.8684529422505631</v>
      </c>
      <c r="Y25">
        <f t="shared" si="17"/>
        <v>3.3966778226915433</v>
      </c>
      <c r="Z25">
        <f t="shared" si="18"/>
        <v>1.3115924311200973</v>
      </c>
      <c r="AA25">
        <f t="shared" si="19"/>
        <v>-172.52123218596472</v>
      </c>
      <c r="AB25">
        <f t="shared" si="20"/>
        <v>181.17093176052111</v>
      </c>
      <c r="AC25">
        <f t="shared" si="21"/>
        <v>12.729475575382651</v>
      </c>
      <c r="AD25">
        <f t="shared" si="22"/>
        <v>21.379813543555059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53558.923639478773</v>
      </c>
      <c r="AJ25" t="s">
        <v>376</v>
      </c>
      <c r="AK25">
        <v>8129.77</v>
      </c>
      <c r="AL25">
        <v>256.581730769231</v>
      </c>
      <c r="AM25">
        <v>1007.16258349372</v>
      </c>
      <c r="AN25">
        <f t="shared" si="26"/>
        <v>0.74524298760267549</v>
      </c>
      <c r="AO25">
        <v>-2.1413844498153298</v>
      </c>
      <c r="AP25" t="s">
        <v>345</v>
      </c>
      <c r="AQ25" t="s">
        <v>345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3.3599664000840005E-3</v>
      </c>
      <c r="AW25">
        <f t="shared" si="29"/>
        <v>-2.1413844498151873</v>
      </c>
      <c r="AX25" t="e">
        <f t="shared" si="30"/>
        <v>#DIV/0!</v>
      </c>
      <c r="AY25">
        <f t="shared" si="31"/>
        <v>4.2426804136584889E-11</v>
      </c>
      <c r="AZ25" t="e">
        <f t="shared" si="32"/>
        <v>#DIV/0!</v>
      </c>
      <c r="BA25" t="e">
        <f t="shared" si="33"/>
        <v>#DIV/0!</v>
      </c>
      <c r="BB25" t="s">
        <v>345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>
        <f t="shared" si="38"/>
        <v>0</v>
      </c>
      <c r="BI25">
        <f t="shared" si="39"/>
        <v>1.3418442261588213</v>
      </c>
      <c r="BJ25" t="e">
        <f t="shared" si="40"/>
        <v>#DIV/0!</v>
      </c>
      <c r="BK25" t="e">
        <f t="shared" si="41"/>
        <v>#DIV/0!</v>
      </c>
      <c r="BL25">
        <v>108</v>
      </c>
      <c r="BM25">
        <v>290</v>
      </c>
      <c r="BN25">
        <v>982.4</v>
      </c>
      <c r="BO25">
        <v>295</v>
      </c>
      <c r="BP25">
        <v>8129.77</v>
      </c>
      <c r="BQ25">
        <v>981.18</v>
      </c>
      <c r="BR25">
        <v>1.22</v>
      </c>
      <c r="BS25">
        <v>300</v>
      </c>
      <c r="BT25">
        <v>19.100000000000001</v>
      </c>
      <c r="BU25">
        <v>1007.16258349372</v>
      </c>
      <c r="BV25">
        <v>2.28379715037536</v>
      </c>
      <c r="BW25">
        <v>-21.126763639212701</v>
      </c>
      <c r="BX25">
        <v>1.6610954704837499</v>
      </c>
      <c r="BY25">
        <v>0.85244682187806697</v>
      </c>
      <c r="BZ25">
        <v>-5.3788734149054496E-3</v>
      </c>
      <c r="CA25">
        <v>290</v>
      </c>
      <c r="CB25">
        <v>973.25</v>
      </c>
      <c r="CC25">
        <v>615</v>
      </c>
      <c r="CD25">
        <v>8126.22</v>
      </c>
      <c r="CE25">
        <v>981.16</v>
      </c>
      <c r="CF25">
        <v>-7.91</v>
      </c>
      <c r="CT25">
        <f t="shared" si="42"/>
        <v>1.9999900000000001E-2</v>
      </c>
      <c r="CU25">
        <f t="shared" si="43"/>
        <v>3.3599664000840005E-3</v>
      </c>
      <c r="CV25">
        <f t="shared" si="44"/>
        <v>0.16799916000000001</v>
      </c>
      <c r="CW25">
        <f t="shared" si="45"/>
        <v>3.1919840400000003E-2</v>
      </c>
      <c r="CX25">
        <v>2</v>
      </c>
      <c r="CY25">
        <v>0.5</v>
      </c>
      <c r="CZ25" t="s">
        <v>346</v>
      </c>
      <c r="DA25">
        <v>2</v>
      </c>
      <c r="DB25">
        <v>1791084081</v>
      </c>
      <c r="DC25">
        <v>399.99759999999998</v>
      </c>
      <c r="DD25">
        <v>399.767</v>
      </c>
      <c r="DE25">
        <v>18.47982</v>
      </c>
      <c r="DF25">
        <v>16.944120000000002</v>
      </c>
      <c r="DG25">
        <v>400.40260000000001</v>
      </c>
      <c r="DH25">
        <v>18.651399999999999</v>
      </c>
      <c r="DI25">
        <v>500.06540000000001</v>
      </c>
      <c r="DJ25">
        <v>101.0076</v>
      </c>
      <c r="DK25">
        <v>0.10014576</v>
      </c>
      <c r="DL25">
        <v>26.11196</v>
      </c>
      <c r="DM25">
        <v>25.001940000000001</v>
      </c>
      <c r="DN25">
        <v>999.9</v>
      </c>
      <c r="DO25">
        <v>0</v>
      </c>
      <c r="DP25">
        <v>0</v>
      </c>
      <c r="DQ25">
        <v>9998.1299999999992</v>
      </c>
      <c r="DR25">
        <v>0</v>
      </c>
      <c r="DS25">
        <v>8.6959900000000001</v>
      </c>
      <c r="DT25">
        <v>1.9999900000000001E-2</v>
      </c>
      <c r="DU25">
        <v>0</v>
      </c>
      <c r="DV25">
        <v>0</v>
      </c>
      <c r="DW25">
        <v>0</v>
      </c>
      <c r="DX25">
        <v>256.93</v>
      </c>
      <c r="DY25">
        <v>1.9999900000000001E-2</v>
      </c>
      <c r="DZ25">
        <v>-16.12</v>
      </c>
      <c r="EA25">
        <v>3.625</v>
      </c>
      <c r="EB25">
        <v>34.561999999999998</v>
      </c>
      <c r="EC25">
        <v>38.112400000000001</v>
      </c>
      <c r="ED25">
        <v>36.436999999999998</v>
      </c>
      <c r="EE25">
        <v>37.737400000000001</v>
      </c>
      <c r="EF25">
        <v>36.875</v>
      </c>
      <c r="EG25">
        <v>0</v>
      </c>
      <c r="EH25">
        <v>0</v>
      </c>
      <c r="EI25">
        <v>0</v>
      </c>
      <c r="EJ25">
        <v>147.799999952316</v>
      </c>
      <c r="EK25">
        <v>0</v>
      </c>
      <c r="EL25">
        <v>256.581730769231</v>
      </c>
      <c r="EM25">
        <v>-1.4777778745735199</v>
      </c>
      <c r="EN25">
        <v>-16.372649567690399</v>
      </c>
      <c r="EO25">
        <v>-15.0192307692308</v>
      </c>
      <c r="EP25">
        <v>15</v>
      </c>
      <c r="EQ25">
        <v>1791083999</v>
      </c>
      <c r="ER25" t="s">
        <v>377</v>
      </c>
      <c r="ES25">
        <v>1791083996</v>
      </c>
      <c r="ET25">
        <v>1791083999</v>
      </c>
      <c r="EU25">
        <v>19</v>
      </c>
      <c r="EV25">
        <v>-2.3E-2</v>
      </c>
      <c r="EW25">
        <v>1E-3</v>
      </c>
      <c r="EX25">
        <v>-0.40500000000000003</v>
      </c>
      <c r="EY25">
        <v>-0.17799999999999999</v>
      </c>
      <c r="EZ25">
        <v>400</v>
      </c>
      <c r="FA25">
        <v>17</v>
      </c>
      <c r="FB25">
        <v>0.35</v>
      </c>
      <c r="FC25">
        <v>0.05</v>
      </c>
      <c r="FD25">
        <v>-2.16320962601367</v>
      </c>
      <c r="FE25">
        <v>0.237439224399208</v>
      </c>
      <c r="FF25">
        <v>6.5660100005958996E-2</v>
      </c>
      <c r="FG25">
        <v>1</v>
      </c>
      <c r="FH25">
        <v>0.23530366666666699</v>
      </c>
      <c r="FI25">
        <v>-9.78187792207795E-2</v>
      </c>
      <c r="FJ25">
        <v>2.6348816719312801E-2</v>
      </c>
      <c r="FK25">
        <v>1</v>
      </c>
      <c r="FL25">
        <v>256.99558823529401</v>
      </c>
      <c r="FM25">
        <v>-0.95492740685459798</v>
      </c>
      <c r="FN25">
        <v>6.2637216155819599</v>
      </c>
      <c r="FO25">
        <v>1</v>
      </c>
      <c r="FP25">
        <v>3</v>
      </c>
      <c r="FQ25">
        <v>3</v>
      </c>
      <c r="FR25" t="s">
        <v>348</v>
      </c>
      <c r="FS25">
        <v>100</v>
      </c>
      <c r="FT25">
        <v>100</v>
      </c>
      <c r="FU25">
        <v>-0.40500000000000003</v>
      </c>
      <c r="FV25">
        <v>-0.1716</v>
      </c>
      <c r="FW25">
        <v>-0.82999480394658998</v>
      </c>
      <c r="FX25">
        <v>7.6835882421071803E-4</v>
      </c>
      <c r="FY25">
        <v>7.9312579872174805E-7</v>
      </c>
      <c r="FZ25">
        <v>-1.5433145656851401E-10</v>
      </c>
      <c r="GA25">
        <v>-2.59651081567739E-2</v>
      </c>
      <c r="GB25">
        <v>-2.1578312386681502E-2</v>
      </c>
      <c r="GC25">
        <v>7.7134661959739901E-4</v>
      </c>
      <c r="GD25">
        <v>-1.7684492548540801E-6</v>
      </c>
      <c r="GE25">
        <v>4</v>
      </c>
      <c r="GF25">
        <v>2093</v>
      </c>
      <c r="GG25">
        <v>1</v>
      </c>
      <c r="GH25">
        <v>31</v>
      </c>
      <c r="GI25">
        <v>1.5</v>
      </c>
      <c r="GJ25">
        <v>1.4</v>
      </c>
      <c r="GK25">
        <v>1.0376000000000001</v>
      </c>
      <c r="GL25">
        <v>2.63184</v>
      </c>
      <c r="GM25">
        <v>1.65161</v>
      </c>
      <c r="GN25">
        <v>2.2827099999999998</v>
      </c>
      <c r="GO25">
        <v>1.5979000000000001</v>
      </c>
      <c r="GP25">
        <v>2.5988799999999999</v>
      </c>
      <c r="GQ25">
        <v>34.760800000000003</v>
      </c>
      <c r="GR25">
        <v>15.392899999999999</v>
      </c>
      <c r="GS25">
        <v>18</v>
      </c>
      <c r="GT25">
        <v>505.803</v>
      </c>
      <c r="GU25">
        <v>526.47400000000005</v>
      </c>
      <c r="GV25">
        <v>24.2439</v>
      </c>
      <c r="GW25">
        <v>30.2621</v>
      </c>
      <c r="GX25">
        <v>30.000499999999999</v>
      </c>
      <c r="GY25">
        <v>30.3538</v>
      </c>
      <c r="GZ25">
        <v>30.4008</v>
      </c>
      <c r="HA25">
        <v>20.7453</v>
      </c>
      <c r="HB25">
        <v>27.389600000000002</v>
      </c>
      <c r="HC25">
        <v>0</v>
      </c>
      <c r="HD25">
        <v>24.1159</v>
      </c>
      <c r="HE25">
        <v>399.80099999999999</v>
      </c>
      <c r="HF25">
        <v>16.959099999999999</v>
      </c>
      <c r="HG25">
        <v>97.938900000000004</v>
      </c>
      <c r="HH25">
        <v>94.515799999999999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  <row r="6" spans="1:2" x14ac:dyDescent="0.6">
      <c r="A6" t="s">
        <v>10</v>
      </c>
      <c r="B6" t="s">
        <v>11</v>
      </c>
    </row>
    <row r="7" spans="1:2" x14ac:dyDescent="0.6">
      <c r="A7" t="s">
        <v>12</v>
      </c>
      <c r="B7" t="s">
        <v>13</v>
      </c>
    </row>
    <row r="8" spans="1:2" x14ac:dyDescent="0.6">
      <c r="A8" t="s">
        <v>14</v>
      </c>
      <c r="B8" t="s">
        <v>15</v>
      </c>
    </row>
    <row r="9" spans="1:2" x14ac:dyDescent="0.6">
      <c r="A9" t="s">
        <v>16</v>
      </c>
      <c r="B9" t="s">
        <v>17</v>
      </c>
    </row>
    <row r="10" spans="1:2" x14ac:dyDescent="0.6">
      <c r="A10" t="s">
        <v>18</v>
      </c>
      <c r="B10" t="s">
        <v>19</v>
      </c>
    </row>
    <row r="11" spans="1:2" x14ac:dyDescent="0.6">
      <c r="A11" t="s">
        <v>20</v>
      </c>
      <c r="B11" t="s">
        <v>21</v>
      </c>
    </row>
    <row r="12" spans="1:2" x14ac:dyDescent="0.6">
      <c r="A12" t="s">
        <v>22</v>
      </c>
      <c r="B12" t="s">
        <v>23</v>
      </c>
    </row>
    <row r="13" spans="1:2" x14ac:dyDescent="0.6">
      <c r="A13" t="s">
        <v>24</v>
      </c>
      <c r="B13" t="s">
        <v>25</v>
      </c>
    </row>
    <row r="14" spans="1:2" x14ac:dyDescent="0.6">
      <c r="A14" t="s">
        <v>26</v>
      </c>
      <c r="B14" t="s">
        <v>25</v>
      </c>
    </row>
    <row r="15" spans="1:2" x14ac:dyDescent="0.6">
      <c r="A15" t="s">
        <v>27</v>
      </c>
      <c r="B15" t="s">
        <v>23</v>
      </c>
    </row>
    <row r="16" spans="1:2" x14ac:dyDescent="0.6">
      <c r="A16" t="s">
        <v>28</v>
      </c>
      <c r="B16" t="s">
        <v>11</v>
      </c>
    </row>
    <row r="17" spans="1:2" x14ac:dyDescent="0.6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2026-10-04T12:22:56Z</dcterms:created>
  <dcterms:modified xsi:type="dcterms:W3CDTF">2026-10-04T08:28:26Z</dcterms:modified>
</cp:coreProperties>
</file>