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<sst xmlns="http://schemas.openxmlformats.org/spreadsheetml/2006/main" count="802" uniqueCount="377">
  <si>
    <t>File opened</t>
  </si>
  <si>
    <t>2026-10-18 14:26:30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</si>
  <si>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</si>
  <si>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</si>
  <si>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</si>
  <si>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</si>
  <si>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</si>
  <si>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</si>
  <si>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</si>
  <si>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</si>
  <si>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</si>
  <si>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</si>
  <si>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</si>
  <si>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</si>
  <si>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</si>
  <si>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</si>
  <si>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</si>
  <si>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</si>
  <si>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</si>
  <si>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</si>
  <si>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</si>
  <si>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</si>
  <si>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</si>
  <si>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</si>
  <si>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</si>
  <si>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</si>
  <si>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</si>
  <si>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</si>
  <si>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</si>
  <si>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14:26:30</t>
  </si>
  <si>
    <t>Stability Definition:	F (FlrLS): Slp&lt;1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</si>
  <si>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</si>
  <si>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</si>
  <si>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</si>
  <si>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</si>
  <si>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</si>
  <si>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</si>
  <si>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</si>
  <si>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</si>
  <si>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</si>
  <si>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</si>
  <si>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</si>
  <si>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</si>
  <si>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</si>
  <si>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</si>
  <si>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</si>
  <si>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</si>
  <si>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</si>
  <si>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</si>
  <si>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</si>
  <si>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</si>
  <si>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</si>
  <si>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</si>
  <si>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</si>
  <si>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</si>
  <si>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</si>
  <si>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</si>
  <si>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</si>
  <si>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</si>
  <si>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</si>
  <si>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</si>
  <si>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</si>
  <si>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</si>
  <si>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</si>
  <si>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</si>
  <si>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</si>
  <si>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</si>
  <si>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</si>
  <si>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</si>
  <si>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</si>
  <si>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</si>
  <si>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</si>
  <si>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</si>
  <si>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</si>
  <si>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</si>
  <si>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</si>
  <si>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</si>
  <si>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</si>
  <si>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</si>
  <si>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</si>
  <si>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</si>
  <si>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</si>
  <si>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</si>
  <si>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</si>
  <si>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</si>
  <si>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</si>
  <si>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</si>
  <si>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</si>
  <si>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</si>
  <si>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</si>
  <si>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</si>
  <si>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</si>
  <si>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</si>
  <si>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</si>
  <si>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</si>
  <si>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</si>
  <si>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</si>
  <si>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</si>
  <si>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</si>
  <si>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</si>
  <si>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</si>
  <si>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</si>
  <si>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</si>
  <si>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</si>
  <si>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</si>
  <si>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</si>
  <si>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</si>
  <si>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</si>
  <si>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</si>
  <si>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</si>
  <si>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</si>
  <si>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</si>
  <si>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</si>
  <si>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</si>
  <si>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</si>
  <si>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</si>
  <si>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</si>
  <si>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</si>
  <si>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</si>
  <si>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</si>
  <si>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</si>
  <si>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</si>
  <si>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</si>
  <si>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</si>
  <si>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</si>
  <si>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</si>
  <si>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</si>
  <si>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</si>
  <si>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</si>
  <si>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</si>
  <si>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</si>
  <si>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</si>
  <si>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</si>
  <si>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</si>
  <si>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</si>
  <si>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</si>
  <si>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</si>
  <si>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</si>
  <si>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</si>
  <si>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</si>
  <si>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</si>
  <si>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</si>
  <si>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</si>
  <si>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</si>
  <si>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</si>
  <si>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</si>
  <si>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</si>
  <si>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</si>
  <si>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</si>
  <si>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</si>
  <si>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</si>
  <si>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</si>
  <si>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</si>
  <si>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</si>
  <si>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</si>
  <si>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</si>
  <si>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</si>
  <si>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</si>
  <si>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</si>
  <si>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</si>
  <si>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</si>
  <si>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</si>
  <si>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</si>
  <si>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</si>
  <si>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</si>
  <si>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</si>
  <si>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</si>
  <si>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</si>
  <si>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</si>
  <si>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</si>
  <si>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</si>
  <si>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</si>
  <si>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</si>
  <si>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</si>
  <si>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</si>
  <si>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</si>
  <si>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</si>
  <si>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</si>
  <si>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</si>
  <si>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</si>
  <si>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</si>
  <si>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</si>
  <si>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</si>
  <si>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</si>
  <si>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</si>
  <si>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</si>
  <si>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</si>
  <si>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</si>
  <si>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</si>
  <si>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</si>
  <si>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</si>
  <si>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</si>
  <si>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</si>
  <si>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</si>
  <si>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</si>
  <si>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</si>
  <si>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</si>
  <si>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</si>
  <si>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</si>
  <si>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</si>
  <si>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</si>
  <si>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</si>
  <si>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</si>
  <si>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</si>
  <si>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</si>
  <si>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</si>
  <si>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</si>
  <si>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</si>
  <si>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</si>
  <si>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</si>
  <si>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</si>
  <si>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</si>
  <si>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</si>
  <si>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</si>
  <si>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</si>
  <si>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</si>
  <si>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</si>
  <si>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</si>
  <si>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</si>
  <si>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</si>
  <si>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</si>
  <si>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</si>
  <si>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</si>
  <si>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</si>
  <si>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</si>
  <si>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</si>
  <si>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</si>
  <si>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</si>
  <si>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</si>
  <si>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</si>
  <si>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</si>
  <si>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</si>
  <si>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</si>
  <si>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</si>
  <si>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</si>
  <si>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</si>
  <si>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</si>
  <si>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</si>
  <si>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</si>
  <si>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</si>
  <si>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</si>
  <si>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</si>
  <si>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</si>
  <si>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</si>
  <si>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</si>
  <si>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</si>
  <si>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</si>
  <si>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</si>
  <si>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</si>
  <si>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</si>
  <si>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</si>
  <si>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</si>
  <si>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</si>
  <si>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</si>
  <si>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</si>
  <si>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</si>
  <si>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</si>
  <si>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</si>
  <si>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</si>
  <si>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</si>
  <si>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</si>
  <si>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</si>
  <si>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</si>
  <si>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</si>
  <si>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</si>
  <si>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</si>
  <si>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</si>
  <si>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</si>
  <si>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</si>
  <si>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</si>
  <si>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</si>
  <si>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</si>
  <si>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</si>
  <si>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</si>
  <si>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</si>
  <si>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</si>
  <si>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</si>
  <si>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</si>
  <si>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</si>
  <si>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</si>
  <si>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</si>
  <si>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</si>
  <si>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</si>
  <si>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</si>
  <si>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</si>
  <si>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</si>
  <si>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</si>
  <si>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</si>
  <si>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</si>
  <si>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</si>
  <si>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</si>
  <si>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</si>
  <si>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</si>
  <si>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</si>
  <si>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</si>
  <si>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</si>
  <si>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</si>
  <si>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</si>
  <si>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</si>
  <si>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</si>
  <si>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</si>
  <si>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</si>
  <si>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</si>
  <si>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</si>
  <si>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</si>
  <si>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</si>
  <si>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</si>
  <si>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</si>
  <si>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</si>
  <si>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</si>
  <si>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</si>
  <si>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</si>
  <si>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</si>
  <si>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</si>
  <si>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</si>
  <si>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</si>
  <si>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</si>
  <si>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</si>
  <si>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</si>
  <si>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</si>
  <si>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</si>
  <si>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</si>
  <si>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</si>
  <si>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</si>
  <si>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</si>
  <si>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</si>
  <si>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</si>
  <si>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</si>
  <si>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</si>
  <si>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</si>
  <si>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</si>
  <si>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</si>
  <si>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</si>
  <si>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</si>
  <si>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</si>
  <si>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</si>
  <si>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</si>
  <si>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</si>
  <si>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</si>
  <si>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</si>
  <si>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</si>
  <si>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20261018 15:02:39</t>
  </si>
  <si>
    <t>15:02:39</t>
  </si>
  <si>
    <t>MPF-238-20261018-13_18_12</t>
  </si>
  <si>
    <t>MPF-239-20261018-15_02_44</t>
  </si>
  <si>
    <t>-</t>
  </si>
  <si>
    <t>0: Broadleaf</t>
  </si>
  <si>
    <t>14:59:01</t>
  </si>
  <si>
    <t>3/3</t>
  </si>
  <si>
    <t>20261018 15:04:50</t>
  </si>
  <si>
    <t>15:04:50</t>
  </si>
  <si>
    <t>MPF-240-20261018-15_04_55</t>
  </si>
  <si>
    <t>20261018 15:06:53</t>
  </si>
  <si>
    <t>15:06:53</t>
  </si>
  <si>
    <t>MPF-241-20261018-15_06_58</t>
  </si>
  <si>
    <t>20261018 15:09:01</t>
  </si>
  <si>
    <t>15:09:01</t>
  </si>
  <si>
    <t>MPF-242-20261018-15_09_06</t>
  </si>
  <si>
    <t>20261018 15:11:10</t>
  </si>
  <si>
    <t>15:11:10</t>
  </si>
  <si>
    <t>MPF-243-20261018-15_11_15</t>
  </si>
  <si>
    <t>20261018 15:13:44</t>
  </si>
  <si>
    <t>15:13:44</t>
  </si>
  <si>
    <t>MPF-244-20261018-15_13_49</t>
  </si>
  <si>
    <t>15:12:42</t>
  </si>
  <si>
    <t>20261018 15:15:47</t>
  </si>
  <si>
    <t>15:15:47</t>
  </si>
  <si>
    <t>MPF-245-20261018-15_15_52</t>
  </si>
  <si>
    <t>15:15:01</t>
  </si>
  <si>
    <t>20261018 15:18:14</t>
  </si>
  <si>
    <t>15:18:14</t>
  </si>
  <si>
    <t>MPF-246-20261018-15_18_19</t>
  </si>
  <si>
    <t>15:16:56</t>
  </si>
  <si>
    <t>20261018 15:20:35</t>
  </si>
  <si>
    <t>15:20:35</t>
  </si>
  <si>
    <t>MPF-247-20261018-15_20_40</t>
  </si>
  <si>
    <t>15:19:24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</si>
</sst>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H25"/>
  <sheetViews>
    <sheetView tabSelected="1" workbookViewId="0"/>
  </sheetViews>
  <sheetFormatPr defaultRowHeight="15"/>
  <sheetData>
    <row r="2" spans="1:216">
      <c r="A2" t="s">
        <v>31</v>
      </c>
      <c r="B2" t="s">
        <v>32</v>
      </c>
      <c r="C2" t="s">
        <v>34</v>
      </c>
    </row>
    <row r="3" spans="1:216">
      <c r="B3" t="s">
        <v>33</v>
      </c>
      <c r="C3">
        <v>21</v>
      </c>
    </row>
    <row r="4" spans="1:21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1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>
      <c r="B7">
        <v>0</v>
      </c>
      <c r="C7">
        <v>1</v>
      </c>
      <c r="D7">
        <v>0</v>
      </c>
      <c r="E7">
        <v>0</v>
      </c>
    </row>
    <row r="8" spans="1:21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1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>
      <c r="B11">
        <v>0</v>
      </c>
      <c r="C11">
        <v>0</v>
      </c>
      <c r="D11">
        <v>0</v>
      </c>
      <c r="E11">
        <v>0</v>
      </c>
      <c r="F11">
        <v>1</v>
      </c>
    </row>
    <row r="12" spans="1:21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1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>
      <c r="A17">
        <v>1</v>
      </c>
      <c r="B17">
        <v>1792303359.1</v>
      </c>
      <c r="C17">
        <v>0</v>
      </c>
      <c r="D17" t="s">
        <v>341</v>
      </c>
      <c r="E17" t="s">
        <v>342</v>
      </c>
      <c r="F17">
        <v>5</v>
      </c>
      <c r="G17">
        <v>1792303355.6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343</v>
      </c>
      <c r="AK17">
        <v>8114.5</v>
      </c>
      <c r="AL17">
        <v>170.695192307692</v>
      </c>
      <c r="AM17">
        <v>706.844106823418</v>
      </c>
      <c r="AN17">
        <f>1-AL17/AM17</f>
        <v>0</v>
      </c>
      <c r="AO17">
        <v>-1.28562877276755</v>
      </c>
      <c r="AP17" t="s">
        <v>344</v>
      </c>
      <c r="AQ17">
        <v>8156.83</v>
      </c>
      <c r="AR17">
        <v>225.355346153846</v>
      </c>
      <c r="AS17">
        <v>310.409700086292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345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239</v>
      </c>
      <c r="BM17">
        <v>290</v>
      </c>
      <c r="BN17">
        <v>287.97</v>
      </c>
      <c r="BO17">
        <v>245</v>
      </c>
      <c r="BP17">
        <v>8156.83</v>
      </c>
      <c r="BQ17">
        <v>287.62</v>
      </c>
      <c r="BR17">
        <v>0.35</v>
      </c>
      <c r="BS17">
        <v>300</v>
      </c>
      <c r="BT17">
        <v>19.1</v>
      </c>
      <c r="BU17">
        <v>310.409700086292</v>
      </c>
      <c r="BV17">
        <v>2.80340817965171</v>
      </c>
      <c r="BW17">
        <v>-18.5912171363375</v>
      </c>
      <c r="BX17">
        <v>2.09223149124672</v>
      </c>
      <c r="BY17">
        <v>0.738215017249736</v>
      </c>
      <c r="BZ17">
        <v>-0.00439478865406007</v>
      </c>
      <c r="CA17">
        <v>290</v>
      </c>
      <c r="CB17">
        <v>287.49</v>
      </c>
      <c r="CC17">
        <v>765</v>
      </c>
      <c r="CD17">
        <v>8149.78</v>
      </c>
      <c r="CE17">
        <v>287.6</v>
      </c>
      <c r="CF17">
        <v>-0.11</v>
      </c>
      <c r="CT17">
        <f>$B$11*DR17+$C$11*DS17+$F$11*DT17*(1-DW17)</f>
        <v>0</v>
      </c>
      <c r="CU17">
        <f>CT17*CV17</f>
        <v>0</v>
      </c>
      <c r="CV17">
        <f>($B$11*$D$9+$C$11*$D$9+$F$11*((EG17+DY17)/MAX(EG17+DY17+EH17, 0.1)*$I$9+EH17/MAX(EG17+DY17+EH17, 0.1)*$J$9))/($B$11+$C$11+$F$11)</f>
        <v>0</v>
      </c>
      <c r="CW17">
        <f>($B$11*$K$9+$C$11*$K$9+$F$11*((EG17+DY17)/MAX(EG17+DY17+EH17, 0.1)*$P$9+EH17/MAX(EG17+DY17+EH17, 0.1)*$Q$9))/($B$11+$C$11+$F$11)</f>
        <v>0</v>
      </c>
      <c r="CX17">
        <v>2</v>
      </c>
      <c r="CY17">
        <v>0.5</v>
      </c>
      <c r="CZ17" t="s">
        <v>346</v>
      </c>
      <c r="DA17">
        <v>2</v>
      </c>
      <c r="DB17">
        <v>1792303355.6</v>
      </c>
      <c r="DC17">
        <v>400.007166666667</v>
      </c>
      <c r="DD17">
        <v>409.358166666667</v>
      </c>
      <c r="DE17">
        <v>16.9931333333333</v>
      </c>
      <c r="DF17">
        <v>15.4708</v>
      </c>
      <c r="DG17">
        <v>400.1235</v>
      </c>
      <c r="DH17">
        <v>17.1328166666667</v>
      </c>
      <c r="DI17">
        <v>500.014166666667</v>
      </c>
      <c r="DJ17">
        <v>100.888666666667</v>
      </c>
      <c r="DK17">
        <v>0.0999595833333333</v>
      </c>
      <c r="DL17">
        <v>24.7345</v>
      </c>
      <c r="DM17">
        <v>25.0112666666667</v>
      </c>
      <c r="DN17">
        <v>999.9</v>
      </c>
      <c r="DO17">
        <v>0</v>
      </c>
      <c r="DP17">
        <v>0</v>
      </c>
      <c r="DQ17">
        <v>9997.605</v>
      </c>
      <c r="DR17">
        <v>0</v>
      </c>
      <c r="DS17">
        <v>7.17137</v>
      </c>
      <c r="DT17">
        <v>1499.95833333333</v>
      </c>
      <c r="DU17">
        <v>0.972999666666667</v>
      </c>
      <c r="DV17">
        <v>0.0270005666666667</v>
      </c>
      <c r="DW17">
        <v>0</v>
      </c>
      <c r="DX17">
        <v>225.340333333333</v>
      </c>
      <c r="DY17">
        <v>4.99999</v>
      </c>
      <c r="DZ17">
        <v>3347.585</v>
      </c>
      <c r="EA17">
        <v>14882.15</v>
      </c>
      <c r="EB17">
        <v>36.625</v>
      </c>
      <c r="EC17">
        <v>38.25</v>
      </c>
      <c r="ED17">
        <v>37.25</v>
      </c>
      <c r="EE17">
        <v>37.687</v>
      </c>
      <c r="EF17">
        <v>38.208</v>
      </c>
      <c r="EG17">
        <v>1454.59333333333</v>
      </c>
      <c r="EH17">
        <v>40.365</v>
      </c>
      <c r="EI17">
        <v>0</v>
      </c>
      <c r="EJ17">
        <v>6270.20000004768</v>
      </c>
      <c r="EK17">
        <v>0</v>
      </c>
      <c r="EL17">
        <v>225.355346153846</v>
      </c>
      <c r="EM17">
        <v>-0.0868034199380952</v>
      </c>
      <c r="EN17">
        <v>-3.17811966622177</v>
      </c>
      <c r="EO17">
        <v>3347.8</v>
      </c>
      <c r="EP17">
        <v>15</v>
      </c>
      <c r="EQ17">
        <v>1792303141</v>
      </c>
      <c r="ER17" t="s">
        <v>347</v>
      </c>
      <c r="ES17">
        <v>1792303135</v>
      </c>
      <c r="ET17">
        <v>1792303141</v>
      </c>
      <c r="EU17">
        <v>54</v>
      </c>
      <c r="EV17">
        <v>-0.452</v>
      </c>
      <c r="EW17">
        <v>0.007</v>
      </c>
      <c r="EX17">
        <v>-0.113</v>
      </c>
      <c r="EY17">
        <v>-0.158</v>
      </c>
      <c r="EZ17">
        <v>409</v>
      </c>
      <c r="FA17">
        <v>15</v>
      </c>
      <c r="FB17">
        <v>0.22</v>
      </c>
      <c r="FC17">
        <v>0.04</v>
      </c>
      <c r="FD17">
        <v>21.8056571177032</v>
      </c>
      <c r="FE17">
        <v>-0.26971634944483</v>
      </c>
      <c r="FF17">
        <v>0.0915710245442915</v>
      </c>
      <c r="FG17">
        <v>1</v>
      </c>
      <c r="FH17">
        <v>-9.34316047619048</v>
      </c>
      <c r="FI17">
        <v>0.127390129870119</v>
      </c>
      <c r="FJ17">
        <v>0.0365851608580766</v>
      </c>
      <c r="FK17">
        <v>1</v>
      </c>
      <c r="FL17">
        <v>225.404529411765</v>
      </c>
      <c r="FM17">
        <v>-0.656256682123414</v>
      </c>
      <c r="FN17">
        <v>0.39137955365259</v>
      </c>
      <c r="FO17">
        <v>1</v>
      </c>
      <c r="FP17">
        <v>3</v>
      </c>
      <c r="FQ17">
        <v>3</v>
      </c>
      <c r="FR17" t="s">
        <v>348</v>
      </c>
      <c r="FS17">
        <v>100</v>
      </c>
      <c r="FT17">
        <v>100</v>
      </c>
      <c r="FU17">
        <v>-0.116</v>
      </c>
      <c r="FV17">
        <v>-0.1397</v>
      </c>
      <c r="FW17">
        <v>-0.1911772093269</v>
      </c>
      <c r="FX17">
        <v>-6.16732984266029e-05</v>
      </c>
      <c r="FY17">
        <v>6.19398071816742e-07</v>
      </c>
      <c r="FZ17">
        <v>3.19222985850634e-12</v>
      </c>
      <c r="GA17">
        <v>-0.0532272137875344</v>
      </c>
      <c r="GB17">
        <v>-0.0257783215012692</v>
      </c>
      <c r="GC17">
        <v>0.00133723821780375</v>
      </c>
      <c r="GD17">
        <v>-7.42160749481374e-06</v>
      </c>
      <c r="GE17">
        <v>7</v>
      </c>
      <c r="GF17">
        <v>2154</v>
      </c>
      <c r="GG17">
        <v>2</v>
      </c>
      <c r="GH17">
        <v>20</v>
      </c>
      <c r="GI17">
        <v>3.7</v>
      </c>
      <c r="GJ17">
        <v>3.6</v>
      </c>
      <c r="GK17">
        <v>1.05957</v>
      </c>
      <c r="GL17">
        <v>2.65625</v>
      </c>
      <c r="GM17">
        <v>1.65161</v>
      </c>
      <c r="GN17">
        <v>2.27417</v>
      </c>
      <c r="GO17">
        <v>1.5979</v>
      </c>
      <c r="GP17">
        <v>2.64038</v>
      </c>
      <c r="GQ17">
        <v>35.801</v>
      </c>
      <c r="GR17">
        <v>16.0496</v>
      </c>
      <c r="GS17">
        <v>18</v>
      </c>
      <c r="GT17">
        <v>504.567</v>
      </c>
      <c r="GU17">
        <v>521.858</v>
      </c>
      <c r="GV17">
        <v>20.7804</v>
      </c>
      <c r="GW17">
        <v>29.5343</v>
      </c>
      <c r="GX17">
        <v>30.0001</v>
      </c>
      <c r="GY17">
        <v>29.7142</v>
      </c>
      <c r="GZ17">
        <v>29.7746</v>
      </c>
      <c r="HA17">
        <v>21.1943</v>
      </c>
      <c r="HB17">
        <v>22.2143</v>
      </c>
      <c r="HC17">
        <v>7.66666</v>
      </c>
      <c r="HD17">
        <v>20.7699</v>
      </c>
      <c r="HE17">
        <v>409.385</v>
      </c>
      <c r="HF17">
        <v>15.4901</v>
      </c>
      <c r="HG17">
        <v>98.0177</v>
      </c>
      <c r="HH17">
        <v>94.5184</v>
      </c>
    </row>
    <row r="18" spans="1:216">
      <c r="A18">
        <v>2</v>
      </c>
      <c r="B18">
        <v>1792303490.1</v>
      </c>
      <c r="C18">
        <v>131</v>
      </c>
      <c r="D18" t="s">
        <v>349</v>
      </c>
      <c r="E18" t="s">
        <v>350</v>
      </c>
      <c r="F18">
        <v>5</v>
      </c>
      <c r="G18">
        <v>1792303486.6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343</v>
      </c>
      <c r="AK18">
        <v>8114.5</v>
      </c>
      <c r="AL18">
        <v>170.695192307692</v>
      </c>
      <c r="AM18">
        <v>706.844106823418</v>
      </c>
      <c r="AN18">
        <f>1-AL18/AM18</f>
        <v>0</v>
      </c>
      <c r="AO18">
        <v>-1.28562877276755</v>
      </c>
      <c r="AP18" t="s">
        <v>351</v>
      </c>
      <c r="AQ18">
        <v>8161.91</v>
      </c>
      <c r="AR18">
        <v>225.2028</v>
      </c>
      <c r="AS18">
        <v>340.102658005906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345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240</v>
      </c>
      <c r="BM18">
        <v>290</v>
      </c>
      <c r="BN18">
        <v>310.8</v>
      </c>
      <c r="BO18">
        <v>155</v>
      </c>
      <c r="BP18">
        <v>8161.91</v>
      </c>
      <c r="BQ18">
        <v>310.73</v>
      </c>
      <c r="BR18">
        <v>0.07</v>
      </c>
      <c r="BS18">
        <v>300</v>
      </c>
      <c r="BT18">
        <v>19.1</v>
      </c>
      <c r="BU18">
        <v>340.102658005906</v>
      </c>
      <c r="BV18">
        <v>2.90859320501891</v>
      </c>
      <c r="BW18">
        <v>-23.9761171451646</v>
      </c>
      <c r="BX18">
        <v>2.16144079815409</v>
      </c>
      <c r="BY18">
        <v>0.814627229893946</v>
      </c>
      <c r="BZ18">
        <v>-0.00459647296996664</v>
      </c>
      <c r="CA18">
        <v>290</v>
      </c>
      <c r="CB18">
        <v>309.33</v>
      </c>
      <c r="CC18">
        <v>625</v>
      </c>
      <c r="CD18">
        <v>8153.28</v>
      </c>
      <c r="CE18">
        <v>310.7</v>
      </c>
      <c r="CF18">
        <v>-1.37</v>
      </c>
      <c r="CT18">
        <f>$B$11*DR18+$C$11*DS18+$F$11*DT18*(1-DW18)</f>
        <v>0</v>
      </c>
      <c r="CU18">
        <f>CT18*CV18</f>
        <v>0</v>
      </c>
      <c r="CV18">
        <f>($B$11*$D$9+$C$11*$D$9+$F$11*((EG18+DY18)/MAX(EG18+DY18+EH18, 0.1)*$I$9+EH18/MAX(EG18+DY18+EH18, 0.1)*$J$9))/($B$11+$C$11+$F$11)</f>
        <v>0</v>
      </c>
      <c r="CW18">
        <f>($B$11*$K$9+$C$11*$K$9+$F$11*((EG18+DY18)/MAX(EG18+DY18+EH18, 0.1)*$P$9+EH18/MAX(EG18+DY18+EH18, 0.1)*$Q$9))/($B$11+$C$11+$F$11)</f>
        <v>0</v>
      </c>
      <c r="CX18">
        <v>2</v>
      </c>
      <c r="CY18">
        <v>0.5</v>
      </c>
      <c r="CZ18" t="s">
        <v>346</v>
      </c>
      <c r="DA18">
        <v>2</v>
      </c>
      <c r="DB18">
        <v>1792303486.6</v>
      </c>
      <c r="DC18">
        <v>400.063666666667</v>
      </c>
      <c r="DD18">
        <v>408.930833333333</v>
      </c>
      <c r="DE18">
        <v>17.2215833333333</v>
      </c>
      <c r="DF18">
        <v>15.911</v>
      </c>
      <c r="DG18">
        <v>400.180333333333</v>
      </c>
      <c r="DH18">
        <v>17.3581666666667</v>
      </c>
      <c r="DI18">
        <v>499.988333333333</v>
      </c>
      <c r="DJ18">
        <v>100.8725</v>
      </c>
      <c r="DK18">
        <v>0.0998316833333333</v>
      </c>
      <c r="DL18">
        <v>25.0844666666667</v>
      </c>
      <c r="DM18">
        <v>25.0509833333333</v>
      </c>
      <c r="DN18">
        <v>999.9</v>
      </c>
      <c r="DO18">
        <v>0</v>
      </c>
      <c r="DP18">
        <v>0</v>
      </c>
      <c r="DQ18">
        <v>9984.375</v>
      </c>
      <c r="DR18">
        <v>0</v>
      </c>
      <c r="DS18">
        <v>7.17137</v>
      </c>
      <c r="DT18">
        <v>1200.00833333333</v>
      </c>
      <c r="DU18">
        <v>0.967006666666667</v>
      </c>
      <c r="DV18">
        <v>0.0329932166666667</v>
      </c>
      <c r="DW18">
        <v>0</v>
      </c>
      <c r="DX18">
        <v>225.262333333333</v>
      </c>
      <c r="DY18">
        <v>4.99999</v>
      </c>
      <c r="DZ18">
        <v>2672.19</v>
      </c>
      <c r="EA18">
        <v>11872.7666666667</v>
      </c>
      <c r="EB18">
        <v>36.3225</v>
      </c>
      <c r="EC18">
        <v>38.2395</v>
      </c>
      <c r="ED18">
        <v>37.1663333333333</v>
      </c>
      <c r="EE18">
        <v>37.6456666666667</v>
      </c>
      <c r="EF18">
        <v>38.062</v>
      </c>
      <c r="EG18">
        <v>1155.57833333333</v>
      </c>
      <c r="EH18">
        <v>39.43</v>
      </c>
      <c r="EI18">
        <v>0</v>
      </c>
      <c r="EJ18">
        <v>129.5</v>
      </c>
      <c r="EK18">
        <v>0</v>
      </c>
      <c r="EL18">
        <v>225.2028</v>
      </c>
      <c r="EM18">
        <v>1.37423074894789</v>
      </c>
      <c r="EN18">
        <v>1.87307692825543</v>
      </c>
      <c r="EO18">
        <v>2672.0072</v>
      </c>
      <c r="EP18">
        <v>15</v>
      </c>
      <c r="EQ18">
        <v>1792303141</v>
      </c>
      <c r="ER18" t="s">
        <v>347</v>
      </c>
      <c r="ES18">
        <v>1792303135</v>
      </c>
      <c r="ET18">
        <v>1792303141</v>
      </c>
      <c r="EU18">
        <v>54</v>
      </c>
      <c r="EV18">
        <v>-0.452</v>
      </c>
      <c r="EW18">
        <v>0.007</v>
      </c>
      <c r="EX18">
        <v>-0.113</v>
      </c>
      <c r="EY18">
        <v>-0.158</v>
      </c>
      <c r="EZ18">
        <v>409</v>
      </c>
      <c r="FA18">
        <v>15</v>
      </c>
      <c r="FB18">
        <v>0.22</v>
      </c>
      <c r="FC18">
        <v>0.04</v>
      </c>
      <c r="FD18">
        <v>20.8720033283986</v>
      </c>
      <c r="FE18">
        <v>0.204533259676698</v>
      </c>
      <c r="FF18">
        <v>0.0808787557010074</v>
      </c>
      <c r="FG18">
        <v>1</v>
      </c>
      <c r="FH18">
        <v>-8.8948765</v>
      </c>
      <c r="FI18">
        <v>0.0722945864661765</v>
      </c>
      <c r="FJ18">
        <v>0.033912686457283</v>
      </c>
      <c r="FK18">
        <v>1</v>
      </c>
      <c r="FL18">
        <v>225.165823529412</v>
      </c>
      <c r="FM18">
        <v>0.158808241511259</v>
      </c>
      <c r="FN18">
        <v>0.308234581274434</v>
      </c>
      <c r="FO18">
        <v>1</v>
      </c>
      <c r="FP18">
        <v>3</v>
      </c>
      <c r="FQ18">
        <v>3</v>
      </c>
      <c r="FR18" t="s">
        <v>348</v>
      </c>
      <c r="FS18">
        <v>100</v>
      </c>
      <c r="FT18">
        <v>100</v>
      </c>
      <c r="FU18">
        <v>-0.117</v>
      </c>
      <c r="FV18">
        <v>-0.1367</v>
      </c>
      <c r="FW18">
        <v>-0.1911772093269</v>
      </c>
      <c r="FX18">
        <v>-6.16732984266029e-05</v>
      </c>
      <c r="FY18">
        <v>6.19398071816742e-07</v>
      </c>
      <c r="FZ18">
        <v>3.19222985850634e-12</v>
      </c>
      <c r="GA18">
        <v>-0.0532272137875344</v>
      </c>
      <c r="GB18">
        <v>-0.0257783215012692</v>
      </c>
      <c r="GC18">
        <v>0.00133723821780375</v>
      </c>
      <c r="GD18">
        <v>-7.42160749481374e-06</v>
      </c>
      <c r="GE18">
        <v>7</v>
      </c>
      <c r="GF18">
        <v>2154</v>
      </c>
      <c r="GG18">
        <v>2</v>
      </c>
      <c r="GH18">
        <v>20</v>
      </c>
      <c r="GI18">
        <v>5.9</v>
      </c>
      <c r="GJ18">
        <v>5.8</v>
      </c>
      <c r="GK18">
        <v>1.05835</v>
      </c>
      <c r="GL18">
        <v>2.65015</v>
      </c>
      <c r="GM18">
        <v>1.65161</v>
      </c>
      <c r="GN18">
        <v>2.27417</v>
      </c>
      <c r="GO18">
        <v>1.5979</v>
      </c>
      <c r="GP18">
        <v>2.65015</v>
      </c>
      <c r="GQ18">
        <v>35.7311</v>
      </c>
      <c r="GR18">
        <v>16.0321</v>
      </c>
      <c r="GS18">
        <v>18</v>
      </c>
      <c r="GT18">
        <v>504.435</v>
      </c>
      <c r="GU18">
        <v>522.605</v>
      </c>
      <c r="GV18">
        <v>21.8363</v>
      </c>
      <c r="GW18">
        <v>29.5317</v>
      </c>
      <c r="GX18">
        <v>30.0017</v>
      </c>
      <c r="GY18">
        <v>29.7167</v>
      </c>
      <c r="GZ18">
        <v>29.7774</v>
      </c>
      <c r="HA18">
        <v>21.1788</v>
      </c>
      <c r="HB18">
        <v>19.5982</v>
      </c>
      <c r="HC18">
        <v>8.0578</v>
      </c>
      <c r="HD18">
        <v>21.8431</v>
      </c>
      <c r="HE18">
        <v>408.804</v>
      </c>
      <c r="HF18">
        <v>16.0716</v>
      </c>
      <c r="HG18">
        <v>98.0105</v>
      </c>
      <c r="HH18">
        <v>94.5101</v>
      </c>
    </row>
    <row r="19" spans="1:216">
      <c r="A19">
        <v>3</v>
      </c>
      <c r="B19">
        <v>1792303613.1</v>
      </c>
      <c r="C19">
        <v>254</v>
      </c>
      <c r="D19" t="s">
        <v>352</v>
      </c>
      <c r="E19" t="s">
        <v>353</v>
      </c>
      <c r="F19">
        <v>5</v>
      </c>
      <c r="G19">
        <v>1792303609.6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343</v>
      </c>
      <c r="AK19">
        <v>8114.5</v>
      </c>
      <c r="AL19">
        <v>170.695192307692</v>
      </c>
      <c r="AM19">
        <v>706.844106823418</v>
      </c>
      <c r="AN19">
        <f>1-AL19/AM19</f>
        <v>0</v>
      </c>
      <c r="AO19">
        <v>-1.28562877276755</v>
      </c>
      <c r="AP19" t="s">
        <v>354</v>
      </c>
      <c r="AQ19">
        <v>8163.47</v>
      </c>
      <c r="AR19">
        <v>232.5796</v>
      </c>
      <c r="AS19">
        <v>402.176452151216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345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241</v>
      </c>
      <c r="BM19">
        <v>290</v>
      </c>
      <c r="BN19">
        <v>363.36</v>
      </c>
      <c r="BO19">
        <v>185</v>
      </c>
      <c r="BP19">
        <v>8163.47</v>
      </c>
      <c r="BQ19">
        <v>362.15</v>
      </c>
      <c r="BR19">
        <v>1.21</v>
      </c>
      <c r="BS19">
        <v>300</v>
      </c>
      <c r="BT19">
        <v>19.1</v>
      </c>
      <c r="BU19">
        <v>402.176452151216</v>
      </c>
      <c r="BV19">
        <v>2.58134239147121</v>
      </c>
      <c r="BW19">
        <v>-32.6758889690356</v>
      </c>
      <c r="BX19">
        <v>1.91035622784001</v>
      </c>
      <c r="BY19">
        <v>0.912654905777414</v>
      </c>
      <c r="BZ19">
        <v>-0.00479874171301446</v>
      </c>
      <c r="CA19">
        <v>290</v>
      </c>
      <c r="CB19">
        <v>357.66</v>
      </c>
      <c r="CC19">
        <v>625</v>
      </c>
      <c r="CD19">
        <v>8156.11</v>
      </c>
      <c r="CE19">
        <v>362.11</v>
      </c>
      <c r="CF19">
        <v>-4.45</v>
      </c>
      <c r="CT19">
        <f>$B$11*DR19+$C$11*DS19+$F$11*DT19*(1-DW19)</f>
        <v>0</v>
      </c>
      <c r="CU19">
        <f>CT19*CV19</f>
        <v>0</v>
      </c>
      <c r="CV19">
        <f>($B$11*$D$9+$C$11*$D$9+$F$11*((EG19+DY19)/MAX(EG19+DY19+EH19, 0.1)*$I$9+EH19/MAX(EG19+DY19+EH19, 0.1)*$J$9))/($B$11+$C$11+$F$11)</f>
        <v>0</v>
      </c>
      <c r="CW19">
        <f>($B$11*$K$9+$C$11*$K$9+$F$11*((EG19+DY19)/MAX(EG19+DY19+EH19, 0.1)*$P$9+EH19/MAX(EG19+DY19+EH19, 0.1)*$Q$9))/($B$11+$C$11+$F$11)</f>
        <v>0</v>
      </c>
      <c r="CX19">
        <v>2</v>
      </c>
      <c r="CY19">
        <v>0.5</v>
      </c>
      <c r="CZ19" t="s">
        <v>346</v>
      </c>
      <c r="DA19">
        <v>2</v>
      </c>
      <c r="DB19">
        <v>1792303609.6</v>
      </c>
      <c r="DC19">
        <v>400.042666666667</v>
      </c>
      <c r="DD19">
        <v>408.224166666667</v>
      </c>
      <c r="DE19">
        <v>17.5089666666667</v>
      </c>
      <c r="DF19">
        <v>16.2840333333333</v>
      </c>
      <c r="DG19">
        <v>400.159166666667</v>
      </c>
      <c r="DH19">
        <v>17.64155</v>
      </c>
      <c r="DI19">
        <v>500.016166666667</v>
      </c>
      <c r="DJ19">
        <v>100.873333333333</v>
      </c>
      <c r="DK19">
        <v>0.1000932</v>
      </c>
      <c r="DL19">
        <v>25.3708166666667</v>
      </c>
      <c r="DM19">
        <v>25.0482833333333</v>
      </c>
      <c r="DN19">
        <v>999.9</v>
      </c>
      <c r="DO19">
        <v>0</v>
      </c>
      <c r="DP19">
        <v>0</v>
      </c>
      <c r="DQ19">
        <v>9963.03</v>
      </c>
      <c r="DR19">
        <v>0</v>
      </c>
      <c r="DS19">
        <v>7.17137</v>
      </c>
      <c r="DT19">
        <v>900.0075</v>
      </c>
      <c r="DU19">
        <v>0.956002</v>
      </c>
      <c r="DV19">
        <v>0.0439984</v>
      </c>
      <c r="DW19">
        <v>0</v>
      </c>
      <c r="DX19">
        <v>232.606166666667</v>
      </c>
      <c r="DY19">
        <v>4.99999</v>
      </c>
      <c r="DZ19">
        <v>2062.18</v>
      </c>
      <c r="EA19">
        <v>8859.96166666667</v>
      </c>
      <c r="EB19">
        <v>35.8435</v>
      </c>
      <c r="EC19">
        <v>38.062</v>
      </c>
      <c r="ED19">
        <v>36.875</v>
      </c>
      <c r="EE19">
        <v>37.5103333333333</v>
      </c>
      <c r="EF19">
        <v>37.75</v>
      </c>
      <c r="EG19">
        <v>855.628333333333</v>
      </c>
      <c r="EH19">
        <v>39.38</v>
      </c>
      <c r="EI19">
        <v>0</v>
      </c>
      <c r="EJ19">
        <v>121.900000095367</v>
      </c>
      <c r="EK19">
        <v>0</v>
      </c>
      <c r="EL19">
        <v>232.5796</v>
      </c>
      <c r="EM19">
        <v>0.622384596261221</v>
      </c>
      <c r="EN19">
        <v>3.71461538102755</v>
      </c>
      <c r="EO19">
        <v>2061.878</v>
      </c>
      <c r="EP19">
        <v>15</v>
      </c>
      <c r="EQ19">
        <v>1792303141</v>
      </c>
      <c r="ER19" t="s">
        <v>347</v>
      </c>
      <c r="ES19">
        <v>1792303135</v>
      </c>
      <c r="ET19">
        <v>1792303141</v>
      </c>
      <c r="EU19">
        <v>54</v>
      </c>
      <c r="EV19">
        <v>-0.452</v>
      </c>
      <c r="EW19">
        <v>0.007</v>
      </c>
      <c r="EX19">
        <v>-0.113</v>
      </c>
      <c r="EY19">
        <v>-0.158</v>
      </c>
      <c r="EZ19">
        <v>409</v>
      </c>
      <c r="FA19">
        <v>15</v>
      </c>
      <c r="FB19">
        <v>0.22</v>
      </c>
      <c r="FC19">
        <v>0.04</v>
      </c>
      <c r="FD19">
        <v>19.2735466253648</v>
      </c>
      <c r="FE19">
        <v>0.231460877331037</v>
      </c>
      <c r="FF19">
        <v>0.14838969295039</v>
      </c>
      <c r="FG19">
        <v>1</v>
      </c>
      <c r="FH19">
        <v>-8.20457380952381</v>
      </c>
      <c r="FI19">
        <v>-0.0547620779220917</v>
      </c>
      <c r="FJ19">
        <v>0.0566173373645339</v>
      </c>
      <c r="FK19">
        <v>1</v>
      </c>
      <c r="FL19">
        <v>232.507147058824</v>
      </c>
      <c r="FM19">
        <v>0.791428570233577</v>
      </c>
      <c r="FN19">
        <v>0.28134625227257</v>
      </c>
      <c r="FO19">
        <v>1</v>
      </c>
      <c r="FP19">
        <v>3</v>
      </c>
      <c r="FQ19">
        <v>3</v>
      </c>
      <c r="FR19" t="s">
        <v>348</v>
      </c>
      <c r="FS19">
        <v>100</v>
      </c>
      <c r="FT19">
        <v>100</v>
      </c>
      <c r="FU19">
        <v>-0.117</v>
      </c>
      <c r="FV19">
        <v>-0.1326</v>
      </c>
      <c r="FW19">
        <v>-0.1911772093269</v>
      </c>
      <c r="FX19">
        <v>-6.16732984266029e-05</v>
      </c>
      <c r="FY19">
        <v>6.19398071816742e-07</v>
      </c>
      <c r="FZ19">
        <v>3.19222985850634e-12</v>
      </c>
      <c r="GA19">
        <v>-0.0532272137875344</v>
      </c>
      <c r="GB19">
        <v>-0.0257783215012692</v>
      </c>
      <c r="GC19">
        <v>0.00133723821780375</v>
      </c>
      <c r="GD19">
        <v>-7.42160749481374e-06</v>
      </c>
      <c r="GE19">
        <v>7</v>
      </c>
      <c r="GF19">
        <v>2154</v>
      </c>
      <c r="GG19">
        <v>2</v>
      </c>
      <c r="GH19">
        <v>20</v>
      </c>
      <c r="GI19">
        <v>8</v>
      </c>
      <c r="GJ19">
        <v>7.9</v>
      </c>
      <c r="GK19">
        <v>1.05713</v>
      </c>
      <c r="GL19">
        <v>2.65869</v>
      </c>
      <c r="GM19">
        <v>1.65161</v>
      </c>
      <c r="GN19">
        <v>2.27295</v>
      </c>
      <c r="GO19">
        <v>1.5979</v>
      </c>
      <c r="GP19">
        <v>2.62817</v>
      </c>
      <c r="GQ19">
        <v>35.6613</v>
      </c>
      <c r="GR19">
        <v>16.0233</v>
      </c>
      <c r="GS19">
        <v>18</v>
      </c>
      <c r="GT19">
        <v>504.191</v>
      </c>
      <c r="GU19">
        <v>523.495</v>
      </c>
      <c r="GV19">
        <v>23.0779</v>
      </c>
      <c r="GW19">
        <v>29.5317</v>
      </c>
      <c r="GX19">
        <v>30.0105</v>
      </c>
      <c r="GY19">
        <v>29.7167</v>
      </c>
      <c r="GZ19">
        <v>29.7774</v>
      </c>
      <c r="HA19">
        <v>21.1524</v>
      </c>
      <c r="HB19">
        <v>18.3885</v>
      </c>
      <c r="HC19">
        <v>9.99434</v>
      </c>
      <c r="HD19">
        <v>22.7713</v>
      </c>
      <c r="HE19">
        <v>408.114</v>
      </c>
      <c r="HF19">
        <v>16.463</v>
      </c>
      <c r="HG19">
        <v>98.0146</v>
      </c>
      <c r="HH19">
        <v>94.5094</v>
      </c>
    </row>
    <row r="20" spans="1:216">
      <c r="A20">
        <v>4</v>
      </c>
      <c r="B20">
        <v>1792303741.1</v>
      </c>
      <c r="C20">
        <v>382</v>
      </c>
      <c r="D20" t="s">
        <v>355</v>
      </c>
      <c r="E20" t="s">
        <v>356</v>
      </c>
      <c r="F20">
        <v>5</v>
      </c>
      <c r="G20">
        <v>1792303738.1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343</v>
      </c>
      <c r="AK20">
        <v>8114.5</v>
      </c>
      <c r="AL20">
        <v>170.695192307692</v>
      </c>
      <c r="AM20">
        <v>706.844106823418</v>
      </c>
      <c r="AN20">
        <f>1-AL20/AM20</f>
        <v>0</v>
      </c>
      <c r="AO20">
        <v>-1.28562877276755</v>
      </c>
      <c r="AP20" t="s">
        <v>357</v>
      </c>
      <c r="AQ20">
        <v>8165.82</v>
      </c>
      <c r="AR20">
        <v>252.833</v>
      </c>
      <c r="AS20">
        <v>557.495904773372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345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242</v>
      </c>
      <c r="BM20">
        <v>290</v>
      </c>
      <c r="BN20">
        <v>483.83</v>
      </c>
      <c r="BO20">
        <v>125</v>
      </c>
      <c r="BP20">
        <v>8165.82</v>
      </c>
      <c r="BQ20">
        <v>480.34</v>
      </c>
      <c r="BR20">
        <v>3.49</v>
      </c>
      <c r="BS20">
        <v>300</v>
      </c>
      <c r="BT20">
        <v>19.1</v>
      </c>
      <c r="BU20">
        <v>557.495904773372</v>
      </c>
      <c r="BV20">
        <v>3.34961618724427</v>
      </c>
      <c r="BW20">
        <v>-63.0050418886435</v>
      </c>
      <c r="BX20">
        <v>2.4673280926217</v>
      </c>
      <c r="BY20">
        <v>0.958828002447888</v>
      </c>
      <c r="BZ20">
        <v>-0.00500028876529479</v>
      </c>
      <c r="CA20">
        <v>290</v>
      </c>
      <c r="CB20">
        <v>468.57</v>
      </c>
      <c r="CC20">
        <v>625</v>
      </c>
      <c r="CD20">
        <v>8154.84</v>
      </c>
      <c r="CE20">
        <v>480.23</v>
      </c>
      <c r="CF20">
        <v>-11.66</v>
      </c>
      <c r="CT20">
        <f>$B$11*DR20+$C$11*DS20+$F$11*DT20*(1-DW20)</f>
        <v>0</v>
      </c>
      <c r="CU20">
        <f>CT20*CV20</f>
        <v>0</v>
      </c>
      <c r="CV20">
        <f>($B$11*$D$9+$C$11*$D$9+$F$11*((EG20+DY20)/MAX(EG20+DY20+EH20, 0.1)*$I$9+EH20/MAX(EG20+DY20+EH20, 0.1)*$J$9))/($B$11+$C$11+$F$11)</f>
        <v>0</v>
      </c>
      <c r="CW20">
        <f>($B$11*$K$9+$C$11*$K$9+$F$11*((EG20+DY20)/MAX(EG20+DY20+EH20, 0.1)*$P$9+EH20/MAX(EG20+DY20+EH20, 0.1)*$Q$9))/($B$11+$C$11+$F$11)</f>
        <v>0</v>
      </c>
      <c r="CX20">
        <v>2</v>
      </c>
      <c r="CY20">
        <v>0.5</v>
      </c>
      <c r="CZ20" t="s">
        <v>346</v>
      </c>
      <c r="DA20">
        <v>2</v>
      </c>
      <c r="DB20">
        <v>1792303738.1</v>
      </c>
      <c r="DC20">
        <v>400.0326</v>
      </c>
      <c r="DD20">
        <v>407.1822</v>
      </c>
      <c r="DE20">
        <v>17.81198</v>
      </c>
      <c r="DF20">
        <v>16.7395</v>
      </c>
      <c r="DG20">
        <v>400.1492</v>
      </c>
      <c r="DH20">
        <v>17.94012</v>
      </c>
      <c r="DI20">
        <v>500.0236</v>
      </c>
      <c r="DJ20">
        <v>100.865</v>
      </c>
      <c r="DK20">
        <v>0.10006096</v>
      </c>
      <c r="DL20">
        <v>25.58532</v>
      </c>
      <c r="DM20">
        <v>25.087</v>
      </c>
      <c r="DN20">
        <v>999.9</v>
      </c>
      <c r="DO20">
        <v>0</v>
      </c>
      <c r="DP20">
        <v>0</v>
      </c>
      <c r="DQ20">
        <v>9999.77</v>
      </c>
      <c r="DR20">
        <v>0</v>
      </c>
      <c r="DS20">
        <v>7.22783</v>
      </c>
      <c r="DT20">
        <v>599.9766</v>
      </c>
      <c r="DU20">
        <v>0.93298</v>
      </c>
      <c r="DV20">
        <v>0.0670204</v>
      </c>
      <c r="DW20">
        <v>0</v>
      </c>
      <c r="DX20">
        <v>252.9226</v>
      </c>
      <c r="DY20">
        <v>4.99999</v>
      </c>
      <c r="DZ20">
        <v>1485.772</v>
      </c>
      <c r="EA20">
        <v>5845.06</v>
      </c>
      <c r="EB20">
        <v>36.2748</v>
      </c>
      <c r="EC20">
        <v>39.8122</v>
      </c>
      <c r="ED20">
        <v>37.8122</v>
      </c>
      <c r="EE20">
        <v>39.7622</v>
      </c>
      <c r="EF20">
        <v>38.8874</v>
      </c>
      <c r="EG20">
        <v>555.102</v>
      </c>
      <c r="EH20">
        <v>39.88</v>
      </c>
      <c r="EI20">
        <v>0</v>
      </c>
      <c r="EJ20">
        <v>127.099999904633</v>
      </c>
      <c r="EK20">
        <v>0</v>
      </c>
      <c r="EL20">
        <v>252.833</v>
      </c>
      <c r="EM20">
        <v>-0.0916239438450221</v>
      </c>
      <c r="EN20">
        <v>2.13606837553861</v>
      </c>
      <c r="EO20">
        <v>1485.67153846154</v>
      </c>
      <c r="EP20">
        <v>15</v>
      </c>
      <c r="EQ20">
        <v>1792303141</v>
      </c>
      <c r="ER20" t="s">
        <v>347</v>
      </c>
      <c r="ES20">
        <v>1792303135</v>
      </c>
      <c r="ET20">
        <v>1792303141</v>
      </c>
      <c r="EU20">
        <v>54</v>
      </c>
      <c r="EV20">
        <v>-0.452</v>
      </c>
      <c r="EW20">
        <v>0.007</v>
      </c>
      <c r="EX20">
        <v>-0.113</v>
      </c>
      <c r="EY20">
        <v>-0.158</v>
      </c>
      <c r="EZ20">
        <v>409</v>
      </c>
      <c r="FA20">
        <v>15</v>
      </c>
      <c r="FB20">
        <v>0.22</v>
      </c>
      <c r="FC20">
        <v>0.04</v>
      </c>
      <c r="FD20">
        <v>16.8410007546229</v>
      </c>
      <c r="FE20">
        <v>0.581614089231375</v>
      </c>
      <c r="FF20">
        <v>0.128464608112826</v>
      </c>
      <c r="FG20">
        <v>1</v>
      </c>
      <c r="FH20">
        <v>-7.17843952380952</v>
      </c>
      <c r="FI20">
        <v>-0.069395844155854</v>
      </c>
      <c r="FJ20">
        <v>0.0430260618115502</v>
      </c>
      <c r="FK20">
        <v>1</v>
      </c>
      <c r="FL20">
        <v>252.861588235294</v>
      </c>
      <c r="FM20">
        <v>0.150649350025389</v>
      </c>
      <c r="FN20">
        <v>0.26794853738194</v>
      </c>
      <c r="FO20">
        <v>1</v>
      </c>
      <c r="FP20">
        <v>3</v>
      </c>
      <c r="FQ20">
        <v>3</v>
      </c>
      <c r="FR20" t="s">
        <v>348</v>
      </c>
      <c r="FS20">
        <v>100</v>
      </c>
      <c r="FT20">
        <v>100</v>
      </c>
      <c r="FU20">
        <v>-0.117</v>
      </c>
      <c r="FV20">
        <v>-0.128</v>
      </c>
      <c r="FW20">
        <v>-0.1911772093269</v>
      </c>
      <c r="FX20">
        <v>-6.16732984266029e-05</v>
      </c>
      <c r="FY20">
        <v>6.19398071816742e-07</v>
      </c>
      <c r="FZ20">
        <v>3.19222985850634e-12</v>
      </c>
      <c r="GA20">
        <v>-0.0532272137875344</v>
      </c>
      <c r="GB20">
        <v>-0.0257783215012692</v>
      </c>
      <c r="GC20">
        <v>0.00133723821780375</v>
      </c>
      <c r="GD20">
        <v>-7.42160749481374e-06</v>
      </c>
      <c r="GE20">
        <v>7</v>
      </c>
      <c r="GF20">
        <v>2154</v>
      </c>
      <c r="GG20">
        <v>2</v>
      </c>
      <c r="GH20">
        <v>20</v>
      </c>
      <c r="GI20">
        <v>10.1</v>
      </c>
      <c r="GJ20">
        <v>10</v>
      </c>
      <c r="GK20">
        <v>1.05591</v>
      </c>
      <c r="GL20">
        <v>2.65259</v>
      </c>
      <c r="GM20">
        <v>1.65161</v>
      </c>
      <c r="GN20">
        <v>2.27295</v>
      </c>
      <c r="GO20">
        <v>1.5979</v>
      </c>
      <c r="GP20">
        <v>2.65991</v>
      </c>
      <c r="GQ20">
        <v>35.6148</v>
      </c>
      <c r="GR20">
        <v>16.0583</v>
      </c>
      <c r="GS20">
        <v>18</v>
      </c>
      <c r="GT20">
        <v>504.608</v>
      </c>
      <c r="GU20">
        <v>523.778</v>
      </c>
      <c r="GV20">
        <v>23.361</v>
      </c>
      <c r="GW20">
        <v>29.5394</v>
      </c>
      <c r="GX20">
        <v>29.9987</v>
      </c>
      <c r="GY20">
        <v>29.7193</v>
      </c>
      <c r="GZ20">
        <v>29.7799</v>
      </c>
      <c r="HA20">
        <v>21.1166</v>
      </c>
      <c r="HB20">
        <v>18.095</v>
      </c>
      <c r="HC20">
        <v>13.4692</v>
      </c>
      <c r="HD20">
        <v>23.3721</v>
      </c>
      <c r="HE20">
        <v>407.15</v>
      </c>
      <c r="HF20">
        <v>16.7794</v>
      </c>
      <c r="HG20">
        <v>98.0118</v>
      </c>
      <c r="HH20">
        <v>94.5079</v>
      </c>
    </row>
    <row r="21" spans="1:216">
      <c r="A21">
        <v>5</v>
      </c>
      <c r="B21">
        <v>1792303870.1</v>
      </c>
      <c r="C21">
        <v>511</v>
      </c>
      <c r="D21" t="s">
        <v>358</v>
      </c>
      <c r="E21" t="s">
        <v>359</v>
      </c>
      <c r="F21">
        <v>5</v>
      </c>
      <c r="G21">
        <v>1792303866.6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343</v>
      </c>
      <c r="AK21">
        <v>8114.5</v>
      </c>
      <c r="AL21">
        <v>170.695192307692</v>
      </c>
      <c r="AM21">
        <v>706.844106823418</v>
      </c>
      <c r="AN21">
        <f>1-AL21/AM21</f>
        <v>0</v>
      </c>
      <c r="AO21">
        <v>-1.28562877276755</v>
      </c>
      <c r="AP21" t="s">
        <v>360</v>
      </c>
      <c r="AQ21">
        <v>8165.4</v>
      </c>
      <c r="AR21">
        <v>262.171192307692</v>
      </c>
      <c r="AS21">
        <v>711.273699923166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345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243</v>
      </c>
      <c r="BM21">
        <v>290</v>
      </c>
      <c r="BN21">
        <v>621.1</v>
      </c>
      <c r="BO21">
        <v>165</v>
      </c>
      <c r="BP21">
        <v>8165.4</v>
      </c>
      <c r="BQ21">
        <v>618.58</v>
      </c>
      <c r="BR21">
        <v>2.52</v>
      </c>
      <c r="BS21">
        <v>300</v>
      </c>
      <c r="BT21">
        <v>19.1</v>
      </c>
      <c r="BU21">
        <v>711.273699923166</v>
      </c>
      <c r="BV21">
        <v>3.10415960957218</v>
      </c>
      <c r="BW21">
        <v>-75.6855228252365</v>
      </c>
      <c r="BX21">
        <v>2.28004815364548</v>
      </c>
      <c r="BY21">
        <v>0.975218790468512</v>
      </c>
      <c r="BZ21">
        <v>-0.005135021134594</v>
      </c>
      <c r="CA21">
        <v>290</v>
      </c>
      <c r="CB21">
        <v>603.36</v>
      </c>
      <c r="CC21">
        <v>615</v>
      </c>
      <c r="CD21">
        <v>8156.61</v>
      </c>
      <c r="CE21">
        <v>618.48</v>
      </c>
      <c r="CF21">
        <v>-15.12</v>
      </c>
      <c r="CT21">
        <f>$B$11*DR21+$C$11*DS21+$F$11*DT21*(1-DW21)</f>
        <v>0</v>
      </c>
      <c r="CU21">
        <f>CT21*CV21</f>
        <v>0</v>
      </c>
      <c r="CV21">
        <f>($B$11*$D$9+$C$11*$D$9+$F$11*((EG21+DY21)/MAX(EG21+DY21+EH21, 0.1)*$I$9+EH21/MAX(EG21+DY21+EH21, 0.1)*$J$9))/($B$11+$C$11+$F$11)</f>
        <v>0</v>
      </c>
      <c r="CW21">
        <f>($B$11*$K$9+$C$11*$K$9+$F$11*((EG21+DY21)/MAX(EG21+DY21+EH21, 0.1)*$P$9+EH21/MAX(EG21+DY21+EH21, 0.1)*$Q$9))/($B$11+$C$11+$F$11)</f>
        <v>0</v>
      </c>
      <c r="CX21">
        <v>2</v>
      </c>
      <c r="CY21">
        <v>0.5</v>
      </c>
      <c r="CZ21" t="s">
        <v>346</v>
      </c>
      <c r="DA21">
        <v>2</v>
      </c>
      <c r="DB21">
        <v>1792303866.6</v>
      </c>
      <c r="DC21">
        <v>399.984</v>
      </c>
      <c r="DD21">
        <v>405.890166666667</v>
      </c>
      <c r="DE21">
        <v>17.9932333333333</v>
      </c>
      <c r="DF21">
        <v>16.9622333333333</v>
      </c>
      <c r="DG21">
        <v>400.100166666667</v>
      </c>
      <c r="DH21">
        <v>18.1186666666667</v>
      </c>
      <c r="DI21">
        <v>500.062</v>
      </c>
      <c r="DJ21">
        <v>100.8615</v>
      </c>
      <c r="DK21">
        <v>0.0999736</v>
      </c>
      <c r="DL21">
        <v>25.7348333333333</v>
      </c>
      <c r="DM21">
        <v>25.0343833333333</v>
      </c>
      <c r="DN21">
        <v>999.9</v>
      </c>
      <c r="DO21">
        <v>0</v>
      </c>
      <c r="DP21">
        <v>0</v>
      </c>
      <c r="DQ21">
        <v>10017.4833333333</v>
      </c>
      <c r="DR21">
        <v>0</v>
      </c>
      <c r="DS21">
        <v>7.22783</v>
      </c>
      <c r="DT21">
        <v>400.0865</v>
      </c>
      <c r="DU21">
        <v>0.900025166666667</v>
      </c>
      <c r="DV21">
        <v>0.0999747333333333</v>
      </c>
      <c r="DW21">
        <v>0</v>
      </c>
      <c r="DX21">
        <v>262.199166666667</v>
      </c>
      <c r="DY21">
        <v>4.99999</v>
      </c>
      <c r="DZ21">
        <v>1025.22833333333</v>
      </c>
      <c r="EA21">
        <v>3838.75666666667</v>
      </c>
      <c r="EB21">
        <v>36.8016666666667</v>
      </c>
      <c r="EC21">
        <v>40.0726666666667</v>
      </c>
      <c r="ED21">
        <v>38.4266666666667</v>
      </c>
      <c r="EE21">
        <v>40.2496666666667</v>
      </c>
      <c r="EF21">
        <v>39.104</v>
      </c>
      <c r="EG21">
        <v>355.59</v>
      </c>
      <c r="EH21">
        <v>39.5</v>
      </c>
      <c r="EI21">
        <v>0</v>
      </c>
      <c r="EJ21">
        <v>127.899999856949</v>
      </c>
      <c r="EK21">
        <v>0</v>
      </c>
      <c r="EL21">
        <v>262.171192307692</v>
      </c>
      <c r="EM21">
        <v>0.396752136964818</v>
      </c>
      <c r="EN21">
        <v>-5.13401713742952</v>
      </c>
      <c r="EO21">
        <v>1025.325</v>
      </c>
      <c r="EP21">
        <v>15</v>
      </c>
      <c r="EQ21">
        <v>1792303141</v>
      </c>
      <c r="ER21" t="s">
        <v>347</v>
      </c>
      <c r="ES21">
        <v>1792303135</v>
      </c>
      <c r="ET21">
        <v>1792303141</v>
      </c>
      <c r="EU21">
        <v>54</v>
      </c>
      <c r="EV21">
        <v>-0.452</v>
      </c>
      <c r="EW21">
        <v>0.007</v>
      </c>
      <c r="EX21">
        <v>-0.113</v>
      </c>
      <c r="EY21">
        <v>-0.158</v>
      </c>
      <c r="EZ21">
        <v>409</v>
      </c>
      <c r="FA21">
        <v>15</v>
      </c>
      <c r="FB21">
        <v>0.22</v>
      </c>
      <c r="FC21">
        <v>0.04</v>
      </c>
      <c r="FD21">
        <v>13.6954666602226</v>
      </c>
      <c r="FE21">
        <v>-0.335229736691459</v>
      </c>
      <c r="FF21">
        <v>0.0741251797927601</v>
      </c>
      <c r="FG21">
        <v>1</v>
      </c>
      <c r="FH21">
        <v>-5.8966025</v>
      </c>
      <c r="FI21">
        <v>-0.0317869172932391</v>
      </c>
      <c r="FJ21">
        <v>0.0234523840739061</v>
      </c>
      <c r="FK21">
        <v>1</v>
      </c>
      <c r="FL21">
        <v>262.182647058824</v>
      </c>
      <c r="FM21">
        <v>-0.427501904050744</v>
      </c>
      <c r="FN21">
        <v>0.273798754170767</v>
      </c>
      <c r="FO21">
        <v>1</v>
      </c>
      <c r="FP21">
        <v>3</v>
      </c>
      <c r="FQ21">
        <v>3</v>
      </c>
      <c r="FR21" t="s">
        <v>348</v>
      </c>
      <c r="FS21">
        <v>100</v>
      </c>
      <c r="FT21">
        <v>100</v>
      </c>
      <c r="FU21">
        <v>-0.116</v>
      </c>
      <c r="FV21">
        <v>-0.1253</v>
      </c>
      <c r="FW21">
        <v>-0.1911772093269</v>
      </c>
      <c r="FX21">
        <v>-6.16732984266029e-05</v>
      </c>
      <c r="FY21">
        <v>6.19398071816742e-07</v>
      </c>
      <c r="FZ21">
        <v>3.19222985850634e-12</v>
      </c>
      <c r="GA21">
        <v>-0.0532272137875344</v>
      </c>
      <c r="GB21">
        <v>-0.0257783215012692</v>
      </c>
      <c r="GC21">
        <v>0.00133723821780375</v>
      </c>
      <c r="GD21">
        <v>-7.42160749481374e-06</v>
      </c>
      <c r="GE21">
        <v>7</v>
      </c>
      <c r="GF21">
        <v>2154</v>
      </c>
      <c r="GG21">
        <v>2</v>
      </c>
      <c r="GH21">
        <v>20</v>
      </c>
      <c r="GI21">
        <v>12.3</v>
      </c>
      <c r="GJ21">
        <v>12.2</v>
      </c>
      <c r="GK21">
        <v>1.05225</v>
      </c>
      <c r="GL21">
        <v>2.64893</v>
      </c>
      <c r="GM21">
        <v>1.65161</v>
      </c>
      <c r="GN21">
        <v>2.27173</v>
      </c>
      <c r="GO21">
        <v>1.5979</v>
      </c>
      <c r="GP21">
        <v>2.56592</v>
      </c>
      <c r="GQ21">
        <v>35.5683</v>
      </c>
      <c r="GR21">
        <v>16.0496</v>
      </c>
      <c r="GS21">
        <v>18</v>
      </c>
      <c r="GT21">
        <v>504.608</v>
      </c>
      <c r="GU21">
        <v>524.293</v>
      </c>
      <c r="GV21">
        <v>23.5728</v>
      </c>
      <c r="GW21">
        <v>29.5572</v>
      </c>
      <c r="GX21">
        <v>29.9998</v>
      </c>
      <c r="GY21">
        <v>29.7269</v>
      </c>
      <c r="GZ21">
        <v>29.7876</v>
      </c>
      <c r="HA21">
        <v>21.0652</v>
      </c>
      <c r="HB21">
        <v>19.4944</v>
      </c>
      <c r="HC21">
        <v>16.8953</v>
      </c>
      <c r="HD21">
        <v>23.5594</v>
      </c>
      <c r="HE21">
        <v>405.928</v>
      </c>
      <c r="HF21">
        <v>16.8928</v>
      </c>
      <c r="HG21">
        <v>98.0125</v>
      </c>
      <c r="HH21">
        <v>94.5071</v>
      </c>
    </row>
    <row r="22" spans="1:216">
      <c r="A22">
        <v>6</v>
      </c>
      <c r="B22">
        <v>1792304024.1</v>
      </c>
      <c r="C22">
        <v>665</v>
      </c>
      <c r="D22" t="s">
        <v>361</v>
      </c>
      <c r="E22" t="s">
        <v>362</v>
      </c>
      <c r="F22">
        <v>5</v>
      </c>
      <c r="G22">
        <v>1792304020.6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343</v>
      </c>
      <c r="AK22">
        <v>8114.5</v>
      </c>
      <c r="AL22">
        <v>170.695192307692</v>
      </c>
      <c r="AM22">
        <v>706.844106823418</v>
      </c>
      <c r="AN22">
        <f>1-AL22/AM22</f>
        <v>0</v>
      </c>
      <c r="AO22">
        <v>-1.28562877276755</v>
      </c>
      <c r="AP22" t="s">
        <v>363</v>
      </c>
      <c r="AQ22">
        <v>8147.58</v>
      </c>
      <c r="AR22">
        <v>247.703653846154</v>
      </c>
      <c r="AS22">
        <v>806.479701221191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345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244</v>
      </c>
      <c r="BM22">
        <v>290</v>
      </c>
      <c r="BN22">
        <v>744.03</v>
      </c>
      <c r="BO22">
        <v>245</v>
      </c>
      <c r="BP22">
        <v>8147.58</v>
      </c>
      <c r="BQ22">
        <v>743.1</v>
      </c>
      <c r="BR22">
        <v>0.93</v>
      </c>
      <c r="BS22">
        <v>300</v>
      </c>
      <c r="BT22">
        <v>19.1</v>
      </c>
      <c r="BU22">
        <v>806.479701221191</v>
      </c>
      <c r="BV22">
        <v>2.76456267575398</v>
      </c>
      <c r="BW22">
        <v>-51.6408812933008</v>
      </c>
      <c r="BX22">
        <v>2.0209207194431</v>
      </c>
      <c r="BY22">
        <v>0.958881775047208</v>
      </c>
      <c r="BZ22">
        <v>-0.00525910411568409</v>
      </c>
      <c r="CA22">
        <v>290</v>
      </c>
      <c r="CB22">
        <v>736.1</v>
      </c>
      <c r="CC22">
        <v>635</v>
      </c>
      <c r="CD22">
        <v>8142.09</v>
      </c>
      <c r="CE22">
        <v>743.06</v>
      </c>
      <c r="CF22">
        <v>-6.96</v>
      </c>
      <c r="CT22">
        <f>$B$11*DR22+$C$11*DS22+$F$11*DT22*(1-DW22)</f>
        <v>0</v>
      </c>
      <c r="CU22">
        <f>CT22*CV22</f>
        <v>0</v>
      </c>
      <c r="CV22">
        <f>($B$11*$D$9+$C$11*$D$9+$F$11*((EG22+DY22)/MAX(EG22+DY22+EH22, 0.1)*$I$9+EH22/MAX(EG22+DY22+EH22, 0.1)*$J$9))/($B$11+$C$11+$F$11)</f>
        <v>0</v>
      </c>
      <c r="CW22">
        <f>($B$11*$K$9+$C$11*$K$9+$F$11*((EG22+DY22)/MAX(EG22+DY22+EH22, 0.1)*$P$9+EH22/MAX(EG22+DY22+EH22, 0.1)*$Q$9))/($B$11+$C$11+$F$11)</f>
        <v>0</v>
      </c>
      <c r="CX22">
        <v>2</v>
      </c>
      <c r="CY22">
        <v>0.5</v>
      </c>
      <c r="CZ22" t="s">
        <v>346</v>
      </c>
      <c r="DA22">
        <v>2</v>
      </c>
      <c r="DB22">
        <v>1792304020.6</v>
      </c>
      <c r="DC22">
        <v>399.990833333333</v>
      </c>
      <c r="DD22">
        <v>403.583333333333</v>
      </c>
      <c r="DE22">
        <v>18.1556</v>
      </c>
      <c r="DF22">
        <v>17.2437833333333</v>
      </c>
      <c r="DG22">
        <v>400.165833333333</v>
      </c>
      <c r="DH22">
        <v>18.2893833333333</v>
      </c>
      <c r="DI22">
        <v>500.027</v>
      </c>
      <c r="DJ22">
        <v>100.8665</v>
      </c>
      <c r="DK22">
        <v>0.0999688333333333</v>
      </c>
      <c r="DL22">
        <v>25.8026833333333</v>
      </c>
      <c r="DM22">
        <v>25.0262333333333</v>
      </c>
      <c r="DN22">
        <v>999.9</v>
      </c>
      <c r="DO22">
        <v>0</v>
      </c>
      <c r="DP22">
        <v>0</v>
      </c>
      <c r="DQ22">
        <v>10001.8666666667</v>
      </c>
      <c r="DR22">
        <v>0</v>
      </c>
      <c r="DS22">
        <v>7.17137</v>
      </c>
      <c r="DT22">
        <v>199.974833333333</v>
      </c>
      <c r="DU22">
        <v>0.8999935</v>
      </c>
      <c r="DV22">
        <v>0.100006566666667</v>
      </c>
      <c r="DW22">
        <v>0</v>
      </c>
      <c r="DX22">
        <v>247.541666666667</v>
      </c>
      <c r="DY22">
        <v>4.99999</v>
      </c>
      <c r="DZ22">
        <v>480.913833333333</v>
      </c>
      <c r="EA22">
        <v>1894.40333333333</v>
      </c>
      <c r="EB22">
        <v>35.3956666666667</v>
      </c>
      <c r="EC22">
        <v>38.5</v>
      </c>
      <c r="ED22">
        <v>37.0725</v>
      </c>
      <c r="EE22">
        <v>38</v>
      </c>
      <c r="EF22">
        <v>37.7185</v>
      </c>
      <c r="EG22">
        <v>175.478333333333</v>
      </c>
      <c r="EH22">
        <v>19.5</v>
      </c>
      <c r="EI22">
        <v>0</v>
      </c>
      <c r="EJ22">
        <v>152.900000095367</v>
      </c>
      <c r="EK22">
        <v>0</v>
      </c>
      <c r="EL22">
        <v>247.703653846154</v>
      </c>
      <c r="EM22">
        <v>-1.5700170925461</v>
      </c>
      <c r="EN22">
        <v>0.0592478358388512</v>
      </c>
      <c r="EO22">
        <v>480.828576923077</v>
      </c>
      <c r="EP22">
        <v>15</v>
      </c>
      <c r="EQ22">
        <v>1792303962.1</v>
      </c>
      <c r="ER22" t="s">
        <v>364</v>
      </c>
      <c r="ES22">
        <v>1792303962.1</v>
      </c>
      <c r="ET22">
        <v>1792303962.1</v>
      </c>
      <c r="EU22">
        <v>55</v>
      </c>
      <c r="EV22">
        <v>-0.059</v>
      </c>
      <c r="EW22">
        <v>-0.011</v>
      </c>
      <c r="EX22">
        <v>-0.173</v>
      </c>
      <c r="EY22">
        <v>-0.148</v>
      </c>
      <c r="EZ22">
        <v>404</v>
      </c>
      <c r="FA22">
        <v>17</v>
      </c>
      <c r="FB22">
        <v>0.28</v>
      </c>
      <c r="FC22">
        <v>0.05</v>
      </c>
      <c r="FD22">
        <v>8.07294665069416</v>
      </c>
      <c r="FE22">
        <v>-0.354946327361361</v>
      </c>
      <c r="FF22">
        <v>0.117656250445277</v>
      </c>
      <c r="FG22">
        <v>1</v>
      </c>
      <c r="FH22">
        <v>-3.6057915</v>
      </c>
      <c r="FI22">
        <v>0.216117744360897</v>
      </c>
      <c r="FJ22">
        <v>0.0481438163500776</v>
      </c>
      <c r="FK22">
        <v>1</v>
      </c>
      <c r="FL22">
        <v>247.687176470588</v>
      </c>
      <c r="FM22">
        <v>-0.933445377281354</v>
      </c>
      <c r="FN22">
        <v>0.433621715770256</v>
      </c>
      <c r="FO22">
        <v>1</v>
      </c>
      <c r="FP22">
        <v>3</v>
      </c>
      <c r="FQ22">
        <v>3</v>
      </c>
      <c r="FR22" t="s">
        <v>348</v>
      </c>
      <c r="FS22">
        <v>100</v>
      </c>
      <c r="FT22">
        <v>100</v>
      </c>
      <c r="FU22">
        <v>-0.175</v>
      </c>
      <c r="FV22">
        <v>-0.1337</v>
      </c>
      <c r="FW22">
        <v>-0.249692734513093</v>
      </c>
      <c r="FX22">
        <v>-6.16732984266029e-05</v>
      </c>
      <c r="FY22">
        <v>6.19398071816742e-07</v>
      </c>
      <c r="FZ22">
        <v>3.19222985850634e-12</v>
      </c>
      <c r="GA22">
        <v>-0.0642117639405637</v>
      </c>
      <c r="GB22">
        <v>-0.0257783215012692</v>
      </c>
      <c r="GC22">
        <v>0.00133723821780375</v>
      </c>
      <c r="GD22">
        <v>-7.42160749481374e-06</v>
      </c>
      <c r="GE22">
        <v>7</v>
      </c>
      <c r="GF22">
        <v>2154</v>
      </c>
      <c r="GG22">
        <v>2</v>
      </c>
      <c r="GH22">
        <v>20</v>
      </c>
      <c r="GI22">
        <v>1</v>
      </c>
      <c r="GJ22">
        <v>1</v>
      </c>
      <c r="GK22">
        <v>1.04858</v>
      </c>
      <c r="GL22">
        <v>2.64893</v>
      </c>
      <c r="GM22">
        <v>1.65161</v>
      </c>
      <c r="GN22">
        <v>2.27173</v>
      </c>
      <c r="GO22">
        <v>1.5979</v>
      </c>
      <c r="GP22">
        <v>2.59155</v>
      </c>
      <c r="GQ22">
        <v>35.5218</v>
      </c>
      <c r="GR22">
        <v>16.0496</v>
      </c>
      <c r="GS22">
        <v>18</v>
      </c>
      <c r="GT22">
        <v>504.605</v>
      </c>
      <c r="GU22">
        <v>524.629</v>
      </c>
      <c r="GV22">
        <v>23.7852</v>
      </c>
      <c r="GW22">
        <v>29.5775</v>
      </c>
      <c r="GX22">
        <v>30.0002</v>
      </c>
      <c r="GY22">
        <v>29.74</v>
      </c>
      <c r="GZ22">
        <v>29.7978</v>
      </c>
      <c r="HA22">
        <v>20.9722</v>
      </c>
      <c r="HB22">
        <v>20.7013</v>
      </c>
      <c r="HC22">
        <v>20.684</v>
      </c>
      <c r="HD22">
        <v>23.7628</v>
      </c>
      <c r="HE22">
        <v>403.619</v>
      </c>
      <c r="HF22">
        <v>17.1616</v>
      </c>
      <c r="HG22">
        <v>98.0094</v>
      </c>
      <c r="HH22">
        <v>94.5043</v>
      </c>
    </row>
    <row r="23" spans="1:216">
      <c r="A23">
        <v>7</v>
      </c>
      <c r="B23">
        <v>1792304147.1</v>
      </c>
      <c r="C23">
        <v>788</v>
      </c>
      <c r="D23" t="s">
        <v>365</v>
      </c>
      <c r="E23" t="s">
        <v>366</v>
      </c>
      <c r="F23">
        <v>5</v>
      </c>
      <c r="G23">
        <v>1792304143.6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343</v>
      </c>
      <c r="AK23">
        <v>8114.5</v>
      </c>
      <c r="AL23">
        <v>170.695192307692</v>
      </c>
      <c r="AM23">
        <v>706.844106823418</v>
      </c>
      <c r="AN23">
        <f>1-AL23/AM23</f>
        <v>0</v>
      </c>
      <c r="AO23">
        <v>-1.28562877276755</v>
      </c>
      <c r="AP23" t="s">
        <v>367</v>
      </c>
      <c r="AQ23">
        <v>8137.91</v>
      </c>
      <c r="AR23">
        <v>237.62976</v>
      </c>
      <c r="AS23">
        <v>853.137883233692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345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245</v>
      </c>
      <c r="BM23">
        <v>290</v>
      </c>
      <c r="BN23">
        <v>792.91</v>
      </c>
      <c r="BO23">
        <v>245</v>
      </c>
      <c r="BP23">
        <v>8137.91</v>
      </c>
      <c r="BQ23">
        <v>791.36</v>
      </c>
      <c r="BR23">
        <v>1.55</v>
      </c>
      <c r="BS23">
        <v>300</v>
      </c>
      <c r="BT23">
        <v>19.1</v>
      </c>
      <c r="BU23">
        <v>853.137883233692</v>
      </c>
      <c r="BV23">
        <v>2.97316049403494</v>
      </c>
      <c r="BW23">
        <v>-50.2744847070358</v>
      </c>
      <c r="BX23">
        <v>2.16743472831376</v>
      </c>
      <c r="BY23">
        <v>0.950532300899043</v>
      </c>
      <c r="BZ23">
        <v>-0.00532069944382647</v>
      </c>
      <c r="CA23">
        <v>290</v>
      </c>
      <c r="CB23">
        <v>781.89</v>
      </c>
      <c r="CC23">
        <v>625</v>
      </c>
      <c r="CD23">
        <v>8132.69</v>
      </c>
      <c r="CE23">
        <v>791.32</v>
      </c>
      <c r="CF23">
        <v>-9.43</v>
      </c>
      <c r="CT23">
        <f>$B$11*DR23+$C$11*DS23+$F$11*DT23*(1-DW23)</f>
        <v>0</v>
      </c>
      <c r="CU23">
        <f>CT23*CV23</f>
        <v>0</v>
      </c>
      <c r="CV23">
        <f>($B$11*$D$9+$C$11*$D$9+$F$11*((EG23+DY23)/MAX(EG23+DY23+EH23, 0.1)*$I$9+EH23/MAX(EG23+DY23+EH23, 0.1)*$J$9))/($B$11+$C$11+$F$11)</f>
        <v>0</v>
      </c>
      <c r="CW23">
        <f>($B$11*$K$9+$C$11*$K$9+$F$11*((EG23+DY23)/MAX(EG23+DY23+EH23, 0.1)*$P$9+EH23/MAX(EG23+DY23+EH23, 0.1)*$Q$9))/($B$11+$C$11+$F$11)</f>
        <v>0</v>
      </c>
      <c r="CX23">
        <v>2</v>
      </c>
      <c r="CY23">
        <v>0.5</v>
      </c>
      <c r="CZ23" t="s">
        <v>346</v>
      </c>
      <c r="DA23">
        <v>2</v>
      </c>
      <c r="DB23">
        <v>1792304143.6</v>
      </c>
      <c r="DC23">
        <v>400.006166666667</v>
      </c>
      <c r="DD23">
        <v>401.814166666667</v>
      </c>
      <c r="DE23">
        <v>18.0669</v>
      </c>
      <c r="DF23">
        <v>17.2675833333333</v>
      </c>
      <c r="DG23">
        <v>400.191166666667</v>
      </c>
      <c r="DH23">
        <v>18.2042833333333</v>
      </c>
      <c r="DI23">
        <v>500.000333333333</v>
      </c>
      <c r="DJ23">
        <v>100.865833333333</v>
      </c>
      <c r="DK23">
        <v>0.0999385166666667</v>
      </c>
      <c r="DL23">
        <v>25.7188333333333</v>
      </c>
      <c r="DM23">
        <v>25.01945</v>
      </c>
      <c r="DN23">
        <v>999.9</v>
      </c>
      <c r="DO23">
        <v>0</v>
      </c>
      <c r="DP23">
        <v>0</v>
      </c>
      <c r="DQ23">
        <v>10006.1583333333</v>
      </c>
      <c r="DR23">
        <v>0</v>
      </c>
      <c r="DS23">
        <v>7.17137</v>
      </c>
      <c r="DT23">
        <v>99.9209666666667</v>
      </c>
      <c r="DU23">
        <v>0.899985333333333</v>
      </c>
      <c r="DV23">
        <v>0.100014733333333</v>
      </c>
      <c r="DW23">
        <v>0</v>
      </c>
      <c r="DX23">
        <v>237.116833333333</v>
      </c>
      <c r="DY23">
        <v>4.99999</v>
      </c>
      <c r="DZ23">
        <v>224.394666666667</v>
      </c>
      <c r="EA23">
        <v>922.262666666667</v>
      </c>
      <c r="EB23">
        <v>34.9163333333333</v>
      </c>
      <c r="EC23">
        <v>38.8331666666667</v>
      </c>
      <c r="ED23">
        <v>36.9163333333333</v>
      </c>
      <c r="EE23">
        <v>38.5205</v>
      </c>
      <c r="EF23">
        <v>37.7496666666667</v>
      </c>
      <c r="EG23">
        <v>85.4266666666667</v>
      </c>
      <c r="EH23">
        <v>9.49</v>
      </c>
      <c r="EI23">
        <v>0</v>
      </c>
      <c r="EJ23">
        <v>121.599999904633</v>
      </c>
      <c r="EK23">
        <v>0</v>
      </c>
      <c r="EL23">
        <v>237.62976</v>
      </c>
      <c r="EM23">
        <v>-2.698461537155</v>
      </c>
      <c r="EN23">
        <v>2.31584613786512</v>
      </c>
      <c r="EO23">
        <v>224.211</v>
      </c>
      <c r="EP23">
        <v>15</v>
      </c>
      <c r="EQ23">
        <v>1792304101.1</v>
      </c>
      <c r="ER23" t="s">
        <v>368</v>
      </c>
      <c r="ES23">
        <v>1792304101.1</v>
      </c>
      <c r="ET23">
        <v>1792304098.1</v>
      </c>
      <c r="EU23">
        <v>56</v>
      </c>
      <c r="EV23">
        <v>-0.01</v>
      </c>
      <c r="EW23">
        <v>-0.002</v>
      </c>
      <c r="EX23">
        <v>-0.184</v>
      </c>
      <c r="EY23">
        <v>-0.148</v>
      </c>
      <c r="EZ23">
        <v>402</v>
      </c>
      <c r="FA23">
        <v>17</v>
      </c>
      <c r="FB23">
        <v>0.28</v>
      </c>
      <c r="FC23">
        <v>0.06</v>
      </c>
      <c r="FD23">
        <v>3.60663871771987</v>
      </c>
      <c r="FE23">
        <v>0.0823298487234779</v>
      </c>
      <c r="FF23">
        <v>0.1133459884026</v>
      </c>
      <c r="FG23">
        <v>1</v>
      </c>
      <c r="FH23">
        <v>-1.78094476190476</v>
      </c>
      <c r="FI23">
        <v>0.0204015584415545</v>
      </c>
      <c r="FJ23">
        <v>0.0498033912231312</v>
      </c>
      <c r="FK23">
        <v>1</v>
      </c>
      <c r="FL23">
        <v>237.674147058824</v>
      </c>
      <c r="FM23">
        <v>-0.603346058694857</v>
      </c>
      <c r="FN23">
        <v>0.405890316418042</v>
      </c>
      <c r="FO23">
        <v>1</v>
      </c>
      <c r="FP23">
        <v>3</v>
      </c>
      <c r="FQ23">
        <v>3</v>
      </c>
      <c r="FR23" t="s">
        <v>348</v>
      </c>
      <c r="FS23">
        <v>100</v>
      </c>
      <c r="FT23">
        <v>100</v>
      </c>
      <c r="FU23">
        <v>-0.185</v>
      </c>
      <c r="FV23">
        <v>-0.1374</v>
      </c>
      <c r="FW23">
        <v>-0.259832454705631</v>
      </c>
      <c r="FX23">
        <v>-6.16732984266029e-05</v>
      </c>
      <c r="FY23">
        <v>6.19398071816742e-07</v>
      </c>
      <c r="FZ23">
        <v>3.19222985850634e-12</v>
      </c>
      <c r="GA23">
        <v>-0.0664794906682734</v>
      </c>
      <c r="GB23">
        <v>-0.0257783215012692</v>
      </c>
      <c r="GC23">
        <v>0.00133723821780375</v>
      </c>
      <c r="GD23">
        <v>-7.42160749481374e-06</v>
      </c>
      <c r="GE23">
        <v>7</v>
      </c>
      <c r="GF23">
        <v>2154</v>
      </c>
      <c r="GG23">
        <v>2</v>
      </c>
      <c r="GH23">
        <v>20</v>
      </c>
      <c r="GI23">
        <v>0.8</v>
      </c>
      <c r="GJ23">
        <v>0.8</v>
      </c>
      <c r="GK23">
        <v>1.04492</v>
      </c>
      <c r="GL23">
        <v>2.65015</v>
      </c>
      <c r="GM23">
        <v>1.65161</v>
      </c>
      <c r="GN23">
        <v>2.27173</v>
      </c>
      <c r="GO23">
        <v>1.5979</v>
      </c>
      <c r="GP23">
        <v>2.63672</v>
      </c>
      <c r="GQ23">
        <v>35.4523</v>
      </c>
      <c r="GR23">
        <v>16.0496</v>
      </c>
      <c r="GS23">
        <v>18</v>
      </c>
      <c r="GT23">
        <v>504.266</v>
      </c>
      <c r="GU23">
        <v>524.987</v>
      </c>
      <c r="GV23">
        <v>23.7749</v>
      </c>
      <c r="GW23">
        <v>29.5954</v>
      </c>
      <c r="GX23">
        <v>30.0001</v>
      </c>
      <c r="GY23">
        <v>29.7549</v>
      </c>
      <c r="GZ23">
        <v>29.8106</v>
      </c>
      <c r="HA23">
        <v>20.896</v>
      </c>
      <c r="HB23">
        <v>21.4145</v>
      </c>
      <c r="HC23">
        <v>23.115</v>
      </c>
      <c r="HD23">
        <v>23.7624</v>
      </c>
      <c r="HE23">
        <v>401.809</v>
      </c>
      <c r="HF23">
        <v>17.2628</v>
      </c>
      <c r="HG23">
        <v>98.0079</v>
      </c>
      <c r="HH23">
        <v>94.4973</v>
      </c>
    </row>
    <row r="24" spans="1:216">
      <c r="A24">
        <v>8</v>
      </c>
      <c r="B24">
        <v>1792304294.1</v>
      </c>
      <c r="C24">
        <v>935</v>
      </c>
      <c r="D24" t="s">
        <v>369</v>
      </c>
      <c r="E24" t="s">
        <v>370</v>
      </c>
      <c r="F24">
        <v>5</v>
      </c>
      <c r="G24">
        <v>1792304290.6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343</v>
      </c>
      <c r="AK24">
        <v>8114.5</v>
      </c>
      <c r="AL24">
        <v>170.695192307692</v>
      </c>
      <c r="AM24">
        <v>706.844106823418</v>
      </c>
      <c r="AN24">
        <f>1-AL24/AM24</f>
        <v>0</v>
      </c>
      <c r="AO24">
        <v>-1.28562877276755</v>
      </c>
      <c r="AP24" t="s">
        <v>371</v>
      </c>
      <c r="AQ24">
        <v>8133.96</v>
      </c>
      <c r="AR24">
        <v>234.922192307692</v>
      </c>
      <c r="AS24">
        <v>885.410484070029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345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246</v>
      </c>
      <c r="BM24">
        <v>290</v>
      </c>
      <c r="BN24">
        <v>829.59</v>
      </c>
      <c r="BO24">
        <v>185</v>
      </c>
      <c r="BP24">
        <v>8133.96</v>
      </c>
      <c r="BQ24">
        <v>827.43</v>
      </c>
      <c r="BR24">
        <v>2.16</v>
      </c>
      <c r="BS24">
        <v>300</v>
      </c>
      <c r="BT24">
        <v>19.1</v>
      </c>
      <c r="BU24">
        <v>885.410484070029</v>
      </c>
      <c r="BV24">
        <v>2.94601020311691</v>
      </c>
      <c r="BW24">
        <v>-47.160856666479</v>
      </c>
      <c r="BX24">
        <v>2.14424976364757</v>
      </c>
      <c r="BY24">
        <v>0.945284789765352</v>
      </c>
      <c r="BZ24">
        <v>-0.00534987096774194</v>
      </c>
      <c r="CA24">
        <v>290</v>
      </c>
      <c r="CB24">
        <v>817.79</v>
      </c>
      <c r="CC24">
        <v>635</v>
      </c>
      <c r="CD24">
        <v>8125.79</v>
      </c>
      <c r="CE24">
        <v>827.37</v>
      </c>
      <c r="CF24">
        <v>-9.58</v>
      </c>
      <c r="CT24">
        <f>$B$11*DR24+$C$11*DS24+$F$11*DT24*(1-DW24)</f>
        <v>0</v>
      </c>
      <c r="CU24">
        <f>CT24*CV24</f>
        <v>0</v>
      </c>
      <c r="CV24">
        <f>($B$11*$D$9+$C$11*$D$9+$F$11*((EG24+DY24)/MAX(EG24+DY24+EH24, 0.1)*$I$9+EH24/MAX(EG24+DY24+EH24, 0.1)*$J$9))/($B$11+$C$11+$F$11)</f>
        <v>0</v>
      </c>
      <c r="CW24">
        <f>($B$11*$K$9+$C$11*$K$9+$F$11*((EG24+DY24)/MAX(EG24+DY24+EH24, 0.1)*$P$9+EH24/MAX(EG24+DY24+EH24, 0.1)*$Q$9))/($B$11+$C$11+$F$11)</f>
        <v>0</v>
      </c>
      <c r="CX24">
        <v>2</v>
      </c>
      <c r="CY24">
        <v>0.5</v>
      </c>
      <c r="CZ24" t="s">
        <v>346</v>
      </c>
      <c r="DA24">
        <v>2</v>
      </c>
      <c r="DB24">
        <v>1792304290.6</v>
      </c>
      <c r="DC24">
        <v>399.986333333333</v>
      </c>
      <c r="DD24">
        <v>400.708333333333</v>
      </c>
      <c r="DE24">
        <v>17.9820166666667</v>
      </c>
      <c r="DF24">
        <v>17.3632166666667</v>
      </c>
      <c r="DG24">
        <v>400.183833333333</v>
      </c>
      <c r="DH24">
        <v>18.1199</v>
      </c>
      <c r="DI24">
        <v>500.052166666667</v>
      </c>
      <c r="DJ24">
        <v>100.885333333333</v>
      </c>
      <c r="DK24">
        <v>0.1001394</v>
      </c>
      <c r="DL24">
        <v>25.6297</v>
      </c>
      <c r="DM24">
        <v>25.0215833333333</v>
      </c>
      <c r="DN24">
        <v>999.9</v>
      </c>
      <c r="DO24">
        <v>0</v>
      </c>
      <c r="DP24">
        <v>0</v>
      </c>
      <c r="DQ24">
        <v>9988.65</v>
      </c>
      <c r="DR24">
        <v>0</v>
      </c>
      <c r="DS24">
        <v>7.14548333333333</v>
      </c>
      <c r="DT24">
        <v>50.0249333333333</v>
      </c>
      <c r="DU24">
        <v>0.8996715</v>
      </c>
      <c r="DV24">
        <v>0.100328633333333</v>
      </c>
      <c r="DW24">
        <v>0</v>
      </c>
      <c r="DX24">
        <v>234.8085</v>
      </c>
      <c r="DY24">
        <v>4.99999</v>
      </c>
      <c r="DZ24">
        <v>105.334333333333</v>
      </c>
      <c r="EA24">
        <v>437.421166666667</v>
      </c>
      <c r="EB24">
        <v>35.812</v>
      </c>
      <c r="EC24">
        <v>40.6143333333333</v>
      </c>
      <c r="ED24">
        <v>38.104</v>
      </c>
      <c r="EE24">
        <v>41.2081666666667</v>
      </c>
      <c r="EF24">
        <v>38.7288333333333</v>
      </c>
      <c r="EG24">
        <v>40.5083333333333</v>
      </c>
      <c r="EH24">
        <v>4.52</v>
      </c>
      <c r="EI24">
        <v>0</v>
      </c>
      <c r="EJ24">
        <v>145.699999809265</v>
      </c>
      <c r="EK24">
        <v>0</v>
      </c>
      <c r="EL24">
        <v>234.922192307692</v>
      </c>
      <c r="EM24">
        <v>-0.840034186424368</v>
      </c>
      <c r="EN24">
        <v>0.234974364834966</v>
      </c>
      <c r="EO24">
        <v>105.217269230769</v>
      </c>
      <c r="EP24">
        <v>15</v>
      </c>
      <c r="EQ24">
        <v>1792304216.1</v>
      </c>
      <c r="ER24" t="s">
        <v>372</v>
      </c>
      <c r="ES24">
        <v>1792304214.1</v>
      </c>
      <c r="ET24">
        <v>1792304216.1</v>
      </c>
      <c r="EU24">
        <v>57</v>
      </c>
      <c r="EV24">
        <v>-0.012</v>
      </c>
      <c r="EW24">
        <v>0.001</v>
      </c>
      <c r="EX24">
        <v>-0.197</v>
      </c>
      <c r="EY24">
        <v>-0.147</v>
      </c>
      <c r="EZ24">
        <v>401</v>
      </c>
      <c r="FA24">
        <v>17</v>
      </c>
      <c r="FB24">
        <v>0.55</v>
      </c>
      <c r="FC24">
        <v>0.16</v>
      </c>
      <c r="FD24">
        <v>1.12848381290317</v>
      </c>
      <c r="FE24">
        <v>0.577759877354119</v>
      </c>
      <c r="FF24">
        <v>0.0836686764180498</v>
      </c>
      <c r="FG24">
        <v>1</v>
      </c>
      <c r="FH24">
        <v>-0.7059556</v>
      </c>
      <c r="FI24">
        <v>-0.223020000000001</v>
      </c>
      <c r="FJ24">
        <v>0.0311330454893189</v>
      </c>
      <c r="FK24">
        <v>1</v>
      </c>
      <c r="FL24">
        <v>234.885970588235</v>
      </c>
      <c r="FM24">
        <v>0.389564559216122</v>
      </c>
      <c r="FN24">
        <v>0.350120524231143</v>
      </c>
      <c r="FO24">
        <v>1</v>
      </c>
      <c r="FP24">
        <v>3</v>
      </c>
      <c r="FQ24">
        <v>3</v>
      </c>
      <c r="FR24" t="s">
        <v>348</v>
      </c>
      <c r="FS24">
        <v>100</v>
      </c>
      <c r="FT24">
        <v>100</v>
      </c>
      <c r="FU24">
        <v>-0.197</v>
      </c>
      <c r="FV24">
        <v>-0.1379</v>
      </c>
      <c r="FW24">
        <v>-0.272047726264589</v>
      </c>
      <c r="FX24">
        <v>-6.16732984266029e-05</v>
      </c>
      <c r="FY24">
        <v>6.19398071816742e-07</v>
      </c>
      <c r="FZ24">
        <v>3.19222985850634e-12</v>
      </c>
      <c r="GA24">
        <v>-0.0656925818825587</v>
      </c>
      <c r="GB24">
        <v>-0.0257783215012692</v>
      </c>
      <c r="GC24">
        <v>0.00133723821780375</v>
      </c>
      <c r="GD24">
        <v>-7.42160749481374e-06</v>
      </c>
      <c r="GE24">
        <v>7</v>
      </c>
      <c r="GF24">
        <v>2154</v>
      </c>
      <c r="GG24">
        <v>2</v>
      </c>
      <c r="GH24">
        <v>20</v>
      </c>
      <c r="GI24">
        <v>1.3</v>
      </c>
      <c r="GJ24">
        <v>1.3</v>
      </c>
      <c r="GK24">
        <v>1.04248</v>
      </c>
      <c r="GL24">
        <v>2.64526</v>
      </c>
      <c r="GM24">
        <v>1.65161</v>
      </c>
      <c r="GN24">
        <v>2.27173</v>
      </c>
      <c r="GO24">
        <v>1.5979</v>
      </c>
      <c r="GP24">
        <v>2.63062</v>
      </c>
      <c r="GQ24">
        <v>35.4059</v>
      </c>
      <c r="GR24">
        <v>16.0321</v>
      </c>
      <c r="GS24">
        <v>18</v>
      </c>
      <c r="GT24">
        <v>504.261</v>
      </c>
      <c r="GU24">
        <v>525.626</v>
      </c>
      <c r="GV24">
        <v>23.3724</v>
      </c>
      <c r="GW24">
        <v>29.6132</v>
      </c>
      <c r="GX24">
        <v>30.0002</v>
      </c>
      <c r="GY24">
        <v>29.7658</v>
      </c>
      <c r="GZ24">
        <v>29.8234</v>
      </c>
      <c r="HA24">
        <v>20.8521</v>
      </c>
      <c r="HB24">
        <v>22.026</v>
      </c>
      <c r="HC24">
        <v>24.6605</v>
      </c>
      <c r="HD24">
        <v>23.356</v>
      </c>
      <c r="HE24">
        <v>400.759</v>
      </c>
      <c r="HF24">
        <v>17.3396</v>
      </c>
      <c r="HG24">
        <v>98.0059</v>
      </c>
      <c r="HH24">
        <v>94.4963</v>
      </c>
    </row>
    <row r="25" spans="1:216">
      <c r="A25">
        <v>9</v>
      </c>
      <c r="B25">
        <v>1792304435.1</v>
      </c>
      <c r="C25">
        <v>1076</v>
      </c>
      <c r="D25" t="s">
        <v>373</v>
      </c>
      <c r="E25" t="s">
        <v>374</v>
      </c>
      <c r="F25">
        <v>5</v>
      </c>
      <c r="G25">
        <v>1792304432.1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375</v>
      </c>
      <c r="AK25">
        <v>8136.3</v>
      </c>
      <c r="AL25">
        <v>234.829807692308</v>
      </c>
      <c r="AM25">
        <v>979.841759845191</v>
      </c>
      <c r="AN25">
        <f>1-AL25/AM25</f>
        <v>0</v>
      </c>
      <c r="AO25">
        <v>-2.15676906838952</v>
      </c>
      <c r="AP25" t="s">
        <v>345</v>
      </c>
      <c r="AQ25" t="s">
        <v>345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345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247</v>
      </c>
      <c r="BM25">
        <v>290</v>
      </c>
      <c r="BN25">
        <v>937.32</v>
      </c>
      <c r="BO25">
        <v>155</v>
      </c>
      <c r="BP25">
        <v>8136.3</v>
      </c>
      <c r="BQ25">
        <v>932.37</v>
      </c>
      <c r="BR25">
        <v>4.95</v>
      </c>
      <c r="BS25">
        <v>300</v>
      </c>
      <c r="BT25">
        <v>19.1</v>
      </c>
      <c r="BU25">
        <v>979.841759845191</v>
      </c>
      <c r="BV25">
        <v>2.90432228574805</v>
      </c>
      <c r="BW25">
        <v>-38.6284725170587</v>
      </c>
      <c r="BX25">
        <v>2.11272692999227</v>
      </c>
      <c r="BY25">
        <v>0.922714660658733</v>
      </c>
      <c r="BZ25">
        <v>-0.0053797274749722</v>
      </c>
      <c r="CA25">
        <v>290</v>
      </c>
      <c r="CB25">
        <v>921.76</v>
      </c>
      <c r="CC25">
        <v>625</v>
      </c>
      <c r="CD25">
        <v>8127.08</v>
      </c>
      <c r="CE25">
        <v>932.31</v>
      </c>
      <c r="CF25">
        <v>-10.55</v>
      </c>
      <c r="CT25">
        <f>$B$11*DR25+$C$11*DS25+$F$11*DT25*(1-DW25)</f>
        <v>0</v>
      </c>
      <c r="CU25">
        <f>CT25*CV25</f>
        <v>0</v>
      </c>
      <c r="CV25">
        <f>($B$11*$D$9+$C$11*$D$9+$F$11*((EG25+DY25)/MAX(EG25+DY25+EH25, 0.1)*$I$9+EH25/MAX(EG25+DY25+EH25, 0.1)*$J$9))/($B$11+$C$11+$F$11)</f>
        <v>0</v>
      </c>
      <c r="CW25">
        <f>($B$11*$K$9+$C$11*$K$9+$F$11*((EG25+DY25)/MAX(EG25+DY25+EH25, 0.1)*$P$9+EH25/MAX(EG25+DY25+EH25, 0.1)*$Q$9))/($B$11+$C$11+$F$11)</f>
        <v>0</v>
      </c>
      <c r="CX25">
        <v>2</v>
      </c>
      <c r="CY25">
        <v>0.5</v>
      </c>
      <c r="CZ25" t="s">
        <v>346</v>
      </c>
      <c r="DA25">
        <v>2</v>
      </c>
      <c r="DB25">
        <v>1792304432.1</v>
      </c>
      <c r="DC25">
        <v>400.031</v>
      </c>
      <c r="DD25">
        <v>399.378</v>
      </c>
      <c r="DE25">
        <v>17.86908</v>
      </c>
      <c r="DF25">
        <v>17.35438</v>
      </c>
      <c r="DG25">
        <v>400.2052</v>
      </c>
      <c r="DH25">
        <v>18.00756</v>
      </c>
      <c r="DI25">
        <v>500.038</v>
      </c>
      <c r="DJ25">
        <v>100.8762</v>
      </c>
      <c r="DK25">
        <v>0.09996202</v>
      </c>
      <c r="DL25">
        <v>25.5296</v>
      </c>
      <c r="DM25">
        <v>24.99548</v>
      </c>
      <c r="DN25">
        <v>999.9</v>
      </c>
      <c r="DO25">
        <v>0</v>
      </c>
      <c r="DP25">
        <v>0</v>
      </c>
      <c r="DQ25">
        <v>9988.75</v>
      </c>
      <c r="DR25">
        <v>0</v>
      </c>
      <c r="DS25">
        <v>7.17137</v>
      </c>
      <c r="DT25">
        <v>0.0199999</v>
      </c>
      <c r="DU25">
        <v>0</v>
      </c>
      <c r="DV25">
        <v>0</v>
      </c>
      <c r="DW25">
        <v>0</v>
      </c>
      <c r="DX25">
        <v>234.39</v>
      </c>
      <c r="DY25">
        <v>0.0199999</v>
      </c>
      <c r="DZ25">
        <v>-16.085</v>
      </c>
      <c r="EA25">
        <v>3.275</v>
      </c>
      <c r="EB25">
        <v>34.7122</v>
      </c>
      <c r="EC25">
        <v>38.25</v>
      </c>
      <c r="ED25">
        <v>36.625</v>
      </c>
      <c r="EE25">
        <v>37.7748</v>
      </c>
      <c r="EF25">
        <v>36.9874</v>
      </c>
      <c r="EG25">
        <v>0</v>
      </c>
      <c r="EH25">
        <v>0</v>
      </c>
      <c r="EI25">
        <v>0</v>
      </c>
      <c r="EJ25">
        <v>140.099999904633</v>
      </c>
      <c r="EK25">
        <v>0</v>
      </c>
      <c r="EL25">
        <v>234.829807692308</v>
      </c>
      <c r="EM25">
        <v>-18.2042734364323</v>
      </c>
      <c r="EN25">
        <v>18.8829056789759</v>
      </c>
      <c r="EO25">
        <v>-15.7528846153846</v>
      </c>
      <c r="EP25">
        <v>15</v>
      </c>
      <c r="EQ25">
        <v>1792304364.1</v>
      </c>
      <c r="ER25" t="s">
        <v>376</v>
      </c>
      <c r="ES25">
        <v>1792304362.1</v>
      </c>
      <c r="ET25">
        <v>1792304364.1</v>
      </c>
      <c r="EU25">
        <v>58</v>
      </c>
      <c r="EV25">
        <v>0.023</v>
      </c>
      <c r="EW25">
        <v>0.001</v>
      </c>
      <c r="EX25">
        <v>-0.175</v>
      </c>
      <c r="EY25">
        <v>-0.146</v>
      </c>
      <c r="EZ25">
        <v>400</v>
      </c>
      <c r="FA25">
        <v>17</v>
      </c>
      <c r="FB25">
        <v>0.5</v>
      </c>
      <c r="FC25">
        <v>0.09</v>
      </c>
      <c r="FD25">
        <v>-2.26307212553138</v>
      </c>
      <c r="FE25">
        <v>0.387137757258956</v>
      </c>
      <c r="FF25">
        <v>0.0961475269187555</v>
      </c>
      <c r="FG25">
        <v>1</v>
      </c>
      <c r="FH25">
        <v>0.689103047619048</v>
      </c>
      <c r="FI25">
        <v>-0.173557714285714</v>
      </c>
      <c r="FJ25">
        <v>0.0403402165875577</v>
      </c>
      <c r="FK25">
        <v>1</v>
      </c>
      <c r="FL25">
        <v>235.464705882353</v>
      </c>
      <c r="FM25">
        <v>-0.326967219961773</v>
      </c>
      <c r="FN25">
        <v>5.78323552596545</v>
      </c>
      <c r="FO25">
        <v>1</v>
      </c>
      <c r="FP25">
        <v>3</v>
      </c>
      <c r="FQ25">
        <v>3</v>
      </c>
      <c r="FR25" t="s">
        <v>348</v>
      </c>
      <c r="FS25">
        <v>100</v>
      </c>
      <c r="FT25">
        <v>100</v>
      </c>
      <c r="FU25">
        <v>-0.175</v>
      </c>
      <c r="FV25">
        <v>-0.1385</v>
      </c>
      <c r="FW25">
        <v>-0.24911104311893</v>
      </c>
      <c r="FX25">
        <v>-6.16732984266029e-05</v>
      </c>
      <c r="FY25">
        <v>6.19398071816742e-07</v>
      </c>
      <c r="FZ25">
        <v>3.19222985850634e-12</v>
      </c>
      <c r="GA25">
        <v>-0.064557777962707</v>
      </c>
      <c r="GB25">
        <v>-0.0257783215012692</v>
      </c>
      <c r="GC25">
        <v>0.00133723821780375</v>
      </c>
      <c r="GD25">
        <v>-7.42160749481374e-06</v>
      </c>
      <c r="GE25">
        <v>7</v>
      </c>
      <c r="GF25">
        <v>2154</v>
      </c>
      <c r="GG25">
        <v>2</v>
      </c>
      <c r="GH25">
        <v>20</v>
      </c>
      <c r="GI25">
        <v>1.2</v>
      </c>
      <c r="GJ25">
        <v>1.2</v>
      </c>
      <c r="GK25">
        <v>1.04004</v>
      </c>
      <c r="GL25">
        <v>2.66724</v>
      </c>
      <c r="GM25">
        <v>1.65161</v>
      </c>
      <c r="GN25">
        <v>2.27173</v>
      </c>
      <c r="GO25">
        <v>1.5979</v>
      </c>
      <c r="GP25">
        <v>2.4292</v>
      </c>
      <c r="GQ25">
        <v>35.3365</v>
      </c>
      <c r="GR25">
        <v>16.0146</v>
      </c>
      <c r="GS25">
        <v>18</v>
      </c>
      <c r="GT25">
        <v>504.131</v>
      </c>
      <c r="GU25">
        <v>526.143</v>
      </c>
      <c r="GV25">
        <v>23.612</v>
      </c>
      <c r="GW25">
        <v>29.6183</v>
      </c>
      <c r="GX25">
        <v>30.0002</v>
      </c>
      <c r="GY25">
        <v>29.7744</v>
      </c>
      <c r="GZ25">
        <v>29.831</v>
      </c>
      <c r="HA25">
        <v>20.7955</v>
      </c>
      <c r="HB25">
        <v>22.5866</v>
      </c>
      <c r="HC25">
        <v>25.8489</v>
      </c>
      <c r="HD25">
        <v>23.6144</v>
      </c>
      <c r="HE25">
        <v>399.392</v>
      </c>
      <c r="HF25">
        <v>17.356</v>
      </c>
      <c r="HG25">
        <v>98.003</v>
      </c>
      <c r="HH25">
        <v>94.494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2026-10-18T15:23:11Z</dcterms:created>
  <dcterms:modified xsi:type="dcterms:W3CDTF">2026-10-18T15:23:11Z</dcterms:modified>
</cp:coreProperties>
</file>