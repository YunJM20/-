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04 lettuce park/"/>
    </mc:Choice>
  </mc:AlternateContent>
  <xr:revisionPtr revIDLastSave="0" documentId="11_ACE07100642B12BCB5DFF0C2ED48C29604E351AD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6" i="1" l="1"/>
  <c r="CV26" i="1"/>
  <c r="CT26" i="1"/>
  <c r="BI26" i="1"/>
  <c r="BH26" i="1"/>
  <c r="AZ26" i="1"/>
  <c r="AT26" i="1"/>
  <c r="AN26" i="1"/>
  <c r="BA26" i="1" s="1"/>
  <c r="BD26" i="1" s="1"/>
  <c r="AI26" i="1"/>
  <c r="AG26" i="1"/>
  <c r="Y26" i="1"/>
  <c r="X26" i="1"/>
  <c r="W26" i="1" s="1"/>
  <c r="P26" i="1"/>
  <c r="CW25" i="1"/>
  <c r="CV25" i="1"/>
  <c r="CT25" i="1"/>
  <c r="BI25" i="1"/>
  <c r="BH25" i="1"/>
  <c r="AZ25" i="1"/>
  <c r="AT25" i="1"/>
  <c r="AN25" i="1"/>
  <c r="BA25" i="1" s="1"/>
  <c r="BD25" i="1" s="1"/>
  <c r="AI25" i="1"/>
  <c r="AG25" i="1" s="1"/>
  <c r="Y25" i="1"/>
  <c r="X25" i="1"/>
  <c r="W25" i="1"/>
  <c r="P25" i="1"/>
  <c r="CW24" i="1"/>
  <c r="CV24" i="1"/>
  <c r="CT24" i="1"/>
  <c r="CU24" i="1" s="1"/>
  <c r="AV24" i="1" s="1"/>
  <c r="BI24" i="1"/>
  <c r="BH24" i="1"/>
  <c r="AZ24" i="1"/>
  <c r="AT24" i="1"/>
  <c r="AX24" i="1" s="1"/>
  <c r="AN24" i="1"/>
  <c r="BA24" i="1" s="1"/>
  <c r="BD24" i="1" s="1"/>
  <c r="AI24" i="1"/>
  <c r="AG24" i="1"/>
  <c r="AH24" i="1" s="1"/>
  <c r="Y24" i="1"/>
  <c r="X24" i="1"/>
  <c r="W24" i="1"/>
  <c r="S24" i="1"/>
  <c r="P24" i="1"/>
  <c r="N24" i="1"/>
  <c r="K24" i="1"/>
  <c r="J24" i="1"/>
  <c r="AW24" i="1" s="1"/>
  <c r="AY24" i="1" s="1"/>
  <c r="I24" i="1"/>
  <c r="H24" i="1" s="1"/>
  <c r="CW23" i="1"/>
  <c r="CV23" i="1"/>
  <c r="CT23" i="1"/>
  <c r="BI23" i="1"/>
  <c r="BH23" i="1"/>
  <c r="AZ23" i="1"/>
  <c r="AT23" i="1"/>
  <c r="AN23" i="1"/>
  <c r="BA23" i="1" s="1"/>
  <c r="BD23" i="1" s="1"/>
  <c r="AI23" i="1"/>
  <c r="AG23" i="1"/>
  <c r="AH23" i="1" s="1"/>
  <c r="Y23" i="1"/>
  <c r="X23" i="1"/>
  <c r="P23" i="1"/>
  <c r="N23" i="1"/>
  <c r="K23" i="1"/>
  <c r="J23" i="1"/>
  <c r="AW23" i="1" s="1"/>
  <c r="I23" i="1"/>
  <c r="H23" i="1" s="1"/>
  <c r="CW22" i="1"/>
  <c r="CV22" i="1"/>
  <c r="CT22" i="1"/>
  <c r="CU22" i="1" s="1"/>
  <c r="AV22" i="1" s="1"/>
  <c r="BI22" i="1"/>
  <c r="BH22" i="1"/>
  <c r="AZ22" i="1"/>
  <c r="AT22" i="1"/>
  <c r="AX22" i="1" s="1"/>
  <c r="AN22" i="1"/>
  <c r="BA22" i="1" s="1"/>
  <c r="BD22" i="1" s="1"/>
  <c r="AI22" i="1"/>
  <c r="AG22" i="1" s="1"/>
  <c r="Y22" i="1"/>
  <c r="W22" i="1" s="1"/>
  <c r="X22" i="1"/>
  <c r="S22" i="1"/>
  <c r="P22" i="1"/>
  <c r="CW21" i="1"/>
  <c r="S21" i="1" s="1"/>
  <c r="CV21" i="1"/>
  <c r="CT21" i="1"/>
  <c r="CU21" i="1" s="1"/>
  <c r="AV21" i="1" s="1"/>
  <c r="BI21" i="1"/>
  <c r="BH21" i="1"/>
  <c r="AZ21" i="1"/>
  <c r="AT21" i="1"/>
  <c r="AX21" i="1" s="1"/>
  <c r="AN21" i="1"/>
  <c r="BA21" i="1" s="1"/>
  <c r="BD21" i="1" s="1"/>
  <c r="AI21" i="1"/>
  <c r="AG21" i="1" s="1"/>
  <c r="Y21" i="1"/>
  <c r="W21" i="1" s="1"/>
  <c r="X21" i="1"/>
  <c r="P21" i="1"/>
  <c r="CW20" i="1"/>
  <c r="CV20" i="1"/>
  <c r="CT20" i="1"/>
  <c r="BI20" i="1"/>
  <c r="BH20" i="1"/>
  <c r="AZ20" i="1"/>
  <c r="AT20" i="1"/>
  <c r="AN20" i="1"/>
  <c r="BA20" i="1" s="1"/>
  <c r="BD20" i="1" s="1"/>
  <c r="AI20" i="1"/>
  <c r="AG20" i="1" s="1"/>
  <c r="Y20" i="1"/>
  <c r="X20" i="1"/>
  <c r="S20" i="1"/>
  <c r="P20" i="1"/>
  <c r="CW19" i="1"/>
  <c r="CV19" i="1"/>
  <c r="CT19" i="1"/>
  <c r="BI19" i="1"/>
  <c r="BH19" i="1"/>
  <c r="AZ19" i="1"/>
  <c r="AT19" i="1"/>
  <c r="AN19" i="1"/>
  <c r="BA19" i="1" s="1"/>
  <c r="BD19" i="1" s="1"/>
  <c r="AI19" i="1"/>
  <c r="AG19" i="1" s="1"/>
  <c r="Y19" i="1"/>
  <c r="X19" i="1"/>
  <c r="W19" i="1"/>
  <c r="P19" i="1"/>
  <c r="CW18" i="1"/>
  <c r="CV18" i="1"/>
  <c r="CT18" i="1"/>
  <c r="CU18" i="1" s="1"/>
  <c r="AV18" i="1" s="1"/>
  <c r="BI18" i="1"/>
  <c r="BH18" i="1"/>
  <c r="AZ18" i="1"/>
  <c r="AT18" i="1"/>
  <c r="AX18" i="1" s="1"/>
  <c r="AN18" i="1"/>
  <c r="BA18" i="1" s="1"/>
  <c r="BD18" i="1" s="1"/>
  <c r="AI18" i="1"/>
  <c r="AG18" i="1" s="1"/>
  <c r="Y18" i="1"/>
  <c r="X18" i="1"/>
  <c r="W18" i="1" s="1"/>
  <c r="S18" i="1"/>
  <c r="P18" i="1"/>
  <c r="CW17" i="1"/>
  <c r="CV17" i="1"/>
  <c r="CT17" i="1"/>
  <c r="BI17" i="1"/>
  <c r="BH17" i="1"/>
  <c r="AZ17" i="1"/>
  <c r="AT17" i="1"/>
  <c r="AN17" i="1"/>
  <c r="BA17" i="1" s="1"/>
  <c r="BD17" i="1" s="1"/>
  <c r="AI17" i="1"/>
  <c r="AG17" i="1" s="1"/>
  <c r="Y17" i="1"/>
  <c r="X17" i="1"/>
  <c r="S17" i="1"/>
  <c r="P17" i="1"/>
  <c r="CU20" i="1" l="1"/>
  <c r="AV20" i="1" s="1"/>
  <c r="AX20" i="1" s="1"/>
  <c r="W20" i="1"/>
  <c r="W23" i="1"/>
  <c r="CU17" i="1"/>
  <c r="AV17" i="1" s="1"/>
  <c r="AX17" i="1" s="1"/>
  <c r="W17" i="1"/>
  <c r="I25" i="1"/>
  <c r="H25" i="1" s="1"/>
  <c r="AA25" i="1" s="1"/>
  <c r="J25" i="1"/>
  <c r="AW25" i="1" s="1"/>
  <c r="K25" i="1"/>
  <c r="N25" i="1"/>
  <c r="AH25" i="1"/>
  <c r="CU23" i="1"/>
  <c r="AV23" i="1" s="1"/>
  <c r="S23" i="1"/>
  <c r="T23" i="1" s="1"/>
  <c r="U23" i="1" s="1"/>
  <c r="Q23" i="1" s="1"/>
  <c r="O23" i="1" s="1"/>
  <c r="R23" i="1" s="1"/>
  <c r="L23" i="1" s="1"/>
  <c r="M23" i="1" s="1"/>
  <c r="J22" i="1"/>
  <c r="AW22" i="1" s="1"/>
  <c r="AY22" i="1" s="1"/>
  <c r="I22" i="1"/>
  <c r="H22" i="1" s="1"/>
  <c r="K22" i="1"/>
  <c r="N22" i="1"/>
  <c r="AH22" i="1"/>
  <c r="I21" i="1"/>
  <c r="H21" i="1" s="1"/>
  <c r="J21" i="1"/>
  <c r="AW21" i="1" s="1"/>
  <c r="AY21" i="1" s="1"/>
  <c r="K21" i="1"/>
  <c r="N21" i="1"/>
  <c r="AH21" i="1"/>
  <c r="I18" i="1"/>
  <c r="H18" i="1" s="1"/>
  <c r="N18" i="1"/>
  <c r="J18" i="1"/>
  <c r="AW18" i="1" s="1"/>
  <c r="AY18" i="1" s="1"/>
  <c r="K18" i="1"/>
  <c r="AH18" i="1"/>
  <c r="CU26" i="1"/>
  <c r="AV26" i="1" s="1"/>
  <c r="AX26" i="1" s="1"/>
  <c r="S26" i="1"/>
  <c r="BE26" i="1"/>
  <c r="BF26" i="1"/>
  <c r="BJ26" i="1" s="1"/>
  <c r="BK26" i="1" s="1"/>
  <c r="BG26" i="1"/>
  <c r="AH26" i="1"/>
  <c r="N26" i="1"/>
  <c r="K26" i="1"/>
  <c r="J26" i="1"/>
  <c r="AW26" i="1" s="1"/>
  <c r="AY26" i="1" s="1"/>
  <c r="I26" i="1"/>
  <c r="H26" i="1" s="1"/>
  <c r="CU25" i="1"/>
  <c r="AV25" i="1" s="1"/>
  <c r="S25" i="1"/>
  <c r="BE25" i="1"/>
  <c r="BF25" i="1"/>
  <c r="BJ25" i="1" s="1"/>
  <c r="BK25" i="1" s="1"/>
  <c r="BG25" i="1"/>
  <c r="BF24" i="1"/>
  <c r="BJ24" i="1" s="1"/>
  <c r="BK24" i="1" s="1"/>
  <c r="BE24" i="1"/>
  <c r="BG24" i="1"/>
  <c r="T24" i="1"/>
  <c r="U24" i="1" s="1"/>
  <c r="Q24" i="1" s="1"/>
  <c r="O24" i="1" s="1"/>
  <c r="R24" i="1" s="1"/>
  <c r="L24" i="1" s="1"/>
  <c r="M24" i="1" s="1"/>
  <c r="AA24" i="1"/>
  <c r="BE23" i="1"/>
  <c r="BF23" i="1"/>
  <c r="BJ23" i="1" s="1"/>
  <c r="BK23" i="1" s="1"/>
  <c r="BG23" i="1"/>
  <c r="AA23" i="1"/>
  <c r="BE22" i="1"/>
  <c r="BF22" i="1"/>
  <c r="BJ22" i="1" s="1"/>
  <c r="BK22" i="1" s="1"/>
  <c r="BG22" i="1"/>
  <c r="BF21" i="1"/>
  <c r="BJ21" i="1" s="1"/>
  <c r="BK21" i="1" s="1"/>
  <c r="BE21" i="1"/>
  <c r="BG21" i="1"/>
  <c r="BF20" i="1"/>
  <c r="BJ20" i="1" s="1"/>
  <c r="BK20" i="1" s="1"/>
  <c r="BG20" i="1"/>
  <c r="BE20" i="1"/>
  <c r="AH20" i="1"/>
  <c r="J20" i="1"/>
  <c r="AW20" i="1" s="1"/>
  <c r="I20" i="1"/>
  <c r="H20" i="1" s="1"/>
  <c r="K20" i="1"/>
  <c r="N20" i="1"/>
  <c r="T20" i="1"/>
  <c r="U20" i="1" s="1"/>
  <c r="CU19" i="1"/>
  <c r="AV19" i="1" s="1"/>
  <c r="AX19" i="1" s="1"/>
  <c r="S19" i="1"/>
  <c r="BF19" i="1"/>
  <c r="BJ19" i="1" s="1"/>
  <c r="BK19" i="1" s="1"/>
  <c r="BG19" i="1"/>
  <c r="BE19" i="1"/>
  <c r="AH19" i="1"/>
  <c r="I19" i="1"/>
  <c r="H19" i="1" s="1"/>
  <c r="J19" i="1"/>
  <c r="AW19" i="1" s="1"/>
  <c r="AY19" i="1" s="1"/>
  <c r="K19" i="1"/>
  <c r="N19" i="1"/>
  <c r="BE18" i="1"/>
  <c r="BF18" i="1"/>
  <c r="BJ18" i="1" s="1"/>
  <c r="BK18" i="1" s="1"/>
  <c r="BG18" i="1"/>
  <c r="T18" i="1"/>
  <c r="U18" i="1" s="1"/>
  <c r="AA18" i="1"/>
  <c r="Q18" i="1"/>
  <c r="O18" i="1" s="1"/>
  <c r="R18" i="1" s="1"/>
  <c r="L18" i="1" s="1"/>
  <c r="M18" i="1" s="1"/>
  <c r="BF17" i="1"/>
  <c r="BJ17" i="1" s="1"/>
  <c r="BK17" i="1" s="1"/>
  <c r="BE17" i="1"/>
  <c r="BG17" i="1"/>
  <c r="J17" i="1"/>
  <c r="AW17" i="1" s="1"/>
  <c r="N17" i="1"/>
  <c r="I17" i="1"/>
  <c r="H17" i="1" s="1"/>
  <c r="K17" i="1"/>
  <c r="AH17" i="1"/>
  <c r="T17" i="1"/>
  <c r="U17" i="1" s="1"/>
  <c r="AY23" i="1"/>
  <c r="AX23" i="1"/>
  <c r="AY17" i="1" l="1"/>
  <c r="AY20" i="1"/>
  <c r="T22" i="1"/>
  <c r="U22" i="1" s="1"/>
  <c r="AA22" i="1"/>
  <c r="AA21" i="1"/>
  <c r="T21" i="1"/>
  <c r="U21" i="1" s="1"/>
  <c r="Q21" i="1" s="1"/>
  <c r="O21" i="1" s="1"/>
  <c r="R21" i="1" s="1"/>
  <c r="L21" i="1" s="1"/>
  <c r="M21" i="1" s="1"/>
  <c r="T26" i="1"/>
  <c r="U26" i="1" s="1"/>
  <c r="Q26" i="1" s="1"/>
  <c r="O26" i="1" s="1"/>
  <c r="R26" i="1" s="1"/>
  <c r="L26" i="1" s="1"/>
  <c r="M26" i="1" s="1"/>
  <c r="AA26" i="1"/>
  <c r="AY25" i="1"/>
  <c r="AX25" i="1"/>
  <c r="T25" i="1"/>
  <c r="U25" i="1" s="1"/>
  <c r="AB24" i="1"/>
  <c r="V24" i="1"/>
  <c r="Z24" i="1" s="1"/>
  <c r="AC24" i="1"/>
  <c r="AB23" i="1"/>
  <c r="V23" i="1"/>
  <c r="Z23" i="1" s="1"/>
  <c r="AC23" i="1"/>
  <c r="AB21" i="1"/>
  <c r="V21" i="1"/>
  <c r="Z21" i="1" s="1"/>
  <c r="AC21" i="1"/>
  <c r="Q20" i="1"/>
  <c r="O20" i="1" s="1"/>
  <c r="R20" i="1" s="1"/>
  <c r="L20" i="1" s="1"/>
  <c r="M20" i="1" s="1"/>
  <c r="AA20" i="1"/>
  <c r="AB20" i="1"/>
  <c r="V20" i="1"/>
  <c r="Z20" i="1" s="1"/>
  <c r="AC20" i="1"/>
  <c r="AD20" i="1" s="1"/>
  <c r="T19" i="1"/>
  <c r="U19" i="1" s="1"/>
  <c r="Q19" i="1" s="1"/>
  <c r="O19" i="1" s="1"/>
  <c r="R19" i="1" s="1"/>
  <c r="L19" i="1" s="1"/>
  <c r="M19" i="1" s="1"/>
  <c r="AA19" i="1"/>
  <c r="AB18" i="1"/>
  <c r="V18" i="1"/>
  <c r="Z18" i="1" s="1"/>
  <c r="AC18" i="1"/>
  <c r="AD18" i="1" s="1"/>
  <c r="Q17" i="1"/>
  <c r="O17" i="1" s="1"/>
  <c r="R17" i="1" s="1"/>
  <c r="L17" i="1" s="1"/>
  <c r="M17" i="1" s="1"/>
  <c r="AA17" i="1"/>
  <c r="AB17" i="1"/>
  <c r="V17" i="1"/>
  <c r="Z17" i="1" s="1"/>
  <c r="AC17" i="1"/>
  <c r="AD24" i="1" l="1"/>
  <c r="AD23" i="1"/>
  <c r="AD21" i="1"/>
  <c r="Q22" i="1"/>
  <c r="O22" i="1" s="1"/>
  <c r="R22" i="1" s="1"/>
  <c r="L22" i="1" s="1"/>
  <c r="M22" i="1" s="1"/>
  <c r="AB22" i="1"/>
  <c r="V22" i="1"/>
  <c r="Z22" i="1" s="1"/>
  <c r="AC22" i="1"/>
  <c r="AD22" i="1" s="1"/>
  <c r="V26" i="1"/>
  <c r="Z26" i="1" s="1"/>
  <c r="AB26" i="1"/>
  <c r="AC26" i="1"/>
  <c r="AD26" i="1" s="1"/>
  <c r="Q25" i="1"/>
  <c r="O25" i="1" s="1"/>
  <c r="R25" i="1" s="1"/>
  <c r="L25" i="1" s="1"/>
  <c r="M25" i="1" s="1"/>
  <c r="AB25" i="1"/>
  <c r="V25" i="1"/>
  <c r="Z25" i="1" s="1"/>
  <c r="AC25" i="1"/>
  <c r="AD25" i="1" s="1"/>
  <c r="AB19" i="1"/>
  <c r="V19" i="1"/>
  <c r="Z19" i="1" s="1"/>
  <c r="AC19" i="1"/>
  <c r="AD19" i="1" s="1"/>
  <c r="AD17" i="1"/>
</calcChain>
</file>

<file path=xl/sharedStrings.xml><?xml version="1.0" encoding="utf-8"?>
<sst xmlns="http://schemas.openxmlformats.org/spreadsheetml/2006/main" count="747" uniqueCount="383">
  <si>
    <t>File opened</t>
  </si>
  <si>
    <t>2026-10-04 15:22:06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</si>
  <si>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</si>
  <si>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</si>
  <si>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</si>
  <si>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</si>
  <si>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</si>
  <si>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</si>
  <si>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</si>
  <si>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</si>
  <si>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</si>
  <si>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</si>
  <si>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</si>
  <si>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{"chamberpressurezero": "2.71033", "co2aspan2a": "0.106022", "co2bzero": "0.953041", "flowmeterzero": "2.483", "co2aspan2b": "0.105998", "h2oazero": "1.03097", "flowazero": "0.276", "h2oaspan2a": "0.0964052", "h2oaspan1": "1.02308", "co2azero": "0.931334", "h2obspan2a": "0.0961931", "co2aspan2": "-0.00988168", "co2aspanconc1": "437.6", "h2obspan2b": "0.0971974", "co2bspan2b": "0.105618", "h2obspanconc2": "0", "tazero": "0.15448", "co2bspanconc1": "437.6", "co2bspanconc2": "1516", "h2obspanconc1": "17.96", "h2obspan2": "0", "h2oaspan2": "0", "co2bspan2": "-0.00857283", "co2aspanconc2": "1516", "flowbzero": "0.30473", "co2aspan1": "1.00082", "oxygen": "21", "tbzero": "0.143742", "h2oaspanconc2": "0", "h2oaspanconc1": "17.96", "h2obspan1": "1.01044", "co2bspan1": "1.00005", "co2bspan2a": "0.105708", "h2oaspan2b": "0.0986302", "ssb_ref": "36242.9", "ssa_ref": "37830.5", "h2obzero": "1.01897"}</t>
  </si>
  <si>
    <t>Factory cal date</t>
  </si>
  <si>
    <t>14 Dec 2023</t>
  </si>
  <si>
    <t>CO2 rangematch</t>
  </si>
  <si>
    <t>Mon Sep 14 10:06</t>
  </si>
  <si>
    <t>H2O rangematch</t>
  </si>
  <si>
    <t>Mon Sep 14 10:14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</si>
  <si>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</si>
  <si>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</si>
  <si>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</si>
  <si>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</si>
  <si>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</si>
  <si>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</si>
  <si>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</si>
  <si>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</si>
  <si>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</si>
  <si>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15:22:06</t>
  </si>
  <si>
    <t>Stability Definition:	ΔCO2 (Meas2): Slp&lt;0.5 Per=20	F (FlrLS): Slp&lt;1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</si>
  <si>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</si>
  <si>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</si>
  <si>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</si>
  <si>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</si>
  <si>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</si>
  <si>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</si>
  <si>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</si>
  <si>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</si>
  <si>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</si>
  <si>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</si>
  <si>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</si>
  <si>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</si>
  <si>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</si>
  <si>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</si>
  <si>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</si>
  <si>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</si>
  <si>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</si>
  <si>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</si>
  <si>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</si>
  <si>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</si>
  <si>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</si>
  <si>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</si>
  <si>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</si>
  <si>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</si>
  <si>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</si>
  <si>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</si>
  <si>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</si>
  <si>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</si>
  <si>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</si>
  <si>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</si>
  <si>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</si>
  <si>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</si>
  <si>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</si>
  <si>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</si>
  <si>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</si>
  <si>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</si>
  <si>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</si>
  <si>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</si>
  <si>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</si>
  <si>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</si>
  <si>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</si>
  <si>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</si>
  <si>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</si>
  <si>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</si>
  <si>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</si>
  <si>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</si>
  <si>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</si>
  <si>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</si>
  <si>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</si>
  <si>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</si>
  <si>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</si>
  <si>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</si>
  <si>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4.72514 203.78 363.155 594.255 857.394 1066.3 1251.07 1380.19</t>
  </si>
  <si>
    <t>Fs_true</t>
  </si>
  <si>
    <t>0.127932 227.245 386.898 590.184 811.883 1001.42 1202.73 1400.77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</si>
  <si>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</si>
  <si>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</si>
  <si>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</si>
  <si>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</si>
  <si>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</si>
  <si>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</si>
  <si>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</si>
  <si>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</si>
  <si>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</si>
  <si>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</si>
  <si>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</si>
  <si>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</si>
  <si>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</si>
  <si>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</si>
  <si>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</si>
  <si>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</si>
  <si>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</si>
  <si>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</si>
  <si>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</si>
  <si>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</si>
  <si>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</si>
  <si>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</si>
  <si>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</si>
  <si>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</si>
  <si>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</si>
  <si>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</si>
  <si>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</si>
  <si>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</si>
  <si>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</si>
  <si>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</si>
  <si>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</si>
  <si>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</si>
  <si>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</si>
  <si>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</si>
  <si>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</si>
  <si>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</si>
  <si>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</si>
  <si>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</si>
  <si>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</si>
  <si>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</si>
  <si>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</si>
  <si>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</si>
  <si>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</si>
  <si>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</si>
  <si>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</si>
  <si>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</si>
  <si>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</si>
  <si>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</si>
  <si>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</si>
  <si>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</si>
  <si>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</si>
  <si>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</si>
  <si>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</si>
  <si>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</si>
  <si>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</si>
  <si>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</si>
  <si>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</si>
  <si>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</si>
  <si>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</si>
  <si>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</si>
  <si>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</si>
  <si>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</si>
  <si>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</si>
  <si>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</si>
  <si>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</si>
  <si>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</si>
  <si>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</si>
  <si>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</si>
  <si>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</si>
  <si>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</si>
  <si>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</si>
  <si>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</si>
  <si>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</si>
  <si>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</si>
  <si>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</si>
  <si>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</si>
  <si>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</si>
  <si>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</si>
  <si>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</si>
  <si>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</si>
  <si>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</si>
  <si>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</si>
  <si>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</si>
  <si>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</si>
  <si>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</si>
  <si>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</si>
  <si>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</si>
  <si>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</si>
  <si>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</si>
  <si>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</si>
  <si>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</si>
  <si>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</si>
  <si>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</si>
  <si>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</si>
  <si>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</si>
  <si>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</si>
  <si>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</si>
  <si>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</si>
  <si>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</si>
  <si>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</si>
  <si>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</si>
  <si>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</si>
  <si>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</si>
  <si>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</si>
  <si>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</si>
  <si>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</si>
  <si>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</si>
  <si>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</si>
  <si>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</si>
  <si>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</si>
  <si>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</si>
  <si>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</si>
  <si>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</si>
  <si>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</si>
  <si>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</si>
  <si>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</si>
  <si>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</si>
  <si>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</si>
  <si>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</si>
  <si>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</si>
  <si>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</si>
  <si>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</si>
  <si>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</si>
  <si>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</si>
  <si>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</si>
  <si>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</si>
  <si>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</si>
  <si>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</si>
  <si>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</si>
  <si>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</si>
  <si>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</si>
  <si>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</si>
  <si>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</si>
  <si>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</si>
  <si>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</si>
  <si>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</si>
  <si>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</si>
  <si>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</si>
  <si>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</si>
  <si>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</si>
  <si>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</si>
  <si>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</si>
  <si>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</si>
  <si>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</si>
  <si>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</si>
  <si>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</si>
  <si>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</si>
  <si>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</si>
  <si>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</si>
  <si>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</si>
  <si>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</si>
  <si>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</si>
  <si>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</si>
  <si>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</si>
  <si>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</si>
  <si>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</si>
  <si>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</si>
  <si>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</si>
  <si>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</si>
  <si>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</si>
  <si>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</si>
  <si>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</si>
  <si>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</si>
  <si>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</si>
  <si>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</si>
  <si>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</si>
  <si>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</si>
  <si>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</si>
  <si>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</si>
  <si>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</si>
  <si>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</si>
  <si>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</si>
  <si>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</si>
  <si>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</si>
  <si>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</si>
  <si>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</si>
  <si>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</si>
  <si>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</si>
  <si>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</si>
  <si>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</si>
  <si>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</si>
  <si>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</si>
  <si>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</si>
  <si>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</si>
  <si>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</si>
  <si>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</si>
  <si>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</si>
  <si>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</si>
  <si>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</si>
  <si>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</si>
  <si>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</si>
  <si>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</si>
  <si>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</si>
  <si>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</si>
  <si>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</si>
  <si>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</si>
  <si>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</si>
  <si>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</si>
  <si>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</si>
  <si>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</si>
  <si>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</si>
  <si>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</si>
  <si>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</si>
  <si>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</si>
  <si>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</si>
  <si>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</si>
  <si>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</si>
  <si>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</si>
  <si>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</si>
  <si>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</si>
  <si>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</si>
  <si>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</si>
  <si>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</si>
  <si>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</si>
  <si>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</si>
  <si>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</si>
  <si>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</si>
  <si>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</si>
  <si>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</si>
  <si>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</si>
  <si>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</si>
  <si>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</si>
  <si>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</si>
  <si>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</si>
  <si>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</si>
  <si>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</si>
  <si>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</si>
  <si>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</si>
  <si>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</si>
  <si>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</si>
  <si>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</si>
  <si>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</si>
  <si>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</si>
  <si>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</si>
  <si>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</si>
  <si>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</si>
  <si>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</si>
  <si>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</si>
  <si>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</si>
  <si>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</si>
  <si>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</si>
  <si>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</si>
  <si>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</si>
  <si>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</si>
  <si>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</si>
  <si>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</si>
  <si>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</si>
  <si>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</si>
  <si>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</si>
  <si>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</si>
  <si>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</si>
  <si>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</si>
  <si>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</si>
  <si>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</si>
  <si>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</si>
  <si>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20261004 15:47:47</t>
  </si>
  <si>
    <t>15:47:47</t>
  </si>
  <si>
    <t>MPF-117-20261004-14_15_26</t>
  </si>
  <si>
    <t>MPF-118-20261004-15_47_52</t>
  </si>
  <si>
    <t>-</t>
  </si>
  <si>
    <t>0: Broadleaf</t>
  </si>
  <si>
    <t>15:41:45</t>
  </si>
  <si>
    <t>3/3</t>
  </si>
  <si>
    <t>20261004 15:50:09</t>
  </si>
  <si>
    <t>15:50:09</t>
  </si>
  <si>
    <t>MPF-119-20261004-15_50_14</t>
  </si>
  <si>
    <t>20261004 15:53:12</t>
  </si>
  <si>
    <t>15:53:12</t>
  </si>
  <si>
    <t>MPF-120-20261004-15_53_17</t>
  </si>
  <si>
    <t>2/3</t>
  </si>
  <si>
    <t>20261004 15:56:15</t>
  </si>
  <si>
    <t>15:56:15</t>
  </si>
  <si>
    <t>MPF-121-20261004-15_56_20</t>
  </si>
  <si>
    <t>20261004 15:59:18</t>
  </si>
  <si>
    <t>15:59:18</t>
  </si>
  <si>
    <t>MPF-122-20261004-15_59_23</t>
  </si>
  <si>
    <t>20261004 16:01:33</t>
  </si>
  <si>
    <t>16:01:33</t>
  </si>
  <si>
    <t>MPF-123-20261004-16_01_38</t>
  </si>
  <si>
    <t>16:00:34</t>
  </si>
  <si>
    <t>20261004 16:03:36</t>
  </si>
  <si>
    <t>16:03:36</t>
  </si>
  <si>
    <t>MPF-124-20261004-16_03_41</t>
  </si>
  <si>
    <t>16:02:49</t>
  </si>
  <si>
    <t>20261004 16:06:39</t>
  </si>
  <si>
    <t>16:06:39</t>
  </si>
  <si>
    <t>MPF-125-20261004-16_06_44</t>
  </si>
  <si>
    <t>16:04:46</t>
  </si>
  <si>
    <t>20261004 16:09:42</t>
  </si>
  <si>
    <t>16:09:42</t>
  </si>
  <si>
    <t>MPF-126-20261004-16_09_47</t>
  </si>
  <si>
    <t>16:08:10</t>
  </si>
  <si>
    <t>1/3</t>
  </si>
  <si>
    <t>20261004 16:12:45</t>
  </si>
  <si>
    <t>16:12:45</t>
  </si>
  <si>
    <t>MPF-127-20261004-16_12_50</t>
  </si>
  <si>
    <t>0/3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</si>
</sst>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6"/>
  <sheetViews>
    <sheetView tabSelected="1" workbookViewId="0"/>
  </sheetViews>
  <sheetFormatPr defaultRowHeight="16.899999999999999" x14ac:dyDescent="0.6"/>
  <sheetData>
    <row r="2" spans="1:216" x14ac:dyDescent="0.6">
      <c r="A2" t="s">
        <v>31</v>
      </c>
      <c r="B2" t="s">
        <v>32</v>
      </c>
      <c r="C2" t="s">
        <v>34</v>
      </c>
    </row>
    <row r="3" spans="1:216" x14ac:dyDescent="0.6">
      <c r="B3" t="s">
        <v>33</v>
      </c>
      <c r="C3">
        <v>21</v>
      </c>
    </row>
    <row r="4" spans="1:216" x14ac:dyDescent="0.6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 x14ac:dyDescent="0.6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6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 x14ac:dyDescent="0.6">
      <c r="B7">
        <v>0</v>
      </c>
      <c r="C7">
        <v>1</v>
      </c>
      <c r="D7">
        <v>0</v>
      </c>
      <c r="E7">
        <v>0</v>
      </c>
    </row>
    <row r="8" spans="1:216" x14ac:dyDescent="0.6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 x14ac:dyDescent="0.6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6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 x14ac:dyDescent="0.6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6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 x14ac:dyDescent="0.6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16" x14ac:dyDescent="0.6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 x14ac:dyDescent="0.6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 x14ac:dyDescent="0.6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 x14ac:dyDescent="0.6">
      <c r="A17">
        <v>1</v>
      </c>
      <c r="B17">
        <v>1791096467</v>
      </c>
      <c r="C17">
        <v>0</v>
      </c>
      <c r="D17" t="s">
        <v>341</v>
      </c>
      <c r="E17" t="s">
        <v>342</v>
      </c>
      <c r="F17">
        <v>5</v>
      </c>
      <c r="G17">
        <v>1791096463.5</v>
      </c>
      <c r="H17">
        <f t="shared" ref="H17:H26" si="0">(I17)/1000</f>
        <v>5.2632898651852039E-3</v>
      </c>
      <c r="I17">
        <f t="shared" ref="I17:I26" si="1">1000*DI17*AG17*(DE17-DF17)/(100*CX17*(1000-AG17*DE17))</f>
        <v>5.2632898651852038</v>
      </c>
      <c r="J17">
        <f t="shared" ref="J17:J26" si="2">DI17*AG17*(DD17-DC17*(1000-AG17*DF17)/(1000-AG17*DE17))/(100*CX17)</f>
        <v>24.434069977407468</v>
      </c>
      <c r="K17">
        <f t="shared" ref="K17:K26" si="3">DC17 - IF(AG17&gt;1, J17*CX17*100/(AI17), 0)</f>
        <v>399.99700000000001</v>
      </c>
      <c r="L17">
        <f t="shared" ref="L17:L26" si="4">((R17-H17/2)*K17-J17)/(R17+H17/2)</f>
        <v>288.06035147440645</v>
      </c>
      <c r="M17">
        <f t="shared" ref="M17:M26" si="5">L17*(DJ17+DK17)/1000</f>
        <v>29.079602611312581</v>
      </c>
      <c r="N17">
        <f t="shared" ref="N17:N26" si="6">(DC17 - IF(AG17&gt;1, J17*CX17*100/(AI17), 0))*(DJ17+DK17)/1000</f>
        <v>40.379572357602484</v>
      </c>
      <c r="O17">
        <f t="shared" ref="O17:O26" si="7">2/((1/Q17-1/P17)+SIGN(Q17)*SQRT((1/Q17-1/P17)*(1/Q17-1/P17) + 4*CY17/((CY17+1)*(CY17+1))*(2*1/Q17*1/P17-1/P17*1/P17)))</f>
        <v>0.39850532974880509</v>
      </c>
      <c r="P17">
        <f t="shared" ref="P17:P26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3.0287570141622968</v>
      </c>
      <c r="Q17">
        <f t="shared" ref="Q17:Q26" si="9">H17*(1000-(1000*0.61365*EXP(17.502*U17/(240.97+U17))/(DJ17+DK17)+DE17)/2)/(1000*0.61365*EXP(17.502*U17/(240.97+U17))/(DJ17+DK17)-DE17)</f>
        <v>0.37149996825820258</v>
      </c>
      <c r="R17">
        <f t="shared" ref="R17:R26" si="10">1/((CY17+1)/(O17/1.6)+1/(P17/1.37)) + CY17/((CY17+1)/(O17/1.6) + CY17/(P17/1.37))</f>
        <v>0.23446112569421337</v>
      </c>
      <c r="S17">
        <f t="shared" ref="S17:S26" si="11">(CT17*CW17)</f>
        <v>241.74003601557874</v>
      </c>
      <c r="T17">
        <f t="shared" ref="T17:T26" si="12">(DL17+(S17+2*0.95*0.0000000567*(((DL17+$B$7)+273)^4-(DL17+273)^4)-44100*H17)/(1.84*29.3*P17+8*0.95*0.0000000567*(DL17+273)^3))</f>
        <v>25.376091913572932</v>
      </c>
      <c r="U17">
        <f t="shared" ref="U17:U26" si="13">($C$7*DM17+$D$7*DN17+$E$7*T17)</f>
        <v>24.995416666666699</v>
      </c>
      <c r="V17">
        <f t="shared" ref="V17:V26" si="14">0.61365*EXP(17.502*U17/(240.97+U17))</f>
        <v>3.1788088335561997</v>
      </c>
      <c r="W17">
        <f t="shared" ref="W17:W26" si="15">(X17/Y17*100)</f>
        <v>55.036100235599939</v>
      </c>
      <c r="X17">
        <f t="shared" ref="X17:X26" si="16">DE17*(DJ17+DK17)/1000</f>
        <v>1.7837406073792872</v>
      </c>
      <c r="Y17">
        <f t="shared" ref="Y17:Y26" si="17">0.61365*EXP(17.502*DL17/(240.97+DL17))</f>
        <v>3.2410374276945588</v>
      </c>
      <c r="Z17">
        <f t="shared" ref="Z17:Z26" si="18">(V17-DE17*(DJ17+DK17)/1000)</f>
        <v>1.3950682261769125</v>
      </c>
      <c r="AA17">
        <f t="shared" ref="AA17:AA26" si="19">(-H17*44100)</f>
        <v>-232.11108305466749</v>
      </c>
      <c r="AB17">
        <f t="shared" ref="AB17:AB26" si="20">2*29.3*P17*0.92*(DL17-U17)</f>
        <v>53.160592078549229</v>
      </c>
      <c r="AC17">
        <f t="shared" ref="AC17:AC26" si="21">2*0.95*0.0000000567*(((DL17+$B$7)+273)^4-(U17+273)^4)</f>
        <v>3.7185787853406174</v>
      </c>
      <c r="AD17">
        <f t="shared" ref="AD17:AD26" si="22">S17+AC17+AA17+AB17</f>
        <v>66.508123824801089</v>
      </c>
      <c r="AE17">
        <v>0</v>
      </c>
      <c r="AF17">
        <v>0</v>
      </c>
      <c r="AG17">
        <f t="shared" ref="AG17:AG26" si="23">IF(AE17*$H$13&gt;=AI17,1,(AI17/(AI17-AE17*$H$13)))</f>
        <v>1</v>
      </c>
      <c r="AH17">
        <f t="shared" ref="AH17:AH26" si="24">(AG17-1)*100</f>
        <v>0</v>
      </c>
      <c r="AI17">
        <f t="shared" ref="AI17:AI26" si="25">MAX(0,($B$13+$C$13*DQ17)/(1+$D$13*DQ17)*DJ17/(DL17+273)*$E$13)</f>
        <v>53739.193385423612</v>
      </c>
      <c r="AJ17" t="s">
        <v>343</v>
      </c>
      <c r="AK17">
        <v>8132.16</v>
      </c>
      <c r="AL17">
        <v>260.56826923076898</v>
      </c>
      <c r="AM17">
        <v>1021.61977518023</v>
      </c>
      <c r="AN17">
        <f t="shared" ref="AN17:AN26" si="26">1-AL17/AM17</f>
        <v>0.74494594215856824</v>
      </c>
      <c r="AO17">
        <v>-1.8876086661470599</v>
      </c>
      <c r="AP17" t="s">
        <v>344</v>
      </c>
      <c r="AQ17">
        <v>8144.6</v>
      </c>
      <c r="AR17">
        <v>291.91728000000001</v>
      </c>
      <c r="AS17">
        <v>392.65427269501902</v>
      </c>
      <c r="AT17">
        <f t="shared" ref="AT17:AT26" si="27">1-AR17/AS17</f>
        <v>0.25655391956797347</v>
      </c>
      <c r="AU17">
        <v>0.5</v>
      </c>
      <c r="AV17">
        <f t="shared" ref="AV17:AV26" si="28">CU17</f>
        <v>1261.2276000080719</v>
      </c>
      <c r="AW17">
        <f t="shared" ref="AW17:AW26" si="29">J17</f>
        <v>24.434069977407468</v>
      </c>
      <c r="AX17">
        <f t="shared" ref="AX17:AX26" si="30">AT17*AU17*AV17</f>
        <v>161.78644212468956</v>
      </c>
      <c r="AY17">
        <f t="shared" ref="AY17:AY26" si="31">(AW17-AO17)/AV17</f>
        <v>2.0869887911893197E-2</v>
      </c>
      <c r="AZ17">
        <f t="shared" ref="AZ17:AZ26" si="32">(AM17-AS17)/AS17</f>
        <v>1.6018302772264463</v>
      </c>
      <c r="BA17">
        <f t="shared" ref="BA17:BA26" si="33">AL17/(AN17+AL17/AS17)</f>
        <v>184.98999432794963</v>
      </c>
      <c r="BB17" t="s">
        <v>345</v>
      </c>
      <c r="BC17">
        <v>0</v>
      </c>
      <c r="BD17">
        <f t="shared" ref="BD17:BD26" si="34">IF(BC17&lt;&gt;0, BC17, BA17)</f>
        <v>184.98999432794963</v>
      </c>
      <c r="BE17">
        <f t="shared" ref="BE17:BE26" si="35">1-BD17/AS17</f>
        <v>0.52887308965657331</v>
      </c>
      <c r="BF17">
        <f t="shared" ref="BF17:BF26" si="36">(AS17-AR17)/(AS17-BD17)</f>
        <v>0.48509543137195377</v>
      </c>
      <c r="BG17">
        <f t="shared" ref="BG17:BG26" si="37">(AM17-AS17)/(AM17-BD17)</f>
        <v>0.75178474025210962</v>
      </c>
      <c r="BH17">
        <f t="shared" ref="BH17:BH26" si="38">(AS17-AR17)/(AS17-AL17)</f>
        <v>0.76266212961984392</v>
      </c>
      <c r="BI17">
        <f t="shared" ref="BI17:BI26" si="39">(AM17-AS17)/(AM17-AL17)</f>
        <v>0.82644275396385403</v>
      </c>
      <c r="BJ17">
        <f t="shared" ref="BJ17:BJ26" si="40">(BF17*BD17/AR17)</f>
        <v>0.3074083216245781</v>
      </c>
      <c r="BK17">
        <f t="shared" ref="BK17:BK26" si="41">(1-BJ17)</f>
        <v>0.6925916783754219</v>
      </c>
      <c r="BL17">
        <v>118</v>
      </c>
      <c r="BM17">
        <v>290</v>
      </c>
      <c r="BN17">
        <v>372.37</v>
      </c>
      <c r="BO17">
        <v>295</v>
      </c>
      <c r="BP17">
        <v>8144.6</v>
      </c>
      <c r="BQ17">
        <v>370.85</v>
      </c>
      <c r="BR17">
        <v>1.52</v>
      </c>
      <c r="BS17">
        <v>300</v>
      </c>
      <c r="BT17">
        <v>19.100000000000001</v>
      </c>
      <c r="BU17">
        <v>392.65427269501902</v>
      </c>
      <c r="BV17">
        <v>3.0231905269979902</v>
      </c>
      <c r="BW17">
        <v>-17.755594329577601</v>
      </c>
      <c r="BX17">
        <v>2.2531965691108802</v>
      </c>
      <c r="BY17">
        <v>0.68922464837268305</v>
      </c>
      <c r="BZ17">
        <v>-4.3891012235817498E-3</v>
      </c>
      <c r="CA17">
        <v>290</v>
      </c>
      <c r="CB17">
        <v>371.21</v>
      </c>
      <c r="CC17">
        <v>675</v>
      </c>
      <c r="CD17">
        <v>8139.92</v>
      </c>
      <c r="CE17">
        <v>370.84</v>
      </c>
      <c r="CF17">
        <v>0.37</v>
      </c>
      <c r="CT17">
        <f t="shared" ref="CT17:CT26" si="42">$B$11*DR17+$C$11*DS17+$F$11*DT17*(1-DW17)</f>
        <v>1500.02</v>
      </c>
      <c r="CU17">
        <f t="shared" ref="CU17:CU26" si="43">CT17*CV17</f>
        <v>1261.2276000080719</v>
      </c>
      <c r="CV17">
        <f t="shared" ref="CV17:CV26" si="44">($B$11*$D$9+$C$11*$D$9+$F$11*((EG17+DY17)/MAX(EG17+DY17+EH17, 0.1)*$I$9+EH17/MAX(EG17+DY17+EH17, 0.1)*$J$9))/($B$11+$C$11+$F$11)</f>
        <v>0.84080718924285802</v>
      </c>
      <c r="CW17">
        <f t="shared" ref="CW17:CW26" si="45">($B$11*$K$9+$C$11*$K$9+$F$11*((EG17+DY17)/MAX(EG17+DY17+EH17, 0.1)*$P$9+EH17/MAX(EG17+DY17+EH17, 0.1)*$Q$9))/($B$11+$C$11+$F$11)</f>
        <v>0.16115787523871597</v>
      </c>
      <c r="CX17">
        <v>2</v>
      </c>
      <c r="CY17">
        <v>0.5</v>
      </c>
      <c r="CZ17" t="s">
        <v>346</v>
      </c>
      <c r="DA17">
        <v>2</v>
      </c>
      <c r="DB17">
        <v>1791096463.5</v>
      </c>
      <c r="DC17">
        <v>399.99700000000001</v>
      </c>
      <c r="DD17">
        <v>410.612666666667</v>
      </c>
      <c r="DE17">
        <v>17.669599999999999</v>
      </c>
      <c r="DF17">
        <v>15.6015</v>
      </c>
      <c r="DG17">
        <v>400.26583333333298</v>
      </c>
      <c r="DH17">
        <v>17.8356666666667</v>
      </c>
      <c r="DI17">
        <v>500.00383333333298</v>
      </c>
      <c r="DJ17">
        <v>100.849833333333</v>
      </c>
      <c r="DK17">
        <v>9.9854683333333305E-2</v>
      </c>
      <c r="DL17">
        <v>25.320983333333299</v>
      </c>
      <c r="DM17">
        <v>24.995416666666699</v>
      </c>
      <c r="DN17">
        <v>999.9</v>
      </c>
      <c r="DO17">
        <v>0</v>
      </c>
      <c r="DP17">
        <v>0</v>
      </c>
      <c r="DQ17">
        <v>10021.8833333333</v>
      </c>
      <c r="DR17">
        <v>0</v>
      </c>
      <c r="DS17">
        <v>8.2174250000000004</v>
      </c>
      <c r="DT17">
        <v>1500.02</v>
      </c>
      <c r="DU17">
        <v>0.97300500000000001</v>
      </c>
      <c r="DV17">
        <v>2.6995316666666699E-2</v>
      </c>
      <c r="DW17">
        <v>0</v>
      </c>
      <c r="DX17">
        <v>291.779</v>
      </c>
      <c r="DY17">
        <v>4.9999900000000004</v>
      </c>
      <c r="DZ17">
        <v>4328.26166666667</v>
      </c>
      <c r="EA17">
        <v>14882.8166666667</v>
      </c>
      <c r="EB17">
        <v>37.875</v>
      </c>
      <c r="EC17">
        <v>39.551666666666698</v>
      </c>
      <c r="ED17">
        <v>38.5</v>
      </c>
      <c r="EE17">
        <v>39</v>
      </c>
      <c r="EF17">
        <v>39.436999999999998</v>
      </c>
      <c r="EG17">
        <v>1454.66</v>
      </c>
      <c r="EH17">
        <v>40.36</v>
      </c>
      <c r="EI17">
        <v>0</v>
      </c>
      <c r="EJ17">
        <v>5543.7999999523199</v>
      </c>
      <c r="EK17">
        <v>0</v>
      </c>
      <c r="EL17">
        <v>291.91728000000001</v>
      </c>
      <c r="EM17">
        <v>-0.12692305301591</v>
      </c>
      <c r="EN17">
        <v>-1.9607692505150101</v>
      </c>
      <c r="EO17">
        <v>4328.3343999999997</v>
      </c>
      <c r="EP17">
        <v>15</v>
      </c>
      <c r="EQ17">
        <v>1791096105</v>
      </c>
      <c r="ER17" t="s">
        <v>347</v>
      </c>
      <c r="ES17">
        <v>1791096095</v>
      </c>
      <c r="ET17">
        <v>1791096105</v>
      </c>
      <c r="EU17">
        <v>52</v>
      </c>
      <c r="EV17">
        <v>9.9000000000000005E-2</v>
      </c>
      <c r="EW17">
        <v>1E-3</v>
      </c>
      <c r="EX17">
        <v>-0.255</v>
      </c>
      <c r="EY17">
        <v>-0.17199999999999999</v>
      </c>
      <c r="EZ17">
        <v>411</v>
      </c>
      <c r="FA17">
        <v>16</v>
      </c>
      <c r="FB17">
        <v>0.08</v>
      </c>
      <c r="FC17">
        <v>0.03</v>
      </c>
      <c r="FD17">
        <v>24.423047261927898</v>
      </c>
      <c r="FE17">
        <v>-0.209981259333099</v>
      </c>
      <c r="FF17">
        <v>8.8405704210451699E-2</v>
      </c>
      <c r="FG17">
        <v>1</v>
      </c>
      <c r="FH17">
        <v>-10.615595000000001</v>
      </c>
      <c r="FI17">
        <v>0.15352330827070099</v>
      </c>
      <c r="FJ17">
        <v>3.4085649106332203E-2</v>
      </c>
      <c r="FK17">
        <v>1</v>
      </c>
      <c r="FL17">
        <v>291.94155882352902</v>
      </c>
      <c r="FM17">
        <v>-0.97135216766888199</v>
      </c>
      <c r="FN17">
        <v>0.46638384791780502</v>
      </c>
      <c r="FO17">
        <v>1</v>
      </c>
      <c r="FP17">
        <v>3</v>
      </c>
      <c r="FQ17">
        <v>3</v>
      </c>
      <c r="FR17" t="s">
        <v>348</v>
      </c>
      <c r="FS17">
        <v>100</v>
      </c>
      <c r="FT17">
        <v>100</v>
      </c>
      <c r="FU17">
        <v>-0.26800000000000002</v>
      </c>
      <c r="FV17">
        <v>-0.16600000000000001</v>
      </c>
      <c r="FW17">
        <v>-0.69356014002401101</v>
      </c>
      <c r="FX17">
        <v>7.6835882421071803E-4</v>
      </c>
      <c r="FY17">
        <v>7.9312579872174805E-7</v>
      </c>
      <c r="FZ17">
        <v>-1.5433145656851401E-10</v>
      </c>
      <c r="GA17">
        <v>-1.6530196841246601E-2</v>
      </c>
      <c r="GB17">
        <v>-2.1578312386681502E-2</v>
      </c>
      <c r="GC17">
        <v>7.7134661959739901E-4</v>
      </c>
      <c r="GD17">
        <v>-1.7684492548540801E-6</v>
      </c>
      <c r="GE17">
        <v>4</v>
      </c>
      <c r="GF17">
        <v>2093</v>
      </c>
      <c r="GG17">
        <v>1</v>
      </c>
      <c r="GH17">
        <v>31</v>
      </c>
      <c r="GI17">
        <v>6.2</v>
      </c>
      <c r="GJ17">
        <v>6</v>
      </c>
      <c r="GK17">
        <v>1.0620099999999999</v>
      </c>
      <c r="GL17">
        <v>2.65747</v>
      </c>
      <c r="GM17">
        <v>1.65161</v>
      </c>
      <c r="GN17">
        <v>2.2814899999999998</v>
      </c>
      <c r="GO17">
        <v>1.5979000000000001</v>
      </c>
      <c r="GP17">
        <v>2.4597199999999999</v>
      </c>
      <c r="GQ17">
        <v>37.050899999999999</v>
      </c>
      <c r="GR17">
        <v>16.0671</v>
      </c>
      <c r="GS17">
        <v>18</v>
      </c>
      <c r="GT17">
        <v>506.96300000000002</v>
      </c>
      <c r="GU17">
        <v>509.39299999999997</v>
      </c>
      <c r="GV17">
        <v>21.1416</v>
      </c>
      <c r="GW17">
        <v>30.4938</v>
      </c>
      <c r="GX17">
        <v>30.000299999999999</v>
      </c>
      <c r="GY17">
        <v>30.576599999999999</v>
      </c>
      <c r="GZ17">
        <v>30.621700000000001</v>
      </c>
      <c r="HA17">
        <v>21.247599999999998</v>
      </c>
      <c r="HB17">
        <v>24.414300000000001</v>
      </c>
      <c r="HC17">
        <v>0</v>
      </c>
      <c r="HD17">
        <v>21.1431</v>
      </c>
      <c r="HE17">
        <v>410.63099999999997</v>
      </c>
      <c r="HF17">
        <v>15.582599999999999</v>
      </c>
      <c r="HG17">
        <v>97.832700000000003</v>
      </c>
      <c r="HH17">
        <v>94.408799999999999</v>
      </c>
    </row>
    <row r="18" spans="1:216" x14ac:dyDescent="0.6">
      <c r="A18">
        <v>2</v>
      </c>
      <c r="B18">
        <v>1791096609</v>
      </c>
      <c r="C18">
        <v>142</v>
      </c>
      <c r="D18" t="s">
        <v>349</v>
      </c>
      <c r="E18" t="s">
        <v>350</v>
      </c>
      <c r="F18">
        <v>5</v>
      </c>
      <c r="G18">
        <v>1791096605.5</v>
      </c>
      <c r="H18">
        <f t="shared" si="0"/>
        <v>4.9324275251484374E-3</v>
      </c>
      <c r="I18">
        <f t="shared" si="1"/>
        <v>4.9324275251484373</v>
      </c>
      <c r="J18">
        <f t="shared" si="2"/>
        <v>23.790922098485488</v>
      </c>
      <c r="K18">
        <f t="shared" si="3"/>
        <v>399.93583333333299</v>
      </c>
      <c r="L18">
        <f t="shared" si="4"/>
        <v>285.14798766305876</v>
      </c>
      <c r="M18">
        <f t="shared" si="5"/>
        <v>28.787339981236936</v>
      </c>
      <c r="N18">
        <f t="shared" si="6"/>
        <v>40.375837470227054</v>
      </c>
      <c r="O18">
        <f t="shared" si="7"/>
        <v>0.3760748326488334</v>
      </c>
      <c r="P18">
        <f t="shared" si="8"/>
        <v>3.0251343538231792</v>
      </c>
      <c r="Q18">
        <f t="shared" si="9"/>
        <v>0.35189828137923068</v>
      </c>
      <c r="R18">
        <f t="shared" si="10"/>
        <v>0.22197894818529751</v>
      </c>
      <c r="S18">
        <f t="shared" si="11"/>
        <v>193.80357601902978</v>
      </c>
      <c r="T18">
        <f t="shared" si="12"/>
        <v>25.421718118459417</v>
      </c>
      <c r="U18">
        <f t="shared" si="13"/>
        <v>25.008583333333299</v>
      </c>
      <c r="V18">
        <f t="shared" si="14"/>
        <v>3.1813050919450063</v>
      </c>
      <c r="W18">
        <f t="shared" si="15"/>
        <v>54.797821459429322</v>
      </c>
      <c r="X18">
        <f t="shared" si="16"/>
        <v>1.8011640037773415</v>
      </c>
      <c r="Y18">
        <f t="shared" si="17"/>
        <v>3.2869262970807518</v>
      </c>
      <c r="Z18">
        <f t="shared" si="18"/>
        <v>1.3801410881676648</v>
      </c>
      <c r="AA18">
        <f t="shared" si="19"/>
        <v>-217.5200538590461</v>
      </c>
      <c r="AB18">
        <f t="shared" si="20"/>
        <v>89.536982762540561</v>
      </c>
      <c r="AC18">
        <f t="shared" si="21"/>
        <v>6.2784904004792255</v>
      </c>
      <c r="AD18">
        <f t="shared" si="22"/>
        <v>72.098995323003464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53584.116269527251</v>
      </c>
      <c r="AJ18" t="s">
        <v>343</v>
      </c>
      <c r="AK18">
        <v>8132.16</v>
      </c>
      <c r="AL18">
        <v>260.56826923076898</v>
      </c>
      <c r="AM18">
        <v>1021.61977518023</v>
      </c>
      <c r="AN18">
        <f t="shared" si="26"/>
        <v>0.74494594215856824</v>
      </c>
      <c r="AO18">
        <v>-1.8876086661470599</v>
      </c>
      <c r="AP18" t="s">
        <v>351</v>
      </c>
      <c r="AQ18">
        <v>8147.06</v>
      </c>
      <c r="AR18">
        <v>292.57488461538497</v>
      </c>
      <c r="AS18">
        <v>435.28998186720298</v>
      </c>
      <c r="AT18">
        <f t="shared" si="27"/>
        <v>0.32786212225614031</v>
      </c>
      <c r="AU18">
        <v>0.5</v>
      </c>
      <c r="AV18">
        <f t="shared" si="28"/>
        <v>1009.1832000098599</v>
      </c>
      <c r="AW18">
        <f t="shared" si="29"/>
        <v>23.790922098485488</v>
      </c>
      <c r="AX18">
        <f t="shared" si="30"/>
        <v>165.43647285023778</v>
      </c>
      <c r="AY18">
        <f t="shared" si="31"/>
        <v>2.5444865475744805E-2</v>
      </c>
      <c r="AZ18">
        <f t="shared" si="32"/>
        <v>1.3469866473791323</v>
      </c>
      <c r="BA18">
        <f t="shared" si="33"/>
        <v>193.93949901735976</v>
      </c>
      <c r="BB18" t="s">
        <v>345</v>
      </c>
      <c r="BC18">
        <v>0</v>
      </c>
      <c r="BD18">
        <f t="shared" si="34"/>
        <v>193.93949901735976</v>
      </c>
      <c r="BE18">
        <f t="shared" si="35"/>
        <v>0.55445907993231447</v>
      </c>
      <c r="BF18">
        <f t="shared" si="36"/>
        <v>0.59131888018889334</v>
      </c>
      <c r="BG18">
        <f t="shared" si="37"/>
        <v>0.70840131171332821</v>
      </c>
      <c r="BH18">
        <f t="shared" si="38"/>
        <v>0.81681374969568732</v>
      </c>
      <c r="BI18">
        <f t="shared" si="39"/>
        <v>0.77042064660465093</v>
      </c>
      <c r="BJ18">
        <f t="shared" si="40"/>
        <v>0.3919683247388</v>
      </c>
      <c r="BK18">
        <f t="shared" si="41"/>
        <v>0.60803167526120006</v>
      </c>
      <c r="BL18">
        <v>119</v>
      </c>
      <c r="BM18">
        <v>290</v>
      </c>
      <c r="BN18">
        <v>400.75</v>
      </c>
      <c r="BO18">
        <v>245</v>
      </c>
      <c r="BP18">
        <v>8147.06</v>
      </c>
      <c r="BQ18">
        <v>401.7</v>
      </c>
      <c r="BR18">
        <v>-0.95</v>
      </c>
      <c r="BS18">
        <v>300</v>
      </c>
      <c r="BT18">
        <v>19.100000000000001</v>
      </c>
      <c r="BU18">
        <v>435.28998186720298</v>
      </c>
      <c r="BV18">
        <v>2.9572387871572499</v>
      </c>
      <c r="BW18">
        <v>-27.365173682776199</v>
      </c>
      <c r="BX18">
        <v>2.1945547160628802</v>
      </c>
      <c r="BY18">
        <v>0.84740346390846499</v>
      </c>
      <c r="BZ18">
        <v>-4.5905192436040097E-3</v>
      </c>
      <c r="CA18">
        <v>290</v>
      </c>
      <c r="CB18">
        <v>399.74</v>
      </c>
      <c r="CC18">
        <v>685</v>
      </c>
      <c r="CD18">
        <v>8140.74</v>
      </c>
      <c r="CE18">
        <v>401.67</v>
      </c>
      <c r="CF18">
        <v>-1.93</v>
      </c>
      <c r="CT18">
        <f t="shared" si="42"/>
        <v>1200</v>
      </c>
      <c r="CU18">
        <f t="shared" si="43"/>
        <v>1009.1832000098599</v>
      </c>
      <c r="CV18">
        <f t="shared" si="44"/>
        <v>0.84098600000821655</v>
      </c>
      <c r="CW18">
        <f t="shared" si="45"/>
        <v>0.16150298001585814</v>
      </c>
      <c r="CX18">
        <v>2</v>
      </c>
      <c r="CY18">
        <v>0.5</v>
      </c>
      <c r="CZ18" t="s">
        <v>346</v>
      </c>
      <c r="DA18">
        <v>2</v>
      </c>
      <c r="DB18">
        <v>1791096605.5</v>
      </c>
      <c r="DC18">
        <v>399.93583333333299</v>
      </c>
      <c r="DD18">
        <v>410.24</v>
      </c>
      <c r="DE18">
        <v>17.8411166666667</v>
      </c>
      <c r="DF18">
        <v>15.9035833333333</v>
      </c>
      <c r="DG18">
        <v>400.204833333333</v>
      </c>
      <c r="DH18">
        <v>18.006450000000001</v>
      </c>
      <c r="DI18">
        <v>500.06133333333298</v>
      </c>
      <c r="DJ18">
        <v>100.855833333333</v>
      </c>
      <c r="DK18">
        <v>9.9955333333333299E-2</v>
      </c>
      <c r="DL18">
        <v>25.557583333333302</v>
      </c>
      <c r="DM18">
        <v>25.008583333333299</v>
      </c>
      <c r="DN18">
        <v>999.9</v>
      </c>
      <c r="DO18">
        <v>0</v>
      </c>
      <c r="DP18">
        <v>0</v>
      </c>
      <c r="DQ18">
        <v>9999.3683333333302</v>
      </c>
      <c r="DR18">
        <v>0</v>
      </c>
      <c r="DS18">
        <v>8.1811916666666704</v>
      </c>
      <c r="DT18">
        <v>1200</v>
      </c>
      <c r="DU18">
        <v>0.96699916666666696</v>
      </c>
      <c r="DV18">
        <v>3.3001083333333299E-2</v>
      </c>
      <c r="DW18">
        <v>0</v>
      </c>
      <c r="DX18">
        <v>292.36599999999999</v>
      </c>
      <c r="DY18">
        <v>4.9999900000000004</v>
      </c>
      <c r="DZ18">
        <v>3468.1566666666699</v>
      </c>
      <c r="EA18">
        <v>11872.666666666701</v>
      </c>
      <c r="EB18">
        <v>37.625</v>
      </c>
      <c r="EC18">
        <v>39.6145</v>
      </c>
      <c r="ED18">
        <v>38.5</v>
      </c>
      <c r="EE18">
        <v>39.061999999999998</v>
      </c>
      <c r="EF18">
        <v>39.375</v>
      </c>
      <c r="EG18">
        <v>1155.56</v>
      </c>
      <c r="EH18">
        <v>39.44</v>
      </c>
      <c r="EI18">
        <v>0</v>
      </c>
      <c r="EJ18">
        <v>140.5</v>
      </c>
      <c r="EK18">
        <v>0</v>
      </c>
      <c r="EL18">
        <v>292.57488461538497</v>
      </c>
      <c r="EM18">
        <v>1.4457093890503101</v>
      </c>
      <c r="EN18">
        <v>11.362393130981999</v>
      </c>
      <c r="EO18">
        <v>3467.1865384615398</v>
      </c>
      <c r="EP18">
        <v>15</v>
      </c>
      <c r="EQ18">
        <v>1791096105</v>
      </c>
      <c r="ER18" t="s">
        <v>347</v>
      </c>
      <c r="ES18">
        <v>1791096095</v>
      </c>
      <c r="ET18">
        <v>1791096105</v>
      </c>
      <c r="EU18">
        <v>52</v>
      </c>
      <c r="EV18">
        <v>9.9000000000000005E-2</v>
      </c>
      <c r="EW18">
        <v>1E-3</v>
      </c>
      <c r="EX18">
        <v>-0.255</v>
      </c>
      <c r="EY18">
        <v>-0.17199999999999999</v>
      </c>
      <c r="EZ18">
        <v>411</v>
      </c>
      <c r="FA18">
        <v>16</v>
      </c>
      <c r="FB18">
        <v>0.08</v>
      </c>
      <c r="FC18">
        <v>0.03</v>
      </c>
      <c r="FD18">
        <v>23.578884743552798</v>
      </c>
      <c r="FE18">
        <v>0.23049035284085601</v>
      </c>
      <c r="FF18">
        <v>0.15525845607395999</v>
      </c>
      <c r="FG18">
        <v>1</v>
      </c>
      <c r="FH18">
        <v>-10.220924999999999</v>
      </c>
      <c r="FI18">
        <v>-0.335237593984965</v>
      </c>
      <c r="FJ18">
        <v>4.9399634360994898E-2</v>
      </c>
      <c r="FK18">
        <v>1</v>
      </c>
      <c r="FL18">
        <v>292.56585294117599</v>
      </c>
      <c r="FM18">
        <v>0.53819710750829897</v>
      </c>
      <c r="FN18">
        <v>0.38704385922261803</v>
      </c>
      <c r="FO18">
        <v>1</v>
      </c>
      <c r="FP18">
        <v>3</v>
      </c>
      <c r="FQ18">
        <v>3</v>
      </c>
      <c r="FR18" t="s">
        <v>348</v>
      </c>
      <c r="FS18">
        <v>100</v>
      </c>
      <c r="FT18">
        <v>100</v>
      </c>
      <c r="FU18">
        <v>-0.26900000000000002</v>
      </c>
      <c r="FV18">
        <v>-0.16520000000000001</v>
      </c>
      <c r="FW18">
        <v>-0.69356014002401101</v>
      </c>
      <c r="FX18">
        <v>7.6835882421071803E-4</v>
      </c>
      <c r="FY18">
        <v>7.9312579872174805E-7</v>
      </c>
      <c r="FZ18">
        <v>-1.5433145656851401E-10</v>
      </c>
      <c r="GA18">
        <v>-1.6530196841246601E-2</v>
      </c>
      <c r="GB18">
        <v>-2.1578312386681502E-2</v>
      </c>
      <c r="GC18">
        <v>7.7134661959739901E-4</v>
      </c>
      <c r="GD18">
        <v>-1.7684492548540801E-6</v>
      </c>
      <c r="GE18">
        <v>4</v>
      </c>
      <c r="GF18">
        <v>2093</v>
      </c>
      <c r="GG18">
        <v>1</v>
      </c>
      <c r="GH18">
        <v>31</v>
      </c>
      <c r="GI18">
        <v>8.6</v>
      </c>
      <c r="GJ18">
        <v>8.4</v>
      </c>
      <c r="GK18">
        <v>1.0620099999999999</v>
      </c>
      <c r="GL18">
        <v>2.66235</v>
      </c>
      <c r="GM18">
        <v>1.65161</v>
      </c>
      <c r="GN18">
        <v>2.2814899999999998</v>
      </c>
      <c r="GO18">
        <v>1.5979000000000001</v>
      </c>
      <c r="GP18">
        <v>2.5695800000000002</v>
      </c>
      <c r="GQ18">
        <v>37.027000000000001</v>
      </c>
      <c r="GR18">
        <v>16.075800000000001</v>
      </c>
      <c r="GS18">
        <v>18</v>
      </c>
      <c r="GT18">
        <v>506.928</v>
      </c>
      <c r="GU18">
        <v>510.22399999999999</v>
      </c>
      <c r="GV18">
        <v>21.837800000000001</v>
      </c>
      <c r="GW18">
        <v>30.5442</v>
      </c>
      <c r="GX18">
        <v>29.9985</v>
      </c>
      <c r="GY18">
        <v>30.6404</v>
      </c>
      <c r="GZ18">
        <v>30.6874</v>
      </c>
      <c r="HA18">
        <v>21.239000000000001</v>
      </c>
      <c r="HB18">
        <v>22.707000000000001</v>
      </c>
      <c r="HC18">
        <v>0</v>
      </c>
      <c r="HD18">
        <v>21.875599999999999</v>
      </c>
      <c r="HE18">
        <v>410.29599999999999</v>
      </c>
      <c r="HF18">
        <v>15.912699999999999</v>
      </c>
      <c r="HG18">
        <v>97.822699999999998</v>
      </c>
      <c r="HH18">
        <v>94.398700000000005</v>
      </c>
    </row>
    <row r="19" spans="1:216" x14ac:dyDescent="0.6">
      <c r="A19">
        <v>3</v>
      </c>
      <c r="B19">
        <v>1791096792</v>
      </c>
      <c r="C19">
        <v>325</v>
      </c>
      <c r="D19" t="s">
        <v>352</v>
      </c>
      <c r="E19" t="s">
        <v>353</v>
      </c>
      <c r="F19">
        <v>5</v>
      </c>
      <c r="G19">
        <v>1791096788.5</v>
      </c>
      <c r="H19">
        <f t="shared" si="0"/>
        <v>4.9405921703585629E-3</v>
      </c>
      <c r="I19">
        <f t="shared" si="1"/>
        <v>4.9405921703585634</v>
      </c>
      <c r="J19">
        <f t="shared" si="2"/>
        <v>22.59032980329162</v>
      </c>
      <c r="K19">
        <f t="shared" si="3"/>
        <v>400.0215</v>
      </c>
      <c r="L19">
        <f t="shared" si="4"/>
        <v>292.41278325917955</v>
      </c>
      <c r="M19">
        <f t="shared" si="5"/>
        <v>29.520523829776625</v>
      </c>
      <c r="N19">
        <f t="shared" si="6"/>
        <v>40.384158625193358</v>
      </c>
      <c r="O19">
        <f t="shared" si="7"/>
        <v>0.3829865863406236</v>
      </c>
      <c r="P19">
        <f t="shared" si="8"/>
        <v>3.0244496467232267</v>
      </c>
      <c r="Q19">
        <f t="shared" si="9"/>
        <v>0.35793966461176435</v>
      </c>
      <c r="R19">
        <f t="shared" si="10"/>
        <v>0.22582601334239666</v>
      </c>
      <c r="S19">
        <f t="shared" si="11"/>
        <v>145.9225160029977</v>
      </c>
      <c r="T19">
        <f t="shared" si="12"/>
        <v>25.361212879074735</v>
      </c>
      <c r="U19">
        <f t="shared" si="13"/>
        <v>25.029433333333301</v>
      </c>
      <c r="V19">
        <f t="shared" si="14"/>
        <v>3.1852615318459412</v>
      </c>
      <c r="W19">
        <f t="shared" si="15"/>
        <v>54.857963050467418</v>
      </c>
      <c r="X19">
        <f t="shared" si="16"/>
        <v>1.826381414239745</v>
      </c>
      <c r="Y19">
        <f t="shared" si="17"/>
        <v>3.3292913420054213</v>
      </c>
      <c r="Z19">
        <f t="shared" si="18"/>
        <v>1.3588801176061962</v>
      </c>
      <c r="AA19">
        <f t="shared" si="19"/>
        <v>-217.88011471281263</v>
      </c>
      <c r="AB19">
        <f t="shared" si="20"/>
        <v>121.31770737713782</v>
      </c>
      <c r="AC19">
        <f t="shared" si="21"/>
        <v>8.5190762683179866</v>
      </c>
      <c r="AD19">
        <f t="shared" si="22"/>
        <v>57.879184935640865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53524.127912342279</v>
      </c>
      <c r="AJ19" t="s">
        <v>343</v>
      </c>
      <c r="AK19">
        <v>8132.16</v>
      </c>
      <c r="AL19">
        <v>260.56826923076898</v>
      </c>
      <c r="AM19">
        <v>1021.61977518023</v>
      </c>
      <c r="AN19">
        <f t="shared" si="26"/>
        <v>0.74494594215856824</v>
      </c>
      <c r="AO19">
        <v>-1.8876086661470599</v>
      </c>
      <c r="AP19" t="s">
        <v>354</v>
      </c>
      <c r="AQ19">
        <v>8155.87</v>
      </c>
      <c r="AR19">
        <v>303.96988461538501</v>
      </c>
      <c r="AS19">
        <v>516.00765003481399</v>
      </c>
      <c r="AT19">
        <f t="shared" si="27"/>
        <v>0.41091980982282572</v>
      </c>
      <c r="AU19">
        <v>0.5</v>
      </c>
      <c r="AV19">
        <f t="shared" si="28"/>
        <v>757.19135979429927</v>
      </c>
      <c r="AW19">
        <f t="shared" si="29"/>
        <v>22.59032980329162</v>
      </c>
      <c r="AX19">
        <f t="shared" si="30"/>
        <v>155.57246478308014</v>
      </c>
      <c r="AY19">
        <f t="shared" si="31"/>
        <v>3.2327281806396241E-2</v>
      </c>
      <c r="AZ19">
        <f t="shared" si="32"/>
        <v>0.97985393261379639</v>
      </c>
      <c r="BA19">
        <f t="shared" si="33"/>
        <v>208.46867090860314</v>
      </c>
      <c r="BB19" t="s">
        <v>345</v>
      </c>
      <c r="BC19">
        <v>0</v>
      </c>
      <c r="BD19">
        <f t="shared" si="34"/>
        <v>208.46867090860314</v>
      </c>
      <c r="BE19">
        <f t="shared" si="35"/>
        <v>0.59599693745908966</v>
      </c>
      <c r="BF19">
        <f t="shared" si="36"/>
        <v>0.68946631097585476</v>
      </c>
      <c r="BG19">
        <f t="shared" si="37"/>
        <v>0.62179356639786376</v>
      </c>
      <c r="BH19">
        <f t="shared" si="38"/>
        <v>0.83009035158165112</v>
      </c>
      <c r="BI19">
        <f t="shared" si="39"/>
        <v>0.66435992990334103</v>
      </c>
      <c r="BJ19">
        <f t="shared" si="40"/>
        <v>0.47284988664998595</v>
      </c>
      <c r="BK19">
        <f t="shared" si="41"/>
        <v>0.52715011335001405</v>
      </c>
      <c r="BL19">
        <v>120</v>
      </c>
      <c r="BM19">
        <v>290</v>
      </c>
      <c r="BN19">
        <v>473.11</v>
      </c>
      <c r="BO19">
        <v>125</v>
      </c>
      <c r="BP19">
        <v>8155.87</v>
      </c>
      <c r="BQ19">
        <v>472.96</v>
      </c>
      <c r="BR19">
        <v>0.15</v>
      </c>
      <c r="BS19">
        <v>300</v>
      </c>
      <c r="BT19">
        <v>19.100000000000001</v>
      </c>
      <c r="BU19">
        <v>516.00765003481399</v>
      </c>
      <c r="BV19">
        <v>2.45660631795579</v>
      </c>
      <c r="BW19">
        <v>-35.112512506106498</v>
      </c>
      <c r="BX19">
        <v>1.8155905188063699</v>
      </c>
      <c r="BY19">
        <v>0.93035070557772304</v>
      </c>
      <c r="BZ19">
        <v>-4.7925964404894302E-3</v>
      </c>
      <c r="CA19">
        <v>290</v>
      </c>
      <c r="CB19">
        <v>469.71</v>
      </c>
      <c r="CC19">
        <v>655</v>
      </c>
      <c r="CD19">
        <v>8144.41</v>
      </c>
      <c r="CE19">
        <v>472.9</v>
      </c>
      <c r="CF19">
        <v>-3.19</v>
      </c>
      <c r="CT19">
        <f t="shared" si="42"/>
        <v>900.01149999999996</v>
      </c>
      <c r="CU19">
        <f t="shared" si="43"/>
        <v>757.19135979429927</v>
      </c>
      <c r="CV19">
        <f t="shared" si="44"/>
        <v>0.8413129829944388</v>
      </c>
      <c r="CW19">
        <f t="shared" si="45"/>
        <v>0.16213405717926682</v>
      </c>
      <c r="CX19">
        <v>2</v>
      </c>
      <c r="CY19">
        <v>0.5</v>
      </c>
      <c r="CZ19" t="s">
        <v>346</v>
      </c>
      <c r="DA19">
        <v>2</v>
      </c>
      <c r="DB19">
        <v>1791096788.5</v>
      </c>
      <c r="DC19">
        <v>400.0215</v>
      </c>
      <c r="DD19">
        <v>409.8485</v>
      </c>
      <c r="DE19">
        <v>18.091049999999999</v>
      </c>
      <c r="DF19">
        <v>16.150500000000001</v>
      </c>
      <c r="DG19">
        <v>400.28983333333298</v>
      </c>
      <c r="DH19">
        <v>18.255216666666701</v>
      </c>
      <c r="DI19">
        <v>499.98316666666699</v>
      </c>
      <c r="DJ19">
        <v>100.855</v>
      </c>
      <c r="DK19">
        <v>9.9970233333333297E-2</v>
      </c>
      <c r="DL19">
        <v>25.7734666666667</v>
      </c>
      <c r="DM19">
        <v>25.029433333333301</v>
      </c>
      <c r="DN19">
        <v>999.9</v>
      </c>
      <c r="DO19">
        <v>0</v>
      </c>
      <c r="DP19">
        <v>0</v>
      </c>
      <c r="DQ19">
        <v>9995.3133333333299</v>
      </c>
      <c r="DR19">
        <v>0</v>
      </c>
      <c r="DS19">
        <v>8.1251933333333302</v>
      </c>
      <c r="DT19">
        <v>900.01149999999996</v>
      </c>
      <c r="DU19">
        <v>0.95599199999999995</v>
      </c>
      <c r="DV19">
        <v>4.4008199999999997E-2</v>
      </c>
      <c r="DW19">
        <v>0</v>
      </c>
      <c r="DX19">
        <v>304.067833333333</v>
      </c>
      <c r="DY19">
        <v>4.9999900000000004</v>
      </c>
      <c r="DZ19">
        <v>2692.8683333333302</v>
      </c>
      <c r="EA19">
        <v>8859.9683333333305</v>
      </c>
      <c r="EB19">
        <v>37.125</v>
      </c>
      <c r="EC19">
        <v>39.436999999999998</v>
      </c>
      <c r="ED19">
        <v>38.186999999999998</v>
      </c>
      <c r="EE19">
        <v>38.947499999999998</v>
      </c>
      <c r="EF19">
        <v>39</v>
      </c>
      <c r="EG19">
        <v>855.62166666666701</v>
      </c>
      <c r="EH19">
        <v>39.39</v>
      </c>
      <c r="EI19">
        <v>0</v>
      </c>
      <c r="EJ19">
        <v>182.09999990463299</v>
      </c>
      <c r="EK19">
        <v>0</v>
      </c>
      <c r="EL19">
        <v>303.96988461538501</v>
      </c>
      <c r="EM19">
        <v>1.9039658294761701</v>
      </c>
      <c r="EN19">
        <v>20.171965783356502</v>
      </c>
      <c r="EO19">
        <v>2691.63115384615</v>
      </c>
      <c r="EP19">
        <v>15</v>
      </c>
      <c r="EQ19">
        <v>1791096105</v>
      </c>
      <c r="ER19" t="s">
        <v>347</v>
      </c>
      <c r="ES19">
        <v>1791096095</v>
      </c>
      <c r="ET19">
        <v>1791096105</v>
      </c>
      <c r="EU19">
        <v>52</v>
      </c>
      <c r="EV19">
        <v>9.9000000000000005E-2</v>
      </c>
      <c r="EW19">
        <v>1E-3</v>
      </c>
      <c r="EX19">
        <v>-0.255</v>
      </c>
      <c r="EY19">
        <v>-0.17199999999999999</v>
      </c>
      <c r="EZ19">
        <v>411</v>
      </c>
      <c r="FA19">
        <v>16</v>
      </c>
      <c r="FB19">
        <v>0.08</v>
      </c>
      <c r="FC19">
        <v>0.03</v>
      </c>
      <c r="FD19">
        <v>22.6355044751873</v>
      </c>
      <c r="FE19">
        <v>-0.48927129033731098</v>
      </c>
      <c r="FF19">
        <v>0.112655533107965</v>
      </c>
      <c r="FG19">
        <v>1</v>
      </c>
      <c r="FH19">
        <v>-9.8457384999999995</v>
      </c>
      <c r="FI19">
        <v>0.30255924812030799</v>
      </c>
      <c r="FJ19">
        <v>4.5328969464901801E-2</v>
      </c>
      <c r="FK19">
        <v>1</v>
      </c>
      <c r="FL19">
        <v>303.87329411764699</v>
      </c>
      <c r="FM19">
        <v>1.6638655630733901</v>
      </c>
      <c r="FN19">
        <v>0.35720389048436302</v>
      </c>
      <c r="FO19">
        <v>0</v>
      </c>
      <c r="FP19">
        <v>2</v>
      </c>
      <c r="FQ19">
        <v>3</v>
      </c>
      <c r="FR19" t="s">
        <v>355</v>
      </c>
      <c r="FS19">
        <v>100</v>
      </c>
      <c r="FT19">
        <v>100</v>
      </c>
      <c r="FU19">
        <v>-0.26900000000000002</v>
      </c>
      <c r="FV19">
        <v>-0.16420000000000001</v>
      </c>
      <c r="FW19">
        <v>-0.69356014002401101</v>
      </c>
      <c r="FX19">
        <v>7.6835882421071803E-4</v>
      </c>
      <c r="FY19">
        <v>7.9312579872174805E-7</v>
      </c>
      <c r="FZ19">
        <v>-1.5433145656851401E-10</v>
      </c>
      <c r="GA19">
        <v>-1.6530196841246601E-2</v>
      </c>
      <c r="GB19">
        <v>-2.1578312386681502E-2</v>
      </c>
      <c r="GC19">
        <v>7.7134661959739901E-4</v>
      </c>
      <c r="GD19">
        <v>-1.7684492548540801E-6</v>
      </c>
      <c r="GE19">
        <v>4</v>
      </c>
      <c r="GF19">
        <v>2093</v>
      </c>
      <c r="GG19">
        <v>1</v>
      </c>
      <c r="GH19">
        <v>31</v>
      </c>
      <c r="GI19">
        <v>11.6</v>
      </c>
      <c r="GJ19">
        <v>11.4</v>
      </c>
      <c r="GK19">
        <v>1.0607899999999999</v>
      </c>
      <c r="GL19">
        <v>2.6464799999999999</v>
      </c>
      <c r="GM19">
        <v>1.65161</v>
      </c>
      <c r="GN19">
        <v>2.2814899999999998</v>
      </c>
      <c r="GO19">
        <v>1.5979000000000001</v>
      </c>
      <c r="GP19">
        <v>2.65381</v>
      </c>
      <c r="GQ19">
        <v>37.0032</v>
      </c>
      <c r="GR19">
        <v>16.084599999999998</v>
      </c>
      <c r="GS19">
        <v>18</v>
      </c>
      <c r="GT19">
        <v>507.42200000000003</v>
      </c>
      <c r="GU19">
        <v>510.59</v>
      </c>
      <c r="GV19">
        <v>22.513000000000002</v>
      </c>
      <c r="GW19">
        <v>30.6159</v>
      </c>
      <c r="GX19">
        <v>30.000399999999999</v>
      </c>
      <c r="GY19">
        <v>30.716899999999999</v>
      </c>
      <c r="GZ19">
        <v>30.764500000000002</v>
      </c>
      <c r="HA19">
        <v>21.220500000000001</v>
      </c>
      <c r="HB19">
        <v>21.2972</v>
      </c>
      <c r="HC19">
        <v>0</v>
      </c>
      <c r="HD19">
        <v>22.502400000000002</v>
      </c>
      <c r="HE19">
        <v>409.81599999999997</v>
      </c>
      <c r="HF19">
        <v>16.187999999999999</v>
      </c>
      <c r="HG19">
        <v>97.807699999999997</v>
      </c>
      <c r="HH19">
        <v>94.381799999999998</v>
      </c>
    </row>
    <row r="20" spans="1:216" x14ac:dyDescent="0.6">
      <c r="A20">
        <v>4</v>
      </c>
      <c r="B20">
        <v>1791096975</v>
      </c>
      <c r="C20">
        <v>508</v>
      </c>
      <c r="D20" t="s">
        <v>356</v>
      </c>
      <c r="E20" t="s">
        <v>357</v>
      </c>
      <c r="F20">
        <v>5</v>
      </c>
      <c r="G20">
        <v>1791096971.5</v>
      </c>
      <c r="H20">
        <f t="shared" si="0"/>
        <v>4.7229704762165262E-3</v>
      </c>
      <c r="I20">
        <f t="shared" si="1"/>
        <v>4.7229704762165259</v>
      </c>
      <c r="J20">
        <f t="shared" si="2"/>
        <v>20.046226028897706</v>
      </c>
      <c r="K20">
        <f t="shared" si="3"/>
        <v>400.00366666666702</v>
      </c>
      <c r="L20">
        <f t="shared" si="4"/>
        <v>301.68829002643298</v>
      </c>
      <c r="M20">
        <f t="shared" si="5"/>
        <v>30.456195933332232</v>
      </c>
      <c r="N20">
        <f t="shared" si="6"/>
        <v>40.381381872607406</v>
      </c>
      <c r="O20">
        <f t="shared" si="7"/>
        <v>0.3738692040204738</v>
      </c>
      <c r="P20">
        <f t="shared" si="8"/>
        <v>3.02580722967615</v>
      </c>
      <c r="Q20">
        <f t="shared" si="9"/>
        <v>0.34997068994858593</v>
      </c>
      <c r="R20">
        <f t="shared" si="10"/>
        <v>0.22075144263289165</v>
      </c>
      <c r="S20">
        <f t="shared" si="11"/>
        <v>98.082244144691387</v>
      </c>
      <c r="T20">
        <f t="shared" si="12"/>
        <v>25.305946060917133</v>
      </c>
      <c r="U20">
        <f t="shared" si="13"/>
        <v>25.0198</v>
      </c>
      <c r="V20">
        <f t="shared" si="14"/>
        <v>3.1834330023838247</v>
      </c>
      <c r="W20">
        <f t="shared" si="15"/>
        <v>55.181806811658838</v>
      </c>
      <c r="X20">
        <f t="shared" si="16"/>
        <v>1.8550431065929633</v>
      </c>
      <c r="Y20">
        <f t="shared" si="17"/>
        <v>3.3616933075867115</v>
      </c>
      <c r="Z20">
        <f t="shared" si="18"/>
        <v>1.3283898957908613</v>
      </c>
      <c r="AA20">
        <f t="shared" si="19"/>
        <v>-208.2829980011488</v>
      </c>
      <c r="AB20">
        <f t="shared" si="20"/>
        <v>149.61493974546394</v>
      </c>
      <c r="AC20">
        <f t="shared" si="21"/>
        <v>10.509561356164767</v>
      </c>
      <c r="AD20">
        <f t="shared" si="22"/>
        <v>49.923747245171299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53536.919188895074</v>
      </c>
      <c r="AJ20" t="s">
        <v>343</v>
      </c>
      <c r="AK20">
        <v>8132.16</v>
      </c>
      <c r="AL20">
        <v>260.56826923076898</v>
      </c>
      <c r="AM20">
        <v>1021.61977518023</v>
      </c>
      <c r="AN20">
        <f t="shared" si="26"/>
        <v>0.74494594215856824</v>
      </c>
      <c r="AO20">
        <v>-1.8876086661470599</v>
      </c>
      <c r="AP20" t="s">
        <v>358</v>
      </c>
      <c r="AQ20">
        <v>8155.97</v>
      </c>
      <c r="AR20">
        <v>325.20565384615401</v>
      </c>
      <c r="AS20">
        <v>673.993801437907</v>
      </c>
      <c r="AT20">
        <f t="shared" si="27"/>
        <v>0.51749459245417961</v>
      </c>
      <c r="AU20">
        <v>0.5</v>
      </c>
      <c r="AV20">
        <f t="shared" si="28"/>
        <v>505.26861603351858</v>
      </c>
      <c r="AW20">
        <f t="shared" si="29"/>
        <v>20.046226028897706</v>
      </c>
      <c r="AX20">
        <f t="shared" si="30"/>
        <v>130.73688826707652</v>
      </c>
      <c r="AY20">
        <f t="shared" si="31"/>
        <v>4.3410245558551996E-2</v>
      </c>
      <c r="AZ20">
        <f t="shared" si="32"/>
        <v>0.51577028305111017</v>
      </c>
      <c r="BA20">
        <f t="shared" si="33"/>
        <v>230.27566576228421</v>
      </c>
      <c r="BB20" t="s">
        <v>345</v>
      </c>
      <c r="BC20">
        <v>0</v>
      </c>
      <c r="BD20">
        <f t="shared" si="34"/>
        <v>230.27566576228421</v>
      </c>
      <c r="BE20">
        <f t="shared" si="35"/>
        <v>0.6583415674283486</v>
      </c>
      <c r="BF20">
        <f t="shared" si="36"/>
        <v>0.78605790376513318</v>
      </c>
      <c r="BG20">
        <f t="shared" si="37"/>
        <v>0.439285475945491</v>
      </c>
      <c r="BH20">
        <f t="shared" si="38"/>
        <v>0.84365410556453047</v>
      </c>
      <c r="BI20">
        <f t="shared" si="39"/>
        <v>0.45677062725030304</v>
      </c>
      <c r="BJ20">
        <f t="shared" si="40"/>
        <v>0.55660166106107278</v>
      </c>
      <c r="BK20">
        <f t="shared" si="41"/>
        <v>0.44339833893892722</v>
      </c>
      <c r="BL20">
        <v>121</v>
      </c>
      <c r="BM20">
        <v>290</v>
      </c>
      <c r="BN20">
        <v>619.15</v>
      </c>
      <c r="BO20">
        <v>215</v>
      </c>
      <c r="BP20">
        <v>8155.97</v>
      </c>
      <c r="BQ20">
        <v>618.28</v>
      </c>
      <c r="BR20">
        <v>0.87</v>
      </c>
      <c r="BS20">
        <v>300</v>
      </c>
      <c r="BT20">
        <v>19.100000000000001</v>
      </c>
      <c r="BU20">
        <v>673.993801437907</v>
      </c>
      <c r="BV20">
        <v>3.0582486323246498</v>
      </c>
      <c r="BW20">
        <v>-45.443025818266499</v>
      </c>
      <c r="BX20">
        <v>2.2512669242568202</v>
      </c>
      <c r="BY20">
        <v>0.93569955846810005</v>
      </c>
      <c r="BZ20">
        <v>-4.9963043381535E-3</v>
      </c>
      <c r="CA20">
        <v>290</v>
      </c>
      <c r="CB20">
        <v>613.16999999999996</v>
      </c>
      <c r="CC20">
        <v>635</v>
      </c>
      <c r="CD20">
        <v>8149.3</v>
      </c>
      <c r="CE20">
        <v>618.23</v>
      </c>
      <c r="CF20">
        <v>-5.0599999999999996</v>
      </c>
      <c r="CT20">
        <f t="shared" si="42"/>
        <v>600.08633333333296</v>
      </c>
      <c r="CU20">
        <f t="shared" si="43"/>
        <v>505.26861603351858</v>
      </c>
      <c r="CV20">
        <f t="shared" si="44"/>
        <v>0.84199320658891674</v>
      </c>
      <c r="CW20">
        <f t="shared" si="45"/>
        <v>0.16344688871660931</v>
      </c>
      <c r="CX20">
        <v>2</v>
      </c>
      <c r="CY20">
        <v>0.5</v>
      </c>
      <c r="CZ20" t="s">
        <v>346</v>
      </c>
      <c r="DA20">
        <v>2</v>
      </c>
      <c r="DB20">
        <v>1791096971.5</v>
      </c>
      <c r="DC20">
        <v>400.00366666666702</v>
      </c>
      <c r="DD20">
        <v>408.77733333333299</v>
      </c>
      <c r="DE20">
        <v>18.375399999999999</v>
      </c>
      <c r="DF20">
        <v>16.5210333333333</v>
      </c>
      <c r="DG20">
        <v>400.27266666666702</v>
      </c>
      <c r="DH20">
        <v>18.538116666666699</v>
      </c>
      <c r="DI20">
        <v>500.02883333333301</v>
      </c>
      <c r="DJ20">
        <v>100.85250000000001</v>
      </c>
      <c r="DK20">
        <v>0.100029283333333</v>
      </c>
      <c r="DL20">
        <v>25.936966666666699</v>
      </c>
      <c r="DM20">
        <v>25.0198</v>
      </c>
      <c r="DN20">
        <v>999.9</v>
      </c>
      <c r="DO20">
        <v>0</v>
      </c>
      <c r="DP20">
        <v>0</v>
      </c>
      <c r="DQ20">
        <v>10003.766666666699</v>
      </c>
      <c r="DR20">
        <v>0</v>
      </c>
      <c r="DS20">
        <v>8.1254316666666693</v>
      </c>
      <c r="DT20">
        <v>600.08633333333296</v>
      </c>
      <c r="DU20">
        <v>0.93300633333333305</v>
      </c>
      <c r="DV20">
        <v>6.6993733333333305E-2</v>
      </c>
      <c r="DW20">
        <v>0</v>
      </c>
      <c r="DX20">
        <v>325.476</v>
      </c>
      <c r="DY20">
        <v>4.9999900000000004</v>
      </c>
      <c r="DZ20">
        <v>1910.48833333333</v>
      </c>
      <c r="EA20">
        <v>5846.1916666666702</v>
      </c>
      <c r="EB20">
        <v>36.5</v>
      </c>
      <c r="EC20">
        <v>39.197499999999998</v>
      </c>
      <c r="ED20">
        <v>37.811999999999998</v>
      </c>
      <c r="EE20">
        <v>38.811999999999998</v>
      </c>
      <c r="EF20">
        <v>38.561999999999998</v>
      </c>
      <c r="EG20">
        <v>555.21833333333302</v>
      </c>
      <c r="EH20">
        <v>39.869999999999997</v>
      </c>
      <c r="EI20">
        <v>0</v>
      </c>
      <c r="EJ20">
        <v>181.89999985694899</v>
      </c>
      <c r="EK20">
        <v>0</v>
      </c>
      <c r="EL20">
        <v>325.20565384615401</v>
      </c>
      <c r="EM20">
        <v>3.2492649381630199</v>
      </c>
      <c r="EN20">
        <v>26.416410203954001</v>
      </c>
      <c r="EO20">
        <v>1908.32307692308</v>
      </c>
      <c r="EP20">
        <v>15</v>
      </c>
      <c r="EQ20">
        <v>1791096105</v>
      </c>
      <c r="ER20" t="s">
        <v>347</v>
      </c>
      <c r="ES20">
        <v>1791096095</v>
      </c>
      <c r="ET20">
        <v>1791096105</v>
      </c>
      <c r="EU20">
        <v>52</v>
      </c>
      <c r="EV20">
        <v>9.9000000000000005E-2</v>
      </c>
      <c r="EW20">
        <v>1E-3</v>
      </c>
      <c r="EX20">
        <v>-0.255</v>
      </c>
      <c r="EY20">
        <v>-0.17199999999999999</v>
      </c>
      <c r="EZ20">
        <v>411</v>
      </c>
      <c r="FA20">
        <v>16</v>
      </c>
      <c r="FB20">
        <v>0.08</v>
      </c>
      <c r="FC20">
        <v>0.03</v>
      </c>
      <c r="FD20">
        <v>20.079702358166202</v>
      </c>
      <c r="FE20">
        <v>0.460309354125299</v>
      </c>
      <c r="FF20">
        <v>8.4631315333627305E-2</v>
      </c>
      <c r="FG20">
        <v>1</v>
      </c>
      <c r="FH20">
        <v>-8.7892930000000007</v>
      </c>
      <c r="FI20">
        <v>-3.9302255639090997E-2</v>
      </c>
      <c r="FJ20">
        <v>3.2208433383199501E-2</v>
      </c>
      <c r="FK20">
        <v>1</v>
      </c>
      <c r="FL20">
        <v>324.91505882352902</v>
      </c>
      <c r="FM20">
        <v>4.3423682097138201</v>
      </c>
      <c r="FN20">
        <v>0.51855488910083802</v>
      </c>
      <c r="FO20">
        <v>0</v>
      </c>
      <c r="FP20">
        <v>2</v>
      </c>
      <c r="FQ20">
        <v>3</v>
      </c>
      <c r="FR20" t="s">
        <v>355</v>
      </c>
      <c r="FS20">
        <v>100</v>
      </c>
      <c r="FT20">
        <v>100</v>
      </c>
      <c r="FU20">
        <v>-0.26900000000000002</v>
      </c>
      <c r="FV20">
        <v>-0.1628</v>
      </c>
      <c r="FW20">
        <v>-0.69356014002401101</v>
      </c>
      <c r="FX20">
        <v>7.6835882421071803E-4</v>
      </c>
      <c r="FY20">
        <v>7.9312579872174805E-7</v>
      </c>
      <c r="FZ20">
        <v>-1.5433145656851401E-10</v>
      </c>
      <c r="GA20">
        <v>-1.6530196841246601E-2</v>
      </c>
      <c r="GB20">
        <v>-2.1578312386681502E-2</v>
      </c>
      <c r="GC20">
        <v>7.7134661959739901E-4</v>
      </c>
      <c r="GD20">
        <v>-1.7684492548540801E-6</v>
      </c>
      <c r="GE20">
        <v>4</v>
      </c>
      <c r="GF20">
        <v>2093</v>
      </c>
      <c r="GG20">
        <v>1</v>
      </c>
      <c r="GH20">
        <v>31</v>
      </c>
      <c r="GI20">
        <v>14.7</v>
      </c>
      <c r="GJ20">
        <v>14.5</v>
      </c>
      <c r="GK20">
        <v>1.0595699999999999</v>
      </c>
      <c r="GL20">
        <v>2.65625</v>
      </c>
      <c r="GM20">
        <v>1.65161</v>
      </c>
      <c r="GN20">
        <v>2.2814899999999998</v>
      </c>
      <c r="GO20">
        <v>1.5979000000000001</v>
      </c>
      <c r="GP20">
        <v>2.63184</v>
      </c>
      <c r="GQ20">
        <v>36.979399999999998</v>
      </c>
      <c r="GR20">
        <v>16.084599999999998</v>
      </c>
      <c r="GS20">
        <v>18</v>
      </c>
      <c r="GT20">
        <v>507.536</v>
      </c>
      <c r="GU20">
        <v>511.089</v>
      </c>
      <c r="GV20">
        <v>23.043900000000001</v>
      </c>
      <c r="GW20">
        <v>30.6981</v>
      </c>
      <c r="GX20">
        <v>30.000499999999999</v>
      </c>
      <c r="GY20">
        <v>30.7959</v>
      </c>
      <c r="GZ20">
        <v>30.8444</v>
      </c>
      <c r="HA20">
        <v>21.183800000000002</v>
      </c>
      <c r="HB20">
        <v>19.589400000000001</v>
      </c>
      <c r="HC20">
        <v>0</v>
      </c>
      <c r="HD20">
        <v>23.0288</v>
      </c>
      <c r="HE20">
        <v>408.83699999999999</v>
      </c>
      <c r="HF20">
        <v>16.492000000000001</v>
      </c>
      <c r="HG20">
        <v>97.789199999999994</v>
      </c>
      <c r="HH20">
        <v>94.364500000000007</v>
      </c>
    </row>
    <row r="21" spans="1:216" x14ac:dyDescent="0.6">
      <c r="A21">
        <v>5</v>
      </c>
      <c r="B21">
        <v>1791097158.0999999</v>
      </c>
      <c r="C21">
        <v>691.09999990463302</v>
      </c>
      <c r="D21" t="s">
        <v>359</v>
      </c>
      <c r="E21" t="s">
        <v>360</v>
      </c>
      <c r="F21">
        <v>5</v>
      </c>
      <c r="G21">
        <v>1791097154.5999999</v>
      </c>
      <c r="H21">
        <f t="shared" si="0"/>
        <v>4.5746393185254683E-3</v>
      </c>
      <c r="I21">
        <f t="shared" si="1"/>
        <v>4.5746393185254686</v>
      </c>
      <c r="J21">
        <f t="shared" si="2"/>
        <v>16.338042356824225</v>
      </c>
      <c r="K21">
        <f t="shared" si="3"/>
        <v>399.980166666667</v>
      </c>
      <c r="L21">
        <f t="shared" si="4"/>
        <v>315.94687266031764</v>
      </c>
      <c r="M21">
        <f t="shared" si="5"/>
        <v>31.895446282905333</v>
      </c>
      <c r="N21">
        <f t="shared" si="6"/>
        <v>40.378769420073212</v>
      </c>
      <c r="O21">
        <f t="shared" si="7"/>
        <v>0.36161363287744186</v>
      </c>
      <c r="P21">
        <f t="shared" si="8"/>
        <v>3.0282751941698218</v>
      </c>
      <c r="Q21">
        <f t="shared" si="9"/>
        <v>0.33922292243706348</v>
      </c>
      <c r="R21">
        <f t="shared" si="10"/>
        <v>0.21391040968971653</v>
      </c>
      <c r="S21">
        <f t="shared" si="11"/>
        <v>66.128087539315445</v>
      </c>
      <c r="T21">
        <f t="shared" si="12"/>
        <v>25.228972763254959</v>
      </c>
      <c r="U21">
        <f t="shared" si="13"/>
        <v>25.025099999999998</v>
      </c>
      <c r="V21">
        <f t="shared" si="14"/>
        <v>3.1844388964040213</v>
      </c>
      <c r="W21">
        <f t="shared" si="15"/>
        <v>55.019330434189314</v>
      </c>
      <c r="X21">
        <f t="shared" si="16"/>
        <v>1.8570309258737334</v>
      </c>
      <c r="Y21">
        <f t="shared" si="17"/>
        <v>3.3752335973899168</v>
      </c>
      <c r="Z21">
        <f t="shared" si="18"/>
        <v>1.3274079705302879</v>
      </c>
      <c r="AA21">
        <f t="shared" si="19"/>
        <v>-201.74159394697315</v>
      </c>
      <c r="AB21">
        <f t="shared" si="20"/>
        <v>159.95979174205851</v>
      </c>
      <c r="AC21">
        <f t="shared" si="21"/>
        <v>11.231203808838384</v>
      </c>
      <c r="AD21">
        <f t="shared" si="22"/>
        <v>35.577489143239191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53601.359927691126</v>
      </c>
      <c r="AJ21" t="s">
        <v>343</v>
      </c>
      <c r="AK21">
        <v>8132.16</v>
      </c>
      <c r="AL21">
        <v>260.56826923076898</v>
      </c>
      <c r="AM21">
        <v>1021.61977518023</v>
      </c>
      <c r="AN21">
        <f t="shared" si="26"/>
        <v>0.74494594215856824</v>
      </c>
      <c r="AO21">
        <v>-1.8876086661470599</v>
      </c>
      <c r="AP21" t="s">
        <v>361</v>
      </c>
      <c r="AQ21">
        <v>8159.41</v>
      </c>
      <c r="AR21">
        <v>324.694961538462</v>
      </c>
      <c r="AS21">
        <v>802.98972791344397</v>
      </c>
      <c r="AT21">
        <f t="shared" si="27"/>
        <v>0.59564244690629264</v>
      </c>
      <c r="AU21">
        <v>0.5</v>
      </c>
      <c r="AV21">
        <f t="shared" si="28"/>
        <v>337.19033385456726</v>
      </c>
      <c r="AW21">
        <f t="shared" si="29"/>
        <v>16.338042356824225</v>
      </c>
      <c r="AX21">
        <f t="shared" si="30"/>
        <v>100.42243776514208</v>
      </c>
      <c r="AY21">
        <f t="shared" si="31"/>
        <v>5.4051522813913594E-2</v>
      </c>
      <c r="AZ21">
        <f t="shared" si="32"/>
        <v>0.27227004240128044</v>
      </c>
      <c r="BA21">
        <f t="shared" si="33"/>
        <v>243.64844888736442</v>
      </c>
      <c r="BB21" t="s">
        <v>345</v>
      </c>
      <c r="BC21">
        <v>0</v>
      </c>
      <c r="BD21">
        <f t="shared" si="34"/>
        <v>243.64844888736442</v>
      </c>
      <c r="BE21">
        <f t="shared" si="35"/>
        <v>0.6965733926379345</v>
      </c>
      <c r="BF21">
        <f t="shared" si="36"/>
        <v>0.85510364478692669</v>
      </c>
      <c r="BG21">
        <f t="shared" si="37"/>
        <v>0.28102584231296368</v>
      </c>
      <c r="BH21">
        <f t="shared" si="38"/>
        <v>0.8817769996352447</v>
      </c>
      <c r="BI21">
        <f t="shared" si="39"/>
        <v>0.28727365435540519</v>
      </c>
      <c r="BJ21">
        <f t="shared" si="40"/>
        <v>0.64166279545297755</v>
      </c>
      <c r="BK21">
        <f t="shared" si="41"/>
        <v>0.35833720454702245</v>
      </c>
      <c r="BL21">
        <v>122</v>
      </c>
      <c r="BM21">
        <v>290</v>
      </c>
      <c r="BN21">
        <v>746.2</v>
      </c>
      <c r="BO21">
        <v>205</v>
      </c>
      <c r="BP21">
        <v>8159.41</v>
      </c>
      <c r="BQ21">
        <v>746.02</v>
      </c>
      <c r="BR21">
        <v>0.18</v>
      </c>
      <c r="BS21">
        <v>300</v>
      </c>
      <c r="BT21">
        <v>19.100000000000001</v>
      </c>
      <c r="BU21">
        <v>802.98972791344397</v>
      </c>
      <c r="BV21">
        <v>3.1948585554918298</v>
      </c>
      <c r="BW21">
        <v>-46.485165246928403</v>
      </c>
      <c r="BX21">
        <v>2.3455472635647601</v>
      </c>
      <c r="BY21">
        <v>0.93345562831193196</v>
      </c>
      <c r="BZ21">
        <v>-5.13233236929923E-3</v>
      </c>
      <c r="CA21">
        <v>290</v>
      </c>
      <c r="CB21">
        <v>740.98</v>
      </c>
      <c r="CC21">
        <v>625</v>
      </c>
      <c r="CD21">
        <v>8152.58</v>
      </c>
      <c r="CE21">
        <v>745.97</v>
      </c>
      <c r="CF21">
        <v>-4.99</v>
      </c>
      <c r="CT21">
        <f t="shared" si="42"/>
        <v>400.00633333333298</v>
      </c>
      <c r="CU21">
        <f t="shared" si="43"/>
        <v>337.19033385456726</v>
      </c>
      <c r="CV21">
        <f t="shared" si="44"/>
        <v>0.8429624877303632</v>
      </c>
      <c r="CW21">
        <f t="shared" si="45"/>
        <v>0.16531760131960119</v>
      </c>
      <c r="CX21">
        <v>2</v>
      </c>
      <c r="CY21">
        <v>0.5</v>
      </c>
      <c r="CZ21" t="s">
        <v>346</v>
      </c>
      <c r="DA21">
        <v>2</v>
      </c>
      <c r="DB21">
        <v>1791097154.5999999</v>
      </c>
      <c r="DC21">
        <v>399.980166666667</v>
      </c>
      <c r="DD21">
        <v>407.24650000000003</v>
      </c>
      <c r="DE21">
        <v>18.395199999999999</v>
      </c>
      <c r="DF21">
        <v>16.5992</v>
      </c>
      <c r="DG21">
        <v>400.24916666666701</v>
      </c>
      <c r="DH21">
        <v>18.557849999999998</v>
      </c>
      <c r="DI21">
        <v>500.05433333333298</v>
      </c>
      <c r="DJ21">
        <v>100.852</v>
      </c>
      <c r="DK21">
        <v>9.9929083333333293E-2</v>
      </c>
      <c r="DL21">
        <v>26.0048833333333</v>
      </c>
      <c r="DM21">
        <v>25.025099999999998</v>
      </c>
      <c r="DN21">
        <v>999.9</v>
      </c>
      <c r="DO21">
        <v>0</v>
      </c>
      <c r="DP21">
        <v>0</v>
      </c>
      <c r="DQ21">
        <v>10018.75</v>
      </c>
      <c r="DR21">
        <v>0</v>
      </c>
      <c r="DS21">
        <v>7.73604</v>
      </c>
      <c r="DT21">
        <v>400.00633333333298</v>
      </c>
      <c r="DU21">
        <v>0.89999200000000001</v>
      </c>
      <c r="DV21">
        <v>0.10000795</v>
      </c>
      <c r="DW21">
        <v>0</v>
      </c>
      <c r="DX21">
        <v>324.82133333333297</v>
      </c>
      <c r="DY21">
        <v>4.9999900000000004</v>
      </c>
      <c r="DZ21">
        <v>1262.875</v>
      </c>
      <c r="EA21">
        <v>3837.93</v>
      </c>
      <c r="EB21">
        <v>35.875</v>
      </c>
      <c r="EC21">
        <v>38.8853333333333</v>
      </c>
      <c r="ED21">
        <v>37.375</v>
      </c>
      <c r="EE21">
        <v>38.561999999999998</v>
      </c>
      <c r="EF21">
        <v>38.125</v>
      </c>
      <c r="EG21">
        <v>355.50166666666701</v>
      </c>
      <c r="EH21">
        <v>39.5</v>
      </c>
      <c r="EI21">
        <v>0</v>
      </c>
      <c r="EJ21">
        <v>181.69999980926499</v>
      </c>
      <c r="EK21">
        <v>0</v>
      </c>
      <c r="EL21">
        <v>324.694961538462</v>
      </c>
      <c r="EM21">
        <v>2.9203760770469498</v>
      </c>
      <c r="EN21">
        <v>6.1887179589513197</v>
      </c>
      <c r="EO21">
        <v>1262.3469230769199</v>
      </c>
      <c r="EP21">
        <v>15</v>
      </c>
      <c r="EQ21">
        <v>1791096105</v>
      </c>
      <c r="ER21" t="s">
        <v>347</v>
      </c>
      <c r="ES21">
        <v>1791096095</v>
      </c>
      <c r="ET21">
        <v>1791096105</v>
      </c>
      <c r="EU21">
        <v>52</v>
      </c>
      <c r="EV21">
        <v>9.9000000000000005E-2</v>
      </c>
      <c r="EW21">
        <v>1E-3</v>
      </c>
      <c r="EX21">
        <v>-0.255</v>
      </c>
      <c r="EY21">
        <v>-0.17199999999999999</v>
      </c>
      <c r="EZ21">
        <v>411</v>
      </c>
      <c r="FA21">
        <v>16</v>
      </c>
      <c r="FB21">
        <v>0.08</v>
      </c>
      <c r="FC21">
        <v>0.03</v>
      </c>
      <c r="FD21">
        <v>16.363204916208399</v>
      </c>
      <c r="FE21">
        <v>-0.50399827102907702</v>
      </c>
      <c r="FF21">
        <v>9.7077445030957304E-2</v>
      </c>
      <c r="FG21">
        <v>1</v>
      </c>
      <c r="FH21">
        <v>-7.2759109523809498</v>
      </c>
      <c r="FI21">
        <v>0.19129090909090599</v>
      </c>
      <c r="FJ21">
        <v>3.85930474746254E-2</v>
      </c>
      <c r="FK21">
        <v>1</v>
      </c>
      <c r="FL21">
        <v>324.53229411764698</v>
      </c>
      <c r="FM21">
        <v>2.5876241468807399</v>
      </c>
      <c r="FN21">
        <v>0.37762824307167298</v>
      </c>
      <c r="FO21">
        <v>0</v>
      </c>
      <c r="FP21">
        <v>2</v>
      </c>
      <c r="FQ21">
        <v>3</v>
      </c>
      <c r="FR21" t="s">
        <v>355</v>
      </c>
      <c r="FS21">
        <v>100</v>
      </c>
      <c r="FT21">
        <v>100</v>
      </c>
      <c r="FU21">
        <v>-0.26900000000000002</v>
      </c>
      <c r="FV21">
        <v>-0.16259999999999999</v>
      </c>
      <c r="FW21">
        <v>-0.69356014002401101</v>
      </c>
      <c r="FX21">
        <v>7.6835882421071803E-4</v>
      </c>
      <c r="FY21">
        <v>7.9312579872174805E-7</v>
      </c>
      <c r="FZ21">
        <v>-1.5433145656851401E-10</v>
      </c>
      <c r="GA21">
        <v>-1.6530196841246601E-2</v>
      </c>
      <c r="GB21">
        <v>-2.1578312386681502E-2</v>
      </c>
      <c r="GC21">
        <v>7.7134661959739901E-4</v>
      </c>
      <c r="GD21">
        <v>-1.7684492548540801E-6</v>
      </c>
      <c r="GE21">
        <v>4</v>
      </c>
      <c r="GF21">
        <v>2093</v>
      </c>
      <c r="GG21">
        <v>1</v>
      </c>
      <c r="GH21">
        <v>31</v>
      </c>
      <c r="GI21">
        <v>17.7</v>
      </c>
      <c r="GJ21">
        <v>17.600000000000001</v>
      </c>
      <c r="GK21">
        <v>1.0559099999999999</v>
      </c>
      <c r="GL21">
        <v>2.6452599999999999</v>
      </c>
      <c r="GM21">
        <v>1.65161</v>
      </c>
      <c r="GN21">
        <v>2.2814899999999998</v>
      </c>
      <c r="GO21">
        <v>1.5979000000000001</v>
      </c>
      <c r="GP21">
        <v>2.6159699999999999</v>
      </c>
      <c r="GQ21">
        <v>36.955599999999997</v>
      </c>
      <c r="GR21">
        <v>16.075800000000001</v>
      </c>
      <c r="GS21">
        <v>18</v>
      </c>
      <c r="GT21">
        <v>507.57299999999998</v>
      </c>
      <c r="GU21">
        <v>511.34300000000002</v>
      </c>
      <c r="GV21">
        <v>23.262599999999999</v>
      </c>
      <c r="GW21">
        <v>30.773599999999998</v>
      </c>
      <c r="GX21">
        <v>30.0002</v>
      </c>
      <c r="GY21">
        <v>30.869299999999999</v>
      </c>
      <c r="GZ21">
        <v>30.917100000000001</v>
      </c>
      <c r="HA21">
        <v>21.121700000000001</v>
      </c>
      <c r="HB21">
        <v>18.975000000000001</v>
      </c>
      <c r="HC21">
        <v>0</v>
      </c>
      <c r="HD21">
        <v>23.244599999999998</v>
      </c>
      <c r="HE21">
        <v>407.22399999999999</v>
      </c>
      <c r="HF21">
        <v>16.637699999999999</v>
      </c>
      <c r="HG21">
        <v>97.776600000000002</v>
      </c>
      <c r="HH21">
        <v>94.353200000000001</v>
      </c>
    </row>
    <row r="22" spans="1:216" x14ac:dyDescent="0.6">
      <c r="A22">
        <v>6</v>
      </c>
      <c r="B22">
        <v>1791097293.0999999</v>
      </c>
      <c r="C22">
        <v>826.09999990463302</v>
      </c>
      <c r="D22" t="s">
        <v>362</v>
      </c>
      <c r="E22" t="s">
        <v>363</v>
      </c>
      <c r="F22">
        <v>5</v>
      </c>
      <c r="G22">
        <v>1791097290.0999999</v>
      </c>
      <c r="H22">
        <f t="shared" si="0"/>
        <v>4.4082457904622363E-3</v>
      </c>
      <c r="I22">
        <f t="shared" si="1"/>
        <v>4.4082457904622361</v>
      </c>
      <c r="J22">
        <f t="shared" si="2"/>
        <v>9.0911041919755284</v>
      </c>
      <c r="K22">
        <f t="shared" si="3"/>
        <v>399.96679999999998</v>
      </c>
      <c r="L22">
        <f t="shared" si="4"/>
        <v>347.87866633709592</v>
      </c>
      <c r="M22">
        <f t="shared" si="5"/>
        <v>35.119498225286719</v>
      </c>
      <c r="N22">
        <f t="shared" si="6"/>
        <v>40.377967038548896</v>
      </c>
      <c r="O22">
        <f t="shared" si="7"/>
        <v>0.34786456453517833</v>
      </c>
      <c r="P22">
        <f t="shared" si="8"/>
        <v>3.0234781845444525</v>
      </c>
      <c r="Q22">
        <f t="shared" si="9"/>
        <v>0.32706082189262214</v>
      </c>
      <c r="R22">
        <f t="shared" si="10"/>
        <v>0.20617838941832334</v>
      </c>
      <c r="S22">
        <f t="shared" si="11"/>
        <v>33.049132550052249</v>
      </c>
      <c r="T22">
        <f t="shared" si="12"/>
        <v>25.145124316508983</v>
      </c>
      <c r="U22">
        <f t="shared" si="13"/>
        <v>25.01004</v>
      </c>
      <c r="V22">
        <f t="shared" si="14"/>
        <v>3.1815813654907226</v>
      </c>
      <c r="W22">
        <f t="shared" si="15"/>
        <v>54.744217466651676</v>
      </c>
      <c r="X22">
        <f t="shared" si="16"/>
        <v>1.8548371303618383</v>
      </c>
      <c r="Y22">
        <f t="shared" si="17"/>
        <v>3.3881882255267275</v>
      </c>
      <c r="Z22">
        <f t="shared" si="18"/>
        <v>1.3267442351288843</v>
      </c>
      <c r="AA22">
        <f t="shared" si="19"/>
        <v>-194.40363935938461</v>
      </c>
      <c r="AB22">
        <f t="shared" si="20"/>
        <v>172.71666053591602</v>
      </c>
      <c r="AC22">
        <f t="shared" si="21"/>
        <v>12.149176899793462</v>
      </c>
      <c r="AD22">
        <f t="shared" si="22"/>
        <v>23.511330626377116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53440.970697616118</v>
      </c>
      <c r="AJ22" t="s">
        <v>343</v>
      </c>
      <c r="AK22">
        <v>8132.16</v>
      </c>
      <c r="AL22">
        <v>260.56826923076898</v>
      </c>
      <c r="AM22">
        <v>1021.61977518023</v>
      </c>
      <c r="AN22">
        <f t="shared" si="26"/>
        <v>0.74494594215856824</v>
      </c>
      <c r="AO22">
        <v>-1.8876086661470599</v>
      </c>
      <c r="AP22" t="s">
        <v>364</v>
      </c>
      <c r="AQ22">
        <v>8141.42</v>
      </c>
      <c r="AR22">
        <v>298.07436000000001</v>
      </c>
      <c r="AS22">
        <v>883.67941102457598</v>
      </c>
      <c r="AT22">
        <f t="shared" si="27"/>
        <v>0.66268948186265897</v>
      </c>
      <c r="AU22">
        <v>0.5</v>
      </c>
      <c r="AV22">
        <f t="shared" si="28"/>
        <v>168.58595153888717</v>
      </c>
      <c r="AW22">
        <f t="shared" si="29"/>
        <v>9.0911041919755284</v>
      </c>
      <c r="AX22">
        <f t="shared" si="30"/>
        <v>55.86006843731424</v>
      </c>
      <c r="AY22">
        <f t="shared" si="31"/>
        <v>6.512234713454261E-2</v>
      </c>
      <c r="AZ22">
        <f t="shared" si="32"/>
        <v>0.15609774589601452</v>
      </c>
      <c r="BA22">
        <f t="shared" si="33"/>
        <v>250.5913833911722</v>
      </c>
      <c r="BB22" t="s">
        <v>345</v>
      </c>
      <c r="BC22">
        <v>0</v>
      </c>
      <c r="BD22">
        <f t="shared" si="34"/>
        <v>250.5913833911722</v>
      </c>
      <c r="BE22">
        <f t="shared" si="35"/>
        <v>0.71642274306173348</v>
      </c>
      <c r="BF22">
        <f t="shared" si="36"/>
        <v>0.92499782883854609</v>
      </c>
      <c r="BG22">
        <f t="shared" si="37"/>
        <v>0.17890439006478573</v>
      </c>
      <c r="BH22">
        <f t="shared" si="38"/>
        <v>0.93980834516735023</v>
      </c>
      <c r="BI22">
        <f t="shared" si="39"/>
        <v>0.18124970922114464</v>
      </c>
      <c r="BJ22">
        <f t="shared" si="40"/>
        <v>0.77764650928876267</v>
      </c>
      <c r="BK22">
        <f t="shared" si="41"/>
        <v>0.22235349071123733</v>
      </c>
      <c r="BL22">
        <v>123</v>
      </c>
      <c r="BM22">
        <v>290</v>
      </c>
      <c r="BN22">
        <v>831.74</v>
      </c>
      <c r="BO22">
        <v>225</v>
      </c>
      <c r="BP22">
        <v>8141.42</v>
      </c>
      <c r="BQ22">
        <v>830.25</v>
      </c>
      <c r="BR22">
        <v>1.49</v>
      </c>
      <c r="BS22">
        <v>300</v>
      </c>
      <c r="BT22">
        <v>19.100000000000001</v>
      </c>
      <c r="BU22">
        <v>883.67941102457598</v>
      </c>
      <c r="BV22">
        <v>2.4342450975070302</v>
      </c>
      <c r="BW22">
        <v>-43.499183970390199</v>
      </c>
      <c r="BX22">
        <v>1.77794086009418</v>
      </c>
      <c r="BY22">
        <v>0.95531349922237796</v>
      </c>
      <c r="BZ22">
        <v>-5.25465561735262E-3</v>
      </c>
      <c r="CA22">
        <v>290</v>
      </c>
      <c r="CB22">
        <v>824.88</v>
      </c>
      <c r="CC22">
        <v>635</v>
      </c>
      <c r="CD22">
        <v>8135.22</v>
      </c>
      <c r="CE22">
        <v>830.21</v>
      </c>
      <c r="CF22">
        <v>-5.33</v>
      </c>
      <c r="CT22">
        <f t="shared" si="42"/>
        <v>200.00120000000001</v>
      </c>
      <c r="CU22">
        <f t="shared" si="43"/>
        <v>168.58595153888717</v>
      </c>
      <c r="CV22">
        <f t="shared" si="44"/>
        <v>0.842924700146235</v>
      </c>
      <c r="CW22">
        <f t="shared" si="45"/>
        <v>0.16524467128223355</v>
      </c>
      <c r="CX22">
        <v>2</v>
      </c>
      <c r="CY22">
        <v>0.5</v>
      </c>
      <c r="CZ22" t="s">
        <v>346</v>
      </c>
      <c r="DA22">
        <v>2</v>
      </c>
      <c r="DB22">
        <v>1791097290.0999999</v>
      </c>
      <c r="DC22">
        <v>399.96679999999998</v>
      </c>
      <c r="DD22">
        <v>404.30840000000001</v>
      </c>
      <c r="DE22">
        <v>18.37322</v>
      </c>
      <c r="DF22">
        <v>16.64236</v>
      </c>
      <c r="DG22">
        <v>400.17520000000002</v>
      </c>
      <c r="DH22">
        <v>18.532640000000001</v>
      </c>
      <c r="DI22">
        <v>500.01179999999999</v>
      </c>
      <c r="DJ22">
        <v>100.8532</v>
      </c>
      <c r="DK22">
        <v>0.10009672</v>
      </c>
      <c r="DL22">
        <v>26.06964</v>
      </c>
      <c r="DM22">
        <v>25.01004</v>
      </c>
      <c r="DN22">
        <v>999.9</v>
      </c>
      <c r="DO22">
        <v>0</v>
      </c>
      <c r="DP22">
        <v>0</v>
      </c>
      <c r="DQ22">
        <v>9989.6239999999998</v>
      </c>
      <c r="DR22">
        <v>0</v>
      </c>
      <c r="DS22">
        <v>8.0827519999999993</v>
      </c>
      <c r="DT22">
        <v>200.00120000000001</v>
      </c>
      <c r="DU22">
        <v>0.900007</v>
      </c>
      <c r="DV22">
        <v>9.9993200000000004E-2</v>
      </c>
      <c r="DW22">
        <v>0</v>
      </c>
      <c r="DX22">
        <v>297.78739999999999</v>
      </c>
      <c r="DY22">
        <v>4.9999900000000004</v>
      </c>
      <c r="DZ22">
        <v>577.71</v>
      </c>
      <c r="EA22">
        <v>1894.6679999999999</v>
      </c>
      <c r="EB22">
        <v>35.375</v>
      </c>
      <c r="EC22">
        <v>38.625</v>
      </c>
      <c r="ED22">
        <v>37</v>
      </c>
      <c r="EE22">
        <v>38.311999999999998</v>
      </c>
      <c r="EF22">
        <v>37.75</v>
      </c>
      <c r="EG22">
        <v>175.50200000000001</v>
      </c>
      <c r="EH22">
        <v>19.498000000000001</v>
      </c>
      <c r="EI22">
        <v>0</v>
      </c>
      <c r="EJ22">
        <v>133.90000009536701</v>
      </c>
      <c r="EK22">
        <v>0</v>
      </c>
      <c r="EL22">
        <v>298.07436000000001</v>
      </c>
      <c r="EM22">
        <v>-0.50269232694663701</v>
      </c>
      <c r="EN22">
        <v>-3.5569230675520598</v>
      </c>
      <c r="EO22">
        <v>577.79236000000003</v>
      </c>
      <c r="EP22">
        <v>15</v>
      </c>
      <c r="EQ22">
        <v>1791097234.0999999</v>
      </c>
      <c r="ER22" t="s">
        <v>365</v>
      </c>
      <c r="ES22">
        <v>1791097232.0999999</v>
      </c>
      <c r="ET22">
        <v>1791097234.0999999</v>
      </c>
      <c r="EU22">
        <v>53</v>
      </c>
      <c r="EV22">
        <v>6.0999999999999999E-2</v>
      </c>
      <c r="EW22">
        <v>3.0000000000000001E-3</v>
      </c>
      <c r="EX22">
        <v>-0.20200000000000001</v>
      </c>
      <c r="EY22">
        <v>-0.16600000000000001</v>
      </c>
      <c r="EZ22">
        <v>404</v>
      </c>
      <c r="FA22">
        <v>17</v>
      </c>
      <c r="FB22">
        <v>0.36</v>
      </c>
      <c r="FC22">
        <v>0.04</v>
      </c>
      <c r="FD22">
        <v>9.0406436335923601</v>
      </c>
      <c r="FE22">
        <v>0.54550924464309203</v>
      </c>
      <c r="FF22">
        <v>0.143926983774496</v>
      </c>
      <c r="FG22">
        <v>1</v>
      </c>
      <c r="FH22">
        <v>-4.3382420000000002</v>
      </c>
      <c r="FI22">
        <v>-4.3348872180455397E-2</v>
      </c>
      <c r="FJ22">
        <v>5.0324109291670603E-2</v>
      </c>
      <c r="FK22">
        <v>1</v>
      </c>
      <c r="FL22">
        <v>298.180794117647</v>
      </c>
      <c r="FM22">
        <v>-0.39454546056258499</v>
      </c>
      <c r="FN22">
        <v>0.41876012924793898</v>
      </c>
      <c r="FO22">
        <v>1</v>
      </c>
      <c r="FP22">
        <v>3</v>
      </c>
      <c r="FQ22">
        <v>3</v>
      </c>
      <c r="FR22" t="s">
        <v>348</v>
      </c>
      <c r="FS22">
        <v>100</v>
      </c>
      <c r="FT22">
        <v>100</v>
      </c>
      <c r="FU22">
        <v>-0.20899999999999999</v>
      </c>
      <c r="FV22">
        <v>-0.1595</v>
      </c>
      <c r="FW22">
        <v>-0.63280221526750802</v>
      </c>
      <c r="FX22">
        <v>7.6835882421071803E-4</v>
      </c>
      <c r="FY22">
        <v>7.9312579872174805E-7</v>
      </c>
      <c r="FZ22">
        <v>-1.5433145656851401E-10</v>
      </c>
      <c r="GA22">
        <v>-1.3214375208117499E-2</v>
      </c>
      <c r="GB22">
        <v>-2.1578312386681502E-2</v>
      </c>
      <c r="GC22">
        <v>7.7134661959739901E-4</v>
      </c>
      <c r="GD22">
        <v>-1.7684492548540801E-6</v>
      </c>
      <c r="GE22">
        <v>4</v>
      </c>
      <c r="GF22">
        <v>2093</v>
      </c>
      <c r="GG22">
        <v>1</v>
      </c>
      <c r="GH22">
        <v>31</v>
      </c>
      <c r="GI22">
        <v>1</v>
      </c>
      <c r="GJ22">
        <v>1</v>
      </c>
      <c r="GK22">
        <v>1.0498000000000001</v>
      </c>
      <c r="GL22">
        <v>2.66113</v>
      </c>
      <c r="GM22">
        <v>1.65161</v>
      </c>
      <c r="GN22">
        <v>2.2802699999999998</v>
      </c>
      <c r="GO22">
        <v>1.5979000000000001</v>
      </c>
      <c r="GP22">
        <v>2.50122</v>
      </c>
      <c r="GQ22">
        <v>36.931699999999999</v>
      </c>
      <c r="GR22">
        <v>16.0671</v>
      </c>
      <c r="GS22">
        <v>18</v>
      </c>
      <c r="GT22">
        <v>507.40800000000002</v>
      </c>
      <c r="GU22">
        <v>511.35500000000002</v>
      </c>
      <c r="GV22">
        <v>23.609400000000001</v>
      </c>
      <c r="GW22">
        <v>30.829699999999999</v>
      </c>
      <c r="GX22">
        <v>29.999600000000001</v>
      </c>
      <c r="GY22">
        <v>30.924800000000001</v>
      </c>
      <c r="GZ22">
        <v>30.970700000000001</v>
      </c>
      <c r="HA22">
        <v>20.998200000000001</v>
      </c>
      <c r="HB22">
        <v>19.529399999999999</v>
      </c>
      <c r="HC22">
        <v>0.54579699999999998</v>
      </c>
      <c r="HD22">
        <v>23.660699999999999</v>
      </c>
      <c r="HE22">
        <v>404.31799999999998</v>
      </c>
      <c r="HF22">
        <v>16.657</v>
      </c>
      <c r="HG22">
        <v>97.766199999999998</v>
      </c>
      <c r="HH22">
        <v>94.341300000000004</v>
      </c>
    </row>
    <row r="23" spans="1:216" x14ac:dyDescent="0.6">
      <c r="A23">
        <v>7</v>
      </c>
      <c r="B23">
        <v>1791097416.0999999</v>
      </c>
      <c r="C23">
        <v>949.09999990463302</v>
      </c>
      <c r="D23" t="s">
        <v>366</v>
      </c>
      <c r="E23" t="s">
        <v>367</v>
      </c>
      <c r="F23">
        <v>5</v>
      </c>
      <c r="G23">
        <v>1791097413.0999999</v>
      </c>
      <c r="H23">
        <f t="shared" si="0"/>
        <v>4.1421553140767878E-3</v>
      </c>
      <c r="I23">
        <f t="shared" si="1"/>
        <v>4.1421553140767875</v>
      </c>
      <c r="J23">
        <f t="shared" si="2"/>
        <v>4.1039594407273334</v>
      </c>
      <c r="K23">
        <f t="shared" si="3"/>
        <v>400.02859999999998</v>
      </c>
      <c r="L23">
        <f t="shared" si="4"/>
        <v>370.73750019334591</v>
      </c>
      <c r="M23">
        <f t="shared" si="5"/>
        <v>37.429769537360272</v>
      </c>
      <c r="N23">
        <f t="shared" si="6"/>
        <v>40.387007784602886</v>
      </c>
      <c r="O23">
        <f t="shared" si="7"/>
        <v>0.32734558378775025</v>
      </c>
      <c r="P23">
        <f t="shared" si="8"/>
        <v>3.0234482586326026</v>
      </c>
      <c r="Q23">
        <f t="shared" si="9"/>
        <v>0.30885351354541773</v>
      </c>
      <c r="R23">
        <f t="shared" si="10"/>
        <v>0.19460777940285667</v>
      </c>
      <c r="S23">
        <f t="shared" si="11"/>
        <v>16.502545102086728</v>
      </c>
      <c r="T23">
        <f t="shared" si="12"/>
        <v>25.103054997606399</v>
      </c>
      <c r="U23">
        <f t="shared" si="13"/>
        <v>25.000399999999999</v>
      </c>
      <c r="V23">
        <f t="shared" si="14"/>
        <v>3.1797534185635432</v>
      </c>
      <c r="W23">
        <f t="shared" si="15"/>
        <v>54.929664921587765</v>
      </c>
      <c r="X23">
        <f t="shared" si="16"/>
        <v>1.8595272042547202</v>
      </c>
      <c r="Y23">
        <f t="shared" si="17"/>
        <v>3.3852877255107967</v>
      </c>
      <c r="Z23">
        <f t="shared" si="18"/>
        <v>1.320226214308823</v>
      </c>
      <c r="AA23">
        <f t="shared" si="19"/>
        <v>-182.66904935078634</v>
      </c>
      <c r="AB23">
        <f t="shared" si="20"/>
        <v>171.92603032376357</v>
      </c>
      <c r="AC23">
        <f t="shared" si="21"/>
        <v>12.092216441805201</v>
      </c>
      <c r="AD23">
        <f t="shared" si="22"/>
        <v>17.851742516869166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53442.781422361302</v>
      </c>
      <c r="AJ23" t="s">
        <v>343</v>
      </c>
      <c r="AK23">
        <v>8132.16</v>
      </c>
      <c r="AL23">
        <v>260.56826923076898</v>
      </c>
      <c r="AM23">
        <v>1021.61977518023</v>
      </c>
      <c r="AN23">
        <f t="shared" si="26"/>
        <v>0.74494594215856824</v>
      </c>
      <c r="AO23">
        <v>-1.8876086661470599</v>
      </c>
      <c r="AP23" t="s">
        <v>368</v>
      </c>
      <c r="AQ23">
        <v>8133.41</v>
      </c>
      <c r="AR23">
        <v>282.04331999999999</v>
      </c>
      <c r="AS23">
        <v>936.30234084333199</v>
      </c>
      <c r="AT23">
        <f t="shared" si="27"/>
        <v>0.69876896842321012</v>
      </c>
      <c r="AU23">
        <v>0.5</v>
      </c>
      <c r="AV23">
        <f t="shared" si="28"/>
        <v>84.246638896418006</v>
      </c>
      <c r="AW23">
        <f t="shared" si="29"/>
        <v>4.1039594407273334</v>
      </c>
      <c r="AX23">
        <f t="shared" si="30"/>
        <v>29.43446847738635</v>
      </c>
      <c r="AY23">
        <f t="shared" si="31"/>
        <v>7.1119372658190905E-2</v>
      </c>
      <c r="AZ23">
        <f t="shared" si="32"/>
        <v>9.1121671510563787E-2</v>
      </c>
      <c r="BA23">
        <f t="shared" si="33"/>
        <v>254.64996167530194</v>
      </c>
      <c r="BB23" t="s">
        <v>345</v>
      </c>
      <c r="BC23">
        <v>0</v>
      </c>
      <c r="BD23">
        <f t="shared" si="34"/>
        <v>254.64996167530194</v>
      </c>
      <c r="BE23">
        <f t="shared" si="35"/>
        <v>0.7280259264908624</v>
      </c>
      <c r="BF23">
        <f t="shared" si="36"/>
        <v>0.95981330196759207</v>
      </c>
      <c r="BG23">
        <f t="shared" si="37"/>
        <v>0.11123962486477942</v>
      </c>
      <c r="BH23">
        <f t="shared" si="38"/>
        <v>0.96821967150778232</v>
      </c>
      <c r="BI23">
        <f t="shared" si="39"/>
        <v>0.11210467842180932</v>
      </c>
      <c r="BJ23">
        <f t="shared" si="40"/>
        <v>0.86659177236139584</v>
      </c>
      <c r="BK23">
        <f t="shared" si="41"/>
        <v>0.13340822763860416</v>
      </c>
      <c r="BL23">
        <v>124</v>
      </c>
      <c r="BM23">
        <v>290</v>
      </c>
      <c r="BN23">
        <v>885.41</v>
      </c>
      <c r="BO23">
        <v>235</v>
      </c>
      <c r="BP23">
        <v>8133.41</v>
      </c>
      <c r="BQ23">
        <v>884.18</v>
      </c>
      <c r="BR23">
        <v>1.23</v>
      </c>
      <c r="BS23">
        <v>300</v>
      </c>
      <c r="BT23">
        <v>19.100000000000001</v>
      </c>
      <c r="BU23">
        <v>936.30234084333199</v>
      </c>
      <c r="BV23">
        <v>3.0393110217717298</v>
      </c>
      <c r="BW23">
        <v>-42.392899869257398</v>
      </c>
      <c r="BX23">
        <v>2.2143704724379498</v>
      </c>
      <c r="BY23">
        <v>0.92902585874296195</v>
      </c>
      <c r="BZ23">
        <v>-5.3169330367074498E-3</v>
      </c>
      <c r="CA23">
        <v>290</v>
      </c>
      <c r="CB23">
        <v>876.4</v>
      </c>
      <c r="CC23">
        <v>615</v>
      </c>
      <c r="CD23">
        <v>8128.16</v>
      </c>
      <c r="CE23">
        <v>884.15</v>
      </c>
      <c r="CF23">
        <v>-7.75</v>
      </c>
      <c r="CT23">
        <f t="shared" si="42"/>
        <v>99.954480000000004</v>
      </c>
      <c r="CU23">
        <f t="shared" si="43"/>
        <v>84.246638896418006</v>
      </c>
      <c r="CV23">
        <f t="shared" si="44"/>
        <v>0.84285005430890148</v>
      </c>
      <c r="CW23">
        <f t="shared" si="45"/>
        <v>0.16510060481617961</v>
      </c>
      <c r="CX23">
        <v>2</v>
      </c>
      <c r="CY23">
        <v>0.5</v>
      </c>
      <c r="CZ23" t="s">
        <v>346</v>
      </c>
      <c r="DA23">
        <v>2</v>
      </c>
      <c r="DB23">
        <v>1791097413.0999999</v>
      </c>
      <c r="DC23">
        <v>400.02859999999998</v>
      </c>
      <c r="DD23">
        <v>402.33260000000001</v>
      </c>
      <c r="DE23">
        <v>18.418399999999998</v>
      </c>
      <c r="DF23">
        <v>16.79232</v>
      </c>
      <c r="DG23">
        <v>400.262</v>
      </c>
      <c r="DH23">
        <v>18.577179999999998</v>
      </c>
      <c r="DI23">
        <v>500.08159999999998</v>
      </c>
      <c r="DJ23">
        <v>100.86020000000001</v>
      </c>
      <c r="DK23">
        <v>0.1001008</v>
      </c>
      <c r="DL23">
        <v>26.055160000000001</v>
      </c>
      <c r="DM23">
        <v>25.000399999999999</v>
      </c>
      <c r="DN23">
        <v>999.9</v>
      </c>
      <c r="DO23">
        <v>0</v>
      </c>
      <c r="DP23">
        <v>0</v>
      </c>
      <c r="DQ23">
        <v>9988.75</v>
      </c>
      <c r="DR23">
        <v>0</v>
      </c>
      <c r="DS23">
        <v>8.0748499999999996</v>
      </c>
      <c r="DT23">
        <v>99.954480000000004</v>
      </c>
      <c r="DU23">
        <v>0.90000460000000004</v>
      </c>
      <c r="DV23">
        <v>9.9995520000000004E-2</v>
      </c>
      <c r="DW23">
        <v>0</v>
      </c>
      <c r="DX23">
        <v>282.30560000000003</v>
      </c>
      <c r="DY23">
        <v>4.9999900000000004</v>
      </c>
      <c r="DZ23">
        <v>265.89999999999998</v>
      </c>
      <c r="EA23">
        <v>922.59460000000001</v>
      </c>
      <c r="EB23">
        <v>34.811999999999998</v>
      </c>
      <c r="EC23">
        <v>38.224800000000002</v>
      </c>
      <c r="ED23">
        <v>36.561999999999998</v>
      </c>
      <c r="EE23">
        <v>37.912199999999999</v>
      </c>
      <c r="EF23">
        <v>37.299599999999998</v>
      </c>
      <c r="EG23">
        <v>85.46</v>
      </c>
      <c r="EH23">
        <v>9.4960000000000004</v>
      </c>
      <c r="EI23">
        <v>0</v>
      </c>
      <c r="EJ23">
        <v>121.700000047684</v>
      </c>
      <c r="EK23">
        <v>0</v>
      </c>
      <c r="EL23">
        <v>282.04331999999999</v>
      </c>
      <c r="EM23">
        <v>-0.373692324008782</v>
      </c>
      <c r="EN23">
        <v>-2.97438462104529</v>
      </c>
      <c r="EO23">
        <v>266.452</v>
      </c>
      <c r="EP23">
        <v>15</v>
      </c>
      <c r="EQ23">
        <v>1791097369.0999999</v>
      </c>
      <c r="ER23" t="s">
        <v>369</v>
      </c>
      <c r="ES23">
        <v>1791097364.0999999</v>
      </c>
      <c r="ET23">
        <v>1791097369.0999999</v>
      </c>
      <c r="EU23">
        <v>54</v>
      </c>
      <c r="EV23">
        <v>-2.5000000000000001E-2</v>
      </c>
      <c r="EW23">
        <v>0</v>
      </c>
      <c r="EX23">
        <v>-0.23</v>
      </c>
      <c r="EY23">
        <v>-0.16600000000000001</v>
      </c>
      <c r="EZ23">
        <v>402</v>
      </c>
      <c r="FA23">
        <v>17</v>
      </c>
      <c r="FB23">
        <v>0.39</v>
      </c>
      <c r="FC23">
        <v>7.0000000000000007E-2</v>
      </c>
      <c r="FD23">
        <v>4.0631262656309097</v>
      </c>
      <c r="FE23">
        <v>0.41156692986596899</v>
      </c>
      <c r="FF23">
        <v>6.7556731126960701E-2</v>
      </c>
      <c r="FG23">
        <v>1</v>
      </c>
      <c r="FH23">
        <v>-2.2981975000000001</v>
      </c>
      <c r="FI23">
        <v>-4.1035939849621901E-2</v>
      </c>
      <c r="FJ23">
        <v>2.1858236176553698E-2</v>
      </c>
      <c r="FK23">
        <v>1</v>
      </c>
      <c r="FL23">
        <v>282.06888235294099</v>
      </c>
      <c r="FM23">
        <v>0.76770052527251198</v>
      </c>
      <c r="FN23">
        <v>0.36877753254789097</v>
      </c>
      <c r="FO23">
        <v>1</v>
      </c>
      <c r="FP23">
        <v>3</v>
      </c>
      <c r="FQ23">
        <v>3</v>
      </c>
      <c r="FR23" t="s">
        <v>348</v>
      </c>
      <c r="FS23">
        <v>100</v>
      </c>
      <c r="FT23">
        <v>100</v>
      </c>
      <c r="FU23">
        <v>-0.23300000000000001</v>
      </c>
      <c r="FV23">
        <v>-0.15870000000000001</v>
      </c>
      <c r="FW23">
        <v>-0.65812058595186296</v>
      </c>
      <c r="FX23">
        <v>7.6835882421071803E-4</v>
      </c>
      <c r="FY23">
        <v>7.9312579872174805E-7</v>
      </c>
      <c r="FZ23">
        <v>-1.5433145656851401E-10</v>
      </c>
      <c r="GA23">
        <v>-1.27352779296662E-2</v>
      </c>
      <c r="GB23">
        <v>-2.1578312386681502E-2</v>
      </c>
      <c r="GC23">
        <v>7.7134661959739901E-4</v>
      </c>
      <c r="GD23">
        <v>-1.7684492548540801E-6</v>
      </c>
      <c r="GE23">
        <v>4</v>
      </c>
      <c r="GF23">
        <v>2093</v>
      </c>
      <c r="GG23">
        <v>1</v>
      </c>
      <c r="GH23">
        <v>31</v>
      </c>
      <c r="GI23">
        <v>0.9</v>
      </c>
      <c r="GJ23">
        <v>0.8</v>
      </c>
      <c r="GK23">
        <v>1.0461400000000001</v>
      </c>
      <c r="GL23">
        <v>2.66113</v>
      </c>
      <c r="GM23">
        <v>1.65161</v>
      </c>
      <c r="GN23">
        <v>2.2802699999999998</v>
      </c>
      <c r="GO23">
        <v>1.5979000000000001</v>
      </c>
      <c r="GP23">
        <v>2.52197</v>
      </c>
      <c r="GQ23">
        <v>36.908000000000001</v>
      </c>
      <c r="GR23">
        <v>16.058299999999999</v>
      </c>
      <c r="GS23">
        <v>18</v>
      </c>
      <c r="GT23">
        <v>507.36500000000001</v>
      </c>
      <c r="GU23">
        <v>511.47199999999998</v>
      </c>
      <c r="GV23">
        <v>24.147200000000002</v>
      </c>
      <c r="GW23">
        <v>30.851099999999999</v>
      </c>
      <c r="GX23">
        <v>30.001200000000001</v>
      </c>
      <c r="GY23">
        <v>30.954599999999999</v>
      </c>
      <c r="GZ23">
        <v>31.003</v>
      </c>
      <c r="HA23">
        <v>20.9132</v>
      </c>
      <c r="HB23">
        <v>18.812000000000001</v>
      </c>
      <c r="HC23">
        <v>0.95495799999999997</v>
      </c>
      <c r="HD23">
        <v>23.8918</v>
      </c>
      <c r="HE23">
        <v>402.26900000000001</v>
      </c>
      <c r="HF23">
        <v>16.7684</v>
      </c>
      <c r="HG23">
        <v>97.767300000000006</v>
      </c>
      <c r="HH23">
        <v>94.335499999999996</v>
      </c>
    </row>
    <row r="24" spans="1:216" x14ac:dyDescent="0.6">
      <c r="A24">
        <v>8</v>
      </c>
      <c r="B24">
        <v>1791097599.0999999</v>
      </c>
      <c r="C24">
        <v>1132.0999999046301</v>
      </c>
      <c r="D24" t="s">
        <v>370</v>
      </c>
      <c r="E24" t="s">
        <v>371</v>
      </c>
      <c r="F24">
        <v>5</v>
      </c>
      <c r="G24">
        <v>1791097596.0999999</v>
      </c>
      <c r="H24">
        <f t="shared" si="0"/>
        <v>3.5710844668675194E-3</v>
      </c>
      <c r="I24">
        <f t="shared" si="1"/>
        <v>3.5710844668675192</v>
      </c>
      <c r="J24">
        <f t="shared" si="2"/>
        <v>1.2693734616845906</v>
      </c>
      <c r="K24">
        <f t="shared" si="3"/>
        <v>400.01620000000003</v>
      </c>
      <c r="L24">
        <f t="shared" si="4"/>
        <v>384.02463606527613</v>
      </c>
      <c r="M24">
        <f t="shared" si="5"/>
        <v>38.77183916970111</v>
      </c>
      <c r="N24">
        <f t="shared" si="6"/>
        <v>40.386377110031887</v>
      </c>
      <c r="O24">
        <f t="shared" si="7"/>
        <v>0.27872588803226517</v>
      </c>
      <c r="P24">
        <f t="shared" si="8"/>
        <v>3.0282327996473093</v>
      </c>
      <c r="Q24">
        <f t="shared" si="9"/>
        <v>0.26521738012247559</v>
      </c>
      <c r="R24">
        <f t="shared" si="10"/>
        <v>0.16691997718995769</v>
      </c>
      <c r="S24">
        <f t="shared" si="11"/>
        <v>8.2493648582510133</v>
      </c>
      <c r="T24">
        <f t="shared" si="12"/>
        <v>25.144776942301334</v>
      </c>
      <c r="U24">
        <f t="shared" si="13"/>
        <v>25.004059999999999</v>
      </c>
      <c r="V24">
        <f t="shared" si="14"/>
        <v>3.1804473235033908</v>
      </c>
      <c r="W24">
        <f t="shared" si="15"/>
        <v>54.977144631891363</v>
      </c>
      <c r="X24">
        <f t="shared" si="16"/>
        <v>1.8549216593079501</v>
      </c>
      <c r="Y24">
        <f t="shared" si="17"/>
        <v>3.3739869026081424</v>
      </c>
      <c r="Z24">
        <f t="shared" si="18"/>
        <v>1.3255256641954407</v>
      </c>
      <c r="AA24">
        <f t="shared" si="19"/>
        <v>-157.48482498885761</v>
      </c>
      <c r="AB24">
        <f t="shared" si="20"/>
        <v>162.37322786470153</v>
      </c>
      <c r="AC24">
        <f t="shared" si="21"/>
        <v>11.399255215588916</v>
      </c>
      <c r="AD24">
        <f t="shared" si="22"/>
        <v>24.537022949683859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53601.381972014045</v>
      </c>
      <c r="AJ24" t="s">
        <v>343</v>
      </c>
      <c r="AK24">
        <v>8132.16</v>
      </c>
      <c r="AL24">
        <v>260.56826923076898</v>
      </c>
      <c r="AM24">
        <v>1021.61977518023</v>
      </c>
      <c r="AN24">
        <f t="shared" si="26"/>
        <v>0.74494594215856824</v>
      </c>
      <c r="AO24">
        <v>-1.8876086661470599</v>
      </c>
      <c r="AP24" t="s">
        <v>372</v>
      </c>
      <c r="AQ24">
        <v>8125.82</v>
      </c>
      <c r="AR24">
        <v>271.900653846154</v>
      </c>
      <c r="AS24">
        <v>967.48018258322099</v>
      </c>
      <c r="AT24">
        <f t="shared" si="27"/>
        <v>0.71895997588274574</v>
      </c>
      <c r="AU24">
        <v>0.5</v>
      </c>
      <c r="AV24">
        <f t="shared" si="28"/>
        <v>42.180204307902081</v>
      </c>
      <c r="AW24">
        <f t="shared" si="29"/>
        <v>1.2693734616845906</v>
      </c>
      <c r="AX24">
        <f t="shared" si="30"/>
        <v>15.162939335969284</v>
      </c>
      <c r="AY24">
        <f t="shared" si="31"/>
        <v>7.4845112289800314E-2</v>
      </c>
      <c r="AZ24">
        <f t="shared" si="32"/>
        <v>5.5959381465006938E-2</v>
      </c>
      <c r="BA24">
        <f t="shared" si="33"/>
        <v>256.90159818665887</v>
      </c>
      <c r="BB24" t="s">
        <v>345</v>
      </c>
      <c r="BC24">
        <v>0</v>
      </c>
      <c r="BD24">
        <f t="shared" si="34"/>
        <v>256.90159818665887</v>
      </c>
      <c r="BE24">
        <f t="shared" si="35"/>
        <v>0.73446319334343513</v>
      </c>
      <c r="BF24">
        <f t="shared" si="36"/>
        <v>0.9788917707501239</v>
      </c>
      <c r="BG24">
        <f t="shared" si="37"/>
        <v>7.0796790537730567E-2</v>
      </c>
      <c r="BH24">
        <f t="shared" si="38"/>
        <v>0.98396917013091134</v>
      </c>
      <c r="BI24">
        <f t="shared" si="39"/>
        <v>7.1137882487291554E-2</v>
      </c>
      <c r="BJ24">
        <f t="shared" si="40"/>
        <v>0.92489244435493834</v>
      </c>
      <c r="BK24">
        <f t="shared" si="41"/>
        <v>7.5107555645061663E-2</v>
      </c>
      <c r="BL24">
        <v>125</v>
      </c>
      <c r="BM24">
        <v>290</v>
      </c>
      <c r="BN24">
        <v>929.28</v>
      </c>
      <c r="BO24">
        <v>225</v>
      </c>
      <c r="BP24">
        <v>8125.82</v>
      </c>
      <c r="BQ24">
        <v>928.72</v>
      </c>
      <c r="BR24">
        <v>0.56000000000000005</v>
      </c>
      <c r="BS24">
        <v>300</v>
      </c>
      <c r="BT24">
        <v>19.100000000000001</v>
      </c>
      <c r="BU24">
        <v>967.48018258322099</v>
      </c>
      <c r="BV24">
        <v>3.4621782982073199</v>
      </c>
      <c r="BW24">
        <v>-31.495349502164899</v>
      </c>
      <c r="BX24">
        <v>2.51795982480466</v>
      </c>
      <c r="BY24">
        <v>0.84820318506881098</v>
      </c>
      <c r="BZ24">
        <v>-5.3460658509455004E-3</v>
      </c>
      <c r="CA24">
        <v>290</v>
      </c>
      <c r="CB24">
        <v>923.46</v>
      </c>
      <c r="CC24">
        <v>625</v>
      </c>
      <c r="CD24">
        <v>8119.75</v>
      </c>
      <c r="CE24">
        <v>928.69</v>
      </c>
      <c r="CF24">
        <v>-5.23</v>
      </c>
      <c r="CT24">
        <f t="shared" si="42"/>
        <v>50.053660000000001</v>
      </c>
      <c r="CU24">
        <f t="shared" si="43"/>
        <v>42.180204307902081</v>
      </c>
      <c r="CV24">
        <f t="shared" si="44"/>
        <v>0.84269970083910106</v>
      </c>
      <c r="CW24">
        <f t="shared" si="45"/>
        <v>0.16481042261946505</v>
      </c>
      <c r="CX24">
        <v>2</v>
      </c>
      <c r="CY24">
        <v>0.5</v>
      </c>
      <c r="CZ24" t="s">
        <v>346</v>
      </c>
      <c r="DA24">
        <v>2</v>
      </c>
      <c r="DB24">
        <v>1791097596.0999999</v>
      </c>
      <c r="DC24">
        <v>400.01620000000003</v>
      </c>
      <c r="DD24">
        <v>401.09539999999998</v>
      </c>
      <c r="DE24">
        <v>18.372499999999999</v>
      </c>
      <c r="DF24">
        <v>16.97024</v>
      </c>
      <c r="DG24">
        <v>400.25920000000002</v>
      </c>
      <c r="DH24">
        <v>18.533280000000001</v>
      </c>
      <c r="DI24">
        <v>499.97500000000002</v>
      </c>
      <c r="DJ24">
        <v>100.86199999999999</v>
      </c>
      <c r="DK24">
        <v>9.9853819999999996E-2</v>
      </c>
      <c r="DL24">
        <v>25.998640000000002</v>
      </c>
      <c r="DM24">
        <v>25.004059999999999</v>
      </c>
      <c r="DN24">
        <v>999.9</v>
      </c>
      <c r="DO24">
        <v>0</v>
      </c>
      <c r="DP24">
        <v>0</v>
      </c>
      <c r="DQ24">
        <v>10017.5</v>
      </c>
      <c r="DR24">
        <v>0</v>
      </c>
      <c r="DS24">
        <v>8.0183800000000005</v>
      </c>
      <c r="DT24">
        <v>50.053660000000001</v>
      </c>
      <c r="DU24">
        <v>0.89996120000000002</v>
      </c>
      <c r="DV24">
        <v>0.10003912</v>
      </c>
      <c r="DW24">
        <v>0</v>
      </c>
      <c r="DX24">
        <v>272.03120000000001</v>
      </c>
      <c r="DY24">
        <v>4.9999900000000004</v>
      </c>
      <c r="DZ24">
        <v>121.051</v>
      </c>
      <c r="EA24">
        <v>437.7432</v>
      </c>
      <c r="EB24">
        <v>35.324599999999997</v>
      </c>
      <c r="EC24">
        <v>40.712200000000003</v>
      </c>
      <c r="ED24">
        <v>37.75</v>
      </c>
      <c r="EE24">
        <v>41.2498</v>
      </c>
      <c r="EF24">
        <v>38.686999999999998</v>
      </c>
      <c r="EG24">
        <v>40.545999999999999</v>
      </c>
      <c r="EH24">
        <v>4.5039999999999996</v>
      </c>
      <c r="EI24">
        <v>0</v>
      </c>
      <c r="EJ24">
        <v>181.700000047684</v>
      </c>
      <c r="EK24">
        <v>0</v>
      </c>
      <c r="EL24">
        <v>271.900653846154</v>
      </c>
      <c r="EM24">
        <v>-1.5201025600305</v>
      </c>
      <c r="EN24">
        <v>0.37675213374432198</v>
      </c>
      <c r="EO24">
        <v>120.99169230769201</v>
      </c>
      <c r="EP24">
        <v>15</v>
      </c>
      <c r="EQ24">
        <v>1791097486.0999999</v>
      </c>
      <c r="ER24" t="s">
        <v>373</v>
      </c>
      <c r="ES24">
        <v>1791097484.0999999</v>
      </c>
      <c r="ET24">
        <v>1791097486.0999999</v>
      </c>
      <c r="EU24">
        <v>55</v>
      </c>
      <c r="EV24">
        <v>-0.01</v>
      </c>
      <c r="EW24">
        <v>-2E-3</v>
      </c>
      <c r="EX24">
        <v>-0.24199999999999999</v>
      </c>
      <c r="EY24">
        <v>-0.16700000000000001</v>
      </c>
      <c r="EZ24">
        <v>401</v>
      </c>
      <c r="FA24">
        <v>17</v>
      </c>
      <c r="FB24">
        <v>0.28000000000000003</v>
      </c>
      <c r="FC24">
        <v>0.03</v>
      </c>
      <c r="FD24">
        <v>1.32742979962268</v>
      </c>
      <c r="FE24">
        <v>-7.1690742423310194E-2</v>
      </c>
      <c r="FF24">
        <v>0.10295062885852301</v>
      </c>
      <c r="FG24">
        <v>1</v>
      </c>
      <c r="FH24">
        <v>-1.109739</v>
      </c>
      <c r="FI24">
        <v>0.18531428571428399</v>
      </c>
      <c r="FJ24">
        <v>3.7369426527577299E-2</v>
      </c>
      <c r="FK24">
        <v>1</v>
      </c>
      <c r="FL24">
        <v>272.06391176470601</v>
      </c>
      <c r="FM24">
        <v>-2.1500229097236598</v>
      </c>
      <c r="FN24">
        <v>0.38518638480359002</v>
      </c>
      <c r="FO24">
        <v>0</v>
      </c>
      <c r="FP24">
        <v>2</v>
      </c>
      <c r="FQ24">
        <v>3</v>
      </c>
      <c r="FR24" t="s">
        <v>355</v>
      </c>
      <c r="FS24">
        <v>100</v>
      </c>
      <c r="FT24">
        <v>100</v>
      </c>
      <c r="FU24">
        <v>-0.24199999999999999</v>
      </c>
      <c r="FV24">
        <v>-0.1608</v>
      </c>
      <c r="FW24">
        <v>-0.66767923306953103</v>
      </c>
      <c r="FX24">
        <v>7.6835882421071803E-4</v>
      </c>
      <c r="FY24">
        <v>7.9312579872174805E-7</v>
      </c>
      <c r="FZ24">
        <v>-1.5433145656851401E-10</v>
      </c>
      <c r="GA24">
        <v>-1.45299985989631E-2</v>
      </c>
      <c r="GB24">
        <v>-2.1578312386681502E-2</v>
      </c>
      <c r="GC24">
        <v>7.7134661959739901E-4</v>
      </c>
      <c r="GD24">
        <v>-1.7684492548540801E-6</v>
      </c>
      <c r="GE24">
        <v>4</v>
      </c>
      <c r="GF24">
        <v>2093</v>
      </c>
      <c r="GG24">
        <v>1</v>
      </c>
      <c r="GH24">
        <v>31</v>
      </c>
      <c r="GI24">
        <v>1.9</v>
      </c>
      <c r="GJ24">
        <v>1.9</v>
      </c>
      <c r="GK24">
        <v>1.0424800000000001</v>
      </c>
      <c r="GL24">
        <v>2.65137</v>
      </c>
      <c r="GM24">
        <v>1.65161</v>
      </c>
      <c r="GN24">
        <v>2.2802699999999998</v>
      </c>
      <c r="GO24">
        <v>1.5979000000000001</v>
      </c>
      <c r="GP24">
        <v>2.52441</v>
      </c>
      <c r="GQ24">
        <v>36.812899999999999</v>
      </c>
      <c r="GR24">
        <v>16.0671</v>
      </c>
      <c r="GS24">
        <v>18</v>
      </c>
      <c r="GT24">
        <v>507.66500000000002</v>
      </c>
      <c r="GU24">
        <v>513.04600000000005</v>
      </c>
      <c r="GV24">
        <v>23.969000000000001</v>
      </c>
      <c r="GW24">
        <v>30.766400000000001</v>
      </c>
      <c r="GX24">
        <v>29.999700000000001</v>
      </c>
      <c r="GY24">
        <v>30.9162</v>
      </c>
      <c r="GZ24">
        <v>30.973299999999998</v>
      </c>
      <c r="HA24">
        <v>20.866299999999999</v>
      </c>
      <c r="HB24">
        <v>17.322099999999999</v>
      </c>
      <c r="HC24">
        <v>3.5329100000000002</v>
      </c>
      <c r="HD24">
        <v>23.966999999999999</v>
      </c>
      <c r="HE24">
        <v>400.87200000000001</v>
      </c>
      <c r="HF24">
        <v>16.960100000000001</v>
      </c>
      <c r="HG24">
        <v>97.789699999999996</v>
      </c>
      <c r="HH24">
        <v>94.359499999999997</v>
      </c>
    </row>
    <row r="25" spans="1:216" x14ac:dyDescent="0.6">
      <c r="A25">
        <v>9</v>
      </c>
      <c r="B25">
        <v>1791097782.0999999</v>
      </c>
      <c r="C25">
        <v>1315.0999999046301</v>
      </c>
      <c r="D25" t="s">
        <v>374</v>
      </c>
      <c r="E25" t="s">
        <v>375</v>
      </c>
      <c r="F25">
        <v>5</v>
      </c>
      <c r="G25">
        <v>1791097778.5999999</v>
      </c>
      <c r="H25">
        <f t="shared" si="0"/>
        <v>3.0733655716796886E-3</v>
      </c>
      <c r="I25">
        <f t="shared" si="1"/>
        <v>3.0733655716796888</v>
      </c>
      <c r="J25">
        <f t="shared" si="2"/>
        <v>-2.2269379446036939</v>
      </c>
      <c r="K25">
        <f t="shared" si="3"/>
        <v>400.011666666667</v>
      </c>
      <c r="L25">
        <f t="shared" si="4"/>
        <v>406.8963696963504</v>
      </c>
      <c r="M25">
        <f t="shared" si="5"/>
        <v>41.078009246468703</v>
      </c>
      <c r="N25">
        <f t="shared" si="6"/>
        <v>40.382967668871011</v>
      </c>
      <c r="O25">
        <f t="shared" si="7"/>
        <v>0.23792943952917531</v>
      </c>
      <c r="P25">
        <f t="shared" si="8"/>
        <v>3.0250929270777811</v>
      </c>
      <c r="Q25">
        <f t="shared" si="9"/>
        <v>0.22800048805114598</v>
      </c>
      <c r="R25">
        <f t="shared" si="10"/>
        <v>0.14335785452378377</v>
      </c>
      <c r="S25">
        <f t="shared" si="11"/>
        <v>6.3839361601596015E-4</v>
      </c>
      <c r="T25">
        <f t="shared" si="12"/>
        <v>25.155940572291509</v>
      </c>
      <c r="U25">
        <f t="shared" si="13"/>
        <v>24.9859333333333</v>
      </c>
      <c r="V25">
        <f t="shared" si="14"/>
        <v>3.1770119561153995</v>
      </c>
      <c r="W25">
        <f t="shared" si="15"/>
        <v>55.04919951825508</v>
      </c>
      <c r="X25">
        <f t="shared" si="16"/>
        <v>1.8500630989735085</v>
      </c>
      <c r="Y25">
        <f t="shared" si="17"/>
        <v>3.3607447795131007</v>
      </c>
      <c r="Z25">
        <f t="shared" si="18"/>
        <v>1.326948857141891</v>
      </c>
      <c r="AA25">
        <f t="shared" si="19"/>
        <v>-135.53542171107426</v>
      </c>
      <c r="AB25">
        <f t="shared" si="20"/>
        <v>154.32550450015631</v>
      </c>
      <c r="AC25">
        <f t="shared" si="21"/>
        <v>10.840906880879578</v>
      </c>
      <c r="AD25">
        <f t="shared" si="22"/>
        <v>29.631628063577637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53515.647753556084</v>
      </c>
      <c r="AJ25" t="s">
        <v>376</v>
      </c>
      <c r="AK25">
        <v>8126.04</v>
      </c>
      <c r="AL25">
        <v>250.29134615384601</v>
      </c>
      <c r="AM25">
        <v>1031.8618507157701</v>
      </c>
      <c r="AN25">
        <f t="shared" si="26"/>
        <v>0.75743715500265196</v>
      </c>
      <c r="AO25">
        <v>-2.2269379446036899</v>
      </c>
      <c r="AP25" t="s">
        <v>345</v>
      </c>
      <c r="AQ25" t="s">
        <v>345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3.3599664000840005E-3</v>
      </c>
      <c r="AW25">
        <f t="shared" si="29"/>
        <v>-2.2269379446036939</v>
      </c>
      <c r="AX25" t="e">
        <f t="shared" si="30"/>
        <v>#DIV/0!</v>
      </c>
      <c r="AY25">
        <f t="shared" si="31"/>
        <v>-1.1895365645771463E-12</v>
      </c>
      <c r="AZ25" t="e">
        <f t="shared" si="32"/>
        <v>#DIV/0!</v>
      </c>
      <c r="BA25" t="e">
        <f t="shared" si="33"/>
        <v>#DIV/0!</v>
      </c>
      <c r="BB25" t="s">
        <v>345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>
        <f t="shared" si="38"/>
        <v>0</v>
      </c>
      <c r="BI25">
        <f t="shared" si="39"/>
        <v>1.3202415453153982</v>
      </c>
      <c r="BJ25" t="e">
        <f t="shared" si="40"/>
        <v>#DIV/0!</v>
      </c>
      <c r="BK25" t="e">
        <f t="shared" si="41"/>
        <v>#DIV/0!</v>
      </c>
      <c r="BL25">
        <v>126</v>
      </c>
      <c r="BM25">
        <v>290</v>
      </c>
      <c r="BN25">
        <v>1016.72</v>
      </c>
      <c r="BO25">
        <v>235</v>
      </c>
      <c r="BP25">
        <v>8126.04</v>
      </c>
      <c r="BQ25">
        <v>1016.06</v>
      </c>
      <c r="BR25">
        <v>0.66</v>
      </c>
      <c r="BS25">
        <v>300</v>
      </c>
      <c r="BT25">
        <v>19.100000000000001</v>
      </c>
      <c r="BU25">
        <v>1031.8618507157701</v>
      </c>
      <c r="BV25">
        <v>2.5143129529092398</v>
      </c>
      <c r="BW25">
        <v>-12.843801791090799</v>
      </c>
      <c r="BX25">
        <v>1.82753622522537</v>
      </c>
      <c r="BY25">
        <v>0.63820474901341495</v>
      </c>
      <c r="BZ25">
        <v>-5.3751646273637503E-3</v>
      </c>
      <c r="CA25">
        <v>290</v>
      </c>
      <c r="CB25">
        <v>1011.39</v>
      </c>
      <c r="CC25">
        <v>625</v>
      </c>
      <c r="CD25">
        <v>8120.5</v>
      </c>
      <c r="CE25">
        <v>1016.05</v>
      </c>
      <c r="CF25">
        <v>-4.66</v>
      </c>
      <c r="CT25">
        <f t="shared" si="42"/>
        <v>1.9999900000000001E-2</v>
      </c>
      <c r="CU25">
        <f t="shared" si="43"/>
        <v>3.3599664000840005E-3</v>
      </c>
      <c r="CV25">
        <f t="shared" si="44"/>
        <v>0.16799916000000001</v>
      </c>
      <c r="CW25">
        <f t="shared" si="45"/>
        <v>3.1919840400000003E-2</v>
      </c>
      <c r="CX25">
        <v>2</v>
      </c>
      <c r="CY25">
        <v>0.5</v>
      </c>
      <c r="CZ25" t="s">
        <v>346</v>
      </c>
      <c r="DA25">
        <v>2</v>
      </c>
      <c r="DB25">
        <v>1791097778.5999999</v>
      </c>
      <c r="DC25">
        <v>400.011666666667</v>
      </c>
      <c r="DD25">
        <v>399.612666666667</v>
      </c>
      <c r="DE25">
        <v>18.3257166666667</v>
      </c>
      <c r="DF25">
        <v>17.118966666666701</v>
      </c>
      <c r="DG25">
        <v>400.30566666666698</v>
      </c>
      <c r="DH25">
        <v>18.488099999999999</v>
      </c>
      <c r="DI25">
        <v>500.02800000000002</v>
      </c>
      <c r="DJ25">
        <v>100.854333333333</v>
      </c>
      <c r="DK25">
        <v>0.100141333333333</v>
      </c>
      <c r="DL25">
        <v>25.932200000000002</v>
      </c>
      <c r="DM25">
        <v>24.9859333333333</v>
      </c>
      <c r="DN25">
        <v>999.9</v>
      </c>
      <c r="DO25">
        <v>0</v>
      </c>
      <c r="DP25">
        <v>0</v>
      </c>
      <c r="DQ25">
        <v>9999.2666666666701</v>
      </c>
      <c r="DR25">
        <v>0</v>
      </c>
      <c r="DS25">
        <v>8.0183800000000005</v>
      </c>
      <c r="DT25">
        <v>1.9999900000000001E-2</v>
      </c>
      <c r="DU25">
        <v>0</v>
      </c>
      <c r="DV25">
        <v>0</v>
      </c>
      <c r="DW25">
        <v>0</v>
      </c>
      <c r="DX25">
        <v>248.13749999999999</v>
      </c>
      <c r="DY25">
        <v>1.9999900000000001E-2</v>
      </c>
      <c r="DZ25">
        <v>-13.329166666666699</v>
      </c>
      <c r="EA25">
        <v>3.0208333333333299</v>
      </c>
      <c r="EB25">
        <v>34.6353333333333</v>
      </c>
      <c r="EC25">
        <v>38.375</v>
      </c>
      <c r="ED25">
        <v>36.625</v>
      </c>
      <c r="EE25">
        <v>37.978999999999999</v>
      </c>
      <c r="EF25">
        <v>37.030999999999999</v>
      </c>
      <c r="EG25">
        <v>0</v>
      </c>
      <c r="EH25">
        <v>0</v>
      </c>
      <c r="EI25">
        <v>0</v>
      </c>
      <c r="EJ25">
        <v>181.700000047684</v>
      </c>
      <c r="EK25">
        <v>0</v>
      </c>
      <c r="EL25">
        <v>250.29134615384601</v>
      </c>
      <c r="EM25">
        <v>4.1376066687058799</v>
      </c>
      <c r="EN25">
        <v>6.1743593166060604</v>
      </c>
      <c r="EO25">
        <v>-15.138461538461501</v>
      </c>
      <c r="EP25">
        <v>15</v>
      </c>
      <c r="EQ25">
        <v>1791097690.0999999</v>
      </c>
      <c r="ER25" t="s">
        <v>377</v>
      </c>
      <c r="ES25">
        <v>1791097690.0999999</v>
      </c>
      <c r="ET25">
        <v>1791097687.0999999</v>
      </c>
      <c r="EU25">
        <v>56</v>
      </c>
      <c r="EV25">
        <v>-5.0999999999999997E-2</v>
      </c>
      <c r="EW25">
        <v>-1E-3</v>
      </c>
      <c r="EX25">
        <v>-0.29399999999999998</v>
      </c>
      <c r="EY25">
        <v>-0.16800000000000001</v>
      </c>
      <c r="EZ25">
        <v>400</v>
      </c>
      <c r="FA25">
        <v>17</v>
      </c>
      <c r="FB25">
        <v>0.34</v>
      </c>
      <c r="FC25">
        <v>0.06</v>
      </c>
      <c r="FD25">
        <v>-2.1502523302860999</v>
      </c>
      <c r="FE25">
        <v>-0.63436630261881</v>
      </c>
      <c r="FF25">
        <v>0.11561704037914999</v>
      </c>
      <c r="FG25">
        <v>0</v>
      </c>
      <c r="FH25">
        <v>0.36216730000000003</v>
      </c>
      <c r="FI25">
        <v>0.38005533834586502</v>
      </c>
      <c r="FJ25">
        <v>4.9937584042582597E-2</v>
      </c>
      <c r="FK25">
        <v>1</v>
      </c>
      <c r="FL25">
        <v>250.824264705882</v>
      </c>
      <c r="FM25">
        <v>-13.8911383851118</v>
      </c>
      <c r="FN25">
        <v>6.5719308574144799</v>
      </c>
      <c r="FO25">
        <v>0</v>
      </c>
      <c r="FP25">
        <v>1</v>
      </c>
      <c r="FQ25">
        <v>3</v>
      </c>
      <c r="FR25" t="s">
        <v>378</v>
      </c>
      <c r="FS25">
        <v>100</v>
      </c>
      <c r="FT25">
        <v>100</v>
      </c>
      <c r="FU25">
        <v>-0.29399999999999998</v>
      </c>
      <c r="FV25">
        <v>-0.16239999999999999</v>
      </c>
      <c r="FW25">
        <v>-0.71869576455155904</v>
      </c>
      <c r="FX25">
        <v>7.6835882421071803E-4</v>
      </c>
      <c r="FY25">
        <v>7.9312579872174805E-7</v>
      </c>
      <c r="FZ25">
        <v>-1.5433145656851401E-10</v>
      </c>
      <c r="GA25">
        <v>-1.5880946282246199E-2</v>
      </c>
      <c r="GB25">
        <v>-2.1578312386681502E-2</v>
      </c>
      <c r="GC25">
        <v>7.7134661959739901E-4</v>
      </c>
      <c r="GD25">
        <v>-1.7684492548540801E-6</v>
      </c>
      <c r="GE25">
        <v>4</v>
      </c>
      <c r="GF25">
        <v>2093</v>
      </c>
      <c r="GG25">
        <v>1</v>
      </c>
      <c r="GH25">
        <v>31</v>
      </c>
      <c r="GI25">
        <v>1.5</v>
      </c>
      <c r="GJ25">
        <v>1.6</v>
      </c>
      <c r="GK25">
        <v>1.0400400000000001</v>
      </c>
      <c r="GL25">
        <v>2.65869</v>
      </c>
      <c r="GM25">
        <v>1.65161</v>
      </c>
      <c r="GN25">
        <v>2.2790499999999998</v>
      </c>
      <c r="GO25">
        <v>1.5979000000000001</v>
      </c>
      <c r="GP25">
        <v>2.51831</v>
      </c>
      <c r="GQ25">
        <v>36.694299999999998</v>
      </c>
      <c r="GR25">
        <v>16.058299999999999</v>
      </c>
      <c r="GS25">
        <v>18</v>
      </c>
      <c r="GT25">
        <v>507.62700000000001</v>
      </c>
      <c r="GU25">
        <v>514.52</v>
      </c>
      <c r="GV25">
        <v>24.0123</v>
      </c>
      <c r="GW25">
        <v>30.61</v>
      </c>
      <c r="GX25">
        <v>29.999600000000001</v>
      </c>
      <c r="GY25">
        <v>30.8034</v>
      </c>
      <c r="GZ25">
        <v>30.8675</v>
      </c>
      <c r="HA25">
        <v>20.813800000000001</v>
      </c>
      <c r="HB25">
        <v>17.011399999999998</v>
      </c>
      <c r="HC25">
        <v>7.3068600000000004</v>
      </c>
      <c r="HD25">
        <v>24.019200000000001</v>
      </c>
      <c r="HE25">
        <v>399.697</v>
      </c>
      <c r="HF25">
        <v>17.139600000000002</v>
      </c>
      <c r="HG25">
        <v>97.818799999999996</v>
      </c>
      <c r="HH25">
        <v>94.387</v>
      </c>
    </row>
    <row r="26" spans="1:216" x14ac:dyDescent="0.6">
      <c r="A26">
        <v>10</v>
      </c>
      <c r="B26">
        <v>1791097965.0999999</v>
      </c>
      <c r="C26">
        <v>1498.0999999046301</v>
      </c>
      <c r="D26" t="s">
        <v>379</v>
      </c>
      <c r="E26" t="s">
        <v>380</v>
      </c>
      <c r="F26">
        <v>5</v>
      </c>
      <c r="G26">
        <v>1791097961.5999999</v>
      </c>
      <c r="H26">
        <f t="shared" si="0"/>
        <v>6.3457553766265726E-3</v>
      </c>
      <c r="I26">
        <f t="shared" si="1"/>
        <v>6.3457553766265722</v>
      </c>
      <c r="J26">
        <f t="shared" si="2"/>
        <v>18.015348720728966</v>
      </c>
      <c r="K26">
        <f t="shared" si="3"/>
        <v>399.76650000000001</v>
      </c>
      <c r="L26">
        <f t="shared" si="4"/>
        <v>328.37720647105806</v>
      </c>
      <c r="M26">
        <f t="shared" si="5"/>
        <v>33.150701078254357</v>
      </c>
      <c r="N26">
        <f t="shared" si="6"/>
        <v>40.357672461556795</v>
      </c>
      <c r="O26">
        <f t="shared" si="7"/>
        <v>0.49048690039538317</v>
      </c>
      <c r="P26">
        <f t="shared" si="8"/>
        <v>3.024209655550707</v>
      </c>
      <c r="Q26">
        <f t="shared" si="9"/>
        <v>0.45019533836923636</v>
      </c>
      <c r="R26">
        <f t="shared" si="10"/>
        <v>0.28471579751152054</v>
      </c>
      <c r="S26">
        <f t="shared" si="11"/>
        <v>241.73631201557959</v>
      </c>
      <c r="T26">
        <f t="shared" si="12"/>
        <v>24.737637338585067</v>
      </c>
      <c r="U26">
        <f t="shared" si="13"/>
        <v>25.0014</v>
      </c>
      <c r="V26">
        <f t="shared" si="14"/>
        <v>3.1799429969403339</v>
      </c>
      <c r="W26">
        <f t="shared" si="15"/>
        <v>56.50537484337984</v>
      </c>
      <c r="X26">
        <f t="shared" si="16"/>
        <v>1.7919934623010665</v>
      </c>
      <c r="Y26">
        <f t="shared" si="17"/>
        <v>3.1713681526192299</v>
      </c>
      <c r="Z26">
        <f t="shared" si="18"/>
        <v>1.3879495346392674</v>
      </c>
      <c r="AA26">
        <f t="shared" si="19"/>
        <v>-279.84781210923182</v>
      </c>
      <c r="AB26">
        <f t="shared" si="20"/>
        <v>-7.383048596849612</v>
      </c>
      <c r="AC26">
        <f t="shared" si="21"/>
        <v>-0.51628672701865397</v>
      </c>
      <c r="AD26">
        <f t="shared" si="22"/>
        <v>-46.010835417520518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53663.443393680289</v>
      </c>
      <c r="AJ26" t="s">
        <v>376</v>
      </c>
      <c r="AK26">
        <v>8126.04</v>
      </c>
      <c r="AL26">
        <v>250.29134615384601</v>
      </c>
      <c r="AM26">
        <v>1031.8618507157701</v>
      </c>
      <c r="AN26">
        <f t="shared" si="26"/>
        <v>0.75743715500265196</v>
      </c>
      <c r="AO26">
        <v>-2.2269379446036899</v>
      </c>
      <c r="AP26" t="s">
        <v>381</v>
      </c>
      <c r="AQ26">
        <v>8142.19</v>
      </c>
      <c r="AR26">
        <v>289.28276923076902</v>
      </c>
      <c r="AS26">
        <v>356.98074787137898</v>
      </c>
      <c r="AT26">
        <f t="shared" si="27"/>
        <v>0.18964041911022522</v>
      </c>
      <c r="AU26">
        <v>0.5</v>
      </c>
      <c r="AV26">
        <f t="shared" si="28"/>
        <v>1261.208000008075</v>
      </c>
      <c r="AW26">
        <f t="shared" si="29"/>
        <v>18.015348720728966</v>
      </c>
      <c r="AX26">
        <f t="shared" si="30"/>
        <v>119.58800685335014</v>
      </c>
      <c r="AY26">
        <f t="shared" si="31"/>
        <v>1.6049919335433215E-2</v>
      </c>
      <c r="AZ26">
        <f t="shared" si="32"/>
        <v>1.8905252086242823</v>
      </c>
      <c r="BA26">
        <f t="shared" si="33"/>
        <v>171.60036531812639</v>
      </c>
      <c r="BB26" t="s">
        <v>345</v>
      </c>
      <c r="BC26">
        <v>0</v>
      </c>
      <c r="BD26">
        <f t="shared" si="34"/>
        <v>171.60036531812639</v>
      </c>
      <c r="BE26">
        <f t="shared" si="35"/>
        <v>0.51930078487046472</v>
      </c>
      <c r="BF26">
        <f t="shared" si="36"/>
        <v>0.36518415653373115</v>
      </c>
      <c r="BG26">
        <f t="shared" si="37"/>
        <v>0.78450693690237316</v>
      </c>
      <c r="BH26">
        <f t="shared" si="38"/>
        <v>0.63453330462799573</v>
      </c>
      <c r="BI26">
        <f t="shared" si="39"/>
        <v>0.86349356699772961</v>
      </c>
      <c r="BJ26">
        <f t="shared" si="40"/>
        <v>0.21662449801699007</v>
      </c>
      <c r="BK26">
        <f t="shared" si="41"/>
        <v>0.78337550198300998</v>
      </c>
      <c r="BL26">
        <v>127</v>
      </c>
      <c r="BM26">
        <v>290</v>
      </c>
      <c r="BN26">
        <v>341.55</v>
      </c>
      <c r="BO26">
        <v>255</v>
      </c>
      <c r="BP26">
        <v>8142.19</v>
      </c>
      <c r="BQ26">
        <v>341.55</v>
      </c>
      <c r="BR26">
        <v>0</v>
      </c>
      <c r="BS26">
        <v>300</v>
      </c>
      <c r="BT26">
        <v>19.100000000000001</v>
      </c>
      <c r="BU26">
        <v>356.98074787137898</v>
      </c>
      <c r="BV26">
        <v>3.47522398042247</v>
      </c>
      <c r="BW26">
        <v>-12.563149109782801</v>
      </c>
      <c r="BX26">
        <v>2.5889820203188898</v>
      </c>
      <c r="BY26">
        <v>0.456808338662473</v>
      </c>
      <c r="BZ26">
        <v>-4.3880667408231497E-3</v>
      </c>
      <c r="CA26">
        <v>290</v>
      </c>
      <c r="CB26">
        <v>342.55</v>
      </c>
      <c r="CC26">
        <v>745</v>
      </c>
      <c r="CD26">
        <v>8135.48</v>
      </c>
      <c r="CE26">
        <v>341.54</v>
      </c>
      <c r="CF26">
        <v>1.01</v>
      </c>
      <c r="CT26">
        <f t="shared" si="42"/>
        <v>1499.9966666666701</v>
      </c>
      <c r="CU26">
        <f t="shared" si="43"/>
        <v>1261.208000008075</v>
      </c>
      <c r="CV26">
        <f t="shared" si="44"/>
        <v>0.84080720179916324</v>
      </c>
      <c r="CW26">
        <f t="shared" si="45"/>
        <v>0.16115789947238485</v>
      </c>
      <c r="CX26">
        <v>2</v>
      </c>
      <c r="CY26">
        <v>0.5</v>
      </c>
      <c r="CZ26" t="s">
        <v>346</v>
      </c>
      <c r="DA26">
        <v>2</v>
      </c>
      <c r="DB26">
        <v>1791097961.5999999</v>
      </c>
      <c r="DC26">
        <v>399.76650000000001</v>
      </c>
      <c r="DD26">
        <v>407.98683333333298</v>
      </c>
      <c r="DE26">
        <v>17.75075</v>
      </c>
      <c r="DF26">
        <v>15.257666666666699</v>
      </c>
      <c r="DG26">
        <v>400.06066666666698</v>
      </c>
      <c r="DH26">
        <v>17.915800000000001</v>
      </c>
      <c r="DI26">
        <v>500.03250000000003</v>
      </c>
      <c r="DJ26">
        <v>100.85299999999999</v>
      </c>
      <c r="DK26">
        <v>0.100112533333333</v>
      </c>
      <c r="DL26">
        <v>24.956116666666698</v>
      </c>
      <c r="DM26">
        <v>25.0014</v>
      </c>
      <c r="DN26">
        <v>999.9</v>
      </c>
      <c r="DO26">
        <v>0</v>
      </c>
      <c r="DP26">
        <v>0</v>
      </c>
      <c r="DQ26">
        <v>9994.0616666666701</v>
      </c>
      <c r="DR26">
        <v>0</v>
      </c>
      <c r="DS26">
        <v>7.9764966666666703</v>
      </c>
      <c r="DT26">
        <v>1499.9966666666701</v>
      </c>
      <c r="DU26">
        <v>0.97300500000000001</v>
      </c>
      <c r="DV26">
        <v>2.69947E-2</v>
      </c>
      <c r="DW26">
        <v>0</v>
      </c>
      <c r="DX26">
        <v>289.13783333333299</v>
      </c>
      <c r="DY26">
        <v>4.9999900000000004</v>
      </c>
      <c r="DZ26">
        <v>4283.7700000000004</v>
      </c>
      <c r="EA26">
        <v>14882.583333333299</v>
      </c>
      <c r="EB26">
        <v>37.895666666666699</v>
      </c>
      <c r="EC26">
        <v>40.864333333333299</v>
      </c>
      <c r="ED26">
        <v>38.666333333333299</v>
      </c>
      <c r="EE26">
        <v>41.541499999999999</v>
      </c>
      <c r="EF26">
        <v>40.176666666666698</v>
      </c>
      <c r="EG26">
        <v>1454.63666666667</v>
      </c>
      <c r="EH26">
        <v>40.36</v>
      </c>
      <c r="EI26">
        <v>0</v>
      </c>
      <c r="EJ26">
        <v>182.09999990463299</v>
      </c>
      <c r="EK26">
        <v>0</v>
      </c>
      <c r="EL26">
        <v>289.28276923076902</v>
      </c>
      <c r="EM26">
        <v>-4.2312478658539998</v>
      </c>
      <c r="EN26">
        <v>-43.184615402639601</v>
      </c>
      <c r="EO26">
        <v>4286.6673076923098</v>
      </c>
      <c r="EP26">
        <v>15</v>
      </c>
      <c r="EQ26">
        <v>1791097690.0999999</v>
      </c>
      <c r="ER26" t="s">
        <v>377</v>
      </c>
      <c r="ES26">
        <v>1791097690.0999999</v>
      </c>
      <c r="ET26">
        <v>1791097687.0999999</v>
      </c>
      <c r="EU26">
        <v>56</v>
      </c>
      <c r="EV26">
        <v>-5.0999999999999997E-2</v>
      </c>
      <c r="EW26">
        <v>-1E-3</v>
      </c>
      <c r="EX26">
        <v>-0.29399999999999998</v>
      </c>
      <c r="EY26">
        <v>-0.16800000000000001</v>
      </c>
      <c r="EZ26">
        <v>400</v>
      </c>
      <c r="FA26">
        <v>17</v>
      </c>
      <c r="FB26">
        <v>0.34</v>
      </c>
      <c r="FC26">
        <v>0.06</v>
      </c>
      <c r="FD26">
        <v>17.978089596960601</v>
      </c>
      <c r="FE26">
        <v>0.77394030780737399</v>
      </c>
      <c r="FF26">
        <v>0.19851642686273899</v>
      </c>
      <c r="FG26">
        <v>0</v>
      </c>
      <c r="FH26">
        <v>-8.0444600000000008</v>
      </c>
      <c r="FI26">
        <v>-2.1124574436090202</v>
      </c>
      <c r="FJ26">
        <v>0.22830527632974201</v>
      </c>
      <c r="FK26">
        <v>0</v>
      </c>
      <c r="FL26">
        <v>289.58420588235299</v>
      </c>
      <c r="FM26">
        <v>-4.6620168112518598</v>
      </c>
      <c r="FN26">
        <v>0.584952626508776</v>
      </c>
      <c r="FO26">
        <v>0</v>
      </c>
      <c r="FP26">
        <v>0</v>
      </c>
      <c r="FQ26">
        <v>3</v>
      </c>
      <c r="FR26" t="s">
        <v>382</v>
      </c>
      <c r="FS26">
        <v>100</v>
      </c>
      <c r="FT26">
        <v>100</v>
      </c>
      <c r="FU26">
        <v>-0.29399999999999998</v>
      </c>
      <c r="FV26">
        <v>-0.1663</v>
      </c>
      <c r="FW26">
        <v>-0.71869576455155904</v>
      </c>
      <c r="FX26">
        <v>7.6835882421071803E-4</v>
      </c>
      <c r="FY26">
        <v>7.9312579872174805E-7</v>
      </c>
      <c r="FZ26">
        <v>-1.5433145656851401E-10</v>
      </c>
      <c r="GA26">
        <v>-1.5880946282246199E-2</v>
      </c>
      <c r="GB26">
        <v>-2.1578312386681502E-2</v>
      </c>
      <c r="GC26">
        <v>7.7134661959739901E-4</v>
      </c>
      <c r="GD26">
        <v>-1.7684492548540801E-6</v>
      </c>
      <c r="GE26">
        <v>4</v>
      </c>
      <c r="GF26">
        <v>2093</v>
      </c>
      <c r="GG26">
        <v>1</v>
      </c>
      <c r="GH26">
        <v>31</v>
      </c>
      <c r="GI26">
        <v>4.5999999999999996</v>
      </c>
      <c r="GJ26">
        <v>4.5999999999999996</v>
      </c>
      <c r="GK26">
        <v>1.0571299999999999</v>
      </c>
      <c r="GL26">
        <v>2.66479</v>
      </c>
      <c r="GM26">
        <v>1.65161</v>
      </c>
      <c r="GN26">
        <v>2.2778299999999998</v>
      </c>
      <c r="GO26">
        <v>1.5979000000000001</v>
      </c>
      <c r="GP26">
        <v>2.5354000000000001</v>
      </c>
      <c r="GQ26">
        <v>36.694299999999998</v>
      </c>
      <c r="GR26">
        <v>15.970800000000001</v>
      </c>
      <c r="GS26">
        <v>18</v>
      </c>
      <c r="GT26">
        <v>507.86900000000003</v>
      </c>
      <c r="GU26">
        <v>512.34100000000001</v>
      </c>
      <c r="GV26">
        <v>20.700299999999999</v>
      </c>
      <c r="GW26">
        <v>30.567</v>
      </c>
      <c r="GX26">
        <v>29.999300000000002</v>
      </c>
      <c r="GY26">
        <v>30.685400000000001</v>
      </c>
      <c r="GZ26">
        <v>30.741</v>
      </c>
      <c r="HA26">
        <v>21.1311</v>
      </c>
      <c r="HB26">
        <v>27.768699999999999</v>
      </c>
      <c r="HC26">
        <v>9.5875299999999992</v>
      </c>
      <c r="HD26">
        <v>20.455100000000002</v>
      </c>
      <c r="HE26">
        <v>407.839</v>
      </c>
      <c r="HF26">
        <v>15.3588</v>
      </c>
      <c r="HG26">
        <v>97.851200000000006</v>
      </c>
      <c r="HH26">
        <v>94.433499999999995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899999999999999" x14ac:dyDescent="0.6"/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 t="s">
        <v>3</v>
      </c>
    </row>
    <row r="3" spans="1:2" x14ac:dyDescent="0.6">
      <c r="A3" t="s">
        <v>4</v>
      </c>
      <c r="B3" t="s">
        <v>5</v>
      </c>
    </row>
    <row r="4" spans="1:2" x14ac:dyDescent="0.6">
      <c r="A4" t="s">
        <v>6</v>
      </c>
      <c r="B4" t="s">
        <v>7</v>
      </c>
    </row>
    <row r="5" spans="1:2" x14ac:dyDescent="0.6">
      <c r="A5" t="s">
        <v>8</v>
      </c>
      <c r="B5" t="s">
        <v>9</v>
      </c>
    </row>
    <row r="6" spans="1:2" x14ac:dyDescent="0.6">
      <c r="A6" t="s">
        <v>10</v>
      </c>
      <c r="B6" t="s">
        <v>11</v>
      </c>
    </row>
    <row r="7" spans="1:2" x14ac:dyDescent="0.6">
      <c r="A7" t="s">
        <v>12</v>
      </c>
      <c r="B7" t="s">
        <v>13</v>
      </c>
    </row>
    <row r="8" spans="1:2" x14ac:dyDescent="0.6">
      <c r="A8" t="s">
        <v>14</v>
      </c>
      <c r="B8" t="s">
        <v>15</v>
      </c>
    </row>
    <row r="9" spans="1:2" x14ac:dyDescent="0.6">
      <c r="A9" t="s">
        <v>16</v>
      </c>
      <c r="B9" t="s">
        <v>17</v>
      </c>
    </row>
    <row r="10" spans="1:2" x14ac:dyDescent="0.6">
      <c r="A10" t="s">
        <v>18</v>
      </c>
      <c r="B10" t="s">
        <v>19</v>
      </c>
    </row>
    <row r="11" spans="1:2" x14ac:dyDescent="0.6">
      <c r="A11" t="s">
        <v>20</v>
      </c>
      <c r="B11" t="s">
        <v>21</v>
      </c>
    </row>
    <row r="12" spans="1:2" x14ac:dyDescent="0.6">
      <c r="A12" t="s">
        <v>22</v>
      </c>
      <c r="B12" t="s">
        <v>23</v>
      </c>
    </row>
    <row r="13" spans="1:2" x14ac:dyDescent="0.6">
      <c r="A13" t="s">
        <v>24</v>
      </c>
      <c r="B13" t="s">
        <v>25</v>
      </c>
    </row>
    <row r="14" spans="1:2" x14ac:dyDescent="0.6">
      <c r="A14" t="s">
        <v>26</v>
      </c>
      <c r="B14" t="s">
        <v>25</v>
      </c>
    </row>
    <row r="15" spans="1:2" x14ac:dyDescent="0.6">
      <c r="A15" t="s">
        <v>27</v>
      </c>
      <c r="B15" t="s">
        <v>23</v>
      </c>
    </row>
    <row r="16" spans="1:2" x14ac:dyDescent="0.6">
      <c r="A16" t="s">
        <v>28</v>
      </c>
      <c r="B16" t="s">
        <v>11</v>
      </c>
    </row>
    <row r="17" spans="1:2" x14ac:dyDescent="0.6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2026-10-04T16:13:15Z</dcterms:created>
  <dcterms:modified xsi:type="dcterms:W3CDTF">2026-10-04T08:31:00Z</dcterms:modified>
</cp:coreProperties>
</file>