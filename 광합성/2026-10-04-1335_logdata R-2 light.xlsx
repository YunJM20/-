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04 lettuce park/"/>
    </mc:Choice>
  </mc:AlternateContent>
  <xr:revisionPtr revIDLastSave="0" documentId="11_ACE0710018C3D08BBDFF62AFB58AD19604E37057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5" i="1" l="1"/>
  <c r="CV25" i="1"/>
  <c r="CT25" i="1"/>
  <c r="BI25" i="1"/>
  <c r="BH25" i="1"/>
  <c r="AZ25" i="1"/>
  <c r="AT25" i="1"/>
  <c r="AN25" i="1"/>
  <c r="BA25" i="1" s="1"/>
  <c r="BD25" i="1" s="1"/>
  <c r="AI25" i="1"/>
  <c r="AG25" i="1" s="1"/>
  <c r="Y25" i="1"/>
  <c r="X25" i="1"/>
  <c r="W25" i="1"/>
  <c r="P25" i="1"/>
  <c r="CW24" i="1"/>
  <c r="CV24" i="1"/>
  <c r="CT24" i="1"/>
  <c r="BI24" i="1"/>
  <c r="BH24" i="1"/>
  <c r="AZ24" i="1"/>
  <c r="AT24" i="1"/>
  <c r="AN24" i="1"/>
  <c r="BA24" i="1" s="1"/>
  <c r="BD24" i="1" s="1"/>
  <c r="AI24" i="1"/>
  <c r="AG24" i="1" s="1"/>
  <c r="Y24" i="1"/>
  <c r="X24" i="1"/>
  <c r="W24" i="1"/>
  <c r="P24" i="1"/>
  <c r="CW23" i="1"/>
  <c r="CV23" i="1"/>
  <c r="CT23" i="1"/>
  <c r="CU23" i="1" s="1"/>
  <c r="AV23" i="1" s="1"/>
  <c r="BI23" i="1"/>
  <c r="BH23" i="1"/>
  <c r="AZ23" i="1"/>
  <c r="AT23" i="1"/>
  <c r="AX23" i="1" s="1"/>
  <c r="AN23" i="1"/>
  <c r="BA23" i="1" s="1"/>
  <c r="BD23" i="1" s="1"/>
  <c r="AI23" i="1"/>
  <c r="AG23" i="1" s="1"/>
  <c r="Y23" i="1"/>
  <c r="W23" i="1" s="1"/>
  <c r="X23" i="1"/>
  <c r="S23" i="1"/>
  <c r="P23" i="1"/>
  <c r="CW22" i="1"/>
  <c r="CV22" i="1"/>
  <c r="CT22" i="1"/>
  <c r="BI22" i="1"/>
  <c r="BH22" i="1"/>
  <c r="AZ22" i="1"/>
  <c r="AT22" i="1"/>
  <c r="AN22" i="1"/>
  <c r="BA22" i="1" s="1"/>
  <c r="BD22" i="1" s="1"/>
  <c r="AI22" i="1"/>
  <c r="AG22" i="1" s="1"/>
  <c r="Y22" i="1"/>
  <c r="X22" i="1"/>
  <c r="W22" i="1"/>
  <c r="P22" i="1"/>
  <c r="CW21" i="1"/>
  <c r="CV21" i="1"/>
  <c r="CT21" i="1"/>
  <c r="BI21" i="1"/>
  <c r="BH21" i="1"/>
  <c r="AZ21" i="1"/>
  <c r="AT21" i="1"/>
  <c r="AN21" i="1"/>
  <c r="BA21" i="1" s="1"/>
  <c r="BD21" i="1" s="1"/>
  <c r="AI21" i="1"/>
  <c r="AG21" i="1"/>
  <c r="AH21" i="1" s="1"/>
  <c r="Y21" i="1"/>
  <c r="W21" i="1" s="1"/>
  <c r="X21" i="1"/>
  <c r="S21" i="1"/>
  <c r="P21" i="1"/>
  <c r="N21" i="1"/>
  <c r="K21" i="1"/>
  <c r="J21" i="1"/>
  <c r="AW21" i="1" s="1"/>
  <c r="I21" i="1"/>
  <c r="H21" i="1" s="1"/>
  <c r="CW20" i="1"/>
  <c r="CV20" i="1"/>
  <c r="CT20" i="1"/>
  <c r="CU20" i="1" s="1"/>
  <c r="AV20" i="1" s="1"/>
  <c r="BI20" i="1"/>
  <c r="BH20" i="1"/>
  <c r="AZ20" i="1"/>
  <c r="AT20" i="1"/>
  <c r="AX20" i="1" s="1"/>
  <c r="AN20" i="1"/>
  <c r="BA20" i="1" s="1"/>
  <c r="BD20" i="1" s="1"/>
  <c r="AI20" i="1"/>
  <c r="AG20" i="1" s="1"/>
  <c r="Y20" i="1"/>
  <c r="X20" i="1"/>
  <c r="W20" i="1"/>
  <c r="S20" i="1"/>
  <c r="P20" i="1"/>
  <c r="CW19" i="1"/>
  <c r="CV19" i="1"/>
  <c r="CT19" i="1"/>
  <c r="CU19" i="1" s="1"/>
  <c r="AV19" i="1" s="1"/>
  <c r="BI19" i="1"/>
  <c r="BH19" i="1"/>
  <c r="AZ19" i="1"/>
  <c r="AT19" i="1"/>
  <c r="AX19" i="1" s="1"/>
  <c r="AN19" i="1"/>
  <c r="BA19" i="1" s="1"/>
  <c r="BD19" i="1" s="1"/>
  <c r="AI19" i="1"/>
  <c r="AG19" i="1" s="1"/>
  <c r="Y19" i="1"/>
  <c r="X19" i="1"/>
  <c r="W19" i="1"/>
  <c r="S19" i="1"/>
  <c r="P19" i="1"/>
  <c r="CW18" i="1"/>
  <c r="CV18" i="1"/>
  <c r="CT18" i="1"/>
  <c r="BI18" i="1"/>
  <c r="BH18" i="1"/>
  <c r="AZ18" i="1"/>
  <c r="AT18" i="1"/>
  <c r="AN18" i="1"/>
  <c r="BA18" i="1" s="1"/>
  <c r="BD18" i="1" s="1"/>
  <c r="AI18" i="1"/>
  <c r="AG18" i="1" s="1"/>
  <c r="Y18" i="1"/>
  <c r="X18" i="1"/>
  <c r="W18" i="1" s="1"/>
  <c r="S18" i="1"/>
  <c r="P18" i="1"/>
  <c r="CW17" i="1"/>
  <c r="CV17" i="1"/>
  <c r="CT17" i="1"/>
  <c r="BI17" i="1"/>
  <c r="BH17" i="1"/>
  <c r="AZ17" i="1"/>
  <c r="AT17" i="1"/>
  <c r="AN17" i="1"/>
  <c r="BA17" i="1" s="1"/>
  <c r="BD17" i="1" s="1"/>
  <c r="AI17" i="1"/>
  <c r="AG17" i="1" s="1"/>
  <c r="Y17" i="1"/>
  <c r="X17" i="1"/>
  <c r="W17" i="1" s="1"/>
  <c r="S17" i="1"/>
  <c r="P17" i="1"/>
  <c r="CU21" i="1" l="1"/>
  <c r="AV21" i="1" s="1"/>
  <c r="CU18" i="1"/>
  <c r="AV18" i="1" s="1"/>
  <c r="AX18" i="1" s="1"/>
  <c r="CU17" i="1"/>
  <c r="AV17" i="1" s="1"/>
  <c r="AX17" i="1" s="1"/>
  <c r="I24" i="1"/>
  <c r="H24" i="1" s="1"/>
  <c r="AA24" i="1" s="1"/>
  <c r="J24" i="1"/>
  <c r="AW24" i="1" s="1"/>
  <c r="K24" i="1"/>
  <c r="N24" i="1"/>
  <c r="AH24" i="1"/>
  <c r="K22" i="1"/>
  <c r="N22" i="1"/>
  <c r="S25" i="1"/>
  <c r="CU25" i="1"/>
  <c r="AV25" i="1" s="1"/>
  <c r="AX25" i="1" s="1"/>
  <c r="BE25" i="1"/>
  <c r="BG25" i="1"/>
  <c r="BF25" i="1"/>
  <c r="BJ25" i="1" s="1"/>
  <c r="BK25" i="1" s="1"/>
  <c r="I25" i="1"/>
  <c r="H25" i="1" s="1"/>
  <c r="J25" i="1"/>
  <c r="AW25" i="1" s="1"/>
  <c r="AY25" i="1" s="1"/>
  <c r="K25" i="1"/>
  <c r="N25" i="1"/>
  <c r="AH25" i="1"/>
  <c r="CU24" i="1"/>
  <c r="AV24" i="1" s="1"/>
  <c r="S24" i="1"/>
  <c r="BE24" i="1"/>
  <c r="BF24" i="1"/>
  <c r="BJ24" i="1" s="1"/>
  <c r="BK24" i="1" s="1"/>
  <c r="BG24" i="1"/>
  <c r="BF23" i="1"/>
  <c r="BJ23" i="1" s="1"/>
  <c r="BK23" i="1" s="1"/>
  <c r="BE23" i="1"/>
  <c r="BG23" i="1"/>
  <c r="AH23" i="1"/>
  <c r="I23" i="1"/>
  <c r="H23" i="1" s="1"/>
  <c r="T23" i="1" s="1"/>
  <c r="U23" i="1" s="1"/>
  <c r="J23" i="1"/>
  <c r="AW23" i="1" s="1"/>
  <c r="AY23" i="1" s="1"/>
  <c r="K23" i="1"/>
  <c r="N23" i="1"/>
  <c r="CU22" i="1"/>
  <c r="AV22" i="1" s="1"/>
  <c r="AX22" i="1" s="1"/>
  <c r="S22" i="1"/>
  <c r="BF22" i="1"/>
  <c r="BJ22" i="1" s="1"/>
  <c r="BK22" i="1" s="1"/>
  <c r="BE22" i="1"/>
  <c r="BG22" i="1"/>
  <c r="I22" i="1"/>
  <c r="H22" i="1" s="1"/>
  <c r="J22" i="1"/>
  <c r="AW22" i="1" s="1"/>
  <c r="AY22" i="1" s="1"/>
  <c r="AH22" i="1"/>
  <c r="BE21" i="1"/>
  <c r="BF21" i="1"/>
  <c r="BJ21" i="1" s="1"/>
  <c r="BK21" i="1" s="1"/>
  <c r="BG21" i="1"/>
  <c r="T21" i="1"/>
  <c r="U21" i="1" s="1"/>
  <c r="Q21" i="1" s="1"/>
  <c r="O21" i="1" s="1"/>
  <c r="R21" i="1" s="1"/>
  <c r="L21" i="1" s="1"/>
  <c r="M21" i="1" s="1"/>
  <c r="AA21" i="1"/>
  <c r="BE20" i="1"/>
  <c r="BG20" i="1"/>
  <c r="BF20" i="1"/>
  <c r="BJ20" i="1" s="1"/>
  <c r="BK20" i="1" s="1"/>
  <c r="AH20" i="1"/>
  <c r="I20" i="1"/>
  <c r="H20" i="1" s="1"/>
  <c r="J20" i="1"/>
  <c r="AW20" i="1" s="1"/>
  <c r="AY20" i="1" s="1"/>
  <c r="K20" i="1"/>
  <c r="N20" i="1"/>
  <c r="T20" i="1"/>
  <c r="U20" i="1" s="1"/>
  <c r="BF19" i="1"/>
  <c r="BJ19" i="1" s="1"/>
  <c r="BK19" i="1" s="1"/>
  <c r="BG19" i="1"/>
  <c r="BE19" i="1"/>
  <c r="AH19" i="1"/>
  <c r="J19" i="1"/>
  <c r="AW19" i="1" s="1"/>
  <c r="AY19" i="1" s="1"/>
  <c r="I19" i="1"/>
  <c r="H19" i="1" s="1"/>
  <c r="K19" i="1"/>
  <c r="N19" i="1"/>
  <c r="T19" i="1"/>
  <c r="U19" i="1" s="1"/>
  <c r="BG18" i="1"/>
  <c r="BF18" i="1"/>
  <c r="BJ18" i="1" s="1"/>
  <c r="BK18" i="1" s="1"/>
  <c r="BE18" i="1"/>
  <c r="K18" i="1"/>
  <c r="AH18" i="1"/>
  <c r="J18" i="1"/>
  <c r="AW18" i="1" s="1"/>
  <c r="I18" i="1"/>
  <c r="H18" i="1" s="1"/>
  <c r="N18" i="1"/>
  <c r="T18" i="1"/>
  <c r="U18" i="1" s="1"/>
  <c r="BF17" i="1"/>
  <c r="BJ17" i="1" s="1"/>
  <c r="BK17" i="1" s="1"/>
  <c r="BG17" i="1"/>
  <c r="BE17" i="1"/>
  <c r="N17" i="1"/>
  <c r="I17" i="1"/>
  <c r="H17" i="1" s="1"/>
  <c r="K17" i="1"/>
  <c r="J17" i="1"/>
  <c r="AW17" i="1" s="1"/>
  <c r="AH17" i="1"/>
  <c r="T17" i="1"/>
  <c r="U17" i="1" s="1"/>
  <c r="AY21" i="1" l="1"/>
  <c r="AX21" i="1"/>
  <c r="AY18" i="1"/>
  <c r="AY17" i="1"/>
  <c r="T25" i="1"/>
  <c r="U25" i="1" s="1"/>
  <c r="Q25" i="1"/>
  <c r="O25" i="1" s="1"/>
  <c r="R25" i="1" s="1"/>
  <c r="L25" i="1" s="1"/>
  <c r="M25" i="1" s="1"/>
  <c r="AA25" i="1"/>
  <c r="AY24" i="1"/>
  <c r="AX24" i="1"/>
  <c r="T24" i="1"/>
  <c r="U24" i="1" s="1"/>
  <c r="Q23" i="1"/>
  <c r="O23" i="1" s="1"/>
  <c r="R23" i="1" s="1"/>
  <c r="L23" i="1" s="1"/>
  <c r="M23" i="1" s="1"/>
  <c r="AA23" i="1"/>
  <c r="AB23" i="1"/>
  <c r="AC23" i="1"/>
  <c r="AD23" i="1" s="1"/>
  <c r="V23" i="1"/>
  <c r="Z23" i="1" s="1"/>
  <c r="T22" i="1"/>
  <c r="U22" i="1" s="1"/>
  <c r="Q22" i="1" s="1"/>
  <c r="O22" i="1" s="1"/>
  <c r="R22" i="1" s="1"/>
  <c r="L22" i="1" s="1"/>
  <c r="M22" i="1" s="1"/>
  <c r="AA22" i="1"/>
  <c r="AB21" i="1"/>
  <c r="V21" i="1"/>
  <c r="Z21" i="1" s="1"/>
  <c r="AC21" i="1"/>
  <c r="AD21" i="1" s="1"/>
  <c r="Q20" i="1"/>
  <c r="O20" i="1" s="1"/>
  <c r="R20" i="1" s="1"/>
  <c r="L20" i="1" s="1"/>
  <c r="M20" i="1" s="1"/>
  <c r="AA20" i="1"/>
  <c r="AB20" i="1"/>
  <c r="V20" i="1"/>
  <c r="Z20" i="1" s="1"/>
  <c r="AC20" i="1"/>
  <c r="AD20" i="1" s="1"/>
  <c r="Q19" i="1"/>
  <c r="O19" i="1" s="1"/>
  <c r="R19" i="1" s="1"/>
  <c r="L19" i="1" s="1"/>
  <c r="M19" i="1" s="1"/>
  <c r="AA19" i="1"/>
  <c r="AB19" i="1"/>
  <c r="V19" i="1"/>
  <c r="Z19" i="1" s="1"/>
  <c r="AC19" i="1"/>
  <c r="AD19" i="1" s="1"/>
  <c r="Q18" i="1"/>
  <c r="O18" i="1" s="1"/>
  <c r="R18" i="1" s="1"/>
  <c r="L18" i="1" s="1"/>
  <c r="M18" i="1" s="1"/>
  <c r="AA18" i="1"/>
  <c r="AB18" i="1"/>
  <c r="AC18" i="1"/>
  <c r="V18" i="1"/>
  <c r="Z18" i="1" s="1"/>
  <c r="Q17" i="1"/>
  <c r="O17" i="1" s="1"/>
  <c r="R17" i="1" s="1"/>
  <c r="L17" i="1" s="1"/>
  <c r="M17" i="1" s="1"/>
  <c r="AA17" i="1"/>
  <c r="AB17" i="1"/>
  <c r="V17" i="1"/>
  <c r="Z17" i="1" s="1"/>
  <c r="AC17" i="1"/>
  <c r="AD17" i="1" s="1"/>
  <c r="AB25" i="1" l="1"/>
  <c r="V25" i="1"/>
  <c r="Z25" i="1" s="1"/>
  <c r="AC25" i="1"/>
  <c r="AD25" i="1" s="1"/>
  <c r="Q24" i="1"/>
  <c r="O24" i="1" s="1"/>
  <c r="R24" i="1" s="1"/>
  <c r="L24" i="1" s="1"/>
  <c r="M24" i="1" s="1"/>
  <c r="AB24" i="1"/>
  <c r="V24" i="1"/>
  <c r="Z24" i="1" s="1"/>
  <c r="AC24" i="1"/>
  <c r="AD24" i="1" s="1"/>
  <c r="AB22" i="1"/>
  <c r="V22" i="1"/>
  <c r="Z22" i="1" s="1"/>
  <c r="AC22" i="1"/>
  <c r="AD22" i="1" s="1"/>
  <c r="AD18" i="1"/>
</calcChain>
</file>

<file path=xl/sharedStrings.xml><?xml version="1.0" encoding="utf-8"?>
<sst xmlns="http://schemas.openxmlformats.org/spreadsheetml/2006/main" count="739" uniqueCount="379">
  <si>
    <t>File opened</t>
  </si>
  <si>
    <t>2026-10-04 13:35:13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</si>
  <si>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</si>
  <si>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</si>
  <si>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</si>
  <si>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</si>
  <si>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</si>
  <si>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</si>
  <si>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</si>
  <si>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</si>
  <si>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</si>
  <si>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</si>
  <si>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</si>
  <si>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{"chamberpressurezero": "2.71033", "co2aspan2a": "0.106022", "co2bzero": "0.953041", "flowmeterzero": "2.483", "co2aspan2b": "0.105998", "h2oazero": "1.03097", "flowazero": "0.276", "h2oaspan2a": "0.0964052", "h2oaspan1": "1.02308", "co2azero": "0.931334", "h2obspan2a": "0.0961931", "co2aspan2": "-0.00988168", "co2aspanconc1": "437.6", "h2obspan2b": "0.0971974", "co2bspan2b": "0.105618", "h2obspanconc2": "0", "tazero": "0.15448", "co2bspanconc1": "437.6", "co2bspanconc2": "1516", "h2obspanconc1": "17.96", "h2obspan2": "0", "h2oaspan2": "0", "co2bspan2": "-0.00857283", "co2aspanconc2": "1516", "flowbzero": "0.30473", "co2aspan1": "1.00082", "oxygen": "21", "tbzero": "0.143742", "h2oaspanconc2": "0", "h2oaspanconc1": "17.96", "h2obspan1": "1.01044", "co2bspan1": "1.00005", "co2bspan2a": "0.105708", "h2oaspan2b": "0.0986302", "ssb_ref": "36242.9", "ssa_ref": "37830.5", "h2obzero": "1.01897"}</t>
  </si>
  <si>
    <t>Factory cal date</t>
  </si>
  <si>
    <t>14 Dec 2023</t>
  </si>
  <si>
    <t>CO2 rangematch</t>
  </si>
  <si>
    <t>Mon Sep 14 10:06</t>
  </si>
  <si>
    <t>H2O rangematch</t>
  </si>
  <si>
    <t>Mon Sep 14 10:14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</si>
  <si>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</si>
  <si>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</si>
  <si>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</si>
  <si>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</si>
  <si>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</si>
  <si>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</si>
  <si>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</si>
  <si>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</si>
  <si>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</si>
  <si>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13:35:14</t>
  </si>
  <si>
    <t>Stability Definition:	ΔCO2 (Meas2): Slp&lt;0.5 Per=20	F (FlrLS): Slp&lt;1 Per=20	A (GasEx): Slp&lt;0.6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</si>
  <si>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</si>
  <si>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</si>
  <si>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</si>
  <si>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</si>
  <si>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</si>
  <si>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</si>
  <si>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</si>
  <si>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</si>
  <si>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</si>
  <si>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</si>
  <si>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</si>
  <si>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</si>
  <si>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</si>
  <si>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</si>
  <si>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</si>
  <si>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</si>
  <si>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</si>
  <si>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</si>
  <si>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</si>
  <si>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</si>
  <si>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</si>
  <si>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</si>
  <si>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</si>
  <si>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</si>
  <si>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</si>
  <si>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</si>
  <si>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</si>
  <si>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</si>
  <si>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</si>
  <si>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</si>
  <si>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</si>
  <si>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</si>
  <si>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</si>
  <si>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</si>
  <si>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</si>
  <si>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</si>
  <si>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</si>
  <si>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</si>
  <si>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</si>
  <si>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</si>
  <si>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</si>
  <si>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</si>
  <si>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</si>
  <si>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</si>
  <si>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</si>
  <si>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</si>
  <si>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</si>
  <si>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</si>
  <si>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</si>
  <si>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</si>
  <si>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</si>
  <si>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</si>
  <si>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4.72514 203.78 363.155 594.255 857.394 1066.3 1251.07 1380.19</t>
  </si>
  <si>
    <t>Fs_true</t>
  </si>
  <si>
    <t>0.127932 227.245 386.898 590.184 811.883 1001.42 1202.73 1400.77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</si>
  <si>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</si>
  <si>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</si>
  <si>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</si>
  <si>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</si>
  <si>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</si>
  <si>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</si>
  <si>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</si>
  <si>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</si>
  <si>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</si>
  <si>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</si>
  <si>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</si>
  <si>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</si>
  <si>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</si>
  <si>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</si>
  <si>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</si>
  <si>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</si>
  <si>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</si>
  <si>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</si>
  <si>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</si>
  <si>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</si>
  <si>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</si>
  <si>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</si>
  <si>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</si>
  <si>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</si>
  <si>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</si>
  <si>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</si>
  <si>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</si>
  <si>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</si>
  <si>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</si>
  <si>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</si>
  <si>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</si>
  <si>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</si>
  <si>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</si>
  <si>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</si>
  <si>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</si>
  <si>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</si>
  <si>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</si>
  <si>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</si>
  <si>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</si>
  <si>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</si>
  <si>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</si>
  <si>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</si>
  <si>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</si>
  <si>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</si>
  <si>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</si>
  <si>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</si>
  <si>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</si>
  <si>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</si>
  <si>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</si>
  <si>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</si>
  <si>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</si>
  <si>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</si>
  <si>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</si>
  <si>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</si>
  <si>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</si>
  <si>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</si>
  <si>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</si>
  <si>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</si>
  <si>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</si>
  <si>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</si>
  <si>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</si>
  <si>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</si>
  <si>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</si>
  <si>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</si>
  <si>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</si>
  <si>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</si>
  <si>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</si>
  <si>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</si>
  <si>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</si>
  <si>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</si>
  <si>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</si>
  <si>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</si>
  <si>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</si>
  <si>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</si>
  <si>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</si>
  <si>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</si>
  <si>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</si>
  <si>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</si>
  <si>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</si>
  <si>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</si>
  <si>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</si>
  <si>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</si>
  <si>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</si>
  <si>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</si>
  <si>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</si>
  <si>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</si>
  <si>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</si>
  <si>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</si>
  <si>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</si>
  <si>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</si>
  <si>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</si>
  <si>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</si>
  <si>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</si>
  <si>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</si>
  <si>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</si>
  <si>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</si>
  <si>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</si>
  <si>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</si>
  <si>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</si>
  <si>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</si>
  <si>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</si>
  <si>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</si>
  <si>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</si>
  <si>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</si>
  <si>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</si>
  <si>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</si>
  <si>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</si>
  <si>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</si>
  <si>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</si>
  <si>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</si>
  <si>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</si>
  <si>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</si>
  <si>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</si>
  <si>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</si>
  <si>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</si>
  <si>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</si>
  <si>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</si>
  <si>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</si>
  <si>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</si>
  <si>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</si>
  <si>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</si>
  <si>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</si>
  <si>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</si>
  <si>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</si>
  <si>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</si>
  <si>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</si>
  <si>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</si>
  <si>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</si>
  <si>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</si>
  <si>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</si>
  <si>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</si>
  <si>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</si>
  <si>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</si>
  <si>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</si>
  <si>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</si>
  <si>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</si>
  <si>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</si>
  <si>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</si>
  <si>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</si>
  <si>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</si>
  <si>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</si>
  <si>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</si>
  <si>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</si>
  <si>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</si>
  <si>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</si>
  <si>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</si>
  <si>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</si>
  <si>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</si>
  <si>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</si>
  <si>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</si>
  <si>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</si>
  <si>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</si>
  <si>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</si>
  <si>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</si>
  <si>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</si>
  <si>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</si>
  <si>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</si>
  <si>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</si>
  <si>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</si>
  <si>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</si>
  <si>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</si>
  <si>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</si>
  <si>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</si>
  <si>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</si>
  <si>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</si>
  <si>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</si>
  <si>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</si>
  <si>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</si>
  <si>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</si>
  <si>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</si>
  <si>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</si>
  <si>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</si>
  <si>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</si>
  <si>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</si>
  <si>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</si>
  <si>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</si>
  <si>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</si>
  <si>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</si>
  <si>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</si>
  <si>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</si>
  <si>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</si>
  <si>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</si>
  <si>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</si>
  <si>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</si>
  <si>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</si>
  <si>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</si>
  <si>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</si>
  <si>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</si>
  <si>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</si>
  <si>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</si>
  <si>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</si>
  <si>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</si>
  <si>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</si>
  <si>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</si>
  <si>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</si>
  <si>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</si>
  <si>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</si>
  <si>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</si>
  <si>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</si>
  <si>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</si>
  <si>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</si>
  <si>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</si>
  <si>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</si>
  <si>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</si>
  <si>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</si>
  <si>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</si>
  <si>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</si>
  <si>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</si>
  <si>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</si>
  <si>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</si>
  <si>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</si>
  <si>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</si>
  <si>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</si>
  <si>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</si>
  <si>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</si>
  <si>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</si>
  <si>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</si>
  <si>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</si>
  <si>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</si>
  <si>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</si>
  <si>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</si>
  <si>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</si>
  <si>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</si>
  <si>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</si>
  <si>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</si>
  <si>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</si>
  <si>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</si>
  <si>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</si>
  <si>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</si>
  <si>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</si>
  <si>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</si>
  <si>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</si>
  <si>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</si>
  <si>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</si>
  <si>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</si>
  <si>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</si>
  <si>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</si>
  <si>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</si>
  <si>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</si>
  <si>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</si>
  <si>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</si>
  <si>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</si>
  <si>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</si>
  <si>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</si>
  <si>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</si>
  <si>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</si>
  <si>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</si>
  <si>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</si>
  <si>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</si>
  <si>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</si>
  <si>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</si>
  <si>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</si>
  <si>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</si>
  <si>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</si>
  <si>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</si>
  <si>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20261004 13:56:11</t>
  </si>
  <si>
    <t>13:56:11</t>
  </si>
  <si>
    <t>MPF-108-20261004-12_21_27</t>
  </si>
  <si>
    <t>MPF-109-20261004-13_56_15</t>
  </si>
  <si>
    <t>-</t>
  </si>
  <si>
    <t>0: Broadleaf</t>
  </si>
  <si>
    <t>13:50:45</t>
  </si>
  <si>
    <t>3/3</t>
  </si>
  <si>
    <t>20261004 13:58:25</t>
  </si>
  <si>
    <t>13:58:25</t>
  </si>
  <si>
    <t>MPF-110-20261004-13_58_29</t>
  </si>
  <si>
    <t>20261004 14:01:28</t>
  </si>
  <si>
    <t>14:01:28</t>
  </si>
  <si>
    <t>MPF-111-20261004-14_01_32</t>
  </si>
  <si>
    <t>1/3</t>
  </si>
  <si>
    <t>20261004 14:04:31</t>
  </si>
  <si>
    <t>14:04:31</t>
  </si>
  <si>
    <t>MPF-112-20261004-14_04_35</t>
  </si>
  <si>
    <t>2/3</t>
  </si>
  <si>
    <t>20261004 14:06:34</t>
  </si>
  <si>
    <t>14:06:34</t>
  </si>
  <si>
    <t>MPF-113-20261004-14_06_38</t>
  </si>
  <si>
    <t>20261004 14:08:47</t>
  </si>
  <si>
    <t>14:08:47</t>
  </si>
  <si>
    <t>MPF-114-20261004-14_08_51</t>
  </si>
  <si>
    <t>14:07:41</t>
  </si>
  <si>
    <t>20261004 14:10:55</t>
  </si>
  <si>
    <t>14:10:55</t>
  </si>
  <si>
    <t>MPF-115-20261004-14_10_59</t>
  </si>
  <si>
    <t>14:09:55</t>
  </si>
  <si>
    <t>20261004 14:13:06</t>
  </si>
  <si>
    <t>14:13:06</t>
  </si>
  <si>
    <t>MPF-116-20261004-14_13_10</t>
  </si>
  <si>
    <t>14:12:08</t>
  </si>
  <si>
    <t>20261004 14:15:22</t>
  </si>
  <si>
    <t>14:15:22</t>
  </si>
  <si>
    <t>MPF-117-20261004-14_15_26</t>
  </si>
  <si>
    <t>14:14:12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</si>
</sst>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H25"/>
  <sheetViews>
    <sheetView tabSelected="1" workbookViewId="0"/>
  </sheetViews>
  <sheetFormatPr defaultRowHeight="16.899999999999999" x14ac:dyDescent="0.6"/>
  <sheetData>
    <row r="2" spans="1:216" x14ac:dyDescent="0.6">
      <c r="A2" t="s">
        <v>31</v>
      </c>
      <c r="B2" t="s">
        <v>32</v>
      </c>
      <c r="C2" t="s">
        <v>34</v>
      </c>
    </row>
    <row r="3" spans="1:216" x14ac:dyDescent="0.6">
      <c r="B3" t="s">
        <v>33</v>
      </c>
      <c r="C3">
        <v>21</v>
      </c>
    </row>
    <row r="4" spans="1:216" x14ac:dyDescent="0.6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6" x14ac:dyDescent="0.6">
      <c r="B5" t="s">
        <v>21</v>
      </c>
      <c r="C5" t="s">
        <v>38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16" x14ac:dyDescent="0.6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6" x14ac:dyDescent="0.6">
      <c r="B7">
        <v>0</v>
      </c>
      <c r="C7">
        <v>1</v>
      </c>
      <c r="D7">
        <v>0</v>
      </c>
      <c r="E7">
        <v>0</v>
      </c>
    </row>
    <row r="8" spans="1:216" x14ac:dyDescent="0.6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6" x14ac:dyDescent="0.6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6" x14ac:dyDescent="0.6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6" x14ac:dyDescent="0.6">
      <c r="B11">
        <v>0</v>
      </c>
      <c r="C11">
        <v>0</v>
      </c>
      <c r="D11">
        <v>0</v>
      </c>
      <c r="E11">
        <v>0</v>
      </c>
      <c r="F11">
        <v>1</v>
      </c>
    </row>
    <row r="12" spans="1:216" x14ac:dyDescent="0.6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6" x14ac:dyDescent="0.6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216" x14ac:dyDescent="0.6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</row>
    <row r="15" spans="1:216" x14ac:dyDescent="0.6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89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144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158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165</v>
      </c>
      <c r="CH15" t="s">
        <v>186</v>
      </c>
      <c r="CI15" t="s">
        <v>187</v>
      </c>
      <c r="CJ15" t="s">
        <v>188</v>
      </c>
      <c r="CK15" t="s">
        <v>139</v>
      </c>
      <c r="CL15" t="s">
        <v>189</v>
      </c>
      <c r="CM15" t="s">
        <v>190</v>
      </c>
      <c r="CN15" t="s">
        <v>191</v>
      </c>
      <c r="CO15" t="s">
        <v>192</v>
      </c>
      <c r="CP15" t="s">
        <v>193</v>
      </c>
      <c r="CQ15" t="s">
        <v>194</v>
      </c>
      <c r="CR15" t="s">
        <v>195</v>
      </c>
      <c r="CS15" t="s">
        <v>196</v>
      </c>
      <c r="CT15" t="s">
        <v>197</v>
      </c>
      <c r="CU15" t="s">
        <v>198</v>
      </c>
      <c r="CV15" t="s">
        <v>199</v>
      </c>
      <c r="CW15" t="s">
        <v>200</v>
      </c>
      <c r="CX15" t="s">
        <v>201</v>
      </c>
      <c r="CY15" t="s">
        <v>202</v>
      </c>
      <c r="CZ15" t="s">
        <v>203</v>
      </c>
      <c r="DA15" t="s">
        <v>204</v>
      </c>
      <c r="DB15" t="s">
        <v>109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104</v>
      </c>
      <c r="ER15" t="s">
        <v>107</v>
      </c>
      <c r="ES15" t="s">
        <v>245</v>
      </c>
      <c r="ET15" t="s">
        <v>246</v>
      </c>
      <c r="EU15" t="s">
        <v>247</v>
      </c>
      <c r="EV15" t="s">
        <v>248</v>
      </c>
      <c r="EW15" t="s">
        <v>249</v>
      </c>
      <c r="EX15" t="s">
        <v>250</v>
      </c>
      <c r="EY15" t="s">
        <v>251</v>
      </c>
      <c r="EZ15" t="s">
        <v>252</v>
      </c>
      <c r="FA15" t="s">
        <v>253</v>
      </c>
      <c r="FB15" t="s">
        <v>254</v>
      </c>
      <c r="FC15" t="s">
        <v>255</v>
      </c>
      <c r="FD15" t="s">
        <v>256</v>
      </c>
      <c r="FE15" t="s">
        <v>257</v>
      </c>
      <c r="FF15" t="s">
        <v>258</v>
      </c>
      <c r="FG15" t="s">
        <v>259</v>
      </c>
      <c r="FH15" t="s">
        <v>260</v>
      </c>
      <c r="FI15" t="s">
        <v>261</v>
      </c>
      <c r="FJ15" t="s">
        <v>262</v>
      </c>
      <c r="FK15" t="s">
        <v>263</v>
      </c>
      <c r="FL15" t="s">
        <v>264</v>
      </c>
      <c r="FM15" t="s">
        <v>265</v>
      </c>
      <c r="FN15" t="s">
        <v>266</v>
      </c>
      <c r="FO15" t="s">
        <v>267</v>
      </c>
      <c r="FP15" t="s">
        <v>268</v>
      </c>
      <c r="FQ15" t="s">
        <v>269</v>
      </c>
      <c r="FR15" t="s">
        <v>270</v>
      </c>
      <c r="FS15" t="s">
        <v>271</v>
      </c>
      <c r="FT15" t="s">
        <v>272</v>
      </c>
      <c r="FU15" t="s">
        <v>273</v>
      </c>
      <c r="FV15" t="s">
        <v>274</v>
      </c>
      <c r="FW15" t="s">
        <v>275</v>
      </c>
      <c r="FX15" t="s">
        <v>276</v>
      </c>
      <c r="FY15" t="s">
        <v>277</v>
      </c>
      <c r="FZ15" t="s">
        <v>278</v>
      </c>
      <c r="GA15" t="s">
        <v>279</v>
      </c>
      <c r="GB15" t="s">
        <v>280</v>
      </c>
      <c r="GC15" t="s">
        <v>281</v>
      </c>
      <c r="GD15" t="s">
        <v>282</v>
      </c>
      <c r="GE15" t="s">
        <v>283</v>
      </c>
      <c r="GF15" t="s">
        <v>284</v>
      </c>
      <c r="GG15" t="s">
        <v>285</v>
      </c>
      <c r="GH15" t="s">
        <v>286</v>
      </c>
      <c r="GI15" t="s">
        <v>287</v>
      </c>
      <c r="GJ15" t="s">
        <v>288</v>
      </c>
      <c r="GK15" t="s">
        <v>289</v>
      </c>
      <c r="GL15" t="s">
        <v>290</v>
      </c>
      <c r="GM15" t="s">
        <v>291</v>
      </c>
      <c r="GN15" t="s">
        <v>292</v>
      </c>
      <c r="GO15" t="s">
        <v>293</v>
      </c>
      <c r="GP15" t="s">
        <v>294</v>
      </c>
      <c r="GQ15" t="s">
        <v>295</v>
      </c>
      <c r="GR15" t="s">
        <v>296</v>
      </c>
      <c r="GS15" t="s">
        <v>297</v>
      </c>
      <c r="GT15" t="s">
        <v>298</v>
      </c>
      <c r="GU15" t="s">
        <v>299</v>
      </c>
      <c r="GV15" t="s">
        <v>300</v>
      </c>
      <c r="GW15" t="s">
        <v>301</v>
      </c>
      <c r="GX15" t="s">
        <v>302</v>
      </c>
      <c r="GY15" t="s">
        <v>303</v>
      </c>
      <c r="GZ15" t="s">
        <v>304</v>
      </c>
      <c r="HA15" t="s">
        <v>305</v>
      </c>
      <c r="HB15" t="s">
        <v>306</v>
      </c>
      <c r="HC15" t="s">
        <v>307</v>
      </c>
      <c r="HD15" t="s">
        <v>308</v>
      </c>
      <c r="HE15" t="s">
        <v>309</v>
      </c>
      <c r="HF15" t="s">
        <v>310</v>
      </c>
      <c r="HG15" t="s">
        <v>311</v>
      </c>
      <c r="HH15" t="s">
        <v>312</v>
      </c>
    </row>
    <row r="16" spans="1:216" x14ac:dyDescent="0.6">
      <c r="B16" t="s">
        <v>313</v>
      </c>
      <c r="C16" t="s">
        <v>313</v>
      </c>
      <c r="F16" t="s">
        <v>313</v>
      </c>
      <c r="G16" t="s">
        <v>313</v>
      </c>
      <c r="H16" t="s">
        <v>314</v>
      </c>
      <c r="I16" t="s">
        <v>315</v>
      </c>
      <c r="J16" t="s">
        <v>316</v>
      </c>
      <c r="K16" t="s">
        <v>317</v>
      </c>
      <c r="L16" t="s">
        <v>317</v>
      </c>
      <c r="M16" t="s">
        <v>212</v>
      </c>
      <c r="N16" t="s">
        <v>212</v>
      </c>
      <c r="O16" t="s">
        <v>314</v>
      </c>
      <c r="P16" t="s">
        <v>314</v>
      </c>
      <c r="Q16" t="s">
        <v>314</v>
      </c>
      <c r="R16" t="s">
        <v>314</v>
      </c>
      <c r="S16" t="s">
        <v>318</v>
      </c>
      <c r="T16" t="s">
        <v>319</v>
      </c>
      <c r="U16" t="s">
        <v>319</v>
      </c>
      <c r="V16" t="s">
        <v>320</v>
      </c>
      <c r="W16" t="s">
        <v>321</v>
      </c>
      <c r="X16" t="s">
        <v>320</v>
      </c>
      <c r="Y16" t="s">
        <v>320</v>
      </c>
      <c r="Z16" t="s">
        <v>320</v>
      </c>
      <c r="AA16" t="s">
        <v>318</v>
      </c>
      <c r="AB16" t="s">
        <v>318</v>
      </c>
      <c r="AC16" t="s">
        <v>318</v>
      </c>
      <c r="AD16" t="s">
        <v>318</v>
      </c>
      <c r="AE16" t="s">
        <v>322</v>
      </c>
      <c r="AF16" t="s">
        <v>321</v>
      </c>
      <c r="AH16" t="s">
        <v>321</v>
      </c>
      <c r="AI16" t="s">
        <v>322</v>
      </c>
      <c r="AO16" t="s">
        <v>316</v>
      </c>
      <c r="AV16" t="s">
        <v>316</v>
      </c>
      <c r="AW16" t="s">
        <v>316</v>
      </c>
      <c r="AX16" t="s">
        <v>316</v>
      </c>
      <c r="AY16" t="s">
        <v>323</v>
      </c>
      <c r="BM16" t="s">
        <v>324</v>
      </c>
      <c r="BO16" t="s">
        <v>324</v>
      </c>
      <c r="BP16" t="s">
        <v>316</v>
      </c>
      <c r="BS16" t="s">
        <v>324</v>
      </c>
      <c r="BT16" t="s">
        <v>321</v>
      </c>
      <c r="BW16" t="s">
        <v>325</v>
      </c>
      <c r="BX16" t="s">
        <v>325</v>
      </c>
      <c r="BZ16" t="s">
        <v>326</v>
      </c>
      <c r="CA16" t="s">
        <v>324</v>
      </c>
      <c r="CC16" t="s">
        <v>324</v>
      </c>
      <c r="CD16" t="s">
        <v>316</v>
      </c>
      <c r="CH16" t="s">
        <v>324</v>
      </c>
      <c r="CJ16" t="s">
        <v>327</v>
      </c>
      <c r="CM16" t="s">
        <v>324</v>
      </c>
      <c r="CN16" t="s">
        <v>324</v>
      </c>
      <c r="CP16" t="s">
        <v>324</v>
      </c>
      <c r="CR16" t="s">
        <v>324</v>
      </c>
      <c r="CT16" t="s">
        <v>316</v>
      </c>
      <c r="CU16" t="s">
        <v>316</v>
      </c>
      <c r="CW16" t="s">
        <v>328</v>
      </c>
      <c r="CX16" t="s">
        <v>329</v>
      </c>
      <c r="DA16" t="s">
        <v>314</v>
      </c>
      <c r="DB16" t="s">
        <v>313</v>
      </c>
      <c r="DC16" t="s">
        <v>317</v>
      </c>
      <c r="DD16" t="s">
        <v>317</v>
      </c>
      <c r="DE16" t="s">
        <v>330</v>
      </c>
      <c r="DF16" t="s">
        <v>330</v>
      </c>
      <c r="DG16" t="s">
        <v>317</v>
      </c>
      <c r="DH16" t="s">
        <v>330</v>
      </c>
      <c r="DI16" t="s">
        <v>322</v>
      </c>
      <c r="DJ16" t="s">
        <v>320</v>
      </c>
      <c r="DK16" t="s">
        <v>320</v>
      </c>
      <c r="DL16" t="s">
        <v>319</v>
      </c>
      <c r="DM16" t="s">
        <v>319</v>
      </c>
      <c r="DN16" t="s">
        <v>319</v>
      </c>
      <c r="DO16" t="s">
        <v>319</v>
      </c>
      <c r="DP16" t="s">
        <v>319</v>
      </c>
      <c r="DQ16" t="s">
        <v>331</v>
      </c>
      <c r="DR16" t="s">
        <v>316</v>
      </c>
      <c r="DS16" t="s">
        <v>316</v>
      </c>
      <c r="DT16" t="s">
        <v>316</v>
      </c>
      <c r="DY16" t="s">
        <v>316</v>
      </c>
      <c r="EB16" t="s">
        <v>319</v>
      </c>
      <c r="EC16" t="s">
        <v>319</v>
      </c>
      <c r="ED16" t="s">
        <v>319</v>
      </c>
      <c r="EE16" t="s">
        <v>319</v>
      </c>
      <c r="EF16" t="s">
        <v>319</v>
      </c>
      <c r="EG16" t="s">
        <v>316</v>
      </c>
      <c r="EH16" t="s">
        <v>316</v>
      </c>
      <c r="EI16" t="s">
        <v>316</v>
      </c>
      <c r="EJ16" t="s">
        <v>313</v>
      </c>
      <c r="EM16" t="s">
        <v>332</v>
      </c>
      <c r="EN16" t="s">
        <v>332</v>
      </c>
      <c r="EP16" t="s">
        <v>313</v>
      </c>
      <c r="EQ16" t="s">
        <v>333</v>
      </c>
      <c r="ES16" t="s">
        <v>313</v>
      </c>
      <c r="ET16" t="s">
        <v>313</v>
      </c>
      <c r="EV16" t="s">
        <v>334</v>
      </c>
      <c r="EW16" t="s">
        <v>335</v>
      </c>
      <c r="EX16" t="s">
        <v>334</v>
      </c>
      <c r="EY16" t="s">
        <v>335</v>
      </c>
      <c r="EZ16" t="s">
        <v>334</v>
      </c>
      <c r="FA16" t="s">
        <v>335</v>
      </c>
      <c r="FB16" t="s">
        <v>321</v>
      </c>
      <c r="FC16" t="s">
        <v>321</v>
      </c>
      <c r="FD16" t="s">
        <v>316</v>
      </c>
      <c r="FE16" t="s">
        <v>336</v>
      </c>
      <c r="FF16" t="s">
        <v>316</v>
      </c>
      <c r="FH16" t="s">
        <v>317</v>
      </c>
      <c r="FI16" t="s">
        <v>337</v>
      </c>
      <c r="FJ16" t="s">
        <v>317</v>
      </c>
      <c r="FM16" t="s">
        <v>338</v>
      </c>
      <c r="FS16" t="s">
        <v>321</v>
      </c>
      <c r="FT16" t="s">
        <v>321</v>
      </c>
      <c r="FU16" t="s">
        <v>334</v>
      </c>
      <c r="FV16" t="s">
        <v>335</v>
      </c>
      <c r="FW16" t="s">
        <v>334</v>
      </c>
      <c r="GA16" t="s">
        <v>335</v>
      </c>
      <c r="GE16" t="s">
        <v>317</v>
      </c>
      <c r="GF16" t="s">
        <v>317</v>
      </c>
      <c r="GG16" t="s">
        <v>330</v>
      </c>
      <c r="GH16" t="s">
        <v>330</v>
      </c>
      <c r="GI16" t="s">
        <v>339</v>
      </c>
      <c r="GJ16" t="s">
        <v>339</v>
      </c>
      <c r="GK16" t="s">
        <v>340</v>
      </c>
      <c r="GL16" t="s">
        <v>340</v>
      </c>
      <c r="GM16" t="s">
        <v>340</v>
      </c>
      <c r="GN16" t="s">
        <v>340</v>
      </c>
      <c r="GO16" t="s">
        <v>340</v>
      </c>
      <c r="GP16" t="s">
        <v>340</v>
      </c>
      <c r="GQ16" t="s">
        <v>319</v>
      </c>
      <c r="GR16" t="s">
        <v>340</v>
      </c>
      <c r="GT16" t="s">
        <v>322</v>
      </c>
      <c r="GU16" t="s">
        <v>322</v>
      </c>
      <c r="GV16" t="s">
        <v>319</v>
      </c>
      <c r="GW16" t="s">
        <v>319</v>
      </c>
      <c r="GX16" t="s">
        <v>319</v>
      </c>
      <c r="GY16" t="s">
        <v>319</v>
      </c>
      <c r="GZ16" t="s">
        <v>319</v>
      </c>
      <c r="HA16" t="s">
        <v>321</v>
      </c>
      <c r="HB16" t="s">
        <v>321</v>
      </c>
      <c r="HC16" t="s">
        <v>321</v>
      </c>
      <c r="HD16" t="s">
        <v>319</v>
      </c>
      <c r="HE16" t="s">
        <v>317</v>
      </c>
      <c r="HF16" t="s">
        <v>330</v>
      </c>
      <c r="HG16" t="s">
        <v>321</v>
      </c>
      <c r="HH16" t="s">
        <v>321</v>
      </c>
    </row>
    <row r="17" spans="1:216" x14ac:dyDescent="0.6">
      <c r="A17">
        <v>1</v>
      </c>
      <c r="B17">
        <v>1791089771</v>
      </c>
      <c r="C17">
        <v>0</v>
      </c>
      <c r="D17" t="s">
        <v>341</v>
      </c>
      <c r="E17" t="s">
        <v>342</v>
      </c>
      <c r="F17">
        <v>5</v>
      </c>
      <c r="G17">
        <v>1791089767.5</v>
      </c>
      <c r="H17">
        <f t="shared" ref="H17:H25" si="0">(I17)/1000</f>
        <v>5.1549038852948025E-3</v>
      </c>
      <c r="I17">
        <f t="shared" ref="I17:I25" si="1">1000*DI17*AG17*(DE17-DF17)/(100*CX17*(1000-AG17*DE17))</f>
        <v>5.1549038852948028</v>
      </c>
      <c r="J17">
        <f t="shared" ref="J17:J25" si="2">DI17*AG17*(DD17-DC17*(1000-AG17*DF17)/(1000-AG17*DE17))/(100*CX17)</f>
        <v>22.775764107053245</v>
      </c>
      <c r="K17">
        <f t="shared" ref="K17:K25" si="3">DC17 - IF(AG17&gt;1, J17*CX17*100/(AI17), 0)</f>
        <v>399.9905</v>
      </c>
      <c r="L17">
        <f t="shared" ref="L17:L25" si="4">((R17-H17/2)*K17-J17)/(R17+H17/2)</f>
        <v>294.85147465529684</v>
      </c>
      <c r="M17">
        <f t="shared" ref="M17:M25" si="5">L17*(DJ17+DK17)/1000</f>
        <v>29.784208505203587</v>
      </c>
      <c r="N17">
        <f t="shared" ref="N17:N25" si="6">(DC17 - IF(AG17&gt;1, J17*CX17*100/(AI17), 0))*(DJ17+DK17)/1000</f>
        <v>40.404751124369582</v>
      </c>
      <c r="O17">
        <f t="shared" ref="O17:O25" si="7">2/((1/Q17-1/P17)+SIGN(Q17)*SQRT((1/Q17-1/P17)*(1/Q17-1/P17) + 4*CY17/((CY17+1)*(CY17+1))*(2*1/Q17*1/P17-1/P17*1/P17)))</f>
        <v>0.3971009089761936</v>
      </c>
      <c r="P17">
        <f t="shared" ref="P17:P25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3.0234537982239926</v>
      </c>
      <c r="Q17">
        <f t="shared" ref="Q17:Q25" si="9">H17*(1000-(1000*0.61365*EXP(17.502*U17/(240.97+U17))/(DJ17+DK17)+DE17)/2)/(1000*0.61365*EXP(17.502*U17/(240.97+U17))/(DJ17+DK17)-DE17)</f>
        <v>0.37023505536280921</v>
      </c>
      <c r="R17">
        <f t="shared" ref="R17:R25" si="10">1/((CY17+1)/(O17/1.6)+1/(P17/1.37)) + CY17/((CY17+1)/(O17/1.6) + CY17/(P17/1.37))</f>
        <v>0.2336590606952888</v>
      </c>
      <c r="S17">
        <f t="shared" ref="S17:S25" si="11">(CT17*CW17)</f>
        <v>241.73529501558352</v>
      </c>
      <c r="T17">
        <f t="shared" ref="T17:T25" si="12">(DL17+(S17+2*0.95*0.0000000567*(((DL17+$B$7)+273)^4-(DL17+273)^4)-44100*H17)/(1.84*29.3*P17+8*0.95*0.0000000567*(DL17+273)^3))</f>
        <v>25.607894712327571</v>
      </c>
      <c r="U17">
        <f t="shared" ref="U17:U25" si="13">($C$7*DM17+$D$7*DN17+$E$7*T17)</f>
        <v>24.997233333333298</v>
      </c>
      <c r="V17">
        <f t="shared" ref="V17:V25" si="14">0.61365*EXP(17.502*U17/(240.97+U17))</f>
        <v>3.1791531521933427</v>
      </c>
      <c r="W17">
        <f t="shared" ref="W17:W25" si="15">(X17/Y17*100)</f>
        <v>55.093339160509757</v>
      </c>
      <c r="X17">
        <f t="shared" ref="X17:X25" si="16">DE17*(DJ17+DK17)/1000</f>
        <v>1.807413101574791</v>
      </c>
      <c r="Y17">
        <f t="shared" ref="Y17:Y25" si="17">0.61365*EXP(17.502*DL17/(240.97+DL17))</f>
        <v>3.2806381481235811</v>
      </c>
      <c r="Z17">
        <f t="shared" ref="Z17:Z25" si="18">(V17-DE17*(DJ17+DK17)/1000)</f>
        <v>1.3717400506185518</v>
      </c>
      <c r="AA17">
        <f t="shared" ref="AA17:AA25" si="19">(-H17*44100)</f>
        <v>-227.33126134150078</v>
      </c>
      <c r="AB17">
        <f t="shared" ref="AB17:AB25" si="20">2*29.3*P17*0.92*(DL17-U17)</f>
        <v>86.080532981799109</v>
      </c>
      <c r="AC17">
        <f t="shared" ref="AC17:AC25" si="21">2*0.95*0.0000000567*(((DL17+$B$7)+273)^4-(U17+273)^4)</f>
        <v>6.0381487205149451</v>
      </c>
      <c r="AD17">
        <f t="shared" ref="AD17:AD25" si="22">S17+AC17+AA17+AB17</f>
        <v>106.5227153763968</v>
      </c>
      <c r="AE17">
        <v>0</v>
      </c>
      <c r="AF17">
        <v>0</v>
      </c>
      <c r="AG17">
        <f t="shared" ref="AG17:AG25" si="23">IF(AE17*$H$13&gt;=AI17,1,(AI17/(AI17-AE17*$H$13)))</f>
        <v>1</v>
      </c>
      <c r="AH17">
        <f t="shared" ref="AH17:AH25" si="24">(AG17-1)*100</f>
        <v>0</v>
      </c>
      <c r="AI17">
        <f t="shared" ref="AI17:AI25" si="25">MAX(0,($B$13+$C$13*DQ17)/(1+$D$13*DQ17)*DJ17/(DL17+273)*$E$13)</f>
        <v>53538.965323191813</v>
      </c>
      <c r="AJ17" t="s">
        <v>343</v>
      </c>
      <c r="AK17">
        <v>8129.77</v>
      </c>
      <c r="AL17">
        <v>256.581730769231</v>
      </c>
      <c r="AM17">
        <v>1007.16258349372</v>
      </c>
      <c r="AN17">
        <f t="shared" ref="AN17:AN25" si="26">1-AL17/AM17</f>
        <v>0.74524298760267549</v>
      </c>
      <c r="AO17">
        <v>-2.1413844498153298</v>
      </c>
      <c r="AP17" t="s">
        <v>344</v>
      </c>
      <c r="AQ17">
        <v>8152.23</v>
      </c>
      <c r="AR17">
        <v>284.50659999999999</v>
      </c>
      <c r="AS17">
        <v>371.16858389101202</v>
      </c>
      <c r="AT17">
        <f t="shared" ref="AT17:AT25" si="27">1-AR17/AS17</f>
        <v>0.23348415693624269</v>
      </c>
      <c r="AU17">
        <v>0.5</v>
      </c>
      <c r="AV17">
        <f t="shared" ref="AV17:AV25" si="28">CU17</f>
        <v>1261.1999000080771</v>
      </c>
      <c r="AW17">
        <f t="shared" ref="AW17:AW25" si="29">J17</f>
        <v>22.775764107053245</v>
      </c>
      <c r="AX17">
        <f t="shared" ref="AX17:AX25" si="30">AT17*AU17*AV17</f>
        <v>147.23509769072973</v>
      </c>
      <c r="AY17">
        <f t="shared" ref="AY17:AY25" si="31">(AW17-AO17)/AV17</f>
        <v>1.97567003904052E-2</v>
      </c>
      <c r="AZ17">
        <f t="shared" ref="AZ17:AZ25" si="32">(AM17-AS17)/AS17</f>
        <v>1.7134909235460993</v>
      </c>
      <c r="BA17">
        <f t="shared" ref="BA17:BA25" si="33">AL17/(AN17+AL17/AS17)</f>
        <v>178.61293052523047</v>
      </c>
      <c r="BB17" t="s">
        <v>345</v>
      </c>
      <c r="BC17">
        <v>0</v>
      </c>
      <c r="BD17">
        <f t="shared" ref="BD17:BD25" si="34">IF(BC17&lt;&gt;0, BC17, BA17)</f>
        <v>178.61293052523047</v>
      </c>
      <c r="BE17">
        <f t="shared" ref="BE17:BE25" si="35">1-BD17/AS17</f>
        <v>0.51878219688529081</v>
      </c>
      <c r="BF17">
        <f t="shared" ref="BF17:BF25" si="36">(AS17-AR17)/(AS17-BD17)</f>
        <v>0.45006200740514041</v>
      </c>
      <c r="BG17">
        <f t="shared" ref="BG17:BG25" si="37">(AM17-AS17)/(AM17-BD17)</f>
        <v>0.76759913823401893</v>
      </c>
      <c r="BH17">
        <f t="shared" ref="BH17:BH25" si="38">(AS17-AR17)/(AS17-AL17)</f>
        <v>0.75629953637795688</v>
      </c>
      <c r="BI17">
        <f t="shared" ref="BI17:BI25" si="39">(AM17-AS17)/(AM17-AL17)</f>
        <v>0.84733576308821512</v>
      </c>
      <c r="BJ17">
        <f t="shared" ref="BJ17:BJ25" si="40">(BF17*BD17/AR17)</f>
        <v>0.2825484331846787</v>
      </c>
      <c r="BK17">
        <f t="shared" ref="BK17:BK25" si="41">(1-BJ17)</f>
        <v>0.7174515668153213</v>
      </c>
      <c r="BL17">
        <v>109</v>
      </c>
      <c r="BM17">
        <v>290</v>
      </c>
      <c r="BN17">
        <v>351.09</v>
      </c>
      <c r="BO17">
        <v>135</v>
      </c>
      <c r="BP17">
        <v>8152.23</v>
      </c>
      <c r="BQ17">
        <v>350.35</v>
      </c>
      <c r="BR17">
        <v>0.74</v>
      </c>
      <c r="BS17">
        <v>300</v>
      </c>
      <c r="BT17">
        <v>19.100000000000001</v>
      </c>
      <c r="BU17">
        <v>371.16858389101202</v>
      </c>
      <c r="BV17">
        <v>2.5913496132128899</v>
      </c>
      <c r="BW17">
        <v>-16.968485990910501</v>
      </c>
      <c r="BX17">
        <v>1.93166610953255</v>
      </c>
      <c r="BY17">
        <v>0.73375249148216404</v>
      </c>
      <c r="BZ17">
        <v>-4.3899733036707397E-3</v>
      </c>
      <c r="CA17">
        <v>290</v>
      </c>
      <c r="CB17">
        <v>350.37</v>
      </c>
      <c r="CC17">
        <v>635</v>
      </c>
      <c r="CD17">
        <v>8141.99</v>
      </c>
      <c r="CE17">
        <v>350.33</v>
      </c>
      <c r="CF17">
        <v>0.04</v>
      </c>
      <c r="CT17">
        <f t="shared" ref="CT17:CT25" si="42">$B$11*DR17+$C$11*DS17+$F$11*DT17*(1-DW17)</f>
        <v>1499.9866666666701</v>
      </c>
      <c r="CU17">
        <f t="shared" ref="CU17:CU25" si="43">CT17*CV17</f>
        <v>1261.1999000080771</v>
      </c>
      <c r="CV17">
        <f t="shared" ref="CV17:CV25" si="44">($B$11*$D$9+$C$11*$D$9+$F$11*((EG17+DY17)/MAX(EG17+DY17+EH17, 0.1)*$I$9+EH17/MAX(EG17+DY17+EH17, 0.1)*$J$9))/($B$11+$C$11+$F$11)</f>
        <v>0.84080740718233549</v>
      </c>
      <c r="CW17">
        <f t="shared" ref="CW17:CW25" si="45">($B$11*$K$9+$C$11*$K$9+$F$11*((EG17+DY17)/MAX(EG17+DY17+EH17, 0.1)*$P$9+EH17/MAX(EG17+DY17+EH17, 0.1)*$Q$9))/($B$11+$C$11+$F$11)</f>
        <v>0.16115829586190741</v>
      </c>
      <c r="CX17">
        <v>2</v>
      </c>
      <c r="CY17">
        <v>0.5</v>
      </c>
      <c r="CZ17" t="s">
        <v>346</v>
      </c>
      <c r="DA17">
        <v>2</v>
      </c>
      <c r="DB17">
        <v>1791089767.5</v>
      </c>
      <c r="DC17">
        <v>399.9905</v>
      </c>
      <c r="DD17">
        <v>409.92466666666701</v>
      </c>
      <c r="DE17">
        <v>17.89265</v>
      </c>
      <c r="DF17">
        <v>15.8677666666667</v>
      </c>
      <c r="DG17">
        <v>400.27449999999999</v>
      </c>
      <c r="DH17">
        <v>18.060183333333299</v>
      </c>
      <c r="DI17">
        <v>500.0455</v>
      </c>
      <c r="DJ17">
        <v>100.914166666667</v>
      </c>
      <c r="DK17">
        <v>0.10011023333333301</v>
      </c>
      <c r="DL17">
        <v>25.5253333333333</v>
      </c>
      <c r="DM17">
        <v>24.997233333333298</v>
      </c>
      <c r="DN17">
        <v>999.9</v>
      </c>
      <c r="DO17">
        <v>0</v>
      </c>
      <c r="DP17">
        <v>0</v>
      </c>
      <c r="DQ17">
        <v>9983.4416666666693</v>
      </c>
      <c r="DR17">
        <v>0</v>
      </c>
      <c r="DS17">
        <v>8.9783299999999997</v>
      </c>
      <c r="DT17">
        <v>1499.9866666666701</v>
      </c>
      <c r="DU17">
        <v>0.97299800000000003</v>
      </c>
      <c r="DV17">
        <v>2.7002200000000001E-2</v>
      </c>
      <c r="DW17">
        <v>0</v>
      </c>
      <c r="DX17">
        <v>284.43366666666702</v>
      </c>
      <c r="DY17">
        <v>4.9999900000000004</v>
      </c>
      <c r="DZ17">
        <v>4234.0550000000003</v>
      </c>
      <c r="EA17">
        <v>14882.45</v>
      </c>
      <c r="EB17">
        <v>38.551666666666698</v>
      </c>
      <c r="EC17">
        <v>40.228999999999999</v>
      </c>
      <c r="ED17">
        <v>39.186999999999998</v>
      </c>
      <c r="EE17">
        <v>39.666333333333299</v>
      </c>
      <c r="EF17">
        <v>40.061999999999998</v>
      </c>
      <c r="EG17">
        <v>1454.61666666667</v>
      </c>
      <c r="EH17">
        <v>40.369999999999997</v>
      </c>
      <c r="EI17">
        <v>0</v>
      </c>
      <c r="EJ17">
        <v>5686</v>
      </c>
      <c r="EK17">
        <v>0</v>
      </c>
      <c r="EL17">
        <v>284.50659999999999</v>
      </c>
      <c r="EM17">
        <v>-2.8363077087715598</v>
      </c>
      <c r="EN17">
        <v>1.9746153927504799</v>
      </c>
      <c r="EO17">
        <v>4234.0335999999998</v>
      </c>
      <c r="EP17">
        <v>15</v>
      </c>
      <c r="EQ17">
        <v>1791089445</v>
      </c>
      <c r="ER17" t="s">
        <v>347</v>
      </c>
      <c r="ES17">
        <v>1791089442</v>
      </c>
      <c r="ET17">
        <v>1791089445</v>
      </c>
      <c r="EU17">
        <v>33</v>
      </c>
      <c r="EV17">
        <v>0.317</v>
      </c>
      <c r="EW17">
        <v>8.9999999999999993E-3</v>
      </c>
      <c r="EX17">
        <v>-0.27100000000000002</v>
      </c>
      <c r="EY17">
        <v>-0.17399999999999999</v>
      </c>
      <c r="EZ17">
        <v>410</v>
      </c>
      <c r="FA17">
        <v>16</v>
      </c>
      <c r="FB17">
        <v>0.32</v>
      </c>
      <c r="FC17">
        <v>0.03</v>
      </c>
      <c r="FD17">
        <v>22.7296467975371</v>
      </c>
      <c r="FE17">
        <v>0.21391863188525401</v>
      </c>
      <c r="FF17">
        <v>7.2763986182944093E-2</v>
      </c>
      <c r="FG17">
        <v>1</v>
      </c>
      <c r="FH17">
        <v>-9.9183815000000006</v>
      </c>
      <c r="FI17">
        <v>-3.8716240601522303E-2</v>
      </c>
      <c r="FJ17">
        <v>2.80900367167791E-2</v>
      </c>
      <c r="FK17">
        <v>1</v>
      </c>
      <c r="FL17">
        <v>284.53226470588203</v>
      </c>
      <c r="FM17">
        <v>0.96609625370428898</v>
      </c>
      <c r="FN17">
        <v>0.50786313052097298</v>
      </c>
      <c r="FO17">
        <v>1</v>
      </c>
      <c r="FP17">
        <v>3</v>
      </c>
      <c r="FQ17">
        <v>3</v>
      </c>
      <c r="FR17" t="s">
        <v>348</v>
      </c>
      <c r="FS17">
        <v>100</v>
      </c>
      <c r="FT17">
        <v>100</v>
      </c>
      <c r="FU17">
        <v>-0.28399999999999997</v>
      </c>
      <c r="FV17">
        <v>-0.16750000000000001</v>
      </c>
      <c r="FW17">
        <v>-0.70900306419656201</v>
      </c>
      <c r="FX17">
        <v>7.6835882421071803E-4</v>
      </c>
      <c r="FY17">
        <v>7.9312579872174805E-7</v>
      </c>
      <c r="FZ17">
        <v>-1.5433145656851401E-10</v>
      </c>
      <c r="GA17">
        <v>-1.8995062995758701E-2</v>
      </c>
      <c r="GB17">
        <v>-2.1578312386681502E-2</v>
      </c>
      <c r="GC17">
        <v>7.7134661959739901E-4</v>
      </c>
      <c r="GD17">
        <v>-1.7684492548540801E-6</v>
      </c>
      <c r="GE17">
        <v>4</v>
      </c>
      <c r="GF17">
        <v>2093</v>
      </c>
      <c r="GG17">
        <v>1</v>
      </c>
      <c r="GH17">
        <v>31</v>
      </c>
      <c r="GI17">
        <v>5.5</v>
      </c>
      <c r="GJ17">
        <v>5.4</v>
      </c>
      <c r="GK17">
        <v>1.0571299999999999</v>
      </c>
      <c r="GL17">
        <v>2.65869</v>
      </c>
      <c r="GM17">
        <v>1.65161</v>
      </c>
      <c r="GN17">
        <v>2.2839399999999999</v>
      </c>
      <c r="GO17">
        <v>1.5979000000000001</v>
      </c>
      <c r="GP17">
        <v>2.4902299999999999</v>
      </c>
      <c r="GQ17">
        <v>39.616700000000002</v>
      </c>
      <c r="GR17">
        <v>23.745999999999999</v>
      </c>
      <c r="GS17">
        <v>18</v>
      </c>
      <c r="GT17">
        <v>508.69</v>
      </c>
      <c r="GU17">
        <v>500.02199999999999</v>
      </c>
      <c r="GV17">
        <v>21.0931</v>
      </c>
      <c r="GW17">
        <v>31.1404</v>
      </c>
      <c r="GX17">
        <v>30.0002</v>
      </c>
      <c r="GY17">
        <v>31.261900000000001</v>
      </c>
      <c r="GZ17">
        <v>31.311299999999999</v>
      </c>
      <c r="HA17">
        <v>21.1388</v>
      </c>
      <c r="HB17">
        <v>34.847200000000001</v>
      </c>
      <c r="HC17">
        <v>0</v>
      </c>
      <c r="HD17">
        <v>21.0943</v>
      </c>
      <c r="HE17">
        <v>409.95600000000002</v>
      </c>
      <c r="HF17">
        <v>15.789899999999999</v>
      </c>
      <c r="HG17">
        <v>97.737200000000001</v>
      </c>
      <c r="HH17">
        <v>94.326700000000002</v>
      </c>
    </row>
    <row r="18" spans="1:216" x14ac:dyDescent="0.6">
      <c r="A18">
        <v>2</v>
      </c>
      <c r="B18">
        <v>1791089905</v>
      </c>
      <c r="C18">
        <v>134</v>
      </c>
      <c r="D18" t="s">
        <v>349</v>
      </c>
      <c r="E18" t="s">
        <v>350</v>
      </c>
      <c r="F18">
        <v>5</v>
      </c>
      <c r="G18">
        <v>1791089902</v>
      </c>
      <c r="H18">
        <f t="shared" si="0"/>
        <v>4.9227457815473061E-3</v>
      </c>
      <c r="I18">
        <f t="shared" si="1"/>
        <v>4.9227457815473059</v>
      </c>
      <c r="J18">
        <f t="shared" si="2"/>
        <v>22.32050959780603</v>
      </c>
      <c r="K18">
        <f t="shared" si="3"/>
        <v>399.9348</v>
      </c>
      <c r="L18">
        <f t="shared" si="4"/>
        <v>292.80417092846767</v>
      </c>
      <c r="M18">
        <f t="shared" si="5"/>
        <v>29.576812477651256</v>
      </c>
      <c r="N18">
        <f t="shared" si="6"/>
        <v>40.398319960328521</v>
      </c>
      <c r="O18">
        <f t="shared" si="7"/>
        <v>0.38017090222092575</v>
      </c>
      <c r="P18">
        <f t="shared" si="8"/>
        <v>3.0258720293112153</v>
      </c>
      <c r="Q18">
        <f t="shared" si="9"/>
        <v>0.35548897825678982</v>
      </c>
      <c r="R18">
        <f t="shared" si="10"/>
        <v>0.22426451454130497</v>
      </c>
      <c r="S18">
        <f t="shared" si="11"/>
        <v>193.80575101903443</v>
      </c>
      <c r="T18">
        <f t="shared" si="12"/>
        <v>25.529932905691592</v>
      </c>
      <c r="U18">
        <f t="shared" si="13"/>
        <v>24.980139999999999</v>
      </c>
      <c r="V18">
        <f t="shared" si="14"/>
        <v>3.175914687119064</v>
      </c>
      <c r="W18">
        <f t="shared" si="15"/>
        <v>54.772094792724104</v>
      </c>
      <c r="X18">
        <f t="shared" si="16"/>
        <v>1.8116489102456061</v>
      </c>
      <c r="Y18">
        <f t="shared" si="17"/>
        <v>3.3076129680661124</v>
      </c>
      <c r="Z18">
        <f t="shared" si="18"/>
        <v>1.3642657768734578</v>
      </c>
      <c r="AA18">
        <f t="shared" si="19"/>
        <v>-217.09308896623619</v>
      </c>
      <c r="AB18">
        <f t="shared" si="20"/>
        <v>111.44444610266176</v>
      </c>
      <c r="AC18">
        <f t="shared" si="21"/>
        <v>7.8158150409947789</v>
      </c>
      <c r="AD18">
        <f t="shared" si="22"/>
        <v>95.972923196454772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53589.285296932081</v>
      </c>
      <c r="AJ18" t="s">
        <v>343</v>
      </c>
      <c r="AK18">
        <v>8129.77</v>
      </c>
      <c r="AL18">
        <v>256.581730769231</v>
      </c>
      <c r="AM18">
        <v>1007.16258349372</v>
      </c>
      <c r="AN18">
        <f t="shared" si="26"/>
        <v>0.74524298760267549</v>
      </c>
      <c r="AO18">
        <v>-2.1413844498153298</v>
      </c>
      <c r="AP18" t="s">
        <v>351</v>
      </c>
      <c r="AQ18">
        <v>8153.89</v>
      </c>
      <c r="AR18">
        <v>284.08753846153797</v>
      </c>
      <c r="AS18">
        <v>398.895142588022</v>
      </c>
      <c r="AT18">
        <f t="shared" si="27"/>
        <v>0.28781399387722562</v>
      </c>
      <c r="AU18">
        <v>0.5</v>
      </c>
      <c r="AV18">
        <f t="shared" si="28"/>
        <v>1009.1919000098623</v>
      </c>
      <c r="AW18">
        <f t="shared" si="29"/>
        <v>22.32050959780603</v>
      </c>
      <c r="AX18">
        <f t="shared" si="30"/>
        <v>145.22977566519208</v>
      </c>
      <c r="AY18">
        <f t="shared" si="31"/>
        <v>2.4239090749125423E-2</v>
      </c>
      <c r="AZ18">
        <f t="shared" si="32"/>
        <v>1.5248805411850184</v>
      </c>
      <c r="BA18">
        <f t="shared" si="33"/>
        <v>184.7940463764447</v>
      </c>
      <c r="BB18" t="s">
        <v>345</v>
      </c>
      <c r="BC18">
        <v>0</v>
      </c>
      <c r="BD18">
        <f t="shared" si="34"/>
        <v>184.7940463764447</v>
      </c>
      <c r="BE18">
        <f t="shared" si="35"/>
        <v>0.5367352804110237</v>
      </c>
      <c r="BF18">
        <f t="shared" si="36"/>
        <v>0.53623080945381874</v>
      </c>
      <c r="BG18">
        <f t="shared" si="37"/>
        <v>0.73965310375067894</v>
      </c>
      <c r="BH18">
        <f t="shared" si="38"/>
        <v>0.80672371394390874</v>
      </c>
      <c r="BI18">
        <f t="shared" si="39"/>
        <v>0.810395627196969</v>
      </c>
      <c r="BJ18">
        <f t="shared" si="40"/>
        <v>0.34880889745223143</v>
      </c>
      <c r="BK18">
        <f t="shared" si="41"/>
        <v>0.65119110254776857</v>
      </c>
      <c r="BL18">
        <v>110</v>
      </c>
      <c r="BM18">
        <v>290</v>
      </c>
      <c r="BN18">
        <v>376.46</v>
      </c>
      <c r="BO18">
        <v>135</v>
      </c>
      <c r="BP18">
        <v>8153.89</v>
      </c>
      <c r="BQ18">
        <v>376.26</v>
      </c>
      <c r="BR18">
        <v>0.2</v>
      </c>
      <c r="BS18">
        <v>300</v>
      </c>
      <c r="BT18">
        <v>19.100000000000001</v>
      </c>
      <c r="BU18">
        <v>398.895142588022</v>
      </c>
      <c r="BV18">
        <v>2.62506047795826</v>
      </c>
      <c r="BW18">
        <v>-18.456872300653298</v>
      </c>
      <c r="BX18">
        <v>1.9484568891221099</v>
      </c>
      <c r="BY18">
        <v>0.76216639657513496</v>
      </c>
      <c r="BZ18">
        <v>-4.5915330367074497E-3</v>
      </c>
      <c r="CA18">
        <v>290</v>
      </c>
      <c r="CB18">
        <v>375.87</v>
      </c>
      <c r="CC18">
        <v>645</v>
      </c>
      <c r="CD18">
        <v>8143.16</v>
      </c>
      <c r="CE18">
        <v>376.23</v>
      </c>
      <c r="CF18">
        <v>-0.36</v>
      </c>
      <c r="CT18">
        <f t="shared" si="42"/>
        <v>1200.01</v>
      </c>
      <c r="CU18">
        <f t="shared" si="43"/>
        <v>1009.1919000098623</v>
      </c>
      <c r="CV18">
        <f t="shared" si="44"/>
        <v>0.84098624178953696</v>
      </c>
      <c r="CW18">
        <f t="shared" si="45"/>
        <v>0.16150344665380659</v>
      </c>
      <c r="CX18">
        <v>2</v>
      </c>
      <c r="CY18">
        <v>0.5</v>
      </c>
      <c r="CZ18" t="s">
        <v>346</v>
      </c>
      <c r="DA18">
        <v>2</v>
      </c>
      <c r="DB18">
        <v>1791089902</v>
      </c>
      <c r="DC18">
        <v>399.9348</v>
      </c>
      <c r="DD18">
        <v>409.65019999999998</v>
      </c>
      <c r="DE18">
        <v>17.934940000000001</v>
      </c>
      <c r="DF18">
        <v>16.00122</v>
      </c>
      <c r="DG18">
        <v>400.2192</v>
      </c>
      <c r="DH18">
        <v>18.10228</v>
      </c>
      <c r="DI18">
        <v>500.01620000000003</v>
      </c>
      <c r="DJ18">
        <v>100.9122</v>
      </c>
      <c r="DK18">
        <v>0.1000649</v>
      </c>
      <c r="DL18">
        <v>25.6633</v>
      </c>
      <c r="DM18">
        <v>24.980139999999999</v>
      </c>
      <c r="DN18">
        <v>999.9</v>
      </c>
      <c r="DO18">
        <v>0</v>
      </c>
      <c r="DP18">
        <v>0</v>
      </c>
      <c r="DQ18">
        <v>9998.24</v>
      </c>
      <c r="DR18">
        <v>0</v>
      </c>
      <c r="DS18">
        <v>8.9783299999999997</v>
      </c>
      <c r="DT18">
        <v>1200.01</v>
      </c>
      <c r="DU18">
        <v>0.96699000000000002</v>
      </c>
      <c r="DV18">
        <v>3.3010299999999999E-2</v>
      </c>
      <c r="DW18">
        <v>0</v>
      </c>
      <c r="DX18">
        <v>284.24700000000001</v>
      </c>
      <c r="DY18">
        <v>4.9999900000000004</v>
      </c>
      <c r="DZ18">
        <v>3382.4279999999999</v>
      </c>
      <c r="EA18">
        <v>11872.7</v>
      </c>
      <c r="EB18">
        <v>38.25</v>
      </c>
      <c r="EC18">
        <v>40.186999999999998</v>
      </c>
      <c r="ED18">
        <v>39.074599999999997</v>
      </c>
      <c r="EE18">
        <v>39.625</v>
      </c>
      <c r="EF18">
        <v>39.8874</v>
      </c>
      <c r="EG18">
        <v>1155.56</v>
      </c>
      <c r="EH18">
        <v>39.450000000000003</v>
      </c>
      <c r="EI18">
        <v>0</v>
      </c>
      <c r="EJ18">
        <v>132.5</v>
      </c>
      <c r="EK18">
        <v>0</v>
      </c>
      <c r="EL18">
        <v>284.08753846153797</v>
      </c>
      <c r="EM18">
        <v>2.8722735180082002</v>
      </c>
      <c r="EN18">
        <v>7.2844444393195804</v>
      </c>
      <c r="EO18">
        <v>3381.7742307692301</v>
      </c>
      <c r="EP18">
        <v>15</v>
      </c>
      <c r="EQ18">
        <v>1791089445</v>
      </c>
      <c r="ER18" t="s">
        <v>347</v>
      </c>
      <c r="ES18">
        <v>1791089442</v>
      </c>
      <c r="ET18">
        <v>1791089445</v>
      </c>
      <c r="EU18">
        <v>33</v>
      </c>
      <c r="EV18">
        <v>0.317</v>
      </c>
      <c r="EW18">
        <v>8.9999999999999993E-3</v>
      </c>
      <c r="EX18">
        <v>-0.27100000000000002</v>
      </c>
      <c r="EY18">
        <v>-0.17399999999999999</v>
      </c>
      <c r="EZ18">
        <v>410</v>
      </c>
      <c r="FA18">
        <v>16</v>
      </c>
      <c r="FB18">
        <v>0.32</v>
      </c>
      <c r="FC18">
        <v>0.03</v>
      </c>
      <c r="FD18">
        <v>22.161253530561702</v>
      </c>
      <c r="FE18">
        <v>-0.51532176713968703</v>
      </c>
      <c r="FF18">
        <v>0.18930432754534701</v>
      </c>
      <c r="FG18">
        <v>1</v>
      </c>
      <c r="FH18">
        <v>-9.6527860000000008</v>
      </c>
      <c r="FI18">
        <v>1.4182556390969599E-2</v>
      </c>
      <c r="FJ18">
        <v>7.2828881729709499E-2</v>
      </c>
      <c r="FK18">
        <v>1</v>
      </c>
      <c r="FL18">
        <v>284.07876470588201</v>
      </c>
      <c r="FM18">
        <v>8.1436213672941696E-2</v>
      </c>
      <c r="FN18">
        <v>0.30318816316561598</v>
      </c>
      <c r="FO18">
        <v>1</v>
      </c>
      <c r="FP18">
        <v>3</v>
      </c>
      <c r="FQ18">
        <v>3</v>
      </c>
      <c r="FR18" t="s">
        <v>348</v>
      </c>
      <c r="FS18">
        <v>100</v>
      </c>
      <c r="FT18">
        <v>100</v>
      </c>
      <c r="FU18">
        <v>-0.28499999999999998</v>
      </c>
      <c r="FV18">
        <v>-0.1673</v>
      </c>
      <c r="FW18">
        <v>-0.70900306419656201</v>
      </c>
      <c r="FX18">
        <v>7.6835882421071803E-4</v>
      </c>
      <c r="FY18">
        <v>7.9312579872174805E-7</v>
      </c>
      <c r="FZ18">
        <v>-1.5433145656851401E-10</v>
      </c>
      <c r="GA18">
        <v>-1.8995062995758701E-2</v>
      </c>
      <c r="GB18">
        <v>-2.1578312386681502E-2</v>
      </c>
      <c r="GC18">
        <v>7.7134661959739901E-4</v>
      </c>
      <c r="GD18">
        <v>-1.7684492548540801E-6</v>
      </c>
      <c r="GE18">
        <v>4</v>
      </c>
      <c r="GF18">
        <v>2093</v>
      </c>
      <c r="GG18">
        <v>1</v>
      </c>
      <c r="GH18">
        <v>31</v>
      </c>
      <c r="GI18">
        <v>7.7</v>
      </c>
      <c r="GJ18">
        <v>7.7</v>
      </c>
      <c r="GK18">
        <v>1.0571299999999999</v>
      </c>
      <c r="GL18">
        <v>2.65381</v>
      </c>
      <c r="GM18">
        <v>1.65161</v>
      </c>
      <c r="GN18">
        <v>2.2839399999999999</v>
      </c>
      <c r="GO18">
        <v>1.5979000000000001</v>
      </c>
      <c r="GP18">
        <v>2.6110799999999998</v>
      </c>
      <c r="GQ18">
        <v>39.666899999999998</v>
      </c>
      <c r="GR18">
        <v>23.763500000000001</v>
      </c>
      <c r="GS18">
        <v>18</v>
      </c>
      <c r="GT18">
        <v>508.66399999999999</v>
      </c>
      <c r="GU18">
        <v>499.911</v>
      </c>
      <c r="GV18">
        <v>21.733000000000001</v>
      </c>
      <c r="GW18">
        <v>31.162099999999999</v>
      </c>
      <c r="GX18">
        <v>29.9983</v>
      </c>
      <c r="GY18">
        <v>31.2883</v>
      </c>
      <c r="GZ18">
        <v>31.3386</v>
      </c>
      <c r="HA18">
        <v>21.137699999999999</v>
      </c>
      <c r="HB18">
        <v>34.0017</v>
      </c>
      <c r="HC18">
        <v>0</v>
      </c>
      <c r="HD18">
        <v>21.790600000000001</v>
      </c>
      <c r="HE18">
        <v>409.75099999999998</v>
      </c>
      <c r="HF18">
        <v>16.1068</v>
      </c>
      <c r="HG18">
        <v>97.732900000000001</v>
      </c>
      <c r="HH18">
        <v>94.316699999999997</v>
      </c>
    </row>
    <row r="19" spans="1:216" x14ac:dyDescent="0.6">
      <c r="A19">
        <v>3</v>
      </c>
      <c r="B19">
        <v>1791090088</v>
      </c>
      <c r="C19">
        <v>317</v>
      </c>
      <c r="D19" t="s">
        <v>352</v>
      </c>
      <c r="E19" t="s">
        <v>353</v>
      </c>
      <c r="F19">
        <v>5</v>
      </c>
      <c r="G19">
        <v>1791090084.5</v>
      </c>
      <c r="H19">
        <f t="shared" si="0"/>
        <v>4.8488341465897323E-3</v>
      </c>
      <c r="I19">
        <f t="shared" si="1"/>
        <v>4.8488341465897324</v>
      </c>
      <c r="J19">
        <f t="shared" si="2"/>
        <v>21.524889201286236</v>
      </c>
      <c r="K19">
        <f t="shared" si="3"/>
        <v>399.99349999999998</v>
      </c>
      <c r="L19">
        <f t="shared" si="4"/>
        <v>296.57337286548636</v>
      </c>
      <c r="M19">
        <f t="shared" si="5"/>
        <v>29.957074449784162</v>
      </c>
      <c r="N19">
        <f t="shared" si="6"/>
        <v>40.403610557325983</v>
      </c>
      <c r="O19">
        <f t="shared" si="7"/>
        <v>0.38053381782836387</v>
      </c>
      <c r="P19">
        <f t="shared" si="8"/>
        <v>3.0242222818648044</v>
      </c>
      <c r="Q19">
        <f t="shared" si="9"/>
        <v>0.35579384321033936</v>
      </c>
      <c r="R19">
        <f t="shared" si="10"/>
        <v>0.22445976874849538</v>
      </c>
      <c r="S19">
        <f t="shared" si="11"/>
        <v>145.91935737001336</v>
      </c>
      <c r="T19">
        <f t="shared" si="12"/>
        <v>25.447966875723786</v>
      </c>
      <c r="U19">
        <f t="shared" si="13"/>
        <v>25.01455</v>
      </c>
      <c r="V19">
        <f t="shared" si="14"/>
        <v>3.1824368716849905</v>
      </c>
      <c r="W19">
        <f t="shared" si="15"/>
        <v>55.061083217733575</v>
      </c>
      <c r="X19">
        <f t="shared" si="16"/>
        <v>1.8400658808157053</v>
      </c>
      <c r="Y19">
        <f t="shared" si="17"/>
        <v>3.3418628426530366</v>
      </c>
      <c r="Z19">
        <f t="shared" si="18"/>
        <v>1.3423709908692851</v>
      </c>
      <c r="AA19">
        <f t="shared" si="19"/>
        <v>-213.83358586460719</v>
      </c>
      <c r="AB19">
        <f t="shared" si="20"/>
        <v>134.10465680479714</v>
      </c>
      <c r="AC19">
        <f t="shared" si="21"/>
        <v>9.4200090378528376</v>
      </c>
      <c r="AD19">
        <f t="shared" si="22"/>
        <v>75.610437348056166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53506.88286973432</v>
      </c>
      <c r="AJ19" t="s">
        <v>343</v>
      </c>
      <c r="AK19">
        <v>8129.77</v>
      </c>
      <c r="AL19">
        <v>256.581730769231</v>
      </c>
      <c r="AM19">
        <v>1007.16258349372</v>
      </c>
      <c r="AN19">
        <f t="shared" si="26"/>
        <v>0.74524298760267549</v>
      </c>
      <c r="AO19">
        <v>-2.1413844498153298</v>
      </c>
      <c r="AP19" t="s">
        <v>354</v>
      </c>
      <c r="AQ19">
        <v>8154.99</v>
      </c>
      <c r="AR19">
        <v>294.58823076923102</v>
      </c>
      <c r="AS19">
        <v>474.30307232944102</v>
      </c>
      <c r="AT19">
        <f t="shared" si="27"/>
        <v>0.37890296741612461</v>
      </c>
      <c r="AU19">
        <v>0.5</v>
      </c>
      <c r="AV19">
        <f t="shared" si="28"/>
        <v>757.17886848187243</v>
      </c>
      <c r="AW19">
        <f t="shared" si="29"/>
        <v>21.524889201286236</v>
      </c>
      <c r="AX19">
        <f t="shared" si="30"/>
        <v>143.44866006628251</v>
      </c>
      <c r="AY19">
        <f t="shared" si="31"/>
        <v>3.1255855962478117E-2</v>
      </c>
      <c r="AZ19">
        <f t="shared" si="32"/>
        <v>1.1234578526916348</v>
      </c>
      <c r="BA19">
        <f t="shared" si="33"/>
        <v>199.48684656070719</v>
      </c>
      <c r="BB19" t="s">
        <v>345</v>
      </c>
      <c r="BC19">
        <v>0</v>
      </c>
      <c r="BD19">
        <f t="shared" si="34"/>
        <v>199.48684656070719</v>
      </c>
      <c r="BE19">
        <f t="shared" si="35"/>
        <v>0.57941059588551891</v>
      </c>
      <c r="BF19">
        <f t="shared" si="36"/>
        <v>0.65394552689711083</v>
      </c>
      <c r="BG19">
        <f t="shared" si="37"/>
        <v>0.65974435877906457</v>
      </c>
      <c r="BH19">
        <f t="shared" si="38"/>
        <v>0.82543511937028247</v>
      </c>
      <c r="BI19">
        <f t="shared" si="39"/>
        <v>0.70992952888430849</v>
      </c>
      <c r="BJ19">
        <f t="shared" si="40"/>
        <v>0.44283347858990674</v>
      </c>
      <c r="BK19">
        <f t="shared" si="41"/>
        <v>0.55716652141009326</v>
      </c>
      <c r="BL19">
        <v>111</v>
      </c>
      <c r="BM19">
        <v>290</v>
      </c>
      <c r="BN19">
        <v>441.92</v>
      </c>
      <c r="BO19">
        <v>185</v>
      </c>
      <c r="BP19">
        <v>8154.99</v>
      </c>
      <c r="BQ19">
        <v>441.62</v>
      </c>
      <c r="BR19">
        <v>0.3</v>
      </c>
      <c r="BS19">
        <v>300</v>
      </c>
      <c r="BT19">
        <v>19.100000000000001</v>
      </c>
      <c r="BU19">
        <v>474.30307232944102</v>
      </c>
      <c r="BV19">
        <v>2.8263395695816702</v>
      </c>
      <c r="BW19">
        <v>-26.6502472018052</v>
      </c>
      <c r="BX19">
        <v>2.0894118074352002</v>
      </c>
      <c r="BY19">
        <v>0.853162957682852</v>
      </c>
      <c r="BZ19">
        <v>-4.7938967741935502E-3</v>
      </c>
      <c r="CA19">
        <v>290</v>
      </c>
      <c r="CB19">
        <v>439.16</v>
      </c>
      <c r="CC19">
        <v>665</v>
      </c>
      <c r="CD19">
        <v>8146.34</v>
      </c>
      <c r="CE19">
        <v>441.59</v>
      </c>
      <c r="CF19">
        <v>-2.4300000000000002</v>
      </c>
      <c r="CT19">
        <f t="shared" si="42"/>
        <v>899.997166666667</v>
      </c>
      <c r="CU19">
        <f t="shared" si="43"/>
        <v>757.17886848187243</v>
      </c>
      <c r="CV19">
        <f t="shared" si="44"/>
        <v>0.84131250244514344</v>
      </c>
      <c r="CW19">
        <f t="shared" si="45"/>
        <v>0.16213312971912686</v>
      </c>
      <c r="CX19">
        <v>2</v>
      </c>
      <c r="CY19">
        <v>0.5</v>
      </c>
      <c r="CZ19" t="s">
        <v>346</v>
      </c>
      <c r="DA19">
        <v>2</v>
      </c>
      <c r="DB19">
        <v>1791090084.5</v>
      </c>
      <c r="DC19">
        <v>399.99349999999998</v>
      </c>
      <c r="DD19">
        <v>409.37900000000002</v>
      </c>
      <c r="DE19">
        <v>18.216550000000002</v>
      </c>
      <c r="DF19">
        <v>16.3124</v>
      </c>
      <c r="DG19">
        <v>400.27800000000002</v>
      </c>
      <c r="DH19">
        <v>18.382533333333299</v>
      </c>
      <c r="DI19">
        <v>500.01366666666701</v>
      </c>
      <c r="DJ19">
        <v>100.910666666667</v>
      </c>
      <c r="DK19">
        <v>0.10000115</v>
      </c>
      <c r="DL19">
        <v>25.837066666666701</v>
      </c>
      <c r="DM19">
        <v>25.01455</v>
      </c>
      <c r="DN19">
        <v>999.9</v>
      </c>
      <c r="DO19">
        <v>0</v>
      </c>
      <c r="DP19">
        <v>0</v>
      </c>
      <c r="DQ19">
        <v>9988.4266666666699</v>
      </c>
      <c r="DR19">
        <v>0</v>
      </c>
      <c r="DS19">
        <v>8.8089200000000005</v>
      </c>
      <c r="DT19">
        <v>899.997166666667</v>
      </c>
      <c r="DU19">
        <v>0.95600566666666698</v>
      </c>
      <c r="DV19">
        <v>4.3994449999999997E-2</v>
      </c>
      <c r="DW19">
        <v>0</v>
      </c>
      <c r="DX19">
        <v>295.08383333333302</v>
      </c>
      <c r="DY19">
        <v>4.9999900000000004</v>
      </c>
      <c r="DZ19">
        <v>2620.6283333333299</v>
      </c>
      <c r="EA19">
        <v>8859.8666666666704</v>
      </c>
      <c r="EB19">
        <v>37.582999999999998</v>
      </c>
      <c r="EC19">
        <v>39.947499999999998</v>
      </c>
      <c r="ED19">
        <v>38.686999999999998</v>
      </c>
      <c r="EE19">
        <v>39.436999999999998</v>
      </c>
      <c r="EF19">
        <v>39.457999999999998</v>
      </c>
      <c r="EG19">
        <v>855.62333333333299</v>
      </c>
      <c r="EH19">
        <v>39.375</v>
      </c>
      <c r="EI19">
        <v>0</v>
      </c>
      <c r="EJ19">
        <v>181.89999985694899</v>
      </c>
      <c r="EK19">
        <v>0</v>
      </c>
      <c r="EL19">
        <v>294.58823076923102</v>
      </c>
      <c r="EM19">
        <v>3.9381196471878499</v>
      </c>
      <c r="EN19">
        <v>18.451623941904899</v>
      </c>
      <c r="EO19">
        <v>2619.4119230769202</v>
      </c>
      <c r="EP19">
        <v>15</v>
      </c>
      <c r="EQ19">
        <v>1791089445</v>
      </c>
      <c r="ER19" t="s">
        <v>347</v>
      </c>
      <c r="ES19">
        <v>1791089442</v>
      </c>
      <c r="ET19">
        <v>1791089445</v>
      </c>
      <c r="EU19">
        <v>33</v>
      </c>
      <c r="EV19">
        <v>0.317</v>
      </c>
      <c r="EW19">
        <v>8.9999999999999993E-3</v>
      </c>
      <c r="EX19">
        <v>-0.27100000000000002</v>
      </c>
      <c r="EY19">
        <v>-0.17399999999999999</v>
      </c>
      <c r="EZ19">
        <v>410</v>
      </c>
      <c r="FA19">
        <v>16</v>
      </c>
      <c r="FB19">
        <v>0.32</v>
      </c>
      <c r="FC19">
        <v>0.03</v>
      </c>
      <c r="FD19">
        <v>21.485410754010498</v>
      </c>
      <c r="FE19">
        <v>0.695805688011218</v>
      </c>
      <c r="FF19">
        <v>9.9822554702084898E-2</v>
      </c>
      <c r="FG19">
        <v>0</v>
      </c>
      <c r="FH19">
        <v>-9.3712035</v>
      </c>
      <c r="FI19">
        <v>-0.23415924812030101</v>
      </c>
      <c r="FJ19">
        <v>3.95746220796864E-2</v>
      </c>
      <c r="FK19">
        <v>1</v>
      </c>
      <c r="FL19">
        <v>294.46802941176497</v>
      </c>
      <c r="FM19">
        <v>2.8292589684007701</v>
      </c>
      <c r="FN19">
        <v>0.47122914903436602</v>
      </c>
      <c r="FO19">
        <v>0</v>
      </c>
      <c r="FP19">
        <v>1</v>
      </c>
      <c r="FQ19">
        <v>3</v>
      </c>
      <c r="FR19" t="s">
        <v>355</v>
      </c>
      <c r="FS19">
        <v>100</v>
      </c>
      <c r="FT19">
        <v>100</v>
      </c>
      <c r="FU19">
        <v>-0.28399999999999997</v>
      </c>
      <c r="FV19">
        <v>-0.16600000000000001</v>
      </c>
      <c r="FW19">
        <v>-0.70900306419656201</v>
      </c>
      <c r="FX19">
        <v>7.6835882421071803E-4</v>
      </c>
      <c r="FY19">
        <v>7.9312579872174805E-7</v>
      </c>
      <c r="FZ19">
        <v>-1.5433145656851401E-10</v>
      </c>
      <c r="GA19">
        <v>-1.8995062995758701E-2</v>
      </c>
      <c r="GB19">
        <v>-2.1578312386681502E-2</v>
      </c>
      <c r="GC19">
        <v>7.7134661959739901E-4</v>
      </c>
      <c r="GD19">
        <v>-1.7684492548540801E-6</v>
      </c>
      <c r="GE19">
        <v>4</v>
      </c>
      <c r="GF19">
        <v>2093</v>
      </c>
      <c r="GG19">
        <v>1</v>
      </c>
      <c r="GH19">
        <v>31</v>
      </c>
      <c r="GI19">
        <v>10.8</v>
      </c>
      <c r="GJ19">
        <v>10.7</v>
      </c>
      <c r="GK19">
        <v>1.0559099999999999</v>
      </c>
      <c r="GL19">
        <v>2.6428199999999999</v>
      </c>
      <c r="GM19">
        <v>1.65161</v>
      </c>
      <c r="GN19">
        <v>2.2839399999999999</v>
      </c>
      <c r="GO19">
        <v>1.5979000000000001</v>
      </c>
      <c r="GP19">
        <v>2.6245099999999999</v>
      </c>
      <c r="GQ19">
        <v>39.717100000000002</v>
      </c>
      <c r="GR19">
        <v>23.772300000000001</v>
      </c>
      <c r="GS19">
        <v>18</v>
      </c>
      <c r="GT19">
        <v>508.82799999999997</v>
      </c>
      <c r="GU19">
        <v>499.86700000000002</v>
      </c>
      <c r="GV19">
        <v>22.338699999999999</v>
      </c>
      <c r="GW19">
        <v>31.1785</v>
      </c>
      <c r="GX19">
        <v>30.0001</v>
      </c>
      <c r="GY19">
        <v>31.311199999999999</v>
      </c>
      <c r="GZ19">
        <v>31.363099999999999</v>
      </c>
      <c r="HA19">
        <v>21.129899999999999</v>
      </c>
      <c r="HB19">
        <v>32.072600000000001</v>
      </c>
      <c r="HC19">
        <v>0</v>
      </c>
      <c r="HD19">
        <v>22.334700000000002</v>
      </c>
      <c r="HE19">
        <v>409.30700000000002</v>
      </c>
      <c r="HF19">
        <v>16.3371</v>
      </c>
      <c r="HG19">
        <v>97.727900000000005</v>
      </c>
      <c r="HH19">
        <v>94.313400000000001</v>
      </c>
    </row>
    <row r="20" spans="1:216" x14ac:dyDescent="0.6">
      <c r="A20">
        <v>4</v>
      </c>
      <c r="B20">
        <v>1791090271</v>
      </c>
      <c r="C20">
        <v>500</v>
      </c>
      <c r="D20" t="s">
        <v>356</v>
      </c>
      <c r="E20" t="s">
        <v>357</v>
      </c>
      <c r="F20">
        <v>5</v>
      </c>
      <c r="G20">
        <v>1791090267.5</v>
      </c>
      <c r="H20">
        <f t="shared" si="0"/>
        <v>4.6811368340953551E-3</v>
      </c>
      <c r="I20">
        <f t="shared" si="1"/>
        <v>4.681136834095355</v>
      </c>
      <c r="J20">
        <f t="shared" si="2"/>
        <v>19.314368275804448</v>
      </c>
      <c r="K20">
        <f t="shared" si="3"/>
        <v>400.00733333333301</v>
      </c>
      <c r="L20">
        <f t="shared" si="4"/>
        <v>304.30928852211002</v>
      </c>
      <c r="M20">
        <f t="shared" si="5"/>
        <v>30.736260995257236</v>
      </c>
      <c r="N20">
        <f t="shared" si="6"/>
        <v>40.402085184648875</v>
      </c>
      <c r="O20">
        <f t="shared" si="7"/>
        <v>0.37082520400480223</v>
      </c>
      <c r="P20">
        <f t="shared" si="8"/>
        <v>3.0257936707841617</v>
      </c>
      <c r="Q20">
        <f t="shared" si="9"/>
        <v>0.34730103263061496</v>
      </c>
      <c r="R20">
        <f t="shared" si="10"/>
        <v>0.21905222366740129</v>
      </c>
      <c r="S20">
        <f t="shared" si="11"/>
        <v>98.060862134899352</v>
      </c>
      <c r="T20">
        <f t="shared" si="12"/>
        <v>25.314367407973087</v>
      </c>
      <c r="U20">
        <f t="shared" si="13"/>
        <v>25.001083333333298</v>
      </c>
      <c r="V20">
        <f t="shared" si="14"/>
        <v>3.1798829627190526</v>
      </c>
      <c r="W20">
        <f t="shared" si="15"/>
        <v>55.110111144329601</v>
      </c>
      <c r="X20">
        <f t="shared" si="16"/>
        <v>1.8524117453554505</v>
      </c>
      <c r="Y20">
        <f t="shared" si="17"/>
        <v>3.3612919787153235</v>
      </c>
      <c r="Z20">
        <f t="shared" si="18"/>
        <v>1.3274712173636021</v>
      </c>
      <c r="AA20">
        <f t="shared" si="19"/>
        <v>-206.43813438360516</v>
      </c>
      <c r="AB20">
        <f t="shared" si="20"/>
        <v>152.33848333450283</v>
      </c>
      <c r="AC20">
        <f t="shared" si="21"/>
        <v>10.699808061718821</v>
      </c>
      <c r="AD20">
        <f t="shared" si="22"/>
        <v>54.661019147515844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53537.962989411615</v>
      </c>
      <c r="AJ20" t="s">
        <v>343</v>
      </c>
      <c r="AK20">
        <v>8129.77</v>
      </c>
      <c r="AL20">
        <v>256.581730769231</v>
      </c>
      <c r="AM20">
        <v>1007.16258349372</v>
      </c>
      <c r="AN20">
        <f t="shared" si="26"/>
        <v>0.74524298760267549</v>
      </c>
      <c r="AO20">
        <v>-2.1413844498153298</v>
      </c>
      <c r="AP20" t="s">
        <v>358</v>
      </c>
      <c r="AQ20">
        <v>8158.93</v>
      </c>
      <c r="AR20">
        <v>314.99388461538501</v>
      </c>
      <c r="AS20">
        <v>630.80455618884002</v>
      </c>
      <c r="AT20">
        <f t="shared" si="27"/>
        <v>0.50064741681877245</v>
      </c>
      <c r="AU20">
        <v>0.5</v>
      </c>
      <c r="AV20">
        <f t="shared" si="28"/>
        <v>505.161485665751</v>
      </c>
      <c r="AW20">
        <f t="shared" si="29"/>
        <v>19.314368275804448</v>
      </c>
      <c r="AX20">
        <f t="shared" si="30"/>
        <v>126.45389643744579</v>
      </c>
      <c r="AY20">
        <f t="shared" si="31"/>
        <v>4.2473057298387067E-2</v>
      </c>
      <c r="AZ20">
        <f t="shared" si="32"/>
        <v>0.59663175164545268</v>
      </c>
      <c r="BA20">
        <f t="shared" si="33"/>
        <v>222.72794651525911</v>
      </c>
      <c r="BB20" t="s">
        <v>345</v>
      </c>
      <c r="BC20">
        <v>0</v>
      </c>
      <c r="BD20">
        <f t="shared" si="34"/>
        <v>222.72794651525911</v>
      </c>
      <c r="BE20">
        <f t="shared" si="35"/>
        <v>0.64691449303897797</v>
      </c>
      <c r="BF20">
        <f t="shared" si="36"/>
        <v>0.77390044929571156</v>
      </c>
      <c r="BG20">
        <f t="shared" si="37"/>
        <v>0.47978252051000914</v>
      </c>
      <c r="BH20">
        <f t="shared" si="38"/>
        <v>0.8439107668521888</v>
      </c>
      <c r="BI20">
        <f t="shared" si="39"/>
        <v>0.50142236634302662</v>
      </c>
      <c r="BJ20">
        <f t="shared" si="40"/>
        <v>0.54721461684672756</v>
      </c>
      <c r="BK20">
        <f t="shared" si="41"/>
        <v>0.45278538315327244</v>
      </c>
      <c r="BL20">
        <v>112</v>
      </c>
      <c r="BM20">
        <v>290</v>
      </c>
      <c r="BN20">
        <v>580.16999999999996</v>
      </c>
      <c r="BO20">
        <v>215</v>
      </c>
      <c r="BP20">
        <v>8158.93</v>
      </c>
      <c r="BQ20">
        <v>579.44000000000005</v>
      </c>
      <c r="BR20">
        <v>0.73</v>
      </c>
      <c r="BS20">
        <v>300</v>
      </c>
      <c r="BT20">
        <v>19.100000000000001</v>
      </c>
      <c r="BU20">
        <v>630.80455618884002</v>
      </c>
      <c r="BV20">
        <v>2.6747883083044299</v>
      </c>
      <c r="BW20">
        <v>-41.908140408320598</v>
      </c>
      <c r="BX20">
        <v>1.9696968373833901</v>
      </c>
      <c r="BY20">
        <v>0.94175003472187502</v>
      </c>
      <c r="BZ20">
        <v>-4.9982046718576199E-3</v>
      </c>
      <c r="CA20">
        <v>290</v>
      </c>
      <c r="CB20">
        <v>573.75</v>
      </c>
      <c r="CC20">
        <v>615</v>
      </c>
      <c r="CD20">
        <v>8152.68</v>
      </c>
      <c r="CE20">
        <v>579.4</v>
      </c>
      <c r="CF20">
        <v>-5.65</v>
      </c>
      <c r="CT20">
        <f t="shared" si="42"/>
        <v>599.95950000000005</v>
      </c>
      <c r="CU20">
        <f t="shared" si="43"/>
        <v>505.161485665751</v>
      </c>
      <c r="CV20">
        <f t="shared" si="44"/>
        <v>0.84199264394638462</v>
      </c>
      <c r="CW20">
        <f t="shared" si="45"/>
        <v>0.16344580281652235</v>
      </c>
      <c r="CX20">
        <v>2</v>
      </c>
      <c r="CY20">
        <v>0.5</v>
      </c>
      <c r="CZ20" t="s">
        <v>346</v>
      </c>
      <c r="DA20">
        <v>2</v>
      </c>
      <c r="DB20">
        <v>1791090267.5</v>
      </c>
      <c r="DC20">
        <v>400.00733333333301</v>
      </c>
      <c r="DD20">
        <v>408.48216666666701</v>
      </c>
      <c r="DE20">
        <v>18.3401</v>
      </c>
      <c r="DF20">
        <v>16.5019666666667</v>
      </c>
      <c r="DG20">
        <v>400.29149999999998</v>
      </c>
      <c r="DH20">
        <v>18.505483333333299</v>
      </c>
      <c r="DI20">
        <v>499.994666666667</v>
      </c>
      <c r="DJ20">
        <v>100.90333333333299</v>
      </c>
      <c r="DK20">
        <v>0.1000279</v>
      </c>
      <c r="DL20">
        <v>25.934950000000001</v>
      </c>
      <c r="DM20">
        <v>25.001083333333298</v>
      </c>
      <c r="DN20">
        <v>999.9</v>
      </c>
      <c r="DO20">
        <v>0</v>
      </c>
      <c r="DP20">
        <v>0</v>
      </c>
      <c r="DQ20">
        <v>9998.6450000000004</v>
      </c>
      <c r="DR20">
        <v>0</v>
      </c>
      <c r="DS20">
        <v>8.9783299999999997</v>
      </c>
      <c r="DT20">
        <v>599.95950000000005</v>
      </c>
      <c r="DU20">
        <v>0.93301733333333303</v>
      </c>
      <c r="DV20">
        <v>6.6982633333333305E-2</v>
      </c>
      <c r="DW20">
        <v>0</v>
      </c>
      <c r="DX20">
        <v>315.13366666666701</v>
      </c>
      <c r="DY20">
        <v>4.9999900000000004</v>
      </c>
      <c r="DZ20">
        <v>1855.25166666667</v>
      </c>
      <c r="EA20">
        <v>5844.9616666666698</v>
      </c>
      <c r="EB20">
        <v>36.811999999999998</v>
      </c>
      <c r="EC20">
        <v>39.572499999999998</v>
      </c>
      <c r="ED20">
        <v>38.166333333333299</v>
      </c>
      <c r="EE20">
        <v>39.125</v>
      </c>
      <c r="EF20">
        <v>38.916333333333299</v>
      </c>
      <c r="EG20">
        <v>555.10666666666702</v>
      </c>
      <c r="EH20">
        <v>39.85</v>
      </c>
      <c r="EI20">
        <v>0</v>
      </c>
      <c r="EJ20">
        <v>181.700000047684</v>
      </c>
      <c r="EK20">
        <v>0</v>
      </c>
      <c r="EL20">
        <v>314.99388461538501</v>
      </c>
      <c r="EM20">
        <v>3.3442393211598</v>
      </c>
      <c r="EN20">
        <v>20.847521362249601</v>
      </c>
      <c r="EO20">
        <v>1853.8903846153801</v>
      </c>
      <c r="EP20">
        <v>15</v>
      </c>
      <c r="EQ20">
        <v>1791089445</v>
      </c>
      <c r="ER20" t="s">
        <v>347</v>
      </c>
      <c r="ES20">
        <v>1791089442</v>
      </c>
      <c r="ET20">
        <v>1791089445</v>
      </c>
      <c r="EU20">
        <v>33</v>
      </c>
      <c r="EV20">
        <v>0.317</v>
      </c>
      <c r="EW20">
        <v>8.9999999999999993E-3</v>
      </c>
      <c r="EX20">
        <v>-0.27100000000000002</v>
      </c>
      <c r="EY20">
        <v>-0.17399999999999999</v>
      </c>
      <c r="EZ20">
        <v>410</v>
      </c>
      <c r="FA20">
        <v>16</v>
      </c>
      <c r="FB20">
        <v>0.32</v>
      </c>
      <c r="FC20">
        <v>0.03</v>
      </c>
      <c r="FD20">
        <v>19.2623703274501</v>
      </c>
      <c r="FE20">
        <v>0.27596641808148398</v>
      </c>
      <c r="FF20">
        <v>8.9315588294496207E-2</v>
      </c>
      <c r="FG20">
        <v>1</v>
      </c>
      <c r="FH20">
        <v>-8.4574274999999997</v>
      </c>
      <c r="FI20">
        <v>-0.210298195488728</v>
      </c>
      <c r="FJ20">
        <v>4.1081546937159097E-2</v>
      </c>
      <c r="FK20">
        <v>1</v>
      </c>
      <c r="FL20">
        <v>314.746911764706</v>
      </c>
      <c r="FM20">
        <v>3.2381818211832001</v>
      </c>
      <c r="FN20">
        <v>0.410464397513716</v>
      </c>
      <c r="FO20">
        <v>0</v>
      </c>
      <c r="FP20">
        <v>2</v>
      </c>
      <c r="FQ20">
        <v>3</v>
      </c>
      <c r="FR20" t="s">
        <v>359</v>
      </c>
      <c r="FS20">
        <v>100</v>
      </c>
      <c r="FT20">
        <v>100</v>
      </c>
      <c r="FU20">
        <v>-0.28499999999999998</v>
      </c>
      <c r="FV20">
        <v>-0.16539999999999999</v>
      </c>
      <c r="FW20">
        <v>-0.70900306419656201</v>
      </c>
      <c r="FX20">
        <v>7.6835882421071803E-4</v>
      </c>
      <c r="FY20">
        <v>7.9312579872174805E-7</v>
      </c>
      <c r="FZ20">
        <v>-1.5433145656851401E-10</v>
      </c>
      <c r="GA20">
        <v>-1.8995062995758701E-2</v>
      </c>
      <c r="GB20">
        <v>-2.1578312386681502E-2</v>
      </c>
      <c r="GC20">
        <v>7.7134661959739901E-4</v>
      </c>
      <c r="GD20">
        <v>-1.7684492548540801E-6</v>
      </c>
      <c r="GE20">
        <v>4</v>
      </c>
      <c r="GF20">
        <v>2093</v>
      </c>
      <c r="GG20">
        <v>1</v>
      </c>
      <c r="GH20">
        <v>31</v>
      </c>
      <c r="GI20">
        <v>13.8</v>
      </c>
      <c r="GJ20">
        <v>13.8</v>
      </c>
      <c r="GK20">
        <v>1.0546899999999999</v>
      </c>
      <c r="GL20">
        <v>2.65625</v>
      </c>
      <c r="GM20">
        <v>1.65161</v>
      </c>
      <c r="GN20">
        <v>2.2839399999999999</v>
      </c>
      <c r="GO20">
        <v>1.5979000000000001</v>
      </c>
      <c r="GP20">
        <v>2.5878899999999998</v>
      </c>
      <c r="GQ20">
        <v>39.792499999999997</v>
      </c>
      <c r="GR20">
        <v>23.772300000000001</v>
      </c>
      <c r="GS20">
        <v>18</v>
      </c>
      <c r="GT20">
        <v>509.012</v>
      </c>
      <c r="GU20">
        <v>499.52</v>
      </c>
      <c r="GV20">
        <v>22.900500000000001</v>
      </c>
      <c r="GW20">
        <v>31.186599999999999</v>
      </c>
      <c r="GX20">
        <v>30.0001</v>
      </c>
      <c r="GY20">
        <v>31.3248</v>
      </c>
      <c r="GZ20">
        <v>31.3795</v>
      </c>
      <c r="HA20">
        <v>21.096399999999999</v>
      </c>
      <c r="HB20">
        <v>31.237200000000001</v>
      </c>
      <c r="HC20">
        <v>0</v>
      </c>
      <c r="HD20">
        <v>22.9</v>
      </c>
      <c r="HE20">
        <v>408.48500000000001</v>
      </c>
      <c r="HF20">
        <v>16.484300000000001</v>
      </c>
      <c r="HG20">
        <v>97.727000000000004</v>
      </c>
      <c r="HH20">
        <v>94.311000000000007</v>
      </c>
    </row>
    <row r="21" spans="1:216" x14ac:dyDescent="0.6">
      <c r="A21">
        <v>5</v>
      </c>
      <c r="B21">
        <v>1791090394</v>
      </c>
      <c r="C21">
        <v>623</v>
      </c>
      <c r="D21" t="s">
        <v>360</v>
      </c>
      <c r="E21" t="s">
        <v>361</v>
      </c>
      <c r="F21">
        <v>5</v>
      </c>
      <c r="G21">
        <v>1791090390.5</v>
      </c>
      <c r="H21">
        <f t="shared" si="0"/>
        <v>4.6695932343364414E-3</v>
      </c>
      <c r="I21">
        <f t="shared" si="1"/>
        <v>4.6695932343364417</v>
      </c>
      <c r="J21">
        <f t="shared" si="2"/>
        <v>15.723260179294121</v>
      </c>
      <c r="K21">
        <f t="shared" si="3"/>
        <v>399.97466666666702</v>
      </c>
      <c r="L21">
        <f t="shared" si="4"/>
        <v>320.15434723397948</v>
      </c>
      <c r="M21">
        <f t="shared" si="5"/>
        <v>32.336634065093001</v>
      </c>
      <c r="N21">
        <f t="shared" si="6"/>
        <v>40.398746863977721</v>
      </c>
      <c r="O21">
        <f t="shared" si="7"/>
        <v>0.369018565264226</v>
      </c>
      <c r="P21">
        <f t="shared" si="8"/>
        <v>3.0269132320852981</v>
      </c>
      <c r="Q21">
        <f t="shared" si="9"/>
        <v>0.34572336189762343</v>
      </c>
      <c r="R21">
        <f t="shared" si="10"/>
        <v>0.21804742311951464</v>
      </c>
      <c r="S21">
        <f t="shared" si="11"/>
        <v>66.131860135264205</v>
      </c>
      <c r="T21">
        <f t="shared" si="12"/>
        <v>25.235949523147458</v>
      </c>
      <c r="U21">
        <f t="shared" si="13"/>
        <v>25.004950000000001</v>
      </c>
      <c r="V21">
        <f t="shared" si="14"/>
        <v>3.1806160799506498</v>
      </c>
      <c r="W21">
        <f t="shared" si="15"/>
        <v>54.720712830527518</v>
      </c>
      <c r="X21">
        <f t="shared" si="16"/>
        <v>1.8503680133765201</v>
      </c>
      <c r="Y21">
        <f t="shared" si="17"/>
        <v>3.3814764422152033</v>
      </c>
      <c r="Z21">
        <f t="shared" si="18"/>
        <v>1.3302480665741296</v>
      </c>
      <c r="AA21">
        <f t="shared" si="19"/>
        <v>-205.92906163423706</v>
      </c>
      <c r="AB21">
        <f t="shared" si="20"/>
        <v>168.27293932376298</v>
      </c>
      <c r="AC21">
        <f t="shared" si="21"/>
        <v>11.820869936148307</v>
      </c>
      <c r="AD21">
        <f t="shared" si="22"/>
        <v>40.296607760938443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53554.596507142429</v>
      </c>
      <c r="AJ21" t="s">
        <v>343</v>
      </c>
      <c r="AK21">
        <v>8129.77</v>
      </c>
      <c r="AL21">
        <v>256.581730769231</v>
      </c>
      <c r="AM21">
        <v>1007.16258349372</v>
      </c>
      <c r="AN21">
        <f t="shared" si="26"/>
        <v>0.74524298760267549</v>
      </c>
      <c r="AO21">
        <v>-2.1413844498153298</v>
      </c>
      <c r="AP21" t="s">
        <v>362</v>
      </c>
      <c r="AQ21">
        <v>8162.09</v>
      </c>
      <c r="AR21">
        <v>314.03319230769199</v>
      </c>
      <c r="AS21">
        <v>754.82852707176301</v>
      </c>
      <c r="AT21">
        <f t="shared" si="27"/>
        <v>0.58396750911636353</v>
      </c>
      <c r="AU21">
        <v>0.5</v>
      </c>
      <c r="AV21">
        <f t="shared" si="28"/>
        <v>337.21172608044776</v>
      </c>
      <c r="AW21">
        <f t="shared" si="29"/>
        <v>15.723260179294121</v>
      </c>
      <c r="AX21">
        <f t="shared" si="30"/>
        <v>98.460345862014279</v>
      </c>
      <c r="AY21">
        <f t="shared" si="31"/>
        <v>5.2977530872836624E-2</v>
      </c>
      <c r="AZ21">
        <f t="shared" si="32"/>
        <v>0.33429321676652418</v>
      </c>
      <c r="BA21">
        <f t="shared" si="33"/>
        <v>236.44521865619632</v>
      </c>
      <c r="BB21" t="s">
        <v>345</v>
      </c>
      <c r="BC21">
        <v>0</v>
      </c>
      <c r="BD21">
        <f t="shared" si="34"/>
        <v>236.44521865619632</v>
      </c>
      <c r="BE21">
        <f t="shared" si="35"/>
        <v>0.68675638217669399</v>
      </c>
      <c r="BF21">
        <f t="shared" si="36"/>
        <v>0.85032702173871577</v>
      </c>
      <c r="BG21">
        <f t="shared" si="37"/>
        <v>0.32740154553952733</v>
      </c>
      <c r="BH21">
        <f t="shared" si="38"/>
        <v>0.8846927627737784</v>
      </c>
      <c r="BI21">
        <f t="shared" si="39"/>
        <v>0.33618504323155141</v>
      </c>
      <c r="BJ21">
        <f t="shared" si="40"/>
        <v>0.64023728545002645</v>
      </c>
      <c r="BK21">
        <f t="shared" si="41"/>
        <v>0.35976271454997355</v>
      </c>
      <c r="BL21">
        <v>113</v>
      </c>
      <c r="BM21">
        <v>290</v>
      </c>
      <c r="BN21">
        <v>700</v>
      </c>
      <c r="BO21">
        <v>205</v>
      </c>
      <c r="BP21">
        <v>8162.09</v>
      </c>
      <c r="BQ21">
        <v>699.15</v>
      </c>
      <c r="BR21">
        <v>0.85</v>
      </c>
      <c r="BS21">
        <v>300</v>
      </c>
      <c r="BT21">
        <v>19.100000000000001</v>
      </c>
      <c r="BU21">
        <v>754.82852707176301</v>
      </c>
      <c r="BV21">
        <v>2.0983438941000898</v>
      </c>
      <c r="BW21">
        <v>-45.441897966922603</v>
      </c>
      <c r="BX21">
        <v>1.5410184847763799</v>
      </c>
      <c r="BY21">
        <v>0.96880415206380999</v>
      </c>
      <c r="BZ21">
        <v>-5.1340120133481701E-3</v>
      </c>
      <c r="CA21">
        <v>290</v>
      </c>
      <c r="CB21">
        <v>693.15</v>
      </c>
      <c r="CC21">
        <v>635</v>
      </c>
      <c r="CD21">
        <v>8154.87</v>
      </c>
      <c r="CE21">
        <v>699.1</v>
      </c>
      <c r="CF21">
        <v>-5.95</v>
      </c>
      <c r="CT21">
        <f t="shared" si="42"/>
        <v>400.03199999999998</v>
      </c>
      <c r="CU21">
        <f t="shared" si="43"/>
        <v>337.21172608044776</v>
      </c>
      <c r="CV21">
        <f t="shared" si="44"/>
        <v>0.84296187825085933</v>
      </c>
      <c r="CW21">
        <f t="shared" si="45"/>
        <v>0.16531642502415858</v>
      </c>
      <c r="CX21">
        <v>2</v>
      </c>
      <c r="CY21">
        <v>0.5</v>
      </c>
      <c r="CZ21" t="s">
        <v>346</v>
      </c>
      <c r="DA21">
        <v>2</v>
      </c>
      <c r="DB21">
        <v>1791090390.5</v>
      </c>
      <c r="DC21">
        <v>399.97466666666702</v>
      </c>
      <c r="DD21">
        <v>407.01066666666702</v>
      </c>
      <c r="DE21">
        <v>18.319883333333301</v>
      </c>
      <c r="DF21">
        <v>16.486366666666701</v>
      </c>
      <c r="DG21">
        <v>400.259166666667</v>
      </c>
      <c r="DH21">
        <v>18.4853666666667</v>
      </c>
      <c r="DI21">
        <v>500.02783333333298</v>
      </c>
      <c r="DJ21">
        <v>100.90333333333299</v>
      </c>
      <c r="DK21">
        <v>9.9930699999999997E-2</v>
      </c>
      <c r="DL21">
        <v>26.0361166666667</v>
      </c>
      <c r="DM21">
        <v>25.004950000000001</v>
      </c>
      <c r="DN21">
        <v>999.9</v>
      </c>
      <c r="DO21">
        <v>0</v>
      </c>
      <c r="DP21">
        <v>0</v>
      </c>
      <c r="DQ21">
        <v>10005.413333333299</v>
      </c>
      <c r="DR21">
        <v>0</v>
      </c>
      <c r="DS21">
        <v>8.8145699999999998</v>
      </c>
      <c r="DT21">
        <v>400.03199999999998</v>
      </c>
      <c r="DU21">
        <v>0.90002599999999999</v>
      </c>
      <c r="DV21">
        <v>9.9973783333333302E-2</v>
      </c>
      <c r="DW21">
        <v>0</v>
      </c>
      <c r="DX21">
        <v>313.95316666666702</v>
      </c>
      <c r="DY21">
        <v>4.9999900000000004</v>
      </c>
      <c r="DZ21">
        <v>1226.2149999999999</v>
      </c>
      <c r="EA21">
        <v>3838.2233333333302</v>
      </c>
      <c r="EB21">
        <v>36.375</v>
      </c>
      <c r="EC21">
        <v>39.311999999999998</v>
      </c>
      <c r="ED21">
        <v>37.822499999999998</v>
      </c>
      <c r="EE21">
        <v>38.936999999999998</v>
      </c>
      <c r="EF21">
        <v>38.561999999999998</v>
      </c>
      <c r="EG21">
        <v>355.53833333333301</v>
      </c>
      <c r="EH21">
        <v>39.494999999999997</v>
      </c>
      <c r="EI21">
        <v>0</v>
      </c>
      <c r="EJ21">
        <v>121.700000047684</v>
      </c>
      <c r="EK21">
        <v>0</v>
      </c>
      <c r="EL21">
        <v>314.03319230769199</v>
      </c>
      <c r="EM21">
        <v>0.33945299841229598</v>
      </c>
      <c r="EN21">
        <v>4.23145303241352</v>
      </c>
      <c r="EO21">
        <v>1225.8411538461501</v>
      </c>
      <c r="EP21">
        <v>15</v>
      </c>
      <c r="EQ21">
        <v>1791089445</v>
      </c>
      <c r="ER21" t="s">
        <v>347</v>
      </c>
      <c r="ES21">
        <v>1791089442</v>
      </c>
      <c r="ET21">
        <v>1791089445</v>
      </c>
      <c r="EU21">
        <v>33</v>
      </c>
      <c r="EV21">
        <v>0.317</v>
      </c>
      <c r="EW21">
        <v>8.9999999999999993E-3</v>
      </c>
      <c r="EX21">
        <v>-0.27100000000000002</v>
      </c>
      <c r="EY21">
        <v>-0.17399999999999999</v>
      </c>
      <c r="EZ21">
        <v>410</v>
      </c>
      <c r="FA21">
        <v>16</v>
      </c>
      <c r="FB21">
        <v>0.32</v>
      </c>
      <c r="FC21">
        <v>0.03</v>
      </c>
      <c r="FD21">
        <v>15.7619980783966</v>
      </c>
      <c r="FE21">
        <v>-0.123441176657339</v>
      </c>
      <c r="FF21">
        <v>8.5840541823898997E-2</v>
      </c>
      <c r="FG21">
        <v>1</v>
      </c>
      <c r="FH21">
        <v>-7.0521995238095299</v>
      </c>
      <c r="FI21">
        <v>1.06675324675213E-2</v>
      </c>
      <c r="FJ21">
        <v>3.4434532705271102E-2</v>
      </c>
      <c r="FK21">
        <v>1</v>
      </c>
      <c r="FL21">
        <v>314.00291176470603</v>
      </c>
      <c r="FM21">
        <v>-5.6455310678617102E-2</v>
      </c>
      <c r="FN21">
        <v>0.32738279156751099</v>
      </c>
      <c r="FO21">
        <v>1</v>
      </c>
      <c r="FP21">
        <v>3</v>
      </c>
      <c r="FQ21">
        <v>3</v>
      </c>
      <c r="FR21" t="s">
        <v>348</v>
      </c>
      <c r="FS21">
        <v>100</v>
      </c>
      <c r="FT21">
        <v>100</v>
      </c>
      <c r="FU21">
        <v>-0.28499999999999998</v>
      </c>
      <c r="FV21">
        <v>-0.16550000000000001</v>
      </c>
      <c r="FW21">
        <v>-0.70900306419656201</v>
      </c>
      <c r="FX21">
        <v>7.6835882421071803E-4</v>
      </c>
      <c r="FY21">
        <v>7.9312579872174805E-7</v>
      </c>
      <c r="FZ21">
        <v>-1.5433145656851401E-10</v>
      </c>
      <c r="GA21">
        <v>-1.8995062995758701E-2</v>
      </c>
      <c r="GB21">
        <v>-2.1578312386681502E-2</v>
      </c>
      <c r="GC21">
        <v>7.7134661959739901E-4</v>
      </c>
      <c r="GD21">
        <v>-1.7684492548540801E-6</v>
      </c>
      <c r="GE21">
        <v>4</v>
      </c>
      <c r="GF21">
        <v>2093</v>
      </c>
      <c r="GG21">
        <v>1</v>
      </c>
      <c r="GH21">
        <v>31</v>
      </c>
      <c r="GI21">
        <v>15.9</v>
      </c>
      <c r="GJ21">
        <v>15.8</v>
      </c>
      <c r="GK21">
        <v>1.0522499999999999</v>
      </c>
      <c r="GL21">
        <v>2.65747</v>
      </c>
      <c r="GM21">
        <v>1.65161</v>
      </c>
      <c r="GN21">
        <v>2.2839399999999999</v>
      </c>
      <c r="GO21">
        <v>1.5979000000000001</v>
      </c>
      <c r="GP21">
        <v>2.5842299999999998</v>
      </c>
      <c r="GQ21">
        <v>39.817700000000002</v>
      </c>
      <c r="GR21">
        <v>23.772300000000001</v>
      </c>
      <c r="GS21">
        <v>18</v>
      </c>
      <c r="GT21">
        <v>508.762</v>
      </c>
      <c r="GU21">
        <v>499.30700000000002</v>
      </c>
      <c r="GV21">
        <v>23.306999999999999</v>
      </c>
      <c r="GW21">
        <v>31.200199999999999</v>
      </c>
      <c r="GX21">
        <v>30.002199999999998</v>
      </c>
      <c r="GY21">
        <v>31.3384</v>
      </c>
      <c r="GZ21">
        <v>31.3904</v>
      </c>
      <c r="HA21">
        <v>21.0427</v>
      </c>
      <c r="HB21">
        <v>31.244599999999998</v>
      </c>
      <c r="HC21">
        <v>0</v>
      </c>
      <c r="HD21">
        <v>23.285699999999999</v>
      </c>
      <c r="HE21">
        <v>407.07299999999998</v>
      </c>
      <c r="HF21">
        <v>16.5015</v>
      </c>
      <c r="HG21">
        <v>97.722800000000007</v>
      </c>
      <c r="HH21">
        <v>94.306799999999996</v>
      </c>
    </row>
    <row r="22" spans="1:216" x14ac:dyDescent="0.6">
      <c r="A22">
        <v>6</v>
      </c>
      <c r="B22">
        <v>1791090527</v>
      </c>
      <c r="C22">
        <v>756</v>
      </c>
      <c r="D22" t="s">
        <v>363</v>
      </c>
      <c r="E22" t="s">
        <v>364</v>
      </c>
      <c r="F22">
        <v>5</v>
      </c>
      <c r="G22">
        <v>1791090523.5</v>
      </c>
      <c r="H22">
        <f t="shared" si="0"/>
        <v>4.5022042035302154E-3</v>
      </c>
      <c r="I22">
        <f t="shared" si="1"/>
        <v>4.5022042035302157</v>
      </c>
      <c r="J22">
        <f t="shared" si="2"/>
        <v>9.0229857045038884</v>
      </c>
      <c r="K22">
        <f t="shared" si="3"/>
        <v>400.02</v>
      </c>
      <c r="L22">
        <f t="shared" si="4"/>
        <v>349.31164035656894</v>
      </c>
      <c r="M22">
        <f t="shared" si="5"/>
        <v>35.282790855347024</v>
      </c>
      <c r="N22">
        <f t="shared" si="6"/>
        <v>40.40467126588986</v>
      </c>
      <c r="O22">
        <f t="shared" si="7"/>
        <v>0.35681808507226043</v>
      </c>
      <c r="P22">
        <f t="shared" si="8"/>
        <v>3.0231171227645772</v>
      </c>
      <c r="Q22">
        <f t="shared" si="9"/>
        <v>0.33496330012722608</v>
      </c>
      <c r="R22">
        <f t="shared" si="10"/>
        <v>0.21120398708099469</v>
      </c>
      <c r="S22">
        <f t="shared" si="11"/>
        <v>33.04727897525035</v>
      </c>
      <c r="T22">
        <f t="shared" si="12"/>
        <v>25.130398862501409</v>
      </c>
      <c r="U22">
        <f t="shared" si="13"/>
        <v>25.006083333333301</v>
      </c>
      <c r="V22">
        <f t="shared" si="14"/>
        <v>3.1808309871275076</v>
      </c>
      <c r="W22">
        <f t="shared" si="15"/>
        <v>54.780517640203406</v>
      </c>
      <c r="X22">
        <f t="shared" si="16"/>
        <v>1.8570691401363277</v>
      </c>
      <c r="Y22">
        <f t="shared" si="17"/>
        <v>3.3900175101182781</v>
      </c>
      <c r="Z22">
        <f t="shared" si="18"/>
        <v>1.3237618469911798</v>
      </c>
      <c r="AA22">
        <f t="shared" si="19"/>
        <v>-198.54720537568249</v>
      </c>
      <c r="AB22">
        <f t="shared" si="20"/>
        <v>174.8283864574336</v>
      </c>
      <c r="AC22">
        <f t="shared" si="21"/>
        <v>12.299508424622909</v>
      </c>
      <c r="AD22">
        <f t="shared" si="22"/>
        <v>21.62796848162435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53429.291285947482</v>
      </c>
      <c r="AJ22" t="s">
        <v>343</v>
      </c>
      <c r="AK22">
        <v>8129.77</v>
      </c>
      <c r="AL22">
        <v>256.581730769231</v>
      </c>
      <c r="AM22">
        <v>1007.16258349372</v>
      </c>
      <c r="AN22">
        <f t="shared" si="26"/>
        <v>0.74524298760267549</v>
      </c>
      <c r="AO22">
        <v>-2.1413844498153298</v>
      </c>
      <c r="AP22" t="s">
        <v>365</v>
      </c>
      <c r="AQ22">
        <v>8146.48</v>
      </c>
      <c r="AR22">
        <v>290.78212000000002</v>
      </c>
      <c r="AS22">
        <v>844.06280264585803</v>
      </c>
      <c r="AT22">
        <f t="shared" si="27"/>
        <v>0.65549705651227119</v>
      </c>
      <c r="AU22">
        <v>0.5</v>
      </c>
      <c r="AV22">
        <f t="shared" si="28"/>
        <v>168.57751905453358</v>
      </c>
      <c r="AW22">
        <f t="shared" si="29"/>
        <v>9.0229857045038884</v>
      </c>
      <c r="AX22">
        <f t="shared" si="30"/>
        <v>55.251033767194038</v>
      </c>
      <c r="AY22">
        <f t="shared" si="31"/>
        <v>6.6226921697119218E-2</v>
      </c>
      <c r="AZ22">
        <f t="shared" si="32"/>
        <v>0.19323180732120651</v>
      </c>
      <c r="BA22">
        <f t="shared" si="33"/>
        <v>244.54354696139637</v>
      </c>
      <c r="BB22" t="s">
        <v>345</v>
      </c>
      <c r="BC22">
        <v>0</v>
      </c>
      <c r="BD22">
        <f t="shared" si="34"/>
        <v>244.54354696139637</v>
      </c>
      <c r="BE22">
        <f t="shared" si="35"/>
        <v>0.71027801936676616</v>
      </c>
      <c r="BF22">
        <f t="shared" si="36"/>
        <v>0.92287391505746741</v>
      </c>
      <c r="BG22">
        <f t="shared" si="37"/>
        <v>0.21386796425838894</v>
      </c>
      <c r="BH22">
        <f t="shared" si="38"/>
        <v>0.9417846959366355</v>
      </c>
      <c r="BI22">
        <f t="shared" si="39"/>
        <v>0.21729808355200611</v>
      </c>
      <c r="BJ22">
        <f t="shared" si="40"/>
        <v>0.77612358210437249</v>
      </c>
      <c r="BK22">
        <f t="shared" si="41"/>
        <v>0.22387641789562751</v>
      </c>
      <c r="BL22">
        <v>114</v>
      </c>
      <c r="BM22">
        <v>290</v>
      </c>
      <c r="BN22">
        <v>792.59</v>
      </c>
      <c r="BO22">
        <v>175</v>
      </c>
      <c r="BP22">
        <v>8146.48</v>
      </c>
      <c r="BQ22">
        <v>792.11</v>
      </c>
      <c r="BR22">
        <v>0.48</v>
      </c>
      <c r="BS22">
        <v>300</v>
      </c>
      <c r="BT22">
        <v>19.100000000000001</v>
      </c>
      <c r="BU22">
        <v>844.06280264585803</v>
      </c>
      <c r="BV22">
        <v>3.1956162625192199</v>
      </c>
      <c r="BW22">
        <v>-42.323723977244001</v>
      </c>
      <c r="BX22">
        <v>2.33482631040303</v>
      </c>
      <c r="BY22">
        <v>0.921479156242347</v>
      </c>
      <c r="BZ22">
        <v>-5.2565824249165899E-3</v>
      </c>
      <c r="CA22">
        <v>290</v>
      </c>
      <c r="CB22">
        <v>786.43</v>
      </c>
      <c r="CC22">
        <v>615</v>
      </c>
      <c r="CD22">
        <v>8138.44</v>
      </c>
      <c r="CE22">
        <v>792.06</v>
      </c>
      <c r="CF22">
        <v>-5.63</v>
      </c>
      <c r="CT22">
        <f t="shared" si="42"/>
        <v>199.99133333333299</v>
      </c>
      <c r="CU22">
        <f t="shared" si="43"/>
        <v>168.57751905453358</v>
      </c>
      <c r="CV22">
        <f t="shared" si="44"/>
        <v>0.84292412198462208</v>
      </c>
      <c r="CW22">
        <f t="shared" si="45"/>
        <v>0.16524355543032068</v>
      </c>
      <c r="CX22">
        <v>2</v>
      </c>
      <c r="CY22">
        <v>0.5</v>
      </c>
      <c r="CZ22" t="s">
        <v>346</v>
      </c>
      <c r="DA22">
        <v>2</v>
      </c>
      <c r="DB22">
        <v>1791090523.5</v>
      </c>
      <c r="DC22">
        <v>400.02</v>
      </c>
      <c r="DD22">
        <v>404.34899999999999</v>
      </c>
      <c r="DE22">
        <v>18.385616666666699</v>
      </c>
      <c r="DF22">
        <v>16.618083333333299</v>
      </c>
      <c r="DG22">
        <v>400.29116666666698</v>
      </c>
      <c r="DH22">
        <v>18.5499166666667</v>
      </c>
      <c r="DI22">
        <v>500.06733333333301</v>
      </c>
      <c r="DJ22">
        <v>100.906333333333</v>
      </c>
      <c r="DK22">
        <v>0.10029449999999999</v>
      </c>
      <c r="DL22">
        <v>26.078766666666699</v>
      </c>
      <c r="DM22">
        <v>25.006083333333301</v>
      </c>
      <c r="DN22">
        <v>999.9</v>
      </c>
      <c r="DO22">
        <v>0</v>
      </c>
      <c r="DP22">
        <v>0</v>
      </c>
      <c r="DQ22">
        <v>9982.1849999999995</v>
      </c>
      <c r="DR22">
        <v>0</v>
      </c>
      <c r="DS22">
        <v>8.8564500000000006</v>
      </c>
      <c r="DT22">
        <v>199.99133333333299</v>
      </c>
      <c r="DU22">
        <v>0.90004366666666702</v>
      </c>
      <c r="DV22">
        <v>9.9956666666666694E-2</v>
      </c>
      <c r="DW22">
        <v>0</v>
      </c>
      <c r="DX22">
        <v>291.06483333333301</v>
      </c>
      <c r="DY22">
        <v>4.9999900000000004</v>
      </c>
      <c r="DZ22">
        <v>566.60016666666695</v>
      </c>
      <c r="EA22">
        <v>1894.5933333333301</v>
      </c>
      <c r="EB22">
        <v>35.801666666666698</v>
      </c>
      <c r="EC22">
        <v>39.030999999999999</v>
      </c>
      <c r="ED22">
        <v>37.436999999999998</v>
      </c>
      <c r="EE22">
        <v>38.686999999999998</v>
      </c>
      <c r="EF22">
        <v>38.125</v>
      </c>
      <c r="EG22">
        <v>175.49833333333299</v>
      </c>
      <c r="EH22">
        <v>19.4933333333333</v>
      </c>
      <c r="EI22">
        <v>0</v>
      </c>
      <c r="EJ22">
        <v>131.89999985694899</v>
      </c>
      <c r="EK22">
        <v>0</v>
      </c>
      <c r="EL22">
        <v>290.78212000000002</v>
      </c>
      <c r="EM22">
        <v>0.94815385234632599</v>
      </c>
      <c r="EN22">
        <v>-2.4316923191903301</v>
      </c>
      <c r="EO22">
        <v>566.84712000000002</v>
      </c>
      <c r="EP22">
        <v>15</v>
      </c>
      <c r="EQ22">
        <v>1791090461</v>
      </c>
      <c r="ER22" t="s">
        <v>366</v>
      </c>
      <c r="ES22">
        <v>1791090460</v>
      </c>
      <c r="ET22">
        <v>1791090461</v>
      </c>
      <c r="EU22">
        <v>34</v>
      </c>
      <c r="EV22">
        <v>1.2999999999999999E-2</v>
      </c>
      <c r="EW22">
        <v>1E-3</v>
      </c>
      <c r="EX22">
        <v>-0.26600000000000001</v>
      </c>
      <c r="EY22">
        <v>-0.17100000000000001</v>
      </c>
      <c r="EZ22">
        <v>404</v>
      </c>
      <c r="FA22">
        <v>17</v>
      </c>
      <c r="FB22">
        <v>0.32</v>
      </c>
      <c r="FC22">
        <v>0.05</v>
      </c>
      <c r="FD22">
        <v>9.1581497178966806</v>
      </c>
      <c r="FE22">
        <v>0.15237915342627101</v>
      </c>
      <c r="FF22">
        <v>0.151104245354094</v>
      </c>
      <c r="FG22">
        <v>1</v>
      </c>
      <c r="FH22">
        <v>-4.3971260000000001</v>
      </c>
      <c r="FI22">
        <v>0.230051729323307</v>
      </c>
      <c r="FJ22">
        <v>5.2528585018064199E-2</v>
      </c>
      <c r="FK22">
        <v>1</v>
      </c>
      <c r="FL22">
        <v>290.740852941176</v>
      </c>
      <c r="FM22">
        <v>0.924171116795935</v>
      </c>
      <c r="FN22">
        <v>0.37355896710306702</v>
      </c>
      <c r="FO22">
        <v>1</v>
      </c>
      <c r="FP22">
        <v>3</v>
      </c>
      <c r="FQ22">
        <v>3</v>
      </c>
      <c r="FR22" t="s">
        <v>348</v>
      </c>
      <c r="FS22">
        <v>100</v>
      </c>
      <c r="FT22">
        <v>100</v>
      </c>
      <c r="FU22">
        <v>-0.27200000000000002</v>
      </c>
      <c r="FV22">
        <v>-0.1643</v>
      </c>
      <c r="FW22">
        <v>-0.69619934761595104</v>
      </c>
      <c r="FX22">
        <v>7.6835882421071803E-4</v>
      </c>
      <c r="FY22">
        <v>7.9312579872174805E-7</v>
      </c>
      <c r="FZ22">
        <v>-1.5433145656851401E-10</v>
      </c>
      <c r="GA22">
        <v>-1.8159160024977899E-2</v>
      </c>
      <c r="GB22">
        <v>-2.1578312386681502E-2</v>
      </c>
      <c r="GC22">
        <v>7.7134661959739901E-4</v>
      </c>
      <c r="GD22">
        <v>-1.7684492548540801E-6</v>
      </c>
      <c r="GE22">
        <v>4</v>
      </c>
      <c r="GF22">
        <v>2093</v>
      </c>
      <c r="GG22">
        <v>1</v>
      </c>
      <c r="GH22">
        <v>31</v>
      </c>
      <c r="GI22">
        <v>1.1000000000000001</v>
      </c>
      <c r="GJ22">
        <v>1.1000000000000001</v>
      </c>
      <c r="GK22">
        <v>1.0461400000000001</v>
      </c>
      <c r="GL22">
        <v>2.64893</v>
      </c>
      <c r="GM22">
        <v>1.65161</v>
      </c>
      <c r="GN22">
        <v>2.2839399999999999</v>
      </c>
      <c r="GO22">
        <v>1.5979000000000001</v>
      </c>
      <c r="GP22">
        <v>2.5366200000000001</v>
      </c>
      <c r="GQ22">
        <v>39.868000000000002</v>
      </c>
      <c r="GR22">
        <v>23.780999999999999</v>
      </c>
      <c r="GS22">
        <v>18</v>
      </c>
      <c r="GT22">
        <v>508.95699999999999</v>
      </c>
      <c r="GU22">
        <v>499.03699999999998</v>
      </c>
      <c r="GV22">
        <v>23.597999999999999</v>
      </c>
      <c r="GW22">
        <v>31.222100000000001</v>
      </c>
      <c r="GX22">
        <v>29.999099999999999</v>
      </c>
      <c r="GY22">
        <v>31.357500000000002</v>
      </c>
      <c r="GZ22">
        <v>31.409500000000001</v>
      </c>
      <c r="HA22">
        <v>20.934200000000001</v>
      </c>
      <c r="HB22">
        <v>30.346499999999999</v>
      </c>
      <c r="HC22">
        <v>0</v>
      </c>
      <c r="HD22">
        <v>23.6433</v>
      </c>
      <c r="HE22">
        <v>404.392</v>
      </c>
      <c r="HF22">
        <v>16.717600000000001</v>
      </c>
      <c r="HG22">
        <v>97.719099999999997</v>
      </c>
      <c r="HH22">
        <v>94.298500000000004</v>
      </c>
    </row>
    <row r="23" spans="1:216" x14ac:dyDescent="0.6">
      <c r="A23">
        <v>7</v>
      </c>
      <c r="B23">
        <v>1791090655</v>
      </c>
      <c r="C23">
        <v>884</v>
      </c>
      <c r="D23" t="s">
        <v>367</v>
      </c>
      <c r="E23" t="s">
        <v>368</v>
      </c>
      <c r="F23">
        <v>5</v>
      </c>
      <c r="G23">
        <v>1791090651.5</v>
      </c>
      <c r="H23">
        <f t="shared" si="0"/>
        <v>4.4185466690662067E-3</v>
      </c>
      <c r="I23">
        <f t="shared" si="1"/>
        <v>4.418546669066207</v>
      </c>
      <c r="J23">
        <f t="shared" si="2"/>
        <v>4.3632032484888894</v>
      </c>
      <c r="K23">
        <f t="shared" si="3"/>
        <v>399.99933333333303</v>
      </c>
      <c r="L23">
        <f t="shared" si="4"/>
        <v>370.84240137441719</v>
      </c>
      <c r="M23">
        <f t="shared" si="5"/>
        <v>37.456625589325306</v>
      </c>
      <c r="N23">
        <f t="shared" si="6"/>
        <v>40.401597037225883</v>
      </c>
      <c r="O23">
        <f t="shared" si="7"/>
        <v>0.35117002347251119</v>
      </c>
      <c r="P23">
        <f t="shared" si="8"/>
        <v>3.0284618064572708</v>
      </c>
      <c r="Q23">
        <f t="shared" si="9"/>
        <v>0.33001457564845066</v>
      </c>
      <c r="R23">
        <f t="shared" si="10"/>
        <v>0.20805355469744435</v>
      </c>
      <c r="S23">
        <f t="shared" si="11"/>
        <v>16.512473150753962</v>
      </c>
      <c r="T23">
        <f t="shared" si="12"/>
        <v>25.039962136093887</v>
      </c>
      <c r="U23">
        <f t="shared" si="13"/>
        <v>24.9986</v>
      </c>
      <c r="V23">
        <f t="shared" si="14"/>
        <v>3.1794122023741576</v>
      </c>
      <c r="W23">
        <f t="shared" si="15"/>
        <v>54.951099830392678</v>
      </c>
      <c r="X23">
        <f t="shared" si="16"/>
        <v>1.8608148074989337</v>
      </c>
      <c r="Y23">
        <f t="shared" si="17"/>
        <v>3.3863103982310889</v>
      </c>
      <c r="Z23">
        <f t="shared" si="18"/>
        <v>1.3185973948752239</v>
      </c>
      <c r="AA23">
        <f t="shared" si="19"/>
        <v>-194.85790810581972</v>
      </c>
      <c r="AB23">
        <f t="shared" si="20"/>
        <v>173.33877627249609</v>
      </c>
      <c r="AC23">
        <f t="shared" si="21"/>
        <v>12.171600126690279</v>
      </c>
      <c r="AD23">
        <f t="shared" si="22"/>
        <v>7.1649414441206147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53598.376469567607</v>
      </c>
      <c r="AJ23" t="s">
        <v>343</v>
      </c>
      <c r="AK23">
        <v>8129.77</v>
      </c>
      <c r="AL23">
        <v>256.581730769231</v>
      </c>
      <c r="AM23">
        <v>1007.16258349372</v>
      </c>
      <c r="AN23">
        <f t="shared" si="26"/>
        <v>0.74524298760267549</v>
      </c>
      <c r="AO23">
        <v>-2.1413844498153298</v>
      </c>
      <c r="AP23" t="s">
        <v>369</v>
      </c>
      <c r="AQ23">
        <v>8138.59</v>
      </c>
      <c r="AR23">
        <v>275.39580000000001</v>
      </c>
      <c r="AS23">
        <v>898.31118204563495</v>
      </c>
      <c r="AT23">
        <f t="shared" si="27"/>
        <v>0.69342939784756052</v>
      </c>
      <c r="AU23">
        <v>0.5</v>
      </c>
      <c r="AV23">
        <f t="shared" si="28"/>
        <v>84.300404513343764</v>
      </c>
      <c r="AW23">
        <f t="shared" si="29"/>
        <v>4.3632032484888894</v>
      </c>
      <c r="AX23">
        <f t="shared" si="30"/>
        <v>29.228189369996869</v>
      </c>
      <c r="AY23">
        <f t="shared" si="31"/>
        <v>7.7159626170887702E-2</v>
      </c>
      <c r="AZ23">
        <f t="shared" si="32"/>
        <v>0.12117337914040943</v>
      </c>
      <c r="BA23">
        <f t="shared" si="33"/>
        <v>248.89829804021707</v>
      </c>
      <c r="BB23" t="s">
        <v>345</v>
      </c>
      <c r="BC23">
        <v>0</v>
      </c>
      <c r="BD23">
        <f t="shared" si="34"/>
        <v>248.89829804021707</v>
      </c>
      <c r="BE23">
        <f t="shared" si="35"/>
        <v>0.72292641679754488</v>
      </c>
      <c r="BF23">
        <f t="shared" si="36"/>
        <v>0.9591977575246845</v>
      </c>
      <c r="BG23">
        <f t="shared" si="37"/>
        <v>0.1435533804456888</v>
      </c>
      <c r="BH23">
        <f t="shared" si="38"/>
        <v>0.97068224125704727</v>
      </c>
      <c r="BI23">
        <f t="shared" si="39"/>
        <v>0.14502288601284169</v>
      </c>
      <c r="BJ23">
        <f t="shared" si="40"/>
        <v>0.86690751758700313</v>
      </c>
      <c r="BK23">
        <f t="shared" si="41"/>
        <v>0.13309248241299687</v>
      </c>
      <c r="BL23">
        <v>115</v>
      </c>
      <c r="BM23">
        <v>290</v>
      </c>
      <c r="BN23">
        <v>849.04</v>
      </c>
      <c r="BO23">
        <v>165</v>
      </c>
      <c r="BP23">
        <v>8138.59</v>
      </c>
      <c r="BQ23">
        <v>849.39</v>
      </c>
      <c r="BR23">
        <v>-0.35</v>
      </c>
      <c r="BS23">
        <v>300</v>
      </c>
      <c r="BT23">
        <v>19.100000000000001</v>
      </c>
      <c r="BU23">
        <v>898.31118204563495</v>
      </c>
      <c r="BV23">
        <v>2.2699699616956601</v>
      </c>
      <c r="BW23">
        <v>-39.811084388941403</v>
      </c>
      <c r="BX23">
        <v>1.65424459918099</v>
      </c>
      <c r="BY23">
        <v>0.95388466835927999</v>
      </c>
      <c r="BZ23">
        <v>-5.31847808676308E-3</v>
      </c>
      <c r="CA23">
        <v>290</v>
      </c>
      <c r="CB23">
        <v>841.88</v>
      </c>
      <c r="CC23">
        <v>615</v>
      </c>
      <c r="CD23">
        <v>8130.07</v>
      </c>
      <c r="CE23">
        <v>849.34</v>
      </c>
      <c r="CF23">
        <v>-7.46</v>
      </c>
      <c r="CT23">
        <f t="shared" si="42"/>
        <v>100.018683333333</v>
      </c>
      <c r="CU23">
        <f t="shared" si="43"/>
        <v>84.300404513343764</v>
      </c>
      <c r="CV23">
        <f t="shared" si="44"/>
        <v>0.84284657329866253</v>
      </c>
      <c r="CW23">
        <f t="shared" si="45"/>
        <v>0.16509388646641868</v>
      </c>
      <c r="CX23">
        <v>2</v>
      </c>
      <c r="CY23">
        <v>0.5</v>
      </c>
      <c r="CZ23" t="s">
        <v>346</v>
      </c>
      <c r="DA23">
        <v>2</v>
      </c>
      <c r="DB23">
        <v>1791090651.5</v>
      </c>
      <c r="DC23">
        <v>399.99933333333303</v>
      </c>
      <c r="DD23">
        <v>402.45150000000001</v>
      </c>
      <c r="DE23">
        <v>18.42315</v>
      </c>
      <c r="DF23">
        <v>16.68835</v>
      </c>
      <c r="DG23">
        <v>400.25816666666702</v>
      </c>
      <c r="DH23">
        <v>18.588083333333302</v>
      </c>
      <c r="DI23">
        <v>500.01650000000001</v>
      </c>
      <c r="DJ23">
        <v>100.904333333333</v>
      </c>
      <c r="DK23">
        <v>9.9827600000000002E-2</v>
      </c>
      <c r="DL23">
        <v>26.060266666666699</v>
      </c>
      <c r="DM23">
        <v>24.9986</v>
      </c>
      <c r="DN23">
        <v>999.9</v>
      </c>
      <c r="DO23">
        <v>0</v>
      </c>
      <c r="DP23">
        <v>0</v>
      </c>
      <c r="DQ23">
        <v>10014.6833333333</v>
      </c>
      <c r="DR23">
        <v>0</v>
      </c>
      <c r="DS23">
        <v>8.9218600000000006</v>
      </c>
      <c r="DT23">
        <v>100.018683333333</v>
      </c>
      <c r="DU23">
        <v>0.900084</v>
      </c>
      <c r="DV23">
        <v>9.9916133333333296E-2</v>
      </c>
      <c r="DW23">
        <v>0</v>
      </c>
      <c r="DX23">
        <v>275.08850000000001</v>
      </c>
      <c r="DY23">
        <v>4.9999900000000004</v>
      </c>
      <c r="DZ23">
        <v>263.60599999999999</v>
      </c>
      <c r="EA23">
        <v>923.24066666666704</v>
      </c>
      <c r="EB23">
        <v>35.375</v>
      </c>
      <c r="EC23">
        <v>38.75</v>
      </c>
      <c r="ED23">
        <v>37.125</v>
      </c>
      <c r="EE23">
        <v>38.5</v>
      </c>
      <c r="EF23">
        <v>37.811999999999998</v>
      </c>
      <c r="EG23">
        <v>85.525000000000006</v>
      </c>
      <c r="EH23">
        <v>9.49</v>
      </c>
      <c r="EI23">
        <v>0</v>
      </c>
      <c r="EJ23">
        <v>127.09999990463299</v>
      </c>
      <c r="EK23">
        <v>0</v>
      </c>
      <c r="EL23">
        <v>275.39580000000001</v>
      </c>
      <c r="EM23">
        <v>7.6000009366023996E-2</v>
      </c>
      <c r="EN23">
        <v>-0.38261540773809499</v>
      </c>
      <c r="EO23">
        <v>263.36207999999999</v>
      </c>
      <c r="EP23">
        <v>15</v>
      </c>
      <c r="EQ23">
        <v>1791090595</v>
      </c>
      <c r="ER23" t="s">
        <v>370</v>
      </c>
      <c r="ES23">
        <v>1791090590</v>
      </c>
      <c r="ET23">
        <v>1791090595</v>
      </c>
      <c r="EU23">
        <v>35</v>
      </c>
      <c r="EV23">
        <v>1.2999999999999999E-2</v>
      </c>
      <c r="EW23">
        <v>-1E-3</v>
      </c>
      <c r="EX23">
        <v>-0.255</v>
      </c>
      <c r="EY23">
        <v>-0.17199999999999999</v>
      </c>
      <c r="EZ23">
        <v>402</v>
      </c>
      <c r="FA23">
        <v>17</v>
      </c>
      <c r="FB23">
        <v>0.38</v>
      </c>
      <c r="FC23">
        <v>0.06</v>
      </c>
      <c r="FD23">
        <v>4.3700187814019502</v>
      </c>
      <c r="FE23">
        <v>0.50340511695277501</v>
      </c>
      <c r="FF23">
        <v>8.9554621714851998E-2</v>
      </c>
      <c r="FG23">
        <v>1</v>
      </c>
      <c r="FH23">
        <v>-2.4629020000000001</v>
      </c>
      <c r="FI23">
        <v>4.4156390977438901E-3</v>
      </c>
      <c r="FJ23">
        <v>2.77225486923551E-2</v>
      </c>
      <c r="FK23">
        <v>1</v>
      </c>
      <c r="FL23">
        <v>275.34602941176502</v>
      </c>
      <c r="FM23">
        <v>0.60120703080441795</v>
      </c>
      <c r="FN23">
        <v>0.35211307385839802</v>
      </c>
      <c r="FO23">
        <v>1</v>
      </c>
      <c r="FP23">
        <v>3</v>
      </c>
      <c r="FQ23">
        <v>3</v>
      </c>
      <c r="FR23" t="s">
        <v>348</v>
      </c>
      <c r="FS23">
        <v>100</v>
      </c>
      <c r="FT23">
        <v>100</v>
      </c>
      <c r="FU23">
        <v>-0.25800000000000001</v>
      </c>
      <c r="FV23">
        <v>-0.16500000000000001</v>
      </c>
      <c r="FW23">
        <v>-0.68307079989395703</v>
      </c>
      <c r="FX23">
        <v>7.6835882421071803E-4</v>
      </c>
      <c r="FY23">
        <v>7.9312579872174805E-7</v>
      </c>
      <c r="FZ23">
        <v>-1.5433145656851401E-10</v>
      </c>
      <c r="GA23">
        <v>-1.8971673660256001E-2</v>
      </c>
      <c r="GB23">
        <v>-2.1578312386681502E-2</v>
      </c>
      <c r="GC23">
        <v>7.7134661959739901E-4</v>
      </c>
      <c r="GD23">
        <v>-1.7684492548540801E-6</v>
      </c>
      <c r="GE23">
        <v>4</v>
      </c>
      <c r="GF23">
        <v>2093</v>
      </c>
      <c r="GG23">
        <v>1</v>
      </c>
      <c r="GH23">
        <v>31</v>
      </c>
      <c r="GI23">
        <v>1.1000000000000001</v>
      </c>
      <c r="GJ23">
        <v>1</v>
      </c>
      <c r="GK23">
        <v>1.0424800000000001</v>
      </c>
      <c r="GL23">
        <v>2.64771</v>
      </c>
      <c r="GM23">
        <v>1.65161</v>
      </c>
      <c r="GN23">
        <v>2.2827099999999998</v>
      </c>
      <c r="GO23">
        <v>1.5979000000000001</v>
      </c>
      <c r="GP23">
        <v>2.6440399999999999</v>
      </c>
      <c r="GQ23">
        <v>39.918399999999998</v>
      </c>
      <c r="GR23">
        <v>23.780999999999999</v>
      </c>
      <c r="GS23">
        <v>18</v>
      </c>
      <c r="GT23">
        <v>508.69400000000002</v>
      </c>
      <c r="GU23">
        <v>498.71800000000002</v>
      </c>
      <c r="GV23">
        <v>23.686800000000002</v>
      </c>
      <c r="GW23">
        <v>31.252099999999999</v>
      </c>
      <c r="GX23">
        <v>30.0001</v>
      </c>
      <c r="GY23">
        <v>31.379300000000001</v>
      </c>
      <c r="GZ23">
        <v>31.4314</v>
      </c>
      <c r="HA23">
        <v>20.8584</v>
      </c>
      <c r="HB23">
        <v>30.218</v>
      </c>
      <c r="HC23">
        <v>0</v>
      </c>
      <c r="HD23">
        <v>23.688400000000001</v>
      </c>
      <c r="HE23">
        <v>402.52800000000002</v>
      </c>
      <c r="HF23">
        <v>16.741099999999999</v>
      </c>
      <c r="HG23">
        <v>97.715900000000005</v>
      </c>
      <c r="HH23">
        <v>94.297700000000006</v>
      </c>
    </row>
    <row r="24" spans="1:216" x14ac:dyDescent="0.6">
      <c r="A24">
        <v>8</v>
      </c>
      <c r="B24">
        <v>1791090786</v>
      </c>
      <c r="C24">
        <v>1015</v>
      </c>
      <c r="D24" t="s">
        <v>371</v>
      </c>
      <c r="E24" t="s">
        <v>372</v>
      </c>
      <c r="F24">
        <v>5</v>
      </c>
      <c r="G24">
        <v>1791090782.5</v>
      </c>
      <c r="H24">
        <f t="shared" si="0"/>
        <v>4.1310321892325166E-3</v>
      </c>
      <c r="I24">
        <f t="shared" si="1"/>
        <v>4.1310321892325161</v>
      </c>
      <c r="J24">
        <f t="shared" si="2"/>
        <v>1.6850142283283518</v>
      </c>
      <c r="K24">
        <f t="shared" si="3"/>
        <v>399.99933333333303</v>
      </c>
      <c r="L24">
        <f t="shared" si="4"/>
        <v>383.02104016038254</v>
      </c>
      <c r="M24">
        <f t="shared" si="5"/>
        <v>38.68849008116328</v>
      </c>
      <c r="N24">
        <f t="shared" si="6"/>
        <v>40.403446854142985</v>
      </c>
      <c r="O24">
        <f t="shared" si="7"/>
        <v>0.3271399298419001</v>
      </c>
      <c r="P24">
        <f t="shared" si="8"/>
        <v>3.027645958685433</v>
      </c>
      <c r="Q24">
        <f t="shared" si="9"/>
        <v>0.30869444107380062</v>
      </c>
      <c r="R24">
        <f t="shared" si="10"/>
        <v>0.19450455817627799</v>
      </c>
      <c r="S24">
        <f t="shared" si="11"/>
        <v>8.2432756597387709</v>
      </c>
      <c r="T24">
        <f t="shared" si="12"/>
        <v>25.042527395534147</v>
      </c>
      <c r="U24">
        <f t="shared" si="13"/>
        <v>25.003450000000001</v>
      </c>
      <c r="V24">
        <f t="shared" si="14"/>
        <v>3.1803316634914345</v>
      </c>
      <c r="W24">
        <f t="shared" si="15"/>
        <v>55.069238500052187</v>
      </c>
      <c r="X24">
        <f t="shared" si="16"/>
        <v>1.8623461153894458</v>
      </c>
      <c r="Y24">
        <f t="shared" si="17"/>
        <v>3.3818265262332998</v>
      </c>
      <c r="Z24">
        <f t="shared" si="18"/>
        <v>1.3179855481019886</v>
      </c>
      <c r="AA24">
        <f t="shared" si="19"/>
        <v>-182.17851954515399</v>
      </c>
      <c r="AB24">
        <f t="shared" si="20"/>
        <v>168.84415920847798</v>
      </c>
      <c r="AC24">
        <f t="shared" si="21"/>
        <v>11.858141716913847</v>
      </c>
      <c r="AD24">
        <f t="shared" si="22"/>
        <v>6.7670570399766063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53577.155613764895</v>
      </c>
      <c r="AJ24" t="s">
        <v>343</v>
      </c>
      <c r="AK24">
        <v>8129.77</v>
      </c>
      <c r="AL24">
        <v>256.581730769231</v>
      </c>
      <c r="AM24">
        <v>1007.16258349372</v>
      </c>
      <c r="AN24">
        <f t="shared" si="26"/>
        <v>0.74524298760267549</v>
      </c>
      <c r="AO24">
        <v>-2.1413844498153298</v>
      </c>
      <c r="AP24" t="s">
        <v>373</v>
      </c>
      <c r="AQ24">
        <v>8130.8</v>
      </c>
      <c r="AR24">
        <v>268.43455999999998</v>
      </c>
      <c r="AS24">
        <v>945.83064338830195</v>
      </c>
      <c r="AT24">
        <f t="shared" si="27"/>
        <v>0.71619172853358626</v>
      </c>
      <c r="AU24">
        <v>0.5</v>
      </c>
      <c r="AV24">
        <f t="shared" si="28"/>
        <v>42.147885440279147</v>
      </c>
      <c r="AW24">
        <f t="shared" si="29"/>
        <v>1.6850142283283518</v>
      </c>
      <c r="AX24">
        <f t="shared" si="30"/>
        <v>15.092983463754548</v>
      </c>
      <c r="AY24">
        <f t="shared" si="31"/>
        <v>9.0785068768525615E-2</v>
      </c>
      <c r="AZ24">
        <f t="shared" si="32"/>
        <v>6.4844526379167891E-2</v>
      </c>
      <c r="BA24">
        <f t="shared" si="33"/>
        <v>252.41198627340049</v>
      </c>
      <c r="BB24" t="s">
        <v>345</v>
      </c>
      <c r="BC24">
        <v>0</v>
      </c>
      <c r="BD24">
        <f t="shared" si="34"/>
        <v>252.41198627340049</v>
      </c>
      <c r="BE24">
        <f t="shared" si="35"/>
        <v>0.73313194276602101</v>
      </c>
      <c r="BF24">
        <f t="shared" si="36"/>
        <v>0.97689336223910628</v>
      </c>
      <c r="BG24">
        <f t="shared" si="37"/>
        <v>8.1261201158764562E-2</v>
      </c>
      <c r="BH24">
        <f t="shared" si="38"/>
        <v>0.9828032674208661</v>
      </c>
      <c r="BI24">
        <f t="shared" si="39"/>
        <v>8.1712636130795116E-2</v>
      </c>
      <c r="BJ24">
        <f t="shared" si="40"/>
        <v>0.91858363520730479</v>
      </c>
      <c r="BK24">
        <f t="shared" si="41"/>
        <v>8.1416364792695206E-2</v>
      </c>
      <c r="BL24">
        <v>116</v>
      </c>
      <c r="BM24">
        <v>290</v>
      </c>
      <c r="BN24">
        <v>893.64</v>
      </c>
      <c r="BO24">
        <v>265</v>
      </c>
      <c r="BP24">
        <v>8130.8</v>
      </c>
      <c r="BQ24">
        <v>894.23</v>
      </c>
      <c r="BR24">
        <v>-0.59</v>
      </c>
      <c r="BS24">
        <v>300</v>
      </c>
      <c r="BT24">
        <v>19.100000000000001</v>
      </c>
      <c r="BU24">
        <v>945.83064338830195</v>
      </c>
      <c r="BV24">
        <v>2.60548038744618</v>
      </c>
      <c r="BW24">
        <v>-41.9568767287779</v>
      </c>
      <c r="BX24">
        <v>1.89644604422581</v>
      </c>
      <c r="BY24">
        <v>0.94589049378449397</v>
      </c>
      <c r="BZ24">
        <v>-5.3496874304783202E-3</v>
      </c>
      <c r="CA24">
        <v>290</v>
      </c>
      <c r="CB24">
        <v>883.77</v>
      </c>
      <c r="CC24">
        <v>665</v>
      </c>
      <c r="CD24">
        <v>8125.38</v>
      </c>
      <c r="CE24">
        <v>894.19</v>
      </c>
      <c r="CF24">
        <v>-10.42</v>
      </c>
      <c r="CT24">
        <f t="shared" si="42"/>
        <v>50.015149999999998</v>
      </c>
      <c r="CU24">
        <f t="shared" si="43"/>
        <v>42.147885440279147</v>
      </c>
      <c r="CV24">
        <f t="shared" si="44"/>
        <v>0.84270236998747683</v>
      </c>
      <c r="CW24">
        <f t="shared" si="45"/>
        <v>0.16481557407583045</v>
      </c>
      <c r="CX24">
        <v>2</v>
      </c>
      <c r="CY24">
        <v>0.5</v>
      </c>
      <c r="CZ24" t="s">
        <v>346</v>
      </c>
      <c r="DA24">
        <v>2</v>
      </c>
      <c r="DB24">
        <v>1791090782.5</v>
      </c>
      <c r="DC24">
        <v>399.99933333333303</v>
      </c>
      <c r="DD24">
        <v>401.33433333333301</v>
      </c>
      <c r="DE24">
        <v>18.437466666666701</v>
      </c>
      <c r="DF24">
        <v>16.815483333333301</v>
      </c>
      <c r="DG24">
        <v>400.29649999999998</v>
      </c>
      <c r="DH24">
        <v>18.6039666666667</v>
      </c>
      <c r="DI24">
        <v>499.98866666666697</v>
      </c>
      <c r="DJ24">
        <v>100.90900000000001</v>
      </c>
      <c r="DK24">
        <v>9.97854833333333E-2</v>
      </c>
      <c r="DL24">
        <v>26.037866666666702</v>
      </c>
      <c r="DM24">
        <v>25.003450000000001</v>
      </c>
      <c r="DN24">
        <v>999.9</v>
      </c>
      <c r="DO24">
        <v>0</v>
      </c>
      <c r="DP24">
        <v>0</v>
      </c>
      <c r="DQ24">
        <v>10009.2833333333</v>
      </c>
      <c r="DR24">
        <v>0</v>
      </c>
      <c r="DS24">
        <v>8.8653899999999997</v>
      </c>
      <c r="DT24">
        <v>50.015149999999998</v>
      </c>
      <c r="DU24">
        <v>0.89986983333333304</v>
      </c>
      <c r="DV24">
        <v>0.100130433333333</v>
      </c>
      <c r="DW24">
        <v>0</v>
      </c>
      <c r="DX24">
        <v>268.660666666667</v>
      </c>
      <c r="DY24">
        <v>4.9999900000000004</v>
      </c>
      <c r="DZ24">
        <v>119.79066666666699</v>
      </c>
      <c r="EA24">
        <v>437.355166666667</v>
      </c>
      <c r="EB24">
        <v>35.051666666666698</v>
      </c>
      <c r="EC24">
        <v>38.530999999999999</v>
      </c>
      <c r="ED24">
        <v>36.811999999999998</v>
      </c>
      <c r="EE24">
        <v>38.2603333333333</v>
      </c>
      <c r="EF24">
        <v>37.5</v>
      </c>
      <c r="EG24">
        <v>40.506666666666703</v>
      </c>
      <c r="EH24">
        <v>4.5049999999999999</v>
      </c>
      <c r="EI24">
        <v>0</v>
      </c>
      <c r="EJ24">
        <v>129.700000047684</v>
      </c>
      <c r="EK24">
        <v>0</v>
      </c>
      <c r="EL24">
        <v>268.43455999999998</v>
      </c>
      <c r="EM24">
        <v>2.58569232706034</v>
      </c>
      <c r="EN24">
        <v>3.36153461763413E-2</v>
      </c>
      <c r="EO24">
        <v>119.80352000000001</v>
      </c>
      <c r="EP24">
        <v>15</v>
      </c>
      <c r="EQ24">
        <v>1791090728</v>
      </c>
      <c r="ER24" t="s">
        <v>374</v>
      </c>
      <c r="ES24">
        <v>1791090728</v>
      </c>
      <c r="ET24">
        <v>1791090721</v>
      </c>
      <c r="EU24">
        <v>36</v>
      </c>
      <c r="EV24">
        <v>-3.9E-2</v>
      </c>
      <c r="EW24">
        <v>-2E-3</v>
      </c>
      <c r="EX24">
        <v>-0.29499999999999998</v>
      </c>
      <c r="EY24">
        <v>-0.17299999999999999</v>
      </c>
      <c r="EZ24">
        <v>401</v>
      </c>
      <c r="FA24">
        <v>17</v>
      </c>
      <c r="FB24">
        <v>0.31</v>
      </c>
      <c r="FC24">
        <v>0.04</v>
      </c>
      <c r="FD24">
        <v>1.6040014907917799</v>
      </c>
      <c r="FE24">
        <v>0.15455354857670101</v>
      </c>
      <c r="FF24">
        <v>7.2433398618474504E-2</v>
      </c>
      <c r="FG24">
        <v>1</v>
      </c>
      <c r="FH24">
        <v>-1.31964619047619</v>
      </c>
      <c r="FI24">
        <v>4.2973246753246902E-2</v>
      </c>
      <c r="FJ24">
        <v>3.5808578577950299E-2</v>
      </c>
      <c r="FK24">
        <v>1</v>
      </c>
      <c r="FL24">
        <v>268.29570588235299</v>
      </c>
      <c r="FM24">
        <v>0.994927436128342</v>
      </c>
      <c r="FN24">
        <v>0.40563265976900698</v>
      </c>
      <c r="FO24">
        <v>1</v>
      </c>
      <c r="FP24">
        <v>3</v>
      </c>
      <c r="FQ24">
        <v>3</v>
      </c>
      <c r="FR24" t="s">
        <v>348</v>
      </c>
      <c r="FS24">
        <v>100</v>
      </c>
      <c r="FT24">
        <v>100</v>
      </c>
      <c r="FU24">
        <v>-0.29799999999999999</v>
      </c>
      <c r="FV24">
        <v>-0.16650000000000001</v>
      </c>
      <c r="FW24">
        <v>-0.72194999168412599</v>
      </c>
      <c r="FX24">
        <v>7.6835882421071803E-4</v>
      </c>
      <c r="FY24">
        <v>7.9312579872174805E-7</v>
      </c>
      <c r="FZ24">
        <v>-1.5433145656851401E-10</v>
      </c>
      <c r="GA24">
        <v>-2.06122002794452E-2</v>
      </c>
      <c r="GB24">
        <v>-2.1578312386681502E-2</v>
      </c>
      <c r="GC24">
        <v>7.7134661959739901E-4</v>
      </c>
      <c r="GD24">
        <v>-1.7684492548540801E-6</v>
      </c>
      <c r="GE24">
        <v>4</v>
      </c>
      <c r="GF24">
        <v>2093</v>
      </c>
      <c r="GG24">
        <v>1</v>
      </c>
      <c r="GH24">
        <v>31</v>
      </c>
      <c r="GI24">
        <v>1</v>
      </c>
      <c r="GJ24">
        <v>1.1000000000000001</v>
      </c>
      <c r="GK24">
        <v>1.0412600000000001</v>
      </c>
      <c r="GL24">
        <v>2.65869</v>
      </c>
      <c r="GM24">
        <v>1.65161</v>
      </c>
      <c r="GN24">
        <v>2.2839399999999999</v>
      </c>
      <c r="GO24">
        <v>1.5979000000000001</v>
      </c>
      <c r="GP24">
        <v>2.4597199999999999</v>
      </c>
      <c r="GQ24">
        <v>39.968899999999998</v>
      </c>
      <c r="GR24">
        <v>23.772300000000001</v>
      </c>
      <c r="GS24">
        <v>18</v>
      </c>
      <c r="GT24">
        <v>508.541</v>
      </c>
      <c r="GU24">
        <v>498.68099999999998</v>
      </c>
      <c r="GV24">
        <v>23.6769</v>
      </c>
      <c r="GW24">
        <v>31.2881</v>
      </c>
      <c r="GX24">
        <v>30.0002</v>
      </c>
      <c r="GY24">
        <v>31.409300000000002</v>
      </c>
      <c r="GZ24">
        <v>31.461099999999998</v>
      </c>
      <c r="HA24">
        <v>20.814699999999998</v>
      </c>
      <c r="HB24">
        <v>29.733799999999999</v>
      </c>
      <c r="HC24">
        <v>0</v>
      </c>
      <c r="HD24">
        <v>23.6753</v>
      </c>
      <c r="HE24">
        <v>401.27499999999998</v>
      </c>
      <c r="HF24">
        <v>16.775700000000001</v>
      </c>
      <c r="HG24">
        <v>97.706800000000001</v>
      </c>
      <c r="HH24">
        <v>94.287499999999994</v>
      </c>
    </row>
    <row r="25" spans="1:216" x14ac:dyDescent="0.6">
      <c r="A25">
        <v>9</v>
      </c>
      <c r="B25">
        <v>1791090922.0999999</v>
      </c>
      <c r="C25">
        <v>1151.0999999046301</v>
      </c>
      <c r="D25" t="s">
        <v>375</v>
      </c>
      <c r="E25" t="s">
        <v>376</v>
      </c>
      <c r="F25">
        <v>5</v>
      </c>
      <c r="G25">
        <v>1791090918.5999999</v>
      </c>
      <c r="H25">
        <f t="shared" si="0"/>
        <v>4.0738590696753696E-3</v>
      </c>
      <c r="I25">
        <f t="shared" si="1"/>
        <v>4.07385906967537</v>
      </c>
      <c r="J25">
        <f t="shared" si="2"/>
        <v>-1.887608666147768</v>
      </c>
      <c r="K25">
        <f t="shared" si="3"/>
        <v>400.03449999999998</v>
      </c>
      <c r="L25">
        <f t="shared" si="4"/>
        <v>401.36898200959507</v>
      </c>
      <c r="M25">
        <f t="shared" si="5"/>
        <v>40.541567171844484</v>
      </c>
      <c r="N25">
        <f t="shared" si="6"/>
        <v>40.406773516986718</v>
      </c>
      <c r="O25">
        <f t="shared" si="7"/>
        <v>0.32138036879863058</v>
      </c>
      <c r="P25">
        <f t="shared" si="8"/>
        <v>3.0264555344706374</v>
      </c>
      <c r="Q25">
        <f t="shared" si="9"/>
        <v>0.30355307399755543</v>
      </c>
      <c r="R25">
        <f t="shared" si="10"/>
        <v>0.19123992866572811</v>
      </c>
      <c r="S25">
        <f t="shared" si="11"/>
        <v>6.3839361601596015E-4</v>
      </c>
      <c r="T25">
        <f t="shared" si="12"/>
        <v>24.977538026435258</v>
      </c>
      <c r="U25">
        <f t="shared" si="13"/>
        <v>25.0017666666667</v>
      </c>
      <c r="V25">
        <f t="shared" si="14"/>
        <v>3.1800125114865625</v>
      </c>
      <c r="W25">
        <f t="shared" si="15"/>
        <v>55.051206363108207</v>
      </c>
      <c r="X25">
        <f t="shared" si="16"/>
        <v>1.8582314223641971</v>
      </c>
      <c r="Y25">
        <f t="shared" si="17"/>
        <v>3.3754599492472974</v>
      </c>
      <c r="Z25">
        <f t="shared" si="18"/>
        <v>1.3217810891223654</v>
      </c>
      <c r="AA25">
        <f t="shared" si="19"/>
        <v>-179.65718497268381</v>
      </c>
      <c r="AB25">
        <f t="shared" si="20"/>
        <v>163.85571042517196</v>
      </c>
      <c r="AC25">
        <f t="shared" si="21"/>
        <v>11.510381363246605</v>
      </c>
      <c r="AD25">
        <f t="shared" si="22"/>
        <v>-4.2904547906492212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53545.884536916186</v>
      </c>
      <c r="AJ25" t="s">
        <v>377</v>
      </c>
      <c r="AK25">
        <v>8132.16</v>
      </c>
      <c r="AL25">
        <v>260.56826923076898</v>
      </c>
      <c r="AM25">
        <v>1021.61977518023</v>
      </c>
      <c r="AN25">
        <f t="shared" si="26"/>
        <v>0.74494594215856824</v>
      </c>
      <c r="AO25">
        <v>-1.8876086661470599</v>
      </c>
      <c r="AP25" t="s">
        <v>345</v>
      </c>
      <c r="AQ25" t="s">
        <v>345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3.3599664000840005E-3</v>
      </c>
      <c r="AW25">
        <f t="shared" si="29"/>
        <v>-1.887608666147768</v>
      </c>
      <c r="AX25" t="e">
        <f t="shared" si="30"/>
        <v>#DIV/0!</v>
      </c>
      <c r="AY25">
        <f t="shared" si="31"/>
        <v>-2.1074622802425109E-10</v>
      </c>
      <c r="AZ25" t="e">
        <f t="shared" si="32"/>
        <v>#DIV/0!</v>
      </c>
      <c r="BA25" t="e">
        <f t="shared" si="33"/>
        <v>#DIV/0!</v>
      </c>
      <c r="BB25" t="s">
        <v>345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>
        <f t="shared" si="38"/>
        <v>0</v>
      </c>
      <c r="BI25">
        <f t="shared" si="39"/>
        <v>1.3423792833911987</v>
      </c>
      <c r="BJ25" t="e">
        <f t="shared" si="40"/>
        <v>#DIV/0!</v>
      </c>
      <c r="BK25" t="e">
        <f t="shared" si="41"/>
        <v>#DIV/0!</v>
      </c>
      <c r="BL25">
        <v>117</v>
      </c>
      <c r="BM25">
        <v>290</v>
      </c>
      <c r="BN25">
        <v>998.4</v>
      </c>
      <c r="BO25">
        <v>185</v>
      </c>
      <c r="BP25">
        <v>8132.16</v>
      </c>
      <c r="BQ25">
        <v>996.73</v>
      </c>
      <c r="BR25">
        <v>1.67</v>
      </c>
      <c r="BS25">
        <v>300</v>
      </c>
      <c r="BT25">
        <v>19.100000000000001</v>
      </c>
      <c r="BU25">
        <v>1021.61977518023</v>
      </c>
      <c r="BV25">
        <v>2.7367026859621499</v>
      </c>
      <c r="BW25">
        <v>-20.238360863933099</v>
      </c>
      <c r="BX25">
        <v>1.9901516023113599</v>
      </c>
      <c r="BY25">
        <v>0.78693251800012298</v>
      </c>
      <c r="BZ25">
        <v>-5.3780449388209197E-3</v>
      </c>
      <c r="CA25">
        <v>290</v>
      </c>
      <c r="CB25">
        <v>989.56</v>
      </c>
      <c r="CC25">
        <v>615</v>
      </c>
      <c r="CD25">
        <v>8124.76</v>
      </c>
      <c r="CE25">
        <v>996.71</v>
      </c>
      <c r="CF25">
        <v>-7.15</v>
      </c>
      <c r="CT25">
        <f t="shared" si="42"/>
        <v>1.9999900000000001E-2</v>
      </c>
      <c r="CU25">
        <f t="shared" si="43"/>
        <v>3.3599664000840005E-3</v>
      </c>
      <c r="CV25">
        <f t="shared" si="44"/>
        <v>0.16799916000000001</v>
      </c>
      <c r="CW25">
        <f t="shared" si="45"/>
        <v>3.1919840400000003E-2</v>
      </c>
      <c r="CX25">
        <v>2</v>
      </c>
      <c r="CY25">
        <v>0.5</v>
      </c>
      <c r="CZ25" t="s">
        <v>346</v>
      </c>
      <c r="DA25">
        <v>2</v>
      </c>
      <c r="DB25">
        <v>1791090918.5999999</v>
      </c>
      <c r="DC25">
        <v>400.03449999999998</v>
      </c>
      <c r="DD25">
        <v>399.93133333333299</v>
      </c>
      <c r="DE25">
        <v>18.396833333333301</v>
      </c>
      <c r="DF25">
        <v>16.797316666666699</v>
      </c>
      <c r="DG25">
        <v>400.28833333333301</v>
      </c>
      <c r="DH25">
        <v>18.5598833333333</v>
      </c>
      <c r="DI25">
        <v>500.01516666666703</v>
      </c>
      <c r="DJ25">
        <v>100.908166666667</v>
      </c>
      <c r="DK25">
        <v>0.100055166666667</v>
      </c>
      <c r="DL25">
        <v>26.006016666666699</v>
      </c>
      <c r="DM25">
        <v>25.0017666666667</v>
      </c>
      <c r="DN25">
        <v>999.9</v>
      </c>
      <c r="DO25">
        <v>0</v>
      </c>
      <c r="DP25">
        <v>0</v>
      </c>
      <c r="DQ25">
        <v>10002.166666666701</v>
      </c>
      <c r="DR25">
        <v>0</v>
      </c>
      <c r="DS25">
        <v>8.8089200000000005</v>
      </c>
      <c r="DT25">
        <v>1.9999900000000001E-2</v>
      </c>
      <c r="DU25">
        <v>0</v>
      </c>
      <c r="DV25">
        <v>0</v>
      </c>
      <c r="DW25">
        <v>0</v>
      </c>
      <c r="DX25">
        <v>259.22500000000002</v>
      </c>
      <c r="DY25">
        <v>1.9999900000000001E-2</v>
      </c>
      <c r="DZ25">
        <v>-16.637499999999999</v>
      </c>
      <c r="EA25">
        <v>2.8458333333333301</v>
      </c>
      <c r="EB25">
        <v>34.625</v>
      </c>
      <c r="EC25">
        <v>38.25</v>
      </c>
      <c r="ED25">
        <v>36.5</v>
      </c>
      <c r="EE25">
        <v>37.875</v>
      </c>
      <c r="EF25">
        <v>36.936999999999998</v>
      </c>
      <c r="EG25">
        <v>0</v>
      </c>
      <c r="EH25">
        <v>0</v>
      </c>
      <c r="EI25">
        <v>0</v>
      </c>
      <c r="EJ25">
        <v>134.799999952316</v>
      </c>
      <c r="EK25">
        <v>0</v>
      </c>
      <c r="EL25">
        <v>260.56826923076898</v>
      </c>
      <c r="EM25">
        <v>-7.6470084899584396</v>
      </c>
      <c r="EN25">
        <v>-9.6555556818819106</v>
      </c>
      <c r="EO25">
        <v>-14.1451923076923</v>
      </c>
      <c r="EP25">
        <v>15</v>
      </c>
      <c r="EQ25">
        <v>1791090852.0999999</v>
      </c>
      <c r="ER25" t="s">
        <v>378</v>
      </c>
      <c r="ES25">
        <v>1791090843.0999999</v>
      </c>
      <c r="ET25">
        <v>1791090852.0999999</v>
      </c>
      <c r="EU25">
        <v>37</v>
      </c>
      <c r="EV25">
        <v>4.2999999999999997E-2</v>
      </c>
      <c r="EW25">
        <v>4.0000000000000001E-3</v>
      </c>
      <c r="EX25">
        <v>-0.253</v>
      </c>
      <c r="EY25">
        <v>-0.17</v>
      </c>
      <c r="EZ25">
        <v>401</v>
      </c>
      <c r="FA25">
        <v>17</v>
      </c>
      <c r="FB25">
        <v>0.28000000000000003</v>
      </c>
      <c r="FC25">
        <v>0.05</v>
      </c>
      <c r="FD25">
        <v>-1.8079106551193</v>
      </c>
      <c r="FE25">
        <v>-0.29657136125654998</v>
      </c>
      <c r="FF25">
        <v>6.2146753494368101E-2</v>
      </c>
      <c r="FG25">
        <v>1</v>
      </c>
      <c r="FH25">
        <v>7.6567099999999999E-2</v>
      </c>
      <c r="FI25">
        <v>0.13767218345864601</v>
      </c>
      <c r="FJ25">
        <v>2.5601582986760799E-2</v>
      </c>
      <c r="FK25">
        <v>1</v>
      </c>
      <c r="FL25">
        <v>261.43823529411799</v>
      </c>
      <c r="FM25">
        <v>-0.401833419199562</v>
      </c>
      <c r="FN25">
        <v>5.9689152973542496</v>
      </c>
      <c r="FO25">
        <v>1</v>
      </c>
      <c r="FP25">
        <v>3</v>
      </c>
      <c r="FQ25">
        <v>3</v>
      </c>
      <c r="FR25" t="s">
        <v>348</v>
      </c>
      <c r="FS25">
        <v>100</v>
      </c>
      <c r="FT25">
        <v>100</v>
      </c>
      <c r="FU25">
        <v>-0.254</v>
      </c>
      <c r="FV25">
        <v>-0.16300000000000001</v>
      </c>
      <c r="FW25">
        <v>-0.67843167592936604</v>
      </c>
      <c r="FX25">
        <v>7.6835882421071803E-4</v>
      </c>
      <c r="FY25">
        <v>7.9312579872174805E-7</v>
      </c>
      <c r="FZ25">
        <v>-1.5433145656851401E-10</v>
      </c>
      <c r="GA25">
        <v>-1.69379537658331E-2</v>
      </c>
      <c r="GB25">
        <v>-2.1578312386681502E-2</v>
      </c>
      <c r="GC25">
        <v>7.7134661959739901E-4</v>
      </c>
      <c r="GD25">
        <v>-1.7684492548540801E-6</v>
      </c>
      <c r="GE25">
        <v>4</v>
      </c>
      <c r="GF25">
        <v>2093</v>
      </c>
      <c r="GG25">
        <v>1</v>
      </c>
      <c r="GH25">
        <v>31</v>
      </c>
      <c r="GI25">
        <v>1.3</v>
      </c>
      <c r="GJ25">
        <v>1.2</v>
      </c>
      <c r="GK25">
        <v>1.0388200000000001</v>
      </c>
      <c r="GL25">
        <v>2.66235</v>
      </c>
      <c r="GM25">
        <v>1.65161</v>
      </c>
      <c r="GN25">
        <v>2.2814899999999998</v>
      </c>
      <c r="GO25">
        <v>1.5979000000000001</v>
      </c>
      <c r="GP25">
        <v>2.5268600000000001</v>
      </c>
      <c r="GQ25">
        <v>39.994199999999999</v>
      </c>
      <c r="GR25">
        <v>23.780999999999999</v>
      </c>
      <c r="GS25">
        <v>18</v>
      </c>
      <c r="GT25">
        <v>508.67399999999998</v>
      </c>
      <c r="GU25">
        <v>498.55099999999999</v>
      </c>
      <c r="GV25">
        <v>23.8249</v>
      </c>
      <c r="GW25">
        <v>31.314900000000002</v>
      </c>
      <c r="GX25">
        <v>30.0002</v>
      </c>
      <c r="GY25">
        <v>31.436399999999999</v>
      </c>
      <c r="GZ25">
        <v>31.4862</v>
      </c>
      <c r="HA25">
        <v>20.763500000000001</v>
      </c>
      <c r="HB25">
        <v>29.712499999999999</v>
      </c>
      <c r="HC25">
        <v>0</v>
      </c>
      <c r="HD25">
        <v>23.726600000000001</v>
      </c>
      <c r="HE25">
        <v>399.97399999999999</v>
      </c>
      <c r="HF25">
        <v>16.788399999999999</v>
      </c>
      <c r="HG25">
        <v>97.701300000000003</v>
      </c>
      <c r="HH25">
        <v>94.282200000000003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899999999999999" x14ac:dyDescent="0.6"/>
  <sheetData>
    <row r="1" spans="1:2" x14ac:dyDescent="0.6">
      <c r="A1" t="s">
        <v>0</v>
      </c>
      <c r="B1" t="s">
        <v>1</v>
      </c>
    </row>
    <row r="2" spans="1:2" x14ac:dyDescent="0.6">
      <c r="A2" t="s">
        <v>2</v>
      </c>
      <c r="B2" t="s">
        <v>3</v>
      </c>
    </row>
    <row r="3" spans="1:2" x14ac:dyDescent="0.6">
      <c r="A3" t="s">
        <v>4</v>
      </c>
      <c r="B3" t="s">
        <v>5</v>
      </c>
    </row>
    <row r="4" spans="1:2" x14ac:dyDescent="0.6">
      <c r="A4" t="s">
        <v>6</v>
      </c>
      <c r="B4" t="s">
        <v>7</v>
      </c>
    </row>
    <row r="5" spans="1:2" x14ac:dyDescent="0.6">
      <c r="A5" t="s">
        <v>8</v>
      </c>
      <c r="B5" t="s">
        <v>9</v>
      </c>
    </row>
    <row r="6" spans="1:2" x14ac:dyDescent="0.6">
      <c r="A6" t="s">
        <v>10</v>
      </c>
      <c r="B6" t="s">
        <v>11</v>
      </c>
    </row>
    <row r="7" spans="1:2" x14ac:dyDescent="0.6">
      <c r="A7" t="s">
        <v>12</v>
      </c>
      <c r="B7" t="s">
        <v>13</v>
      </c>
    </row>
    <row r="8" spans="1:2" x14ac:dyDescent="0.6">
      <c r="A8" t="s">
        <v>14</v>
      </c>
      <c r="B8" t="s">
        <v>15</v>
      </c>
    </row>
    <row r="9" spans="1:2" x14ac:dyDescent="0.6">
      <c r="A9" t="s">
        <v>16</v>
      </c>
      <c r="B9" t="s">
        <v>17</v>
      </c>
    </row>
    <row r="10" spans="1:2" x14ac:dyDescent="0.6">
      <c r="A10" t="s">
        <v>18</v>
      </c>
      <c r="B10" t="s">
        <v>19</v>
      </c>
    </row>
    <row r="11" spans="1:2" x14ac:dyDescent="0.6">
      <c r="A11" t="s">
        <v>20</v>
      </c>
      <c r="B11" t="s">
        <v>21</v>
      </c>
    </row>
    <row r="12" spans="1:2" x14ac:dyDescent="0.6">
      <c r="A12" t="s">
        <v>22</v>
      </c>
      <c r="B12" t="s">
        <v>23</v>
      </c>
    </row>
    <row r="13" spans="1:2" x14ac:dyDescent="0.6">
      <c r="A13" t="s">
        <v>24</v>
      </c>
      <c r="B13" t="s">
        <v>25</v>
      </c>
    </row>
    <row r="14" spans="1:2" x14ac:dyDescent="0.6">
      <c r="A14" t="s">
        <v>26</v>
      </c>
      <c r="B14" t="s">
        <v>25</v>
      </c>
    </row>
    <row r="15" spans="1:2" x14ac:dyDescent="0.6">
      <c r="A15" t="s">
        <v>27</v>
      </c>
      <c r="B15" t="s">
        <v>23</v>
      </c>
    </row>
    <row r="16" spans="1:2" x14ac:dyDescent="0.6">
      <c r="A16" t="s">
        <v>28</v>
      </c>
      <c r="B16" t="s">
        <v>11</v>
      </c>
    </row>
    <row r="17" spans="1:2" x14ac:dyDescent="0.6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2026-10-04T14:16:28Z</dcterms:created>
  <dcterms:modified xsi:type="dcterms:W3CDTF">2026-10-04T08:30:09Z</dcterms:modified>
</cp:coreProperties>
</file>