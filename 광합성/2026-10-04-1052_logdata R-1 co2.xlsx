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04 lettuce park/"/>
    </mc:Choice>
  </mc:AlternateContent>
  <xr:revisionPtr revIDLastSave="0" documentId="11_ACE07100A773D2A84B5C62A2214BC09604E09500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9" i="1" l="1"/>
  <c r="CV29" i="1"/>
  <c r="CT29" i="1"/>
  <c r="BI29" i="1"/>
  <c r="BH29" i="1"/>
  <c r="AZ29" i="1"/>
  <c r="AT29" i="1"/>
  <c r="AX29" i="1" s="1"/>
  <c r="AN29" i="1"/>
  <c r="BA29" i="1" s="1"/>
  <c r="BD29" i="1" s="1"/>
  <c r="AI29" i="1"/>
  <c r="AG29" i="1"/>
  <c r="Y29" i="1"/>
  <c r="W29" i="1" s="1"/>
  <c r="X29" i="1"/>
  <c r="P29" i="1"/>
  <c r="CW28" i="1"/>
  <c r="CV28" i="1"/>
  <c r="CT28" i="1"/>
  <c r="BI28" i="1"/>
  <c r="BH28" i="1"/>
  <c r="AZ28" i="1"/>
  <c r="AT28" i="1"/>
  <c r="AN28" i="1"/>
  <c r="BA28" i="1" s="1"/>
  <c r="BD28" i="1" s="1"/>
  <c r="AI28" i="1"/>
  <c r="AG28" i="1"/>
  <c r="Y28" i="1"/>
  <c r="X28" i="1"/>
  <c r="W28" i="1"/>
  <c r="P28" i="1"/>
  <c r="CW27" i="1"/>
  <c r="CV27" i="1"/>
  <c r="CT27" i="1"/>
  <c r="BI27" i="1"/>
  <c r="BH27" i="1"/>
  <c r="AZ27" i="1"/>
  <c r="AT27" i="1"/>
  <c r="AN27" i="1"/>
  <c r="BA27" i="1" s="1"/>
  <c r="BD27" i="1" s="1"/>
  <c r="AI27" i="1"/>
  <c r="AG27" i="1"/>
  <c r="AH27" i="1" s="1"/>
  <c r="Y27" i="1"/>
  <c r="X27" i="1"/>
  <c r="W27" i="1"/>
  <c r="P27" i="1"/>
  <c r="N27" i="1"/>
  <c r="K27" i="1"/>
  <c r="J27" i="1"/>
  <c r="AW27" i="1" s="1"/>
  <c r="I27" i="1"/>
  <c r="H27" i="1" s="1"/>
  <c r="CW26" i="1"/>
  <c r="CV26" i="1"/>
  <c r="CT26" i="1"/>
  <c r="CU26" i="1" s="1"/>
  <c r="AV26" i="1" s="1"/>
  <c r="BI26" i="1"/>
  <c r="BH26" i="1"/>
  <c r="AZ26" i="1"/>
  <c r="AT26" i="1"/>
  <c r="AX26" i="1" s="1"/>
  <c r="AN26" i="1"/>
  <c r="BA26" i="1" s="1"/>
  <c r="BD26" i="1" s="1"/>
  <c r="AI26" i="1"/>
  <c r="AG26" i="1"/>
  <c r="Y26" i="1"/>
  <c r="W26" i="1" s="1"/>
  <c r="X26" i="1"/>
  <c r="S26" i="1"/>
  <c r="P26" i="1"/>
  <c r="CW25" i="1"/>
  <c r="CV25" i="1"/>
  <c r="CT25" i="1"/>
  <c r="CU25" i="1" s="1"/>
  <c r="AV25" i="1" s="1"/>
  <c r="BI25" i="1"/>
  <c r="BH25" i="1"/>
  <c r="AZ25" i="1"/>
  <c r="AT25" i="1"/>
  <c r="AX25" i="1" s="1"/>
  <c r="AN25" i="1"/>
  <c r="BA25" i="1" s="1"/>
  <c r="BD25" i="1" s="1"/>
  <c r="AI25" i="1"/>
  <c r="AG25" i="1" s="1"/>
  <c r="Y25" i="1"/>
  <c r="X25" i="1"/>
  <c r="W25" i="1" s="1"/>
  <c r="S25" i="1"/>
  <c r="P25" i="1"/>
  <c r="CW24" i="1"/>
  <c r="CV24" i="1"/>
  <c r="CT24" i="1"/>
  <c r="CU24" i="1" s="1"/>
  <c r="AV24" i="1" s="1"/>
  <c r="BI24" i="1"/>
  <c r="BH24" i="1"/>
  <c r="AZ24" i="1"/>
  <c r="AT24" i="1"/>
  <c r="AX24" i="1" s="1"/>
  <c r="AN24" i="1"/>
  <c r="BA24" i="1" s="1"/>
  <c r="BD24" i="1" s="1"/>
  <c r="AI24" i="1"/>
  <c r="AG24" i="1" s="1"/>
  <c r="Y24" i="1"/>
  <c r="X24" i="1"/>
  <c r="W24" i="1" s="1"/>
  <c r="P24" i="1"/>
  <c r="CW23" i="1"/>
  <c r="CV23" i="1"/>
  <c r="CT23" i="1"/>
  <c r="BI23" i="1"/>
  <c r="BH23" i="1"/>
  <c r="AZ23" i="1"/>
  <c r="AT23" i="1"/>
  <c r="AN23" i="1"/>
  <c r="BA23" i="1" s="1"/>
  <c r="BD23" i="1" s="1"/>
  <c r="AI23" i="1"/>
  <c r="AG23" i="1" s="1"/>
  <c r="Y23" i="1"/>
  <c r="X23" i="1"/>
  <c r="W23" i="1" s="1"/>
  <c r="S23" i="1"/>
  <c r="P23" i="1"/>
  <c r="CW22" i="1"/>
  <c r="CV22" i="1"/>
  <c r="CT22" i="1"/>
  <c r="S22" i="1" s="1"/>
  <c r="BI22" i="1"/>
  <c r="BH22" i="1"/>
  <c r="AZ22" i="1"/>
  <c r="AT22" i="1"/>
  <c r="AN22" i="1"/>
  <c r="BA22" i="1" s="1"/>
  <c r="BD22" i="1" s="1"/>
  <c r="AI22" i="1"/>
  <c r="AG22" i="1" s="1"/>
  <c r="Y22" i="1"/>
  <c r="X22" i="1"/>
  <c r="W22" i="1" s="1"/>
  <c r="P22" i="1"/>
  <c r="CW21" i="1"/>
  <c r="CV21" i="1"/>
  <c r="CT21" i="1"/>
  <c r="S21" i="1" s="1"/>
  <c r="BI21" i="1"/>
  <c r="BH21" i="1"/>
  <c r="AZ21" i="1"/>
  <c r="AT21" i="1"/>
  <c r="AN21" i="1"/>
  <c r="BA21" i="1" s="1"/>
  <c r="BD21" i="1" s="1"/>
  <c r="AI21" i="1"/>
  <c r="AG21" i="1" s="1"/>
  <c r="Y21" i="1"/>
  <c r="X21" i="1"/>
  <c r="W21" i="1" s="1"/>
  <c r="P21" i="1"/>
  <c r="CW20" i="1"/>
  <c r="CV20" i="1"/>
  <c r="CT20" i="1"/>
  <c r="CU20" i="1" s="1"/>
  <c r="AV20" i="1" s="1"/>
  <c r="BI20" i="1"/>
  <c r="BH20" i="1"/>
  <c r="AZ20" i="1"/>
  <c r="AT20" i="1"/>
  <c r="AX20" i="1" s="1"/>
  <c r="AN20" i="1"/>
  <c r="BA20" i="1" s="1"/>
  <c r="BD20" i="1" s="1"/>
  <c r="AI20" i="1"/>
  <c r="AG20" i="1" s="1"/>
  <c r="Y20" i="1"/>
  <c r="X20" i="1"/>
  <c r="W20" i="1" s="1"/>
  <c r="S20" i="1"/>
  <c r="P20" i="1"/>
  <c r="CW19" i="1"/>
  <c r="CV19" i="1"/>
  <c r="CT19" i="1"/>
  <c r="CU19" i="1" s="1"/>
  <c r="AV19" i="1" s="1"/>
  <c r="BI19" i="1"/>
  <c r="BH19" i="1"/>
  <c r="AZ19" i="1"/>
  <c r="AT19" i="1"/>
  <c r="AN19" i="1"/>
  <c r="BA19" i="1" s="1"/>
  <c r="BD19" i="1" s="1"/>
  <c r="AI19" i="1"/>
  <c r="AG19" i="1" s="1"/>
  <c r="Y19" i="1"/>
  <c r="X19" i="1"/>
  <c r="W19" i="1" s="1"/>
  <c r="S19" i="1"/>
  <c r="P19" i="1"/>
  <c r="CW18" i="1"/>
  <c r="CV18" i="1"/>
  <c r="CT18" i="1"/>
  <c r="CU18" i="1" s="1"/>
  <c r="AV18" i="1" s="1"/>
  <c r="BI18" i="1"/>
  <c r="BH18" i="1"/>
  <c r="AZ18" i="1"/>
  <c r="AT18" i="1"/>
  <c r="AX18" i="1" s="1"/>
  <c r="AN18" i="1"/>
  <c r="BA18" i="1" s="1"/>
  <c r="BD18" i="1" s="1"/>
  <c r="AI18" i="1"/>
  <c r="AG18" i="1" s="1"/>
  <c r="Y18" i="1"/>
  <c r="X18" i="1"/>
  <c r="W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X17" i="1"/>
  <c r="S17" i="1"/>
  <c r="P17" i="1"/>
  <c r="S24" i="1" l="1"/>
  <c r="CU23" i="1"/>
  <c r="AV23" i="1" s="1"/>
  <c r="AX23" i="1" s="1"/>
  <c r="CU22" i="1"/>
  <c r="AV22" i="1" s="1"/>
  <c r="AX22" i="1" s="1"/>
  <c r="S18" i="1"/>
  <c r="T18" i="1" s="1"/>
  <c r="U18" i="1" s="1"/>
  <c r="CU17" i="1"/>
  <c r="AV17" i="1" s="1"/>
  <c r="AX17" i="1" s="1"/>
  <c r="W17" i="1"/>
  <c r="CU21" i="1"/>
  <c r="AV21" i="1" s="1"/>
  <c r="AX21" i="1" s="1"/>
  <c r="CU29" i="1"/>
  <c r="AV29" i="1" s="1"/>
  <c r="S29" i="1"/>
  <c r="BE29" i="1"/>
  <c r="BF29" i="1"/>
  <c r="BJ29" i="1" s="1"/>
  <c r="BK29" i="1" s="1"/>
  <c r="BG29" i="1"/>
  <c r="AH29" i="1"/>
  <c r="N29" i="1"/>
  <c r="K29" i="1"/>
  <c r="J29" i="1"/>
  <c r="AW29" i="1" s="1"/>
  <c r="AY29" i="1" s="1"/>
  <c r="I29" i="1"/>
  <c r="H29" i="1" s="1"/>
  <c r="T29" i="1" s="1"/>
  <c r="U29" i="1" s="1"/>
  <c r="CU28" i="1"/>
  <c r="AV28" i="1" s="1"/>
  <c r="AX28" i="1" s="1"/>
  <c r="S28" i="1"/>
  <c r="BE28" i="1"/>
  <c r="BF28" i="1"/>
  <c r="BJ28" i="1" s="1"/>
  <c r="BK28" i="1" s="1"/>
  <c r="BG28" i="1"/>
  <c r="J28" i="1"/>
  <c r="AW28" i="1" s="1"/>
  <c r="I28" i="1"/>
  <c r="H28" i="1" s="1"/>
  <c r="K28" i="1"/>
  <c r="N28" i="1"/>
  <c r="AH28" i="1"/>
  <c r="CU27" i="1"/>
  <c r="AV27" i="1" s="1"/>
  <c r="S27" i="1"/>
  <c r="BE27" i="1"/>
  <c r="BF27" i="1"/>
  <c r="BJ27" i="1" s="1"/>
  <c r="BK27" i="1" s="1"/>
  <c r="BG27" i="1"/>
  <c r="AA27" i="1"/>
  <c r="BE26" i="1"/>
  <c r="BG26" i="1"/>
  <c r="BF26" i="1"/>
  <c r="BJ26" i="1" s="1"/>
  <c r="BK26" i="1" s="1"/>
  <c r="AH26" i="1"/>
  <c r="N26" i="1"/>
  <c r="I26" i="1"/>
  <c r="H26" i="1" s="1"/>
  <c r="K26" i="1"/>
  <c r="J26" i="1"/>
  <c r="AW26" i="1" s="1"/>
  <c r="AY26" i="1" s="1"/>
  <c r="T26" i="1"/>
  <c r="U26" i="1" s="1"/>
  <c r="BE25" i="1"/>
  <c r="BF25" i="1"/>
  <c r="BJ25" i="1" s="1"/>
  <c r="BK25" i="1" s="1"/>
  <c r="BG25" i="1"/>
  <c r="I25" i="1"/>
  <c r="H25" i="1" s="1"/>
  <c r="J25" i="1"/>
  <c r="AW25" i="1" s="1"/>
  <c r="AY25" i="1" s="1"/>
  <c r="K25" i="1"/>
  <c r="AH25" i="1"/>
  <c r="N25" i="1"/>
  <c r="T25" i="1"/>
  <c r="U25" i="1" s="1"/>
  <c r="BG24" i="1"/>
  <c r="BF24" i="1"/>
  <c r="BJ24" i="1" s="1"/>
  <c r="BK24" i="1" s="1"/>
  <c r="BE24" i="1"/>
  <c r="I24" i="1"/>
  <c r="H24" i="1" s="1"/>
  <c r="K24" i="1"/>
  <c r="N24" i="1"/>
  <c r="J24" i="1"/>
  <c r="AW24" i="1" s="1"/>
  <c r="AY24" i="1" s="1"/>
  <c r="AH24" i="1"/>
  <c r="BE23" i="1"/>
  <c r="BF23" i="1"/>
  <c r="BJ23" i="1" s="1"/>
  <c r="BK23" i="1" s="1"/>
  <c r="BG23" i="1"/>
  <c r="AH23" i="1"/>
  <c r="I23" i="1"/>
  <c r="H23" i="1" s="1"/>
  <c r="K23" i="1"/>
  <c r="N23" i="1"/>
  <c r="J23" i="1"/>
  <c r="AW23" i="1" s="1"/>
  <c r="AY23" i="1" s="1"/>
  <c r="T23" i="1"/>
  <c r="U23" i="1" s="1"/>
  <c r="BG22" i="1"/>
  <c r="BE22" i="1"/>
  <c r="BF22" i="1"/>
  <c r="BJ22" i="1" s="1"/>
  <c r="BK22" i="1" s="1"/>
  <c r="K22" i="1"/>
  <c r="I22" i="1"/>
  <c r="H22" i="1" s="1"/>
  <c r="T22" i="1" s="1"/>
  <c r="U22" i="1" s="1"/>
  <c r="N22" i="1"/>
  <c r="J22" i="1"/>
  <c r="AW22" i="1" s="1"/>
  <c r="AH22" i="1"/>
  <c r="BG21" i="1"/>
  <c r="BF21" i="1"/>
  <c r="BJ21" i="1" s="1"/>
  <c r="BK21" i="1" s="1"/>
  <c r="BE21" i="1"/>
  <c r="I21" i="1"/>
  <c r="H21" i="1" s="1"/>
  <c r="N21" i="1"/>
  <c r="J21" i="1"/>
  <c r="AW21" i="1" s="1"/>
  <c r="AH21" i="1"/>
  <c r="K21" i="1"/>
  <c r="T21" i="1"/>
  <c r="U21" i="1" s="1"/>
  <c r="BF20" i="1"/>
  <c r="BJ20" i="1" s="1"/>
  <c r="BK20" i="1" s="1"/>
  <c r="BG20" i="1"/>
  <c r="BE20" i="1"/>
  <c r="K20" i="1"/>
  <c r="N20" i="1"/>
  <c r="AH20" i="1"/>
  <c r="I20" i="1"/>
  <c r="H20" i="1" s="1"/>
  <c r="J20" i="1"/>
  <c r="AW20" i="1" s="1"/>
  <c r="AY20" i="1" s="1"/>
  <c r="T20" i="1"/>
  <c r="U20" i="1" s="1"/>
  <c r="BE19" i="1"/>
  <c r="BG19" i="1"/>
  <c r="BF19" i="1"/>
  <c r="BJ19" i="1" s="1"/>
  <c r="BK19" i="1" s="1"/>
  <c r="AH19" i="1"/>
  <c r="J19" i="1"/>
  <c r="AW19" i="1" s="1"/>
  <c r="AY19" i="1" s="1"/>
  <c r="I19" i="1"/>
  <c r="H19" i="1" s="1"/>
  <c r="K19" i="1"/>
  <c r="N19" i="1"/>
  <c r="T19" i="1"/>
  <c r="U19" i="1" s="1"/>
  <c r="BF18" i="1"/>
  <c r="BJ18" i="1" s="1"/>
  <c r="BK18" i="1" s="1"/>
  <c r="BE18" i="1"/>
  <c r="BG18" i="1"/>
  <c r="AH18" i="1"/>
  <c r="N18" i="1"/>
  <c r="J18" i="1"/>
  <c r="AW18" i="1" s="1"/>
  <c r="AY18" i="1" s="1"/>
  <c r="K18" i="1"/>
  <c r="I18" i="1"/>
  <c r="H18" i="1" s="1"/>
  <c r="BG17" i="1"/>
  <c r="BF17" i="1"/>
  <c r="BJ17" i="1" s="1"/>
  <c r="BK17" i="1" s="1"/>
  <c r="BE17" i="1"/>
  <c r="I17" i="1"/>
  <c r="H17" i="1" s="1"/>
  <c r="AH17" i="1"/>
  <c r="J17" i="1"/>
  <c r="AW17" i="1" s="1"/>
  <c r="K17" i="1"/>
  <c r="N17" i="1"/>
  <c r="T17" i="1"/>
  <c r="U17" i="1" s="1"/>
  <c r="AX19" i="1"/>
  <c r="AY28" i="1" l="1"/>
  <c r="T24" i="1"/>
  <c r="U24" i="1" s="1"/>
  <c r="AY22" i="1"/>
  <c r="AY21" i="1"/>
  <c r="AY17" i="1"/>
  <c r="Q29" i="1"/>
  <c r="O29" i="1" s="1"/>
  <c r="R29" i="1" s="1"/>
  <c r="L29" i="1" s="1"/>
  <c r="M29" i="1" s="1"/>
  <c r="AA29" i="1"/>
  <c r="V29" i="1"/>
  <c r="Z29" i="1" s="1"/>
  <c r="AB29" i="1"/>
  <c r="AC29" i="1"/>
  <c r="AD29" i="1" s="1"/>
  <c r="T28" i="1"/>
  <c r="U28" i="1" s="1"/>
  <c r="Q28" i="1"/>
  <c r="O28" i="1" s="1"/>
  <c r="R28" i="1" s="1"/>
  <c r="L28" i="1" s="1"/>
  <c r="M28" i="1" s="1"/>
  <c r="AA28" i="1"/>
  <c r="AY27" i="1"/>
  <c r="AX27" i="1"/>
  <c r="T27" i="1"/>
  <c r="U27" i="1" s="1"/>
  <c r="Q26" i="1"/>
  <c r="O26" i="1" s="1"/>
  <c r="R26" i="1" s="1"/>
  <c r="L26" i="1" s="1"/>
  <c r="M26" i="1" s="1"/>
  <c r="AA26" i="1"/>
  <c r="AB26" i="1"/>
  <c r="AC26" i="1"/>
  <c r="V26" i="1"/>
  <c r="Z26" i="1" s="1"/>
  <c r="AA25" i="1"/>
  <c r="Q25" i="1"/>
  <c r="O25" i="1" s="1"/>
  <c r="R25" i="1" s="1"/>
  <c r="L25" i="1" s="1"/>
  <c r="M25" i="1" s="1"/>
  <c r="AB25" i="1"/>
  <c r="AC25" i="1"/>
  <c r="AD25" i="1" s="1"/>
  <c r="V25" i="1"/>
  <c r="Z25" i="1" s="1"/>
  <c r="AA24" i="1"/>
  <c r="AA23" i="1"/>
  <c r="Q23" i="1"/>
  <c r="O23" i="1" s="1"/>
  <c r="R23" i="1" s="1"/>
  <c r="L23" i="1" s="1"/>
  <c r="M23" i="1" s="1"/>
  <c r="AB23" i="1"/>
  <c r="V23" i="1"/>
  <c r="Z23" i="1" s="1"/>
  <c r="AC23" i="1"/>
  <c r="AA22" i="1"/>
  <c r="Q22" i="1"/>
  <c r="O22" i="1" s="1"/>
  <c r="R22" i="1" s="1"/>
  <c r="L22" i="1" s="1"/>
  <c r="M22" i="1" s="1"/>
  <c r="AB22" i="1"/>
  <c r="AC22" i="1"/>
  <c r="V22" i="1"/>
  <c r="Z22" i="1" s="1"/>
  <c r="Q21" i="1"/>
  <c r="O21" i="1" s="1"/>
  <c r="R21" i="1" s="1"/>
  <c r="L21" i="1" s="1"/>
  <c r="M21" i="1" s="1"/>
  <c r="AA21" i="1"/>
  <c r="AB21" i="1"/>
  <c r="V21" i="1"/>
  <c r="Z21" i="1" s="1"/>
  <c r="AC21" i="1"/>
  <c r="AD21" i="1" s="1"/>
  <c r="AA20" i="1"/>
  <c r="Q20" i="1"/>
  <c r="O20" i="1" s="1"/>
  <c r="R20" i="1" s="1"/>
  <c r="L20" i="1" s="1"/>
  <c r="M20" i="1" s="1"/>
  <c r="AB20" i="1"/>
  <c r="V20" i="1"/>
  <c r="Z20" i="1" s="1"/>
  <c r="AC20" i="1"/>
  <c r="AD20" i="1" s="1"/>
  <c r="AA19" i="1"/>
  <c r="Q19" i="1"/>
  <c r="O19" i="1" s="1"/>
  <c r="R19" i="1" s="1"/>
  <c r="L19" i="1" s="1"/>
  <c r="M19" i="1" s="1"/>
  <c r="AB19" i="1"/>
  <c r="V19" i="1"/>
  <c r="Z19" i="1" s="1"/>
  <c r="AC19" i="1"/>
  <c r="AD19" i="1" s="1"/>
  <c r="AB18" i="1"/>
  <c r="V18" i="1"/>
  <c r="Z18" i="1" s="1"/>
  <c r="AC18" i="1"/>
  <c r="Q18" i="1"/>
  <c r="O18" i="1" s="1"/>
  <c r="R18" i="1" s="1"/>
  <c r="L18" i="1" s="1"/>
  <c r="M18" i="1" s="1"/>
  <c r="AA18" i="1"/>
  <c r="Q17" i="1"/>
  <c r="O17" i="1" s="1"/>
  <c r="R17" i="1" s="1"/>
  <c r="L17" i="1" s="1"/>
  <c r="M17" i="1" s="1"/>
  <c r="AA17" i="1"/>
  <c r="AB17" i="1"/>
  <c r="AC17" i="1"/>
  <c r="AD17" i="1" s="1"/>
  <c r="V17" i="1"/>
  <c r="Z17" i="1" s="1"/>
  <c r="AD26" i="1" l="1"/>
  <c r="AB24" i="1"/>
  <c r="V24" i="1"/>
  <c r="Z24" i="1" s="1"/>
  <c r="AC24" i="1"/>
  <c r="AD24" i="1" s="1"/>
  <c r="Q24" i="1"/>
  <c r="O24" i="1" s="1"/>
  <c r="R24" i="1" s="1"/>
  <c r="L24" i="1" s="1"/>
  <c r="M24" i="1" s="1"/>
  <c r="V28" i="1"/>
  <c r="Z28" i="1" s="1"/>
  <c r="AB28" i="1"/>
  <c r="AC28" i="1"/>
  <c r="AD28" i="1" s="1"/>
  <c r="Q27" i="1"/>
  <c r="O27" i="1" s="1"/>
  <c r="R27" i="1" s="1"/>
  <c r="L27" i="1" s="1"/>
  <c r="M27" i="1" s="1"/>
  <c r="AB27" i="1"/>
  <c r="V27" i="1"/>
  <c r="Z27" i="1" s="1"/>
  <c r="AC27" i="1"/>
  <c r="AD23" i="1"/>
  <c r="AD18" i="1"/>
  <c r="AD22" i="1"/>
  <c r="AD27" i="1" l="1"/>
</calcChain>
</file>

<file path=xl/sharedStrings.xml><?xml version="1.0" encoding="utf-8"?>
<sst xmlns="http://schemas.openxmlformats.org/spreadsheetml/2006/main" count="796" uniqueCount="384">
  <si>
    <t>File opened</t>
  </si>
  <si>
    <t>2026-10-04 10:52:51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</si>
  <si>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</si>
  <si>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</si>
  <si>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</si>
  <si>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</si>
  <si>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</si>
  <si>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</si>
  <si>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</si>
  <si>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</si>
  <si>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</si>
  <si>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</si>
  <si>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</si>
  <si>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{"chamberpressurezero": "2.71033", "co2aspan2a": "0.106022", "co2bzero": "0.953041", "flowmeterzero": "2.483", "co2aspan2b": "0.105998", "h2oazero": "1.03097", "flowazero": "0.276", "h2oaspan2a": "0.0964052", "h2oaspan1": "1.02308", "co2azero": "0.931334", "h2obspan2a": "0.0961931", "co2aspan2": "-0.00988168", "co2aspanconc1": "437.6", "h2obspan2b": "0.0971974", "co2bspan2b": "0.105618", "h2obspanconc2": "0", "tazero": "0.15448", "co2bspanconc1": "437.6", "co2bspanconc2": "1516", "h2obspanconc1": "17.96", "h2obspan2": "0", "h2oaspan2": "0", "co2bspan2": "-0.00857283", "co2aspanconc2": "1516", "flowbzero": "0.30473", "co2aspan1": "1.00082", "oxygen": "21", "tbzero": "0.143742", "h2oaspanconc2": "0", "h2oaspanconc1": "17.96", "h2obspan1": "1.01044", "co2bspan1": "1.00005", "co2bspan2a": "0.105708", "h2oaspan2b": "0.0986302", "ssb_ref": "36242.9", "ssa_ref": "37830.5", "h2obzero": "1.01897"}</t>
  </si>
  <si>
    <t>Factory cal date</t>
  </si>
  <si>
    <t>14 Dec 2023</t>
  </si>
  <si>
    <t>CO2 rangematch</t>
  </si>
  <si>
    <t>Mon Sep 14 10:06</t>
  </si>
  <si>
    <t>H2O rangematch</t>
  </si>
  <si>
    <t>Mon Sep 14 10:14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</si>
  <si>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</si>
  <si>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</si>
  <si>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</si>
  <si>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</si>
  <si>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</si>
  <si>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</si>
  <si>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</si>
  <si>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</si>
  <si>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</si>
  <si>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10:52:51</t>
  </si>
  <si>
    <t>Stability Definition:	ΔCO2 (Meas2): Slp&lt;0.5 Per=20	F (FlrLS):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</si>
  <si>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</si>
  <si>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</si>
  <si>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</si>
  <si>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</si>
  <si>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</si>
  <si>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</si>
  <si>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</si>
  <si>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</si>
  <si>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</si>
  <si>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</si>
  <si>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</si>
  <si>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</si>
  <si>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</si>
  <si>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</si>
  <si>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</si>
  <si>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</si>
  <si>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</si>
  <si>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</si>
  <si>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</si>
  <si>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</si>
  <si>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</si>
  <si>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</si>
  <si>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</si>
  <si>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</si>
  <si>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</si>
  <si>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</si>
  <si>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</si>
  <si>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</si>
  <si>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</si>
  <si>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</si>
  <si>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</si>
  <si>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</si>
  <si>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</si>
  <si>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</si>
  <si>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</si>
  <si>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</si>
  <si>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</si>
  <si>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</si>
  <si>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</si>
  <si>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</si>
  <si>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</si>
  <si>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</si>
  <si>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</si>
  <si>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</si>
  <si>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</si>
  <si>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</si>
  <si>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</si>
  <si>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</si>
  <si>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</si>
  <si>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</si>
  <si>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</si>
  <si>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</si>
  <si>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4.72514 203.78 363.155 594.255 857.394 1066.3 1251.07 1380.19</t>
  </si>
  <si>
    <t>Fs_true</t>
  </si>
  <si>
    <t>0.127932 227.245 386.898 590.184 811.883 1001.42 1202.73 1400.77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</si>
  <si>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</si>
  <si>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</si>
  <si>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</si>
  <si>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</si>
  <si>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</si>
  <si>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</si>
  <si>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</si>
  <si>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</si>
  <si>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</si>
  <si>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</si>
  <si>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</si>
  <si>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</si>
  <si>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</si>
  <si>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</si>
  <si>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</si>
  <si>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</si>
  <si>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</si>
  <si>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</si>
  <si>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</si>
  <si>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</si>
  <si>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</si>
  <si>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</si>
  <si>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</si>
  <si>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</si>
  <si>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</si>
  <si>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</si>
  <si>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</si>
  <si>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</si>
  <si>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</si>
  <si>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</si>
  <si>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</si>
  <si>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</si>
  <si>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</si>
  <si>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</si>
  <si>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</si>
  <si>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</si>
  <si>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</si>
  <si>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</si>
  <si>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</si>
  <si>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</si>
  <si>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</si>
  <si>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</si>
  <si>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</si>
  <si>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</si>
  <si>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</si>
  <si>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</si>
  <si>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</si>
  <si>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</si>
  <si>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</si>
  <si>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</si>
  <si>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</si>
  <si>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</si>
  <si>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</si>
  <si>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</si>
  <si>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</si>
  <si>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</si>
  <si>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</si>
  <si>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</si>
  <si>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</si>
  <si>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</si>
  <si>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</si>
  <si>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</si>
  <si>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</si>
  <si>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</si>
  <si>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</si>
  <si>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</si>
  <si>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</si>
  <si>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</si>
  <si>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</si>
  <si>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</si>
  <si>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</si>
  <si>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</si>
  <si>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</si>
  <si>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</si>
  <si>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</si>
  <si>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</si>
  <si>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</si>
  <si>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</si>
  <si>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</si>
  <si>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</si>
  <si>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</si>
  <si>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</si>
  <si>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</si>
  <si>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</si>
  <si>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</si>
  <si>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</si>
  <si>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</si>
  <si>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</si>
  <si>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</si>
  <si>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</si>
  <si>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</si>
  <si>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</si>
  <si>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</si>
  <si>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</si>
  <si>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</si>
  <si>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</si>
  <si>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</si>
  <si>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</si>
  <si>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</si>
  <si>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</si>
  <si>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</si>
  <si>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</si>
  <si>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</si>
  <si>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</si>
  <si>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</si>
  <si>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</si>
  <si>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</si>
  <si>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</si>
  <si>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</si>
  <si>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</si>
  <si>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</si>
  <si>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</si>
  <si>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</si>
  <si>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</si>
  <si>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</si>
  <si>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</si>
  <si>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</si>
  <si>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</si>
  <si>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</si>
  <si>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</si>
  <si>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</si>
  <si>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</si>
  <si>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</si>
  <si>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</si>
  <si>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</si>
  <si>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</si>
  <si>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</si>
  <si>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</si>
  <si>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</si>
  <si>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</si>
  <si>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</si>
  <si>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</si>
  <si>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</si>
  <si>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</si>
  <si>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</si>
  <si>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</si>
  <si>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</si>
  <si>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</si>
  <si>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</si>
  <si>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</si>
  <si>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</si>
  <si>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</si>
  <si>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</si>
  <si>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</si>
  <si>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</si>
  <si>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</si>
  <si>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</si>
  <si>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</si>
  <si>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</si>
  <si>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</si>
  <si>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</si>
  <si>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</si>
  <si>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</si>
  <si>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</si>
  <si>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</si>
  <si>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</si>
  <si>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</si>
  <si>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</si>
  <si>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</si>
  <si>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</si>
  <si>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</si>
  <si>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</si>
  <si>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</si>
  <si>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</si>
  <si>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</si>
  <si>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</si>
  <si>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</si>
  <si>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</si>
  <si>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</si>
  <si>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</si>
  <si>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</si>
  <si>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</si>
  <si>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</si>
  <si>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</si>
  <si>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</si>
  <si>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</si>
  <si>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</si>
  <si>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</si>
  <si>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</si>
  <si>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</si>
  <si>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</si>
  <si>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</si>
  <si>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</si>
  <si>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</si>
  <si>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</si>
  <si>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</si>
  <si>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</si>
  <si>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</si>
  <si>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</si>
  <si>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</si>
  <si>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</si>
  <si>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</si>
  <si>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</si>
  <si>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</si>
  <si>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</si>
  <si>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</si>
  <si>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</si>
  <si>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</si>
  <si>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</si>
  <si>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</si>
  <si>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</si>
  <si>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</si>
  <si>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</si>
  <si>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</si>
  <si>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</si>
  <si>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</si>
  <si>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</si>
  <si>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</si>
  <si>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</si>
  <si>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</si>
  <si>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</si>
  <si>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</si>
  <si>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</si>
  <si>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</si>
  <si>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</si>
  <si>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</si>
  <si>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</si>
  <si>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</si>
  <si>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</si>
  <si>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</si>
  <si>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</si>
  <si>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</si>
  <si>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</si>
  <si>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</si>
  <si>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</si>
  <si>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</si>
  <si>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</si>
  <si>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</si>
  <si>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</si>
  <si>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</si>
  <si>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</si>
  <si>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</si>
  <si>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</si>
  <si>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</si>
  <si>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</si>
  <si>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</si>
  <si>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</si>
  <si>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</si>
  <si>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</si>
  <si>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</si>
  <si>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</si>
  <si>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</si>
  <si>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</si>
  <si>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</si>
  <si>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</si>
  <si>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</si>
  <si>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</si>
  <si>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</si>
  <si>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</si>
  <si>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</si>
  <si>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</si>
  <si>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</si>
  <si>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</si>
  <si>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</si>
  <si>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</si>
  <si>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20261004 11:21:17</t>
  </si>
  <si>
    <t>11:21:17</t>
  </si>
  <si>
    <t>-</t>
  </si>
  <si>
    <t>0: Broadleaf</t>
  </si>
  <si>
    <t>11:20:10</t>
  </si>
  <si>
    <t>2/2</t>
  </si>
  <si>
    <t>20261004 11:23:18</t>
  </si>
  <si>
    <t>11:23:18</t>
  </si>
  <si>
    <t>11:22:19</t>
  </si>
  <si>
    <t>20261004 11:25:19</t>
  </si>
  <si>
    <t>11:25:19</t>
  </si>
  <si>
    <t>11:24:23</t>
  </si>
  <si>
    <t>20261004 11:27:20</t>
  </si>
  <si>
    <t>11:27:20</t>
  </si>
  <si>
    <t>11:26:28</t>
  </si>
  <si>
    <t>20261004 11:29:21</t>
  </si>
  <si>
    <t>11:29:21</t>
  </si>
  <si>
    <t>11:28:22</t>
  </si>
  <si>
    <t>20261004 11:31:22</t>
  </si>
  <si>
    <t>11:31:22</t>
  </si>
  <si>
    <t>11:30:27</t>
  </si>
  <si>
    <t>20261004 11:33:23</t>
  </si>
  <si>
    <t>11:33:23</t>
  </si>
  <si>
    <t>11:32:23</t>
  </si>
  <si>
    <t>20261004 11:35:35</t>
  </si>
  <si>
    <t>11:35:35</t>
  </si>
  <si>
    <t>11:34:36</t>
  </si>
  <si>
    <t>20261004 11:37:36</t>
  </si>
  <si>
    <t>11:37:36</t>
  </si>
  <si>
    <t>11:36:52</t>
  </si>
  <si>
    <t>20261004 11:39:38</t>
  </si>
  <si>
    <t>11:39:38</t>
  </si>
  <si>
    <t>11:38:38</t>
  </si>
  <si>
    <t>20261004 11:41:39</t>
  </si>
  <si>
    <t>11:41:39</t>
  </si>
  <si>
    <t>11:40:33</t>
  </si>
  <si>
    <t>20261004 11:43:42</t>
  </si>
  <si>
    <t>11:43:42</t>
  </si>
  <si>
    <t>11:42:48</t>
  </si>
  <si>
    <t>20261004 11:46:13</t>
  </si>
  <si>
    <t>11:46:13</t>
  </si>
  <si>
    <t>11:44:42</t>
  </si>
  <si>
    <t>0/2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</si>
</sst>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9"/>
  <sheetViews>
    <sheetView tabSelected="1" workbookViewId="0"/>
  </sheetViews>
  <sheetFormatPr defaultRowHeight="16.899999999999999" x14ac:dyDescent="0.6"/>
  <sheetData>
    <row r="2" spans="1:216" x14ac:dyDescent="0.6">
      <c r="A2" t="s">
        <v>31</v>
      </c>
      <c r="B2" t="s">
        <v>32</v>
      </c>
      <c r="C2" t="s">
        <v>34</v>
      </c>
    </row>
    <row r="3" spans="1:216" x14ac:dyDescent="0.6">
      <c r="B3" t="s">
        <v>33</v>
      </c>
      <c r="C3">
        <v>21</v>
      </c>
    </row>
    <row r="4" spans="1:216" x14ac:dyDescent="0.6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 x14ac:dyDescent="0.6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6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 x14ac:dyDescent="0.6">
      <c r="B7">
        <v>0</v>
      </c>
      <c r="C7">
        <v>1</v>
      </c>
      <c r="D7">
        <v>0</v>
      </c>
      <c r="E7">
        <v>0</v>
      </c>
    </row>
    <row r="8" spans="1:216" x14ac:dyDescent="0.6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 x14ac:dyDescent="0.6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6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 x14ac:dyDescent="0.6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6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 x14ac:dyDescent="0.6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16" x14ac:dyDescent="0.6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 x14ac:dyDescent="0.6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 x14ac:dyDescent="0.6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 x14ac:dyDescent="0.6">
      <c r="A17">
        <v>1</v>
      </c>
      <c r="B17">
        <v>1791080477</v>
      </c>
      <c r="C17">
        <v>0</v>
      </c>
      <c r="D17" t="s">
        <v>341</v>
      </c>
      <c r="E17" t="s">
        <v>342</v>
      </c>
      <c r="F17">
        <v>5</v>
      </c>
      <c r="G17">
        <v>1791080469</v>
      </c>
      <c r="H17">
        <f t="shared" ref="H17:H29" si="0">(I17)/1000</f>
        <v>4.5144200774263569E-3</v>
      </c>
      <c r="I17">
        <f t="shared" ref="I17:I29" si="1">1000*DI17*AG17*(DE17-DF17)/(100*CX17*(1000-AG17*DE17))</f>
        <v>4.5144200774263572</v>
      </c>
      <c r="J17">
        <f t="shared" ref="J17:J29" si="2">DI17*AG17*(DD17-DC17*(1000-AG17*DF17)/(1000-AG17*DE17))/(100*CX17)</f>
        <v>19.885450369645771</v>
      </c>
      <c r="K17">
        <f t="shared" ref="K17:K29" si="3">DC17 - IF(AG17&gt;1, J17*CX17*100/(AI17), 0)</f>
        <v>391.32193333333299</v>
      </c>
      <c r="L17">
        <f t="shared" ref="L17:L29" si="4">((R17-H17/2)*K17-J17)/(R17+H17/2)</f>
        <v>284.7451740367361</v>
      </c>
      <c r="M17">
        <f t="shared" ref="M17:M29" si="5">L17*(DJ17+DK17)/1000</f>
        <v>28.808289730318926</v>
      </c>
      <c r="N17">
        <f t="shared" ref="N17:N29" si="6">(DC17 - IF(AG17&gt;1, J17*CX17*100/(AI17), 0))*(DJ17+DK17)/1000</f>
        <v>39.590892704087715</v>
      </c>
      <c r="O17">
        <f t="shared" ref="O17:O29" si="7">2/((1/Q17-1/P17)+SIGN(Q17)*SQRT((1/Q17-1/P17)*(1/Q17-1/P17) + 4*CY17/((CY17+1)*(CY17+1))*(2*1/Q17*1/P17-1/P17*1/P17)))</f>
        <v>0.33845582854371375</v>
      </c>
      <c r="P17">
        <f t="shared" ref="P17:P29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3.0295970325132942</v>
      </c>
      <c r="Q17">
        <f t="shared" ref="Q17:Q29" si="9">H17*(1000-(1000*0.61365*EXP(17.502*U17/(240.97+U17))/(DJ17+DK17)+DE17)/2)/(1000*0.61365*EXP(17.502*U17/(240.97+U17))/(DJ17+DK17)-DE17)</f>
        <v>0.3187653397041213</v>
      </c>
      <c r="R17">
        <f t="shared" ref="R17:R29" si="10">1/((CY17+1)/(O17/1.6)+1/(P17/1.37)) + CY17/((CY17+1)/(O17/1.6) + CY17/(P17/1.37))</f>
        <v>0.20090192245063848</v>
      </c>
      <c r="S17">
        <f t="shared" ref="S17:S29" si="11">(CT17*CW17)</f>
        <v>241.73556721557904</v>
      </c>
      <c r="T17">
        <f t="shared" ref="T17:T29" si="12">(DL17+(S17+2*0.95*0.0000000567*(((DL17+$B$7)+273)^4-(DL17+273)^4)-44100*H17)/(1.84*29.3*P17+8*0.95*0.0000000567*(DL17+273)^3))</f>
        <v>25.533901539141294</v>
      </c>
      <c r="U17">
        <f t="shared" ref="U17:U29" si="13">($C$7*DM17+$D$7*DN17+$E$7*T17)</f>
        <v>24.9936333333333</v>
      </c>
      <c r="V17">
        <f t="shared" ref="V17:V29" si="14">0.61365*EXP(17.502*U17/(240.97+U17))</f>
        <v>3.1784708643892601</v>
      </c>
      <c r="W17">
        <f t="shared" ref="W17:W29" si="15">(X17/Y17*100)</f>
        <v>55.046129476760228</v>
      </c>
      <c r="X17">
        <f t="shared" ref="X17:X29" si="16">DE17*(DJ17+DK17)/1000</f>
        <v>1.7807665964224528</v>
      </c>
      <c r="Y17">
        <f t="shared" ref="Y17:Y29" si="17">0.61365*EXP(17.502*DL17/(240.97+DL17))</f>
        <v>3.2350441590525807</v>
      </c>
      <c r="Z17">
        <f t="shared" ref="Z17:Z29" si="18">(V17-DE17*(DJ17+DK17)/1000)</f>
        <v>1.3977042679668072</v>
      </c>
      <c r="AA17">
        <f t="shared" ref="AA17:AA29" si="19">(-H17*44100)</f>
        <v>-199.08592541450233</v>
      </c>
      <c r="AB17">
        <f t="shared" ref="AB17:AB29" si="20">2*29.3*P17*0.92*(DL17-U17)</f>
        <v>48.384274739084553</v>
      </c>
      <c r="AC17">
        <f t="shared" ref="AC17:AC29" si="21">2*0.95*0.0000000567*(((DL17+$B$7)+273)^4-(U17+273)^4)</f>
        <v>3.3829772150206745</v>
      </c>
      <c r="AD17">
        <f t="shared" ref="AD17:AD29" si="22">S17+AC17+AA17+AB17</f>
        <v>94.416893755181945</v>
      </c>
      <c r="AE17">
        <v>0</v>
      </c>
      <c r="AF17">
        <v>0</v>
      </c>
      <c r="AG17">
        <f t="shared" ref="AG17:AG29" si="23">IF(AE17*$H$13&gt;=AI17,1,(AI17/(AI17-AE17*$H$13)))</f>
        <v>1</v>
      </c>
      <c r="AH17">
        <f t="shared" ref="AH17:AH29" si="24">(AG17-1)*100</f>
        <v>0</v>
      </c>
      <c r="AI17">
        <f t="shared" ref="AI17:AI29" si="25">MAX(0,($B$13+$C$13*DQ17)/(1+$D$13*DQ17)*DJ17/(DL17+273)*$E$13)</f>
        <v>53775.847050280492</v>
      </c>
      <c r="AJ17" t="s">
        <v>343</v>
      </c>
      <c r="AK17" t="s">
        <v>343</v>
      </c>
      <c r="AL17">
        <v>0</v>
      </c>
      <c r="AM17">
        <v>0</v>
      </c>
      <c r="AN17" t="e">
        <f t="shared" ref="AN17:AN29" si="26">1-AL17/AM17</f>
        <v>#DIV/0!</v>
      </c>
      <c r="AO17">
        <v>0</v>
      </c>
      <c r="AP17" t="s">
        <v>343</v>
      </c>
      <c r="AQ17" t="s">
        <v>343</v>
      </c>
      <c r="AR17">
        <v>0</v>
      </c>
      <c r="AS17">
        <v>0</v>
      </c>
      <c r="AT17" t="e">
        <f t="shared" ref="AT17:AT29" si="27">1-AR17/AS17</f>
        <v>#DIV/0!</v>
      </c>
      <c r="AU17">
        <v>0.5</v>
      </c>
      <c r="AV17">
        <f t="shared" ref="AV17:AV29" si="28">CU17</f>
        <v>1261.2040800080722</v>
      </c>
      <c r="AW17">
        <f t="shared" ref="AW17:AW29" si="29">J17</f>
        <v>19.885450369645771</v>
      </c>
      <c r="AX17" t="e">
        <f t="shared" ref="AX17:AX29" si="30">AT17*AU17*AV17</f>
        <v>#DIV/0!</v>
      </c>
      <c r="AY17">
        <f t="shared" ref="AY17:AY29" si="31">(AW17-AO17)/AV17</f>
        <v>1.5767036187766294E-2</v>
      </c>
      <c r="AZ17" t="e">
        <f t="shared" ref="AZ17:AZ29" si="32">(AM17-AS17)/AS17</f>
        <v>#DIV/0!</v>
      </c>
      <c r="BA17" t="e">
        <f t="shared" ref="BA17:BA29" si="33">AL17/(AN17+AL17/AS17)</f>
        <v>#DIV/0!</v>
      </c>
      <c r="BB17" t="s">
        <v>343</v>
      </c>
      <c r="BC17">
        <v>0</v>
      </c>
      <c r="BD17" t="e">
        <f t="shared" ref="BD17:BD29" si="34">IF(BC17&lt;&gt;0, BC17, BA17)</f>
        <v>#DIV/0!</v>
      </c>
      <c r="BE17" t="e">
        <f t="shared" ref="BE17:BE29" si="35">1-BD17/AS17</f>
        <v>#DIV/0!</v>
      </c>
      <c r="BF17" t="e">
        <f t="shared" ref="BF17:BF29" si="36">(AS17-AR17)/(AS17-BD17)</f>
        <v>#DIV/0!</v>
      </c>
      <c r="BG17" t="e">
        <f t="shared" ref="BG17:BG29" si="37">(AM17-AS17)/(AM17-BD17)</f>
        <v>#DIV/0!</v>
      </c>
      <c r="BH17" t="e">
        <f t="shared" ref="BH17:BH29" si="38">(AS17-AR17)/(AS17-AL17)</f>
        <v>#DIV/0!</v>
      </c>
      <c r="BI17" t="e">
        <f t="shared" ref="BI17:BI29" si="39">(AM17-AS17)/(AM17-AL17)</f>
        <v>#DIV/0!</v>
      </c>
      <c r="BJ17" t="e">
        <f t="shared" ref="BJ17:BJ29" si="40">(BF17*BD17/AR17)</f>
        <v>#DIV/0!</v>
      </c>
      <c r="BK17" t="e">
        <f t="shared" ref="BK17:BK29" si="41">(1-BJ17)</f>
        <v>#DIV/0!</v>
      </c>
      <c r="CT17">
        <f t="shared" ref="CT17:CT29" si="42">$B$11*DR17+$C$11*DS17+$F$11*DT17*(1-DW17)</f>
        <v>1499.992</v>
      </c>
      <c r="CU17">
        <f t="shared" ref="CU17:CU29" si="43">CT17*CV17</f>
        <v>1261.2040800080722</v>
      </c>
      <c r="CV17">
        <f t="shared" ref="CV17:CV29" si="44">($B$11*$D$9+$C$11*$D$9+$F$11*((EG17+DY17)/MAX(EG17+DY17+EH17, 0.1)*$I$9+EH17/MAX(EG17+DY17+EH17, 0.1)*$J$9))/($B$11+$C$11+$F$11)</f>
        <v>0.84080720431047107</v>
      </c>
      <c r="CW17">
        <f t="shared" ref="CW17:CW29" si="45">($B$11*$K$9+$C$11*$K$9+$F$11*((EG17+DY17)/MAX(EG17+DY17+EH17, 0.1)*$P$9+EH17/MAX(EG17+DY17+EH17, 0.1)*$Q$9))/($B$11+$C$11+$F$11)</f>
        <v>0.16115790431920907</v>
      </c>
      <c r="CX17">
        <v>2</v>
      </c>
      <c r="CY17">
        <v>0.5</v>
      </c>
      <c r="CZ17" t="s">
        <v>344</v>
      </c>
      <c r="DA17">
        <v>2</v>
      </c>
      <c r="DB17">
        <v>1791080469</v>
      </c>
      <c r="DC17">
        <v>391.32193333333299</v>
      </c>
      <c r="DD17">
        <v>399.98259999999999</v>
      </c>
      <c r="DE17">
        <v>17.6013466666667</v>
      </c>
      <c r="DF17">
        <v>15.827393333333299</v>
      </c>
      <c r="DG17">
        <v>391.90859999999998</v>
      </c>
      <c r="DH17">
        <v>17.784479999999999</v>
      </c>
      <c r="DI17">
        <v>500.00866666666701</v>
      </c>
      <c r="DJ17">
        <v>101.0722</v>
      </c>
      <c r="DK17">
        <v>9.9979046666666599E-2</v>
      </c>
      <c r="DL17">
        <v>25.2898666666667</v>
      </c>
      <c r="DM17">
        <v>24.9936333333333</v>
      </c>
      <c r="DN17">
        <v>999.9</v>
      </c>
      <c r="DO17">
        <v>0</v>
      </c>
      <c r="DP17">
        <v>0</v>
      </c>
      <c r="DQ17">
        <v>10004.9126666667</v>
      </c>
      <c r="DR17">
        <v>0</v>
      </c>
      <c r="DS17">
        <v>8.5265900000000006</v>
      </c>
      <c r="DT17">
        <v>1499.992</v>
      </c>
      <c r="DU17">
        <v>0.97300200000000003</v>
      </c>
      <c r="DV17">
        <v>2.6997940000000002E-2</v>
      </c>
      <c r="DW17">
        <v>0</v>
      </c>
      <c r="DX17">
        <v>289.09519999999998</v>
      </c>
      <c r="DY17">
        <v>4.9999900000000004</v>
      </c>
      <c r="DZ17">
        <v>4284.59533333333</v>
      </c>
      <c r="EA17">
        <v>14882.5133333333</v>
      </c>
      <c r="EB17">
        <v>37.25</v>
      </c>
      <c r="EC17">
        <v>38.862400000000001</v>
      </c>
      <c r="ED17">
        <v>37.870800000000003</v>
      </c>
      <c r="EE17">
        <v>38.25</v>
      </c>
      <c r="EF17">
        <v>38.875</v>
      </c>
      <c r="EG17">
        <v>1454.6320000000001</v>
      </c>
      <c r="EH17">
        <v>40.36</v>
      </c>
      <c r="EI17">
        <v>0</v>
      </c>
      <c r="EJ17">
        <v>1791080481</v>
      </c>
      <c r="EK17">
        <v>0</v>
      </c>
      <c r="EL17">
        <v>289.21508</v>
      </c>
      <c r="EM17">
        <v>-0.15161539319980499</v>
      </c>
      <c r="EN17">
        <v>-1.8992307534847499</v>
      </c>
      <c r="EO17">
        <v>4284.5020000000004</v>
      </c>
      <c r="EP17">
        <v>15</v>
      </c>
      <c r="EQ17">
        <v>1791080410</v>
      </c>
      <c r="ER17" t="s">
        <v>345</v>
      </c>
      <c r="ES17">
        <v>1791080405</v>
      </c>
      <c r="ET17">
        <v>1791080410</v>
      </c>
      <c r="EU17">
        <v>2</v>
      </c>
      <c r="EV17">
        <v>1.4999999999999999E-2</v>
      </c>
      <c r="EW17">
        <v>-1E-3</v>
      </c>
      <c r="EX17">
        <v>-0.57499999999999996</v>
      </c>
      <c r="EY17">
        <v>-0.188</v>
      </c>
      <c r="EZ17">
        <v>400</v>
      </c>
      <c r="FA17">
        <v>16</v>
      </c>
      <c r="FB17">
        <v>0.15</v>
      </c>
      <c r="FC17">
        <v>0.05</v>
      </c>
      <c r="FD17">
        <v>19.8903015104387</v>
      </c>
      <c r="FE17">
        <v>0.11360467209704</v>
      </c>
      <c r="FF17">
        <v>7.4828814181377198E-2</v>
      </c>
      <c r="FG17">
        <v>1</v>
      </c>
      <c r="FH17">
        <v>-8.6625770000000006</v>
      </c>
      <c r="FI17">
        <v>1.0105263157544E-4</v>
      </c>
      <c r="FJ17">
        <v>3.1203071018731699E-2</v>
      </c>
      <c r="FK17">
        <v>1</v>
      </c>
      <c r="FL17">
        <v>289.21567647058799</v>
      </c>
      <c r="FM17">
        <v>-7.2773115390190504E-2</v>
      </c>
      <c r="FN17">
        <v>0.45308171711904599</v>
      </c>
      <c r="FO17">
        <v>-1</v>
      </c>
      <c r="FP17">
        <v>2</v>
      </c>
      <c r="FQ17">
        <v>2</v>
      </c>
      <c r="FR17" t="s">
        <v>346</v>
      </c>
      <c r="FS17">
        <v>100</v>
      </c>
      <c r="FT17">
        <v>100</v>
      </c>
      <c r="FU17">
        <v>-0.58699999999999997</v>
      </c>
      <c r="FV17">
        <v>-0.1832</v>
      </c>
      <c r="FW17">
        <v>-1.00044505238322</v>
      </c>
      <c r="FX17">
        <v>7.6835882421071803E-4</v>
      </c>
      <c r="FY17">
        <v>7.9312579872174805E-7</v>
      </c>
      <c r="FZ17">
        <v>-1.5433145656851401E-10</v>
      </c>
      <c r="GA17">
        <v>-3.3393735869258701E-2</v>
      </c>
      <c r="GB17">
        <v>-2.1578312386681502E-2</v>
      </c>
      <c r="GC17">
        <v>7.7134661959739901E-4</v>
      </c>
      <c r="GD17">
        <v>-1.7684492548540801E-6</v>
      </c>
      <c r="GE17">
        <v>4</v>
      </c>
      <c r="GF17">
        <v>2093</v>
      </c>
      <c r="GG17">
        <v>1</v>
      </c>
      <c r="GH17">
        <v>31</v>
      </c>
      <c r="GI17">
        <v>1.2</v>
      </c>
      <c r="GJ17">
        <v>1.1000000000000001</v>
      </c>
      <c r="GK17">
        <v>1.0351600000000001</v>
      </c>
      <c r="GL17">
        <v>2.6245099999999999</v>
      </c>
      <c r="GM17">
        <v>1.65161</v>
      </c>
      <c r="GN17">
        <v>2.2814899999999998</v>
      </c>
      <c r="GO17">
        <v>1.5979000000000001</v>
      </c>
      <c r="GP17">
        <v>2.5109900000000001</v>
      </c>
      <c r="GQ17">
        <v>33.087499999999999</v>
      </c>
      <c r="GR17">
        <v>15.927</v>
      </c>
      <c r="GS17">
        <v>18</v>
      </c>
      <c r="GT17">
        <v>503.61799999999999</v>
      </c>
      <c r="GU17">
        <v>539.54700000000003</v>
      </c>
      <c r="GV17">
        <v>21.556899999999999</v>
      </c>
      <c r="GW17">
        <v>29.283999999999999</v>
      </c>
      <c r="GX17">
        <v>30.0002</v>
      </c>
      <c r="GY17">
        <v>29.379899999999999</v>
      </c>
      <c r="GZ17">
        <v>29.427700000000002</v>
      </c>
      <c r="HA17">
        <v>20.7059</v>
      </c>
      <c r="HB17">
        <v>32.270200000000003</v>
      </c>
      <c r="HC17">
        <v>21.379799999999999</v>
      </c>
      <c r="HD17">
        <v>21.562799999999999</v>
      </c>
      <c r="HE17">
        <v>400</v>
      </c>
      <c r="HF17">
        <v>15.8543</v>
      </c>
      <c r="HG17">
        <v>98.136799999999994</v>
      </c>
      <c r="HH17">
        <v>94.7012</v>
      </c>
    </row>
    <row r="18" spans="1:216" x14ac:dyDescent="0.6">
      <c r="A18">
        <v>2</v>
      </c>
      <c r="B18">
        <v>1791080598</v>
      </c>
      <c r="C18">
        <v>121</v>
      </c>
      <c r="D18" t="s">
        <v>347</v>
      </c>
      <c r="E18" t="s">
        <v>348</v>
      </c>
      <c r="F18">
        <v>5</v>
      </c>
      <c r="G18">
        <v>1791080590</v>
      </c>
      <c r="H18">
        <f t="shared" si="0"/>
        <v>4.5597863137876206E-3</v>
      </c>
      <c r="I18">
        <f t="shared" si="1"/>
        <v>4.5597863137876207</v>
      </c>
      <c r="J18">
        <f t="shared" si="2"/>
        <v>14.878241730687561</v>
      </c>
      <c r="K18">
        <f t="shared" si="3"/>
        <v>293.51333333333298</v>
      </c>
      <c r="L18">
        <f t="shared" si="4"/>
        <v>214.54788039259105</v>
      </c>
      <c r="M18">
        <f t="shared" si="5"/>
        <v>21.704300063977762</v>
      </c>
      <c r="N18">
        <f t="shared" si="6"/>
        <v>29.692679544481656</v>
      </c>
      <c r="O18">
        <f t="shared" si="7"/>
        <v>0.34233366812650501</v>
      </c>
      <c r="P18">
        <f t="shared" si="8"/>
        <v>3.0284419771601367</v>
      </c>
      <c r="Q18">
        <f t="shared" si="9"/>
        <v>0.32219659705746029</v>
      </c>
      <c r="R18">
        <f t="shared" si="10"/>
        <v>0.20308332844210727</v>
      </c>
      <c r="S18">
        <f t="shared" si="11"/>
        <v>241.73822721557943</v>
      </c>
      <c r="T18">
        <f t="shared" si="12"/>
        <v>25.502975240337506</v>
      </c>
      <c r="U18">
        <f t="shared" si="13"/>
        <v>24.976426666666701</v>
      </c>
      <c r="V18">
        <f t="shared" si="14"/>
        <v>3.1752115484896843</v>
      </c>
      <c r="W18">
        <f t="shared" si="15"/>
        <v>55.042865080388303</v>
      </c>
      <c r="X18">
        <f t="shared" si="16"/>
        <v>1.778587930289629</v>
      </c>
      <c r="Y18">
        <f t="shared" si="17"/>
        <v>3.2312778916796199</v>
      </c>
      <c r="Z18">
        <f t="shared" si="18"/>
        <v>1.3966236182000553</v>
      </c>
      <c r="AA18">
        <f t="shared" si="19"/>
        <v>-201.08657643803406</v>
      </c>
      <c r="AB18">
        <f t="shared" si="20"/>
        <v>47.97833526761886</v>
      </c>
      <c r="AC18">
        <f t="shared" si="21"/>
        <v>3.3552527289765646</v>
      </c>
      <c r="AD18">
        <f t="shared" si="22"/>
        <v>91.985238774140782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53743.181126103795</v>
      </c>
      <c r="AJ18" t="s">
        <v>343</v>
      </c>
      <c r="AK18" t="s">
        <v>343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343</v>
      </c>
      <c r="AQ18" t="s">
        <v>343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1261.2180800080748</v>
      </c>
      <c r="AW18">
        <f t="shared" si="29"/>
        <v>14.878241730687561</v>
      </c>
      <c r="AX18" t="e">
        <f t="shared" si="30"/>
        <v>#DIV/0!</v>
      </c>
      <c r="AY18">
        <f t="shared" si="31"/>
        <v>1.1796724108642897E-2</v>
      </c>
      <c r="AZ18" t="e">
        <f t="shared" si="32"/>
        <v>#DIV/0!</v>
      </c>
      <c r="BA18" t="e">
        <f t="shared" si="33"/>
        <v>#DIV/0!</v>
      </c>
      <c r="BB18" t="s">
        <v>343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CT18">
        <f t="shared" si="42"/>
        <v>1500.00866666667</v>
      </c>
      <c r="CU18">
        <f t="shared" si="43"/>
        <v>1261.2180800080748</v>
      </c>
      <c r="CV18">
        <f t="shared" si="44"/>
        <v>0.84080719534158599</v>
      </c>
      <c r="CW18">
        <f t="shared" si="45"/>
        <v>0.16115788700926098</v>
      </c>
      <c r="CX18">
        <v>2</v>
      </c>
      <c r="CY18">
        <v>0.5</v>
      </c>
      <c r="CZ18" t="s">
        <v>344</v>
      </c>
      <c r="DA18">
        <v>2</v>
      </c>
      <c r="DB18">
        <v>1791080590</v>
      </c>
      <c r="DC18">
        <v>293.51333333333298</v>
      </c>
      <c r="DD18">
        <v>300.00006666666701</v>
      </c>
      <c r="DE18">
        <v>17.581413333333298</v>
      </c>
      <c r="DF18">
        <v>15.789540000000001</v>
      </c>
      <c r="DG18">
        <v>294.06360000000001</v>
      </c>
      <c r="DH18">
        <v>17.76268</v>
      </c>
      <c r="DI18">
        <v>499.99279999999999</v>
      </c>
      <c r="DJ18">
        <v>101.063</v>
      </c>
      <c r="DK18">
        <v>9.9966626666666697E-2</v>
      </c>
      <c r="DL18">
        <v>25.270286666666699</v>
      </c>
      <c r="DM18">
        <v>24.976426666666701</v>
      </c>
      <c r="DN18">
        <v>999.9</v>
      </c>
      <c r="DO18">
        <v>0</v>
      </c>
      <c r="DP18">
        <v>0</v>
      </c>
      <c r="DQ18">
        <v>9998.8406666666706</v>
      </c>
      <c r="DR18">
        <v>0</v>
      </c>
      <c r="DS18">
        <v>8.5548199999999994</v>
      </c>
      <c r="DT18">
        <v>1500.00866666667</v>
      </c>
      <c r="DU18">
        <v>0.97300066666666596</v>
      </c>
      <c r="DV18">
        <v>2.69993E-2</v>
      </c>
      <c r="DW18">
        <v>0</v>
      </c>
      <c r="DX18">
        <v>287.091133333333</v>
      </c>
      <c r="DY18">
        <v>4.9999900000000004</v>
      </c>
      <c r="DZ18">
        <v>4249.2420000000002</v>
      </c>
      <c r="EA18">
        <v>14882.68</v>
      </c>
      <c r="EB18">
        <v>37.087200000000003</v>
      </c>
      <c r="EC18">
        <v>38.724800000000002</v>
      </c>
      <c r="ED18">
        <v>37.686999999999998</v>
      </c>
      <c r="EE18">
        <v>38.1291333333333</v>
      </c>
      <c r="EF18">
        <v>38.7164</v>
      </c>
      <c r="EG18">
        <v>1454.6486666666699</v>
      </c>
      <c r="EH18">
        <v>40.36</v>
      </c>
      <c r="EI18">
        <v>0</v>
      </c>
      <c r="EJ18">
        <v>1791080602.2</v>
      </c>
      <c r="EK18">
        <v>0</v>
      </c>
      <c r="EL18">
        <v>287.04471999999998</v>
      </c>
      <c r="EM18">
        <v>-0.33346152846624399</v>
      </c>
      <c r="EN18">
        <v>-14.746153838827199</v>
      </c>
      <c r="EO18">
        <v>4248.9435999999996</v>
      </c>
      <c r="EP18">
        <v>15</v>
      </c>
      <c r="EQ18">
        <v>1791080539</v>
      </c>
      <c r="ER18" t="s">
        <v>349</v>
      </c>
      <c r="ES18">
        <v>1791080535</v>
      </c>
      <c r="ET18">
        <v>1791080539</v>
      </c>
      <c r="EU18">
        <v>3</v>
      </c>
      <c r="EV18">
        <v>0.16</v>
      </c>
      <c r="EW18">
        <v>2E-3</v>
      </c>
      <c r="EX18">
        <v>-0.54300000000000004</v>
      </c>
      <c r="EY18">
        <v>-0.186</v>
      </c>
      <c r="EZ18">
        <v>300</v>
      </c>
      <c r="FA18">
        <v>16</v>
      </c>
      <c r="FB18">
        <v>0.3</v>
      </c>
      <c r="FC18">
        <v>0.03</v>
      </c>
      <c r="FD18">
        <v>14.8641783099719</v>
      </c>
      <c r="FE18">
        <v>0.22126705868446001</v>
      </c>
      <c r="FF18">
        <v>8.7634106398946393E-2</v>
      </c>
      <c r="FG18">
        <v>1</v>
      </c>
      <c r="FH18">
        <v>-6.4807580952380999</v>
      </c>
      <c r="FI18">
        <v>-8.4199480519477898E-2</v>
      </c>
      <c r="FJ18">
        <v>3.4866748878039297E-2</v>
      </c>
      <c r="FK18">
        <v>1</v>
      </c>
      <c r="FL18">
        <v>287.13200000000001</v>
      </c>
      <c r="FM18">
        <v>-1.1389763146035601</v>
      </c>
      <c r="FN18">
        <v>0.434647592207481</v>
      </c>
      <c r="FO18">
        <v>-1</v>
      </c>
      <c r="FP18">
        <v>2</v>
      </c>
      <c r="FQ18">
        <v>2</v>
      </c>
      <c r="FR18" t="s">
        <v>346</v>
      </c>
      <c r="FS18">
        <v>100</v>
      </c>
      <c r="FT18">
        <v>100</v>
      </c>
      <c r="FU18">
        <v>-0.55000000000000004</v>
      </c>
      <c r="FV18">
        <v>-0.18129999999999999</v>
      </c>
      <c r="FW18">
        <v>-0.84080589890665303</v>
      </c>
      <c r="FX18">
        <v>7.6835882421071803E-4</v>
      </c>
      <c r="FY18">
        <v>7.9312579872174805E-7</v>
      </c>
      <c r="FZ18">
        <v>-1.5433145656851401E-10</v>
      </c>
      <c r="GA18">
        <v>-3.14484957393769E-2</v>
      </c>
      <c r="GB18">
        <v>-2.1578312386681502E-2</v>
      </c>
      <c r="GC18">
        <v>7.7134661959739901E-4</v>
      </c>
      <c r="GD18">
        <v>-1.7684492548540801E-6</v>
      </c>
      <c r="GE18">
        <v>4</v>
      </c>
      <c r="GF18">
        <v>2093</v>
      </c>
      <c r="GG18">
        <v>1</v>
      </c>
      <c r="GH18">
        <v>31</v>
      </c>
      <c r="GI18">
        <v>1.1000000000000001</v>
      </c>
      <c r="GJ18">
        <v>1</v>
      </c>
      <c r="GK18">
        <v>0.82641600000000004</v>
      </c>
      <c r="GL18">
        <v>2.6257299999999999</v>
      </c>
      <c r="GM18">
        <v>1.65161</v>
      </c>
      <c r="GN18">
        <v>2.2814899999999998</v>
      </c>
      <c r="GO18">
        <v>1.5979000000000001</v>
      </c>
      <c r="GP18">
        <v>2.6232899999999999</v>
      </c>
      <c r="GQ18">
        <v>33.154499999999999</v>
      </c>
      <c r="GR18">
        <v>15.918200000000001</v>
      </c>
      <c r="GS18">
        <v>18</v>
      </c>
      <c r="GT18">
        <v>503.98200000000003</v>
      </c>
      <c r="GU18">
        <v>538.55100000000004</v>
      </c>
      <c r="GV18">
        <v>21.582999999999998</v>
      </c>
      <c r="GW18">
        <v>29.326599999999999</v>
      </c>
      <c r="GX18">
        <v>30</v>
      </c>
      <c r="GY18">
        <v>29.423400000000001</v>
      </c>
      <c r="GZ18">
        <v>29.470500000000001</v>
      </c>
      <c r="HA18">
        <v>16.522500000000001</v>
      </c>
      <c r="HB18">
        <v>31.972300000000001</v>
      </c>
      <c r="HC18">
        <v>19.877400000000002</v>
      </c>
      <c r="HD18">
        <v>21.596</v>
      </c>
      <c r="HE18">
        <v>300</v>
      </c>
      <c r="HF18">
        <v>15.8383</v>
      </c>
      <c r="HG18">
        <v>98.131799999999998</v>
      </c>
      <c r="HH18">
        <v>94.694000000000003</v>
      </c>
    </row>
    <row r="19" spans="1:216" x14ac:dyDescent="0.6">
      <c r="A19">
        <v>3</v>
      </c>
      <c r="B19">
        <v>1791080719</v>
      </c>
      <c r="C19">
        <v>242</v>
      </c>
      <c r="D19" t="s">
        <v>350</v>
      </c>
      <c r="E19" t="s">
        <v>351</v>
      </c>
      <c r="F19">
        <v>5</v>
      </c>
      <c r="G19">
        <v>1791080710.5</v>
      </c>
      <c r="H19">
        <f t="shared" si="0"/>
        <v>4.615686159316448E-3</v>
      </c>
      <c r="I19">
        <f t="shared" si="1"/>
        <v>4.6156861593164482</v>
      </c>
      <c r="J19">
        <f t="shared" si="2"/>
        <v>9.1083157124976051</v>
      </c>
      <c r="K19">
        <f t="shared" si="3"/>
        <v>195.99493749999999</v>
      </c>
      <c r="L19">
        <f t="shared" si="4"/>
        <v>147.80591273601641</v>
      </c>
      <c r="M19">
        <f t="shared" si="5"/>
        <v>14.95178067203236</v>
      </c>
      <c r="N19">
        <f t="shared" si="6"/>
        <v>19.826495869367282</v>
      </c>
      <c r="O19">
        <f t="shared" si="7"/>
        <v>0.34657923596895657</v>
      </c>
      <c r="P19">
        <f t="shared" si="8"/>
        <v>3.0297198035923367</v>
      </c>
      <c r="Q19">
        <f t="shared" si="9"/>
        <v>0.32596388342484667</v>
      </c>
      <c r="R19">
        <f t="shared" si="10"/>
        <v>0.20547737112322656</v>
      </c>
      <c r="S19">
        <f t="shared" si="11"/>
        <v>241.73642551558291</v>
      </c>
      <c r="T19">
        <f t="shared" si="12"/>
        <v>25.494624396915004</v>
      </c>
      <c r="U19">
        <f t="shared" si="13"/>
        <v>24.995362499999999</v>
      </c>
      <c r="V19">
        <f t="shared" si="14"/>
        <v>3.1787985676751473</v>
      </c>
      <c r="W19">
        <f t="shared" si="15"/>
        <v>55.113962174396612</v>
      </c>
      <c r="X19">
        <f t="shared" si="16"/>
        <v>1.7815059818767809</v>
      </c>
      <c r="Y19">
        <f t="shared" si="17"/>
        <v>3.232404116110501</v>
      </c>
      <c r="Z19">
        <f t="shared" si="18"/>
        <v>1.3972925857983665</v>
      </c>
      <c r="AA19">
        <f t="shared" si="19"/>
        <v>-203.55175962585537</v>
      </c>
      <c r="AB19">
        <f t="shared" si="20"/>
        <v>45.862319145333245</v>
      </c>
      <c r="AC19">
        <f t="shared" si="21"/>
        <v>3.2063212463730393</v>
      </c>
      <c r="AD19">
        <f t="shared" si="22"/>
        <v>87.253306281433836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53781.843565214716</v>
      </c>
      <c r="AJ19" t="s">
        <v>343</v>
      </c>
      <c r="AK19" t="s">
        <v>343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343</v>
      </c>
      <c r="AQ19" t="s">
        <v>343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1261.2058500080743</v>
      </c>
      <c r="AW19">
        <f t="shared" si="29"/>
        <v>9.1083157124976051</v>
      </c>
      <c r="AX19" t="e">
        <f t="shared" si="30"/>
        <v>#DIV/0!</v>
      </c>
      <c r="AY19">
        <f t="shared" si="31"/>
        <v>7.2219104537449563E-3</v>
      </c>
      <c r="AZ19" t="e">
        <f t="shared" si="32"/>
        <v>#DIV/0!</v>
      </c>
      <c r="BA19" t="e">
        <f t="shared" si="33"/>
        <v>#DIV/0!</v>
      </c>
      <c r="BB19" t="s">
        <v>343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CT19">
        <f t="shared" si="42"/>
        <v>1499.9937500000001</v>
      </c>
      <c r="CU19">
        <f t="shared" si="43"/>
        <v>1261.2058500080743</v>
      </c>
      <c r="CV19">
        <f t="shared" si="44"/>
        <v>0.8408074033695635</v>
      </c>
      <c r="CW19">
        <f t="shared" si="45"/>
        <v>0.16115828850325736</v>
      </c>
      <c r="CX19">
        <v>2</v>
      </c>
      <c r="CY19">
        <v>0.5</v>
      </c>
      <c r="CZ19" t="s">
        <v>344</v>
      </c>
      <c r="DA19">
        <v>2</v>
      </c>
      <c r="DB19">
        <v>1791080710.5</v>
      </c>
      <c r="DC19">
        <v>195.99493749999999</v>
      </c>
      <c r="DD19">
        <v>199.99993749999999</v>
      </c>
      <c r="DE19">
        <v>17.6110875</v>
      </c>
      <c r="DF19">
        <v>15.7974125</v>
      </c>
      <c r="DG19">
        <v>196.55668750000001</v>
      </c>
      <c r="DH19">
        <v>17.795193749999999</v>
      </c>
      <c r="DI19">
        <v>500.02331249999997</v>
      </c>
      <c r="DJ19">
        <v>101.05825</v>
      </c>
      <c r="DK19">
        <v>9.9953993749999998E-2</v>
      </c>
      <c r="DL19">
        <v>25.276143749999999</v>
      </c>
      <c r="DM19">
        <v>24.995362499999999</v>
      </c>
      <c r="DN19">
        <v>999.9</v>
      </c>
      <c r="DO19">
        <v>0</v>
      </c>
      <c r="DP19">
        <v>0</v>
      </c>
      <c r="DQ19">
        <v>10007.036249999999</v>
      </c>
      <c r="DR19">
        <v>0</v>
      </c>
      <c r="DS19">
        <v>8.5830500000000001</v>
      </c>
      <c r="DT19">
        <v>1499.9937500000001</v>
      </c>
      <c r="DU19">
        <v>0.97299899999999995</v>
      </c>
      <c r="DV19">
        <v>2.7001000000000001E-2</v>
      </c>
      <c r="DW19">
        <v>0</v>
      </c>
      <c r="DX19">
        <v>287.81574999999998</v>
      </c>
      <c r="DY19">
        <v>4.9999900000000004</v>
      </c>
      <c r="DZ19">
        <v>4256.6237499999997</v>
      </c>
      <c r="EA19">
        <v>14882.50625</v>
      </c>
      <c r="EB19">
        <v>36.960625</v>
      </c>
      <c r="EC19">
        <v>38.585625</v>
      </c>
      <c r="ED19">
        <v>37.561999999999998</v>
      </c>
      <c r="EE19">
        <v>38</v>
      </c>
      <c r="EF19">
        <v>38.601374999999997</v>
      </c>
      <c r="EG19">
        <v>1454.62375</v>
      </c>
      <c r="EH19">
        <v>40.369999999999997</v>
      </c>
      <c r="EI19">
        <v>0</v>
      </c>
      <c r="EJ19">
        <v>1791080723.4000001</v>
      </c>
      <c r="EK19">
        <v>0</v>
      </c>
      <c r="EL19">
        <v>287.84996000000001</v>
      </c>
      <c r="EM19">
        <v>1.0931538323716301</v>
      </c>
      <c r="EN19">
        <v>-2.3361538419923802</v>
      </c>
      <c r="EO19">
        <v>4256.6448</v>
      </c>
      <c r="EP19">
        <v>15</v>
      </c>
      <c r="EQ19">
        <v>1791080663</v>
      </c>
      <c r="ER19" t="s">
        <v>352</v>
      </c>
      <c r="ES19">
        <v>1791080662</v>
      </c>
      <c r="ET19">
        <v>1791080663</v>
      </c>
      <c r="EU19">
        <v>4</v>
      </c>
      <c r="EV19">
        <v>9.9000000000000005E-2</v>
      </c>
      <c r="EW19">
        <v>-3.0000000000000001E-3</v>
      </c>
      <c r="EX19">
        <v>-0.55700000000000005</v>
      </c>
      <c r="EY19">
        <v>-0.189</v>
      </c>
      <c r="EZ19">
        <v>200</v>
      </c>
      <c r="FA19">
        <v>16</v>
      </c>
      <c r="FB19">
        <v>0.31</v>
      </c>
      <c r="FC19">
        <v>0.02</v>
      </c>
      <c r="FD19">
        <v>9.1295518186266307</v>
      </c>
      <c r="FE19">
        <v>8.3604186606688599E-2</v>
      </c>
      <c r="FF19">
        <v>6.02756947258309E-2</v>
      </c>
      <c r="FG19">
        <v>1</v>
      </c>
      <c r="FH19">
        <v>-4.0118252380952404</v>
      </c>
      <c r="FI19">
        <v>8.0025974026123198E-4</v>
      </c>
      <c r="FJ19">
        <v>2.4009757663053299E-2</v>
      </c>
      <c r="FK19">
        <v>1</v>
      </c>
      <c r="FL19">
        <v>287.795147058824</v>
      </c>
      <c r="FM19">
        <v>0.72093202041105298</v>
      </c>
      <c r="FN19">
        <v>0.556811465206551</v>
      </c>
      <c r="FO19">
        <v>-1</v>
      </c>
      <c r="FP19">
        <v>2</v>
      </c>
      <c r="FQ19">
        <v>2</v>
      </c>
      <c r="FR19" t="s">
        <v>346</v>
      </c>
      <c r="FS19">
        <v>100</v>
      </c>
      <c r="FT19">
        <v>100</v>
      </c>
      <c r="FU19">
        <v>-0.56200000000000006</v>
      </c>
      <c r="FV19">
        <v>-0.1842</v>
      </c>
      <c r="FW19">
        <v>-0.74202907018465902</v>
      </c>
      <c r="FX19">
        <v>7.6835882421071803E-4</v>
      </c>
      <c r="FY19">
        <v>7.9312579872174805E-7</v>
      </c>
      <c r="FZ19">
        <v>-1.5433145656851401E-10</v>
      </c>
      <c r="GA19">
        <v>-3.4420826560715101E-2</v>
      </c>
      <c r="GB19">
        <v>-2.1578312386681502E-2</v>
      </c>
      <c r="GC19">
        <v>7.7134661959739901E-4</v>
      </c>
      <c r="GD19">
        <v>-1.7684492548540801E-6</v>
      </c>
      <c r="GE19">
        <v>4</v>
      </c>
      <c r="GF19">
        <v>2093</v>
      </c>
      <c r="GG19">
        <v>1</v>
      </c>
      <c r="GH19">
        <v>31</v>
      </c>
      <c r="GI19">
        <v>0.9</v>
      </c>
      <c r="GJ19">
        <v>0.9</v>
      </c>
      <c r="GK19">
        <v>0.60790999999999995</v>
      </c>
      <c r="GL19">
        <v>2.6403799999999999</v>
      </c>
      <c r="GM19">
        <v>1.65161</v>
      </c>
      <c r="GN19">
        <v>2.2814899999999998</v>
      </c>
      <c r="GO19">
        <v>1.5979000000000001</v>
      </c>
      <c r="GP19">
        <v>2.5744600000000002</v>
      </c>
      <c r="GQ19">
        <v>33.221600000000002</v>
      </c>
      <c r="GR19">
        <v>15.900700000000001</v>
      </c>
      <c r="GS19">
        <v>18</v>
      </c>
      <c r="GT19">
        <v>503.72399999999999</v>
      </c>
      <c r="GU19">
        <v>537.92100000000005</v>
      </c>
      <c r="GV19">
        <v>21.6355</v>
      </c>
      <c r="GW19">
        <v>29.354500000000002</v>
      </c>
      <c r="GX19">
        <v>30.0002</v>
      </c>
      <c r="GY19">
        <v>29.457799999999999</v>
      </c>
      <c r="GZ19">
        <v>29.5059</v>
      </c>
      <c r="HA19">
        <v>12.143000000000001</v>
      </c>
      <c r="HB19">
        <v>31.628799999999998</v>
      </c>
      <c r="HC19">
        <v>18.379799999999999</v>
      </c>
      <c r="HD19">
        <v>21.6373</v>
      </c>
      <c r="HE19">
        <v>200</v>
      </c>
      <c r="HF19">
        <v>15.8042</v>
      </c>
      <c r="HG19">
        <v>98.128100000000003</v>
      </c>
      <c r="HH19">
        <v>94.692300000000003</v>
      </c>
    </row>
    <row r="20" spans="1:216" x14ac:dyDescent="0.6">
      <c r="A20">
        <v>4</v>
      </c>
      <c r="B20">
        <v>1791080840</v>
      </c>
      <c r="C20">
        <v>363</v>
      </c>
      <c r="D20" t="s">
        <v>353</v>
      </c>
      <c r="E20" t="s">
        <v>354</v>
      </c>
      <c r="F20">
        <v>5</v>
      </c>
      <c r="G20">
        <v>1791080831.5</v>
      </c>
      <c r="H20">
        <f t="shared" si="0"/>
        <v>4.6793721510543932E-3</v>
      </c>
      <c r="I20">
        <f t="shared" si="1"/>
        <v>4.6793721510543929</v>
      </c>
      <c r="J20">
        <f t="shared" si="2"/>
        <v>2.7519027325884098</v>
      </c>
      <c r="K20">
        <f t="shared" si="3"/>
        <v>98.715424999999996</v>
      </c>
      <c r="L20">
        <f t="shared" si="4"/>
        <v>83.486272661602186</v>
      </c>
      <c r="M20">
        <f t="shared" si="5"/>
        <v>8.4450563050532388</v>
      </c>
      <c r="N20">
        <f t="shared" si="6"/>
        <v>9.9855616465398125</v>
      </c>
      <c r="O20">
        <f t="shared" si="7"/>
        <v>0.35230434511059766</v>
      </c>
      <c r="P20">
        <f t="shared" si="8"/>
        <v>3.028754813281429</v>
      </c>
      <c r="Q20">
        <f t="shared" si="9"/>
        <v>0.33101837822082375</v>
      </c>
      <c r="R20">
        <f t="shared" si="10"/>
        <v>0.20869168794978643</v>
      </c>
      <c r="S20">
        <f t="shared" si="11"/>
        <v>241.74530326558232</v>
      </c>
      <c r="T20">
        <f t="shared" si="12"/>
        <v>25.482534058771616</v>
      </c>
      <c r="U20">
        <f t="shared" si="13"/>
        <v>24.993543750000001</v>
      </c>
      <c r="V20">
        <f t="shared" si="14"/>
        <v>3.1784538877944972</v>
      </c>
      <c r="W20">
        <f t="shared" si="15"/>
        <v>55.165094409658856</v>
      </c>
      <c r="X20">
        <f t="shared" si="16"/>
        <v>1.7835692589111753</v>
      </c>
      <c r="Y20">
        <f t="shared" si="17"/>
        <v>3.2331482035837689</v>
      </c>
      <c r="Z20">
        <f t="shared" si="18"/>
        <v>1.3948846288833219</v>
      </c>
      <c r="AA20">
        <f t="shared" si="19"/>
        <v>-206.36031186149873</v>
      </c>
      <c r="AB20">
        <f t="shared" si="20"/>
        <v>46.776402055253016</v>
      </c>
      <c r="AC20">
        <f t="shared" si="21"/>
        <v>3.2713022024059595</v>
      </c>
      <c r="AD20">
        <f t="shared" si="22"/>
        <v>85.432695661742571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53751.001728235598</v>
      </c>
      <c r="AJ20" t="s">
        <v>343</v>
      </c>
      <c r="AK20" t="s">
        <v>343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343</v>
      </c>
      <c r="AQ20" t="s">
        <v>343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1261.252575008074</v>
      </c>
      <c r="AW20">
        <f t="shared" si="29"/>
        <v>2.7519027325884098</v>
      </c>
      <c r="AX20" t="e">
        <f t="shared" si="30"/>
        <v>#DIV/0!</v>
      </c>
      <c r="AY20">
        <f t="shared" si="31"/>
        <v>2.1818807645017442E-3</v>
      </c>
      <c r="AZ20" t="e">
        <f t="shared" si="32"/>
        <v>#DIV/0!</v>
      </c>
      <c r="BA20" t="e">
        <f t="shared" si="33"/>
        <v>#DIV/0!</v>
      </c>
      <c r="BB20" t="s">
        <v>343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CT20">
        <f t="shared" si="42"/>
        <v>1500.0493750000001</v>
      </c>
      <c r="CU20">
        <f t="shared" si="43"/>
        <v>1261.252575008074</v>
      </c>
      <c r="CV20">
        <f t="shared" si="44"/>
        <v>0.84080737342934053</v>
      </c>
      <c r="CW20">
        <f t="shared" si="45"/>
        <v>0.16115823071862706</v>
      </c>
      <c r="CX20">
        <v>2</v>
      </c>
      <c r="CY20">
        <v>0.5</v>
      </c>
      <c r="CZ20" t="s">
        <v>344</v>
      </c>
      <c r="DA20">
        <v>2</v>
      </c>
      <c r="DB20">
        <v>1791080831.5</v>
      </c>
      <c r="DC20">
        <v>98.715424999999996</v>
      </c>
      <c r="DD20">
        <v>100.00089375</v>
      </c>
      <c r="DE20">
        <v>17.632037499999999</v>
      </c>
      <c r="DF20">
        <v>15.793381249999999</v>
      </c>
      <c r="DG20">
        <v>99.181418750000006</v>
      </c>
      <c r="DH20">
        <v>17.8159375</v>
      </c>
      <c r="DI20">
        <v>500.02443749999998</v>
      </c>
      <c r="DJ20">
        <v>101.05500000000001</v>
      </c>
      <c r="DK20">
        <v>0.100028675</v>
      </c>
      <c r="DL20">
        <v>25.280012500000002</v>
      </c>
      <c r="DM20">
        <v>24.993543750000001</v>
      </c>
      <c r="DN20">
        <v>999.9</v>
      </c>
      <c r="DO20">
        <v>0</v>
      </c>
      <c r="DP20">
        <v>0</v>
      </c>
      <c r="DQ20">
        <v>10001.523125</v>
      </c>
      <c r="DR20">
        <v>0</v>
      </c>
      <c r="DS20">
        <v>8.5124718749999992</v>
      </c>
      <c r="DT20">
        <v>1500.0493750000001</v>
      </c>
      <c r="DU20">
        <v>0.97299868749999996</v>
      </c>
      <c r="DV20">
        <v>2.700134375E-2</v>
      </c>
      <c r="DW20">
        <v>0</v>
      </c>
      <c r="DX20">
        <v>292.04374999999999</v>
      </c>
      <c r="DY20">
        <v>4.9999900000000004</v>
      </c>
      <c r="DZ20">
        <v>4313.0656250000002</v>
      </c>
      <c r="EA20">
        <v>14883.0625</v>
      </c>
      <c r="EB20">
        <v>36.835625</v>
      </c>
      <c r="EC20">
        <v>38.5</v>
      </c>
      <c r="ED20">
        <v>37.436999999999998</v>
      </c>
      <c r="EE20">
        <v>37.91375</v>
      </c>
      <c r="EF20">
        <v>38.5</v>
      </c>
      <c r="EG20">
        <v>1454.6793749999999</v>
      </c>
      <c r="EH20">
        <v>40.369999999999997</v>
      </c>
      <c r="EI20">
        <v>0</v>
      </c>
      <c r="EJ20">
        <v>1791080844</v>
      </c>
      <c r="EK20">
        <v>0</v>
      </c>
      <c r="EL20">
        <v>292.189192307692</v>
      </c>
      <c r="EM20">
        <v>1.1955213337941799</v>
      </c>
      <c r="EN20">
        <v>3.1247863717422799</v>
      </c>
      <c r="EO20">
        <v>4312.9323076923101</v>
      </c>
      <c r="EP20">
        <v>15</v>
      </c>
      <c r="EQ20">
        <v>1791080788</v>
      </c>
      <c r="ER20" t="s">
        <v>355</v>
      </c>
      <c r="ES20">
        <v>1791080788</v>
      </c>
      <c r="ET20">
        <v>1791080786</v>
      </c>
      <c r="EU20">
        <v>5</v>
      </c>
      <c r="EV20">
        <v>0.192</v>
      </c>
      <c r="EW20">
        <v>0</v>
      </c>
      <c r="EX20">
        <v>-0.46500000000000002</v>
      </c>
      <c r="EY20">
        <v>-0.189</v>
      </c>
      <c r="EZ20">
        <v>100</v>
      </c>
      <c r="FA20">
        <v>16</v>
      </c>
      <c r="FB20">
        <v>0.23</v>
      </c>
      <c r="FC20">
        <v>7.0000000000000007E-2</v>
      </c>
      <c r="FD20">
        <v>2.7391904654363999</v>
      </c>
      <c r="FE20">
        <v>0.35518392303451102</v>
      </c>
      <c r="FF20">
        <v>6.7391873056382307E-2</v>
      </c>
      <c r="FG20">
        <v>1</v>
      </c>
      <c r="FH20">
        <v>-1.2836050000000001</v>
      </c>
      <c r="FI20">
        <v>-7.3440902255635696E-2</v>
      </c>
      <c r="FJ20">
        <v>2.4298800073254599E-2</v>
      </c>
      <c r="FK20">
        <v>1</v>
      </c>
      <c r="FL20">
        <v>292.16338235294103</v>
      </c>
      <c r="FM20">
        <v>0.28010693753614102</v>
      </c>
      <c r="FN20">
        <v>0.41010328790123801</v>
      </c>
      <c r="FO20">
        <v>-1</v>
      </c>
      <c r="FP20">
        <v>2</v>
      </c>
      <c r="FQ20">
        <v>2</v>
      </c>
      <c r="FR20" t="s">
        <v>346</v>
      </c>
      <c r="FS20">
        <v>100</v>
      </c>
      <c r="FT20">
        <v>100</v>
      </c>
      <c r="FU20">
        <v>-0.46600000000000003</v>
      </c>
      <c r="FV20">
        <v>-0.184</v>
      </c>
      <c r="FW20">
        <v>-0.54984088642555795</v>
      </c>
      <c r="FX20">
        <v>7.6835882421071803E-4</v>
      </c>
      <c r="FY20">
        <v>7.9312579872174805E-7</v>
      </c>
      <c r="FZ20">
        <v>-1.5433145656851401E-10</v>
      </c>
      <c r="GA20">
        <v>-3.4304320252400503E-2</v>
      </c>
      <c r="GB20">
        <v>-2.1578312386681502E-2</v>
      </c>
      <c r="GC20">
        <v>7.7134661959739901E-4</v>
      </c>
      <c r="GD20">
        <v>-1.7684492548540801E-6</v>
      </c>
      <c r="GE20">
        <v>4</v>
      </c>
      <c r="GF20">
        <v>2093</v>
      </c>
      <c r="GG20">
        <v>1</v>
      </c>
      <c r="GH20">
        <v>31</v>
      </c>
      <c r="GI20">
        <v>0.9</v>
      </c>
      <c r="GJ20">
        <v>0.9</v>
      </c>
      <c r="GK20">
        <v>0.380859</v>
      </c>
      <c r="GL20">
        <v>2.66479</v>
      </c>
      <c r="GM20">
        <v>1.65161</v>
      </c>
      <c r="GN20">
        <v>2.2802699999999998</v>
      </c>
      <c r="GO20">
        <v>1.5979000000000001</v>
      </c>
      <c r="GP20">
        <v>2.5293000000000001</v>
      </c>
      <c r="GQ20">
        <v>33.288699999999999</v>
      </c>
      <c r="GR20">
        <v>15.874499999999999</v>
      </c>
      <c r="GS20">
        <v>18</v>
      </c>
      <c r="GT20">
        <v>503.89699999999999</v>
      </c>
      <c r="GU20">
        <v>537.27</v>
      </c>
      <c r="GV20">
        <v>21.700099999999999</v>
      </c>
      <c r="GW20">
        <v>29.369599999999998</v>
      </c>
      <c r="GX20">
        <v>30</v>
      </c>
      <c r="GY20">
        <v>29.481200000000001</v>
      </c>
      <c r="GZ20">
        <v>29.531099999999999</v>
      </c>
      <c r="HA20">
        <v>7.6035399999999997</v>
      </c>
      <c r="HB20">
        <v>31.189800000000002</v>
      </c>
      <c r="HC20">
        <v>16.886500000000002</v>
      </c>
      <c r="HD20">
        <v>21.7029</v>
      </c>
      <c r="HE20">
        <v>100</v>
      </c>
      <c r="HF20">
        <v>15.7721</v>
      </c>
      <c r="HG20">
        <v>98.122200000000007</v>
      </c>
      <c r="HH20">
        <v>94.689700000000002</v>
      </c>
    </row>
    <row r="21" spans="1:216" x14ac:dyDescent="0.6">
      <c r="A21">
        <v>5</v>
      </c>
      <c r="B21">
        <v>1791080961</v>
      </c>
      <c r="C21">
        <v>484</v>
      </c>
      <c r="D21" t="s">
        <v>356</v>
      </c>
      <c r="E21" t="s">
        <v>357</v>
      </c>
      <c r="F21">
        <v>5</v>
      </c>
      <c r="G21">
        <v>1791080953</v>
      </c>
      <c r="H21">
        <f t="shared" si="0"/>
        <v>4.7459135786776015E-3</v>
      </c>
      <c r="I21">
        <f t="shared" si="1"/>
        <v>4.7459135786776017</v>
      </c>
      <c r="J21">
        <f t="shared" si="2"/>
        <v>-0.45830293054624832</v>
      </c>
      <c r="K21">
        <f t="shared" si="3"/>
        <v>50.086280000000002</v>
      </c>
      <c r="L21">
        <f t="shared" si="4"/>
        <v>51.116638798702283</v>
      </c>
      <c r="M21">
        <f t="shared" si="5"/>
        <v>5.1705902816362848</v>
      </c>
      <c r="N21">
        <f t="shared" si="6"/>
        <v>5.0663666214666794</v>
      </c>
      <c r="O21">
        <f t="shared" si="7"/>
        <v>0.3577097384955929</v>
      </c>
      <c r="P21">
        <f t="shared" si="8"/>
        <v>3.0288520468465068</v>
      </c>
      <c r="Q21">
        <f t="shared" si="9"/>
        <v>0.33578804419879682</v>
      </c>
      <c r="R21">
        <f t="shared" si="10"/>
        <v>0.21172505884040022</v>
      </c>
      <c r="S21">
        <f t="shared" si="11"/>
        <v>241.73667821558232</v>
      </c>
      <c r="T21">
        <f t="shared" si="12"/>
        <v>25.474997041355778</v>
      </c>
      <c r="U21">
        <f t="shared" si="13"/>
        <v>24.991246666666701</v>
      </c>
      <c r="V21">
        <f t="shared" si="14"/>
        <v>3.1780186033849076</v>
      </c>
      <c r="W21">
        <f t="shared" si="15"/>
        <v>55.129962777281428</v>
      </c>
      <c r="X21">
        <f t="shared" si="16"/>
        <v>1.7834213486046839</v>
      </c>
      <c r="Y21">
        <f t="shared" si="17"/>
        <v>3.2349402371438138</v>
      </c>
      <c r="Z21">
        <f t="shared" si="18"/>
        <v>1.3945972547802237</v>
      </c>
      <c r="AA21">
        <f t="shared" si="19"/>
        <v>-209.29478881968222</v>
      </c>
      <c r="AB21">
        <f t="shared" si="20"/>
        <v>48.673921839501247</v>
      </c>
      <c r="AC21">
        <f t="shared" si="21"/>
        <v>3.4040159893564845</v>
      </c>
      <c r="AD21">
        <f t="shared" si="22"/>
        <v>84.519827224757819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53752.30503187795</v>
      </c>
      <c r="AJ21" t="s">
        <v>343</v>
      </c>
      <c r="AK21" t="s">
        <v>343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343</v>
      </c>
      <c r="AQ21" t="s">
        <v>343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1261.2071800080712</v>
      </c>
      <c r="AW21">
        <f t="shared" si="29"/>
        <v>-0.45830293054624832</v>
      </c>
      <c r="AX21" t="e">
        <f t="shared" si="30"/>
        <v>#DIV/0!</v>
      </c>
      <c r="AY21">
        <f t="shared" si="31"/>
        <v>-3.6338433352664181E-4</v>
      </c>
      <c r="AZ21" t="e">
        <f t="shared" si="32"/>
        <v>#DIV/0!</v>
      </c>
      <c r="BA21" t="e">
        <f t="shared" si="33"/>
        <v>#DIV/0!</v>
      </c>
      <c r="BB21" t="s">
        <v>343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CT21">
        <f t="shared" si="42"/>
        <v>1499.9953333333301</v>
      </c>
      <c r="CU21">
        <f t="shared" si="43"/>
        <v>1261.2071800080712</v>
      </c>
      <c r="CV21">
        <f t="shared" si="44"/>
        <v>0.84080740251730157</v>
      </c>
      <c r="CW21">
        <f t="shared" si="45"/>
        <v>0.16115828685839212</v>
      </c>
      <c r="CX21">
        <v>2</v>
      </c>
      <c r="CY21">
        <v>0.5</v>
      </c>
      <c r="CZ21" t="s">
        <v>344</v>
      </c>
      <c r="DA21">
        <v>2</v>
      </c>
      <c r="DB21">
        <v>1791080953</v>
      </c>
      <c r="DC21">
        <v>50.086280000000002</v>
      </c>
      <c r="DD21">
        <v>49.998046666666703</v>
      </c>
      <c r="DE21">
        <v>17.630966666666701</v>
      </c>
      <c r="DF21">
        <v>15.7661933333333</v>
      </c>
      <c r="DG21">
        <v>50.615526666666703</v>
      </c>
      <c r="DH21">
        <v>17.813839999999999</v>
      </c>
      <c r="DI21">
        <v>500.032733333333</v>
      </c>
      <c r="DJ21">
        <v>101.0528</v>
      </c>
      <c r="DK21">
        <v>9.9983186666666696E-2</v>
      </c>
      <c r="DL21">
        <v>25.2893266666667</v>
      </c>
      <c r="DM21">
        <v>24.991246666666701</v>
      </c>
      <c r="DN21">
        <v>999.9</v>
      </c>
      <c r="DO21">
        <v>0</v>
      </c>
      <c r="DP21">
        <v>0</v>
      </c>
      <c r="DQ21">
        <v>10002.328666666701</v>
      </c>
      <c r="DR21">
        <v>0</v>
      </c>
      <c r="DS21">
        <v>8.5265900000000006</v>
      </c>
      <c r="DT21">
        <v>1499.9953333333301</v>
      </c>
      <c r="DU21">
        <v>0.97299633333333302</v>
      </c>
      <c r="DV21">
        <v>2.7003760000000002E-2</v>
      </c>
      <c r="DW21">
        <v>0</v>
      </c>
      <c r="DX21">
        <v>296.37413333333302</v>
      </c>
      <c r="DY21">
        <v>4.9999900000000004</v>
      </c>
      <c r="DZ21">
        <v>4369.8253333333296</v>
      </c>
      <c r="EA21">
        <v>14882.52</v>
      </c>
      <c r="EB21">
        <v>36.75</v>
      </c>
      <c r="EC21">
        <v>38.3791333333333</v>
      </c>
      <c r="ED21">
        <v>37.375</v>
      </c>
      <c r="EE21">
        <v>37.811999999999998</v>
      </c>
      <c r="EF21">
        <v>38.3791333333333</v>
      </c>
      <c r="EG21">
        <v>1454.62533333333</v>
      </c>
      <c r="EH21">
        <v>40.369999999999997</v>
      </c>
      <c r="EI21">
        <v>0</v>
      </c>
      <c r="EJ21">
        <v>1791080965.2</v>
      </c>
      <c r="EK21">
        <v>0</v>
      </c>
      <c r="EL21">
        <v>296.40103846153801</v>
      </c>
      <c r="EM21">
        <v>1.6175384616053201</v>
      </c>
      <c r="EN21">
        <v>13.0064957557918</v>
      </c>
      <c r="EO21">
        <v>4369.9192307692301</v>
      </c>
      <c r="EP21">
        <v>15</v>
      </c>
      <c r="EQ21">
        <v>1791080902</v>
      </c>
      <c r="ER21" t="s">
        <v>358</v>
      </c>
      <c r="ES21">
        <v>1791080896</v>
      </c>
      <c r="ET21">
        <v>1791080902</v>
      </c>
      <c r="EU21">
        <v>6</v>
      </c>
      <c r="EV21">
        <v>-0.02</v>
      </c>
      <c r="EW21">
        <v>1E-3</v>
      </c>
      <c r="EX21">
        <v>-0.52900000000000003</v>
      </c>
      <c r="EY21">
        <v>-0.188</v>
      </c>
      <c r="EZ21">
        <v>50</v>
      </c>
      <c r="FA21">
        <v>16</v>
      </c>
      <c r="FB21">
        <v>0.27</v>
      </c>
      <c r="FC21">
        <v>7.0000000000000007E-2</v>
      </c>
      <c r="FD21">
        <v>-0.45974665625175598</v>
      </c>
      <c r="FE21">
        <v>-6.6757991498163805E-2</v>
      </c>
      <c r="FF21">
        <v>5.0761186449922502E-2</v>
      </c>
      <c r="FG21">
        <v>1</v>
      </c>
      <c r="FH21">
        <v>8.9118804999999995E-2</v>
      </c>
      <c r="FI21">
        <v>2.26867624060152E-2</v>
      </c>
      <c r="FJ21">
        <v>2.06374065560204E-2</v>
      </c>
      <c r="FK21">
        <v>1</v>
      </c>
      <c r="FL21">
        <v>296.441941176471</v>
      </c>
      <c r="FM21">
        <v>0.127089377628504</v>
      </c>
      <c r="FN21">
        <v>0.33757456180092099</v>
      </c>
      <c r="FO21">
        <v>-1</v>
      </c>
      <c r="FP21">
        <v>2</v>
      </c>
      <c r="FQ21">
        <v>2</v>
      </c>
      <c r="FR21" t="s">
        <v>346</v>
      </c>
      <c r="FS21">
        <v>100</v>
      </c>
      <c r="FT21">
        <v>100</v>
      </c>
      <c r="FU21">
        <v>-0.52900000000000003</v>
      </c>
      <c r="FV21">
        <v>-0.18290000000000001</v>
      </c>
      <c r="FW21">
        <v>-0.57016672689989201</v>
      </c>
      <c r="FX21">
        <v>7.6835882421071803E-4</v>
      </c>
      <c r="FY21">
        <v>7.9312579872174805E-7</v>
      </c>
      <c r="FZ21">
        <v>-1.5433145656851401E-10</v>
      </c>
      <c r="GA21">
        <v>-3.3279661919717901E-2</v>
      </c>
      <c r="GB21">
        <v>-2.1578312386681502E-2</v>
      </c>
      <c r="GC21">
        <v>7.7134661959739901E-4</v>
      </c>
      <c r="GD21">
        <v>-1.7684492548540801E-6</v>
      </c>
      <c r="GE21">
        <v>4</v>
      </c>
      <c r="GF21">
        <v>2093</v>
      </c>
      <c r="GG21">
        <v>1</v>
      </c>
      <c r="GH21">
        <v>31</v>
      </c>
      <c r="GI21">
        <v>1.1000000000000001</v>
      </c>
      <c r="GJ21">
        <v>1</v>
      </c>
      <c r="GK21">
        <v>0.26855499999999999</v>
      </c>
      <c r="GL21">
        <v>2.67578</v>
      </c>
      <c r="GM21">
        <v>1.65161</v>
      </c>
      <c r="GN21">
        <v>2.2802699999999998</v>
      </c>
      <c r="GO21">
        <v>1.5979000000000001</v>
      </c>
      <c r="GP21">
        <v>2.6196299999999999</v>
      </c>
      <c r="GQ21">
        <v>33.333500000000001</v>
      </c>
      <c r="GR21">
        <v>15.8657</v>
      </c>
      <c r="GS21">
        <v>18</v>
      </c>
      <c r="GT21">
        <v>503.815</v>
      </c>
      <c r="GU21">
        <v>537.07299999999998</v>
      </c>
      <c r="GV21">
        <v>21.785399999999999</v>
      </c>
      <c r="GW21">
        <v>29.372199999999999</v>
      </c>
      <c r="GX21">
        <v>30.0001</v>
      </c>
      <c r="GY21">
        <v>29.4939</v>
      </c>
      <c r="GZ21">
        <v>29.546199999999999</v>
      </c>
      <c r="HA21">
        <v>5.35663</v>
      </c>
      <c r="HB21">
        <v>31.096299999999999</v>
      </c>
      <c r="HC21">
        <v>15.3802</v>
      </c>
      <c r="HD21">
        <v>21.7927</v>
      </c>
      <c r="HE21">
        <v>50</v>
      </c>
      <c r="HF21">
        <v>15.742900000000001</v>
      </c>
      <c r="HG21">
        <v>98.123199999999997</v>
      </c>
      <c r="HH21">
        <v>94.691800000000001</v>
      </c>
    </row>
    <row r="22" spans="1:216" x14ac:dyDescent="0.6">
      <c r="A22">
        <v>6</v>
      </c>
      <c r="B22">
        <v>1791081082</v>
      </c>
      <c r="C22">
        <v>605</v>
      </c>
      <c r="D22" t="s">
        <v>359</v>
      </c>
      <c r="E22" t="s">
        <v>360</v>
      </c>
      <c r="F22">
        <v>5</v>
      </c>
      <c r="G22">
        <v>1791081074</v>
      </c>
      <c r="H22">
        <f t="shared" si="0"/>
        <v>4.7907174557234918E-3</v>
      </c>
      <c r="I22">
        <f t="shared" si="1"/>
        <v>4.7907174557234917</v>
      </c>
      <c r="J22">
        <f t="shared" si="2"/>
        <v>19.020226619648493</v>
      </c>
      <c r="K22">
        <f t="shared" si="3"/>
        <v>391.64946666666702</v>
      </c>
      <c r="L22">
        <f t="shared" si="4"/>
        <v>294.96982854942888</v>
      </c>
      <c r="M22">
        <f t="shared" si="5"/>
        <v>29.835638047433257</v>
      </c>
      <c r="N22">
        <f t="shared" si="6"/>
        <v>39.614599860605232</v>
      </c>
      <c r="O22">
        <f t="shared" si="7"/>
        <v>0.36132541290143599</v>
      </c>
      <c r="P22">
        <f t="shared" si="8"/>
        <v>3.0275889960523537</v>
      </c>
      <c r="Q22">
        <f t="shared" si="9"/>
        <v>0.33896446645822903</v>
      </c>
      <c r="R22">
        <f t="shared" si="10"/>
        <v>0.21374641593200244</v>
      </c>
      <c r="S22">
        <f t="shared" si="11"/>
        <v>241.72954941558385</v>
      </c>
      <c r="T22">
        <f t="shared" si="12"/>
        <v>25.527235446531559</v>
      </c>
      <c r="U22">
        <f t="shared" si="13"/>
        <v>25.009586666666699</v>
      </c>
      <c r="V22">
        <f t="shared" si="14"/>
        <v>3.1814953833758977</v>
      </c>
      <c r="W22">
        <f t="shared" si="15"/>
        <v>55.033524534944569</v>
      </c>
      <c r="X22">
        <f t="shared" si="16"/>
        <v>1.7870408198621344</v>
      </c>
      <c r="Y22">
        <f t="shared" si="17"/>
        <v>3.2471858471056478</v>
      </c>
      <c r="Z22">
        <f t="shared" si="18"/>
        <v>1.3944545635137633</v>
      </c>
      <c r="AA22">
        <f t="shared" si="19"/>
        <v>-211.27063979740598</v>
      </c>
      <c r="AB22">
        <f t="shared" si="20"/>
        <v>56.029144872735493</v>
      </c>
      <c r="AC22">
        <f t="shared" si="21"/>
        <v>3.921654142008709</v>
      </c>
      <c r="AD22">
        <f t="shared" si="22"/>
        <v>90.409708632922076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53701.421444052728</v>
      </c>
      <c r="AJ22" t="s">
        <v>343</v>
      </c>
      <c r="AK22" t="s">
        <v>343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343</v>
      </c>
      <c r="AQ22" t="s">
        <v>343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1261.169660008077</v>
      </c>
      <c r="AW22">
        <f t="shared" si="29"/>
        <v>19.020226619648493</v>
      </c>
      <c r="AX22" t="e">
        <f t="shared" si="30"/>
        <v>#DIV/0!</v>
      </c>
      <c r="AY22">
        <f t="shared" si="31"/>
        <v>1.5081417847878358E-2</v>
      </c>
      <c r="AZ22" t="e">
        <f t="shared" si="32"/>
        <v>#DIV/0!</v>
      </c>
      <c r="BA22" t="e">
        <f t="shared" si="33"/>
        <v>#DIV/0!</v>
      </c>
      <c r="BB22" t="s">
        <v>343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CT22">
        <f t="shared" si="42"/>
        <v>1499.95066666667</v>
      </c>
      <c r="CU22">
        <f t="shared" si="43"/>
        <v>1261.169660008077</v>
      </c>
      <c r="CV22">
        <f t="shared" si="44"/>
        <v>0.84080742656074525</v>
      </c>
      <c r="CW22">
        <f t="shared" si="45"/>
        <v>0.16115833326223838</v>
      </c>
      <c r="CX22">
        <v>2</v>
      </c>
      <c r="CY22">
        <v>0.5</v>
      </c>
      <c r="CZ22" t="s">
        <v>344</v>
      </c>
      <c r="DA22">
        <v>2</v>
      </c>
      <c r="DB22">
        <v>1791081074</v>
      </c>
      <c r="DC22">
        <v>391.64946666666702</v>
      </c>
      <c r="DD22">
        <v>400.00766666666698</v>
      </c>
      <c r="DE22">
        <v>17.667566666666701</v>
      </c>
      <c r="DF22">
        <v>15.7852266666667</v>
      </c>
      <c r="DG22">
        <v>392.14746666666701</v>
      </c>
      <c r="DH22">
        <v>17.850059999999999</v>
      </c>
      <c r="DI22">
        <v>500.024133333333</v>
      </c>
      <c r="DJ22">
        <v>101.048066666667</v>
      </c>
      <c r="DK22">
        <v>0.10003446000000001</v>
      </c>
      <c r="DL22">
        <v>25.3528533333333</v>
      </c>
      <c r="DM22">
        <v>25.009586666666699</v>
      </c>
      <c r="DN22">
        <v>999.9</v>
      </c>
      <c r="DO22">
        <v>0</v>
      </c>
      <c r="DP22">
        <v>0</v>
      </c>
      <c r="DQ22">
        <v>9995.1640000000007</v>
      </c>
      <c r="DR22">
        <v>0</v>
      </c>
      <c r="DS22">
        <v>8.5830500000000001</v>
      </c>
      <c r="DT22">
        <v>1499.95066666667</v>
      </c>
      <c r="DU22">
        <v>0.97299533333333299</v>
      </c>
      <c r="DV22">
        <v>2.70048066666667E-2</v>
      </c>
      <c r="DW22">
        <v>0</v>
      </c>
      <c r="DX22">
        <v>284.8152</v>
      </c>
      <c r="DY22">
        <v>4.9999900000000004</v>
      </c>
      <c r="DZ22">
        <v>4209.7166666666699</v>
      </c>
      <c r="EA22">
        <v>14882.08</v>
      </c>
      <c r="EB22">
        <v>36.645666666666699</v>
      </c>
      <c r="EC22">
        <v>38.311999999999998</v>
      </c>
      <c r="ED22">
        <v>37.2541333333333</v>
      </c>
      <c r="EE22">
        <v>37.75</v>
      </c>
      <c r="EF22">
        <v>38.311999999999998</v>
      </c>
      <c r="EG22">
        <v>1454.5806666666699</v>
      </c>
      <c r="EH22">
        <v>40.369999999999997</v>
      </c>
      <c r="EI22">
        <v>0</v>
      </c>
      <c r="EJ22">
        <v>1791081086.4000001</v>
      </c>
      <c r="EK22">
        <v>0</v>
      </c>
      <c r="EL22">
        <v>284.73992307692299</v>
      </c>
      <c r="EM22">
        <v>3.0477265230336998</v>
      </c>
      <c r="EN22">
        <v>39.537093976467098</v>
      </c>
      <c r="EO22">
        <v>4210.3476923076896</v>
      </c>
      <c r="EP22">
        <v>15</v>
      </c>
      <c r="EQ22">
        <v>1791081027</v>
      </c>
      <c r="ER22" t="s">
        <v>361</v>
      </c>
      <c r="ES22">
        <v>1791081021</v>
      </c>
      <c r="ET22">
        <v>1791081027</v>
      </c>
      <c r="EU22">
        <v>7</v>
      </c>
      <c r="EV22">
        <v>-0.34200000000000003</v>
      </c>
      <c r="EW22">
        <v>0</v>
      </c>
      <c r="EX22">
        <v>-0.48699999999999999</v>
      </c>
      <c r="EY22">
        <v>-0.188</v>
      </c>
      <c r="EZ22">
        <v>400</v>
      </c>
      <c r="FA22">
        <v>16</v>
      </c>
      <c r="FB22">
        <v>0.2</v>
      </c>
      <c r="FC22">
        <v>0.03</v>
      </c>
      <c r="FD22">
        <v>19.009332497289002</v>
      </c>
      <c r="FE22">
        <v>0.231908715206458</v>
      </c>
      <c r="FF22">
        <v>4.2827824317507202E-2</v>
      </c>
      <c r="FG22">
        <v>1</v>
      </c>
      <c r="FH22">
        <v>-8.3540385714285694</v>
      </c>
      <c r="FI22">
        <v>-5.6040000000009998E-2</v>
      </c>
      <c r="FJ22">
        <v>1.61045389300551E-2</v>
      </c>
      <c r="FK22">
        <v>1</v>
      </c>
      <c r="FL22">
        <v>284.55952941176503</v>
      </c>
      <c r="FM22">
        <v>2.5371123140737799</v>
      </c>
      <c r="FN22">
        <v>0.49517223594683901</v>
      </c>
      <c r="FO22">
        <v>-1</v>
      </c>
      <c r="FP22">
        <v>2</v>
      </c>
      <c r="FQ22">
        <v>2</v>
      </c>
      <c r="FR22" t="s">
        <v>346</v>
      </c>
      <c r="FS22">
        <v>100</v>
      </c>
      <c r="FT22">
        <v>100</v>
      </c>
      <c r="FU22">
        <v>-0.498</v>
      </c>
      <c r="FV22">
        <v>-0.1825</v>
      </c>
      <c r="FW22">
        <v>-0.91193891757919199</v>
      </c>
      <c r="FX22">
        <v>7.6835882421071803E-4</v>
      </c>
      <c r="FY22">
        <v>7.9312579872174805E-7</v>
      </c>
      <c r="FZ22">
        <v>-1.5433145656851401E-10</v>
      </c>
      <c r="GA22">
        <v>-3.3011491522515098E-2</v>
      </c>
      <c r="GB22">
        <v>-2.1578312386681502E-2</v>
      </c>
      <c r="GC22">
        <v>7.7134661959739901E-4</v>
      </c>
      <c r="GD22">
        <v>-1.7684492548540801E-6</v>
      </c>
      <c r="GE22">
        <v>4</v>
      </c>
      <c r="GF22">
        <v>2093</v>
      </c>
      <c r="GG22">
        <v>1</v>
      </c>
      <c r="GH22">
        <v>31</v>
      </c>
      <c r="GI22">
        <v>1</v>
      </c>
      <c r="GJ22">
        <v>0.9</v>
      </c>
      <c r="GK22">
        <v>1.0363800000000001</v>
      </c>
      <c r="GL22">
        <v>2.6415999999999999</v>
      </c>
      <c r="GM22">
        <v>1.65161</v>
      </c>
      <c r="GN22">
        <v>2.2802699999999998</v>
      </c>
      <c r="GO22">
        <v>1.5979000000000001</v>
      </c>
      <c r="GP22">
        <v>2.5842299999999998</v>
      </c>
      <c r="GQ22">
        <v>33.378399999999999</v>
      </c>
      <c r="GR22">
        <v>15.839399999999999</v>
      </c>
      <c r="GS22">
        <v>18</v>
      </c>
      <c r="GT22">
        <v>503.87099999999998</v>
      </c>
      <c r="GU22">
        <v>537.48400000000004</v>
      </c>
      <c r="GV22">
        <v>21.864599999999999</v>
      </c>
      <c r="GW22">
        <v>29.354700000000001</v>
      </c>
      <c r="GX22">
        <v>30</v>
      </c>
      <c r="GY22">
        <v>29.491299999999999</v>
      </c>
      <c r="GZ22">
        <v>29.543700000000001</v>
      </c>
      <c r="HA22">
        <v>20.725000000000001</v>
      </c>
      <c r="HB22">
        <v>30.639700000000001</v>
      </c>
      <c r="HC22">
        <v>13.885999999999999</v>
      </c>
      <c r="HD22">
        <v>21.8659</v>
      </c>
      <c r="HE22">
        <v>400</v>
      </c>
      <c r="HF22">
        <v>15.7385</v>
      </c>
      <c r="HG22">
        <v>98.127399999999994</v>
      </c>
      <c r="HH22">
        <v>94.694699999999997</v>
      </c>
    </row>
    <row r="23" spans="1:216" x14ac:dyDescent="0.6">
      <c r="A23">
        <v>7</v>
      </c>
      <c r="B23">
        <v>1791081203</v>
      </c>
      <c r="C23">
        <v>726</v>
      </c>
      <c r="D23" t="s">
        <v>362</v>
      </c>
      <c r="E23" t="s">
        <v>363</v>
      </c>
      <c r="F23">
        <v>5</v>
      </c>
      <c r="G23">
        <v>1791081194.5</v>
      </c>
      <c r="H23">
        <f t="shared" si="0"/>
        <v>4.8313381436091559E-3</v>
      </c>
      <c r="I23">
        <f t="shared" si="1"/>
        <v>4.8313381436091563</v>
      </c>
      <c r="J23">
        <f t="shared" si="2"/>
        <v>19.747181389503801</v>
      </c>
      <c r="K23">
        <f t="shared" si="3"/>
        <v>391.34674999999999</v>
      </c>
      <c r="L23">
        <f t="shared" si="4"/>
        <v>292.35766458701391</v>
      </c>
      <c r="M23">
        <f t="shared" si="5"/>
        <v>29.569324172188715</v>
      </c>
      <c r="N23">
        <f t="shared" si="6"/>
        <v>39.581171681710366</v>
      </c>
      <c r="O23">
        <f t="shared" si="7"/>
        <v>0.3656570629877734</v>
      </c>
      <c r="P23">
        <f t="shared" si="8"/>
        <v>3.0282083572056164</v>
      </c>
      <c r="Q23">
        <f t="shared" si="9"/>
        <v>0.34277934550841649</v>
      </c>
      <c r="R23">
        <f t="shared" si="10"/>
        <v>0.21617317615170806</v>
      </c>
      <c r="S23">
        <f t="shared" si="11"/>
        <v>241.73562751558293</v>
      </c>
      <c r="T23">
        <f t="shared" si="12"/>
        <v>25.506480778122942</v>
      </c>
      <c r="U23">
        <f t="shared" si="13"/>
        <v>24.990668750000001</v>
      </c>
      <c r="V23">
        <f t="shared" si="14"/>
        <v>3.1779090996194999</v>
      </c>
      <c r="W23">
        <f t="shared" si="15"/>
        <v>55.0777389088598</v>
      </c>
      <c r="X23">
        <f t="shared" si="16"/>
        <v>1.7873598705748639</v>
      </c>
      <c r="Y23">
        <f t="shared" si="17"/>
        <v>3.2451583997166402</v>
      </c>
      <c r="Z23">
        <f t="shared" si="18"/>
        <v>1.390549229044636</v>
      </c>
      <c r="AA23">
        <f t="shared" si="19"/>
        <v>-213.06201213316379</v>
      </c>
      <c r="AB23">
        <f t="shared" si="20"/>
        <v>57.414344576587347</v>
      </c>
      <c r="AC23">
        <f t="shared" si="21"/>
        <v>4.0171920989120524</v>
      </c>
      <c r="AD23">
        <f t="shared" si="22"/>
        <v>90.105152057918559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53722.444164411841</v>
      </c>
      <c r="AJ23" t="s">
        <v>343</v>
      </c>
      <c r="AK23" t="s">
        <v>343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343</v>
      </c>
      <c r="AQ23" t="s">
        <v>343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1261.201650008074</v>
      </c>
      <c r="AW23">
        <f t="shared" si="29"/>
        <v>19.747181389503801</v>
      </c>
      <c r="AX23" t="e">
        <f t="shared" si="30"/>
        <v>#DIV/0!</v>
      </c>
      <c r="AY23">
        <f t="shared" si="31"/>
        <v>1.5657433836514075E-2</v>
      </c>
      <c r="AZ23" t="e">
        <f t="shared" si="32"/>
        <v>#DIV/0!</v>
      </c>
      <c r="BA23" t="e">
        <f t="shared" si="33"/>
        <v>#DIV/0!</v>
      </c>
      <c r="BB23" t="s">
        <v>343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CT23">
        <f t="shared" si="42"/>
        <v>1499.98875</v>
      </c>
      <c r="CU23">
        <f t="shared" si="43"/>
        <v>1261.201650008074</v>
      </c>
      <c r="CV23">
        <f t="shared" si="44"/>
        <v>0.84080740606092819</v>
      </c>
      <c r="CW23">
        <f t="shared" si="45"/>
        <v>0.16115829369759135</v>
      </c>
      <c r="CX23">
        <v>2</v>
      </c>
      <c r="CY23">
        <v>0.5</v>
      </c>
      <c r="CZ23" t="s">
        <v>344</v>
      </c>
      <c r="DA23">
        <v>2</v>
      </c>
      <c r="DB23">
        <v>1791081194.5</v>
      </c>
      <c r="DC23">
        <v>391.34674999999999</v>
      </c>
      <c r="DD23">
        <v>400.00187499999998</v>
      </c>
      <c r="DE23">
        <v>17.671975</v>
      </c>
      <c r="DF23">
        <v>15.7736</v>
      </c>
      <c r="DG23">
        <v>391.87599999999998</v>
      </c>
      <c r="DH23">
        <v>17.85376875</v>
      </c>
      <c r="DI23">
        <v>500.00225</v>
      </c>
      <c r="DJ23">
        <v>101.0409375</v>
      </c>
      <c r="DK23">
        <v>9.998594375E-2</v>
      </c>
      <c r="DL23">
        <v>25.34235</v>
      </c>
      <c r="DM23">
        <v>24.990668750000001</v>
      </c>
      <c r="DN23">
        <v>999.9</v>
      </c>
      <c r="DO23">
        <v>0</v>
      </c>
      <c r="DP23">
        <v>0</v>
      </c>
      <c r="DQ23">
        <v>9999.6118750000005</v>
      </c>
      <c r="DR23">
        <v>0</v>
      </c>
      <c r="DS23">
        <v>8.5830500000000001</v>
      </c>
      <c r="DT23">
        <v>1499.98875</v>
      </c>
      <c r="DU23">
        <v>0.97299556249999997</v>
      </c>
      <c r="DV23">
        <v>2.7004568749999999E-2</v>
      </c>
      <c r="DW23">
        <v>0</v>
      </c>
      <c r="DX23">
        <v>288.48575</v>
      </c>
      <c r="DY23">
        <v>4.9999900000000004</v>
      </c>
      <c r="DZ23">
        <v>4260.1424999999999</v>
      </c>
      <c r="EA23">
        <v>14882.43125</v>
      </c>
      <c r="EB23">
        <v>36.625</v>
      </c>
      <c r="EC23">
        <v>38.25</v>
      </c>
      <c r="ED23">
        <v>37.246062500000001</v>
      </c>
      <c r="EE23">
        <v>37.686999999999998</v>
      </c>
      <c r="EF23">
        <v>38.308124999999997</v>
      </c>
      <c r="EG23">
        <v>1454.6187500000001</v>
      </c>
      <c r="EH23">
        <v>40.369999999999997</v>
      </c>
      <c r="EI23">
        <v>0</v>
      </c>
      <c r="EJ23">
        <v>1791081207</v>
      </c>
      <c r="EK23">
        <v>0</v>
      </c>
      <c r="EL23">
        <v>288.26312000000001</v>
      </c>
      <c r="EM23">
        <v>-0.99576919916522699</v>
      </c>
      <c r="EN23">
        <v>7.9153846087799602</v>
      </c>
      <c r="EO23">
        <v>4260.4567999999999</v>
      </c>
      <c r="EP23">
        <v>15</v>
      </c>
      <c r="EQ23">
        <v>1791081143</v>
      </c>
      <c r="ER23" t="s">
        <v>364</v>
      </c>
      <c r="ES23">
        <v>1791081135</v>
      </c>
      <c r="ET23">
        <v>1791081143</v>
      </c>
      <c r="EU23">
        <v>8</v>
      </c>
      <c r="EV23">
        <v>-3.1E-2</v>
      </c>
      <c r="EW23">
        <v>1E-3</v>
      </c>
      <c r="EX23">
        <v>-0.51800000000000002</v>
      </c>
      <c r="EY23">
        <v>-0.187</v>
      </c>
      <c r="EZ23">
        <v>400</v>
      </c>
      <c r="FA23">
        <v>16</v>
      </c>
      <c r="FB23">
        <v>0.28999999999999998</v>
      </c>
      <c r="FC23">
        <v>0.03</v>
      </c>
      <c r="FD23">
        <v>19.714773914254199</v>
      </c>
      <c r="FE23">
        <v>0.21893849549515801</v>
      </c>
      <c r="FF23">
        <v>5.3398816144229699E-2</v>
      </c>
      <c r="FG23">
        <v>1</v>
      </c>
      <c r="FH23">
        <v>-8.6451538095238103</v>
      </c>
      <c r="FI23">
        <v>-0.14549454545454299</v>
      </c>
      <c r="FJ23">
        <v>2.6781313221507098E-2</v>
      </c>
      <c r="FK23">
        <v>1</v>
      </c>
      <c r="FL23">
        <v>288.309411764706</v>
      </c>
      <c r="FM23">
        <v>-0.61509547191059799</v>
      </c>
      <c r="FN23">
        <v>0.45435145230815599</v>
      </c>
      <c r="FO23">
        <v>-1</v>
      </c>
      <c r="FP23">
        <v>2</v>
      </c>
      <c r="FQ23">
        <v>2</v>
      </c>
      <c r="FR23" t="s">
        <v>346</v>
      </c>
      <c r="FS23">
        <v>100</v>
      </c>
      <c r="FT23">
        <v>100</v>
      </c>
      <c r="FU23">
        <v>-0.52900000000000003</v>
      </c>
      <c r="FV23">
        <v>-0.18179999999999999</v>
      </c>
      <c r="FW23">
        <v>-0.94279931856180699</v>
      </c>
      <c r="FX23">
        <v>7.6835882421071803E-4</v>
      </c>
      <c r="FY23">
        <v>7.9312579872174805E-7</v>
      </c>
      <c r="FZ23">
        <v>-1.5433145656851401E-10</v>
      </c>
      <c r="GA23">
        <v>-3.2354213027087297E-2</v>
      </c>
      <c r="GB23">
        <v>-2.1578312386681502E-2</v>
      </c>
      <c r="GC23">
        <v>7.7134661959739901E-4</v>
      </c>
      <c r="GD23">
        <v>-1.7684492548540801E-6</v>
      </c>
      <c r="GE23">
        <v>4</v>
      </c>
      <c r="GF23">
        <v>2093</v>
      </c>
      <c r="GG23">
        <v>1</v>
      </c>
      <c r="GH23">
        <v>31</v>
      </c>
      <c r="GI23">
        <v>1.1000000000000001</v>
      </c>
      <c r="GJ23">
        <v>1</v>
      </c>
      <c r="GK23">
        <v>1.0351600000000001</v>
      </c>
      <c r="GL23">
        <v>2.6293899999999999</v>
      </c>
      <c r="GM23">
        <v>1.65161</v>
      </c>
      <c r="GN23">
        <v>2.2802699999999998</v>
      </c>
      <c r="GO23">
        <v>1.5979000000000001</v>
      </c>
      <c r="GP23">
        <v>2.5146500000000001</v>
      </c>
      <c r="GQ23">
        <v>33.423200000000001</v>
      </c>
      <c r="GR23">
        <v>15.8307</v>
      </c>
      <c r="GS23">
        <v>18</v>
      </c>
      <c r="GT23">
        <v>504.14</v>
      </c>
      <c r="GU23">
        <v>537.09100000000001</v>
      </c>
      <c r="GV23">
        <v>21.899000000000001</v>
      </c>
      <c r="GW23">
        <v>29.339400000000001</v>
      </c>
      <c r="GX23">
        <v>30</v>
      </c>
      <c r="GY23">
        <v>29.481200000000001</v>
      </c>
      <c r="GZ23">
        <v>29.536100000000001</v>
      </c>
      <c r="HA23">
        <v>20.722799999999999</v>
      </c>
      <c r="HB23">
        <v>30.460699999999999</v>
      </c>
      <c r="HC23">
        <v>12.767899999999999</v>
      </c>
      <c r="HD23">
        <v>21.905999999999999</v>
      </c>
      <c r="HE23">
        <v>400</v>
      </c>
      <c r="HF23">
        <v>15.797000000000001</v>
      </c>
      <c r="HG23">
        <v>98.127200000000002</v>
      </c>
      <c r="HH23">
        <v>94.697500000000005</v>
      </c>
    </row>
    <row r="24" spans="1:216" x14ac:dyDescent="0.6">
      <c r="A24">
        <v>8</v>
      </c>
      <c r="B24">
        <v>1791081335</v>
      </c>
      <c r="C24">
        <v>858</v>
      </c>
      <c r="D24" t="s">
        <v>365</v>
      </c>
      <c r="E24" t="s">
        <v>366</v>
      </c>
      <c r="F24">
        <v>5</v>
      </c>
      <c r="G24">
        <v>1791081327</v>
      </c>
      <c r="H24">
        <f t="shared" si="0"/>
        <v>4.866613336505678E-3</v>
      </c>
      <c r="I24">
        <f t="shared" si="1"/>
        <v>4.8666133365056776</v>
      </c>
      <c r="J24">
        <f t="shared" si="2"/>
        <v>27.481925777566975</v>
      </c>
      <c r="K24">
        <f t="shared" si="3"/>
        <v>687.68486666666695</v>
      </c>
      <c r="L24">
        <f t="shared" si="4"/>
        <v>547.78495610457674</v>
      </c>
      <c r="M24">
        <f t="shared" si="5"/>
        <v>55.398724035089245</v>
      </c>
      <c r="N24">
        <f t="shared" si="6"/>
        <v>69.547116486165095</v>
      </c>
      <c r="O24">
        <f t="shared" si="7"/>
        <v>0.36880188975915051</v>
      </c>
      <c r="P24">
        <f t="shared" si="8"/>
        <v>3.0275094807650276</v>
      </c>
      <c r="Q24">
        <f t="shared" si="9"/>
        <v>0.34553738201784923</v>
      </c>
      <c r="R24">
        <f t="shared" si="10"/>
        <v>0.21792867924822706</v>
      </c>
      <c r="S24">
        <f t="shared" si="11"/>
        <v>241.73625261558345</v>
      </c>
      <c r="T24">
        <f t="shared" si="12"/>
        <v>25.518581073636032</v>
      </c>
      <c r="U24">
        <f t="shared" si="13"/>
        <v>25.002226666666701</v>
      </c>
      <c r="V24">
        <f t="shared" si="14"/>
        <v>3.180099722522546</v>
      </c>
      <c r="W24">
        <f t="shared" si="15"/>
        <v>55.113112258251654</v>
      </c>
      <c r="X24">
        <f t="shared" si="16"/>
        <v>1.790739276444242</v>
      </c>
      <c r="Y24">
        <f t="shared" si="17"/>
        <v>3.2492073175855327</v>
      </c>
      <c r="Z24">
        <f t="shared" si="18"/>
        <v>1.389360446078304</v>
      </c>
      <c r="AA24">
        <f t="shared" si="19"/>
        <v>-214.61764813990041</v>
      </c>
      <c r="AB24">
        <f t="shared" si="20"/>
        <v>58.937325678681724</v>
      </c>
      <c r="AC24">
        <f t="shared" si="21"/>
        <v>4.1253797254393527</v>
      </c>
      <c r="AD24">
        <f t="shared" si="22"/>
        <v>90.181309879804132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53696.719713928505</v>
      </c>
      <c r="AJ24" t="s">
        <v>343</v>
      </c>
      <c r="AK24" t="s">
        <v>343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343</v>
      </c>
      <c r="AQ24" t="s">
        <v>343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1261.2049400080768</v>
      </c>
      <c r="AW24">
        <f t="shared" si="29"/>
        <v>27.481925777566975</v>
      </c>
      <c r="AX24" t="e">
        <f t="shared" si="30"/>
        <v>#DIV/0!</v>
      </c>
      <c r="AY24">
        <f t="shared" si="31"/>
        <v>2.1790214187863061E-2</v>
      </c>
      <c r="AZ24" t="e">
        <f t="shared" si="32"/>
        <v>#DIV/0!</v>
      </c>
      <c r="BA24" t="e">
        <f t="shared" si="33"/>
        <v>#DIV/0!</v>
      </c>
      <c r="BB24" t="s">
        <v>343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CT24">
        <f t="shared" si="42"/>
        <v>1499.9926666666699</v>
      </c>
      <c r="CU24">
        <f t="shared" si="43"/>
        <v>1261.2049400080768</v>
      </c>
      <c r="CV24">
        <f t="shared" si="44"/>
        <v>0.84080740395269093</v>
      </c>
      <c r="CW24">
        <f t="shared" si="45"/>
        <v>0.16115828962869347</v>
      </c>
      <c r="CX24">
        <v>2</v>
      </c>
      <c r="CY24">
        <v>0.5</v>
      </c>
      <c r="CZ24" t="s">
        <v>344</v>
      </c>
      <c r="DA24">
        <v>2</v>
      </c>
      <c r="DB24">
        <v>1791081327</v>
      </c>
      <c r="DC24">
        <v>687.68486666666695</v>
      </c>
      <c r="DD24">
        <v>700.01586666666697</v>
      </c>
      <c r="DE24">
        <v>17.706906666666701</v>
      </c>
      <c r="DF24">
        <v>15.7948</v>
      </c>
      <c r="DG24">
        <v>687.765533333333</v>
      </c>
      <c r="DH24">
        <v>17.889279999999999</v>
      </c>
      <c r="DI24">
        <v>500.01819999999998</v>
      </c>
      <c r="DJ24">
        <v>101.032266666667</v>
      </c>
      <c r="DK24">
        <v>9.9981340000000002E-2</v>
      </c>
      <c r="DL24">
        <v>25.363320000000002</v>
      </c>
      <c r="DM24">
        <v>25.002226666666701</v>
      </c>
      <c r="DN24">
        <v>999.9</v>
      </c>
      <c r="DO24">
        <v>0</v>
      </c>
      <c r="DP24">
        <v>0</v>
      </c>
      <c r="DQ24">
        <v>9996.2466666666696</v>
      </c>
      <c r="DR24">
        <v>0</v>
      </c>
      <c r="DS24">
        <v>8.5830500000000001</v>
      </c>
      <c r="DT24">
        <v>1499.9926666666699</v>
      </c>
      <c r="DU24">
        <v>0.97299500000000005</v>
      </c>
      <c r="DV24">
        <v>2.7005166666666702E-2</v>
      </c>
      <c r="DW24">
        <v>0</v>
      </c>
      <c r="DX24">
        <v>289.77800000000002</v>
      </c>
      <c r="DY24">
        <v>4.9999900000000004</v>
      </c>
      <c r="DZ24">
        <v>4284.1793333333299</v>
      </c>
      <c r="EA24">
        <v>14882.473333333301</v>
      </c>
      <c r="EB24">
        <v>36.561999999999998</v>
      </c>
      <c r="EC24">
        <v>38.186999999999998</v>
      </c>
      <c r="ED24">
        <v>37.145666666666699</v>
      </c>
      <c r="EE24">
        <v>37.620800000000003</v>
      </c>
      <c r="EF24">
        <v>38.2164</v>
      </c>
      <c r="EG24">
        <v>1454.6226666666701</v>
      </c>
      <c r="EH24">
        <v>40.369999999999997</v>
      </c>
      <c r="EI24">
        <v>0</v>
      </c>
      <c r="EJ24">
        <v>1791081339</v>
      </c>
      <c r="EK24">
        <v>0</v>
      </c>
      <c r="EL24">
        <v>289.89659999999998</v>
      </c>
      <c r="EM24">
        <v>2.3399230628115499</v>
      </c>
      <c r="EN24">
        <v>12.173076886999199</v>
      </c>
      <c r="EO24">
        <v>4284.3224</v>
      </c>
      <c r="EP24">
        <v>15</v>
      </c>
      <c r="EQ24">
        <v>1791081276</v>
      </c>
      <c r="ER24" t="s">
        <v>367</v>
      </c>
      <c r="ES24">
        <v>1791081276</v>
      </c>
      <c r="ET24">
        <v>1791081265</v>
      </c>
      <c r="EU24">
        <v>9</v>
      </c>
      <c r="EV24">
        <v>8.9999999999999993E-3</v>
      </c>
      <c r="EW24">
        <v>-1E-3</v>
      </c>
      <c r="EX24">
        <v>-0.06</v>
      </c>
      <c r="EY24">
        <v>-0.188</v>
      </c>
      <c r="EZ24">
        <v>700</v>
      </c>
      <c r="FA24">
        <v>16</v>
      </c>
      <c r="FB24">
        <v>0.1</v>
      </c>
      <c r="FC24">
        <v>0.04</v>
      </c>
      <c r="FD24">
        <v>27.468437680824799</v>
      </c>
      <c r="FE24">
        <v>0.25197964716459298</v>
      </c>
      <c r="FF24">
        <v>4.2149546981365603E-2</v>
      </c>
      <c r="FG24">
        <v>1</v>
      </c>
      <c r="FH24">
        <v>-12.3266285714286</v>
      </c>
      <c r="FI24">
        <v>-3.51038961039171E-2</v>
      </c>
      <c r="FJ24">
        <v>1.4834616622620599E-2</v>
      </c>
      <c r="FK24">
        <v>1</v>
      </c>
      <c r="FL24">
        <v>289.813029411765</v>
      </c>
      <c r="FM24">
        <v>-5.3796786669041599E-2</v>
      </c>
      <c r="FN24">
        <v>0.46430026322312601</v>
      </c>
      <c r="FO24">
        <v>-1</v>
      </c>
      <c r="FP24">
        <v>2</v>
      </c>
      <c r="FQ24">
        <v>2</v>
      </c>
      <c r="FR24" t="s">
        <v>346</v>
      </c>
      <c r="FS24">
        <v>100</v>
      </c>
      <c r="FT24">
        <v>100</v>
      </c>
      <c r="FU24">
        <v>-0.08</v>
      </c>
      <c r="FV24">
        <v>-0.18229999999999999</v>
      </c>
      <c r="FW24">
        <v>-0.93393214661916402</v>
      </c>
      <c r="FX24">
        <v>7.6835882421071803E-4</v>
      </c>
      <c r="FY24">
        <v>7.9312579872174805E-7</v>
      </c>
      <c r="FZ24">
        <v>-1.5433145656851401E-10</v>
      </c>
      <c r="GA24">
        <v>-3.3090275883060599E-2</v>
      </c>
      <c r="GB24">
        <v>-2.1578312386681502E-2</v>
      </c>
      <c r="GC24">
        <v>7.7134661959739901E-4</v>
      </c>
      <c r="GD24">
        <v>-1.7684492548540801E-6</v>
      </c>
      <c r="GE24">
        <v>4</v>
      </c>
      <c r="GF24">
        <v>2093</v>
      </c>
      <c r="GG24">
        <v>1</v>
      </c>
      <c r="GH24">
        <v>31</v>
      </c>
      <c r="GI24">
        <v>1</v>
      </c>
      <c r="GJ24">
        <v>1.2</v>
      </c>
      <c r="GK24">
        <v>1.6198699999999999</v>
      </c>
      <c r="GL24">
        <v>2.6257299999999999</v>
      </c>
      <c r="GM24">
        <v>1.65161</v>
      </c>
      <c r="GN24">
        <v>2.2814899999999998</v>
      </c>
      <c r="GO24">
        <v>1.5979000000000001</v>
      </c>
      <c r="GP24">
        <v>2.6355</v>
      </c>
      <c r="GQ24">
        <v>33.4681</v>
      </c>
      <c r="GR24">
        <v>15.8132</v>
      </c>
      <c r="GS24">
        <v>18</v>
      </c>
      <c r="GT24">
        <v>504.33600000000001</v>
      </c>
      <c r="GU24">
        <v>537.47299999999996</v>
      </c>
      <c r="GV24">
        <v>21.979800000000001</v>
      </c>
      <c r="GW24">
        <v>29.3293</v>
      </c>
      <c r="GX24">
        <v>30</v>
      </c>
      <c r="GY24">
        <v>29.473299999999998</v>
      </c>
      <c r="GZ24">
        <v>29.528600000000001</v>
      </c>
      <c r="HA24">
        <v>32.369100000000003</v>
      </c>
      <c r="HB24">
        <v>30.3019</v>
      </c>
      <c r="HC24">
        <v>11.2721</v>
      </c>
      <c r="HD24">
        <v>21.9727</v>
      </c>
      <c r="HE24">
        <v>700</v>
      </c>
      <c r="HF24">
        <v>15.736499999999999</v>
      </c>
      <c r="HG24">
        <v>98.128600000000006</v>
      </c>
      <c r="HH24">
        <v>94.7</v>
      </c>
    </row>
    <row r="25" spans="1:216" x14ac:dyDescent="0.6">
      <c r="A25">
        <v>9</v>
      </c>
      <c r="B25">
        <v>1791081456</v>
      </c>
      <c r="C25">
        <v>979</v>
      </c>
      <c r="D25" t="s">
        <v>368</v>
      </c>
      <c r="E25" t="s">
        <v>369</v>
      </c>
      <c r="F25">
        <v>5</v>
      </c>
      <c r="G25">
        <v>1791081447.5</v>
      </c>
      <c r="H25">
        <f t="shared" si="0"/>
        <v>4.8976934157831092E-3</v>
      </c>
      <c r="I25">
        <f t="shared" si="1"/>
        <v>4.8976934157831096</v>
      </c>
      <c r="J25">
        <f t="shared" si="2"/>
        <v>29.386583988826384</v>
      </c>
      <c r="K25">
        <f t="shared" si="3"/>
        <v>986.3058125</v>
      </c>
      <c r="L25">
        <f t="shared" si="4"/>
        <v>831.8161053100705</v>
      </c>
      <c r="M25">
        <f t="shared" si="5"/>
        <v>84.122888624083885</v>
      </c>
      <c r="N25">
        <f t="shared" si="6"/>
        <v>99.746678964932485</v>
      </c>
      <c r="O25">
        <f t="shared" si="7"/>
        <v>0.37078334353238834</v>
      </c>
      <c r="P25">
        <f t="shared" si="8"/>
        <v>3.0277325796906496</v>
      </c>
      <c r="Q25">
        <f t="shared" si="9"/>
        <v>0.34727833924087675</v>
      </c>
      <c r="R25">
        <f t="shared" si="10"/>
        <v>0.21903650720367762</v>
      </c>
      <c r="S25">
        <f t="shared" si="11"/>
        <v>241.73832076558276</v>
      </c>
      <c r="T25">
        <f t="shared" si="12"/>
        <v>25.523326817694091</v>
      </c>
      <c r="U25">
        <f t="shared" si="13"/>
        <v>25.015006249999999</v>
      </c>
      <c r="V25">
        <f t="shared" si="14"/>
        <v>3.1825234293777243</v>
      </c>
      <c r="W25">
        <f t="shared" si="15"/>
        <v>55.09003361088979</v>
      </c>
      <c r="X25">
        <f t="shared" si="16"/>
        <v>1.7913300184850034</v>
      </c>
      <c r="Y25">
        <f t="shared" si="17"/>
        <v>3.2516408160820336</v>
      </c>
      <c r="Z25">
        <f t="shared" si="18"/>
        <v>1.3911934108927209</v>
      </c>
      <c r="AA25">
        <f t="shared" si="19"/>
        <v>-215.98827963603512</v>
      </c>
      <c r="AB25">
        <f t="shared" si="20"/>
        <v>58.911130982506904</v>
      </c>
      <c r="AC25">
        <f t="shared" si="21"/>
        <v>4.1237686409239425</v>
      </c>
      <c r="AD25">
        <f t="shared" si="22"/>
        <v>88.784940752978486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53701.383689906776</v>
      </c>
      <c r="AJ25" t="s">
        <v>343</v>
      </c>
      <c r="AK25" t="s">
        <v>343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343</v>
      </c>
      <c r="AQ25" t="s">
        <v>343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1261.215825008074</v>
      </c>
      <c r="AW25">
        <f t="shared" si="29"/>
        <v>29.386583988826384</v>
      </c>
      <c r="AX25" t="e">
        <f t="shared" si="30"/>
        <v>#DIV/0!</v>
      </c>
      <c r="AY25">
        <f t="shared" si="31"/>
        <v>2.3300202396872288E-2</v>
      </c>
      <c r="AZ25" t="e">
        <f t="shared" si="32"/>
        <v>#DIV/0!</v>
      </c>
      <c r="BA25" t="e">
        <f t="shared" si="33"/>
        <v>#DIV/0!</v>
      </c>
      <c r="BB25" t="s">
        <v>343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CT25">
        <f t="shared" si="42"/>
        <v>1500.005625</v>
      </c>
      <c r="CU25">
        <f t="shared" si="43"/>
        <v>1261.215825008074</v>
      </c>
      <c r="CV25">
        <f t="shared" si="44"/>
        <v>0.84080739697764406</v>
      </c>
      <c r="CW25">
        <f t="shared" si="45"/>
        <v>0.16115827616685288</v>
      </c>
      <c r="CX25">
        <v>2</v>
      </c>
      <c r="CY25">
        <v>0.5</v>
      </c>
      <c r="CZ25" t="s">
        <v>344</v>
      </c>
      <c r="DA25">
        <v>2</v>
      </c>
      <c r="DB25">
        <v>1791081447.5</v>
      </c>
      <c r="DC25">
        <v>986.3058125</v>
      </c>
      <c r="DD25">
        <v>999.99206249999997</v>
      </c>
      <c r="DE25">
        <v>17.7128625</v>
      </c>
      <c r="DF25">
        <v>15.788575</v>
      </c>
      <c r="DG25">
        <v>985.93281249999995</v>
      </c>
      <c r="DH25">
        <v>17.899481250000001</v>
      </c>
      <c r="DI25">
        <v>500.02312499999999</v>
      </c>
      <c r="DJ25">
        <v>101.03156250000001</v>
      </c>
      <c r="DK25">
        <v>0.10003147499999999</v>
      </c>
      <c r="DL25">
        <v>25.375912499999998</v>
      </c>
      <c r="DM25">
        <v>25.015006249999999</v>
      </c>
      <c r="DN25">
        <v>999.9</v>
      </c>
      <c r="DO25">
        <v>0</v>
      </c>
      <c r="DP25">
        <v>0</v>
      </c>
      <c r="DQ25">
        <v>9997.6643750000003</v>
      </c>
      <c r="DR25">
        <v>0</v>
      </c>
      <c r="DS25">
        <v>8.57069875</v>
      </c>
      <c r="DT25">
        <v>1500.005625</v>
      </c>
      <c r="DU25">
        <v>0.97299556249999997</v>
      </c>
      <c r="DV25">
        <v>2.7004568749999999E-2</v>
      </c>
      <c r="DW25">
        <v>0</v>
      </c>
      <c r="DX25">
        <v>289.12106249999999</v>
      </c>
      <c r="DY25">
        <v>4.9999900000000004</v>
      </c>
      <c r="DZ25">
        <v>4273.7481250000001</v>
      </c>
      <c r="EA25">
        <v>14882.612499999999</v>
      </c>
      <c r="EB25">
        <v>36.558124999999997</v>
      </c>
      <c r="EC25">
        <v>38.159875</v>
      </c>
      <c r="ED25">
        <v>37.125</v>
      </c>
      <c r="EE25">
        <v>37.621062500000001</v>
      </c>
      <c r="EF25">
        <v>38.186999999999998</v>
      </c>
      <c r="EG25">
        <v>1454.6356249999999</v>
      </c>
      <c r="EH25">
        <v>40.369999999999997</v>
      </c>
      <c r="EI25">
        <v>0</v>
      </c>
      <c r="EJ25">
        <v>1791081460.2</v>
      </c>
      <c r="EK25">
        <v>0</v>
      </c>
      <c r="EL25">
        <v>289.24092000000002</v>
      </c>
      <c r="EM25">
        <v>0.81607692522959396</v>
      </c>
      <c r="EN25">
        <v>-4.5869230600333397</v>
      </c>
      <c r="EO25">
        <v>4273.5384000000004</v>
      </c>
      <c r="EP25">
        <v>15</v>
      </c>
      <c r="EQ25">
        <v>1791081412</v>
      </c>
      <c r="ER25" t="s">
        <v>370</v>
      </c>
      <c r="ES25">
        <v>1791081412</v>
      </c>
      <c r="ET25">
        <v>1791081394</v>
      </c>
      <c r="EU25">
        <v>10</v>
      </c>
      <c r="EV25">
        <v>-7.3999999999999996E-2</v>
      </c>
      <c r="EW25">
        <v>-4.0000000000000001E-3</v>
      </c>
      <c r="EX25">
        <v>0.39900000000000002</v>
      </c>
      <c r="EY25">
        <v>-0.192</v>
      </c>
      <c r="EZ25">
        <v>1000</v>
      </c>
      <c r="FA25">
        <v>16</v>
      </c>
      <c r="FB25">
        <v>0.2</v>
      </c>
      <c r="FC25">
        <v>0.04</v>
      </c>
      <c r="FD25">
        <v>29.339824126693301</v>
      </c>
      <c r="FE25">
        <v>0.36048523876141703</v>
      </c>
      <c r="FF25">
        <v>0.115657725160767</v>
      </c>
      <c r="FG25">
        <v>1</v>
      </c>
      <c r="FH25">
        <v>-13.6822142857143</v>
      </c>
      <c r="FI25">
        <v>-8.6111688311696896E-2</v>
      </c>
      <c r="FJ25">
        <v>5.1013660968824703E-2</v>
      </c>
      <c r="FK25">
        <v>1</v>
      </c>
      <c r="FL25">
        <v>289.15432352941201</v>
      </c>
      <c r="FM25">
        <v>1.41899159938194</v>
      </c>
      <c r="FN25">
        <v>0.45650280075091199</v>
      </c>
      <c r="FO25">
        <v>-1</v>
      </c>
      <c r="FP25">
        <v>2</v>
      </c>
      <c r="FQ25">
        <v>2</v>
      </c>
      <c r="FR25" t="s">
        <v>346</v>
      </c>
      <c r="FS25">
        <v>100</v>
      </c>
      <c r="FT25">
        <v>100</v>
      </c>
      <c r="FU25">
        <v>0.373</v>
      </c>
      <c r="FV25">
        <v>-0.1867</v>
      </c>
      <c r="FW25">
        <v>-1.0076032950018201</v>
      </c>
      <c r="FX25">
        <v>7.6835882421071803E-4</v>
      </c>
      <c r="FY25">
        <v>7.9312579872174805E-7</v>
      </c>
      <c r="FZ25">
        <v>-1.5433145656851401E-10</v>
      </c>
      <c r="GA25">
        <v>-3.7374156407037999E-2</v>
      </c>
      <c r="GB25">
        <v>-2.1578312386681502E-2</v>
      </c>
      <c r="GC25">
        <v>7.7134661959739901E-4</v>
      </c>
      <c r="GD25">
        <v>-1.7684492548540801E-6</v>
      </c>
      <c r="GE25">
        <v>4</v>
      </c>
      <c r="GF25">
        <v>2093</v>
      </c>
      <c r="GG25">
        <v>1</v>
      </c>
      <c r="GH25">
        <v>31</v>
      </c>
      <c r="GI25">
        <v>0.7</v>
      </c>
      <c r="GJ25">
        <v>1</v>
      </c>
      <c r="GK25">
        <v>2.1606399999999999</v>
      </c>
      <c r="GL25">
        <v>2.6159699999999999</v>
      </c>
      <c r="GM25">
        <v>1.65161</v>
      </c>
      <c r="GN25">
        <v>2.2814899999999998</v>
      </c>
      <c r="GO25">
        <v>1.5979000000000001</v>
      </c>
      <c r="GP25">
        <v>2.63428</v>
      </c>
      <c r="GQ25">
        <v>33.512999999999998</v>
      </c>
      <c r="GR25">
        <v>15.786899999999999</v>
      </c>
      <c r="GS25">
        <v>18</v>
      </c>
      <c r="GT25">
        <v>504.31400000000002</v>
      </c>
      <c r="GU25">
        <v>537.44399999999996</v>
      </c>
      <c r="GV25">
        <v>21.8475</v>
      </c>
      <c r="GW25">
        <v>29.326799999999999</v>
      </c>
      <c r="GX25">
        <v>30.000299999999999</v>
      </c>
      <c r="GY25">
        <v>29.468699999999998</v>
      </c>
      <c r="GZ25">
        <v>29.523499999999999</v>
      </c>
      <c r="HA25">
        <v>43.192599999999999</v>
      </c>
      <c r="HB25">
        <v>30.1234</v>
      </c>
      <c r="HC25">
        <v>10.518700000000001</v>
      </c>
      <c r="HD25">
        <v>21.829599999999999</v>
      </c>
      <c r="HE25">
        <v>1000</v>
      </c>
      <c r="HF25">
        <v>15.797700000000001</v>
      </c>
      <c r="HG25">
        <v>98.129599999999996</v>
      </c>
      <c r="HH25">
        <v>94.701499999999996</v>
      </c>
    </row>
    <row r="26" spans="1:216" x14ac:dyDescent="0.6">
      <c r="A26">
        <v>10</v>
      </c>
      <c r="B26">
        <v>1791081578</v>
      </c>
      <c r="C26">
        <v>1101</v>
      </c>
      <c r="D26" t="s">
        <v>371</v>
      </c>
      <c r="E26" t="s">
        <v>372</v>
      </c>
      <c r="F26">
        <v>5</v>
      </c>
      <c r="G26">
        <v>1791081569.5</v>
      </c>
      <c r="H26">
        <f t="shared" si="0"/>
        <v>4.8938934651206242E-3</v>
      </c>
      <c r="I26">
        <f t="shared" si="1"/>
        <v>4.8938934651206241</v>
      </c>
      <c r="J26">
        <f t="shared" si="2"/>
        <v>30.228086907192615</v>
      </c>
      <c r="K26">
        <f t="shared" si="3"/>
        <v>1185.5943749999999</v>
      </c>
      <c r="L26">
        <f t="shared" si="4"/>
        <v>1022.6760890928757</v>
      </c>
      <c r="M26">
        <f t="shared" si="5"/>
        <v>103.42285775958958</v>
      </c>
      <c r="N26">
        <f t="shared" si="6"/>
        <v>119.8987242529133</v>
      </c>
      <c r="O26">
        <f t="shared" si="7"/>
        <v>0.37018658722109732</v>
      </c>
      <c r="P26">
        <f t="shared" si="8"/>
        <v>3.0290708439310161</v>
      </c>
      <c r="Q26">
        <f t="shared" si="9"/>
        <v>0.34676426741682054</v>
      </c>
      <c r="R26">
        <f t="shared" si="10"/>
        <v>0.21870845808080044</v>
      </c>
      <c r="S26">
        <f t="shared" si="11"/>
        <v>241.73991676558265</v>
      </c>
      <c r="T26">
        <f t="shared" si="12"/>
        <v>25.512266464012249</v>
      </c>
      <c r="U26">
        <f t="shared" si="13"/>
        <v>25.0021375</v>
      </c>
      <c r="V26">
        <f t="shared" si="14"/>
        <v>3.1800828173214666</v>
      </c>
      <c r="W26">
        <f t="shared" si="15"/>
        <v>55.023508570285827</v>
      </c>
      <c r="X26">
        <f t="shared" si="16"/>
        <v>1.7878941713494871</v>
      </c>
      <c r="Y26">
        <f t="shared" si="17"/>
        <v>3.2493278197003197</v>
      </c>
      <c r="Z26">
        <f t="shared" si="18"/>
        <v>1.3921886459719794</v>
      </c>
      <c r="AA26">
        <f t="shared" si="19"/>
        <v>-215.82070181181953</v>
      </c>
      <c r="AB26">
        <f t="shared" si="20"/>
        <v>59.084142768312624</v>
      </c>
      <c r="AC26">
        <f t="shared" si="21"/>
        <v>4.1335356999035096</v>
      </c>
      <c r="AD26">
        <f t="shared" si="22"/>
        <v>89.136893421979266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53745.174283198197</v>
      </c>
      <c r="AJ26" t="s">
        <v>343</v>
      </c>
      <c r="AK26" t="s">
        <v>343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343</v>
      </c>
      <c r="AQ26" t="s">
        <v>343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1261.224225008074</v>
      </c>
      <c r="AW26">
        <f t="shared" si="29"/>
        <v>30.228086907192615</v>
      </c>
      <c r="AX26" t="e">
        <f t="shared" si="30"/>
        <v>#DIV/0!</v>
      </c>
      <c r="AY26">
        <f t="shared" si="31"/>
        <v>2.3967258404824172E-2</v>
      </c>
      <c r="AZ26" t="e">
        <f t="shared" si="32"/>
        <v>#DIV/0!</v>
      </c>
      <c r="BA26" t="e">
        <f t="shared" si="33"/>
        <v>#DIV/0!</v>
      </c>
      <c r="BB26" t="s">
        <v>343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CT26">
        <f t="shared" si="42"/>
        <v>1500.015625</v>
      </c>
      <c r="CU26">
        <f t="shared" si="43"/>
        <v>1261.224225008074</v>
      </c>
      <c r="CV26">
        <f t="shared" si="44"/>
        <v>0.84080739159505358</v>
      </c>
      <c r="CW26">
        <f t="shared" si="45"/>
        <v>0.16115826577845324</v>
      </c>
      <c r="CX26">
        <v>2</v>
      </c>
      <c r="CY26">
        <v>0.5</v>
      </c>
      <c r="CZ26" t="s">
        <v>344</v>
      </c>
      <c r="DA26">
        <v>2</v>
      </c>
      <c r="DB26">
        <v>1791081569.5</v>
      </c>
      <c r="DC26">
        <v>1185.5943749999999</v>
      </c>
      <c r="DD26">
        <v>1200.0062499999999</v>
      </c>
      <c r="DE26">
        <v>17.679231250000001</v>
      </c>
      <c r="DF26">
        <v>15.7563125</v>
      </c>
      <c r="DG26">
        <v>1184.9012499999999</v>
      </c>
      <c r="DH26">
        <v>17.86489375</v>
      </c>
      <c r="DI26">
        <v>500.00793750000003</v>
      </c>
      <c r="DJ26">
        <v>101.02968749999999</v>
      </c>
      <c r="DK26">
        <v>9.9945687500000005E-2</v>
      </c>
      <c r="DL26">
        <v>25.363943750000001</v>
      </c>
      <c r="DM26">
        <v>25.0021375</v>
      </c>
      <c r="DN26">
        <v>999.9</v>
      </c>
      <c r="DO26">
        <v>0</v>
      </c>
      <c r="DP26">
        <v>0</v>
      </c>
      <c r="DQ26">
        <v>10005.94</v>
      </c>
      <c r="DR26">
        <v>0</v>
      </c>
      <c r="DS26">
        <v>8.5830500000000001</v>
      </c>
      <c r="DT26">
        <v>1500.015625</v>
      </c>
      <c r="DU26">
        <v>0.97299681250000003</v>
      </c>
      <c r="DV26">
        <v>2.7003275E-2</v>
      </c>
      <c r="DW26">
        <v>0</v>
      </c>
      <c r="DX26">
        <v>290.21693749999997</v>
      </c>
      <c r="DY26">
        <v>4.9999900000000004</v>
      </c>
      <c r="DZ26">
        <v>4289.74125</v>
      </c>
      <c r="EA26">
        <v>14882.71875</v>
      </c>
      <c r="EB26">
        <v>36.621062500000001</v>
      </c>
      <c r="EC26">
        <v>38.198812500000003</v>
      </c>
      <c r="ED26">
        <v>37.186999999999998</v>
      </c>
      <c r="EE26">
        <v>37.686999999999998</v>
      </c>
      <c r="EF26">
        <v>38.25</v>
      </c>
      <c r="EG26">
        <v>1454.6456250000001</v>
      </c>
      <c r="EH26">
        <v>40.369999999999997</v>
      </c>
      <c r="EI26">
        <v>0</v>
      </c>
      <c r="EJ26">
        <v>1791081582</v>
      </c>
      <c r="EK26">
        <v>0</v>
      </c>
      <c r="EL26">
        <v>290.27857692307703</v>
      </c>
      <c r="EM26">
        <v>-0.198119674535467</v>
      </c>
      <c r="EN26">
        <v>8.7613675371216893</v>
      </c>
      <c r="EO26">
        <v>4289.8257692307698</v>
      </c>
      <c r="EP26">
        <v>15</v>
      </c>
      <c r="EQ26">
        <v>1791081518</v>
      </c>
      <c r="ER26" t="s">
        <v>373</v>
      </c>
      <c r="ES26">
        <v>1791081515</v>
      </c>
      <c r="ET26">
        <v>1791081518</v>
      </c>
      <c r="EU26">
        <v>11</v>
      </c>
      <c r="EV26">
        <v>-6.9000000000000006E-2</v>
      </c>
      <c r="EW26">
        <v>1E-3</v>
      </c>
      <c r="EX26">
        <v>0.72199999999999998</v>
      </c>
      <c r="EY26">
        <v>-0.191</v>
      </c>
      <c r="EZ26">
        <v>1200</v>
      </c>
      <c r="FA26">
        <v>16</v>
      </c>
      <c r="FB26">
        <v>0.2</v>
      </c>
      <c r="FC26">
        <v>0.05</v>
      </c>
      <c r="FD26">
        <v>30.204758346267401</v>
      </c>
      <c r="FE26">
        <v>0.303411056876773</v>
      </c>
      <c r="FF26">
        <v>0.16246236549347501</v>
      </c>
      <c r="FG26">
        <v>1</v>
      </c>
      <c r="FH26">
        <v>-14.41694</v>
      </c>
      <c r="FI26">
        <v>0.231437593984928</v>
      </c>
      <c r="FJ26">
        <v>5.6633200509948203E-2</v>
      </c>
      <c r="FK26">
        <v>1</v>
      </c>
      <c r="FL26">
        <v>290.22458823529399</v>
      </c>
      <c r="FM26">
        <v>-0.27401069685677398</v>
      </c>
      <c r="FN26">
        <v>0.53601877258867803</v>
      </c>
      <c r="FO26">
        <v>-1</v>
      </c>
      <c r="FP26">
        <v>2</v>
      </c>
      <c r="FQ26">
        <v>2</v>
      </c>
      <c r="FR26" t="s">
        <v>346</v>
      </c>
      <c r="FS26">
        <v>100</v>
      </c>
      <c r="FT26">
        <v>100</v>
      </c>
      <c r="FU26">
        <v>0.7</v>
      </c>
      <c r="FV26">
        <v>-0.1857</v>
      </c>
      <c r="FW26">
        <v>-1.0747283542441699</v>
      </c>
      <c r="FX26">
        <v>7.6835882421071803E-4</v>
      </c>
      <c r="FY26">
        <v>7.9312579872174805E-7</v>
      </c>
      <c r="FZ26">
        <v>-1.5433145656851401E-10</v>
      </c>
      <c r="GA26">
        <v>-3.6273135616545202E-2</v>
      </c>
      <c r="GB26">
        <v>-2.1578312386681502E-2</v>
      </c>
      <c r="GC26">
        <v>7.7134661959739901E-4</v>
      </c>
      <c r="GD26">
        <v>-1.7684492548540801E-6</v>
      </c>
      <c r="GE26">
        <v>4</v>
      </c>
      <c r="GF26">
        <v>2093</v>
      </c>
      <c r="GG26">
        <v>1</v>
      </c>
      <c r="GH26">
        <v>31</v>
      </c>
      <c r="GI26">
        <v>1.1000000000000001</v>
      </c>
      <c r="GJ26">
        <v>1</v>
      </c>
      <c r="GK26">
        <v>2.5061</v>
      </c>
      <c r="GL26">
        <v>2.6110799999999998</v>
      </c>
      <c r="GM26">
        <v>1.65161</v>
      </c>
      <c r="GN26">
        <v>2.2827099999999998</v>
      </c>
      <c r="GO26">
        <v>1.5979000000000001</v>
      </c>
      <c r="GP26">
        <v>2.6184099999999999</v>
      </c>
      <c r="GQ26">
        <v>33.580399999999997</v>
      </c>
      <c r="GR26">
        <v>15.7606</v>
      </c>
      <c r="GS26">
        <v>18</v>
      </c>
      <c r="GT26">
        <v>504.55200000000002</v>
      </c>
      <c r="GU26">
        <v>537.47299999999996</v>
      </c>
      <c r="GV26">
        <v>21.7911</v>
      </c>
      <c r="GW26">
        <v>29.341899999999999</v>
      </c>
      <c r="GX26">
        <v>30.0001</v>
      </c>
      <c r="GY26">
        <v>29.473700000000001</v>
      </c>
      <c r="GZ26">
        <v>29.528600000000001</v>
      </c>
      <c r="HA26">
        <v>50.0869</v>
      </c>
      <c r="HB26">
        <v>30.1065</v>
      </c>
      <c r="HC26">
        <v>9.3972200000000008</v>
      </c>
      <c r="HD26">
        <v>21.787600000000001</v>
      </c>
      <c r="HE26">
        <v>1200</v>
      </c>
      <c r="HF26">
        <v>15.8048</v>
      </c>
      <c r="HG26">
        <v>98.126300000000001</v>
      </c>
      <c r="HH26">
        <v>94.695800000000006</v>
      </c>
    </row>
    <row r="27" spans="1:216" x14ac:dyDescent="0.6">
      <c r="A27">
        <v>11</v>
      </c>
      <c r="B27">
        <v>1791081699.0999999</v>
      </c>
      <c r="C27">
        <v>1222.0999999046301</v>
      </c>
      <c r="D27" t="s">
        <v>374</v>
      </c>
      <c r="E27" t="s">
        <v>375</v>
      </c>
      <c r="F27">
        <v>5</v>
      </c>
      <c r="G27">
        <v>1791081690.5999999</v>
      </c>
      <c r="H27">
        <f t="shared" si="0"/>
        <v>4.8498350893618983E-3</v>
      </c>
      <c r="I27">
        <f t="shared" si="1"/>
        <v>4.849835089361898</v>
      </c>
      <c r="J27">
        <f t="shared" si="2"/>
        <v>30.766693891586112</v>
      </c>
      <c r="K27">
        <f t="shared" si="3"/>
        <v>1484.7825</v>
      </c>
      <c r="L27">
        <f t="shared" si="4"/>
        <v>1311.2755942301385</v>
      </c>
      <c r="M27">
        <f t="shared" si="5"/>
        <v>132.60495158921199</v>
      </c>
      <c r="N27">
        <f t="shared" si="6"/>
        <v>150.1511294798442</v>
      </c>
      <c r="O27">
        <f t="shared" si="7"/>
        <v>0.36606510772895112</v>
      </c>
      <c r="P27">
        <f t="shared" si="8"/>
        <v>3.0278595922103086</v>
      </c>
      <c r="Q27">
        <f t="shared" si="9"/>
        <v>0.343135556128286</v>
      </c>
      <c r="R27">
        <f t="shared" si="10"/>
        <v>0.21640005654895314</v>
      </c>
      <c r="S27">
        <f t="shared" si="11"/>
        <v>241.73552776558299</v>
      </c>
      <c r="T27">
        <f t="shared" si="12"/>
        <v>25.509771047087856</v>
      </c>
      <c r="U27">
        <f t="shared" si="13"/>
        <v>25.005437499999999</v>
      </c>
      <c r="V27">
        <f t="shared" si="14"/>
        <v>3.1807085200855494</v>
      </c>
      <c r="W27">
        <f t="shared" si="15"/>
        <v>55.025230039477755</v>
      </c>
      <c r="X27">
        <f t="shared" si="16"/>
        <v>1.7864995608979855</v>
      </c>
      <c r="Y27">
        <f t="shared" si="17"/>
        <v>3.2466916714682781</v>
      </c>
      <c r="Z27">
        <f t="shared" si="18"/>
        <v>1.3942089591875639</v>
      </c>
      <c r="AA27">
        <f t="shared" si="19"/>
        <v>-213.87772744085973</v>
      </c>
      <c r="AB27">
        <f t="shared" si="20"/>
        <v>56.293632927997763</v>
      </c>
      <c r="AC27">
        <f t="shared" si="21"/>
        <v>3.9396814072247506</v>
      </c>
      <c r="AD27">
        <f t="shared" si="22"/>
        <v>88.091114659945774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53709.843800826573</v>
      </c>
      <c r="AJ27" t="s">
        <v>343</v>
      </c>
      <c r="AK27" t="s">
        <v>343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343</v>
      </c>
      <c r="AQ27" t="s">
        <v>343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1261.2011250080743</v>
      </c>
      <c r="AW27">
        <f t="shared" si="29"/>
        <v>30.766693891586112</v>
      </c>
      <c r="AX27" t="e">
        <f t="shared" si="30"/>
        <v>#DIV/0!</v>
      </c>
      <c r="AY27">
        <f t="shared" si="31"/>
        <v>2.4394756142791373E-2</v>
      </c>
      <c r="AZ27" t="e">
        <f t="shared" si="32"/>
        <v>#DIV/0!</v>
      </c>
      <c r="BA27" t="e">
        <f t="shared" si="33"/>
        <v>#DIV/0!</v>
      </c>
      <c r="BB27" t="s">
        <v>343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CT27">
        <f t="shared" si="42"/>
        <v>1499.9881250000001</v>
      </c>
      <c r="CU27">
        <f t="shared" si="43"/>
        <v>1261.2011250080743</v>
      </c>
      <c r="CV27">
        <f t="shared" si="44"/>
        <v>0.84080740639735008</v>
      </c>
      <c r="CW27">
        <f t="shared" si="45"/>
        <v>0.16115829434688556</v>
      </c>
      <c r="CX27">
        <v>2</v>
      </c>
      <c r="CY27">
        <v>0.5</v>
      </c>
      <c r="CZ27" t="s">
        <v>344</v>
      </c>
      <c r="DA27">
        <v>2</v>
      </c>
      <c r="DB27">
        <v>1791081690.5999999</v>
      </c>
      <c r="DC27">
        <v>1484.7825</v>
      </c>
      <c r="DD27">
        <v>1499.97</v>
      </c>
      <c r="DE27">
        <v>17.665956250000001</v>
      </c>
      <c r="DF27">
        <v>15.760237500000001</v>
      </c>
      <c r="DG27">
        <v>1483.4862499999999</v>
      </c>
      <c r="DH27">
        <v>17.851806249999999</v>
      </c>
      <c r="DI27">
        <v>499.98543749999999</v>
      </c>
      <c r="DJ27">
        <v>101.02668749999999</v>
      </c>
      <c r="DK27">
        <v>9.99956875E-2</v>
      </c>
      <c r="DL27">
        <v>25.350293749999999</v>
      </c>
      <c r="DM27">
        <v>25.005437499999999</v>
      </c>
      <c r="DN27">
        <v>999.9</v>
      </c>
      <c r="DO27">
        <v>0</v>
      </c>
      <c r="DP27">
        <v>0</v>
      </c>
      <c r="DQ27">
        <v>9998.9143750000003</v>
      </c>
      <c r="DR27">
        <v>0</v>
      </c>
      <c r="DS27">
        <v>8.5830500000000001</v>
      </c>
      <c r="DT27">
        <v>1499.9881250000001</v>
      </c>
      <c r="DU27">
        <v>0.97299681250000003</v>
      </c>
      <c r="DV27">
        <v>2.70032625E-2</v>
      </c>
      <c r="DW27">
        <v>0</v>
      </c>
      <c r="DX27">
        <v>290.25518749999998</v>
      </c>
      <c r="DY27">
        <v>4.9999900000000004</v>
      </c>
      <c r="DZ27">
        <v>4290.6549999999997</v>
      </c>
      <c r="EA27">
        <v>14882.44375</v>
      </c>
      <c r="EB27">
        <v>36.686999999999998</v>
      </c>
      <c r="EC27">
        <v>38.308124999999997</v>
      </c>
      <c r="ED27">
        <v>37.25</v>
      </c>
      <c r="EE27">
        <v>37.800375000000003</v>
      </c>
      <c r="EF27">
        <v>38.3395625</v>
      </c>
      <c r="EG27">
        <v>1454.618125</v>
      </c>
      <c r="EH27">
        <v>40.369999999999997</v>
      </c>
      <c r="EI27">
        <v>0</v>
      </c>
      <c r="EJ27">
        <v>1791081703.2</v>
      </c>
      <c r="EK27">
        <v>0</v>
      </c>
      <c r="EL27">
        <v>290.14192307692298</v>
      </c>
      <c r="EM27">
        <v>-0.91808549449736498</v>
      </c>
      <c r="EN27">
        <v>1.24000003594152</v>
      </c>
      <c r="EO27">
        <v>4290.665</v>
      </c>
      <c r="EP27">
        <v>15</v>
      </c>
      <c r="EQ27">
        <v>1791081633</v>
      </c>
      <c r="ER27" t="s">
        <v>376</v>
      </c>
      <c r="ES27">
        <v>1791081630</v>
      </c>
      <c r="ET27">
        <v>1791081633</v>
      </c>
      <c r="EU27">
        <v>12</v>
      </c>
      <c r="EV27">
        <v>-1.0999999999999999E-2</v>
      </c>
      <c r="EW27">
        <v>0</v>
      </c>
      <c r="EX27">
        <v>1.3280000000000001</v>
      </c>
      <c r="EY27">
        <v>-0.192</v>
      </c>
      <c r="EZ27">
        <v>1500</v>
      </c>
      <c r="FA27">
        <v>16</v>
      </c>
      <c r="FB27">
        <v>0.06</v>
      </c>
      <c r="FC27">
        <v>0.03</v>
      </c>
      <c r="FD27">
        <v>30.819127847100301</v>
      </c>
      <c r="FE27">
        <v>-0.278451780570384</v>
      </c>
      <c r="FF27">
        <v>0.16000549332149</v>
      </c>
      <c r="FG27">
        <v>1</v>
      </c>
      <c r="FH27">
        <v>-15.219509523809499</v>
      </c>
      <c r="FI27">
        <v>0.36396623376624099</v>
      </c>
      <c r="FJ27">
        <v>6.7747598128304096E-2</v>
      </c>
      <c r="FK27">
        <v>1</v>
      </c>
      <c r="FL27">
        <v>290.19426470588201</v>
      </c>
      <c r="FM27">
        <v>-1.1152177263387399</v>
      </c>
      <c r="FN27">
        <v>0.53445185271637896</v>
      </c>
      <c r="FO27">
        <v>-1</v>
      </c>
      <c r="FP27">
        <v>2</v>
      </c>
      <c r="FQ27">
        <v>2</v>
      </c>
      <c r="FR27" t="s">
        <v>346</v>
      </c>
      <c r="FS27">
        <v>100</v>
      </c>
      <c r="FT27">
        <v>100</v>
      </c>
      <c r="FU27">
        <v>1.29</v>
      </c>
      <c r="FV27">
        <v>-0.1857</v>
      </c>
      <c r="FW27">
        <v>-1.08559975386962</v>
      </c>
      <c r="FX27">
        <v>7.6835882421071803E-4</v>
      </c>
      <c r="FY27">
        <v>7.9312579872174805E-7</v>
      </c>
      <c r="FZ27">
        <v>-1.5433145656851401E-10</v>
      </c>
      <c r="GA27">
        <v>-3.63967159591808E-2</v>
      </c>
      <c r="GB27">
        <v>-2.1578312386681502E-2</v>
      </c>
      <c r="GC27">
        <v>7.7134661959739901E-4</v>
      </c>
      <c r="GD27">
        <v>-1.7684492548540801E-6</v>
      </c>
      <c r="GE27">
        <v>4</v>
      </c>
      <c r="GF27">
        <v>2093</v>
      </c>
      <c r="GG27">
        <v>1</v>
      </c>
      <c r="GH27">
        <v>31</v>
      </c>
      <c r="GI27">
        <v>1.2</v>
      </c>
      <c r="GJ27">
        <v>1.1000000000000001</v>
      </c>
      <c r="GK27">
        <v>3.0041500000000001</v>
      </c>
      <c r="GL27">
        <v>2.6147499999999999</v>
      </c>
      <c r="GM27">
        <v>1.65161</v>
      </c>
      <c r="GN27">
        <v>2.2827099999999998</v>
      </c>
      <c r="GO27">
        <v>1.5979000000000001</v>
      </c>
      <c r="GP27">
        <v>2.48291</v>
      </c>
      <c r="GQ27">
        <v>33.625399999999999</v>
      </c>
      <c r="GR27">
        <v>15.734400000000001</v>
      </c>
      <c r="GS27">
        <v>18</v>
      </c>
      <c r="GT27">
        <v>504.63799999999998</v>
      </c>
      <c r="GU27">
        <v>537.65899999999999</v>
      </c>
      <c r="GV27">
        <v>21.7026</v>
      </c>
      <c r="GW27">
        <v>29.3752</v>
      </c>
      <c r="GX27">
        <v>30.000399999999999</v>
      </c>
      <c r="GY27">
        <v>29.4939</v>
      </c>
      <c r="GZ27">
        <v>29.546199999999999</v>
      </c>
      <c r="HA27">
        <v>60.039000000000001</v>
      </c>
      <c r="HB27">
        <v>29.848800000000001</v>
      </c>
      <c r="HC27">
        <v>7.9101600000000003</v>
      </c>
      <c r="HD27">
        <v>21.693200000000001</v>
      </c>
      <c r="HE27">
        <v>1500</v>
      </c>
      <c r="HF27">
        <v>15.795999999999999</v>
      </c>
      <c r="HG27">
        <v>98.118399999999994</v>
      </c>
      <c r="HH27">
        <v>94.689599999999999</v>
      </c>
    </row>
    <row r="28" spans="1:216" x14ac:dyDescent="0.6">
      <c r="A28">
        <v>12</v>
      </c>
      <c r="B28">
        <v>1791081822.0999999</v>
      </c>
      <c r="C28">
        <v>1345.0999999046301</v>
      </c>
      <c r="D28" t="s">
        <v>377</v>
      </c>
      <c r="E28" t="s">
        <v>378</v>
      </c>
      <c r="F28">
        <v>5</v>
      </c>
      <c r="G28">
        <v>1791081813.5999999</v>
      </c>
      <c r="H28">
        <f t="shared" si="0"/>
        <v>4.942809514461001E-3</v>
      </c>
      <c r="I28">
        <f t="shared" si="1"/>
        <v>4.9428095144610014</v>
      </c>
      <c r="J28">
        <f t="shared" si="2"/>
        <v>31.476297722594786</v>
      </c>
      <c r="K28">
        <f t="shared" si="3"/>
        <v>1783.9037499999999</v>
      </c>
      <c r="L28">
        <f t="shared" si="4"/>
        <v>1603.8470372365603</v>
      </c>
      <c r="M28">
        <f t="shared" si="5"/>
        <v>162.18604494657038</v>
      </c>
      <c r="N28">
        <f t="shared" si="6"/>
        <v>180.39394472203736</v>
      </c>
      <c r="O28">
        <f t="shared" si="7"/>
        <v>0.37485215717523107</v>
      </c>
      <c r="P28">
        <f t="shared" si="8"/>
        <v>3.0289561239588236</v>
      </c>
      <c r="Q28">
        <f t="shared" si="9"/>
        <v>0.35085539947952366</v>
      </c>
      <c r="R28">
        <f t="shared" si="10"/>
        <v>0.22131249939476771</v>
      </c>
      <c r="S28">
        <f t="shared" si="11"/>
        <v>241.73702401558288</v>
      </c>
      <c r="T28">
        <f t="shared" si="12"/>
        <v>25.477193441857338</v>
      </c>
      <c r="U28">
        <f t="shared" si="13"/>
        <v>25.000993749999999</v>
      </c>
      <c r="V28">
        <f t="shared" si="14"/>
        <v>3.1798659795335582</v>
      </c>
      <c r="W28">
        <f t="shared" si="15"/>
        <v>55.170934359352387</v>
      </c>
      <c r="X28">
        <f t="shared" si="16"/>
        <v>1.7902644388926026</v>
      </c>
      <c r="Y28">
        <f t="shared" si="17"/>
        <v>3.2449413077397398</v>
      </c>
      <c r="Z28">
        <f t="shared" si="18"/>
        <v>1.3896015406409556</v>
      </c>
      <c r="AA28">
        <f t="shared" si="19"/>
        <v>-217.97789958773015</v>
      </c>
      <c r="AB28">
        <f t="shared" si="20"/>
        <v>55.558770518996333</v>
      </c>
      <c r="AC28">
        <f t="shared" si="21"/>
        <v>3.8865805841026497</v>
      </c>
      <c r="AD28">
        <f t="shared" si="22"/>
        <v>83.204475530951726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53745.551341135484</v>
      </c>
      <c r="AJ28" t="s">
        <v>343</v>
      </c>
      <c r="AK28" t="s">
        <v>343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343</v>
      </c>
      <c r="AQ28" t="s">
        <v>343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1261.2090000080741</v>
      </c>
      <c r="AW28">
        <f t="shared" si="29"/>
        <v>31.476297722594786</v>
      </c>
      <c r="AX28" t="e">
        <f t="shared" si="30"/>
        <v>#DIV/0!</v>
      </c>
      <c r="AY28">
        <f t="shared" si="31"/>
        <v>2.495724160102987E-2</v>
      </c>
      <c r="AZ28" t="e">
        <f t="shared" si="32"/>
        <v>#DIV/0!</v>
      </c>
      <c r="BA28" t="e">
        <f t="shared" si="33"/>
        <v>#DIV/0!</v>
      </c>
      <c r="BB28" t="s">
        <v>343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CT28">
        <f t="shared" si="42"/>
        <v>1499.9974999999999</v>
      </c>
      <c r="CU28">
        <f t="shared" si="43"/>
        <v>1261.2090000080741</v>
      </c>
      <c r="CV28">
        <f t="shared" si="44"/>
        <v>0.8408074013510517</v>
      </c>
      <c r="CW28">
        <f t="shared" si="45"/>
        <v>0.16115828460752959</v>
      </c>
      <c r="CX28">
        <v>2</v>
      </c>
      <c r="CY28">
        <v>0.5</v>
      </c>
      <c r="CZ28" t="s">
        <v>344</v>
      </c>
      <c r="DA28">
        <v>2</v>
      </c>
      <c r="DB28">
        <v>1791081813.5999999</v>
      </c>
      <c r="DC28">
        <v>1783.9037499999999</v>
      </c>
      <c r="DD28">
        <v>1800.0206250000001</v>
      </c>
      <c r="DE28">
        <v>17.70380625</v>
      </c>
      <c r="DF28">
        <v>15.7617625</v>
      </c>
      <c r="DG28">
        <v>1782.243125</v>
      </c>
      <c r="DH28">
        <v>17.887537500000001</v>
      </c>
      <c r="DI28">
        <v>500.01993750000003</v>
      </c>
      <c r="DJ28">
        <v>101.02318750000001</v>
      </c>
      <c r="DK28">
        <v>9.9950293750000002E-2</v>
      </c>
      <c r="DL28">
        <v>25.341225000000001</v>
      </c>
      <c r="DM28">
        <v>25.000993749999999</v>
      </c>
      <c r="DN28">
        <v>999.9</v>
      </c>
      <c r="DO28">
        <v>0</v>
      </c>
      <c r="DP28">
        <v>0</v>
      </c>
      <c r="DQ28">
        <v>10005.89</v>
      </c>
      <c r="DR28">
        <v>0</v>
      </c>
      <c r="DS28">
        <v>8.5830500000000001</v>
      </c>
      <c r="DT28">
        <v>1499.9974999999999</v>
      </c>
      <c r="DU28">
        <v>0.97299774999999999</v>
      </c>
      <c r="DV28">
        <v>2.70023E-2</v>
      </c>
      <c r="DW28">
        <v>0</v>
      </c>
      <c r="DX28">
        <v>290.56068749999997</v>
      </c>
      <c r="DY28">
        <v>4.9999900000000004</v>
      </c>
      <c r="DZ28">
        <v>4295.8456249999999</v>
      </c>
      <c r="EA28">
        <v>14882.55625</v>
      </c>
      <c r="EB28">
        <v>36.792625000000001</v>
      </c>
      <c r="EC28">
        <v>38.375</v>
      </c>
      <c r="ED28">
        <v>37.375</v>
      </c>
      <c r="EE28">
        <v>37.875</v>
      </c>
      <c r="EF28">
        <v>38.436999999999998</v>
      </c>
      <c r="EG28">
        <v>1454.6275000000001</v>
      </c>
      <c r="EH28">
        <v>40.369999999999997</v>
      </c>
      <c r="EI28">
        <v>0</v>
      </c>
      <c r="EJ28">
        <v>1791081826.2</v>
      </c>
      <c r="EK28">
        <v>0</v>
      </c>
      <c r="EL28">
        <v>290.47203999999999</v>
      </c>
      <c r="EM28">
        <v>-1.8371538664434801</v>
      </c>
      <c r="EN28">
        <v>-11.8184615471427</v>
      </c>
      <c r="EO28">
        <v>4295.7896000000001</v>
      </c>
      <c r="EP28">
        <v>15</v>
      </c>
      <c r="EQ28">
        <v>1791081768.0999999</v>
      </c>
      <c r="ER28" t="s">
        <v>379</v>
      </c>
      <c r="ES28">
        <v>1791081768.0999999</v>
      </c>
      <c r="ET28">
        <v>1791081753.0999999</v>
      </c>
      <c r="EU28">
        <v>13</v>
      </c>
      <c r="EV28">
        <v>-0.26800000000000002</v>
      </c>
      <c r="EW28">
        <v>2E-3</v>
      </c>
      <c r="EX28">
        <v>1.6950000000000001</v>
      </c>
      <c r="EY28">
        <v>-0.19</v>
      </c>
      <c r="EZ28">
        <v>1800</v>
      </c>
      <c r="FA28">
        <v>16</v>
      </c>
      <c r="FB28">
        <v>0.19</v>
      </c>
      <c r="FC28">
        <v>0.04</v>
      </c>
      <c r="FD28">
        <v>31.511354299154501</v>
      </c>
      <c r="FE28">
        <v>-5.71159662583915E-2</v>
      </c>
      <c r="FF28">
        <v>0.15422606263437899</v>
      </c>
      <c r="FG28">
        <v>1</v>
      </c>
      <c r="FH28">
        <v>-16.113939999999999</v>
      </c>
      <c r="FI28">
        <v>-0.23394586466166001</v>
      </c>
      <c r="FJ28">
        <v>6.3084842870534202E-2</v>
      </c>
      <c r="FK28">
        <v>1</v>
      </c>
      <c r="FL28">
        <v>290.42423529411798</v>
      </c>
      <c r="FM28">
        <v>0.90346829390947603</v>
      </c>
      <c r="FN28">
        <v>0.47996121527274899</v>
      </c>
      <c r="FO28">
        <v>-1</v>
      </c>
      <c r="FP28">
        <v>2</v>
      </c>
      <c r="FQ28">
        <v>2</v>
      </c>
      <c r="FR28" t="s">
        <v>346</v>
      </c>
      <c r="FS28">
        <v>100</v>
      </c>
      <c r="FT28">
        <v>100</v>
      </c>
      <c r="FU28">
        <v>1.66</v>
      </c>
      <c r="FV28">
        <v>-0.18379999999999999</v>
      </c>
      <c r="FW28">
        <v>-1.3539335149037299</v>
      </c>
      <c r="FX28">
        <v>7.6835882421071803E-4</v>
      </c>
      <c r="FY28">
        <v>7.9312579872174805E-7</v>
      </c>
      <c r="FZ28">
        <v>-1.5433145656851401E-10</v>
      </c>
      <c r="GA28">
        <v>-3.4418597995556702E-2</v>
      </c>
      <c r="GB28">
        <v>-2.1578312386681502E-2</v>
      </c>
      <c r="GC28">
        <v>7.7134661959739901E-4</v>
      </c>
      <c r="GD28">
        <v>-1.7684492548540801E-6</v>
      </c>
      <c r="GE28">
        <v>4</v>
      </c>
      <c r="GF28">
        <v>2093</v>
      </c>
      <c r="GG28">
        <v>1</v>
      </c>
      <c r="GH28">
        <v>31</v>
      </c>
      <c r="GI28">
        <v>0.9</v>
      </c>
      <c r="GJ28">
        <v>1.1000000000000001</v>
      </c>
      <c r="GK28">
        <v>3.4765600000000001</v>
      </c>
      <c r="GL28">
        <v>2.6135299999999999</v>
      </c>
      <c r="GM28">
        <v>1.65161</v>
      </c>
      <c r="GN28">
        <v>2.2827099999999998</v>
      </c>
      <c r="GO28">
        <v>1.5979000000000001</v>
      </c>
      <c r="GP28">
        <v>2.48047</v>
      </c>
      <c r="GQ28">
        <v>33.692999999999998</v>
      </c>
      <c r="GR28">
        <v>15.7081</v>
      </c>
      <c r="GS28">
        <v>18</v>
      </c>
      <c r="GT28">
        <v>504.70699999999999</v>
      </c>
      <c r="GU28">
        <v>537.42100000000005</v>
      </c>
      <c r="GV28">
        <v>21.611599999999999</v>
      </c>
      <c r="GW28">
        <v>29.422699999999999</v>
      </c>
      <c r="GX28">
        <v>30.0001</v>
      </c>
      <c r="GY28">
        <v>29.529199999999999</v>
      </c>
      <c r="GZ28">
        <v>29.5791</v>
      </c>
      <c r="HA28">
        <v>69.501599999999996</v>
      </c>
      <c r="HB28">
        <v>30.172799999999999</v>
      </c>
      <c r="HC28">
        <v>6.7854999999999999</v>
      </c>
      <c r="HD28">
        <v>21.629799999999999</v>
      </c>
      <c r="HE28">
        <v>1800</v>
      </c>
      <c r="HF28">
        <v>15.7315</v>
      </c>
      <c r="HG28">
        <v>98.1083</v>
      </c>
      <c r="HH28">
        <v>94.677700000000002</v>
      </c>
    </row>
    <row r="29" spans="1:216" x14ac:dyDescent="0.6">
      <c r="A29">
        <v>13</v>
      </c>
      <c r="B29">
        <v>1791081973.0999999</v>
      </c>
      <c r="C29">
        <v>1496.0999999046301</v>
      </c>
      <c r="D29" t="s">
        <v>380</v>
      </c>
      <c r="E29" t="s">
        <v>381</v>
      </c>
      <c r="F29">
        <v>5</v>
      </c>
      <c r="G29">
        <v>1791081965.0999999</v>
      </c>
      <c r="H29">
        <f t="shared" si="0"/>
        <v>4.8697986364340459E-3</v>
      </c>
      <c r="I29">
        <f t="shared" si="1"/>
        <v>4.8697986364340462</v>
      </c>
      <c r="J29">
        <f t="shared" si="2"/>
        <v>18.688659644575438</v>
      </c>
      <c r="K29">
        <f t="shared" si="3"/>
        <v>391.74900000000002</v>
      </c>
      <c r="L29">
        <f t="shared" si="4"/>
        <v>298.07024620304509</v>
      </c>
      <c r="M29">
        <f t="shared" si="5"/>
        <v>30.139805414941019</v>
      </c>
      <c r="N29">
        <f t="shared" si="6"/>
        <v>39.612268523623968</v>
      </c>
      <c r="O29">
        <f t="shared" si="7"/>
        <v>0.36788581770486567</v>
      </c>
      <c r="P29">
        <f t="shared" si="8"/>
        <v>3.0301865463514037</v>
      </c>
      <c r="Q29">
        <f t="shared" si="9"/>
        <v>0.34475192376112723</v>
      </c>
      <c r="R29">
        <f t="shared" si="10"/>
        <v>0.21742710306539431</v>
      </c>
      <c r="S29">
        <f t="shared" si="11"/>
        <v>241.73359261558309</v>
      </c>
      <c r="T29">
        <f t="shared" si="12"/>
        <v>25.463912887545472</v>
      </c>
      <c r="U29">
        <f t="shared" si="13"/>
        <v>24.993220000000001</v>
      </c>
      <c r="V29">
        <f t="shared" si="14"/>
        <v>3.1783925358312373</v>
      </c>
      <c r="W29">
        <f t="shared" si="15"/>
        <v>55.116192526062093</v>
      </c>
      <c r="X29">
        <f t="shared" si="16"/>
        <v>1.7851266769304142</v>
      </c>
      <c r="Y29">
        <f t="shared" si="17"/>
        <v>3.2388425163554322</v>
      </c>
      <c r="Z29">
        <f t="shared" si="18"/>
        <v>1.3932658589008231</v>
      </c>
      <c r="AA29">
        <f t="shared" si="19"/>
        <v>-214.75811986674142</v>
      </c>
      <c r="AB29">
        <f t="shared" si="20"/>
        <v>51.683828808499612</v>
      </c>
      <c r="AC29">
        <f t="shared" si="21"/>
        <v>3.6133267126666344</v>
      </c>
      <c r="AD29">
        <f t="shared" si="22"/>
        <v>82.272628270007914</v>
      </c>
      <c r="AE29">
        <v>0</v>
      </c>
      <c r="AF29">
        <v>0</v>
      </c>
      <c r="AG29">
        <f t="shared" si="23"/>
        <v>1</v>
      </c>
      <c r="AH29">
        <f t="shared" si="24"/>
        <v>0</v>
      </c>
      <c r="AI29">
        <f t="shared" si="25"/>
        <v>53789.447563740046</v>
      </c>
      <c r="AJ29" t="s">
        <v>343</v>
      </c>
      <c r="AK29" t="s">
        <v>343</v>
      </c>
      <c r="AL29">
        <v>0</v>
      </c>
      <c r="AM29">
        <v>0</v>
      </c>
      <c r="AN29" t="e">
        <f t="shared" si="26"/>
        <v>#DIV/0!</v>
      </c>
      <c r="AO29">
        <v>0</v>
      </c>
      <c r="AP29" t="s">
        <v>343</v>
      </c>
      <c r="AQ29" t="s">
        <v>343</v>
      </c>
      <c r="AR29">
        <v>0</v>
      </c>
      <c r="AS29">
        <v>0</v>
      </c>
      <c r="AT29" t="e">
        <f t="shared" si="27"/>
        <v>#DIV/0!</v>
      </c>
      <c r="AU29">
        <v>0.5</v>
      </c>
      <c r="AV29">
        <f t="shared" si="28"/>
        <v>1261.1909400080742</v>
      </c>
      <c r="AW29">
        <f t="shared" si="29"/>
        <v>18.688659644575438</v>
      </c>
      <c r="AX29" t="e">
        <f t="shared" si="30"/>
        <v>#DIV/0!</v>
      </c>
      <c r="AY29">
        <f t="shared" si="31"/>
        <v>1.4818263477579209E-2</v>
      </c>
      <c r="AZ29" t="e">
        <f t="shared" si="32"/>
        <v>#DIV/0!</v>
      </c>
      <c r="BA29" t="e">
        <f t="shared" si="33"/>
        <v>#DIV/0!</v>
      </c>
      <c r="BB29" t="s">
        <v>343</v>
      </c>
      <c r="BC29">
        <v>0</v>
      </c>
      <c r="BD29" t="e">
        <f t="shared" si="34"/>
        <v>#DIV/0!</v>
      </c>
      <c r="BE29" t="e">
        <f t="shared" si="35"/>
        <v>#DIV/0!</v>
      </c>
      <c r="BF29" t="e">
        <f t="shared" si="36"/>
        <v>#DIV/0!</v>
      </c>
      <c r="BG29" t="e">
        <f t="shared" si="37"/>
        <v>#DIV/0!</v>
      </c>
      <c r="BH29" t="e">
        <f t="shared" si="38"/>
        <v>#DIV/0!</v>
      </c>
      <c r="BI29" t="e">
        <f t="shared" si="39"/>
        <v>#DIV/0!</v>
      </c>
      <c r="BJ29" t="e">
        <f t="shared" si="40"/>
        <v>#DIV/0!</v>
      </c>
      <c r="BK29" t="e">
        <f t="shared" si="41"/>
        <v>#DIV/0!</v>
      </c>
      <c r="CT29">
        <f t="shared" si="42"/>
        <v>1499.9760000000001</v>
      </c>
      <c r="CU29">
        <f t="shared" si="43"/>
        <v>1261.1909400080742</v>
      </c>
      <c r="CV29">
        <f t="shared" si="44"/>
        <v>0.84080741292398953</v>
      </c>
      <c r="CW29">
        <f t="shared" si="45"/>
        <v>0.1611583069432998</v>
      </c>
      <c r="CX29">
        <v>2</v>
      </c>
      <c r="CY29">
        <v>0.5</v>
      </c>
      <c r="CZ29" t="s">
        <v>344</v>
      </c>
      <c r="DA29">
        <v>2</v>
      </c>
      <c r="DB29">
        <v>1791081965.0999999</v>
      </c>
      <c r="DC29">
        <v>391.74900000000002</v>
      </c>
      <c r="DD29">
        <v>399.98759999999999</v>
      </c>
      <c r="DE29">
        <v>17.654166666666701</v>
      </c>
      <c r="DF29">
        <v>15.740626666666699</v>
      </c>
      <c r="DG29">
        <v>392.41533333333302</v>
      </c>
      <c r="DH29">
        <v>17.834493333333299</v>
      </c>
      <c r="DI29">
        <v>499.99753333333302</v>
      </c>
      <c r="DJ29">
        <v>101.016533333333</v>
      </c>
      <c r="DK29">
        <v>9.9917566666666693E-2</v>
      </c>
      <c r="DL29">
        <v>25.3095933333333</v>
      </c>
      <c r="DM29">
        <v>24.993220000000001</v>
      </c>
      <c r="DN29">
        <v>999.9</v>
      </c>
      <c r="DO29">
        <v>0</v>
      </c>
      <c r="DP29">
        <v>0</v>
      </c>
      <c r="DQ29">
        <v>10013.993333333299</v>
      </c>
      <c r="DR29">
        <v>0</v>
      </c>
      <c r="DS29">
        <v>8.5830500000000001</v>
      </c>
      <c r="DT29">
        <v>1499.9760000000001</v>
      </c>
      <c r="DU29">
        <v>0.97299766666666698</v>
      </c>
      <c r="DV29">
        <v>2.7002393333333301E-2</v>
      </c>
      <c r="DW29">
        <v>0</v>
      </c>
      <c r="DX29">
        <v>287.05939999999998</v>
      </c>
      <c r="DY29">
        <v>4.9999900000000004</v>
      </c>
      <c r="DZ29">
        <v>4246.0286666666698</v>
      </c>
      <c r="EA29">
        <v>14882.3266666667</v>
      </c>
      <c r="EB29">
        <v>36.875</v>
      </c>
      <c r="EC29">
        <v>38.5</v>
      </c>
      <c r="ED29">
        <v>37.436999999999998</v>
      </c>
      <c r="EE29">
        <v>38</v>
      </c>
      <c r="EF29">
        <v>38.5041333333333</v>
      </c>
      <c r="EG29">
        <v>1454.606</v>
      </c>
      <c r="EH29">
        <v>40.369999999999997</v>
      </c>
      <c r="EI29">
        <v>0</v>
      </c>
      <c r="EJ29">
        <v>1791081977.4000001</v>
      </c>
      <c r="EK29">
        <v>0</v>
      </c>
      <c r="EL29">
        <v>287.19747999999998</v>
      </c>
      <c r="EM29">
        <v>-2.1314615059333302</v>
      </c>
      <c r="EN29">
        <v>-0.16692307580200499</v>
      </c>
      <c r="EO29">
        <v>4246.1343999999999</v>
      </c>
      <c r="EP29">
        <v>15</v>
      </c>
      <c r="EQ29">
        <v>1791081882.0999999</v>
      </c>
      <c r="ER29" t="s">
        <v>382</v>
      </c>
      <c r="ES29">
        <v>1791081880.0999999</v>
      </c>
      <c r="ET29">
        <v>1791081882.0999999</v>
      </c>
      <c r="EU29">
        <v>14</v>
      </c>
      <c r="EV29">
        <v>0.27300000000000002</v>
      </c>
      <c r="EW29">
        <v>4.0000000000000001E-3</v>
      </c>
      <c r="EX29">
        <v>-0.65600000000000003</v>
      </c>
      <c r="EY29">
        <v>-0.186</v>
      </c>
      <c r="EZ29">
        <v>399</v>
      </c>
      <c r="FA29">
        <v>16</v>
      </c>
      <c r="FB29">
        <v>0.12</v>
      </c>
      <c r="FC29">
        <v>0.03</v>
      </c>
      <c r="FD29">
        <v>18.613755553505001</v>
      </c>
      <c r="FE29">
        <v>1.03722295813873</v>
      </c>
      <c r="FF29">
        <v>0.13624157070906401</v>
      </c>
      <c r="FG29">
        <v>0</v>
      </c>
      <c r="FH29">
        <v>-8.2152170000000009</v>
      </c>
      <c r="FI29">
        <v>-0.50892721804510299</v>
      </c>
      <c r="FJ29">
        <v>5.7958507063243299E-2</v>
      </c>
      <c r="FK29">
        <v>0</v>
      </c>
      <c r="FL29">
        <v>287.15711764705901</v>
      </c>
      <c r="FM29">
        <v>-0.40886171796558501</v>
      </c>
      <c r="FN29">
        <v>0.49006216680706499</v>
      </c>
      <c r="FO29">
        <v>-1</v>
      </c>
      <c r="FP29">
        <v>0</v>
      </c>
      <c r="FQ29">
        <v>2</v>
      </c>
      <c r="FR29" t="s">
        <v>383</v>
      </c>
      <c r="FS29">
        <v>100</v>
      </c>
      <c r="FT29">
        <v>100</v>
      </c>
      <c r="FU29">
        <v>-0.66600000000000004</v>
      </c>
      <c r="FV29">
        <v>-0.18029999999999999</v>
      </c>
      <c r="FW29">
        <v>-1.0807073721209599</v>
      </c>
      <c r="FX29">
        <v>7.6835882421071803E-4</v>
      </c>
      <c r="FY29">
        <v>7.9312579872174805E-7</v>
      </c>
      <c r="FZ29">
        <v>-1.5433145656851401E-10</v>
      </c>
      <c r="GA29">
        <v>-3.0800401610412999E-2</v>
      </c>
      <c r="GB29">
        <v>-2.1578312386681502E-2</v>
      </c>
      <c r="GC29">
        <v>7.7134661959739901E-4</v>
      </c>
      <c r="GD29">
        <v>-1.7684492548540801E-6</v>
      </c>
      <c r="GE29">
        <v>4</v>
      </c>
      <c r="GF29">
        <v>2093</v>
      </c>
      <c r="GG29">
        <v>1</v>
      </c>
      <c r="GH29">
        <v>31</v>
      </c>
      <c r="GI29">
        <v>1.6</v>
      </c>
      <c r="GJ29">
        <v>1.5</v>
      </c>
      <c r="GK29">
        <v>1.0351600000000001</v>
      </c>
      <c r="GL29">
        <v>2.6171899999999999</v>
      </c>
      <c r="GM29">
        <v>1.65161</v>
      </c>
      <c r="GN29">
        <v>2.2827099999999998</v>
      </c>
      <c r="GO29">
        <v>1.5979000000000001</v>
      </c>
      <c r="GP29">
        <v>2.5415000000000001</v>
      </c>
      <c r="GQ29">
        <v>33.783200000000001</v>
      </c>
      <c r="GR29">
        <v>15.681800000000001</v>
      </c>
      <c r="GS29">
        <v>18</v>
      </c>
      <c r="GT29">
        <v>504.44299999999998</v>
      </c>
      <c r="GU29">
        <v>533.79</v>
      </c>
      <c r="GV29">
        <v>21.526499999999999</v>
      </c>
      <c r="GW29">
        <v>29.491</v>
      </c>
      <c r="GX29">
        <v>30.000299999999999</v>
      </c>
      <c r="GY29">
        <v>29.584</v>
      </c>
      <c r="GZ29">
        <v>29.632300000000001</v>
      </c>
      <c r="HA29">
        <v>20.711300000000001</v>
      </c>
      <c r="HB29">
        <v>30.0364</v>
      </c>
      <c r="HC29">
        <v>5.2946600000000004</v>
      </c>
      <c r="HD29">
        <v>21.529900000000001</v>
      </c>
      <c r="HE29">
        <v>400</v>
      </c>
      <c r="HF29">
        <v>15.775</v>
      </c>
      <c r="HG29">
        <v>98.0929</v>
      </c>
      <c r="HH29">
        <v>94.664500000000004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899999999999999" x14ac:dyDescent="0.6"/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4</v>
      </c>
      <c r="B3" t="s">
        <v>5</v>
      </c>
    </row>
    <row r="4" spans="1:2" x14ac:dyDescent="0.6">
      <c r="A4" t="s">
        <v>6</v>
      </c>
      <c r="B4" t="s">
        <v>7</v>
      </c>
    </row>
    <row r="5" spans="1:2" x14ac:dyDescent="0.6">
      <c r="A5" t="s">
        <v>8</v>
      </c>
      <c r="B5" t="s">
        <v>9</v>
      </c>
    </row>
    <row r="6" spans="1:2" x14ac:dyDescent="0.6">
      <c r="A6" t="s">
        <v>10</v>
      </c>
      <c r="B6" t="s">
        <v>11</v>
      </c>
    </row>
    <row r="7" spans="1:2" x14ac:dyDescent="0.6">
      <c r="A7" t="s">
        <v>12</v>
      </c>
      <c r="B7" t="s">
        <v>13</v>
      </c>
    </row>
    <row r="8" spans="1:2" x14ac:dyDescent="0.6">
      <c r="A8" t="s">
        <v>14</v>
      </c>
      <c r="B8" t="s">
        <v>15</v>
      </c>
    </row>
    <row r="9" spans="1:2" x14ac:dyDescent="0.6">
      <c r="A9" t="s">
        <v>16</v>
      </c>
      <c r="B9" t="s">
        <v>17</v>
      </c>
    </row>
    <row r="10" spans="1:2" x14ac:dyDescent="0.6">
      <c r="A10" t="s">
        <v>18</v>
      </c>
      <c r="B10" t="s">
        <v>19</v>
      </c>
    </row>
    <row r="11" spans="1:2" x14ac:dyDescent="0.6">
      <c r="A11" t="s">
        <v>20</v>
      </c>
      <c r="B11" t="s">
        <v>21</v>
      </c>
    </row>
    <row r="12" spans="1:2" x14ac:dyDescent="0.6">
      <c r="A12" t="s">
        <v>22</v>
      </c>
      <c r="B12" t="s">
        <v>23</v>
      </c>
    </row>
    <row r="13" spans="1:2" x14ac:dyDescent="0.6">
      <c r="A13" t="s">
        <v>24</v>
      </c>
      <c r="B13" t="s">
        <v>25</v>
      </c>
    </row>
    <row r="14" spans="1:2" x14ac:dyDescent="0.6">
      <c r="A14" t="s">
        <v>26</v>
      </c>
      <c r="B14" t="s">
        <v>25</v>
      </c>
    </row>
    <row r="15" spans="1:2" x14ac:dyDescent="0.6">
      <c r="A15" t="s">
        <v>27</v>
      </c>
      <c r="B15" t="s">
        <v>23</v>
      </c>
    </row>
    <row r="16" spans="1:2" x14ac:dyDescent="0.6">
      <c r="A16" t="s">
        <v>28</v>
      </c>
      <c r="B16" t="s">
        <v>11</v>
      </c>
    </row>
    <row r="17" spans="1:2" x14ac:dyDescent="0.6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2026-10-04T11:46:32Z</dcterms:created>
  <dcterms:modified xsi:type="dcterms:W3CDTF">2026-10-04T08:27:58Z</dcterms:modified>
</cp:coreProperties>
</file>