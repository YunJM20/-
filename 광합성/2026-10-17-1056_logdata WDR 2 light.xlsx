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광합성/RAW/2026-10-17 lettuce park/"/>
    </mc:Choice>
  </mc:AlternateContent>
  <xr:revisionPtr revIDLastSave="0" documentId="11_ACE07100CF1355BE312FE9F23D2ADF9604E373D2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5" i="1" l="1"/>
  <c r="CV25" i="1"/>
  <c r="CT25" i="1"/>
  <c r="BI25" i="1"/>
  <c r="BH25" i="1"/>
  <c r="AZ25" i="1"/>
  <c r="AT25" i="1"/>
  <c r="AN25" i="1"/>
  <c r="BA25" i="1" s="1"/>
  <c r="BD25" i="1" s="1"/>
  <c r="AI25" i="1"/>
  <c r="AG25" i="1"/>
  <c r="Y25" i="1"/>
  <c r="X25" i="1"/>
  <c r="W25" i="1"/>
  <c r="P25" i="1"/>
  <c r="CW24" i="1"/>
  <c r="CV24" i="1"/>
  <c r="CT24" i="1"/>
  <c r="BI24" i="1"/>
  <c r="BH24" i="1"/>
  <c r="AZ24" i="1"/>
  <c r="AT24" i="1"/>
  <c r="AN24" i="1"/>
  <c r="BA24" i="1" s="1"/>
  <c r="BD24" i="1" s="1"/>
  <c r="AI24" i="1"/>
  <c r="AG24" i="1"/>
  <c r="Y24" i="1"/>
  <c r="X24" i="1"/>
  <c r="W24" i="1"/>
  <c r="P24" i="1"/>
  <c r="CW23" i="1"/>
  <c r="CV23" i="1"/>
  <c r="CT23" i="1"/>
  <c r="BI23" i="1"/>
  <c r="BH23" i="1"/>
  <c r="AZ23" i="1"/>
  <c r="AT23" i="1"/>
  <c r="AN23" i="1"/>
  <c r="BA23" i="1" s="1"/>
  <c r="BD23" i="1" s="1"/>
  <c r="AI23" i="1"/>
  <c r="AG23" i="1"/>
  <c r="AH23" i="1" s="1"/>
  <c r="Y23" i="1"/>
  <c r="W23" i="1" s="1"/>
  <c r="X23" i="1"/>
  <c r="P23" i="1"/>
  <c r="N23" i="1"/>
  <c r="K23" i="1"/>
  <c r="J23" i="1"/>
  <c r="AW23" i="1" s="1"/>
  <c r="I23" i="1"/>
  <c r="H23" i="1" s="1"/>
  <c r="CW22" i="1"/>
  <c r="CV22" i="1"/>
  <c r="CT22" i="1"/>
  <c r="BI22" i="1"/>
  <c r="BH22" i="1"/>
  <c r="AZ22" i="1"/>
  <c r="AT22" i="1"/>
  <c r="AN22" i="1"/>
  <c r="BA22" i="1" s="1"/>
  <c r="BD22" i="1" s="1"/>
  <c r="AI22" i="1"/>
  <c r="AG22" i="1" s="1"/>
  <c r="Y22" i="1"/>
  <c r="X22" i="1"/>
  <c r="W22" i="1" s="1"/>
  <c r="P22" i="1"/>
  <c r="CW21" i="1"/>
  <c r="CV21" i="1"/>
  <c r="CT21" i="1"/>
  <c r="BI21" i="1"/>
  <c r="BH21" i="1"/>
  <c r="AZ21" i="1"/>
  <c r="AT21" i="1"/>
  <c r="AN21" i="1"/>
  <c r="BA21" i="1" s="1"/>
  <c r="BD21" i="1" s="1"/>
  <c r="AI21" i="1"/>
  <c r="AG21" i="1" s="1"/>
  <c r="Y21" i="1"/>
  <c r="W21" i="1" s="1"/>
  <c r="X21" i="1"/>
  <c r="P21" i="1"/>
  <c r="CW20" i="1"/>
  <c r="CV20" i="1"/>
  <c r="CT20" i="1"/>
  <c r="CU20" i="1" s="1"/>
  <c r="AV20" i="1" s="1"/>
  <c r="BI20" i="1"/>
  <c r="BH20" i="1"/>
  <c r="AZ20" i="1"/>
  <c r="AT20" i="1"/>
  <c r="AX20" i="1" s="1"/>
  <c r="AN20" i="1"/>
  <c r="BA20" i="1" s="1"/>
  <c r="BD20" i="1" s="1"/>
  <c r="AI20" i="1"/>
  <c r="AG20" i="1"/>
  <c r="AH20" i="1" s="1"/>
  <c r="Y20" i="1"/>
  <c r="W20" i="1" s="1"/>
  <c r="X20" i="1"/>
  <c r="S20" i="1"/>
  <c r="P20" i="1"/>
  <c r="N20" i="1"/>
  <c r="K20" i="1"/>
  <c r="J20" i="1"/>
  <c r="AW20" i="1" s="1"/>
  <c r="AY20" i="1" s="1"/>
  <c r="I20" i="1"/>
  <c r="H20" i="1" s="1"/>
  <c r="CW19" i="1"/>
  <c r="CV19" i="1"/>
  <c r="CT19" i="1"/>
  <c r="BI19" i="1"/>
  <c r="BH19" i="1"/>
  <c r="AZ19" i="1"/>
  <c r="AT19" i="1"/>
  <c r="AN19" i="1"/>
  <c r="BA19" i="1" s="1"/>
  <c r="BD19" i="1" s="1"/>
  <c r="AI19" i="1"/>
  <c r="AG19" i="1" s="1"/>
  <c r="Y19" i="1"/>
  <c r="X19" i="1"/>
  <c r="S19" i="1"/>
  <c r="P19" i="1"/>
  <c r="CW18" i="1"/>
  <c r="CV18" i="1"/>
  <c r="CT18" i="1"/>
  <c r="BI18" i="1"/>
  <c r="BH18" i="1"/>
  <c r="AZ18" i="1"/>
  <c r="AT18" i="1"/>
  <c r="AN18" i="1"/>
  <c r="BA18" i="1" s="1"/>
  <c r="BD18" i="1" s="1"/>
  <c r="AI18" i="1"/>
  <c r="AG18" i="1" s="1"/>
  <c r="N18" i="1" s="1"/>
  <c r="Y18" i="1"/>
  <c r="X18" i="1"/>
  <c r="W18" i="1" s="1"/>
  <c r="P18" i="1"/>
  <c r="CW17" i="1"/>
  <c r="CV17" i="1"/>
  <c r="CT17" i="1"/>
  <c r="CU17" i="1" s="1"/>
  <c r="AV17" i="1" s="1"/>
  <c r="BI17" i="1"/>
  <c r="BH17" i="1"/>
  <c r="AZ17" i="1"/>
  <c r="AT17" i="1"/>
  <c r="AN17" i="1"/>
  <c r="BA17" i="1" s="1"/>
  <c r="BD17" i="1" s="1"/>
  <c r="AI17" i="1"/>
  <c r="AG17" i="1" s="1"/>
  <c r="Y17" i="1"/>
  <c r="X17" i="1"/>
  <c r="S17" i="1"/>
  <c r="P17" i="1"/>
  <c r="S22" i="1" l="1"/>
  <c r="CU22" i="1"/>
  <c r="AV22" i="1" s="1"/>
  <c r="AX22" i="1" s="1"/>
  <c r="CU19" i="1"/>
  <c r="AV19" i="1" s="1"/>
  <c r="AX19" i="1" s="1"/>
  <c r="W17" i="1"/>
  <c r="W19" i="1"/>
  <c r="CU25" i="1"/>
  <c r="AV25" i="1" s="1"/>
  <c r="AX25" i="1" s="1"/>
  <c r="S25" i="1"/>
  <c r="BE25" i="1"/>
  <c r="BF25" i="1"/>
  <c r="BJ25" i="1" s="1"/>
  <c r="BK25" i="1" s="1"/>
  <c r="BG25" i="1"/>
  <c r="AH25" i="1"/>
  <c r="N25" i="1"/>
  <c r="K25" i="1"/>
  <c r="J25" i="1"/>
  <c r="AW25" i="1" s="1"/>
  <c r="AY25" i="1" s="1"/>
  <c r="I25" i="1"/>
  <c r="H25" i="1" s="1"/>
  <c r="CU24" i="1"/>
  <c r="AV24" i="1" s="1"/>
  <c r="AX24" i="1" s="1"/>
  <c r="S24" i="1"/>
  <c r="BE24" i="1"/>
  <c r="BF24" i="1"/>
  <c r="BJ24" i="1" s="1"/>
  <c r="BK24" i="1" s="1"/>
  <c r="BG24" i="1"/>
  <c r="AH24" i="1"/>
  <c r="N24" i="1"/>
  <c r="K24" i="1"/>
  <c r="J24" i="1"/>
  <c r="AW24" i="1" s="1"/>
  <c r="I24" i="1"/>
  <c r="H24" i="1" s="1"/>
  <c r="CU23" i="1"/>
  <c r="AV23" i="1" s="1"/>
  <c r="S23" i="1"/>
  <c r="BG23" i="1"/>
  <c r="BF23" i="1"/>
  <c r="BJ23" i="1" s="1"/>
  <c r="BK23" i="1" s="1"/>
  <c r="BE23" i="1"/>
  <c r="AA23" i="1"/>
  <c r="T22" i="1"/>
  <c r="U22" i="1" s="1"/>
  <c r="BE22" i="1"/>
  <c r="BF22" i="1"/>
  <c r="BJ22" i="1" s="1"/>
  <c r="BK22" i="1" s="1"/>
  <c r="BG22" i="1"/>
  <c r="K22" i="1"/>
  <c r="AH22" i="1"/>
  <c r="J22" i="1"/>
  <c r="AW22" i="1" s="1"/>
  <c r="AY22" i="1" s="1"/>
  <c r="N22" i="1"/>
  <c r="I22" i="1"/>
  <c r="H22" i="1" s="1"/>
  <c r="CU21" i="1"/>
  <c r="AV21" i="1" s="1"/>
  <c r="AX21" i="1" s="1"/>
  <c r="S21" i="1"/>
  <c r="BE21" i="1"/>
  <c r="BG21" i="1"/>
  <c r="BF21" i="1"/>
  <c r="BJ21" i="1" s="1"/>
  <c r="BK21" i="1" s="1"/>
  <c r="I21" i="1"/>
  <c r="H21" i="1" s="1"/>
  <c r="J21" i="1"/>
  <c r="AW21" i="1" s="1"/>
  <c r="AY21" i="1" s="1"/>
  <c r="K21" i="1"/>
  <c r="N21" i="1"/>
  <c r="AH21" i="1"/>
  <c r="BE20" i="1"/>
  <c r="BF20" i="1"/>
  <c r="BJ20" i="1" s="1"/>
  <c r="BK20" i="1" s="1"/>
  <c r="BG20" i="1"/>
  <c r="T20" i="1"/>
  <c r="U20" i="1" s="1"/>
  <c r="Q20" i="1"/>
  <c r="O20" i="1" s="1"/>
  <c r="R20" i="1" s="1"/>
  <c r="L20" i="1" s="1"/>
  <c r="M20" i="1" s="1"/>
  <c r="AA20" i="1"/>
  <c r="BE19" i="1"/>
  <c r="BF19" i="1"/>
  <c r="BJ19" i="1" s="1"/>
  <c r="BK19" i="1" s="1"/>
  <c r="BG19" i="1"/>
  <c r="I19" i="1"/>
  <c r="H19" i="1" s="1"/>
  <c r="T19" i="1" s="1"/>
  <c r="U19" i="1" s="1"/>
  <c r="AH19" i="1"/>
  <c r="J19" i="1"/>
  <c r="AW19" i="1" s="1"/>
  <c r="AY19" i="1" s="1"/>
  <c r="K19" i="1"/>
  <c r="N19" i="1"/>
  <c r="S18" i="1"/>
  <c r="CU18" i="1"/>
  <c r="AV18" i="1" s="1"/>
  <c r="AX18" i="1" s="1"/>
  <c r="BG18" i="1"/>
  <c r="BE18" i="1"/>
  <c r="BF18" i="1"/>
  <c r="BJ18" i="1" s="1"/>
  <c r="BK18" i="1" s="1"/>
  <c r="AH18" i="1"/>
  <c r="K18" i="1"/>
  <c r="J18" i="1"/>
  <c r="AW18" i="1" s="1"/>
  <c r="AY18" i="1" s="1"/>
  <c r="I18" i="1"/>
  <c r="H18" i="1" s="1"/>
  <c r="BE17" i="1"/>
  <c r="BF17" i="1"/>
  <c r="BJ17" i="1" s="1"/>
  <c r="BK17" i="1" s="1"/>
  <c r="BG17" i="1"/>
  <c r="AH17" i="1"/>
  <c r="I17" i="1"/>
  <c r="H17" i="1" s="1"/>
  <c r="J17" i="1"/>
  <c r="AW17" i="1" s="1"/>
  <c r="AY17" i="1" s="1"/>
  <c r="K17" i="1"/>
  <c r="N17" i="1"/>
  <c r="T17" i="1"/>
  <c r="U17" i="1" s="1"/>
  <c r="AX17" i="1"/>
  <c r="T25" i="1" l="1"/>
  <c r="U25" i="1" s="1"/>
  <c r="Q25" i="1" s="1"/>
  <c r="O25" i="1" s="1"/>
  <c r="R25" i="1" s="1"/>
  <c r="L25" i="1" s="1"/>
  <c r="M25" i="1" s="1"/>
  <c r="AA25" i="1"/>
  <c r="T24" i="1"/>
  <c r="U24" i="1" s="1"/>
  <c r="Q24" i="1" s="1"/>
  <c r="O24" i="1" s="1"/>
  <c r="R24" i="1" s="1"/>
  <c r="L24" i="1" s="1"/>
  <c r="M24" i="1" s="1"/>
  <c r="AA24" i="1"/>
  <c r="AY23" i="1"/>
  <c r="AX23" i="1"/>
  <c r="T23" i="1"/>
  <c r="U23" i="1" s="1"/>
  <c r="AB22" i="1"/>
  <c r="V22" i="1"/>
  <c r="Z22" i="1" s="1"/>
  <c r="AC22" i="1"/>
  <c r="Q22" i="1"/>
  <c r="O22" i="1" s="1"/>
  <c r="R22" i="1" s="1"/>
  <c r="L22" i="1" s="1"/>
  <c r="M22" i="1" s="1"/>
  <c r="AA22" i="1"/>
  <c r="T21" i="1"/>
  <c r="U21" i="1" s="1"/>
  <c r="Q21" i="1" s="1"/>
  <c r="O21" i="1" s="1"/>
  <c r="R21" i="1" s="1"/>
  <c r="L21" i="1" s="1"/>
  <c r="M21" i="1" s="1"/>
  <c r="AA21" i="1"/>
  <c r="AB20" i="1"/>
  <c r="V20" i="1"/>
  <c r="Z20" i="1" s="1"/>
  <c r="AC20" i="1"/>
  <c r="AA19" i="1"/>
  <c r="Q19" i="1"/>
  <c r="O19" i="1" s="1"/>
  <c r="R19" i="1" s="1"/>
  <c r="L19" i="1" s="1"/>
  <c r="M19" i="1" s="1"/>
  <c r="AB19" i="1"/>
  <c r="AC19" i="1"/>
  <c r="AD19" i="1" s="1"/>
  <c r="V19" i="1"/>
  <c r="Z19" i="1" s="1"/>
  <c r="T18" i="1"/>
  <c r="U18" i="1" s="1"/>
  <c r="Q18" i="1" s="1"/>
  <c r="O18" i="1" s="1"/>
  <c r="R18" i="1" s="1"/>
  <c r="L18" i="1" s="1"/>
  <c r="M18" i="1" s="1"/>
  <c r="AA18" i="1"/>
  <c r="AA17" i="1"/>
  <c r="Q17" i="1"/>
  <c r="O17" i="1" s="1"/>
  <c r="R17" i="1" s="1"/>
  <c r="L17" i="1" s="1"/>
  <c r="M17" i="1" s="1"/>
  <c r="AB17" i="1"/>
  <c r="AC17" i="1"/>
  <c r="V17" i="1"/>
  <c r="Z17" i="1" s="1"/>
  <c r="AY24" i="1"/>
  <c r="AB25" i="1" l="1"/>
  <c r="V25" i="1"/>
  <c r="Z25" i="1" s="1"/>
  <c r="AC25" i="1"/>
  <c r="AD25" i="1" s="1"/>
  <c r="V24" i="1"/>
  <c r="Z24" i="1" s="1"/>
  <c r="AB24" i="1"/>
  <c r="AC24" i="1"/>
  <c r="AD24" i="1" s="1"/>
  <c r="Q23" i="1"/>
  <c r="O23" i="1" s="1"/>
  <c r="R23" i="1" s="1"/>
  <c r="L23" i="1" s="1"/>
  <c r="M23" i="1" s="1"/>
  <c r="V23" i="1"/>
  <c r="Z23" i="1" s="1"/>
  <c r="AB23" i="1"/>
  <c r="AC23" i="1"/>
  <c r="AD23" i="1" s="1"/>
  <c r="AB21" i="1"/>
  <c r="V21" i="1"/>
  <c r="Z21" i="1" s="1"/>
  <c r="AC21" i="1"/>
  <c r="AD21" i="1" s="1"/>
  <c r="AB18" i="1"/>
  <c r="V18" i="1"/>
  <c r="Z18" i="1" s="1"/>
  <c r="AC18" i="1"/>
  <c r="AD18" i="1" s="1"/>
  <c r="AD20" i="1"/>
  <c r="AD17" i="1"/>
  <c r="AD22" i="1"/>
</calcChain>
</file>

<file path=xl/sharedStrings.xml><?xml version="1.0" encoding="utf-8"?>
<sst xmlns="http://schemas.openxmlformats.org/spreadsheetml/2006/main" count="739" uniqueCount="378">
  <si>
    <t>File opened</t>
  </si>
  <si>
    <t>2026-10-17 10:56:57</t>
  </si>
  <si>
    <t>Console s/n</t>
  </si>
  <si>
    <t>68C-812153</t>
  </si>
  <si>
    <t>Console ver</t>
  </si>
  <si>
    <t>Bluestem v.2.1.13</t>
  </si>
  <si>
    <t>Scripts ver</t>
  </si>
  <si>
    <t>2024.01  2.1.13, Apr 2024</t>
  </si>
  <si>
    <t>Head s/n</t>
  </si>
  <si>
    <t>68H-982143</t>
  </si>
  <si>
    <t>Head ver</t>
  </si>
  <si>
    <t>1.4.23</t>
  </si>
  <si>
    <t>Head cal</t>
  </si>
  <si>
    <t>{"co2bspanconc1": "437.6", "h2oaspan2a": "0.0964052", "co2bspan1": "1.00005", "h2oaspan1": "1.02308", "h2obspanconc1": "17.96", "flowbzero": "0.30473", "co2bspan2b": "0.105618", "co2aspan1": "1.00082", "tazero": "0.15448", "co2aspan2a": "0.106022", "h2oaspan2b": "0.0986302", "h2obspanconc2": "0", "co2azero": "0.931334", "flowazero": "0.276", "co2aspan2b": "0.105998", "co2aspanconc2": "1516", "co2aspanconc1": "437.6", "h2obzero": "1.01897", "h2obspan2b": "0.0971974", "co2bspan2a": "0.105708", "h2obspan2a": "0.0961931", "ssb_ref": "36242.9", "oxygen": "21", "flowmeterzero": "2.483", "co2bspanconc2": "1516", "h2obspan1": "1.01044", "ssa_ref": "37830.5", "h2oaspanconc1": "17.96", "tbzero": "0.143742", "h2oazero": "1.03097", "co2bspan2": "-0.00857283", "co2bzero": "0.953041", "h2obspan2": "0", "h2oaspanconc2": "0", "co2aspan2": "-0.00988168", "h2oaspan2": "0", "chamberpressurezero": "2.71033"}</t>
  </si>
  <si>
    <t>Factory cal date</t>
  </si>
  <si>
    <t>14 Dec 2023</t>
  </si>
  <si>
    <t>CO2 rangematch</t>
  </si>
  <si>
    <t>Fri Oct 16 09:42</t>
  </si>
  <si>
    <t>H2O rangematch</t>
  </si>
  <si>
    <t>Fri Oct 16 09:48</t>
  </si>
  <si>
    <t>Chamber type</t>
  </si>
  <si>
    <t>6800-01A</t>
  </si>
  <si>
    <t>Chamber s/n</t>
  </si>
  <si>
    <t>MPF-742752</t>
  </si>
  <si>
    <t>Chamber rev</t>
  </si>
  <si>
    <t>0</t>
  </si>
  <si>
    <t>Chamber cal</t>
  </si>
  <si>
    <t>Fluorometer</t>
  </si>
  <si>
    <t>Flr. Version</t>
  </si>
  <si>
    <t>10:56:57</t>
  </si>
  <si>
    <t>Stability Definition:	F (FlrLS): Slp&lt;1 Per=20	ΔCO2 (Meas2): Slp&lt;0.5 Per=20	A (GasEx): Slp&lt;0.6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</si>
  <si>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</si>
  <si>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</si>
  <si>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</si>
  <si>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</si>
  <si>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</si>
  <si>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</si>
  <si>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</si>
  <si>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</si>
  <si>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</si>
  <si>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</si>
  <si>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</si>
  <si>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</si>
  <si>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</si>
  <si>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</si>
  <si>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</si>
  <si>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</si>
  <si>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</si>
  <si>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</si>
  <si>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</si>
  <si>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</si>
  <si>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</si>
  <si>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</si>
  <si>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</si>
  <si>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</si>
  <si>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</si>
  <si>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</si>
  <si>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</si>
  <si>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</si>
  <si>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</si>
  <si>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</si>
  <si>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</si>
  <si>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</si>
  <si>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</si>
  <si>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</si>
  <si>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</si>
  <si>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</si>
  <si>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</si>
  <si>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</si>
  <si>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</si>
  <si>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</si>
  <si>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</si>
  <si>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</si>
  <si>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</si>
  <si>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</si>
  <si>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</si>
  <si>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</si>
  <si>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</si>
  <si>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</si>
  <si>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</si>
  <si>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</si>
  <si>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</si>
  <si>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</si>
  <si>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4.11497 200.008 352.137 581.816 845.455 1058.69 1250.8 1364.04</t>
  </si>
  <si>
    <t>Fs_true</t>
  </si>
  <si>
    <t>0.208878 227.229 384.124 588.385 810.893 1001.58 1202.49 1400.6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</si>
  <si>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</si>
  <si>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</si>
  <si>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</si>
  <si>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</si>
  <si>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</si>
  <si>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</si>
  <si>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</si>
  <si>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</si>
  <si>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</si>
  <si>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</si>
  <si>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FlrLS</t>
  </si>
  <si>
    <t>FlrStats</t>
  </si>
  <si>
    <t>MchEvent</t>
  </si>
  <si>
    <t>Stability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</si>
  <si>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</si>
  <si>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</si>
  <si>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</si>
  <si>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</si>
  <si>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</si>
  <si>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</si>
  <si>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</si>
  <si>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</si>
  <si>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</si>
  <si>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</si>
  <si>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</si>
  <si>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</si>
  <si>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</si>
  <si>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</si>
  <si>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</si>
  <si>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</si>
  <si>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</si>
  <si>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</si>
  <si>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</si>
  <si>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</si>
  <si>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</si>
  <si>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</si>
  <si>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</si>
  <si>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</si>
  <si>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</si>
  <si>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</si>
  <si>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</si>
  <si>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</si>
  <si>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</si>
  <si>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</si>
  <si>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</si>
  <si>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</si>
  <si>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</si>
  <si>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</si>
  <si>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</si>
  <si>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</si>
  <si>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</si>
  <si>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</si>
  <si>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</si>
  <si>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</si>
  <si>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</si>
  <si>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</si>
  <si>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</si>
  <si>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</si>
  <si>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</si>
  <si>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</si>
  <si>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</si>
  <si>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</si>
  <si>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</si>
  <si>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</si>
  <si>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</si>
  <si>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</si>
  <si>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</si>
  <si>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</si>
  <si>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</si>
  <si>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</si>
  <si>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</si>
  <si>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</si>
  <si>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</si>
  <si>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</si>
  <si>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</si>
  <si>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</si>
  <si>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</si>
  <si>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</si>
  <si>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</si>
  <si>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</si>
  <si>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</si>
  <si>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</si>
  <si>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</si>
  <si>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</si>
  <si>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</si>
  <si>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</si>
  <si>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</si>
  <si>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</si>
  <si>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</si>
  <si>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</si>
  <si>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</si>
  <si>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</si>
  <si>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</si>
  <si>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</si>
  <si>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</si>
  <si>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</si>
  <si>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</si>
  <si>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</si>
  <si>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</si>
  <si>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</si>
  <si>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</si>
  <si>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</si>
  <si>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</si>
  <si>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</si>
  <si>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</si>
  <si>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</si>
  <si>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</si>
  <si>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</si>
  <si>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</si>
  <si>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</si>
  <si>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</si>
  <si>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</si>
  <si>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</si>
  <si>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</si>
  <si>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</si>
  <si>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</si>
  <si>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</si>
  <si>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</si>
  <si>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</si>
  <si>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</si>
  <si>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</si>
  <si>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</si>
  <si>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</si>
  <si>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</si>
  <si>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</si>
  <si>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</si>
  <si>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</si>
  <si>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</si>
  <si>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</si>
  <si>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</si>
  <si>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</si>
  <si>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</si>
  <si>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</si>
  <si>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</si>
  <si>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</si>
  <si>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</si>
  <si>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</si>
  <si>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</si>
  <si>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</si>
  <si>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</si>
  <si>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</si>
  <si>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</si>
  <si>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</si>
  <si>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</si>
  <si>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</si>
  <si>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</si>
  <si>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</si>
  <si>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</si>
  <si>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</si>
  <si>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</si>
  <si>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</si>
  <si>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</si>
  <si>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</si>
  <si>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</si>
  <si>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</si>
  <si>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</si>
  <si>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</si>
  <si>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</si>
  <si>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</si>
  <si>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</si>
  <si>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</si>
  <si>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</si>
  <si>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</si>
  <si>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</si>
  <si>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</si>
  <si>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</si>
  <si>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</si>
  <si>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</si>
  <si>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</si>
  <si>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</si>
  <si>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</si>
  <si>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</si>
  <si>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</si>
  <si>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</si>
  <si>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</si>
  <si>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</si>
  <si>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</si>
  <si>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</si>
  <si>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</si>
  <si>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</si>
  <si>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</si>
  <si>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</si>
  <si>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</si>
  <si>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</si>
  <si>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</si>
  <si>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</si>
  <si>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</si>
  <si>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</si>
  <si>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</si>
  <si>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</si>
  <si>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</si>
  <si>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</si>
  <si>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</si>
  <si>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</si>
  <si>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</si>
  <si>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</si>
  <si>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</si>
  <si>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</si>
  <si>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</si>
  <si>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</si>
  <si>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</si>
  <si>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</si>
  <si>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</si>
  <si>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</si>
  <si>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</si>
  <si>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</si>
  <si>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</si>
  <si>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</si>
  <si>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</si>
  <si>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</si>
  <si>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</si>
  <si>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</si>
  <si>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</si>
  <si>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</si>
  <si>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</si>
  <si>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</si>
  <si>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</si>
  <si>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</si>
  <si>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</si>
  <si>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</si>
  <si>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</si>
  <si>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</si>
  <si>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</si>
  <si>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</si>
  <si>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</si>
  <si>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</si>
  <si>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</si>
  <si>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</si>
  <si>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</si>
  <si>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</si>
  <si>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</si>
  <si>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</si>
  <si>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</si>
  <si>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</si>
  <si>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</si>
  <si>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</si>
  <si>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</si>
  <si>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</si>
  <si>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</si>
  <si>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</si>
  <si>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</si>
  <si>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</si>
  <si>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</si>
  <si>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</si>
  <si>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</si>
  <si>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</si>
  <si>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</si>
  <si>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</si>
  <si>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</si>
  <si>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</si>
  <si>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</si>
  <si>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</si>
  <si>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</si>
  <si>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min</t>
  </si>
  <si>
    <t>V</t>
  </si>
  <si>
    <t>20261017 11:25:44</t>
  </si>
  <si>
    <t>11:25:44</t>
  </si>
  <si>
    <t>MPF-183-20261016-16_42_08</t>
  </si>
  <si>
    <t>MPF-184-20261017-11_25_47</t>
  </si>
  <si>
    <t>-</t>
  </si>
  <si>
    <t>0: Broadleaf</t>
  </si>
  <si>
    <t>11:21:41</t>
  </si>
  <si>
    <t>3/3</t>
  </si>
  <si>
    <t>20261017 11:27:48</t>
  </si>
  <si>
    <t>11:27:48</t>
  </si>
  <si>
    <t>MPF-185-20261017-11_27_51</t>
  </si>
  <si>
    <t>20261017 11:29:51</t>
  </si>
  <si>
    <t>11:29:51</t>
  </si>
  <si>
    <t>MPF-186-20261017-11_29_54</t>
  </si>
  <si>
    <t>20261017 11:31:55</t>
  </si>
  <si>
    <t>11:31:55</t>
  </si>
  <si>
    <t>MPF-187-20261017-11_31_58</t>
  </si>
  <si>
    <t>20261017 11:34:19</t>
  </si>
  <si>
    <t>11:34:19</t>
  </si>
  <si>
    <t>MPF-188-20261017-11_34_22</t>
  </si>
  <si>
    <t>11:32:59</t>
  </si>
  <si>
    <t>20261017 11:36:45</t>
  </si>
  <si>
    <t>11:36:45</t>
  </si>
  <si>
    <t>MPF-189-20261017-11_36_48</t>
  </si>
  <si>
    <t>11:35:23</t>
  </si>
  <si>
    <t>20261017 11:39:00</t>
  </si>
  <si>
    <t>11:39:00</t>
  </si>
  <si>
    <t>MPF-190-20261017-11_39_03</t>
  </si>
  <si>
    <t>11:37:59</t>
  </si>
  <si>
    <t>20261017 11:41:07</t>
  </si>
  <si>
    <t>11:41:07</t>
  </si>
  <si>
    <t>MPF-191-20261017-11_41_10</t>
  </si>
  <si>
    <t>11:40:18</t>
  </si>
  <si>
    <t>20261017 11:43:33</t>
  </si>
  <si>
    <t>11:43:33</t>
  </si>
  <si>
    <t>MPF-192-20261017-11_43_36</t>
  </si>
  <si>
    <t>11:42:16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</si>
</sst>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H25"/>
  <sheetViews>
    <sheetView tabSelected="1" workbookViewId="0"/>
  </sheetViews>
  <sheetFormatPr defaultRowHeight="16.5" x14ac:dyDescent="0.3"/>
  <sheetData>
    <row r="2" spans="1:216" x14ac:dyDescent="0.3">
      <c r="A2" t="s">
        <v>31</v>
      </c>
      <c r="B2" t="s">
        <v>32</v>
      </c>
      <c r="C2" t="s">
        <v>34</v>
      </c>
    </row>
    <row r="3" spans="1:216" x14ac:dyDescent="0.3">
      <c r="B3" t="s">
        <v>33</v>
      </c>
      <c r="C3">
        <v>21</v>
      </c>
    </row>
    <row r="4" spans="1:216" x14ac:dyDescent="0.3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16" x14ac:dyDescent="0.3">
      <c r="B5" t="s">
        <v>21</v>
      </c>
      <c r="C5" t="s">
        <v>38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16" x14ac:dyDescent="0.3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16" x14ac:dyDescent="0.3">
      <c r="B7">
        <v>0</v>
      </c>
      <c r="C7">
        <v>1</v>
      </c>
      <c r="D7">
        <v>0</v>
      </c>
      <c r="E7">
        <v>0</v>
      </c>
    </row>
    <row r="8" spans="1:216" x14ac:dyDescent="0.3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16" x14ac:dyDescent="0.3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6" x14ac:dyDescent="0.3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1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16" x14ac:dyDescent="0.3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16" x14ac:dyDescent="0.3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0</v>
      </c>
    </row>
    <row r="14" spans="1:216" x14ac:dyDescent="0.3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98</v>
      </c>
      <c r="ER14" t="s">
        <v>98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</row>
    <row r="15" spans="1:216" x14ac:dyDescent="0.3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114</v>
      </c>
      <c r="M15" t="s">
        <v>115</v>
      </c>
      <c r="N15" t="s">
        <v>116</v>
      </c>
      <c r="O15" t="s">
        <v>117</v>
      </c>
      <c r="P15" t="s">
        <v>118</v>
      </c>
      <c r="Q15" t="s">
        <v>119</v>
      </c>
      <c r="R15" t="s">
        <v>120</v>
      </c>
      <c r="S15" t="s">
        <v>121</v>
      </c>
      <c r="T15" t="s">
        <v>122</v>
      </c>
      <c r="U15" t="s">
        <v>123</v>
      </c>
      <c r="V15" t="s">
        <v>124</v>
      </c>
      <c r="W15" t="s">
        <v>125</v>
      </c>
      <c r="X15" t="s">
        <v>126</v>
      </c>
      <c r="Y15" t="s">
        <v>127</v>
      </c>
      <c r="Z15" t="s">
        <v>128</v>
      </c>
      <c r="AA15" t="s">
        <v>129</v>
      </c>
      <c r="AB15" t="s">
        <v>130</v>
      </c>
      <c r="AC15" t="s">
        <v>131</v>
      </c>
      <c r="AD15" t="s">
        <v>132</v>
      </c>
      <c r="AE15" t="s">
        <v>89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143</v>
      </c>
      <c r="AQ15" t="s">
        <v>144</v>
      </c>
      <c r="AR15" t="s">
        <v>145</v>
      </c>
      <c r="AS15" t="s">
        <v>146</v>
      </c>
      <c r="AT15" t="s">
        <v>147</v>
      </c>
      <c r="AU15" t="s">
        <v>148</v>
      </c>
      <c r="AV15" t="s">
        <v>149</v>
      </c>
      <c r="AW15" t="s">
        <v>150</v>
      </c>
      <c r="AX15" t="s">
        <v>151</v>
      </c>
      <c r="AY15" t="s">
        <v>152</v>
      </c>
      <c r="AZ15" t="s">
        <v>153</v>
      </c>
      <c r="BA15" t="s">
        <v>154</v>
      </c>
      <c r="BB15" t="s">
        <v>155</v>
      </c>
      <c r="BC15" t="s">
        <v>156</v>
      </c>
      <c r="BD15" t="s">
        <v>157</v>
      </c>
      <c r="BE15" t="s">
        <v>158</v>
      </c>
      <c r="BF15" t="s">
        <v>159</v>
      </c>
      <c r="BG15" t="s">
        <v>160</v>
      </c>
      <c r="BH15" t="s">
        <v>161</v>
      </c>
      <c r="BI15" t="s">
        <v>162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165</v>
      </c>
      <c r="CH15" t="s">
        <v>186</v>
      </c>
      <c r="CI15" t="s">
        <v>187</v>
      </c>
      <c r="CJ15" t="s">
        <v>188</v>
      </c>
      <c r="CK15" t="s">
        <v>139</v>
      </c>
      <c r="CL15" t="s">
        <v>189</v>
      </c>
      <c r="CM15" t="s">
        <v>190</v>
      </c>
      <c r="CN15" t="s">
        <v>191</v>
      </c>
      <c r="CO15" t="s">
        <v>192</v>
      </c>
      <c r="CP15" t="s">
        <v>193</v>
      </c>
      <c r="CQ15" t="s">
        <v>194</v>
      </c>
      <c r="CR15" t="s">
        <v>195</v>
      </c>
      <c r="CS15" t="s">
        <v>196</v>
      </c>
      <c r="CT15" t="s">
        <v>197</v>
      </c>
      <c r="CU15" t="s">
        <v>198</v>
      </c>
      <c r="CV15" t="s">
        <v>199</v>
      </c>
      <c r="CW15" t="s">
        <v>200</v>
      </c>
      <c r="CX15" t="s">
        <v>201</v>
      </c>
      <c r="CY15" t="s">
        <v>202</v>
      </c>
      <c r="CZ15" t="s">
        <v>203</v>
      </c>
      <c r="DA15" t="s">
        <v>204</v>
      </c>
      <c r="DB15" t="s">
        <v>109</v>
      </c>
      <c r="DC15" t="s">
        <v>205</v>
      </c>
      <c r="DD15" t="s">
        <v>206</v>
      </c>
      <c r="DE15" t="s">
        <v>207</v>
      </c>
      <c r="DF15" t="s">
        <v>208</v>
      </c>
      <c r="DG15" t="s">
        <v>209</v>
      </c>
      <c r="DH15" t="s">
        <v>210</v>
      </c>
      <c r="DI15" t="s">
        <v>211</v>
      </c>
      <c r="DJ15" t="s">
        <v>212</v>
      </c>
      <c r="DK15" t="s">
        <v>213</v>
      </c>
      <c r="DL15" t="s">
        <v>214</v>
      </c>
      <c r="DM15" t="s">
        <v>215</v>
      </c>
      <c r="DN15" t="s">
        <v>216</v>
      </c>
      <c r="DO15" t="s">
        <v>217</v>
      </c>
      <c r="DP15" t="s">
        <v>218</v>
      </c>
      <c r="DQ15" t="s">
        <v>219</v>
      </c>
      <c r="DR15" t="s">
        <v>220</v>
      </c>
      <c r="DS15" t="s">
        <v>221</v>
      </c>
      <c r="DT15" t="s">
        <v>222</v>
      </c>
      <c r="DU15" t="s">
        <v>223</v>
      </c>
      <c r="DV15" t="s">
        <v>224</v>
      </c>
      <c r="DW15" t="s">
        <v>225</v>
      </c>
      <c r="DX15" t="s">
        <v>226</v>
      </c>
      <c r="DY15" t="s">
        <v>227</v>
      </c>
      <c r="DZ15" t="s">
        <v>228</v>
      </c>
      <c r="EA15" t="s">
        <v>229</v>
      </c>
      <c r="EB15" t="s">
        <v>230</v>
      </c>
      <c r="EC15" t="s">
        <v>231</v>
      </c>
      <c r="ED15" t="s">
        <v>232</v>
      </c>
      <c r="EE15" t="s">
        <v>233</v>
      </c>
      <c r="EF15" t="s">
        <v>234</v>
      </c>
      <c r="EG15" t="s">
        <v>235</v>
      </c>
      <c r="EH15" t="s">
        <v>236</v>
      </c>
      <c r="EI15" t="s">
        <v>237</v>
      </c>
      <c r="EJ15" t="s">
        <v>238</v>
      </c>
      <c r="EK15" t="s">
        <v>239</v>
      </c>
      <c r="EL15" t="s">
        <v>240</v>
      </c>
      <c r="EM15" t="s">
        <v>241</v>
      </c>
      <c r="EN15" t="s">
        <v>242</v>
      </c>
      <c r="EO15" t="s">
        <v>243</v>
      </c>
      <c r="EP15" t="s">
        <v>244</v>
      </c>
      <c r="EQ15" t="s">
        <v>104</v>
      </c>
      <c r="ER15" t="s">
        <v>107</v>
      </c>
      <c r="ES15" t="s">
        <v>245</v>
      </c>
      <c r="ET15" t="s">
        <v>246</v>
      </c>
      <c r="EU15" t="s">
        <v>247</v>
      </c>
      <c r="EV15" t="s">
        <v>248</v>
      </c>
      <c r="EW15" t="s">
        <v>249</v>
      </c>
      <c r="EX15" t="s">
        <v>250</v>
      </c>
      <c r="EY15" t="s">
        <v>251</v>
      </c>
      <c r="EZ15" t="s">
        <v>252</v>
      </c>
      <c r="FA15" t="s">
        <v>253</v>
      </c>
      <c r="FB15" t="s">
        <v>254</v>
      </c>
      <c r="FC15" t="s">
        <v>255</v>
      </c>
      <c r="FD15" t="s">
        <v>256</v>
      </c>
      <c r="FE15" t="s">
        <v>257</v>
      </c>
      <c r="FF15" t="s">
        <v>258</v>
      </c>
      <c r="FG15" t="s">
        <v>259</v>
      </c>
      <c r="FH15" t="s">
        <v>260</v>
      </c>
      <c r="FI15" t="s">
        <v>261</v>
      </c>
      <c r="FJ15" t="s">
        <v>262</v>
      </c>
      <c r="FK15" t="s">
        <v>263</v>
      </c>
      <c r="FL15" t="s">
        <v>264</v>
      </c>
      <c r="FM15" t="s">
        <v>265</v>
      </c>
      <c r="FN15" t="s">
        <v>266</v>
      </c>
      <c r="FO15" t="s">
        <v>267</v>
      </c>
      <c r="FP15" t="s">
        <v>268</v>
      </c>
      <c r="FQ15" t="s">
        <v>269</v>
      </c>
      <c r="FR15" t="s">
        <v>270</v>
      </c>
      <c r="FS15" t="s">
        <v>271</v>
      </c>
      <c r="FT15" t="s">
        <v>272</v>
      </c>
      <c r="FU15" t="s">
        <v>273</v>
      </c>
      <c r="FV15" t="s">
        <v>274</v>
      </c>
      <c r="FW15" t="s">
        <v>275</v>
      </c>
      <c r="FX15" t="s">
        <v>276</v>
      </c>
      <c r="FY15" t="s">
        <v>277</v>
      </c>
      <c r="FZ15" t="s">
        <v>278</v>
      </c>
      <c r="GA15" t="s">
        <v>279</v>
      </c>
      <c r="GB15" t="s">
        <v>280</v>
      </c>
      <c r="GC15" t="s">
        <v>281</v>
      </c>
      <c r="GD15" t="s">
        <v>282</v>
      </c>
      <c r="GE15" t="s">
        <v>283</v>
      </c>
      <c r="GF15" t="s">
        <v>284</v>
      </c>
      <c r="GG15" t="s">
        <v>285</v>
      </c>
      <c r="GH15" t="s">
        <v>286</v>
      </c>
      <c r="GI15" t="s">
        <v>287</v>
      </c>
      <c r="GJ15" t="s">
        <v>288</v>
      </c>
      <c r="GK15" t="s">
        <v>289</v>
      </c>
      <c r="GL15" t="s">
        <v>290</v>
      </c>
      <c r="GM15" t="s">
        <v>291</v>
      </c>
      <c r="GN15" t="s">
        <v>292</v>
      </c>
      <c r="GO15" t="s">
        <v>293</v>
      </c>
      <c r="GP15" t="s">
        <v>294</v>
      </c>
      <c r="GQ15" t="s">
        <v>295</v>
      </c>
      <c r="GR15" t="s">
        <v>296</v>
      </c>
      <c r="GS15" t="s">
        <v>297</v>
      </c>
      <c r="GT15" t="s">
        <v>298</v>
      </c>
      <c r="GU15" t="s">
        <v>299</v>
      </c>
      <c r="GV15" t="s">
        <v>300</v>
      </c>
      <c r="GW15" t="s">
        <v>301</v>
      </c>
      <c r="GX15" t="s">
        <v>302</v>
      </c>
      <c r="GY15" t="s">
        <v>303</v>
      </c>
      <c r="GZ15" t="s">
        <v>304</v>
      </c>
      <c r="HA15" t="s">
        <v>305</v>
      </c>
      <c r="HB15" t="s">
        <v>306</v>
      </c>
      <c r="HC15" t="s">
        <v>307</v>
      </c>
      <c r="HD15" t="s">
        <v>308</v>
      </c>
      <c r="HE15" t="s">
        <v>309</v>
      </c>
      <c r="HF15" t="s">
        <v>310</v>
      </c>
      <c r="HG15" t="s">
        <v>311</v>
      </c>
      <c r="HH15" t="s">
        <v>312</v>
      </c>
    </row>
    <row r="16" spans="1:216" x14ac:dyDescent="0.3">
      <c r="B16" t="s">
        <v>313</v>
      </c>
      <c r="C16" t="s">
        <v>313</v>
      </c>
      <c r="F16" t="s">
        <v>313</v>
      </c>
      <c r="G16" t="s">
        <v>313</v>
      </c>
      <c r="H16" t="s">
        <v>314</v>
      </c>
      <c r="I16" t="s">
        <v>315</v>
      </c>
      <c r="J16" t="s">
        <v>316</v>
      </c>
      <c r="K16" t="s">
        <v>317</v>
      </c>
      <c r="L16" t="s">
        <v>317</v>
      </c>
      <c r="M16" t="s">
        <v>212</v>
      </c>
      <c r="N16" t="s">
        <v>212</v>
      </c>
      <c r="O16" t="s">
        <v>314</v>
      </c>
      <c r="P16" t="s">
        <v>314</v>
      </c>
      <c r="Q16" t="s">
        <v>314</v>
      </c>
      <c r="R16" t="s">
        <v>314</v>
      </c>
      <c r="S16" t="s">
        <v>318</v>
      </c>
      <c r="T16" t="s">
        <v>319</v>
      </c>
      <c r="U16" t="s">
        <v>319</v>
      </c>
      <c r="V16" t="s">
        <v>320</v>
      </c>
      <c r="W16" t="s">
        <v>321</v>
      </c>
      <c r="X16" t="s">
        <v>320</v>
      </c>
      <c r="Y16" t="s">
        <v>320</v>
      </c>
      <c r="Z16" t="s">
        <v>320</v>
      </c>
      <c r="AA16" t="s">
        <v>318</v>
      </c>
      <c r="AB16" t="s">
        <v>318</v>
      </c>
      <c r="AC16" t="s">
        <v>318</v>
      </c>
      <c r="AD16" t="s">
        <v>318</v>
      </c>
      <c r="AE16" t="s">
        <v>322</v>
      </c>
      <c r="AF16" t="s">
        <v>321</v>
      </c>
      <c r="AH16" t="s">
        <v>321</v>
      </c>
      <c r="AI16" t="s">
        <v>322</v>
      </c>
      <c r="AO16" t="s">
        <v>316</v>
      </c>
      <c r="AV16" t="s">
        <v>316</v>
      </c>
      <c r="AW16" t="s">
        <v>316</v>
      </c>
      <c r="AX16" t="s">
        <v>316</v>
      </c>
      <c r="AY16" t="s">
        <v>323</v>
      </c>
      <c r="BM16" t="s">
        <v>324</v>
      </c>
      <c r="BO16" t="s">
        <v>324</v>
      </c>
      <c r="BP16" t="s">
        <v>316</v>
      </c>
      <c r="BS16" t="s">
        <v>324</v>
      </c>
      <c r="BT16" t="s">
        <v>321</v>
      </c>
      <c r="BW16" t="s">
        <v>325</v>
      </c>
      <c r="BX16" t="s">
        <v>325</v>
      </c>
      <c r="BZ16" t="s">
        <v>326</v>
      </c>
      <c r="CA16" t="s">
        <v>324</v>
      </c>
      <c r="CC16" t="s">
        <v>324</v>
      </c>
      <c r="CD16" t="s">
        <v>316</v>
      </c>
      <c r="CH16" t="s">
        <v>324</v>
      </c>
      <c r="CJ16" t="s">
        <v>327</v>
      </c>
      <c r="CM16" t="s">
        <v>324</v>
      </c>
      <c r="CN16" t="s">
        <v>324</v>
      </c>
      <c r="CP16" t="s">
        <v>324</v>
      </c>
      <c r="CR16" t="s">
        <v>324</v>
      </c>
      <c r="CT16" t="s">
        <v>316</v>
      </c>
      <c r="CU16" t="s">
        <v>316</v>
      </c>
      <c r="CW16" t="s">
        <v>328</v>
      </c>
      <c r="CX16" t="s">
        <v>329</v>
      </c>
      <c r="DA16" t="s">
        <v>314</v>
      </c>
      <c r="DB16" t="s">
        <v>313</v>
      </c>
      <c r="DC16" t="s">
        <v>317</v>
      </c>
      <c r="DD16" t="s">
        <v>317</v>
      </c>
      <c r="DE16" t="s">
        <v>330</v>
      </c>
      <c r="DF16" t="s">
        <v>330</v>
      </c>
      <c r="DG16" t="s">
        <v>317</v>
      </c>
      <c r="DH16" t="s">
        <v>330</v>
      </c>
      <c r="DI16" t="s">
        <v>322</v>
      </c>
      <c r="DJ16" t="s">
        <v>320</v>
      </c>
      <c r="DK16" t="s">
        <v>320</v>
      </c>
      <c r="DL16" t="s">
        <v>319</v>
      </c>
      <c r="DM16" t="s">
        <v>319</v>
      </c>
      <c r="DN16" t="s">
        <v>319</v>
      </c>
      <c r="DO16" t="s">
        <v>319</v>
      </c>
      <c r="DP16" t="s">
        <v>319</v>
      </c>
      <c r="DQ16" t="s">
        <v>331</v>
      </c>
      <c r="DR16" t="s">
        <v>316</v>
      </c>
      <c r="DS16" t="s">
        <v>316</v>
      </c>
      <c r="DT16" t="s">
        <v>316</v>
      </c>
      <c r="DY16" t="s">
        <v>316</v>
      </c>
      <c r="EB16" t="s">
        <v>319</v>
      </c>
      <c r="EC16" t="s">
        <v>319</v>
      </c>
      <c r="ED16" t="s">
        <v>319</v>
      </c>
      <c r="EE16" t="s">
        <v>319</v>
      </c>
      <c r="EF16" t="s">
        <v>319</v>
      </c>
      <c r="EG16" t="s">
        <v>316</v>
      </c>
      <c r="EH16" t="s">
        <v>316</v>
      </c>
      <c r="EI16" t="s">
        <v>316</v>
      </c>
      <c r="EJ16" t="s">
        <v>313</v>
      </c>
      <c r="EM16" t="s">
        <v>332</v>
      </c>
      <c r="EN16" t="s">
        <v>332</v>
      </c>
      <c r="EP16" t="s">
        <v>313</v>
      </c>
      <c r="EQ16" t="s">
        <v>333</v>
      </c>
      <c r="ES16" t="s">
        <v>313</v>
      </c>
      <c r="ET16" t="s">
        <v>313</v>
      </c>
      <c r="EV16" t="s">
        <v>334</v>
      </c>
      <c r="EW16" t="s">
        <v>335</v>
      </c>
      <c r="EX16" t="s">
        <v>334</v>
      </c>
      <c r="EY16" t="s">
        <v>335</v>
      </c>
      <c r="EZ16" t="s">
        <v>334</v>
      </c>
      <c r="FA16" t="s">
        <v>335</v>
      </c>
      <c r="FB16" t="s">
        <v>321</v>
      </c>
      <c r="FC16" t="s">
        <v>321</v>
      </c>
      <c r="FD16" t="s">
        <v>316</v>
      </c>
      <c r="FE16" t="s">
        <v>336</v>
      </c>
      <c r="FF16" t="s">
        <v>316</v>
      </c>
      <c r="FH16" t="s">
        <v>317</v>
      </c>
      <c r="FI16" t="s">
        <v>337</v>
      </c>
      <c r="FJ16" t="s">
        <v>317</v>
      </c>
      <c r="FM16" t="s">
        <v>338</v>
      </c>
      <c r="FS16" t="s">
        <v>321</v>
      </c>
      <c r="FT16" t="s">
        <v>321</v>
      </c>
      <c r="FU16" t="s">
        <v>334</v>
      </c>
      <c r="FV16" t="s">
        <v>335</v>
      </c>
      <c r="FW16" t="s">
        <v>334</v>
      </c>
      <c r="GA16" t="s">
        <v>335</v>
      </c>
      <c r="GE16" t="s">
        <v>317</v>
      </c>
      <c r="GF16" t="s">
        <v>317</v>
      </c>
      <c r="GG16" t="s">
        <v>330</v>
      </c>
      <c r="GH16" t="s">
        <v>330</v>
      </c>
      <c r="GI16" t="s">
        <v>339</v>
      </c>
      <c r="GJ16" t="s">
        <v>339</v>
      </c>
      <c r="GK16" t="s">
        <v>340</v>
      </c>
      <c r="GL16" t="s">
        <v>340</v>
      </c>
      <c r="GM16" t="s">
        <v>340</v>
      </c>
      <c r="GN16" t="s">
        <v>340</v>
      </c>
      <c r="GO16" t="s">
        <v>340</v>
      </c>
      <c r="GP16" t="s">
        <v>340</v>
      </c>
      <c r="GQ16" t="s">
        <v>319</v>
      </c>
      <c r="GR16" t="s">
        <v>340</v>
      </c>
      <c r="GT16" t="s">
        <v>322</v>
      </c>
      <c r="GU16" t="s">
        <v>322</v>
      </c>
      <c r="GV16" t="s">
        <v>319</v>
      </c>
      <c r="GW16" t="s">
        <v>319</v>
      </c>
      <c r="GX16" t="s">
        <v>319</v>
      </c>
      <c r="GY16" t="s">
        <v>319</v>
      </c>
      <c r="GZ16" t="s">
        <v>319</v>
      </c>
      <c r="HA16" t="s">
        <v>321</v>
      </c>
      <c r="HB16" t="s">
        <v>321</v>
      </c>
      <c r="HC16" t="s">
        <v>321</v>
      </c>
      <c r="HD16" t="s">
        <v>319</v>
      </c>
      <c r="HE16" t="s">
        <v>317</v>
      </c>
      <c r="HF16" t="s">
        <v>330</v>
      </c>
      <c r="HG16" t="s">
        <v>321</v>
      </c>
      <c r="HH16" t="s">
        <v>321</v>
      </c>
    </row>
    <row r="17" spans="1:216" x14ac:dyDescent="0.3">
      <c r="A17">
        <v>1</v>
      </c>
      <c r="B17">
        <v>1792203944.0999999</v>
      </c>
      <c r="C17">
        <v>0</v>
      </c>
      <c r="D17" t="s">
        <v>341</v>
      </c>
      <c r="E17" t="s">
        <v>342</v>
      </c>
      <c r="F17">
        <v>5</v>
      </c>
      <c r="G17">
        <v>1792203941.0999999</v>
      </c>
      <c r="H17">
        <f t="shared" ref="H17:H25" si="0">(I17)/1000</f>
        <v>3.8644538289112993E-3</v>
      </c>
      <c r="I17">
        <f t="shared" ref="I17:I25" si="1">1000*DI17*AG17*(DE17-DF17)/(100*CX17*(1000-AG17*DE17))</f>
        <v>3.8644538289112993</v>
      </c>
      <c r="J17">
        <f t="shared" ref="J17:J25" si="2">DI17*AG17*(DD17-DC17*(1000-AG17*DF17)/(1000-AG17*DE17))/(100*CX17)</f>
        <v>18.103948961512039</v>
      </c>
      <c r="K17">
        <f t="shared" ref="K17:K25" si="3">DC17 - IF(AG17&gt;1, J17*CX17*100/(AI17), 0)</f>
        <v>400.05579999999998</v>
      </c>
      <c r="L17">
        <f t="shared" ref="L17:L25" si="4">((R17-H17/2)*K17-J17)/(R17+H17/2)</f>
        <v>285.16559815694802</v>
      </c>
      <c r="M17">
        <f t="shared" ref="M17:M25" si="5">L17*(DJ17+DK17)/1000</f>
        <v>29.076803318897081</v>
      </c>
      <c r="N17">
        <f t="shared" ref="N17:N25" si="6">(DC17 - IF(AG17&gt;1, J17*CX17*100/(AI17), 0))*(DJ17+DK17)/1000</f>
        <v>40.791539682082814</v>
      </c>
      <c r="O17">
        <f t="shared" ref="O17:O25" si="7">2/((1/Q17-1/P17)+SIGN(Q17)*SQRT((1/Q17-1/P17)*(1/Q17-1/P17) + 4*CY17/((CY17+1)*(CY17+1))*(2*1/Q17*1/P17-1/P17*1/P17)))</f>
        <v>0.28247796105071843</v>
      </c>
      <c r="P17">
        <f t="shared" ref="P17:P25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3.0401754337759401</v>
      </c>
      <c r="Q17">
        <f t="shared" ref="Q17:Q25" si="9">H17*(1000-(1000*0.61365*EXP(17.502*U17/(240.97+U17))/(DJ17+DK17)+DE17)/2)/(1000*0.61365*EXP(17.502*U17/(240.97+U17))/(DJ17+DK17)-DE17)</f>
        <v>0.26866463755476339</v>
      </c>
      <c r="R17">
        <f t="shared" ref="R17:R25" si="10">1/((CY17+1)/(O17/1.6)+1/(P17/1.37)) + CY17/((CY17+1)/(O17/1.6) + CY17/(P17/1.37))</f>
        <v>0.16910016587778107</v>
      </c>
      <c r="S17">
        <f t="shared" ref="S17:S25" si="11">(CT17*CW17)</f>
        <v>241.75376161557784</v>
      </c>
      <c r="T17">
        <f t="shared" ref="T17:T25" si="12">(DL17+(S17+2*0.95*0.0000000567*(((DL17+$B$7)+273)^4-(DL17+273)^4)-44100*H17)/(1.84*29.3*P17+8*0.95*0.0000000567*(DL17+273)^3))</f>
        <v>25.375405468306823</v>
      </c>
      <c r="U17">
        <f t="shared" ref="U17:U25" si="13">($C$7*DM17+$D$7*DN17+$E$7*T17)</f>
        <v>25.00788</v>
      </c>
      <c r="V17">
        <f t="shared" ref="V17:V25" si="14">0.61365*EXP(17.502*U17/(240.97+U17))</f>
        <v>3.1811717042140653</v>
      </c>
      <c r="W17">
        <f t="shared" ref="W17:W25" si="15">(X17/Y17*100)</f>
        <v>55.139997510538109</v>
      </c>
      <c r="X17">
        <f t="shared" ref="X17:X25" si="16">DE17*(DJ17+DK17)/1000</f>
        <v>1.7499841933052722</v>
      </c>
      <c r="Y17">
        <f t="shared" ref="Y17:Y25" si="17">0.61365*EXP(17.502*DL17/(240.97+DL17))</f>
        <v>3.1737110488095746</v>
      </c>
      <c r="Z17">
        <f t="shared" ref="Z17:Z25" si="18">(V17-DE17*(DJ17+DK17)/1000)</f>
        <v>1.431187510908793</v>
      </c>
      <c r="AA17">
        <f t="shared" ref="AA17:AA25" si="19">(-H17*44100)</f>
        <v>-170.42241385498829</v>
      </c>
      <c r="AB17">
        <f t="shared" ref="AB17:AB25" si="20">2*29.3*P17*0.92*(DL17-U17)</f>
        <v>-6.4544583178782018</v>
      </c>
      <c r="AC17">
        <f t="shared" ref="AC17:AC25" si="21">2*0.95*0.0000000567*(((DL17+$B$7)+273)^4-(U17+273)^4)</f>
        <v>-0.44902396622005863</v>
      </c>
      <c r="AD17">
        <f t="shared" ref="AD17:AD25" si="22">S17+AC17+AA17+AB17</f>
        <v>64.427865476491277</v>
      </c>
      <c r="AE17">
        <v>0</v>
      </c>
      <c r="AF17">
        <v>0</v>
      </c>
      <c r="AG17">
        <f t="shared" ref="AG17:AG25" si="23">IF(AE17*$H$13&gt;=AI17,1,(AI17/(AI17-AE17*$H$13)))</f>
        <v>1</v>
      </c>
      <c r="AH17">
        <f t="shared" ref="AH17:AH25" si="24">(AG17-1)*100</f>
        <v>0</v>
      </c>
      <c r="AI17">
        <f t="shared" ref="AI17:AI25" si="25">MAX(0,($B$13+$C$13*DQ17)/(1+$D$13*DQ17)*DJ17/(DL17+273)*$E$13)</f>
        <v>54182.240128602447</v>
      </c>
      <c r="AJ17" t="s">
        <v>343</v>
      </c>
      <c r="AK17">
        <v>8102.66</v>
      </c>
      <c r="AL17">
        <v>164.089423076923</v>
      </c>
      <c r="AM17">
        <v>705.66397910492196</v>
      </c>
      <c r="AN17">
        <f t="shared" ref="AN17:AN25" si="26">1-AL17/AM17</f>
        <v>0.76746804720703299</v>
      </c>
      <c r="AO17">
        <v>-2.3872705366560201</v>
      </c>
      <c r="AP17" t="s">
        <v>344</v>
      </c>
      <c r="AQ17">
        <v>8152.08</v>
      </c>
      <c r="AR17">
        <v>260.81880000000001</v>
      </c>
      <c r="AS17">
        <v>322.11298798609403</v>
      </c>
      <c r="AT17">
        <f t="shared" ref="AT17:AT25" si="27">1-AR17/AS17</f>
        <v>0.1902878501401507</v>
      </c>
      <c r="AU17">
        <v>0.5</v>
      </c>
      <c r="AV17">
        <f t="shared" ref="AV17:AV25" si="28">CU17</f>
        <v>1261.2998400080714</v>
      </c>
      <c r="AW17">
        <f t="shared" ref="AW17:AW25" si="29">J17</f>
        <v>18.103948961512039</v>
      </c>
      <c r="AX17">
        <f t="shared" ref="AX17:AX25" si="30">AT17*AU17*AV17</f>
        <v>120.00501746862598</v>
      </c>
      <c r="AY17">
        <f t="shared" ref="AY17:AY25" si="31">(AW17-AO17)/AV17</f>
        <v>1.6246112818056751E-2</v>
      </c>
      <c r="AZ17">
        <f t="shared" ref="AZ17:AZ25" si="32">(AM17-AS17)/AS17</f>
        <v>1.1907343243650463</v>
      </c>
      <c r="BA17">
        <f t="shared" ref="BA17:BA25" si="33">AL17/(AN17+AL17/AS17)</f>
        <v>128.50772007786463</v>
      </c>
      <c r="BB17" t="s">
        <v>345</v>
      </c>
      <c r="BC17">
        <v>0</v>
      </c>
      <c r="BD17">
        <f t="shared" ref="BD17:BD25" si="34">IF(BC17&lt;&gt;0, BC17, BA17)</f>
        <v>128.50772007786463</v>
      </c>
      <c r="BE17">
        <f t="shared" ref="BE17:BE25" si="35">1-BD17/AS17</f>
        <v>0.60104769173910966</v>
      </c>
      <c r="BF17">
        <f t="shared" ref="BF17:BF25" si="36">(AS17-AR17)/(AS17-BD17)</f>
        <v>0.31659359607481341</v>
      </c>
      <c r="BG17">
        <f t="shared" ref="BG17:BG25" si="37">(AM17-AS17)/(AM17-BD17)</f>
        <v>0.66455311732285471</v>
      </c>
      <c r="BH17">
        <f t="shared" ref="BH17:BH25" si="38">(AS17-AR17)/(AS17-AL17)</f>
        <v>0.38788004827839923</v>
      </c>
      <c r="BI17">
        <f t="shared" ref="BI17:BI25" si="39">(AM17-AS17)/(AM17-AL17)</f>
        <v>0.70821456962796958</v>
      </c>
      <c r="BJ17">
        <f t="shared" ref="BJ17:BJ25" si="40">(BF17*BD17/AR17)</f>
        <v>0.15598845337386211</v>
      </c>
      <c r="BK17">
        <f t="shared" ref="BK17:BK25" si="41">(1-BJ17)</f>
        <v>0.84401154662613787</v>
      </c>
      <c r="BL17">
        <v>184</v>
      </c>
      <c r="BM17">
        <v>290</v>
      </c>
      <c r="BN17">
        <v>310.81</v>
      </c>
      <c r="BO17">
        <v>275</v>
      </c>
      <c r="BP17">
        <v>8152.08</v>
      </c>
      <c r="BQ17">
        <v>310.43</v>
      </c>
      <c r="BR17">
        <v>0.38</v>
      </c>
      <c r="BS17">
        <v>300</v>
      </c>
      <c r="BT17">
        <v>19.100000000000001</v>
      </c>
      <c r="BU17">
        <v>322.11298798609403</v>
      </c>
      <c r="BV17">
        <v>2.58354373082864</v>
      </c>
      <c r="BW17">
        <v>-9.5226427993983993</v>
      </c>
      <c r="BX17">
        <v>1.9272571625980901</v>
      </c>
      <c r="BY17">
        <v>0.46578969790784203</v>
      </c>
      <c r="BZ17">
        <v>-4.3925408231368203E-3</v>
      </c>
      <c r="CA17">
        <v>290</v>
      </c>
      <c r="CB17">
        <v>311.13</v>
      </c>
      <c r="CC17">
        <v>815</v>
      </c>
      <c r="CD17">
        <v>8145.49</v>
      </c>
      <c r="CE17">
        <v>310.42</v>
      </c>
      <c r="CF17">
        <v>0.71</v>
      </c>
      <c r="CT17">
        <f t="shared" ref="CT17:CT25" si="42">$B$11*DR17+$C$11*DS17+$F$11*DT17*(1-DW17)</f>
        <v>1500.106</v>
      </c>
      <c r="CU17">
        <f t="shared" ref="CU17:CU25" si="43">CT17*CV17</f>
        <v>1261.2998400080714</v>
      </c>
      <c r="CV17">
        <f t="shared" ref="CV17:CV25" si="44">($B$11*$D$9+$C$11*$D$9+$F$11*((EG17+DY17)/MAX(EG17+DY17+EH17, 0.1)*$I$9+EH17/MAX(EG17+DY17+EH17, 0.1)*$J$9))/($B$11+$C$11+$F$11)</f>
        <v>0.84080714296727788</v>
      </c>
      <c r="CW17">
        <f t="shared" ref="CW17:CW25" si="45">($B$11*$K$9+$C$11*$K$9+$F$11*((EG17+DY17)/MAX(EG17+DY17+EH17, 0.1)*$P$9+EH17/MAX(EG17+DY17+EH17, 0.1)*$Q$9))/($B$11+$C$11+$F$11)</f>
        <v>0.1611577859268464</v>
      </c>
      <c r="CX17">
        <v>2</v>
      </c>
      <c r="CY17">
        <v>0.5</v>
      </c>
      <c r="CZ17" t="s">
        <v>346</v>
      </c>
      <c r="DA17">
        <v>2</v>
      </c>
      <c r="DB17">
        <v>1792203941.0999999</v>
      </c>
      <c r="DC17">
        <v>400.05579999999998</v>
      </c>
      <c r="DD17">
        <v>407.91520000000003</v>
      </c>
      <c r="DE17">
        <v>17.162659999999999</v>
      </c>
      <c r="DF17">
        <v>15.643520000000001</v>
      </c>
      <c r="DG17">
        <v>400.46660000000003</v>
      </c>
      <c r="DH17">
        <v>17.318660000000001</v>
      </c>
      <c r="DI17">
        <v>500.03680000000003</v>
      </c>
      <c r="DJ17">
        <v>101.8646</v>
      </c>
      <c r="DK17">
        <v>0.10002514</v>
      </c>
      <c r="DL17">
        <v>24.968499999999999</v>
      </c>
      <c r="DM17">
        <v>25.00788</v>
      </c>
      <c r="DN17">
        <v>999.9</v>
      </c>
      <c r="DO17">
        <v>0</v>
      </c>
      <c r="DP17">
        <v>0</v>
      </c>
      <c r="DQ17">
        <v>9990.7520000000004</v>
      </c>
      <c r="DR17">
        <v>0</v>
      </c>
      <c r="DS17">
        <v>8.1877800000000001</v>
      </c>
      <c r="DT17">
        <v>1500.106</v>
      </c>
      <c r="DU17">
        <v>0.97300299999999995</v>
      </c>
      <c r="DV17">
        <v>2.6996940000000001E-2</v>
      </c>
      <c r="DW17">
        <v>0</v>
      </c>
      <c r="DX17">
        <v>260.7604</v>
      </c>
      <c r="DY17">
        <v>4.9999900000000004</v>
      </c>
      <c r="DZ17">
        <v>3866.73</v>
      </c>
      <c r="EA17">
        <v>14883.64</v>
      </c>
      <c r="EB17">
        <v>36.574599999999997</v>
      </c>
      <c r="EC17">
        <v>38.125</v>
      </c>
      <c r="ED17">
        <v>37.186999999999998</v>
      </c>
      <c r="EE17">
        <v>37.5</v>
      </c>
      <c r="EF17">
        <v>38.25</v>
      </c>
      <c r="EG17">
        <v>1454.7460000000001</v>
      </c>
      <c r="EH17">
        <v>40.36</v>
      </c>
      <c r="EI17">
        <v>0</v>
      </c>
      <c r="EJ17">
        <v>1792203944.3</v>
      </c>
      <c r="EK17">
        <v>0</v>
      </c>
      <c r="EL17">
        <v>260.81880000000001</v>
      </c>
      <c r="EM17">
        <v>1.4108461633732201</v>
      </c>
      <c r="EN17">
        <v>-1.9446154241966001</v>
      </c>
      <c r="EO17">
        <v>3866.5832</v>
      </c>
      <c r="EP17">
        <v>15</v>
      </c>
      <c r="EQ17">
        <v>1792203701.0999999</v>
      </c>
      <c r="ER17" t="s">
        <v>347</v>
      </c>
      <c r="ES17">
        <v>1792203701.0999999</v>
      </c>
      <c r="ET17">
        <v>1792203700.0999999</v>
      </c>
      <c r="EU17">
        <v>14</v>
      </c>
      <c r="EV17">
        <v>-0.37</v>
      </c>
      <c r="EW17">
        <v>5.0000000000000001E-3</v>
      </c>
      <c r="EX17">
        <v>-0.40699999999999997</v>
      </c>
      <c r="EY17">
        <v>-0.17599999999999999</v>
      </c>
      <c r="EZ17">
        <v>408</v>
      </c>
      <c r="FA17">
        <v>16</v>
      </c>
      <c r="FB17">
        <v>0.24</v>
      </c>
      <c r="FC17">
        <v>0.05</v>
      </c>
      <c r="FD17">
        <v>18.252884433831401</v>
      </c>
      <c r="FE17">
        <v>-0.107684309459552</v>
      </c>
      <c r="FF17">
        <v>0.126451116496368</v>
      </c>
      <c r="FG17">
        <v>1</v>
      </c>
      <c r="FH17">
        <v>-7.9223161904761898</v>
      </c>
      <c r="FI17">
        <v>0.183081038961041</v>
      </c>
      <c r="FJ17">
        <v>5.6589373937430999E-2</v>
      </c>
      <c r="FK17">
        <v>1</v>
      </c>
      <c r="FL17">
        <v>260.78800000000001</v>
      </c>
      <c r="FM17">
        <v>0.71660809742805198</v>
      </c>
      <c r="FN17">
        <v>0.46597292271748902</v>
      </c>
      <c r="FO17">
        <v>1</v>
      </c>
      <c r="FP17">
        <v>3</v>
      </c>
      <c r="FQ17">
        <v>3</v>
      </c>
      <c r="FR17" t="s">
        <v>348</v>
      </c>
      <c r="FS17">
        <v>100</v>
      </c>
      <c r="FT17">
        <v>100</v>
      </c>
      <c r="FU17">
        <v>-0.41099999999999998</v>
      </c>
      <c r="FV17">
        <v>-0.156</v>
      </c>
      <c r="FW17">
        <v>-0.48565223486304299</v>
      </c>
      <c r="FX17">
        <v>-6.1673298426602905E-5</v>
      </c>
      <c r="FY17">
        <v>6.1939807181674203E-7</v>
      </c>
      <c r="FZ17">
        <v>3.19222985850634E-12</v>
      </c>
      <c r="GA17">
        <v>-7.2069755770211394E-2</v>
      </c>
      <c r="GB17">
        <v>-2.57783215012692E-2</v>
      </c>
      <c r="GC17">
        <v>1.33723821780375E-3</v>
      </c>
      <c r="GD17">
        <v>-7.42160749481374E-6</v>
      </c>
      <c r="GE17">
        <v>7</v>
      </c>
      <c r="GF17">
        <v>2154</v>
      </c>
      <c r="GG17">
        <v>2</v>
      </c>
      <c r="GH17">
        <v>20</v>
      </c>
      <c r="GI17">
        <v>4</v>
      </c>
      <c r="GJ17">
        <v>4.0999999999999996</v>
      </c>
      <c r="GK17">
        <v>1.0546899999999999</v>
      </c>
      <c r="GL17">
        <v>2.6257299999999999</v>
      </c>
      <c r="GM17">
        <v>1.65161</v>
      </c>
      <c r="GN17">
        <v>2.2729499999999998</v>
      </c>
      <c r="GO17">
        <v>1.5979000000000001</v>
      </c>
      <c r="GP17">
        <v>2.4560499999999998</v>
      </c>
      <c r="GQ17">
        <v>32.377000000000002</v>
      </c>
      <c r="GR17">
        <v>15.392899999999999</v>
      </c>
      <c r="GS17">
        <v>18</v>
      </c>
      <c r="GT17">
        <v>501.47199999999998</v>
      </c>
      <c r="GU17">
        <v>561.08500000000004</v>
      </c>
      <c r="GV17">
        <v>21.259</v>
      </c>
      <c r="GW17">
        <v>28.241800000000001</v>
      </c>
      <c r="GX17">
        <v>30.0001</v>
      </c>
      <c r="GY17">
        <v>28.3734</v>
      </c>
      <c r="GZ17">
        <v>28.43</v>
      </c>
      <c r="HA17">
        <v>21.091000000000001</v>
      </c>
      <c r="HB17">
        <v>27.597300000000001</v>
      </c>
      <c r="HC17">
        <v>50.3429</v>
      </c>
      <c r="HD17">
        <v>21.259799999999998</v>
      </c>
      <c r="HE17">
        <v>407.86700000000002</v>
      </c>
      <c r="HF17">
        <v>15.640599999999999</v>
      </c>
      <c r="HG17">
        <v>98.328699999999998</v>
      </c>
      <c r="HH17">
        <v>94.834100000000007</v>
      </c>
    </row>
    <row r="18" spans="1:216" x14ac:dyDescent="0.3">
      <c r="A18">
        <v>2</v>
      </c>
      <c r="B18">
        <v>1792204068.0999999</v>
      </c>
      <c r="C18">
        <v>124</v>
      </c>
      <c r="D18" t="s">
        <v>349</v>
      </c>
      <c r="E18" t="s">
        <v>350</v>
      </c>
      <c r="F18">
        <v>5</v>
      </c>
      <c r="G18">
        <v>1792204065.0999999</v>
      </c>
      <c r="H18">
        <f t="shared" si="0"/>
        <v>3.0070660571939415E-3</v>
      </c>
      <c r="I18">
        <f t="shared" si="1"/>
        <v>3.0070660571939416</v>
      </c>
      <c r="J18">
        <f t="shared" si="2"/>
        <v>16.542794788116701</v>
      </c>
      <c r="K18">
        <f t="shared" si="3"/>
        <v>400.1</v>
      </c>
      <c r="L18">
        <f t="shared" si="4"/>
        <v>265.85329509945365</v>
      </c>
      <c r="M18">
        <f t="shared" si="5"/>
        <v>27.106924295626243</v>
      </c>
      <c r="N18">
        <f t="shared" si="6"/>
        <v>40.794982084472004</v>
      </c>
      <c r="O18">
        <f t="shared" si="7"/>
        <v>0.21613913736412635</v>
      </c>
      <c r="P18">
        <f t="shared" si="8"/>
        <v>3.0446178462752291</v>
      </c>
      <c r="Q18">
        <f t="shared" si="9"/>
        <v>0.20796235453705778</v>
      </c>
      <c r="R18">
        <f t="shared" si="10"/>
        <v>0.13068534960168177</v>
      </c>
      <c r="S18">
        <f t="shared" si="11"/>
        <v>193.80070321903005</v>
      </c>
      <c r="T18">
        <f t="shared" si="12"/>
        <v>25.478936417435268</v>
      </c>
      <c r="U18">
        <f t="shared" si="13"/>
        <v>25.041540000000001</v>
      </c>
      <c r="V18">
        <f t="shared" si="14"/>
        <v>3.1875608329725105</v>
      </c>
      <c r="W18">
        <f t="shared" si="15"/>
        <v>54.577153596160102</v>
      </c>
      <c r="X18">
        <f t="shared" si="16"/>
        <v>1.7489148352955664</v>
      </c>
      <c r="Y18">
        <f t="shared" si="17"/>
        <v>3.2044815825987221</v>
      </c>
      <c r="Z18">
        <f t="shared" si="18"/>
        <v>1.4386459976769441</v>
      </c>
      <c r="AA18">
        <f t="shared" si="19"/>
        <v>-132.61161312225283</v>
      </c>
      <c r="AB18">
        <f t="shared" si="20"/>
        <v>14.585608121000813</v>
      </c>
      <c r="AC18">
        <f t="shared" si="21"/>
        <v>1.0142092717998299</v>
      </c>
      <c r="AD18">
        <f t="shared" si="22"/>
        <v>76.78890748957788</v>
      </c>
      <c r="AE18">
        <v>0</v>
      </c>
      <c r="AF18">
        <v>0</v>
      </c>
      <c r="AG18">
        <f t="shared" si="23"/>
        <v>1</v>
      </c>
      <c r="AH18">
        <f t="shared" si="24"/>
        <v>0</v>
      </c>
      <c r="AI18">
        <f t="shared" si="25"/>
        <v>54292.356149245061</v>
      </c>
      <c r="AJ18" t="s">
        <v>343</v>
      </c>
      <c r="AK18">
        <v>8102.66</v>
      </c>
      <c r="AL18">
        <v>164.089423076923</v>
      </c>
      <c r="AM18">
        <v>705.66397910492196</v>
      </c>
      <c r="AN18">
        <f t="shared" si="26"/>
        <v>0.76746804720703299</v>
      </c>
      <c r="AO18">
        <v>-2.3872705366560201</v>
      </c>
      <c r="AP18" t="s">
        <v>351</v>
      </c>
      <c r="AQ18">
        <v>8152.84</v>
      </c>
      <c r="AR18">
        <v>255.00095999999999</v>
      </c>
      <c r="AS18">
        <v>335.20325647389001</v>
      </c>
      <c r="AT18">
        <f t="shared" si="27"/>
        <v>0.23926466979337724</v>
      </c>
      <c r="AU18">
        <v>0.5</v>
      </c>
      <c r="AV18">
        <f t="shared" si="28"/>
        <v>1009.1680800098599</v>
      </c>
      <c r="AW18">
        <f t="shared" si="29"/>
        <v>16.542794788116701</v>
      </c>
      <c r="AX18">
        <f t="shared" si="30"/>
        <v>120.72913371478781</v>
      </c>
      <c r="AY18">
        <f t="shared" si="31"/>
        <v>1.8758089657956452E-2</v>
      </c>
      <c r="AZ18">
        <f t="shared" si="32"/>
        <v>1.1051823497421429</v>
      </c>
      <c r="BA18">
        <f t="shared" si="33"/>
        <v>130.54152830658333</v>
      </c>
      <c r="BB18" t="s">
        <v>345</v>
      </c>
      <c r="BC18">
        <v>0</v>
      </c>
      <c r="BD18">
        <f t="shared" si="34"/>
        <v>130.54152830658333</v>
      </c>
      <c r="BE18">
        <f t="shared" si="35"/>
        <v>0.61056008321699706</v>
      </c>
      <c r="BF18">
        <f t="shared" si="36"/>
        <v>0.39187735387598366</v>
      </c>
      <c r="BG18">
        <f t="shared" si="37"/>
        <v>0.64414234241210422</v>
      </c>
      <c r="BH18">
        <f t="shared" si="38"/>
        <v>0.46870726277184555</v>
      </c>
      <c r="BI18">
        <f t="shared" si="39"/>
        <v>0.68404380986443436</v>
      </c>
      <c r="BJ18">
        <f t="shared" si="40"/>
        <v>0.2006120631220788</v>
      </c>
      <c r="BK18">
        <f t="shared" si="41"/>
        <v>0.7993879368779212</v>
      </c>
      <c r="BL18">
        <v>185</v>
      </c>
      <c r="BM18">
        <v>290</v>
      </c>
      <c r="BN18">
        <v>320.20999999999998</v>
      </c>
      <c r="BO18">
        <v>185</v>
      </c>
      <c r="BP18">
        <v>8152.84</v>
      </c>
      <c r="BQ18">
        <v>319.82</v>
      </c>
      <c r="BR18">
        <v>0.39</v>
      </c>
      <c r="BS18">
        <v>300</v>
      </c>
      <c r="BT18">
        <v>19.100000000000001</v>
      </c>
      <c r="BU18">
        <v>335.20325647389001</v>
      </c>
      <c r="BV18">
        <v>2.3987261145950902</v>
      </c>
      <c r="BW18">
        <v>-12.542876029554099</v>
      </c>
      <c r="BX18">
        <v>1.7808287506511</v>
      </c>
      <c r="BY18">
        <v>0.63921150937617599</v>
      </c>
      <c r="BZ18">
        <v>-4.5928956618465104E-3</v>
      </c>
      <c r="CA18">
        <v>290</v>
      </c>
      <c r="CB18">
        <v>320.13</v>
      </c>
      <c r="CC18">
        <v>835</v>
      </c>
      <c r="CD18">
        <v>8142.36</v>
      </c>
      <c r="CE18">
        <v>319.8</v>
      </c>
      <c r="CF18">
        <v>0.33</v>
      </c>
      <c r="CT18">
        <f t="shared" si="42"/>
        <v>1199.982</v>
      </c>
      <c r="CU18">
        <f t="shared" si="43"/>
        <v>1009.1680800098599</v>
      </c>
      <c r="CV18">
        <f t="shared" si="44"/>
        <v>0.8409860147984386</v>
      </c>
      <c r="CW18">
        <f t="shared" si="45"/>
        <v>0.16150300856098679</v>
      </c>
      <c r="CX18">
        <v>2</v>
      </c>
      <c r="CY18">
        <v>0.5</v>
      </c>
      <c r="CZ18" t="s">
        <v>346</v>
      </c>
      <c r="DA18">
        <v>2</v>
      </c>
      <c r="DB18">
        <v>1792204065.0999999</v>
      </c>
      <c r="DC18">
        <v>400.1</v>
      </c>
      <c r="DD18">
        <v>407.19839999999999</v>
      </c>
      <c r="DE18">
        <v>17.152619999999999</v>
      </c>
      <c r="DF18">
        <v>15.970420000000001</v>
      </c>
      <c r="DG18">
        <v>400.51100000000002</v>
      </c>
      <c r="DH18">
        <v>17.308720000000001</v>
      </c>
      <c r="DI18">
        <v>499.99779999999998</v>
      </c>
      <c r="DJ18">
        <v>101.86199999999999</v>
      </c>
      <c r="DK18">
        <v>9.9964720000000007E-2</v>
      </c>
      <c r="DL18">
        <v>25.130400000000002</v>
      </c>
      <c r="DM18">
        <v>25.041540000000001</v>
      </c>
      <c r="DN18">
        <v>999.9</v>
      </c>
      <c r="DO18">
        <v>0</v>
      </c>
      <c r="DP18">
        <v>0</v>
      </c>
      <c r="DQ18">
        <v>10017.864</v>
      </c>
      <c r="DR18">
        <v>0</v>
      </c>
      <c r="DS18">
        <v>8.1877800000000001</v>
      </c>
      <c r="DT18">
        <v>1199.982</v>
      </c>
      <c r="DU18">
        <v>0.96699800000000002</v>
      </c>
      <c r="DV18">
        <v>3.3002400000000001E-2</v>
      </c>
      <c r="DW18">
        <v>0</v>
      </c>
      <c r="DX18">
        <v>254.7458</v>
      </c>
      <c r="DY18">
        <v>4.9999900000000004</v>
      </c>
      <c r="DZ18">
        <v>3028.23</v>
      </c>
      <c r="EA18">
        <v>11872.46</v>
      </c>
      <c r="EB18">
        <v>36.774799999999999</v>
      </c>
      <c r="EC18">
        <v>39.074800000000003</v>
      </c>
      <c r="ED18">
        <v>37.649799999999999</v>
      </c>
      <c r="EE18">
        <v>38.699800000000003</v>
      </c>
      <c r="EF18">
        <v>38.899799999999999</v>
      </c>
      <c r="EG18">
        <v>1155.5419999999999</v>
      </c>
      <c r="EH18">
        <v>39.44</v>
      </c>
      <c r="EI18">
        <v>0</v>
      </c>
      <c r="EJ18">
        <v>122.90000009536701</v>
      </c>
      <c r="EK18">
        <v>0</v>
      </c>
      <c r="EL18">
        <v>255.00095999999999</v>
      </c>
      <c r="EM18">
        <v>-0.647538475561791</v>
      </c>
      <c r="EN18">
        <v>10.3861538773926</v>
      </c>
      <c r="EO18">
        <v>3027.3227999999999</v>
      </c>
      <c r="EP18">
        <v>15</v>
      </c>
      <c r="EQ18">
        <v>1792203701.0999999</v>
      </c>
      <c r="ER18" t="s">
        <v>347</v>
      </c>
      <c r="ES18">
        <v>1792203701.0999999</v>
      </c>
      <c r="ET18">
        <v>1792203700.0999999</v>
      </c>
      <c r="EU18">
        <v>14</v>
      </c>
      <c r="EV18">
        <v>-0.37</v>
      </c>
      <c r="EW18">
        <v>5.0000000000000001E-3</v>
      </c>
      <c r="EX18">
        <v>-0.40699999999999997</v>
      </c>
      <c r="EY18">
        <v>-0.17599999999999999</v>
      </c>
      <c r="EZ18">
        <v>408</v>
      </c>
      <c r="FA18">
        <v>16</v>
      </c>
      <c r="FB18">
        <v>0.24</v>
      </c>
      <c r="FC18">
        <v>0.05</v>
      </c>
      <c r="FD18">
        <v>16.585315889940802</v>
      </c>
      <c r="FE18">
        <v>-0.46736983130245602</v>
      </c>
      <c r="FF18">
        <v>0.116870926219751</v>
      </c>
      <c r="FG18">
        <v>1</v>
      </c>
      <c r="FH18">
        <v>-7.1269733333333303</v>
      </c>
      <c r="FI18">
        <v>0.31370415584414801</v>
      </c>
      <c r="FJ18">
        <v>5.1336724006757803E-2</v>
      </c>
      <c r="FK18">
        <v>1</v>
      </c>
      <c r="FL18">
        <v>254.93555882352899</v>
      </c>
      <c r="FM18">
        <v>-5.19633263124216E-2</v>
      </c>
      <c r="FN18">
        <v>0.31868167698453498</v>
      </c>
      <c r="FO18">
        <v>1</v>
      </c>
      <c r="FP18">
        <v>3</v>
      </c>
      <c r="FQ18">
        <v>3</v>
      </c>
      <c r="FR18" t="s">
        <v>348</v>
      </c>
      <c r="FS18">
        <v>100</v>
      </c>
      <c r="FT18">
        <v>100</v>
      </c>
      <c r="FU18">
        <v>-0.41099999999999998</v>
      </c>
      <c r="FV18">
        <v>-0.15620000000000001</v>
      </c>
      <c r="FW18">
        <v>-0.48565223486304299</v>
      </c>
      <c r="FX18">
        <v>-6.1673298426602905E-5</v>
      </c>
      <c r="FY18">
        <v>6.1939807181674203E-7</v>
      </c>
      <c r="FZ18">
        <v>3.19222985850634E-12</v>
      </c>
      <c r="GA18">
        <v>-7.2069755770211394E-2</v>
      </c>
      <c r="GB18">
        <v>-2.57783215012692E-2</v>
      </c>
      <c r="GC18">
        <v>1.33723821780375E-3</v>
      </c>
      <c r="GD18">
        <v>-7.42160749481374E-6</v>
      </c>
      <c r="GE18">
        <v>7</v>
      </c>
      <c r="GF18">
        <v>2154</v>
      </c>
      <c r="GG18">
        <v>2</v>
      </c>
      <c r="GH18">
        <v>20</v>
      </c>
      <c r="GI18">
        <v>6.1</v>
      </c>
      <c r="GJ18">
        <v>6.1</v>
      </c>
      <c r="GK18">
        <v>1.0522499999999999</v>
      </c>
      <c r="GL18">
        <v>2.6147499999999999</v>
      </c>
      <c r="GM18">
        <v>1.65161</v>
      </c>
      <c r="GN18">
        <v>2.2717299999999998</v>
      </c>
      <c r="GO18">
        <v>1.5979000000000001</v>
      </c>
      <c r="GP18">
        <v>2.65747</v>
      </c>
      <c r="GQ18">
        <v>32.421199999999999</v>
      </c>
      <c r="GR18">
        <v>15.4016</v>
      </c>
      <c r="GS18">
        <v>18</v>
      </c>
      <c r="GT18">
        <v>501.04500000000002</v>
      </c>
      <c r="GU18">
        <v>561.22500000000002</v>
      </c>
      <c r="GV18">
        <v>22.0686</v>
      </c>
      <c r="GW18">
        <v>28.271999999999998</v>
      </c>
      <c r="GX18">
        <v>29.9984</v>
      </c>
      <c r="GY18">
        <v>28.4024</v>
      </c>
      <c r="GZ18">
        <v>28.459199999999999</v>
      </c>
      <c r="HA18">
        <v>21.061499999999999</v>
      </c>
      <c r="HB18">
        <v>25.680499999999999</v>
      </c>
      <c r="HC18">
        <v>49.972900000000003</v>
      </c>
      <c r="HD18">
        <v>22.161100000000001</v>
      </c>
      <c r="HE18">
        <v>407.03399999999999</v>
      </c>
      <c r="HF18">
        <v>16.063400000000001</v>
      </c>
      <c r="HG18">
        <v>98.318899999999999</v>
      </c>
      <c r="HH18">
        <v>94.822400000000002</v>
      </c>
    </row>
    <row r="19" spans="1:216" x14ac:dyDescent="0.3">
      <c r="A19">
        <v>3</v>
      </c>
      <c r="B19">
        <v>1792204191.0999999</v>
      </c>
      <c r="C19">
        <v>247</v>
      </c>
      <c r="D19" t="s">
        <v>352</v>
      </c>
      <c r="E19" t="s">
        <v>353</v>
      </c>
      <c r="F19">
        <v>5</v>
      </c>
      <c r="G19">
        <v>1792204187.5999999</v>
      </c>
      <c r="H19">
        <f t="shared" si="0"/>
        <v>2.3597037508999051E-3</v>
      </c>
      <c r="I19">
        <f t="shared" si="1"/>
        <v>2.359703750899905</v>
      </c>
      <c r="J19">
        <f t="shared" si="2"/>
        <v>14.528554867981109</v>
      </c>
      <c r="K19">
        <f t="shared" si="3"/>
        <v>400.08066666666701</v>
      </c>
      <c r="L19">
        <f t="shared" si="4"/>
        <v>253.1000931878288</v>
      </c>
      <c r="M19">
        <f t="shared" si="5"/>
        <v>25.806287846518778</v>
      </c>
      <c r="N19">
        <f t="shared" si="6"/>
        <v>40.792544624490219</v>
      </c>
      <c r="O19">
        <f t="shared" si="7"/>
        <v>0.17098928039379954</v>
      </c>
      <c r="P19">
        <f t="shared" si="8"/>
        <v>3.0410240943950129</v>
      </c>
      <c r="Q19">
        <f t="shared" si="9"/>
        <v>0.16582204033957768</v>
      </c>
      <c r="R19">
        <f t="shared" si="10"/>
        <v>0.1040900239425586</v>
      </c>
      <c r="S19">
        <f t="shared" si="11"/>
        <v>145.93412280298</v>
      </c>
      <c r="T19">
        <f t="shared" si="12"/>
        <v>25.578831255930151</v>
      </c>
      <c r="U19">
        <f t="shared" si="13"/>
        <v>25.025133333333301</v>
      </c>
      <c r="V19">
        <f t="shared" si="14"/>
        <v>3.1844452236603118</v>
      </c>
      <c r="W19">
        <f t="shared" si="15"/>
        <v>54.511608674329118</v>
      </c>
      <c r="X19">
        <f t="shared" si="16"/>
        <v>1.7687513739747358</v>
      </c>
      <c r="Y19">
        <f t="shared" si="17"/>
        <v>3.2447242284517008</v>
      </c>
      <c r="Z19">
        <f t="shared" si="18"/>
        <v>1.415693849685576</v>
      </c>
      <c r="AA19">
        <f t="shared" si="19"/>
        <v>-104.06293541468581</v>
      </c>
      <c r="AB19">
        <f t="shared" si="20"/>
        <v>51.638057734735256</v>
      </c>
      <c r="AC19">
        <f t="shared" si="21"/>
        <v>3.598390828396667</v>
      </c>
      <c r="AD19">
        <f t="shared" si="22"/>
        <v>97.107635951426118</v>
      </c>
      <c r="AE19">
        <v>0</v>
      </c>
      <c r="AF19">
        <v>0</v>
      </c>
      <c r="AG19">
        <f t="shared" si="23"/>
        <v>1</v>
      </c>
      <c r="AH19">
        <f t="shared" si="24"/>
        <v>0</v>
      </c>
      <c r="AI19">
        <f t="shared" si="25"/>
        <v>54141.300593119602</v>
      </c>
      <c r="AJ19" t="s">
        <v>343</v>
      </c>
      <c r="AK19">
        <v>8102.66</v>
      </c>
      <c r="AL19">
        <v>164.089423076923</v>
      </c>
      <c r="AM19">
        <v>705.66397910492196</v>
      </c>
      <c r="AN19">
        <f t="shared" si="26"/>
        <v>0.76746804720703299</v>
      </c>
      <c r="AO19">
        <v>-2.3872705366560201</v>
      </c>
      <c r="AP19" t="s">
        <v>354</v>
      </c>
      <c r="AQ19">
        <v>8147.42</v>
      </c>
      <c r="AR19">
        <v>247.84661538461501</v>
      </c>
      <c r="AS19">
        <v>358.76719137506598</v>
      </c>
      <c r="AT19">
        <f t="shared" si="27"/>
        <v>0.30917145897683629</v>
      </c>
      <c r="AU19">
        <v>0.5</v>
      </c>
      <c r="AV19">
        <f t="shared" si="28"/>
        <v>757.25429782537844</v>
      </c>
      <c r="AW19">
        <f t="shared" si="29"/>
        <v>14.528554867981109</v>
      </c>
      <c r="AX19">
        <f t="shared" si="30"/>
        <v>117.06070803757598</v>
      </c>
      <c r="AY19">
        <f t="shared" si="31"/>
        <v>2.2338368304035548E-2</v>
      </c>
      <c r="AZ19">
        <f t="shared" si="32"/>
        <v>0.96691335236169818</v>
      </c>
      <c r="BA19">
        <f t="shared" si="33"/>
        <v>133.96823872546793</v>
      </c>
      <c r="BB19" t="s">
        <v>345</v>
      </c>
      <c r="BC19">
        <v>0</v>
      </c>
      <c r="BD19">
        <f t="shared" si="34"/>
        <v>133.96823872546793</v>
      </c>
      <c r="BE19">
        <f t="shared" si="35"/>
        <v>0.626587263422832</v>
      </c>
      <c r="BF19">
        <f t="shared" si="36"/>
        <v>0.49342123120718773</v>
      </c>
      <c r="BG19">
        <f t="shared" si="37"/>
        <v>0.60678567851425425</v>
      </c>
      <c r="BH19">
        <f t="shared" si="38"/>
        <v>0.56976498631615469</v>
      </c>
      <c r="BI19">
        <f t="shared" si="39"/>
        <v>0.64053376191462308</v>
      </c>
      <c r="BJ19">
        <f t="shared" si="40"/>
        <v>0.26670839620706044</v>
      </c>
      <c r="BK19">
        <f t="shared" si="41"/>
        <v>0.73329160379293956</v>
      </c>
      <c r="BL19">
        <v>186</v>
      </c>
      <c r="BM19">
        <v>290</v>
      </c>
      <c r="BN19">
        <v>339.05</v>
      </c>
      <c r="BO19">
        <v>295</v>
      </c>
      <c r="BP19">
        <v>8147.42</v>
      </c>
      <c r="BQ19">
        <v>338.61</v>
      </c>
      <c r="BR19">
        <v>0.44</v>
      </c>
      <c r="BS19">
        <v>300</v>
      </c>
      <c r="BT19">
        <v>19.100000000000001</v>
      </c>
      <c r="BU19">
        <v>358.76719137506598</v>
      </c>
      <c r="BV19">
        <v>2.4060337249121</v>
      </c>
      <c r="BW19">
        <v>-16.4250748487121</v>
      </c>
      <c r="BX19">
        <v>1.7778750273553301</v>
      </c>
      <c r="BY19">
        <v>0.752981242097848</v>
      </c>
      <c r="BZ19">
        <v>-4.7918667408231499E-3</v>
      </c>
      <c r="CA19">
        <v>290</v>
      </c>
      <c r="CB19">
        <v>338.44</v>
      </c>
      <c r="CC19">
        <v>615</v>
      </c>
      <c r="CD19">
        <v>8143.72</v>
      </c>
      <c r="CE19">
        <v>338.6</v>
      </c>
      <c r="CF19">
        <v>-0.16</v>
      </c>
      <c r="CT19">
        <f t="shared" si="42"/>
        <v>900.08666666666704</v>
      </c>
      <c r="CU19">
        <f t="shared" si="43"/>
        <v>757.25429782537844</v>
      </c>
      <c r="CV19">
        <f t="shared" si="44"/>
        <v>0.84131264895829827</v>
      </c>
      <c r="CW19">
        <f t="shared" si="45"/>
        <v>0.16213341248951577</v>
      </c>
      <c r="CX19">
        <v>2</v>
      </c>
      <c r="CY19">
        <v>0.5</v>
      </c>
      <c r="CZ19" t="s">
        <v>346</v>
      </c>
      <c r="DA19">
        <v>2</v>
      </c>
      <c r="DB19">
        <v>1792204187.5999999</v>
      </c>
      <c r="DC19">
        <v>400.08066666666701</v>
      </c>
      <c r="DD19">
        <v>406.27</v>
      </c>
      <c r="DE19">
        <v>17.347366666666701</v>
      </c>
      <c r="DF19">
        <v>16.419816666666701</v>
      </c>
      <c r="DG19">
        <v>400.49149999999997</v>
      </c>
      <c r="DH19">
        <v>17.500816666666701</v>
      </c>
      <c r="DI19">
        <v>499.97716666666702</v>
      </c>
      <c r="DJ19">
        <v>101.86083333333301</v>
      </c>
      <c r="DK19">
        <v>9.9966133333333304E-2</v>
      </c>
      <c r="DL19">
        <v>25.3401</v>
      </c>
      <c r="DM19">
        <v>25.025133333333301</v>
      </c>
      <c r="DN19">
        <v>999.9</v>
      </c>
      <c r="DO19">
        <v>0</v>
      </c>
      <c r="DP19">
        <v>0</v>
      </c>
      <c r="DQ19">
        <v>9996.2466666666696</v>
      </c>
      <c r="DR19">
        <v>0</v>
      </c>
      <c r="DS19">
        <v>8.0748499999999996</v>
      </c>
      <c r="DT19">
        <v>900.08666666666704</v>
      </c>
      <c r="DU19">
        <v>0.95600200000000002</v>
      </c>
      <c r="DV19">
        <v>4.3998000000000002E-2</v>
      </c>
      <c r="DW19">
        <v>0</v>
      </c>
      <c r="DX19">
        <v>248.11733333333299</v>
      </c>
      <c r="DY19">
        <v>4.9999900000000004</v>
      </c>
      <c r="DZ19">
        <v>2224.895</v>
      </c>
      <c r="EA19">
        <v>8860.7433333333302</v>
      </c>
      <c r="EB19">
        <v>38.270666666666699</v>
      </c>
      <c r="EC19">
        <v>41.093499999999999</v>
      </c>
      <c r="ED19">
        <v>39.375</v>
      </c>
      <c r="EE19">
        <v>41.749833333333299</v>
      </c>
      <c r="EF19">
        <v>40.489333333333299</v>
      </c>
      <c r="EG19">
        <v>855.70500000000004</v>
      </c>
      <c r="EH19">
        <v>39.383333333333297</v>
      </c>
      <c r="EI19">
        <v>0</v>
      </c>
      <c r="EJ19">
        <v>121.700000047684</v>
      </c>
      <c r="EK19">
        <v>0</v>
      </c>
      <c r="EL19">
        <v>247.84661538461501</v>
      </c>
      <c r="EM19">
        <v>1.07234186449007</v>
      </c>
      <c r="EN19">
        <v>0.19965813221018999</v>
      </c>
      <c r="EO19">
        <v>2224.9699999999998</v>
      </c>
      <c r="EP19">
        <v>15</v>
      </c>
      <c r="EQ19">
        <v>1792203701.0999999</v>
      </c>
      <c r="ER19" t="s">
        <v>347</v>
      </c>
      <c r="ES19">
        <v>1792203701.0999999</v>
      </c>
      <c r="ET19">
        <v>1792203700.0999999</v>
      </c>
      <c r="EU19">
        <v>14</v>
      </c>
      <c r="EV19">
        <v>-0.37</v>
      </c>
      <c r="EW19">
        <v>5.0000000000000001E-3</v>
      </c>
      <c r="EX19">
        <v>-0.40699999999999997</v>
      </c>
      <c r="EY19">
        <v>-0.17599999999999999</v>
      </c>
      <c r="EZ19">
        <v>408</v>
      </c>
      <c r="FA19">
        <v>16</v>
      </c>
      <c r="FB19">
        <v>0.24</v>
      </c>
      <c r="FC19">
        <v>0.05</v>
      </c>
      <c r="FD19">
        <v>14.7053701283682</v>
      </c>
      <c r="FE19">
        <v>-0.59169444521663905</v>
      </c>
      <c r="FF19">
        <v>0.13959326657564</v>
      </c>
      <c r="FG19">
        <v>1</v>
      </c>
      <c r="FH19">
        <v>-6.2681909999999998</v>
      </c>
      <c r="FI19">
        <v>0.396212932330821</v>
      </c>
      <c r="FJ19">
        <v>6.1786064359206402E-2</v>
      </c>
      <c r="FK19">
        <v>1</v>
      </c>
      <c r="FL19">
        <v>247.89397058823499</v>
      </c>
      <c r="FM19">
        <v>8.1757066908936596E-2</v>
      </c>
      <c r="FN19">
        <v>0.34173833172508</v>
      </c>
      <c r="FO19">
        <v>1</v>
      </c>
      <c r="FP19">
        <v>3</v>
      </c>
      <c r="FQ19">
        <v>3</v>
      </c>
      <c r="FR19" t="s">
        <v>348</v>
      </c>
      <c r="FS19">
        <v>100</v>
      </c>
      <c r="FT19">
        <v>100</v>
      </c>
      <c r="FU19">
        <v>-0.41</v>
      </c>
      <c r="FV19">
        <v>-0.15340000000000001</v>
      </c>
      <c r="FW19">
        <v>-0.48565223486304299</v>
      </c>
      <c r="FX19">
        <v>-6.1673298426602905E-5</v>
      </c>
      <c r="FY19">
        <v>6.1939807181674203E-7</v>
      </c>
      <c r="FZ19">
        <v>3.19222985850634E-12</v>
      </c>
      <c r="GA19">
        <v>-7.2069755770211394E-2</v>
      </c>
      <c r="GB19">
        <v>-2.57783215012692E-2</v>
      </c>
      <c r="GC19">
        <v>1.33723821780375E-3</v>
      </c>
      <c r="GD19">
        <v>-7.42160749481374E-6</v>
      </c>
      <c r="GE19">
        <v>7</v>
      </c>
      <c r="GF19">
        <v>2154</v>
      </c>
      <c r="GG19">
        <v>2</v>
      </c>
      <c r="GH19">
        <v>20</v>
      </c>
      <c r="GI19">
        <v>8.1999999999999993</v>
      </c>
      <c r="GJ19">
        <v>8.1999999999999993</v>
      </c>
      <c r="GK19">
        <v>1.0510299999999999</v>
      </c>
      <c r="GL19">
        <v>2.6184099999999999</v>
      </c>
      <c r="GM19">
        <v>1.65161</v>
      </c>
      <c r="GN19">
        <v>2.2717299999999998</v>
      </c>
      <c r="GO19">
        <v>1.5979000000000001</v>
      </c>
      <c r="GP19">
        <v>2.5622600000000002</v>
      </c>
      <c r="GQ19">
        <v>32.443300000000001</v>
      </c>
      <c r="GR19">
        <v>15.3841</v>
      </c>
      <c r="GS19">
        <v>18</v>
      </c>
      <c r="GT19">
        <v>500.89</v>
      </c>
      <c r="GU19">
        <v>561.34699999999998</v>
      </c>
      <c r="GV19">
        <v>22.726400000000002</v>
      </c>
      <c r="GW19">
        <v>28.305800000000001</v>
      </c>
      <c r="GX19">
        <v>29.9984</v>
      </c>
      <c r="GY19">
        <v>28.435400000000001</v>
      </c>
      <c r="GZ19">
        <v>28.490600000000001</v>
      </c>
      <c r="HA19">
        <v>21.038699999999999</v>
      </c>
      <c r="HB19">
        <v>23.579000000000001</v>
      </c>
      <c r="HC19">
        <v>49.972900000000003</v>
      </c>
      <c r="HD19">
        <v>22.8276</v>
      </c>
      <c r="HE19">
        <v>406.26900000000001</v>
      </c>
      <c r="HF19">
        <v>16.519100000000002</v>
      </c>
      <c r="HG19">
        <v>98.3108</v>
      </c>
      <c r="HH19">
        <v>94.812600000000003</v>
      </c>
    </row>
    <row r="20" spans="1:216" x14ac:dyDescent="0.3">
      <c r="A20">
        <v>4</v>
      </c>
      <c r="B20">
        <v>1792204315</v>
      </c>
      <c r="C20">
        <v>370.90000009536698</v>
      </c>
      <c r="D20" t="s">
        <v>355</v>
      </c>
      <c r="E20" t="s">
        <v>356</v>
      </c>
      <c r="F20">
        <v>5</v>
      </c>
      <c r="G20">
        <v>1792204312</v>
      </c>
      <c r="H20">
        <f t="shared" si="0"/>
        <v>1.9817939633089642E-3</v>
      </c>
      <c r="I20">
        <f t="shared" si="1"/>
        <v>1.9817939633089641</v>
      </c>
      <c r="J20">
        <f t="shared" si="2"/>
        <v>12.497840307772403</v>
      </c>
      <c r="K20">
        <f t="shared" si="3"/>
        <v>400.04899999999998</v>
      </c>
      <c r="L20">
        <f t="shared" si="4"/>
        <v>252.54979712313914</v>
      </c>
      <c r="M20">
        <f t="shared" si="5"/>
        <v>25.74999593769731</v>
      </c>
      <c r="N20">
        <f t="shared" si="6"/>
        <v>40.789025539613263</v>
      </c>
      <c r="O20">
        <f t="shared" si="7"/>
        <v>0.1458306250809018</v>
      </c>
      <c r="P20">
        <f t="shared" si="8"/>
        <v>3.0422548117152131</v>
      </c>
      <c r="Q20">
        <f t="shared" si="9"/>
        <v>0.14205549605242807</v>
      </c>
      <c r="R20">
        <f t="shared" si="10"/>
        <v>8.9115725574779592E-2</v>
      </c>
      <c r="S20">
        <f t="shared" si="11"/>
        <v>98.076783564818143</v>
      </c>
      <c r="T20">
        <f t="shared" si="12"/>
        <v>25.590820212199294</v>
      </c>
      <c r="U20">
        <f t="shared" si="13"/>
        <v>25.009260000000001</v>
      </c>
      <c r="V20">
        <f t="shared" si="14"/>
        <v>3.1814334269342948</v>
      </c>
      <c r="W20">
        <f t="shared" si="15"/>
        <v>54.660565981856536</v>
      </c>
      <c r="X20">
        <f t="shared" si="16"/>
        <v>1.7937081268532526</v>
      </c>
      <c r="Y20">
        <f t="shared" si="17"/>
        <v>3.2815396156868144</v>
      </c>
      <c r="Z20">
        <f t="shared" si="18"/>
        <v>1.3877253000810421</v>
      </c>
      <c r="AA20">
        <f t="shared" si="19"/>
        <v>-87.397113781925327</v>
      </c>
      <c r="AB20">
        <f t="shared" si="20"/>
        <v>85.402111361765193</v>
      </c>
      <c r="AC20">
        <f t="shared" si="21"/>
        <v>5.9540376808980202</v>
      </c>
      <c r="AD20">
        <f t="shared" si="22"/>
        <v>102.03581882555603</v>
      </c>
      <c r="AE20">
        <v>0</v>
      </c>
      <c r="AF20">
        <v>0</v>
      </c>
      <c r="AG20">
        <f t="shared" si="23"/>
        <v>1</v>
      </c>
      <c r="AH20">
        <f t="shared" si="24"/>
        <v>0</v>
      </c>
      <c r="AI20">
        <f t="shared" si="25"/>
        <v>54145.463074163534</v>
      </c>
      <c r="AJ20" t="s">
        <v>343</v>
      </c>
      <c r="AK20">
        <v>8102.66</v>
      </c>
      <c r="AL20">
        <v>164.089423076923</v>
      </c>
      <c r="AM20">
        <v>705.66397910492196</v>
      </c>
      <c r="AN20">
        <f t="shared" si="26"/>
        <v>0.76746804720703299</v>
      </c>
      <c r="AO20">
        <v>-2.3872705366560201</v>
      </c>
      <c r="AP20" t="s">
        <v>357</v>
      </c>
      <c r="AQ20">
        <v>8159.38</v>
      </c>
      <c r="AR20">
        <v>250.39269230769199</v>
      </c>
      <c r="AS20">
        <v>439.954724726054</v>
      </c>
      <c r="AT20">
        <f t="shared" si="27"/>
        <v>0.43086713646818164</v>
      </c>
      <c r="AU20">
        <v>0.5</v>
      </c>
      <c r="AV20">
        <f t="shared" si="28"/>
        <v>505.24266365016484</v>
      </c>
      <c r="AW20">
        <f t="shared" si="29"/>
        <v>12.497840307772403</v>
      </c>
      <c r="AX20">
        <f t="shared" si="30"/>
        <v>108.84622985425159</v>
      </c>
      <c r="AY20">
        <f t="shared" si="31"/>
        <v>2.9461310208622891E-2</v>
      </c>
      <c r="AZ20">
        <f t="shared" si="32"/>
        <v>0.60394681417347384</v>
      </c>
      <c r="BA20">
        <f t="shared" si="33"/>
        <v>143.88294386190785</v>
      </c>
      <c r="BB20" t="s">
        <v>345</v>
      </c>
      <c r="BC20">
        <v>0</v>
      </c>
      <c r="BD20">
        <f t="shared" si="34"/>
        <v>143.88294386190785</v>
      </c>
      <c r="BE20">
        <f t="shared" si="35"/>
        <v>0.67295965749316766</v>
      </c>
      <c r="BF20">
        <f t="shared" si="36"/>
        <v>0.64025700749016468</v>
      </c>
      <c r="BG20">
        <f t="shared" si="37"/>
        <v>0.47297654728399291</v>
      </c>
      <c r="BH20">
        <f t="shared" si="38"/>
        <v>0.68715431511376945</v>
      </c>
      <c r="BI20">
        <f t="shared" si="39"/>
        <v>0.49062359267323302</v>
      </c>
      <c r="BJ20">
        <f t="shared" si="40"/>
        <v>0.3679103500061312</v>
      </c>
      <c r="BK20">
        <f t="shared" si="41"/>
        <v>0.63208964999386885</v>
      </c>
      <c r="BL20">
        <v>187</v>
      </c>
      <c r="BM20">
        <v>290</v>
      </c>
      <c r="BN20">
        <v>401.74</v>
      </c>
      <c r="BO20">
        <v>175</v>
      </c>
      <c r="BP20">
        <v>8159.38</v>
      </c>
      <c r="BQ20">
        <v>400.45</v>
      </c>
      <c r="BR20">
        <v>1.29</v>
      </c>
      <c r="BS20">
        <v>300</v>
      </c>
      <c r="BT20">
        <v>19.100000000000001</v>
      </c>
      <c r="BU20">
        <v>439.954724726054</v>
      </c>
      <c r="BV20">
        <v>2.69494031877236</v>
      </c>
      <c r="BW20">
        <v>-32.236538273360097</v>
      </c>
      <c r="BX20">
        <v>1.9842313688256401</v>
      </c>
      <c r="BY20">
        <v>0.90409127171867298</v>
      </c>
      <c r="BZ20">
        <v>-4.9969926585094601E-3</v>
      </c>
      <c r="CA20">
        <v>290</v>
      </c>
      <c r="CB20">
        <v>396.49</v>
      </c>
      <c r="CC20">
        <v>615</v>
      </c>
      <c r="CD20">
        <v>8151.38</v>
      </c>
      <c r="CE20">
        <v>400.41</v>
      </c>
      <c r="CF20">
        <v>-3.92</v>
      </c>
      <c r="CT20">
        <f t="shared" si="42"/>
        <v>600.05579999999998</v>
      </c>
      <c r="CU20">
        <f t="shared" si="43"/>
        <v>505.24266365016484</v>
      </c>
      <c r="CV20">
        <f t="shared" si="44"/>
        <v>0.84199280075313809</v>
      </c>
      <c r="CW20">
        <f t="shared" si="45"/>
        <v>0.1634461054535564</v>
      </c>
      <c r="CX20">
        <v>2</v>
      </c>
      <c r="CY20">
        <v>0.5</v>
      </c>
      <c r="CZ20" t="s">
        <v>346</v>
      </c>
      <c r="DA20">
        <v>2</v>
      </c>
      <c r="DB20">
        <v>1792204312</v>
      </c>
      <c r="DC20">
        <v>400.04899999999998</v>
      </c>
      <c r="DD20">
        <v>405.36599999999999</v>
      </c>
      <c r="DE20">
        <v>17.59226</v>
      </c>
      <c r="DF20">
        <v>16.813379999999999</v>
      </c>
      <c r="DG20">
        <v>400.45979999999997</v>
      </c>
      <c r="DH20">
        <v>17.742239999999999</v>
      </c>
      <c r="DI20">
        <v>499.93060000000003</v>
      </c>
      <c r="DJ20">
        <v>101.86020000000001</v>
      </c>
      <c r="DK20">
        <v>9.9873740000000003E-2</v>
      </c>
      <c r="DL20">
        <v>25.529959999999999</v>
      </c>
      <c r="DM20">
        <v>25.009260000000001</v>
      </c>
      <c r="DN20">
        <v>999.9</v>
      </c>
      <c r="DO20">
        <v>0</v>
      </c>
      <c r="DP20">
        <v>0</v>
      </c>
      <c r="DQ20">
        <v>10003.745999999999</v>
      </c>
      <c r="DR20">
        <v>0</v>
      </c>
      <c r="DS20">
        <v>8.3007200000000001</v>
      </c>
      <c r="DT20">
        <v>600.05579999999998</v>
      </c>
      <c r="DU20">
        <v>0.93302160000000001</v>
      </c>
      <c r="DV20">
        <v>6.6978339999999997E-2</v>
      </c>
      <c r="DW20">
        <v>0</v>
      </c>
      <c r="DX20">
        <v>250.6602</v>
      </c>
      <c r="DY20">
        <v>4.9999900000000004</v>
      </c>
      <c r="DZ20">
        <v>1486.316</v>
      </c>
      <c r="EA20">
        <v>5845.9179999999997</v>
      </c>
      <c r="EB20">
        <v>36.712200000000003</v>
      </c>
      <c r="EC20">
        <v>39</v>
      </c>
      <c r="ED20">
        <v>38</v>
      </c>
      <c r="EE20">
        <v>38.574599999999997</v>
      </c>
      <c r="EF20">
        <v>38.75</v>
      </c>
      <c r="EG20">
        <v>555.20000000000005</v>
      </c>
      <c r="EH20">
        <v>39.86</v>
      </c>
      <c r="EI20">
        <v>0</v>
      </c>
      <c r="EJ20">
        <v>122.90000009536701</v>
      </c>
      <c r="EK20">
        <v>0</v>
      </c>
      <c r="EL20">
        <v>250.39269230769199</v>
      </c>
      <c r="EM20">
        <v>0.48540171679606697</v>
      </c>
      <c r="EN20">
        <v>-0.39282051114260802</v>
      </c>
      <c r="EO20">
        <v>1486.29269230769</v>
      </c>
      <c r="EP20">
        <v>15</v>
      </c>
      <c r="EQ20">
        <v>1792203701.0999999</v>
      </c>
      <c r="ER20" t="s">
        <v>347</v>
      </c>
      <c r="ES20">
        <v>1792203701.0999999</v>
      </c>
      <c r="ET20">
        <v>1792203700.0999999</v>
      </c>
      <c r="EU20">
        <v>14</v>
      </c>
      <c r="EV20">
        <v>-0.37</v>
      </c>
      <c r="EW20">
        <v>5.0000000000000001E-3</v>
      </c>
      <c r="EX20">
        <v>-0.40699999999999997</v>
      </c>
      <c r="EY20">
        <v>-0.17599999999999999</v>
      </c>
      <c r="EZ20">
        <v>408</v>
      </c>
      <c r="FA20">
        <v>16</v>
      </c>
      <c r="FB20">
        <v>0.24</v>
      </c>
      <c r="FC20">
        <v>0.05</v>
      </c>
      <c r="FD20">
        <v>12.6230133617495</v>
      </c>
      <c r="FE20">
        <v>9.7997069788077304E-2</v>
      </c>
      <c r="FF20">
        <v>0.11103661008655499</v>
      </c>
      <c r="FG20">
        <v>1</v>
      </c>
      <c r="FH20">
        <v>-5.3644990476190504</v>
      </c>
      <c r="FI20">
        <v>5.0864548792758701E-2</v>
      </c>
      <c r="FJ20">
        <v>4.7188482039457601E-2</v>
      </c>
      <c r="FK20">
        <v>1</v>
      </c>
      <c r="FL20">
        <v>250.428</v>
      </c>
      <c r="FM20">
        <v>0.40644767039786101</v>
      </c>
      <c r="FN20">
        <v>0.27820961204691302</v>
      </c>
      <c r="FO20">
        <v>1</v>
      </c>
      <c r="FP20">
        <v>3</v>
      </c>
      <c r="FQ20">
        <v>3</v>
      </c>
      <c r="FR20" t="s">
        <v>348</v>
      </c>
      <c r="FS20">
        <v>100</v>
      </c>
      <c r="FT20">
        <v>100</v>
      </c>
      <c r="FU20">
        <v>-0.41099999999999998</v>
      </c>
      <c r="FV20">
        <v>-0.14990000000000001</v>
      </c>
      <c r="FW20">
        <v>-0.48565223486304299</v>
      </c>
      <c r="FX20">
        <v>-6.1673298426602905E-5</v>
      </c>
      <c r="FY20">
        <v>6.1939807181674203E-7</v>
      </c>
      <c r="FZ20">
        <v>3.19222985850634E-12</v>
      </c>
      <c r="GA20">
        <v>-7.2069755770211394E-2</v>
      </c>
      <c r="GB20">
        <v>-2.57783215012692E-2</v>
      </c>
      <c r="GC20">
        <v>1.33723821780375E-3</v>
      </c>
      <c r="GD20">
        <v>-7.42160749481374E-6</v>
      </c>
      <c r="GE20">
        <v>7</v>
      </c>
      <c r="GF20">
        <v>2154</v>
      </c>
      <c r="GG20">
        <v>2</v>
      </c>
      <c r="GH20">
        <v>20</v>
      </c>
      <c r="GI20">
        <v>10.199999999999999</v>
      </c>
      <c r="GJ20">
        <v>10.199999999999999</v>
      </c>
      <c r="GK20">
        <v>1.0498000000000001</v>
      </c>
      <c r="GL20">
        <v>2.6220699999999999</v>
      </c>
      <c r="GM20">
        <v>1.65161</v>
      </c>
      <c r="GN20">
        <v>2.2717299999999998</v>
      </c>
      <c r="GO20">
        <v>1.5979000000000001</v>
      </c>
      <c r="GP20">
        <v>2.48169</v>
      </c>
      <c r="GQ20">
        <v>32.465400000000002</v>
      </c>
      <c r="GR20">
        <v>15.375400000000001</v>
      </c>
      <c r="GS20">
        <v>18</v>
      </c>
      <c r="GT20">
        <v>501.12</v>
      </c>
      <c r="GU20">
        <v>561.87800000000004</v>
      </c>
      <c r="GV20">
        <v>23.3764</v>
      </c>
      <c r="GW20">
        <v>28.340699999999998</v>
      </c>
      <c r="GX20">
        <v>29.9985</v>
      </c>
      <c r="GY20">
        <v>28.467500000000001</v>
      </c>
      <c r="GZ20">
        <v>28.522099999999998</v>
      </c>
      <c r="HA20">
        <v>21.008700000000001</v>
      </c>
      <c r="HB20">
        <v>22.697299999999998</v>
      </c>
      <c r="HC20">
        <v>51.479799999999997</v>
      </c>
      <c r="HD20">
        <v>23.4557</v>
      </c>
      <c r="HE20">
        <v>405.47899999999998</v>
      </c>
      <c r="HF20">
        <v>16.8689</v>
      </c>
      <c r="HG20">
        <v>98.307100000000005</v>
      </c>
      <c r="HH20">
        <v>94.805199999999999</v>
      </c>
    </row>
    <row r="21" spans="1:216" x14ac:dyDescent="0.3">
      <c r="A21">
        <v>5</v>
      </c>
      <c r="B21">
        <v>1792204459</v>
      </c>
      <c r="C21">
        <v>514.90000009536698</v>
      </c>
      <c r="D21" t="s">
        <v>358</v>
      </c>
      <c r="E21" t="s">
        <v>359</v>
      </c>
      <c r="F21">
        <v>5</v>
      </c>
      <c r="G21">
        <v>1792204455.5</v>
      </c>
      <c r="H21">
        <f t="shared" si="0"/>
        <v>1.7603131370474317E-3</v>
      </c>
      <c r="I21">
        <f t="shared" si="1"/>
        <v>1.7603131370474316</v>
      </c>
      <c r="J21">
        <f t="shared" si="2"/>
        <v>10.742207038421126</v>
      </c>
      <c r="K21">
        <f t="shared" si="3"/>
        <v>399.98166666666702</v>
      </c>
      <c r="L21">
        <f t="shared" si="4"/>
        <v>258.73085900254796</v>
      </c>
      <c r="M21">
        <f t="shared" si="5"/>
        <v>26.379418676895195</v>
      </c>
      <c r="N21">
        <f t="shared" si="6"/>
        <v>40.780925355248932</v>
      </c>
      <c r="O21">
        <f t="shared" si="7"/>
        <v>0.13086970869403339</v>
      </c>
      <c r="P21">
        <f t="shared" si="8"/>
        <v>3.0406663487715888</v>
      </c>
      <c r="Q21">
        <f t="shared" si="9"/>
        <v>0.12781916045416319</v>
      </c>
      <c r="R21">
        <f t="shared" si="10"/>
        <v>8.0155132433510148E-2</v>
      </c>
      <c r="S21">
        <f t="shared" si="11"/>
        <v>66.128509458282764</v>
      </c>
      <c r="T21">
        <f t="shared" si="12"/>
        <v>25.56949675967082</v>
      </c>
      <c r="U21">
        <f t="shared" si="13"/>
        <v>25.016733333333299</v>
      </c>
      <c r="V21">
        <f t="shared" si="14"/>
        <v>3.1828511024739004</v>
      </c>
      <c r="W21">
        <f t="shared" si="15"/>
        <v>54.908204664070993</v>
      </c>
      <c r="X21">
        <f t="shared" si="16"/>
        <v>1.8131112851462192</v>
      </c>
      <c r="Y21">
        <f t="shared" si="17"/>
        <v>3.3020771599414953</v>
      </c>
      <c r="Z21">
        <f t="shared" si="18"/>
        <v>1.3697398173276811</v>
      </c>
      <c r="AA21">
        <f t="shared" si="19"/>
        <v>-77.629809343791734</v>
      </c>
      <c r="AB21">
        <f t="shared" si="20"/>
        <v>101.36239659390309</v>
      </c>
      <c r="AC21">
        <f t="shared" si="21"/>
        <v>7.0744495738513118</v>
      </c>
      <c r="AD21">
        <f t="shared" si="22"/>
        <v>96.935546282245426</v>
      </c>
      <c r="AE21">
        <v>0</v>
      </c>
      <c r="AF21">
        <v>0</v>
      </c>
      <c r="AG21">
        <f t="shared" si="23"/>
        <v>1</v>
      </c>
      <c r="AH21">
        <f t="shared" si="24"/>
        <v>0</v>
      </c>
      <c r="AI21">
        <f t="shared" si="25"/>
        <v>54076.522581430734</v>
      </c>
      <c r="AJ21" t="s">
        <v>343</v>
      </c>
      <c r="AK21">
        <v>8102.66</v>
      </c>
      <c r="AL21">
        <v>164.089423076923</v>
      </c>
      <c r="AM21">
        <v>705.66397910492196</v>
      </c>
      <c r="AN21">
        <f t="shared" si="26"/>
        <v>0.76746804720703299</v>
      </c>
      <c r="AO21">
        <v>-2.3872705366560201</v>
      </c>
      <c r="AP21" t="s">
        <v>360</v>
      </c>
      <c r="AQ21">
        <v>8165.16</v>
      </c>
      <c r="AR21">
        <v>268.10624000000001</v>
      </c>
      <c r="AS21">
        <v>582.22236041935901</v>
      </c>
      <c r="AT21">
        <f t="shared" si="27"/>
        <v>0.53951229250815724</v>
      </c>
      <c r="AU21">
        <v>0.5</v>
      </c>
      <c r="AV21">
        <f t="shared" si="28"/>
        <v>337.19168842398039</v>
      </c>
      <c r="AW21">
        <f t="shared" si="29"/>
        <v>10.742207038421126</v>
      </c>
      <c r="AX21">
        <f t="shared" si="30"/>
        <v>90.959530418158963</v>
      </c>
      <c r="AY21">
        <f t="shared" si="31"/>
        <v>3.8937726005180515E-2</v>
      </c>
      <c r="AZ21">
        <f t="shared" si="32"/>
        <v>0.21201799703579111</v>
      </c>
      <c r="BA21">
        <f t="shared" si="33"/>
        <v>156.37975138456298</v>
      </c>
      <c r="BB21" t="s">
        <v>345</v>
      </c>
      <c r="BC21">
        <v>0</v>
      </c>
      <c r="BD21">
        <f t="shared" si="34"/>
        <v>156.37975138456298</v>
      </c>
      <c r="BE21">
        <f t="shared" si="35"/>
        <v>0.73140888771099943</v>
      </c>
      <c r="BF21">
        <f t="shared" si="36"/>
        <v>0.73763431313584737</v>
      </c>
      <c r="BG21">
        <f t="shared" si="37"/>
        <v>0.2247317735626066</v>
      </c>
      <c r="BH21">
        <f t="shared" si="38"/>
        <v>0.75123505556824643</v>
      </c>
      <c r="BI21">
        <f t="shared" si="39"/>
        <v>0.22793097886818214</v>
      </c>
      <c r="BJ21">
        <f t="shared" si="40"/>
        <v>0.43024388578537626</v>
      </c>
      <c r="BK21">
        <f t="shared" si="41"/>
        <v>0.56975611421462369</v>
      </c>
      <c r="BL21">
        <v>188</v>
      </c>
      <c r="BM21">
        <v>290</v>
      </c>
      <c r="BN21">
        <v>523.66</v>
      </c>
      <c r="BO21">
        <v>175</v>
      </c>
      <c r="BP21">
        <v>8165.16</v>
      </c>
      <c r="BQ21">
        <v>520.14</v>
      </c>
      <c r="BR21">
        <v>3.52</v>
      </c>
      <c r="BS21">
        <v>300</v>
      </c>
      <c r="BT21">
        <v>19.100000000000001</v>
      </c>
      <c r="BU21">
        <v>582.22236041935901</v>
      </c>
      <c r="BV21">
        <v>2.4859661122481498</v>
      </c>
      <c r="BW21">
        <v>-50.695129033246097</v>
      </c>
      <c r="BX21">
        <v>1.8261149783754</v>
      </c>
      <c r="BY21">
        <v>0.96494232120510404</v>
      </c>
      <c r="BZ21">
        <v>-5.1347844271412701E-3</v>
      </c>
      <c r="CA21">
        <v>290</v>
      </c>
      <c r="CB21">
        <v>509.26</v>
      </c>
      <c r="CC21">
        <v>615</v>
      </c>
      <c r="CD21">
        <v>8157.3</v>
      </c>
      <c r="CE21">
        <v>520.08000000000004</v>
      </c>
      <c r="CF21">
        <v>-10.82</v>
      </c>
      <c r="CT21">
        <f t="shared" si="42"/>
        <v>400.007833333333</v>
      </c>
      <c r="CU21">
        <f t="shared" si="43"/>
        <v>337.19168842398039</v>
      </c>
      <c r="CV21">
        <f t="shared" si="44"/>
        <v>0.84296271304015469</v>
      </c>
      <c r="CW21">
        <f t="shared" si="45"/>
        <v>0.16531803616749877</v>
      </c>
      <c r="CX21">
        <v>2</v>
      </c>
      <c r="CY21">
        <v>0.5</v>
      </c>
      <c r="CZ21" t="s">
        <v>346</v>
      </c>
      <c r="DA21">
        <v>2</v>
      </c>
      <c r="DB21">
        <v>1792204455.5</v>
      </c>
      <c r="DC21">
        <v>399.98166666666702</v>
      </c>
      <c r="DD21">
        <v>404.55950000000001</v>
      </c>
      <c r="DE21">
        <v>17.783100000000001</v>
      </c>
      <c r="DF21">
        <v>17.0916</v>
      </c>
      <c r="DG21">
        <v>400.4135</v>
      </c>
      <c r="DH21">
        <v>17.934166666666702</v>
      </c>
      <c r="DI21">
        <v>500.07499999999999</v>
      </c>
      <c r="DJ21">
        <v>101.856833333333</v>
      </c>
      <c r="DK21">
        <v>0.100153083333333</v>
      </c>
      <c r="DL21">
        <v>25.635066666666699</v>
      </c>
      <c r="DM21">
        <v>25.016733333333299</v>
      </c>
      <c r="DN21">
        <v>999.9</v>
      </c>
      <c r="DO21">
        <v>0</v>
      </c>
      <c r="DP21">
        <v>0</v>
      </c>
      <c r="DQ21">
        <v>9994.4783333333307</v>
      </c>
      <c r="DR21">
        <v>0</v>
      </c>
      <c r="DS21">
        <v>7.4125316666666698</v>
      </c>
      <c r="DT21">
        <v>400.007833333333</v>
      </c>
      <c r="DU21">
        <v>0.89998966666666702</v>
      </c>
      <c r="DV21">
        <v>0.10001028333333301</v>
      </c>
      <c r="DW21">
        <v>0</v>
      </c>
      <c r="DX21">
        <v>268.17066666666699</v>
      </c>
      <c r="DY21">
        <v>4.9999900000000004</v>
      </c>
      <c r="DZ21">
        <v>1048.46</v>
      </c>
      <c r="EA21">
        <v>3837.9483333333301</v>
      </c>
      <c r="EB21">
        <v>35.311999999999998</v>
      </c>
      <c r="EC21">
        <v>38.051666666666698</v>
      </c>
      <c r="ED21">
        <v>36.780999999999999</v>
      </c>
      <c r="EE21">
        <v>37.551666666666698</v>
      </c>
      <c r="EF21">
        <v>37.561999999999998</v>
      </c>
      <c r="EG21">
        <v>355.50166666666701</v>
      </c>
      <c r="EH21">
        <v>39.503333333333302</v>
      </c>
      <c r="EI21">
        <v>0</v>
      </c>
      <c r="EJ21">
        <v>142.700000047684</v>
      </c>
      <c r="EK21">
        <v>0</v>
      </c>
      <c r="EL21">
        <v>268.10624000000001</v>
      </c>
      <c r="EM21">
        <v>2.8398461446019598</v>
      </c>
      <c r="EN21">
        <v>4.4523076548531897</v>
      </c>
      <c r="EO21">
        <v>1048.2076</v>
      </c>
      <c r="EP21">
        <v>15</v>
      </c>
      <c r="EQ21">
        <v>1792204379</v>
      </c>
      <c r="ER21" t="s">
        <v>361</v>
      </c>
      <c r="ES21">
        <v>1792204379</v>
      </c>
      <c r="ET21">
        <v>1792204376</v>
      </c>
      <c r="EU21">
        <v>15</v>
      </c>
      <c r="EV21">
        <v>-2.1000000000000001E-2</v>
      </c>
      <c r="EW21">
        <v>-4.0000000000000001E-3</v>
      </c>
      <c r="EX21">
        <v>-0.43</v>
      </c>
      <c r="EY21">
        <v>-0.16200000000000001</v>
      </c>
      <c r="EZ21">
        <v>405</v>
      </c>
      <c r="FA21">
        <v>17</v>
      </c>
      <c r="FB21">
        <v>0.45</v>
      </c>
      <c r="FC21">
        <v>0.15</v>
      </c>
      <c r="FD21">
        <v>10.671202561617701</v>
      </c>
      <c r="FE21">
        <v>0.21706497649193299</v>
      </c>
      <c r="FF21">
        <v>6.3170152577156302E-2</v>
      </c>
      <c r="FG21">
        <v>1</v>
      </c>
      <c r="FH21">
        <v>-4.5539579999999997</v>
      </c>
      <c r="FI21">
        <v>-9.5501954887222795E-2</v>
      </c>
      <c r="FJ21">
        <v>2.5790356259656599E-2</v>
      </c>
      <c r="FK21">
        <v>1</v>
      </c>
      <c r="FL21">
        <v>268.05144117647097</v>
      </c>
      <c r="FM21">
        <v>0.82895339641971799</v>
      </c>
      <c r="FN21">
        <v>0.323058471412768</v>
      </c>
      <c r="FO21">
        <v>1</v>
      </c>
      <c r="FP21">
        <v>3</v>
      </c>
      <c r="FQ21">
        <v>3</v>
      </c>
      <c r="FR21" t="s">
        <v>348</v>
      </c>
      <c r="FS21">
        <v>100</v>
      </c>
      <c r="FT21">
        <v>100</v>
      </c>
      <c r="FU21">
        <v>-0.432</v>
      </c>
      <c r="FV21">
        <v>-0.151</v>
      </c>
      <c r="FW21">
        <v>-0.50658215736008305</v>
      </c>
      <c r="FX21">
        <v>-6.1673298426602905E-5</v>
      </c>
      <c r="FY21">
        <v>6.1939807181674203E-7</v>
      </c>
      <c r="FZ21">
        <v>3.19222985850634E-12</v>
      </c>
      <c r="GA21">
        <v>-7.6043984316280802E-2</v>
      </c>
      <c r="GB21">
        <v>-2.57783215012692E-2</v>
      </c>
      <c r="GC21">
        <v>1.33723821780375E-3</v>
      </c>
      <c r="GD21">
        <v>-7.42160749481374E-6</v>
      </c>
      <c r="GE21">
        <v>7</v>
      </c>
      <c r="GF21">
        <v>2154</v>
      </c>
      <c r="GG21">
        <v>2</v>
      </c>
      <c r="GH21">
        <v>20</v>
      </c>
      <c r="GI21">
        <v>1.3</v>
      </c>
      <c r="GJ21">
        <v>1.4</v>
      </c>
      <c r="GK21">
        <v>1.0485800000000001</v>
      </c>
      <c r="GL21">
        <v>2.6293899999999999</v>
      </c>
      <c r="GM21">
        <v>1.65161</v>
      </c>
      <c r="GN21">
        <v>2.2717299999999998</v>
      </c>
      <c r="GO21">
        <v>1.5979000000000001</v>
      </c>
      <c r="GP21">
        <v>2.4352999999999998</v>
      </c>
      <c r="GQ21">
        <v>32.487499999999997</v>
      </c>
      <c r="GR21">
        <v>15.357900000000001</v>
      </c>
      <c r="GS21">
        <v>18</v>
      </c>
      <c r="GT21">
        <v>501.09100000000001</v>
      </c>
      <c r="GU21">
        <v>561.72699999999998</v>
      </c>
      <c r="GV21">
        <v>23.7881</v>
      </c>
      <c r="GW21">
        <v>28.388000000000002</v>
      </c>
      <c r="GX21">
        <v>29.9999</v>
      </c>
      <c r="GY21">
        <v>28.508600000000001</v>
      </c>
      <c r="GZ21">
        <v>28.563300000000002</v>
      </c>
      <c r="HA21">
        <v>20.979900000000001</v>
      </c>
      <c r="HB21">
        <v>22.568300000000001</v>
      </c>
      <c r="HC21">
        <v>53.441400000000002</v>
      </c>
      <c r="HD21">
        <v>23.788799999999998</v>
      </c>
      <c r="HE21">
        <v>404.68599999999998</v>
      </c>
      <c r="HF21">
        <v>17.0641</v>
      </c>
      <c r="HG21">
        <v>98.3018</v>
      </c>
      <c r="HH21">
        <v>94.801199999999994</v>
      </c>
    </row>
    <row r="22" spans="1:216" x14ac:dyDescent="0.3">
      <c r="A22">
        <v>6</v>
      </c>
      <c r="B22">
        <v>1792204605</v>
      </c>
      <c r="C22">
        <v>660.90000009536698</v>
      </c>
      <c r="D22" t="s">
        <v>362</v>
      </c>
      <c r="E22" t="s">
        <v>363</v>
      </c>
      <c r="F22">
        <v>5</v>
      </c>
      <c r="G22">
        <v>1792204601.5</v>
      </c>
      <c r="H22">
        <f t="shared" si="0"/>
        <v>1.4849929862369741E-3</v>
      </c>
      <c r="I22">
        <f t="shared" si="1"/>
        <v>1.4849929862369742</v>
      </c>
      <c r="J22">
        <f t="shared" si="2"/>
        <v>6.9206335656991023</v>
      </c>
      <c r="K22">
        <f t="shared" si="3"/>
        <v>400.02766666666702</v>
      </c>
      <c r="L22">
        <f t="shared" si="4"/>
        <v>290.65468816471133</v>
      </c>
      <c r="M22">
        <f t="shared" si="5"/>
        <v>29.633337806529777</v>
      </c>
      <c r="N22">
        <f t="shared" si="6"/>
        <v>40.784324013977688</v>
      </c>
      <c r="O22">
        <f t="shared" si="7"/>
        <v>0.11062129158438652</v>
      </c>
      <c r="P22">
        <f t="shared" si="8"/>
        <v>3.0422890547769192</v>
      </c>
      <c r="Q22">
        <f t="shared" si="9"/>
        <v>0.10843432921207374</v>
      </c>
      <c r="R22">
        <f t="shared" si="10"/>
        <v>6.7964344519403419E-2</v>
      </c>
      <c r="S22">
        <f t="shared" si="11"/>
        <v>33.059927857831447</v>
      </c>
      <c r="T22">
        <f t="shared" si="12"/>
        <v>25.570347070451461</v>
      </c>
      <c r="U22">
        <f t="shared" si="13"/>
        <v>25.029233333333298</v>
      </c>
      <c r="V22">
        <f t="shared" si="14"/>
        <v>3.185223559969018</v>
      </c>
      <c r="W22">
        <f t="shared" si="15"/>
        <v>54.824303483695005</v>
      </c>
      <c r="X22">
        <f t="shared" si="16"/>
        <v>1.8232764415313829</v>
      </c>
      <c r="Y22">
        <f t="shared" si="17"/>
        <v>3.3256718748349141</v>
      </c>
      <c r="Z22">
        <f t="shared" si="18"/>
        <v>1.3619471184376351</v>
      </c>
      <c r="AA22">
        <f t="shared" si="19"/>
        <v>-65.488190693050555</v>
      </c>
      <c r="AB22">
        <f t="shared" si="20"/>
        <v>119.05639915347676</v>
      </c>
      <c r="AC22">
        <f t="shared" si="21"/>
        <v>8.3104857427022036</v>
      </c>
      <c r="AD22">
        <f t="shared" si="22"/>
        <v>94.938622060959858</v>
      </c>
      <c r="AE22">
        <v>0</v>
      </c>
      <c r="AF22">
        <v>0</v>
      </c>
      <c r="AG22">
        <f t="shared" si="23"/>
        <v>1</v>
      </c>
      <c r="AH22">
        <f t="shared" si="24"/>
        <v>0</v>
      </c>
      <c r="AI22">
        <f t="shared" si="25"/>
        <v>54105.59151596915</v>
      </c>
      <c r="AJ22" t="s">
        <v>343</v>
      </c>
      <c r="AK22">
        <v>8102.66</v>
      </c>
      <c r="AL22">
        <v>164.089423076923</v>
      </c>
      <c r="AM22">
        <v>705.66397910492196</v>
      </c>
      <c r="AN22">
        <f t="shared" si="26"/>
        <v>0.76746804720703299</v>
      </c>
      <c r="AO22">
        <v>-2.3872705366560201</v>
      </c>
      <c r="AP22" t="s">
        <v>364</v>
      </c>
      <c r="AQ22">
        <v>8139.21</v>
      </c>
      <c r="AR22">
        <v>272.294115384615</v>
      </c>
      <c r="AS22">
        <v>763.70958396526396</v>
      </c>
      <c r="AT22">
        <f t="shared" si="27"/>
        <v>0.6434585592459976</v>
      </c>
      <c r="AU22">
        <v>0.5</v>
      </c>
      <c r="AV22">
        <f t="shared" si="28"/>
        <v>168.64490977089736</v>
      </c>
      <c r="AW22">
        <f t="shared" si="29"/>
        <v>6.9206335656991023</v>
      </c>
      <c r="AX22">
        <f t="shared" si="30"/>
        <v>54.25800533267644</v>
      </c>
      <c r="AY22">
        <f t="shared" si="31"/>
        <v>5.5192321636032944E-2</v>
      </c>
      <c r="AZ22">
        <f t="shared" si="32"/>
        <v>-7.6004813975179997E-2</v>
      </c>
      <c r="BA22">
        <f t="shared" si="33"/>
        <v>167.04164151539396</v>
      </c>
      <c r="BB22" t="s">
        <v>345</v>
      </c>
      <c r="BC22">
        <v>0</v>
      </c>
      <c r="BD22">
        <f t="shared" si="34"/>
        <v>167.04164151539396</v>
      </c>
      <c r="BE22">
        <f t="shared" si="35"/>
        <v>0.78127596533737942</v>
      </c>
      <c r="BF22">
        <f t="shared" si="36"/>
        <v>0.8235995829823487</v>
      </c>
      <c r="BG22">
        <f t="shared" si="37"/>
        <v>-0.10776679838439461</v>
      </c>
      <c r="BH22">
        <f t="shared" si="38"/>
        <v>0.81954460612634161</v>
      </c>
      <c r="BI22">
        <f t="shared" si="39"/>
        <v>-0.10717934255637572</v>
      </c>
      <c r="BJ22">
        <f t="shared" si="40"/>
        <v>0.5052456829573434</v>
      </c>
      <c r="BK22">
        <f t="shared" si="41"/>
        <v>0.4947543170426566</v>
      </c>
      <c r="BL22">
        <v>189</v>
      </c>
      <c r="BM22">
        <v>290</v>
      </c>
      <c r="BN22">
        <v>705.59</v>
      </c>
      <c r="BO22">
        <v>245</v>
      </c>
      <c r="BP22">
        <v>8139.21</v>
      </c>
      <c r="BQ22">
        <v>704.24</v>
      </c>
      <c r="BR22">
        <v>1.35</v>
      </c>
      <c r="BS22">
        <v>300</v>
      </c>
      <c r="BT22">
        <v>19.100000000000001</v>
      </c>
      <c r="BU22">
        <v>763.70958396526396</v>
      </c>
      <c r="BV22">
        <v>2.6492445239198799</v>
      </c>
      <c r="BW22">
        <v>-48.405188344746897</v>
      </c>
      <c r="BX22">
        <v>1.9345773690222701</v>
      </c>
      <c r="BY22">
        <v>0.95719006286487496</v>
      </c>
      <c r="BZ22">
        <v>-5.2545768631813202E-3</v>
      </c>
      <c r="CA22">
        <v>290</v>
      </c>
      <c r="CB22">
        <v>694.89</v>
      </c>
      <c r="CC22">
        <v>625</v>
      </c>
      <c r="CD22">
        <v>8133.82</v>
      </c>
      <c r="CE22">
        <v>704.2</v>
      </c>
      <c r="CF22">
        <v>-9.31</v>
      </c>
      <c r="CT22">
        <f t="shared" si="42"/>
        <v>200.071666666667</v>
      </c>
      <c r="CU22">
        <f t="shared" si="43"/>
        <v>168.64490977089736</v>
      </c>
      <c r="CV22">
        <f t="shared" si="44"/>
        <v>0.84292250162473648</v>
      </c>
      <c r="CW22">
        <f t="shared" si="45"/>
        <v>0.16524042813574166</v>
      </c>
      <c r="CX22">
        <v>2</v>
      </c>
      <c r="CY22">
        <v>0.5</v>
      </c>
      <c r="CZ22" t="s">
        <v>346</v>
      </c>
      <c r="DA22">
        <v>2</v>
      </c>
      <c r="DB22">
        <v>1792204601.5</v>
      </c>
      <c r="DC22">
        <v>400.02766666666702</v>
      </c>
      <c r="DD22">
        <v>403.03366666666699</v>
      </c>
      <c r="DE22">
        <v>17.883366666666699</v>
      </c>
      <c r="DF22">
        <v>17.299966666666698</v>
      </c>
      <c r="DG22">
        <v>400.39633333333302</v>
      </c>
      <c r="DH22">
        <v>18.034416666666701</v>
      </c>
      <c r="DI22">
        <v>499.97816666666699</v>
      </c>
      <c r="DJ22">
        <v>101.853833333333</v>
      </c>
      <c r="DK22">
        <v>9.9924899999999997E-2</v>
      </c>
      <c r="DL22">
        <v>25.755116666666702</v>
      </c>
      <c r="DM22">
        <v>25.029233333333298</v>
      </c>
      <c r="DN22">
        <v>999.9</v>
      </c>
      <c r="DO22">
        <v>0</v>
      </c>
      <c r="DP22">
        <v>0</v>
      </c>
      <c r="DQ22">
        <v>10004.5783333333</v>
      </c>
      <c r="DR22">
        <v>0</v>
      </c>
      <c r="DS22">
        <v>8.1960166666666705</v>
      </c>
      <c r="DT22">
        <v>200.071666666667</v>
      </c>
      <c r="DU22">
        <v>0.90007066666666702</v>
      </c>
      <c r="DV22">
        <v>9.9928916666666701E-2</v>
      </c>
      <c r="DW22">
        <v>0</v>
      </c>
      <c r="DX22">
        <v>272.209</v>
      </c>
      <c r="DY22">
        <v>4.9999900000000004</v>
      </c>
      <c r="DZ22">
        <v>536.93499999999995</v>
      </c>
      <c r="EA22">
        <v>1895.395</v>
      </c>
      <c r="EB22">
        <v>36.2395</v>
      </c>
      <c r="EC22">
        <v>40.8645</v>
      </c>
      <c r="ED22">
        <v>38.343499999999999</v>
      </c>
      <c r="EE22">
        <v>41.530999999999999</v>
      </c>
      <c r="EF22">
        <v>39.332999999999998</v>
      </c>
      <c r="EG22">
        <v>175.57833333333301</v>
      </c>
      <c r="EH22">
        <v>19.489999999999998</v>
      </c>
      <c r="EI22">
        <v>0</v>
      </c>
      <c r="EJ22">
        <v>144.90000009536701</v>
      </c>
      <c r="EK22">
        <v>0</v>
      </c>
      <c r="EL22">
        <v>272.294115384615</v>
      </c>
      <c r="EM22">
        <v>-0.83059829586787903</v>
      </c>
      <c r="EN22">
        <v>0.84068375128397099</v>
      </c>
      <c r="EO22">
        <v>536.75900000000001</v>
      </c>
      <c r="EP22">
        <v>15</v>
      </c>
      <c r="EQ22">
        <v>1792204523</v>
      </c>
      <c r="ER22" t="s">
        <v>365</v>
      </c>
      <c r="ES22">
        <v>1792204521</v>
      </c>
      <c r="ET22">
        <v>1792204523</v>
      </c>
      <c r="EU22">
        <v>16</v>
      </c>
      <c r="EV22">
        <v>6.3E-2</v>
      </c>
      <c r="EW22">
        <v>-2E-3</v>
      </c>
      <c r="EX22">
        <v>-0.36699999999999999</v>
      </c>
      <c r="EY22">
        <v>-0.161</v>
      </c>
      <c r="EZ22">
        <v>403</v>
      </c>
      <c r="FA22">
        <v>17</v>
      </c>
      <c r="FB22">
        <v>0.32</v>
      </c>
      <c r="FC22">
        <v>0.16</v>
      </c>
      <c r="FD22">
        <v>6.9208440968579401</v>
      </c>
      <c r="FE22">
        <v>0.54628733657158202</v>
      </c>
      <c r="FF22">
        <v>0.108143953162819</v>
      </c>
      <c r="FG22">
        <v>1</v>
      </c>
      <c r="FH22">
        <v>-3.010694</v>
      </c>
      <c r="FI22">
        <v>-9.4659248120297801E-2</v>
      </c>
      <c r="FJ22">
        <v>3.66856141287017E-2</v>
      </c>
      <c r="FK22">
        <v>1</v>
      </c>
      <c r="FL22">
        <v>272.32805882352898</v>
      </c>
      <c r="FM22">
        <v>-0.93060351730357604</v>
      </c>
      <c r="FN22">
        <v>0.30480620083784898</v>
      </c>
      <c r="FO22">
        <v>1</v>
      </c>
      <c r="FP22">
        <v>3</v>
      </c>
      <c r="FQ22">
        <v>3</v>
      </c>
      <c r="FR22" t="s">
        <v>348</v>
      </c>
      <c r="FS22">
        <v>100</v>
      </c>
      <c r="FT22">
        <v>100</v>
      </c>
      <c r="FU22">
        <v>-0.36899999999999999</v>
      </c>
      <c r="FV22">
        <v>-0.151</v>
      </c>
      <c r="FW22">
        <v>-0.44324849681617301</v>
      </c>
      <c r="FX22">
        <v>-6.1673298426602905E-5</v>
      </c>
      <c r="FY22">
        <v>6.1939807181674203E-7</v>
      </c>
      <c r="FZ22">
        <v>3.19222985850634E-12</v>
      </c>
      <c r="GA22">
        <v>-7.7550919409295802E-2</v>
      </c>
      <c r="GB22">
        <v>-2.57783215012692E-2</v>
      </c>
      <c r="GC22">
        <v>1.33723821780375E-3</v>
      </c>
      <c r="GD22">
        <v>-7.42160749481374E-6</v>
      </c>
      <c r="GE22">
        <v>7</v>
      </c>
      <c r="GF22">
        <v>2154</v>
      </c>
      <c r="GG22">
        <v>2</v>
      </c>
      <c r="GH22">
        <v>20</v>
      </c>
      <c r="GI22">
        <v>1.4</v>
      </c>
      <c r="GJ22">
        <v>1.4</v>
      </c>
      <c r="GK22">
        <v>1.0461400000000001</v>
      </c>
      <c r="GL22">
        <v>2.6220699999999999</v>
      </c>
      <c r="GM22">
        <v>1.65161</v>
      </c>
      <c r="GN22">
        <v>2.2717299999999998</v>
      </c>
      <c r="GO22">
        <v>1.5979000000000001</v>
      </c>
      <c r="GP22">
        <v>2.63794</v>
      </c>
      <c r="GQ22">
        <v>32.509700000000002</v>
      </c>
      <c r="GR22">
        <v>15.3666</v>
      </c>
      <c r="GS22">
        <v>18</v>
      </c>
      <c r="GT22">
        <v>501.12599999999998</v>
      </c>
      <c r="GU22">
        <v>561.14300000000003</v>
      </c>
      <c r="GV22">
        <v>24.0565</v>
      </c>
      <c r="GW22">
        <v>28.4376</v>
      </c>
      <c r="GX22">
        <v>30.0001</v>
      </c>
      <c r="GY22">
        <v>28.552199999999999</v>
      </c>
      <c r="GZ22">
        <v>28.606100000000001</v>
      </c>
      <c r="HA22">
        <v>20.916899999999998</v>
      </c>
      <c r="HB22">
        <v>22.860499999999998</v>
      </c>
      <c r="HC22">
        <v>56.267600000000002</v>
      </c>
      <c r="HD22">
        <v>24.024100000000001</v>
      </c>
      <c r="HE22">
        <v>403.017</v>
      </c>
      <c r="HF22">
        <v>17.291499999999999</v>
      </c>
      <c r="HG22">
        <v>98.293199999999999</v>
      </c>
      <c r="HH22">
        <v>94.7911</v>
      </c>
    </row>
    <row r="23" spans="1:216" x14ac:dyDescent="0.3">
      <c r="A23">
        <v>7</v>
      </c>
      <c r="B23">
        <v>1792204740</v>
      </c>
      <c r="C23">
        <v>795.90000009536698</v>
      </c>
      <c r="D23" t="s">
        <v>366</v>
      </c>
      <c r="E23" t="s">
        <v>367</v>
      </c>
      <c r="F23">
        <v>5</v>
      </c>
      <c r="G23">
        <v>1792204737</v>
      </c>
      <c r="H23">
        <f t="shared" si="0"/>
        <v>1.0933126085053461E-3</v>
      </c>
      <c r="I23">
        <f t="shared" si="1"/>
        <v>1.0933126085053462</v>
      </c>
      <c r="J23">
        <f t="shared" si="2"/>
        <v>3.122915917455765</v>
      </c>
      <c r="K23">
        <f t="shared" si="3"/>
        <v>400.04140000000001</v>
      </c>
      <c r="L23">
        <f t="shared" si="4"/>
        <v>329.63628310549507</v>
      </c>
      <c r="M23">
        <f t="shared" si="5"/>
        <v>33.605902562105946</v>
      </c>
      <c r="N23">
        <f t="shared" si="6"/>
        <v>40.78359391313117</v>
      </c>
      <c r="O23">
        <f t="shared" si="7"/>
        <v>8.1049023696641131E-2</v>
      </c>
      <c r="P23">
        <f t="shared" si="8"/>
        <v>3.0401818711633419</v>
      </c>
      <c r="Q23">
        <f t="shared" si="9"/>
        <v>7.9867514683418003E-2</v>
      </c>
      <c r="R23">
        <f t="shared" si="10"/>
        <v>5.0021915712105569E-2</v>
      </c>
      <c r="S23">
        <f t="shared" si="11"/>
        <v>16.521019320304614</v>
      </c>
      <c r="T23">
        <f t="shared" si="12"/>
        <v>25.532531758884577</v>
      </c>
      <c r="U23">
        <f t="shared" si="13"/>
        <v>25.03706</v>
      </c>
      <c r="V23">
        <f t="shared" si="14"/>
        <v>3.1867098212702425</v>
      </c>
      <c r="W23">
        <f t="shared" si="15"/>
        <v>55.025683392976219</v>
      </c>
      <c r="X23">
        <f t="shared" si="16"/>
        <v>1.8254356302614978</v>
      </c>
      <c r="Y23">
        <f t="shared" si="17"/>
        <v>3.317424732783067</v>
      </c>
      <c r="Z23">
        <f t="shared" si="18"/>
        <v>1.3612741910087447</v>
      </c>
      <c r="AA23">
        <f t="shared" si="19"/>
        <v>-48.215086035085761</v>
      </c>
      <c r="AB23">
        <f t="shared" si="20"/>
        <v>110.82744709710151</v>
      </c>
      <c r="AC23">
        <f t="shared" si="21"/>
        <v>7.7401162042250196</v>
      </c>
      <c r="AD23">
        <f t="shared" si="22"/>
        <v>86.873496586545386</v>
      </c>
      <c r="AE23">
        <v>0</v>
      </c>
      <c r="AF23">
        <v>0</v>
      </c>
      <c r="AG23">
        <f t="shared" si="23"/>
        <v>1</v>
      </c>
      <c r="AH23">
        <f t="shared" si="24"/>
        <v>0</v>
      </c>
      <c r="AI23">
        <f t="shared" si="25"/>
        <v>54047.007219479674</v>
      </c>
      <c r="AJ23" t="s">
        <v>343</v>
      </c>
      <c r="AK23">
        <v>8102.66</v>
      </c>
      <c r="AL23">
        <v>164.089423076923</v>
      </c>
      <c r="AM23">
        <v>705.66397910492196</v>
      </c>
      <c r="AN23">
        <f t="shared" si="26"/>
        <v>0.76746804720703299</v>
      </c>
      <c r="AO23">
        <v>-2.3872705366560201</v>
      </c>
      <c r="AP23" t="s">
        <v>368</v>
      </c>
      <c r="AQ23">
        <v>8137.7</v>
      </c>
      <c r="AR23">
        <v>259.50484615384602</v>
      </c>
      <c r="AS23">
        <v>825.03643177614299</v>
      </c>
      <c r="AT23">
        <f t="shared" si="27"/>
        <v>0.68546256121662097</v>
      </c>
      <c r="AU23">
        <v>0.5</v>
      </c>
      <c r="AV23">
        <f t="shared" si="28"/>
        <v>84.343346623992019</v>
      </c>
      <c r="AW23">
        <f t="shared" si="29"/>
        <v>3.122915917455765</v>
      </c>
      <c r="AX23">
        <f t="shared" si="30"/>
        <v>28.907103199231404</v>
      </c>
      <c r="AY23">
        <f t="shared" si="31"/>
        <v>6.5330422311513744E-2</v>
      </c>
      <c r="AZ23">
        <f t="shared" si="32"/>
        <v>-0.14468749266530612</v>
      </c>
      <c r="BA23">
        <f t="shared" si="33"/>
        <v>169.80233171975524</v>
      </c>
      <c r="BB23" t="s">
        <v>345</v>
      </c>
      <c r="BC23">
        <v>0</v>
      </c>
      <c r="BD23">
        <f t="shared" si="34"/>
        <v>169.80233171975524</v>
      </c>
      <c r="BE23">
        <f t="shared" si="35"/>
        <v>0.79418808045336386</v>
      </c>
      <c r="BF23">
        <f t="shared" si="36"/>
        <v>0.86309852550962884</v>
      </c>
      <c r="BG23">
        <f t="shared" si="37"/>
        <v>-0.22276730057790173</v>
      </c>
      <c r="BH23">
        <f t="shared" si="38"/>
        <v>0.85563831620222341</v>
      </c>
      <c r="BI23">
        <f t="shared" si="39"/>
        <v>-0.2204173946920977</v>
      </c>
      <c r="BJ23">
        <f t="shared" si="40"/>
        <v>0.56475300676478557</v>
      </c>
      <c r="BK23">
        <f t="shared" si="41"/>
        <v>0.43524699323521443</v>
      </c>
      <c r="BL23">
        <v>190</v>
      </c>
      <c r="BM23">
        <v>290</v>
      </c>
      <c r="BN23">
        <v>775.17</v>
      </c>
      <c r="BO23">
        <v>175</v>
      </c>
      <c r="BP23">
        <v>8137.7</v>
      </c>
      <c r="BQ23">
        <v>774.54</v>
      </c>
      <c r="BR23">
        <v>0.63</v>
      </c>
      <c r="BS23">
        <v>300</v>
      </c>
      <c r="BT23">
        <v>19.100000000000001</v>
      </c>
      <c r="BU23">
        <v>825.03643177614299</v>
      </c>
      <c r="BV23">
        <v>3.1480762395643498</v>
      </c>
      <c r="BW23">
        <v>-41.095847005474702</v>
      </c>
      <c r="BX23">
        <v>2.2940847078035702</v>
      </c>
      <c r="BY23">
        <v>0.91974901173999701</v>
      </c>
      <c r="BZ23">
        <v>-5.3179839822024497E-3</v>
      </c>
      <c r="CA23">
        <v>290</v>
      </c>
      <c r="CB23">
        <v>765.45</v>
      </c>
      <c r="CC23">
        <v>615</v>
      </c>
      <c r="CD23">
        <v>8129.73</v>
      </c>
      <c r="CE23">
        <v>774.49</v>
      </c>
      <c r="CF23">
        <v>-9.0399999999999991</v>
      </c>
      <c r="CT23">
        <f t="shared" si="42"/>
        <v>100.06954</v>
      </c>
      <c r="CU23">
        <f t="shared" si="43"/>
        <v>84.343346623992019</v>
      </c>
      <c r="CV23">
        <f t="shared" si="44"/>
        <v>0.84284735019259627</v>
      </c>
      <c r="CW23">
        <f t="shared" si="45"/>
        <v>0.16509538587171094</v>
      </c>
      <c r="CX23">
        <v>2</v>
      </c>
      <c r="CY23">
        <v>0.5</v>
      </c>
      <c r="CZ23" t="s">
        <v>346</v>
      </c>
      <c r="DA23">
        <v>2</v>
      </c>
      <c r="DB23">
        <v>1792204737</v>
      </c>
      <c r="DC23">
        <v>400.04140000000001</v>
      </c>
      <c r="DD23">
        <v>401.46539999999999</v>
      </c>
      <c r="DE23">
        <v>17.905480000000001</v>
      </c>
      <c r="DF23">
        <v>17.476019999999998</v>
      </c>
      <c r="DG23">
        <v>400.44459999999998</v>
      </c>
      <c r="DH23">
        <v>18.057780000000001</v>
      </c>
      <c r="DI23">
        <v>500.04020000000003</v>
      </c>
      <c r="DJ23">
        <v>101.8484</v>
      </c>
      <c r="DK23">
        <v>0.10003312</v>
      </c>
      <c r="DL23">
        <v>25.713239999999999</v>
      </c>
      <c r="DM23">
        <v>25.03706</v>
      </c>
      <c r="DN23">
        <v>999.9</v>
      </c>
      <c r="DO23">
        <v>0</v>
      </c>
      <c r="DP23">
        <v>0</v>
      </c>
      <c r="DQ23">
        <v>9992.3799999999992</v>
      </c>
      <c r="DR23">
        <v>0</v>
      </c>
      <c r="DS23">
        <v>8.3007200000000001</v>
      </c>
      <c r="DT23">
        <v>100.06954</v>
      </c>
      <c r="DU23">
        <v>0.90012320000000001</v>
      </c>
      <c r="DV23">
        <v>9.9876900000000005E-2</v>
      </c>
      <c r="DW23">
        <v>0</v>
      </c>
      <c r="DX23">
        <v>259.74200000000002</v>
      </c>
      <c r="DY23">
        <v>4.9999900000000004</v>
      </c>
      <c r="DZ23">
        <v>250.15780000000001</v>
      </c>
      <c r="EA23">
        <v>923.74940000000004</v>
      </c>
      <c r="EB23">
        <v>35.349800000000002</v>
      </c>
      <c r="EC23">
        <v>38.612400000000001</v>
      </c>
      <c r="ED23">
        <v>37.1374</v>
      </c>
      <c r="EE23">
        <v>38.412199999999999</v>
      </c>
      <c r="EF23">
        <v>37.811999999999998</v>
      </c>
      <c r="EG23">
        <v>85.573999999999998</v>
      </c>
      <c r="EH23">
        <v>9.4979999999999993</v>
      </c>
      <c r="EI23">
        <v>0</v>
      </c>
      <c r="EJ23">
        <v>133.700000047684</v>
      </c>
      <c r="EK23">
        <v>0</v>
      </c>
      <c r="EL23">
        <v>259.50484615384602</v>
      </c>
      <c r="EM23">
        <v>-0.303726497405436</v>
      </c>
      <c r="EN23">
        <v>-4.8029743656384598</v>
      </c>
      <c r="EO23">
        <v>250.468115384615</v>
      </c>
      <c r="EP23">
        <v>15</v>
      </c>
      <c r="EQ23">
        <v>1792204679</v>
      </c>
      <c r="ER23" t="s">
        <v>369</v>
      </c>
      <c r="ES23">
        <v>1792204675</v>
      </c>
      <c r="ET23">
        <v>1792204679</v>
      </c>
      <c r="EU23">
        <v>17</v>
      </c>
      <c r="EV23">
        <v>-3.5000000000000003E-2</v>
      </c>
      <c r="EW23">
        <v>-2E-3</v>
      </c>
      <c r="EX23">
        <v>-0.40300000000000002</v>
      </c>
      <c r="EY23">
        <v>-0.159</v>
      </c>
      <c r="EZ23">
        <v>401</v>
      </c>
      <c r="FA23">
        <v>17</v>
      </c>
      <c r="FB23">
        <v>0.25</v>
      </c>
      <c r="FC23">
        <v>0.15</v>
      </c>
      <c r="FD23">
        <v>3.2894926472124899</v>
      </c>
      <c r="FE23">
        <v>-9.1603825781178705E-2</v>
      </c>
      <c r="FF23">
        <v>8.0580980224618098E-2</v>
      </c>
      <c r="FG23">
        <v>1</v>
      </c>
      <c r="FH23">
        <v>-1.4936595238095201</v>
      </c>
      <c r="FI23">
        <v>0.15904675324675299</v>
      </c>
      <c r="FJ23">
        <v>4.1422693627917201E-2</v>
      </c>
      <c r="FK23">
        <v>1</v>
      </c>
      <c r="FL23">
        <v>259.58891176470598</v>
      </c>
      <c r="FM23">
        <v>-0.73883881056598499</v>
      </c>
      <c r="FN23">
        <v>0.37072348722361598</v>
      </c>
      <c r="FO23">
        <v>1</v>
      </c>
      <c r="FP23">
        <v>3</v>
      </c>
      <c r="FQ23">
        <v>3</v>
      </c>
      <c r="FR23" t="s">
        <v>348</v>
      </c>
      <c r="FS23">
        <v>100</v>
      </c>
      <c r="FT23">
        <v>100</v>
      </c>
      <c r="FU23">
        <v>-0.40300000000000002</v>
      </c>
      <c r="FV23">
        <v>-0.15229999999999999</v>
      </c>
      <c r="FW23">
        <v>-0.47836039392026303</v>
      </c>
      <c r="FX23">
        <v>-6.1673298426602905E-5</v>
      </c>
      <c r="FY23">
        <v>6.1939807181674203E-7</v>
      </c>
      <c r="FZ23">
        <v>3.19222985850634E-12</v>
      </c>
      <c r="GA23">
        <v>-7.9128184346987096E-2</v>
      </c>
      <c r="GB23">
        <v>-2.57783215012692E-2</v>
      </c>
      <c r="GC23">
        <v>1.33723821780375E-3</v>
      </c>
      <c r="GD23">
        <v>-7.42160749481374E-6</v>
      </c>
      <c r="GE23">
        <v>7</v>
      </c>
      <c r="GF23">
        <v>2154</v>
      </c>
      <c r="GG23">
        <v>2</v>
      </c>
      <c r="GH23">
        <v>20</v>
      </c>
      <c r="GI23">
        <v>1.1000000000000001</v>
      </c>
      <c r="GJ23">
        <v>1</v>
      </c>
      <c r="GK23">
        <v>1.0424800000000001</v>
      </c>
      <c r="GL23">
        <v>2.6220699999999999</v>
      </c>
      <c r="GM23">
        <v>1.65161</v>
      </c>
      <c r="GN23">
        <v>2.2717299999999998</v>
      </c>
      <c r="GO23">
        <v>1.5979000000000001</v>
      </c>
      <c r="GP23">
        <v>2.63062</v>
      </c>
      <c r="GQ23">
        <v>32.553899999999999</v>
      </c>
      <c r="GR23">
        <v>15.3491</v>
      </c>
      <c r="GS23">
        <v>18</v>
      </c>
      <c r="GT23">
        <v>501.27</v>
      </c>
      <c r="GU23">
        <v>560.90599999999995</v>
      </c>
      <c r="GV23">
        <v>23.7089</v>
      </c>
      <c r="GW23">
        <v>28.489699999999999</v>
      </c>
      <c r="GX23">
        <v>30.000299999999999</v>
      </c>
      <c r="GY23">
        <v>28.5962</v>
      </c>
      <c r="GZ23">
        <v>28.648299999999999</v>
      </c>
      <c r="HA23">
        <v>20.855399999999999</v>
      </c>
      <c r="HB23">
        <v>23.689</v>
      </c>
      <c r="HC23">
        <v>58.323999999999998</v>
      </c>
      <c r="HD23">
        <v>23.6846</v>
      </c>
      <c r="HE23">
        <v>401.45400000000001</v>
      </c>
      <c r="HF23">
        <v>17.4176</v>
      </c>
      <c r="HG23">
        <v>98.281000000000006</v>
      </c>
      <c r="HH23">
        <v>94.781199999999998</v>
      </c>
    </row>
    <row r="24" spans="1:216" x14ac:dyDescent="0.3">
      <c r="A24">
        <v>8</v>
      </c>
      <c r="B24">
        <v>1792204867</v>
      </c>
      <c r="C24">
        <v>922.90000009536698</v>
      </c>
      <c r="D24" t="s">
        <v>370</v>
      </c>
      <c r="E24" t="s">
        <v>371</v>
      </c>
      <c r="F24">
        <v>5</v>
      </c>
      <c r="G24">
        <v>1792204864</v>
      </c>
      <c r="H24">
        <f t="shared" si="0"/>
        <v>7.8509086605010067E-4</v>
      </c>
      <c r="I24">
        <f t="shared" si="1"/>
        <v>0.7850908660501007</v>
      </c>
      <c r="J24">
        <f t="shared" si="2"/>
        <v>0.73151041903533587</v>
      </c>
      <c r="K24">
        <f t="shared" si="3"/>
        <v>400.02140000000003</v>
      </c>
      <c r="L24">
        <f t="shared" si="4"/>
        <v>371.03712803400276</v>
      </c>
      <c r="M24">
        <f t="shared" si="5"/>
        <v>37.825569617398834</v>
      </c>
      <c r="N24">
        <f t="shared" si="6"/>
        <v>40.7803860339354</v>
      </c>
      <c r="O24">
        <f t="shared" si="7"/>
        <v>5.7603652193891373E-2</v>
      </c>
      <c r="P24">
        <f t="shared" si="8"/>
        <v>3.0403821803783488</v>
      </c>
      <c r="Q24">
        <f t="shared" si="9"/>
        <v>5.7004146944632912E-2</v>
      </c>
      <c r="R24">
        <f t="shared" si="10"/>
        <v>3.5680934957529727E-2</v>
      </c>
      <c r="S24">
        <f t="shared" si="11"/>
        <v>8.2341748960304582</v>
      </c>
      <c r="T24">
        <f t="shared" si="12"/>
        <v>25.395215852294186</v>
      </c>
      <c r="U24">
        <f t="shared" si="13"/>
        <v>25.003440000000001</v>
      </c>
      <c r="V24">
        <f t="shared" si="14"/>
        <v>3.1803297674562878</v>
      </c>
      <c r="W24">
        <f t="shared" si="15"/>
        <v>55.125430723219068</v>
      </c>
      <c r="X24">
        <f t="shared" si="16"/>
        <v>1.8106521819607799</v>
      </c>
      <c r="Y24">
        <f t="shared" si="17"/>
        <v>3.2846041440509333</v>
      </c>
      <c r="Z24">
        <f t="shared" si="18"/>
        <v>1.3696775854955079</v>
      </c>
      <c r="AA24">
        <f t="shared" si="19"/>
        <v>-34.622507192809437</v>
      </c>
      <c r="AB24">
        <f t="shared" si="20"/>
        <v>88.880230727024198</v>
      </c>
      <c r="AC24">
        <f t="shared" si="21"/>
        <v>6.2006497813449881</v>
      </c>
      <c r="AD24">
        <f t="shared" si="22"/>
        <v>68.692548211590207</v>
      </c>
      <c r="AE24">
        <v>0</v>
      </c>
      <c r="AF24">
        <v>0</v>
      </c>
      <c r="AG24">
        <f t="shared" si="23"/>
        <v>1</v>
      </c>
      <c r="AH24">
        <f t="shared" si="24"/>
        <v>0</v>
      </c>
      <c r="AI24">
        <f t="shared" si="25"/>
        <v>54083.556294972092</v>
      </c>
      <c r="AJ24" t="s">
        <v>343</v>
      </c>
      <c r="AK24">
        <v>8102.66</v>
      </c>
      <c r="AL24">
        <v>164.089423076923</v>
      </c>
      <c r="AM24">
        <v>705.66397910492196</v>
      </c>
      <c r="AN24">
        <f t="shared" si="26"/>
        <v>0.76746804720703299</v>
      </c>
      <c r="AO24">
        <v>-2.3872705366560201</v>
      </c>
      <c r="AP24" t="s">
        <v>372</v>
      </c>
      <c r="AQ24">
        <v>8127.38</v>
      </c>
      <c r="AR24">
        <v>251.00612000000001</v>
      </c>
      <c r="AS24">
        <v>858.86665142283596</v>
      </c>
      <c r="AT24">
        <f t="shared" si="27"/>
        <v>0.70774727417326977</v>
      </c>
      <c r="AU24">
        <v>0.5</v>
      </c>
      <c r="AV24">
        <f t="shared" si="28"/>
        <v>42.099269007269662</v>
      </c>
      <c r="AW24">
        <f t="shared" si="29"/>
        <v>0.73151041903533587</v>
      </c>
      <c r="AX24">
        <f t="shared" si="30"/>
        <v>14.897821442291161</v>
      </c>
      <c r="AY24">
        <f t="shared" si="31"/>
        <v>7.4081594033207743E-2</v>
      </c>
      <c r="AZ24">
        <f t="shared" si="32"/>
        <v>-0.17837771680168482</v>
      </c>
      <c r="BA24">
        <f t="shared" si="33"/>
        <v>171.19013637062332</v>
      </c>
      <c r="BB24" t="s">
        <v>345</v>
      </c>
      <c r="BC24">
        <v>0</v>
      </c>
      <c r="BD24">
        <f t="shared" si="34"/>
        <v>171.19013637062332</v>
      </c>
      <c r="BE24">
        <f t="shared" si="35"/>
        <v>0.80067902731230478</v>
      </c>
      <c r="BF24">
        <f t="shared" si="36"/>
        <v>0.88393382370587925</v>
      </c>
      <c r="BG24">
        <f t="shared" si="37"/>
        <v>-0.28664203945725214</v>
      </c>
      <c r="BH24">
        <f t="shared" si="38"/>
        <v>0.87489990549920094</v>
      </c>
      <c r="BI24">
        <f t="shared" si="39"/>
        <v>-0.28288380724812623</v>
      </c>
      <c r="BJ24">
        <f t="shared" si="40"/>
        <v>0.60285682206798774</v>
      </c>
      <c r="BK24">
        <f t="shared" si="41"/>
        <v>0.39714317793201226</v>
      </c>
      <c r="BL24">
        <v>191</v>
      </c>
      <c r="BM24">
        <v>290</v>
      </c>
      <c r="BN24">
        <v>809.58</v>
      </c>
      <c r="BO24">
        <v>295</v>
      </c>
      <c r="BP24">
        <v>8127.38</v>
      </c>
      <c r="BQ24">
        <v>809.14</v>
      </c>
      <c r="BR24">
        <v>0.44</v>
      </c>
      <c r="BS24">
        <v>300</v>
      </c>
      <c r="BT24">
        <v>19.100000000000001</v>
      </c>
      <c r="BU24">
        <v>858.86665142283596</v>
      </c>
      <c r="BV24">
        <v>2.2363185969164698</v>
      </c>
      <c r="BW24">
        <v>-40.410821781887499</v>
      </c>
      <c r="BX24">
        <v>1.6271725827082499</v>
      </c>
      <c r="BY24">
        <v>0.95657412939550901</v>
      </c>
      <c r="BZ24">
        <v>-5.3484349276974501E-3</v>
      </c>
      <c r="CA24">
        <v>290</v>
      </c>
      <c r="CB24">
        <v>798.6</v>
      </c>
      <c r="CC24">
        <v>645</v>
      </c>
      <c r="CD24">
        <v>8123.01</v>
      </c>
      <c r="CE24">
        <v>809.12</v>
      </c>
      <c r="CF24">
        <v>-10.52</v>
      </c>
      <c r="CT24">
        <f t="shared" si="42"/>
        <v>49.957180000000001</v>
      </c>
      <c r="CU24">
        <f t="shared" si="43"/>
        <v>42.099269007269662</v>
      </c>
      <c r="CV24">
        <f t="shared" si="44"/>
        <v>0.8427070744839813</v>
      </c>
      <c r="CW24">
        <f t="shared" si="45"/>
        <v>0.16482465375408417</v>
      </c>
      <c r="CX24">
        <v>2</v>
      </c>
      <c r="CY24">
        <v>0.5</v>
      </c>
      <c r="CZ24" t="s">
        <v>346</v>
      </c>
      <c r="DA24">
        <v>2</v>
      </c>
      <c r="DB24">
        <v>1792204864</v>
      </c>
      <c r="DC24">
        <v>400.02140000000003</v>
      </c>
      <c r="DD24">
        <v>400.43959999999998</v>
      </c>
      <c r="DE24">
        <v>17.76098</v>
      </c>
      <c r="DF24">
        <v>17.452539999999999</v>
      </c>
      <c r="DG24">
        <v>400.40640000000002</v>
      </c>
      <c r="DH24">
        <v>17.917660000000001</v>
      </c>
      <c r="DI24">
        <v>500.03039999999999</v>
      </c>
      <c r="DJ24">
        <v>101.8454</v>
      </c>
      <c r="DK24">
        <v>0.10011100000000001</v>
      </c>
      <c r="DL24">
        <v>25.545680000000001</v>
      </c>
      <c r="DM24">
        <v>25.003440000000001</v>
      </c>
      <c r="DN24">
        <v>999.9</v>
      </c>
      <c r="DO24">
        <v>0</v>
      </c>
      <c r="DP24">
        <v>0</v>
      </c>
      <c r="DQ24">
        <v>9993.884</v>
      </c>
      <c r="DR24">
        <v>0</v>
      </c>
      <c r="DS24">
        <v>8.3007200000000001</v>
      </c>
      <c r="DT24">
        <v>49.957180000000001</v>
      </c>
      <c r="DU24">
        <v>0.89971080000000003</v>
      </c>
      <c r="DV24">
        <v>0.10028935999999999</v>
      </c>
      <c r="DW24">
        <v>0</v>
      </c>
      <c r="DX24">
        <v>251.21</v>
      </c>
      <c r="DY24">
        <v>4.9999900000000004</v>
      </c>
      <c r="DZ24">
        <v>112.7068</v>
      </c>
      <c r="EA24">
        <v>436.76859999999999</v>
      </c>
      <c r="EB24">
        <v>35.125</v>
      </c>
      <c r="EC24">
        <v>39.587200000000003</v>
      </c>
      <c r="ED24">
        <v>37.349800000000002</v>
      </c>
      <c r="EE24">
        <v>39.687199999999997</v>
      </c>
      <c r="EF24">
        <v>38.224800000000002</v>
      </c>
      <c r="EG24">
        <v>40.450000000000003</v>
      </c>
      <c r="EH24">
        <v>4.508</v>
      </c>
      <c r="EI24">
        <v>0</v>
      </c>
      <c r="EJ24">
        <v>125.90000009536701</v>
      </c>
      <c r="EK24">
        <v>0</v>
      </c>
      <c r="EL24">
        <v>251.00612000000001</v>
      </c>
      <c r="EM24">
        <v>0.37969231697172401</v>
      </c>
      <c r="EN24">
        <v>3.9615386969176498E-2</v>
      </c>
      <c r="EO24">
        <v>112.85048</v>
      </c>
      <c r="EP24">
        <v>15</v>
      </c>
      <c r="EQ24">
        <v>1792204818</v>
      </c>
      <c r="ER24" t="s">
        <v>373</v>
      </c>
      <c r="ES24">
        <v>1792204818</v>
      </c>
      <c r="ET24">
        <v>1792204808</v>
      </c>
      <c r="EU24">
        <v>18</v>
      </c>
      <c r="EV24">
        <v>1.7999999999999999E-2</v>
      </c>
      <c r="EW24">
        <v>-2E-3</v>
      </c>
      <c r="EX24">
        <v>-0.38500000000000001</v>
      </c>
      <c r="EY24">
        <v>-0.16</v>
      </c>
      <c r="EZ24">
        <v>400</v>
      </c>
      <c r="FA24">
        <v>18</v>
      </c>
      <c r="FB24">
        <v>0.35</v>
      </c>
      <c r="FC24">
        <v>0.2</v>
      </c>
      <c r="FD24">
        <v>0.67708400608810604</v>
      </c>
      <c r="FE24">
        <v>0.384154842464213</v>
      </c>
      <c r="FF24">
        <v>7.4337167522779496E-2</v>
      </c>
      <c r="FG24">
        <v>1</v>
      </c>
      <c r="FH24">
        <v>-0.41036679999999998</v>
      </c>
      <c r="FI24">
        <v>-4.7585774436090099E-2</v>
      </c>
      <c r="FJ24">
        <v>2.38508385022414E-2</v>
      </c>
      <c r="FK24">
        <v>1</v>
      </c>
      <c r="FL24">
        <v>251.07602941176501</v>
      </c>
      <c r="FM24">
        <v>-0.52392665723173604</v>
      </c>
      <c r="FN24">
        <v>0.35552136407172202</v>
      </c>
      <c r="FO24">
        <v>1</v>
      </c>
      <c r="FP24">
        <v>3</v>
      </c>
      <c r="FQ24">
        <v>3</v>
      </c>
      <c r="FR24" t="s">
        <v>348</v>
      </c>
      <c r="FS24">
        <v>100</v>
      </c>
      <c r="FT24">
        <v>100</v>
      </c>
      <c r="FU24">
        <v>-0.38500000000000001</v>
      </c>
      <c r="FV24">
        <v>-0.15670000000000001</v>
      </c>
      <c r="FW24">
        <v>-0.45984119010590702</v>
      </c>
      <c r="FX24">
        <v>-6.1673298426602905E-5</v>
      </c>
      <c r="FY24">
        <v>6.1939807181674203E-7</v>
      </c>
      <c r="FZ24">
        <v>3.19222985850634E-12</v>
      </c>
      <c r="GA24">
        <v>-8.1412498590991395E-2</v>
      </c>
      <c r="GB24">
        <v>-2.57783215012692E-2</v>
      </c>
      <c r="GC24">
        <v>1.33723821780375E-3</v>
      </c>
      <c r="GD24">
        <v>-7.42160749481374E-6</v>
      </c>
      <c r="GE24">
        <v>7</v>
      </c>
      <c r="GF24">
        <v>2154</v>
      </c>
      <c r="GG24">
        <v>2</v>
      </c>
      <c r="GH24">
        <v>20</v>
      </c>
      <c r="GI24">
        <v>0.8</v>
      </c>
      <c r="GJ24">
        <v>1</v>
      </c>
      <c r="GK24">
        <v>1.0400400000000001</v>
      </c>
      <c r="GL24">
        <v>2.63672</v>
      </c>
      <c r="GM24">
        <v>1.65161</v>
      </c>
      <c r="GN24">
        <v>2.2717299999999998</v>
      </c>
      <c r="GO24">
        <v>1.5979000000000001</v>
      </c>
      <c r="GP24">
        <v>2.51831</v>
      </c>
      <c r="GQ24">
        <v>32.576099999999997</v>
      </c>
      <c r="GR24">
        <v>15.3316</v>
      </c>
      <c r="GS24">
        <v>18</v>
      </c>
      <c r="GT24">
        <v>501.17</v>
      </c>
      <c r="GU24">
        <v>560.37599999999998</v>
      </c>
      <c r="GV24">
        <v>23.611999999999998</v>
      </c>
      <c r="GW24">
        <v>28.540299999999998</v>
      </c>
      <c r="GX24">
        <v>30.000299999999999</v>
      </c>
      <c r="GY24">
        <v>28.643599999999999</v>
      </c>
      <c r="GZ24">
        <v>28.694600000000001</v>
      </c>
      <c r="HA24">
        <v>20.814</v>
      </c>
      <c r="HB24">
        <v>24.208600000000001</v>
      </c>
      <c r="HC24">
        <v>59.5839</v>
      </c>
      <c r="HD24">
        <v>23.612500000000001</v>
      </c>
      <c r="HE24">
        <v>400.42599999999999</v>
      </c>
      <c r="HF24">
        <v>17.442599999999999</v>
      </c>
      <c r="HG24">
        <v>98.269000000000005</v>
      </c>
      <c r="HH24">
        <v>94.773700000000005</v>
      </c>
    </row>
    <row r="25" spans="1:216" x14ac:dyDescent="0.3">
      <c r="A25">
        <v>9</v>
      </c>
      <c r="B25">
        <v>1792205013</v>
      </c>
      <c r="C25">
        <v>1068.9000000953699</v>
      </c>
      <c r="D25" t="s">
        <v>374</v>
      </c>
      <c r="E25" t="s">
        <v>375</v>
      </c>
      <c r="F25">
        <v>5</v>
      </c>
      <c r="G25">
        <v>1792205010</v>
      </c>
      <c r="H25">
        <f t="shared" si="0"/>
        <v>5.7985991372202117E-4</v>
      </c>
      <c r="I25">
        <f t="shared" si="1"/>
        <v>0.57985991372202117</v>
      </c>
      <c r="J25">
        <f t="shared" si="2"/>
        <v>-2.3724998504327148</v>
      </c>
      <c r="K25">
        <f t="shared" si="3"/>
        <v>400.00040000000001</v>
      </c>
      <c r="L25">
        <f t="shared" si="4"/>
        <v>480.9163747144371</v>
      </c>
      <c r="M25">
        <f t="shared" si="5"/>
        <v>49.027115676515095</v>
      </c>
      <c r="N25">
        <f t="shared" si="6"/>
        <v>40.77812050607973</v>
      </c>
      <c r="O25">
        <f t="shared" si="7"/>
        <v>4.2138541960222063E-2</v>
      </c>
      <c r="P25">
        <f t="shared" si="8"/>
        <v>3.0394037048832994</v>
      </c>
      <c r="Q25">
        <f t="shared" si="9"/>
        <v>4.1816656125189186E-2</v>
      </c>
      <c r="R25">
        <f t="shared" si="10"/>
        <v>2.6164125136144269E-2</v>
      </c>
      <c r="S25">
        <f t="shared" si="11"/>
        <v>6.3839361601596015E-4</v>
      </c>
      <c r="T25">
        <f t="shared" si="12"/>
        <v>25.399911305806306</v>
      </c>
      <c r="U25">
        <f t="shared" si="13"/>
        <v>25.00328</v>
      </c>
      <c r="V25">
        <f t="shared" si="14"/>
        <v>3.1802994310282622</v>
      </c>
      <c r="W25">
        <f t="shared" si="15"/>
        <v>54.837161915720309</v>
      </c>
      <c r="X25">
        <f t="shared" si="16"/>
        <v>1.8011922484335969</v>
      </c>
      <c r="Y25">
        <f t="shared" si="17"/>
        <v>3.2846197460070314</v>
      </c>
      <c r="Z25">
        <f t="shared" si="18"/>
        <v>1.3791071825946652</v>
      </c>
      <c r="AA25">
        <f t="shared" si="19"/>
        <v>-25.571822195141134</v>
      </c>
      <c r="AB25">
        <f t="shared" si="20"/>
        <v>88.890953195034584</v>
      </c>
      <c r="AC25">
        <f t="shared" si="21"/>
        <v>6.2033917500935232</v>
      </c>
      <c r="AD25">
        <f t="shared" si="22"/>
        <v>69.523161143602991</v>
      </c>
      <c r="AE25">
        <v>0</v>
      </c>
      <c r="AF25">
        <v>0</v>
      </c>
      <c r="AG25">
        <f t="shared" si="23"/>
        <v>1</v>
      </c>
      <c r="AH25">
        <f t="shared" si="24"/>
        <v>0</v>
      </c>
      <c r="AI25">
        <f t="shared" si="25"/>
        <v>54052.866819942028</v>
      </c>
      <c r="AJ25" t="s">
        <v>376</v>
      </c>
      <c r="AK25">
        <v>8132.27</v>
      </c>
      <c r="AL25">
        <v>256.50288461538503</v>
      </c>
      <c r="AM25">
        <v>942.97502723531704</v>
      </c>
      <c r="AN25">
        <f t="shared" si="26"/>
        <v>0.72798549568442028</v>
      </c>
      <c r="AO25">
        <v>-2.3724998504327099</v>
      </c>
      <c r="AP25" t="s">
        <v>345</v>
      </c>
      <c r="AQ25" t="s">
        <v>345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3.3599664000840005E-3</v>
      </c>
      <c r="AW25">
        <f t="shared" si="29"/>
        <v>-2.3724998504327148</v>
      </c>
      <c r="AX25" t="e">
        <f t="shared" si="30"/>
        <v>#DIV/0!</v>
      </c>
      <c r="AY25">
        <f t="shared" si="31"/>
        <v>-1.4538780233720677E-12</v>
      </c>
      <c r="AZ25" t="e">
        <f t="shared" si="32"/>
        <v>#DIV/0!</v>
      </c>
      <c r="BA25" t="e">
        <f t="shared" si="33"/>
        <v>#DIV/0!</v>
      </c>
      <c r="BB25" t="s">
        <v>345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>
        <f t="shared" si="38"/>
        <v>0</v>
      </c>
      <c r="BI25">
        <f t="shared" si="39"/>
        <v>1.3736537416309971</v>
      </c>
      <c r="BJ25" t="e">
        <f t="shared" si="40"/>
        <v>#DIV/0!</v>
      </c>
      <c r="BK25" t="e">
        <f t="shared" si="41"/>
        <v>#DIV/0!</v>
      </c>
      <c r="BL25">
        <v>192</v>
      </c>
      <c r="BM25">
        <v>290</v>
      </c>
      <c r="BN25">
        <v>901.4</v>
      </c>
      <c r="BO25">
        <v>125</v>
      </c>
      <c r="BP25">
        <v>8132.27</v>
      </c>
      <c r="BQ25">
        <v>897.49</v>
      </c>
      <c r="BR25">
        <v>3.91</v>
      </c>
      <c r="BS25">
        <v>300</v>
      </c>
      <c r="BT25">
        <v>19.100000000000001</v>
      </c>
      <c r="BU25">
        <v>942.97502723531704</v>
      </c>
      <c r="BV25">
        <v>2.5558554958904698</v>
      </c>
      <c r="BW25">
        <v>-36.989660563271002</v>
      </c>
      <c r="BX25">
        <v>1.8578913852854</v>
      </c>
      <c r="BY25">
        <v>0.93402257603539196</v>
      </c>
      <c r="BZ25">
        <v>-5.3758849833148003E-3</v>
      </c>
      <c r="CA25">
        <v>290</v>
      </c>
      <c r="CB25">
        <v>886.98</v>
      </c>
      <c r="CC25">
        <v>625</v>
      </c>
      <c r="CD25">
        <v>8121.12</v>
      </c>
      <c r="CE25">
        <v>897.43</v>
      </c>
      <c r="CF25">
        <v>-10.45</v>
      </c>
      <c r="CT25">
        <f t="shared" si="42"/>
        <v>1.9999900000000001E-2</v>
      </c>
      <c r="CU25">
        <f t="shared" si="43"/>
        <v>3.3599664000840005E-3</v>
      </c>
      <c r="CV25">
        <f t="shared" si="44"/>
        <v>0.16799916000000001</v>
      </c>
      <c r="CW25">
        <f t="shared" si="45"/>
        <v>3.1919840400000003E-2</v>
      </c>
      <c r="CX25">
        <v>2</v>
      </c>
      <c r="CY25">
        <v>0.5</v>
      </c>
      <c r="CZ25" t="s">
        <v>346</v>
      </c>
      <c r="DA25">
        <v>2</v>
      </c>
      <c r="DB25">
        <v>1792205010</v>
      </c>
      <c r="DC25">
        <v>400.00040000000001</v>
      </c>
      <c r="DD25">
        <v>399.14420000000001</v>
      </c>
      <c r="DE25">
        <v>17.668240000000001</v>
      </c>
      <c r="DF25">
        <v>17.4404</v>
      </c>
      <c r="DG25">
        <v>400.3904</v>
      </c>
      <c r="DH25">
        <v>17.8246</v>
      </c>
      <c r="DI25">
        <v>500.01299999999998</v>
      </c>
      <c r="DJ25">
        <v>101.84520000000001</v>
      </c>
      <c r="DK25">
        <v>9.9999320000000003E-2</v>
      </c>
      <c r="DL25">
        <v>25.545760000000001</v>
      </c>
      <c r="DM25">
        <v>25.00328</v>
      </c>
      <c r="DN25">
        <v>999.9</v>
      </c>
      <c r="DO25">
        <v>0</v>
      </c>
      <c r="DP25">
        <v>0</v>
      </c>
      <c r="DQ25">
        <v>9987.9959999999992</v>
      </c>
      <c r="DR25">
        <v>0</v>
      </c>
      <c r="DS25">
        <v>8.3007200000000001</v>
      </c>
      <c r="DT25">
        <v>1.9999900000000001E-2</v>
      </c>
      <c r="DU25">
        <v>0</v>
      </c>
      <c r="DV25">
        <v>0</v>
      </c>
      <c r="DW25">
        <v>0</v>
      </c>
      <c r="DX25">
        <v>256.73</v>
      </c>
      <c r="DY25">
        <v>1.9999900000000001E-2</v>
      </c>
      <c r="DZ25">
        <v>-9.7200000000000006</v>
      </c>
      <c r="EA25">
        <v>3.125</v>
      </c>
      <c r="EB25">
        <v>35.462200000000003</v>
      </c>
      <c r="EC25">
        <v>39.699800000000003</v>
      </c>
      <c r="ED25">
        <v>37.6374</v>
      </c>
      <c r="EE25">
        <v>39.974800000000002</v>
      </c>
      <c r="EF25">
        <v>37.974800000000002</v>
      </c>
      <c r="EG25">
        <v>0</v>
      </c>
      <c r="EH25">
        <v>0</v>
      </c>
      <c r="EI25">
        <v>0</v>
      </c>
      <c r="EJ25">
        <v>145</v>
      </c>
      <c r="EK25">
        <v>0</v>
      </c>
      <c r="EL25">
        <v>256.50288461538503</v>
      </c>
      <c r="EM25">
        <v>-29.609401570967201</v>
      </c>
      <c r="EN25">
        <v>24.747863570872401</v>
      </c>
      <c r="EO25">
        <v>-10.695192307692301</v>
      </c>
      <c r="EP25">
        <v>15</v>
      </c>
      <c r="EQ25">
        <v>1792204936</v>
      </c>
      <c r="ER25" t="s">
        <v>377</v>
      </c>
      <c r="ES25">
        <v>1792204936</v>
      </c>
      <c r="ET25">
        <v>1792204928</v>
      </c>
      <c r="EU25">
        <v>19</v>
      </c>
      <c r="EV25">
        <v>-5.0000000000000001E-3</v>
      </c>
      <c r="EW25">
        <v>2E-3</v>
      </c>
      <c r="EX25">
        <v>-0.39</v>
      </c>
      <c r="EY25">
        <v>-0.159</v>
      </c>
      <c r="EZ25">
        <v>400</v>
      </c>
      <c r="FA25">
        <v>17</v>
      </c>
      <c r="FB25">
        <v>0.56999999999999995</v>
      </c>
      <c r="FC25">
        <v>0.11</v>
      </c>
      <c r="FD25">
        <v>-2.3647946423661299</v>
      </c>
      <c r="FE25">
        <v>-5.1435679603173299E-3</v>
      </c>
      <c r="FF25">
        <v>0.182815254413566</v>
      </c>
      <c r="FG25">
        <v>1</v>
      </c>
      <c r="FH25">
        <v>0.84228515000000004</v>
      </c>
      <c r="FI25">
        <v>0.18116972932330799</v>
      </c>
      <c r="FJ25">
        <v>6.4904818164967501E-2</v>
      </c>
      <c r="FK25">
        <v>1</v>
      </c>
      <c r="FL25">
        <v>256.42279411764702</v>
      </c>
      <c r="FM25">
        <v>0.50152805162738401</v>
      </c>
      <c r="FN25">
        <v>7.00315414139948</v>
      </c>
      <c r="FO25">
        <v>1</v>
      </c>
      <c r="FP25">
        <v>3</v>
      </c>
      <c r="FQ25">
        <v>3</v>
      </c>
      <c r="FR25" t="s">
        <v>348</v>
      </c>
      <c r="FS25">
        <v>100</v>
      </c>
      <c r="FT25">
        <v>100</v>
      </c>
      <c r="FU25">
        <v>-0.39</v>
      </c>
      <c r="FV25">
        <v>-0.1565</v>
      </c>
      <c r="FW25">
        <v>-0.46439396814233702</v>
      </c>
      <c r="FX25">
        <v>-6.1673298426602905E-5</v>
      </c>
      <c r="FY25">
        <v>6.1939807181674203E-7</v>
      </c>
      <c r="FZ25">
        <v>3.19222985850634E-12</v>
      </c>
      <c r="GA25">
        <v>-7.9721922292670902E-2</v>
      </c>
      <c r="GB25">
        <v>-2.57783215012692E-2</v>
      </c>
      <c r="GC25">
        <v>1.33723821780375E-3</v>
      </c>
      <c r="GD25">
        <v>-7.42160749481374E-6</v>
      </c>
      <c r="GE25">
        <v>7</v>
      </c>
      <c r="GF25">
        <v>2154</v>
      </c>
      <c r="GG25">
        <v>2</v>
      </c>
      <c r="GH25">
        <v>20</v>
      </c>
      <c r="GI25">
        <v>1.3</v>
      </c>
      <c r="GJ25">
        <v>1.4</v>
      </c>
      <c r="GK25">
        <v>1.0376000000000001</v>
      </c>
      <c r="GL25">
        <v>2.63184</v>
      </c>
      <c r="GM25">
        <v>1.65161</v>
      </c>
      <c r="GN25">
        <v>2.2717299999999998</v>
      </c>
      <c r="GO25">
        <v>1.5979000000000001</v>
      </c>
      <c r="GP25">
        <v>2.4316399999999998</v>
      </c>
      <c r="GQ25">
        <v>32.620399999999997</v>
      </c>
      <c r="GR25">
        <v>15.305300000000001</v>
      </c>
      <c r="GS25">
        <v>18</v>
      </c>
      <c r="GT25">
        <v>501.03100000000001</v>
      </c>
      <c r="GU25">
        <v>560.54399999999998</v>
      </c>
      <c r="GV25">
        <v>23.787299999999998</v>
      </c>
      <c r="GW25">
        <v>28.580200000000001</v>
      </c>
      <c r="GX25">
        <v>30</v>
      </c>
      <c r="GY25">
        <v>28.686199999999999</v>
      </c>
      <c r="GZ25">
        <v>28.738600000000002</v>
      </c>
      <c r="HA25">
        <v>20.762499999999999</v>
      </c>
      <c r="HB25">
        <v>24.796299999999999</v>
      </c>
      <c r="HC25">
        <v>60.332299999999996</v>
      </c>
      <c r="HD25">
        <v>23.802499999999998</v>
      </c>
      <c r="HE25">
        <v>399.15</v>
      </c>
      <c r="HF25">
        <v>17.410699999999999</v>
      </c>
      <c r="HG25">
        <v>98.263300000000001</v>
      </c>
      <c r="HH25">
        <v>94.766099999999994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25</v>
      </c>
    </row>
    <row r="15" spans="1:2" x14ac:dyDescent="0.3">
      <c r="A15" t="s">
        <v>27</v>
      </c>
      <c r="B15" t="s">
        <v>23</v>
      </c>
    </row>
    <row r="16" spans="1:2" x14ac:dyDescent="0.3">
      <c r="A16" t="s">
        <v>28</v>
      </c>
      <c r="B16" t="s">
        <v>11</v>
      </c>
    </row>
    <row r="17" spans="1:2" x14ac:dyDescent="0.3">
      <c r="A17" t="s">
        <v>29</v>
      </c>
      <c r="B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박은빈</cp:lastModifiedBy>
  <dcterms:created xsi:type="dcterms:W3CDTF">2026-10-17T11:45:03Z</dcterms:created>
  <dcterms:modified xsi:type="dcterms:W3CDTF">2026-10-17T10:09:11Z</dcterms:modified>
</cp:coreProperties>
</file>