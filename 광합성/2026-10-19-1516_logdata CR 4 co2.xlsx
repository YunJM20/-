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<sst xmlns="http://schemas.openxmlformats.org/spreadsheetml/2006/main" count="1121" uniqueCount="457">
  <si>
    <t>File opened</t>
  </si>
  <si>
    <t>2026-10-19 15:16:58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</si>
  <si>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</si>
  <si>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</si>
  <si>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</si>
  <si>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</si>
  <si>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</si>
  <si>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</si>
  <si>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</si>
  <si>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</si>
  <si>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</si>
  <si>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</si>
  <si>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</si>
  <si>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{"co2aspan2a": "0.0929659", "h2obspan2": "0", "ssb_ref": "37478.9", "co2bzero": "1.02053", "h2obspan2a": "0.112101", "co2bspan2": "0.00898303", "co2bspanconc2": "1516", "co2aspan2": "0.0108874", "flowmeterzero": "2.5072", "h2obspan1": "0.995823", "co2bspanconc1": "437.6", "co2aspanconc1": "437.6", "h2obspanconc1": "21.96", "h2oaspan1": "1.0301", "co2aspan2b": "0.0924399", "tbzero": "0.145187", "h2obzero": "1.13925", "h2oazero": "1.14957", "co2aspanconc2": "1516", "flowazero": "0.316", "co2azero": "1.16194", "h2oaspan2": "0", "co2bspan1": "0.993892", "co2aspan1": "0.99333", "h2oaspanconc2": "0", "h2obspanconc2": "0", "oxygen": "21", "h2oaspanconc1": "21.96", "flowbzero": "0.27399", "chamberpressurezero": "2.61687", "ssa_ref": "32366.8", "co2bspan2a": "0.0952815", "co2bspan2b": "0.0947811", "h2obspan2b": "0.111633", "tazero": "0.0951138", "h2oaspan2a": "0.108347", "h2oaspan2b": "0.111609"}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</si>
  <si>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</si>
  <si>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</si>
  <si>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</si>
  <si>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</si>
  <si>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</si>
  <si>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</si>
  <si>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</si>
  <si>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</si>
  <si>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</si>
  <si>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</si>
  <si>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</si>
  <si>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</si>
  <si>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</si>
  <si>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</si>
  <si>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</si>
  <si>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15:16:58</t>
  </si>
  <si>
    <t>Stability Definition:	F (FlrLS): Slp&lt;1 Per=20	ΔCO2 (Meas2): Slp&lt;0.5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</si>
  <si>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</si>
  <si>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</si>
  <si>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</si>
  <si>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</si>
  <si>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</si>
  <si>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</si>
  <si>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</si>
  <si>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</si>
  <si>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</si>
  <si>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</si>
  <si>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</si>
  <si>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</si>
  <si>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</si>
  <si>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</si>
  <si>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</si>
  <si>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</si>
  <si>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</si>
  <si>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</si>
  <si>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</si>
  <si>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</si>
  <si>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</si>
  <si>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</si>
  <si>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</si>
  <si>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</si>
  <si>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</si>
  <si>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</si>
  <si>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</si>
  <si>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</si>
  <si>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</si>
  <si>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</si>
  <si>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</si>
  <si>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</si>
  <si>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</si>
  <si>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</si>
  <si>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</si>
  <si>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</si>
  <si>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</si>
  <si>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</si>
  <si>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</si>
  <si>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</si>
  <si>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</si>
  <si>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</si>
  <si>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</si>
  <si>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</si>
  <si>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</si>
  <si>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</si>
  <si>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</si>
  <si>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</si>
  <si>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</si>
  <si>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</si>
  <si>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</si>
  <si>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</si>
  <si>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3.67316 215.33 352.128 586.696 876.376 1080.25 1251.47 1368.14</t>
  </si>
  <si>
    <t>Fs_true</t>
  </si>
  <si>
    <t>-0.129226 238.723 377.082 583.062 812.664 1001.14 1203.78 1400.74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</si>
  <si>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</si>
  <si>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</si>
  <si>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</si>
  <si>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</si>
  <si>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</si>
  <si>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</si>
  <si>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</si>
  <si>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</si>
  <si>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</si>
  <si>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</si>
  <si>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</si>
  <si>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</si>
  <si>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</si>
  <si>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</si>
  <si>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</si>
  <si>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</si>
  <si>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</si>
  <si>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</si>
  <si>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</si>
  <si>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</si>
  <si>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</si>
  <si>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</si>
  <si>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</si>
  <si>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</si>
  <si>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</si>
  <si>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</si>
  <si>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</si>
  <si>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</si>
  <si>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</si>
  <si>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</si>
  <si>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</si>
  <si>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</si>
  <si>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</si>
  <si>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</si>
  <si>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</si>
  <si>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</si>
  <si>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</si>
  <si>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</si>
  <si>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</si>
  <si>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</si>
  <si>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</si>
  <si>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</si>
  <si>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</si>
  <si>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</si>
  <si>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</si>
  <si>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</si>
  <si>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</si>
  <si>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</si>
  <si>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</si>
  <si>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</si>
  <si>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</si>
  <si>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</si>
  <si>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</si>
  <si>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</si>
  <si>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</si>
  <si>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</si>
  <si>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</si>
  <si>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</si>
  <si>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</si>
  <si>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</si>
  <si>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</si>
  <si>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</si>
  <si>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</si>
  <si>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</si>
  <si>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</si>
  <si>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</si>
  <si>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</si>
  <si>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</si>
  <si>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</si>
  <si>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</si>
  <si>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</si>
  <si>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</si>
  <si>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</si>
  <si>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</si>
  <si>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</si>
  <si>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</si>
  <si>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</si>
  <si>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</si>
  <si>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</si>
  <si>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</si>
  <si>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</si>
  <si>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</si>
  <si>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</si>
  <si>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</si>
  <si>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</si>
  <si>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</si>
  <si>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</si>
  <si>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</si>
  <si>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</si>
  <si>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</si>
  <si>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</si>
  <si>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</si>
  <si>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</si>
  <si>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</si>
  <si>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</si>
  <si>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</si>
  <si>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</si>
  <si>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</si>
  <si>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</si>
  <si>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</si>
  <si>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</si>
  <si>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</si>
  <si>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</si>
  <si>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</si>
  <si>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</si>
  <si>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</si>
  <si>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</si>
  <si>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</si>
  <si>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</si>
  <si>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</si>
  <si>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</si>
  <si>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</si>
  <si>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</si>
  <si>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</si>
  <si>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</si>
  <si>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</si>
  <si>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</si>
  <si>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</si>
  <si>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</si>
  <si>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</si>
  <si>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</si>
  <si>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</si>
  <si>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</si>
  <si>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</si>
  <si>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</si>
  <si>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</si>
  <si>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</si>
  <si>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</si>
  <si>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</si>
  <si>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</si>
  <si>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</si>
  <si>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</si>
  <si>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</si>
  <si>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</si>
  <si>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</si>
  <si>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</si>
  <si>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</si>
  <si>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</si>
  <si>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</si>
  <si>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</si>
  <si>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</si>
  <si>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</si>
  <si>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</si>
  <si>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</si>
  <si>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</si>
  <si>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</si>
  <si>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</si>
  <si>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</si>
  <si>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</si>
  <si>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</si>
  <si>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</si>
  <si>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</si>
  <si>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</si>
  <si>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</si>
  <si>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</si>
  <si>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</si>
  <si>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</si>
  <si>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</si>
  <si>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</si>
  <si>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</si>
  <si>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</si>
  <si>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</si>
  <si>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</si>
  <si>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</si>
  <si>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</si>
  <si>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</si>
  <si>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</si>
  <si>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</si>
  <si>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</si>
  <si>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</si>
  <si>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</si>
  <si>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</si>
  <si>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</si>
  <si>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</si>
  <si>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</si>
  <si>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</si>
  <si>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</si>
  <si>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</si>
  <si>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</si>
  <si>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</si>
  <si>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</si>
  <si>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</si>
  <si>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</si>
  <si>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</si>
  <si>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</si>
  <si>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</si>
  <si>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</si>
  <si>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</si>
  <si>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</si>
  <si>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</si>
  <si>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</si>
  <si>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</si>
  <si>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</si>
  <si>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</si>
  <si>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</si>
  <si>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</si>
  <si>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</si>
  <si>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</si>
  <si>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</si>
  <si>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</si>
  <si>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</si>
  <si>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</si>
  <si>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</si>
  <si>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</si>
  <si>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</si>
  <si>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</si>
  <si>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</si>
  <si>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</si>
  <si>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</si>
  <si>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</si>
  <si>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</si>
  <si>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</si>
  <si>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</si>
  <si>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</si>
  <si>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</si>
  <si>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</si>
  <si>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</si>
  <si>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</si>
  <si>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</si>
  <si>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</si>
  <si>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</si>
  <si>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</si>
  <si>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</si>
  <si>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</si>
  <si>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</si>
  <si>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</si>
  <si>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</si>
  <si>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</si>
  <si>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</si>
  <si>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</si>
  <si>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</si>
  <si>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</si>
  <si>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</si>
  <si>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</si>
  <si>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</si>
  <si>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</si>
  <si>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</si>
  <si>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</si>
  <si>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</si>
  <si>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</si>
  <si>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</si>
  <si>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</si>
  <si>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</si>
  <si>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</si>
  <si>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</si>
  <si>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</si>
  <si>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</si>
  <si>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</si>
  <si>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</si>
  <si>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</si>
  <si>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</si>
  <si>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</si>
  <si>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</si>
  <si>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</si>
  <si>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</si>
  <si>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</si>
  <si>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</si>
  <si>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</si>
  <si>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</si>
  <si>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</si>
  <si>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</si>
  <si>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</si>
  <si>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</si>
  <si>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</si>
  <si>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</si>
  <si>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</si>
  <si>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</si>
  <si>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</si>
  <si>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</si>
  <si>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</si>
  <si>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</si>
  <si>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</si>
  <si>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</si>
  <si>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</si>
  <si>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</si>
  <si>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</si>
  <si>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</si>
  <si>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</si>
  <si>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</si>
  <si>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</si>
  <si>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</si>
  <si>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</si>
  <si>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</si>
  <si>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</si>
  <si>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</si>
  <si>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</si>
  <si>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</si>
  <si>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</si>
  <si>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</si>
  <si>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</si>
  <si>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</si>
  <si>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</si>
  <si>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</si>
  <si>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</si>
  <si>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</si>
  <si>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</si>
  <si>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</si>
  <si>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</si>
  <si>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</si>
  <si>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</si>
  <si>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</si>
  <si>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</si>
  <si>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</si>
  <si>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</si>
  <si>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</si>
  <si>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</si>
  <si>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</si>
  <si>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</si>
  <si>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</si>
  <si>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</si>
  <si>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</si>
  <si>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</si>
  <si>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</si>
  <si>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</si>
  <si>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</si>
  <si>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</si>
  <si>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</si>
  <si>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</si>
  <si>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</si>
  <si>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</si>
  <si>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</si>
  <si>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</si>
  <si>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</si>
  <si>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</si>
  <si>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</si>
  <si>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hrs</t>
  </si>
  <si>
    <t>mg</t>
  </si>
  <si>
    <t>min</t>
  </si>
  <si>
    <t>20261019 16:08:00</t>
  </si>
  <si>
    <t>16:08:00</t>
  </si>
  <si>
    <t>-</t>
  </si>
  <si>
    <t>0: Broadleaf</t>
  </si>
  <si>
    <t>16:07:08</t>
  </si>
  <si>
    <t>3/3</t>
  </si>
  <si>
    <t>11111111</t>
  </si>
  <si>
    <t>oooooooo</t>
  </si>
  <si>
    <t>on</t>
  </si>
  <si>
    <t>20261019 16:10:01</t>
  </si>
  <si>
    <t>16:10:01</t>
  </si>
  <si>
    <t>16:09:08</t>
  </si>
  <si>
    <t>20261019 16:12:03</t>
  </si>
  <si>
    <t>16:12:03</t>
  </si>
  <si>
    <t>16:11:14</t>
  </si>
  <si>
    <t>20261019 16:14:04</t>
  </si>
  <si>
    <t>16:14:04</t>
  </si>
  <si>
    <t>16:13:14</t>
  </si>
  <si>
    <t>20261019 16:16:05</t>
  </si>
  <si>
    <t>16:16:05</t>
  </si>
  <si>
    <t>16:15:08</t>
  </si>
  <si>
    <t>20261019 16:18:34</t>
  </si>
  <si>
    <t>16:18:34</t>
  </si>
  <si>
    <t>16:17:29</t>
  </si>
  <si>
    <t>20261019 16:20:35</t>
  </si>
  <si>
    <t>16:20:35</t>
  </si>
  <si>
    <t>16:19:29</t>
  </si>
  <si>
    <t>20261019 16:22:40</t>
  </si>
  <si>
    <t>16:22:40</t>
  </si>
  <si>
    <t>16:21:39</t>
  </si>
  <si>
    <t>20261019 16:25:11</t>
  </si>
  <si>
    <t>16:25:11</t>
  </si>
  <si>
    <t>16:23:36</t>
  </si>
  <si>
    <t>0/3</t>
  </si>
  <si>
    <t>20261019 16:27:12</t>
  </si>
  <si>
    <t>16:27:12</t>
  </si>
  <si>
    <t>16:26:13</t>
  </si>
  <si>
    <t>20261019 16:29:16</t>
  </si>
  <si>
    <t>16:29:16</t>
  </si>
  <si>
    <t>16:28:17</t>
  </si>
  <si>
    <t>20261019 16:31:19</t>
  </si>
  <si>
    <t>16:31:19</t>
  </si>
  <si>
    <t>16:30:28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</si>
</sst>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V28"/>
  <sheetViews>
    <sheetView tabSelected="1" workbookViewId="0"/>
  </sheetViews>
  <sheetFormatPr defaultRowHeight="15"/>
  <sheetData>
    <row r="2" spans="1:282">
      <c r="A2" t="s">
        <v>31</v>
      </c>
      <c r="B2" t="s">
        <v>32</v>
      </c>
      <c r="C2" t="s">
        <v>34</v>
      </c>
    </row>
    <row r="3" spans="1:282">
      <c r="B3" t="s">
        <v>33</v>
      </c>
      <c r="C3">
        <v>21</v>
      </c>
    </row>
    <row r="4" spans="1:282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82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>
      <c r="B7">
        <v>0</v>
      </c>
      <c r="C7">
        <v>1</v>
      </c>
      <c r="D7">
        <v>0</v>
      </c>
      <c r="E7">
        <v>0</v>
      </c>
    </row>
    <row r="8" spans="1:282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2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>
      <c r="B11">
        <v>0</v>
      </c>
      <c r="C11">
        <v>0</v>
      </c>
      <c r="D11">
        <v>0</v>
      </c>
      <c r="E11">
        <v>0</v>
      </c>
      <c r="F11">
        <v>1</v>
      </c>
    </row>
    <row r="12" spans="1:28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82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412</v>
      </c>
      <c r="HL16" t="s">
        <v>412</v>
      </c>
      <c r="HM16" t="s">
        <v>412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>
      <c r="A17">
        <v>1</v>
      </c>
      <c r="B17">
        <v>1792393680.1</v>
      </c>
      <c r="C17">
        <v>0</v>
      </c>
      <c r="D17" t="s">
        <v>414</v>
      </c>
      <c r="E17" t="s">
        <v>415</v>
      </c>
      <c r="F17">
        <v>5</v>
      </c>
      <c r="G17">
        <v>1792393676.6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416</v>
      </c>
      <c r="AK17" t="s">
        <v>416</v>
      </c>
      <c r="AL17">
        <v>0</v>
      </c>
      <c r="AM17">
        <v>0</v>
      </c>
      <c r="AN17">
        <f>1-AL17/AM17</f>
        <v>0</v>
      </c>
      <c r="AO17">
        <v>0</v>
      </c>
      <c r="AP17" t="s">
        <v>416</v>
      </c>
      <c r="AQ17" t="s">
        <v>416</v>
      </c>
      <c r="AR17">
        <v>0</v>
      </c>
      <c r="AS17">
        <v>0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416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1211</v>
      </c>
      <c r="BM17">
        <v>290</v>
      </c>
      <c r="BN17">
        <v>854.02</v>
      </c>
      <c r="BO17">
        <v>135</v>
      </c>
      <c r="BP17">
        <v>8118.76</v>
      </c>
      <c r="BQ17">
        <v>850.06</v>
      </c>
      <c r="BR17">
        <v>3.96</v>
      </c>
      <c r="BS17">
        <v>300</v>
      </c>
      <c r="BT17">
        <v>19.3</v>
      </c>
      <c r="BU17">
        <v>879.257022088825</v>
      </c>
      <c r="BV17">
        <v>1.85043100621219</v>
      </c>
      <c r="BW17">
        <v>-23.7015574963064</v>
      </c>
      <c r="BX17">
        <v>1.34141796524398</v>
      </c>
      <c r="BY17">
        <v>0.917694192479961</v>
      </c>
      <c r="BZ17">
        <v>-0.00537916729699666</v>
      </c>
      <c r="CA17">
        <v>290</v>
      </c>
      <c r="CB17">
        <v>841.85</v>
      </c>
      <c r="CC17">
        <v>615</v>
      </c>
      <c r="CD17">
        <v>8099.98</v>
      </c>
      <c r="CE17">
        <v>850</v>
      </c>
      <c r="CF17">
        <v>-8.15</v>
      </c>
      <c r="CT17">
        <f>$B$11*DR17+$C$11*DS17+$F$11*ED17*(1-EG17)</f>
        <v>0</v>
      </c>
      <c r="CU17">
        <f>CT17*CV17</f>
        <v>0</v>
      </c>
      <c r="CV17">
        <f>($B$11*$D$9+$C$11*$D$9+$F$11*((EQ17+EI17)/MAX(EQ17+EI17+ER17, 0.1)*$I$9+ER17/MAX(EQ17+EI17+ER17, 0.1)*$J$9))/($B$11+$C$11+$F$11)</f>
        <v>0</v>
      </c>
      <c r="CW17">
        <f>($B$11*$K$9+$C$11*$K$9+$F$11*((EQ17+EI17)/MAX(EQ17+EI17+ER17, 0.1)*$P$9+ER17/MAX(EQ17+EI17+ER17, 0.1)*$Q$9))/($B$11+$C$11+$F$11)</f>
        <v>0</v>
      </c>
      <c r="CX17">
        <v>2</v>
      </c>
      <c r="CY17">
        <v>0.5</v>
      </c>
      <c r="CZ17" t="s">
        <v>417</v>
      </c>
      <c r="DA17">
        <v>2</v>
      </c>
      <c r="DB17">
        <v>1792393676.6</v>
      </c>
      <c r="DC17">
        <v>392.748333333333</v>
      </c>
      <c r="DD17">
        <v>400.009333333333</v>
      </c>
      <c r="DE17">
        <v>17.3912666666667</v>
      </c>
      <c r="DF17">
        <v>15.90025</v>
      </c>
      <c r="DG17">
        <v>392.244166666667</v>
      </c>
      <c r="DH17">
        <v>17.4842833333333</v>
      </c>
      <c r="DI17">
        <v>500.002833333333</v>
      </c>
      <c r="DJ17">
        <v>101.284</v>
      </c>
      <c r="DK17">
        <v>0.0999847833333333</v>
      </c>
      <c r="DL17">
        <v>25.1668166666667</v>
      </c>
      <c r="DM17">
        <v>25.0314166666667</v>
      </c>
      <c r="DN17">
        <v>999.9</v>
      </c>
      <c r="DO17">
        <v>0</v>
      </c>
      <c r="DP17">
        <v>0</v>
      </c>
      <c r="DQ17">
        <v>9997.5</v>
      </c>
      <c r="DR17">
        <v>0</v>
      </c>
      <c r="DS17">
        <v>6.54721</v>
      </c>
      <c r="DT17">
        <v>-7.26126</v>
      </c>
      <c r="DU17">
        <v>399.699666666667</v>
      </c>
      <c r="DV17">
        <v>406.472666666667</v>
      </c>
      <c r="DW17">
        <v>1.49099833333333</v>
      </c>
      <c r="DX17">
        <v>400.009333333333</v>
      </c>
      <c r="DY17">
        <v>15.90025</v>
      </c>
      <c r="DZ17">
        <v>1.761455</v>
      </c>
      <c r="EA17">
        <v>1.61043833333333</v>
      </c>
      <c r="EB17">
        <v>15.4488666666667</v>
      </c>
      <c r="EC17">
        <v>14.0590666666667</v>
      </c>
      <c r="ED17">
        <v>1499.99666666667</v>
      </c>
      <c r="EE17">
        <v>0.973006</v>
      </c>
      <c r="EF17">
        <v>0.0269939</v>
      </c>
      <c r="EG17">
        <v>0</v>
      </c>
      <c r="EH17">
        <v>330.304</v>
      </c>
      <c r="EI17">
        <v>5.00064</v>
      </c>
      <c r="EJ17">
        <v>5133.55833333333</v>
      </c>
      <c r="EK17">
        <v>15439.1833333333</v>
      </c>
      <c r="EL17">
        <v>41.2603333333333</v>
      </c>
      <c r="EM17">
        <v>41.937</v>
      </c>
      <c r="EN17">
        <v>41.562</v>
      </c>
      <c r="EO17">
        <v>41.5725</v>
      </c>
      <c r="EP17">
        <v>42.75</v>
      </c>
      <c r="EQ17">
        <v>1454.63666666667</v>
      </c>
      <c r="ER17">
        <v>40.36</v>
      </c>
      <c r="ES17">
        <v>0</v>
      </c>
      <c r="ET17">
        <v>3201</v>
      </c>
      <c r="EU17">
        <v>0</v>
      </c>
      <c r="EV17">
        <v>330.23192</v>
      </c>
      <c r="EW17">
        <v>0.0234615295144109</v>
      </c>
      <c r="EX17">
        <v>-3.4623076681802</v>
      </c>
      <c r="EY17">
        <v>5133.6836</v>
      </c>
      <c r="EZ17">
        <v>15</v>
      </c>
      <c r="FA17">
        <v>1792393628.1</v>
      </c>
      <c r="FB17" t="s">
        <v>418</v>
      </c>
      <c r="FC17">
        <v>1792393626.1</v>
      </c>
      <c r="FD17">
        <v>1792393628.1</v>
      </c>
      <c r="FE17">
        <v>61</v>
      </c>
      <c r="FF17">
        <v>-0.001</v>
      </c>
      <c r="FG17">
        <v>-0.001</v>
      </c>
      <c r="FH17">
        <v>0.507</v>
      </c>
      <c r="FI17">
        <v>-0.147</v>
      </c>
      <c r="FJ17">
        <v>400</v>
      </c>
      <c r="FK17">
        <v>16</v>
      </c>
      <c r="FL17">
        <v>0.15</v>
      </c>
      <c r="FM17">
        <v>0.04</v>
      </c>
      <c r="FN17">
        <v>16.7057843015775</v>
      </c>
      <c r="FO17">
        <v>0.0159718754206051</v>
      </c>
      <c r="FP17">
        <v>0.0996824863045842</v>
      </c>
      <c r="FQ17">
        <v>1</v>
      </c>
      <c r="FR17">
        <v>-7.28635428571429</v>
      </c>
      <c r="FS17">
        <v>0.113274545454527</v>
      </c>
      <c r="FT17">
        <v>0.0412214879899894</v>
      </c>
      <c r="FU17">
        <v>1</v>
      </c>
      <c r="FV17">
        <v>330.300705882353</v>
      </c>
      <c r="FW17">
        <v>-0.628265854792001</v>
      </c>
      <c r="FX17">
        <v>0.187043016350241</v>
      </c>
      <c r="FY17">
        <v>1</v>
      </c>
      <c r="FZ17">
        <v>3</v>
      </c>
      <c r="GA17">
        <v>3</v>
      </c>
      <c r="GB17" t="s">
        <v>419</v>
      </c>
      <c r="GC17">
        <v>3.1232</v>
      </c>
      <c r="GD17">
        <v>2.76544</v>
      </c>
      <c r="GE17">
        <v>0.0865157</v>
      </c>
      <c r="GF17">
        <v>0.0899893</v>
      </c>
      <c r="GG17">
        <v>0.0928418</v>
      </c>
      <c r="GH17">
        <v>0.0901256</v>
      </c>
      <c r="GI17">
        <v>17757.5</v>
      </c>
      <c r="GJ17">
        <v>26693.9</v>
      </c>
      <c r="GK17">
        <v>22717.7</v>
      </c>
      <c r="GL17">
        <v>30060.3</v>
      </c>
      <c r="GM17">
        <v>33809.9</v>
      </c>
      <c r="GN17">
        <v>34087.7</v>
      </c>
      <c r="GO17">
        <v>42988.8</v>
      </c>
      <c r="GP17">
        <v>42830.3</v>
      </c>
      <c r="GQ17">
        <v>1.95745</v>
      </c>
      <c r="GR17">
        <v>1.8066</v>
      </c>
      <c r="GS17">
        <v>0.0666976</v>
      </c>
      <c r="GT17">
        <v>0</v>
      </c>
      <c r="GU17">
        <v>23.9279</v>
      </c>
      <c r="GV17">
        <v>999.9</v>
      </c>
      <c r="GW17">
        <v>40.899</v>
      </c>
      <c r="GX17">
        <v>32.519</v>
      </c>
      <c r="GY17">
        <v>19.857</v>
      </c>
      <c r="GZ17">
        <v>63.4319</v>
      </c>
      <c r="HA17">
        <v>34.0345</v>
      </c>
      <c r="HB17">
        <v>1</v>
      </c>
      <c r="HC17">
        <v>0.125922</v>
      </c>
      <c r="HD17">
        <v>2.6476</v>
      </c>
      <c r="HE17">
        <v>20.2174</v>
      </c>
      <c r="HF17">
        <v>5.23421</v>
      </c>
      <c r="HG17">
        <v>11.9622</v>
      </c>
      <c r="HH17">
        <v>4.969</v>
      </c>
      <c r="HI17">
        <v>3.29518</v>
      </c>
      <c r="HJ17">
        <v>999.9</v>
      </c>
      <c r="HK17">
        <v>9999</v>
      </c>
      <c r="HL17">
        <v>9999</v>
      </c>
      <c r="HM17">
        <v>9999</v>
      </c>
      <c r="HN17">
        <v>4.96853</v>
      </c>
      <c r="HO17">
        <v>1.86243</v>
      </c>
      <c r="HP17">
        <v>1.86398</v>
      </c>
      <c r="HQ17">
        <v>1.86584</v>
      </c>
      <c r="HR17">
        <v>1.86294</v>
      </c>
      <c r="HS17">
        <v>1.86661</v>
      </c>
      <c r="HT17">
        <v>1.86337</v>
      </c>
      <c r="HU17">
        <v>1.86529</v>
      </c>
      <c r="HV17">
        <v>0</v>
      </c>
      <c r="HW17">
        <v>0</v>
      </c>
      <c r="HX17">
        <v>0</v>
      </c>
      <c r="HY17">
        <v>0</v>
      </c>
      <c r="HZ17" t="s">
        <v>420</v>
      </c>
      <c r="IA17" t="s">
        <v>421</v>
      </c>
      <c r="IB17" t="s">
        <v>422</v>
      </c>
      <c r="IC17" t="s">
        <v>422</v>
      </c>
      <c r="ID17" t="s">
        <v>422</v>
      </c>
      <c r="IE17" t="s">
        <v>422</v>
      </c>
      <c r="IF17">
        <v>0</v>
      </c>
      <c r="IG17">
        <v>100</v>
      </c>
      <c r="IH17">
        <v>100</v>
      </c>
      <c r="II17">
        <v>0.504</v>
      </c>
      <c r="IJ17">
        <v>-0.0933</v>
      </c>
      <c r="IK17">
        <v>0.380401871022347</v>
      </c>
      <c r="IL17">
        <v>0.000216929631606078</v>
      </c>
      <c r="IM17">
        <v>2.72263024731635e-07</v>
      </c>
      <c r="IN17">
        <v>-5.43792051235154e-11</v>
      </c>
      <c r="IO17">
        <v>-0.00261455376830071</v>
      </c>
      <c r="IP17">
        <v>-0.0584433849545669</v>
      </c>
      <c r="IQ17">
        <v>0.00341568706061026</v>
      </c>
      <c r="IR17">
        <v>-2.10952612506686e-05</v>
      </c>
      <c r="IS17">
        <v>-0</v>
      </c>
      <c r="IT17">
        <v>1734</v>
      </c>
      <c r="IU17">
        <v>2</v>
      </c>
      <c r="IV17">
        <v>19</v>
      </c>
      <c r="IW17">
        <v>0.9</v>
      </c>
      <c r="IX17">
        <v>0.9</v>
      </c>
      <c r="IY17">
        <v>1.05591</v>
      </c>
      <c r="IZ17">
        <v>2.56836</v>
      </c>
      <c r="JA17">
        <v>1.34644</v>
      </c>
      <c r="JB17">
        <v>2.2583</v>
      </c>
      <c r="JC17">
        <v>1.55029</v>
      </c>
      <c r="JD17">
        <v>2.6709</v>
      </c>
      <c r="JE17">
        <v>36.4814</v>
      </c>
      <c r="JF17">
        <v>15.6118</v>
      </c>
      <c r="JG17">
        <v>18</v>
      </c>
      <c r="JH17">
        <v>497.852</v>
      </c>
      <c r="JI17">
        <v>477.859</v>
      </c>
      <c r="JJ17">
        <v>21.4107</v>
      </c>
      <c r="JK17">
        <v>28.8266</v>
      </c>
      <c r="JL17">
        <v>30.0002</v>
      </c>
      <c r="JM17">
        <v>28.8174</v>
      </c>
      <c r="JN17">
        <v>28.8309</v>
      </c>
      <c r="JO17">
        <v>21.1461</v>
      </c>
      <c r="JP17">
        <v>29.6093</v>
      </c>
      <c r="JQ17">
        <v>35.8008</v>
      </c>
      <c r="JR17">
        <v>21.4034</v>
      </c>
      <c r="JS17">
        <v>400</v>
      </c>
      <c r="JT17">
        <v>15.9097</v>
      </c>
      <c r="JU17">
        <v>101.503</v>
      </c>
      <c r="JV17">
        <v>97.2422</v>
      </c>
    </row>
    <row r="18" spans="1:282">
      <c r="A18">
        <v>2</v>
      </c>
      <c r="B18">
        <v>1792393801.1</v>
      </c>
      <c r="C18">
        <v>121</v>
      </c>
      <c r="D18" t="s">
        <v>423</v>
      </c>
      <c r="E18" t="s">
        <v>424</v>
      </c>
      <c r="F18">
        <v>5</v>
      </c>
      <c r="G18">
        <v>1792393798.1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416</v>
      </c>
      <c r="AK18" t="s">
        <v>416</v>
      </c>
      <c r="AL18">
        <v>0</v>
      </c>
      <c r="AM18">
        <v>0</v>
      </c>
      <c r="AN18">
        <f>1-AL18/AM18</f>
        <v>0</v>
      </c>
      <c r="AO18">
        <v>0</v>
      </c>
      <c r="AP18" t="s">
        <v>416</v>
      </c>
      <c r="AQ18" t="s">
        <v>416</v>
      </c>
      <c r="AR18">
        <v>0</v>
      </c>
      <c r="AS18">
        <v>0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416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1211</v>
      </c>
      <c r="BM18">
        <v>290</v>
      </c>
      <c r="BN18">
        <v>854.02</v>
      </c>
      <c r="BO18">
        <v>135</v>
      </c>
      <c r="BP18">
        <v>8118.76</v>
      </c>
      <c r="BQ18">
        <v>850.06</v>
      </c>
      <c r="BR18">
        <v>3.96</v>
      </c>
      <c r="BS18">
        <v>300</v>
      </c>
      <c r="BT18">
        <v>19.3</v>
      </c>
      <c r="BU18">
        <v>879.257022088825</v>
      </c>
      <c r="BV18">
        <v>1.85043100621219</v>
      </c>
      <c r="BW18">
        <v>-23.7015574963064</v>
      </c>
      <c r="BX18">
        <v>1.34141796524398</v>
      </c>
      <c r="BY18">
        <v>0.917694192479961</v>
      </c>
      <c r="BZ18">
        <v>-0.00537916729699666</v>
      </c>
      <c r="CA18">
        <v>290</v>
      </c>
      <c r="CB18">
        <v>841.85</v>
      </c>
      <c r="CC18">
        <v>615</v>
      </c>
      <c r="CD18">
        <v>8099.98</v>
      </c>
      <c r="CE18">
        <v>850</v>
      </c>
      <c r="CF18">
        <v>-8.15</v>
      </c>
      <c r="CT18">
        <f>$B$11*DR18+$C$11*DS18+$F$11*ED18*(1-EG18)</f>
        <v>0</v>
      </c>
      <c r="CU18">
        <f>CT18*CV18</f>
        <v>0</v>
      </c>
      <c r="CV18">
        <f>($B$11*$D$9+$C$11*$D$9+$F$11*((EQ18+EI18)/MAX(EQ18+EI18+ER18, 0.1)*$I$9+ER18/MAX(EQ18+EI18+ER18, 0.1)*$J$9))/($B$11+$C$11+$F$11)</f>
        <v>0</v>
      </c>
      <c r="CW18">
        <f>($B$11*$K$9+$C$11*$K$9+$F$11*((EQ18+EI18)/MAX(EQ18+EI18+ER18, 0.1)*$P$9+ER18/MAX(EQ18+EI18+ER18, 0.1)*$Q$9))/($B$11+$C$11+$F$11)</f>
        <v>0</v>
      </c>
      <c r="CX18">
        <v>2</v>
      </c>
      <c r="CY18">
        <v>0.5</v>
      </c>
      <c r="CZ18" t="s">
        <v>417</v>
      </c>
      <c r="DA18">
        <v>2</v>
      </c>
      <c r="DB18">
        <v>1792393798.1</v>
      </c>
      <c r="DC18">
        <v>294.5894</v>
      </c>
      <c r="DD18">
        <v>299.996</v>
      </c>
      <c r="DE18">
        <v>17.45552</v>
      </c>
      <c r="DF18">
        <v>15.97044</v>
      </c>
      <c r="DG18">
        <v>294.2564</v>
      </c>
      <c r="DH18">
        <v>17.54812</v>
      </c>
      <c r="DI18">
        <v>500.096</v>
      </c>
      <c r="DJ18">
        <v>101.2926</v>
      </c>
      <c r="DK18">
        <v>0.10001616</v>
      </c>
      <c r="DL18">
        <v>25.16714</v>
      </c>
      <c r="DM18">
        <v>25.01686</v>
      </c>
      <c r="DN18">
        <v>999.9</v>
      </c>
      <c r="DO18">
        <v>0</v>
      </c>
      <c r="DP18">
        <v>0</v>
      </c>
      <c r="DQ18">
        <v>9996.75</v>
      </c>
      <c r="DR18">
        <v>0</v>
      </c>
      <c r="DS18">
        <v>5.992338</v>
      </c>
      <c r="DT18">
        <v>-5.406348</v>
      </c>
      <c r="DU18">
        <v>299.8232</v>
      </c>
      <c r="DV18">
        <v>304.8648</v>
      </c>
      <c r="DW18">
        <v>1.485076</v>
      </c>
      <c r="DX18">
        <v>299.996</v>
      </c>
      <c r="DY18">
        <v>15.97044</v>
      </c>
      <c r="DZ18">
        <v>1.768116</v>
      </c>
      <c r="EA18">
        <v>1.61769</v>
      </c>
      <c r="EB18">
        <v>15.50774</v>
      </c>
      <c r="EC18">
        <v>14.12834</v>
      </c>
      <c r="ED18">
        <v>1500.024</v>
      </c>
      <c r="EE18">
        <v>0.9730068</v>
      </c>
      <c r="EF18">
        <v>0.02699312</v>
      </c>
      <c r="EG18">
        <v>0</v>
      </c>
      <c r="EH18">
        <v>328.7078</v>
      </c>
      <c r="EI18">
        <v>5.00064</v>
      </c>
      <c r="EJ18">
        <v>5111.03</v>
      </c>
      <c r="EK18">
        <v>15439.5</v>
      </c>
      <c r="EL18">
        <v>41.2996</v>
      </c>
      <c r="EM18">
        <v>41.937</v>
      </c>
      <c r="EN18">
        <v>41.625</v>
      </c>
      <c r="EO18">
        <v>41.625</v>
      </c>
      <c r="EP18">
        <v>42.7624</v>
      </c>
      <c r="EQ18">
        <v>1454.664</v>
      </c>
      <c r="ER18">
        <v>40.36</v>
      </c>
      <c r="ES18">
        <v>0</v>
      </c>
      <c r="ET18">
        <v>3321.59999990463</v>
      </c>
      <c r="EU18">
        <v>0</v>
      </c>
      <c r="EV18">
        <v>328.702115384615</v>
      </c>
      <c r="EW18">
        <v>0.319145294311618</v>
      </c>
      <c r="EX18">
        <v>-0.848546993614835</v>
      </c>
      <c r="EY18">
        <v>5111.08153846154</v>
      </c>
      <c r="EZ18">
        <v>15</v>
      </c>
      <c r="FA18">
        <v>1792393748.1</v>
      </c>
      <c r="FB18" t="s">
        <v>425</v>
      </c>
      <c r="FC18">
        <v>1792393748.1</v>
      </c>
      <c r="FD18">
        <v>1792393743.1</v>
      </c>
      <c r="FE18">
        <v>62</v>
      </c>
      <c r="FF18">
        <v>-0.133</v>
      </c>
      <c r="FG18">
        <v>-0.002</v>
      </c>
      <c r="FH18">
        <v>0.335</v>
      </c>
      <c r="FI18">
        <v>-0.15</v>
      </c>
      <c r="FJ18">
        <v>300</v>
      </c>
      <c r="FK18">
        <v>16</v>
      </c>
      <c r="FL18">
        <v>0.64</v>
      </c>
      <c r="FM18">
        <v>0.05</v>
      </c>
      <c r="FN18">
        <v>12.4475479443614</v>
      </c>
      <c r="FO18">
        <v>0.507974521842346</v>
      </c>
      <c r="FP18">
        <v>0.141716196416324</v>
      </c>
      <c r="FQ18">
        <v>1</v>
      </c>
      <c r="FR18">
        <v>-5.423652</v>
      </c>
      <c r="FS18">
        <v>-0.157897443609018</v>
      </c>
      <c r="FT18">
        <v>0.058894213349021</v>
      </c>
      <c r="FU18">
        <v>1</v>
      </c>
      <c r="FV18">
        <v>328.742588235294</v>
      </c>
      <c r="FW18">
        <v>-0.40990069313642</v>
      </c>
      <c r="FX18">
        <v>0.182350521805583</v>
      </c>
      <c r="FY18">
        <v>1</v>
      </c>
      <c r="FZ18">
        <v>3</v>
      </c>
      <c r="GA18">
        <v>3</v>
      </c>
      <c r="GB18" t="s">
        <v>419</v>
      </c>
      <c r="GC18">
        <v>3.12346</v>
      </c>
      <c r="GD18">
        <v>2.76529</v>
      </c>
      <c r="GE18">
        <v>0.0689611</v>
      </c>
      <c r="GF18">
        <v>0.0717632</v>
      </c>
      <c r="GG18">
        <v>0.0931091</v>
      </c>
      <c r="GH18">
        <v>0.0904112</v>
      </c>
      <c r="GI18">
        <v>18098.4</v>
      </c>
      <c r="GJ18">
        <v>27227.3</v>
      </c>
      <c r="GK18">
        <v>22717.3</v>
      </c>
      <c r="GL18">
        <v>30059</v>
      </c>
      <c r="GM18">
        <v>33797.8</v>
      </c>
      <c r="GN18">
        <v>34074.6</v>
      </c>
      <c r="GO18">
        <v>42987.7</v>
      </c>
      <c r="GP18">
        <v>42828.9</v>
      </c>
      <c r="GQ18">
        <v>1.95745</v>
      </c>
      <c r="GR18">
        <v>1.8058</v>
      </c>
      <c r="GS18">
        <v>0.0667423</v>
      </c>
      <c r="GT18">
        <v>0</v>
      </c>
      <c r="GU18">
        <v>23.92</v>
      </c>
      <c r="GV18">
        <v>999.9</v>
      </c>
      <c r="GW18">
        <v>40.831</v>
      </c>
      <c r="GX18">
        <v>32.539</v>
      </c>
      <c r="GY18">
        <v>19.8438</v>
      </c>
      <c r="GZ18">
        <v>63.0019</v>
      </c>
      <c r="HA18">
        <v>33.3373</v>
      </c>
      <c r="HB18">
        <v>1</v>
      </c>
      <c r="HC18">
        <v>0.128051</v>
      </c>
      <c r="HD18">
        <v>2.57544</v>
      </c>
      <c r="HE18">
        <v>20.2187</v>
      </c>
      <c r="HF18">
        <v>5.22972</v>
      </c>
      <c r="HG18">
        <v>11.962</v>
      </c>
      <c r="HH18">
        <v>4.9688</v>
      </c>
      <c r="HI18">
        <v>3.29513</v>
      </c>
      <c r="HJ18">
        <v>999.9</v>
      </c>
      <c r="HK18">
        <v>9999</v>
      </c>
      <c r="HL18">
        <v>9999</v>
      </c>
      <c r="HM18">
        <v>9999</v>
      </c>
      <c r="HN18">
        <v>4.96856</v>
      </c>
      <c r="HO18">
        <v>1.86246</v>
      </c>
      <c r="HP18">
        <v>1.86394</v>
      </c>
      <c r="HQ18">
        <v>1.86586</v>
      </c>
      <c r="HR18">
        <v>1.86294</v>
      </c>
      <c r="HS18">
        <v>1.8666</v>
      </c>
      <c r="HT18">
        <v>1.86336</v>
      </c>
      <c r="HU18">
        <v>1.8653</v>
      </c>
      <c r="HV18">
        <v>0</v>
      </c>
      <c r="HW18">
        <v>0</v>
      </c>
      <c r="HX18">
        <v>0</v>
      </c>
      <c r="HY18">
        <v>0</v>
      </c>
      <c r="HZ18" t="s">
        <v>420</v>
      </c>
      <c r="IA18" t="s">
        <v>421</v>
      </c>
      <c r="IB18" t="s">
        <v>422</v>
      </c>
      <c r="IC18" t="s">
        <v>422</v>
      </c>
      <c r="ID18" t="s">
        <v>422</v>
      </c>
      <c r="IE18" t="s">
        <v>422</v>
      </c>
      <c r="IF18">
        <v>0</v>
      </c>
      <c r="IG18">
        <v>100</v>
      </c>
      <c r="IH18">
        <v>100</v>
      </c>
      <c r="II18">
        <v>0.333</v>
      </c>
      <c r="IJ18">
        <v>-0.0926</v>
      </c>
      <c r="IK18">
        <v>0.247322914371777</v>
      </c>
      <c r="IL18">
        <v>0.000216929631606078</v>
      </c>
      <c r="IM18">
        <v>2.72263024731635e-07</v>
      </c>
      <c r="IN18">
        <v>-5.43792051235154e-11</v>
      </c>
      <c r="IO18">
        <v>-0.00481765116345014</v>
      </c>
      <c r="IP18">
        <v>-0.0584433849545669</v>
      </c>
      <c r="IQ18">
        <v>0.00341568706061026</v>
      </c>
      <c r="IR18">
        <v>-2.10952612506686e-05</v>
      </c>
      <c r="IS18">
        <v>-0</v>
      </c>
      <c r="IT18">
        <v>1734</v>
      </c>
      <c r="IU18">
        <v>2</v>
      </c>
      <c r="IV18">
        <v>19</v>
      </c>
      <c r="IW18">
        <v>0.9</v>
      </c>
      <c r="IX18">
        <v>1</v>
      </c>
      <c r="IY18">
        <v>0.849609</v>
      </c>
      <c r="IZ18">
        <v>2.56592</v>
      </c>
      <c r="JA18">
        <v>1.34644</v>
      </c>
      <c r="JB18">
        <v>2.2583</v>
      </c>
      <c r="JC18">
        <v>1.55029</v>
      </c>
      <c r="JD18">
        <v>2.72095</v>
      </c>
      <c r="JE18">
        <v>36.4814</v>
      </c>
      <c r="JF18">
        <v>15.5855</v>
      </c>
      <c r="JG18">
        <v>18</v>
      </c>
      <c r="JH18">
        <v>498.145</v>
      </c>
      <c r="JI18">
        <v>477.608</v>
      </c>
      <c r="JJ18">
        <v>21.3545</v>
      </c>
      <c r="JK18">
        <v>28.8593</v>
      </c>
      <c r="JL18">
        <v>30.0002</v>
      </c>
      <c r="JM18">
        <v>28.8517</v>
      </c>
      <c r="JN18">
        <v>28.8658</v>
      </c>
      <c r="JO18">
        <v>17.017</v>
      </c>
      <c r="JP18">
        <v>28.8012</v>
      </c>
      <c r="JQ18">
        <v>35.4306</v>
      </c>
      <c r="JR18">
        <v>21.3536</v>
      </c>
      <c r="JS18">
        <v>300</v>
      </c>
      <c r="JT18">
        <v>15.9569</v>
      </c>
      <c r="JU18">
        <v>101.501</v>
      </c>
      <c r="JV18">
        <v>97.2386</v>
      </c>
    </row>
    <row r="19" spans="1:282">
      <c r="A19">
        <v>3</v>
      </c>
      <c r="B19">
        <v>1792393923</v>
      </c>
      <c r="C19">
        <v>242.900000095367</v>
      </c>
      <c r="D19" t="s">
        <v>426</v>
      </c>
      <c r="E19" t="s">
        <v>427</v>
      </c>
      <c r="F19">
        <v>5</v>
      </c>
      <c r="G19">
        <v>1792393920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416</v>
      </c>
      <c r="AK19" t="s">
        <v>416</v>
      </c>
      <c r="AL19">
        <v>0</v>
      </c>
      <c r="AM19">
        <v>0</v>
      </c>
      <c r="AN19">
        <f>1-AL19/AM19</f>
        <v>0</v>
      </c>
      <c r="AO19">
        <v>0</v>
      </c>
      <c r="AP19" t="s">
        <v>416</v>
      </c>
      <c r="AQ19" t="s">
        <v>416</v>
      </c>
      <c r="AR19">
        <v>0</v>
      </c>
      <c r="AS19">
        <v>0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416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1211</v>
      </c>
      <c r="BM19">
        <v>290</v>
      </c>
      <c r="BN19">
        <v>854.02</v>
      </c>
      <c r="BO19">
        <v>135</v>
      </c>
      <c r="BP19">
        <v>8118.76</v>
      </c>
      <c r="BQ19">
        <v>850.06</v>
      </c>
      <c r="BR19">
        <v>3.96</v>
      </c>
      <c r="BS19">
        <v>300</v>
      </c>
      <c r="BT19">
        <v>19.3</v>
      </c>
      <c r="BU19">
        <v>879.257022088825</v>
      </c>
      <c r="BV19">
        <v>1.85043100621219</v>
      </c>
      <c r="BW19">
        <v>-23.7015574963064</v>
      </c>
      <c r="BX19">
        <v>1.34141796524398</v>
      </c>
      <c r="BY19">
        <v>0.917694192479961</v>
      </c>
      <c r="BZ19">
        <v>-0.00537916729699666</v>
      </c>
      <c r="CA19">
        <v>290</v>
      </c>
      <c r="CB19">
        <v>841.85</v>
      </c>
      <c r="CC19">
        <v>615</v>
      </c>
      <c r="CD19">
        <v>8099.98</v>
      </c>
      <c r="CE19">
        <v>850</v>
      </c>
      <c r="CF19">
        <v>-8.15</v>
      </c>
      <c r="CT19">
        <f>$B$11*DR19+$C$11*DS19+$F$11*ED19*(1-EG19)</f>
        <v>0</v>
      </c>
      <c r="CU19">
        <f>CT19*CV19</f>
        <v>0</v>
      </c>
      <c r="CV19">
        <f>($B$11*$D$9+$C$11*$D$9+$F$11*((EQ19+EI19)/MAX(EQ19+EI19+ER19, 0.1)*$I$9+ER19/MAX(EQ19+EI19+ER19, 0.1)*$J$9))/($B$11+$C$11+$F$11)</f>
        <v>0</v>
      </c>
      <c r="CW19">
        <f>($B$11*$K$9+$C$11*$K$9+$F$11*((EQ19+EI19)/MAX(EQ19+EI19+ER19, 0.1)*$P$9+ER19/MAX(EQ19+EI19+ER19, 0.1)*$Q$9))/($B$11+$C$11+$F$11)</f>
        <v>0</v>
      </c>
      <c r="CX19">
        <v>2</v>
      </c>
      <c r="CY19">
        <v>0.5</v>
      </c>
      <c r="CZ19" t="s">
        <v>417</v>
      </c>
      <c r="DA19">
        <v>2</v>
      </c>
      <c r="DB19">
        <v>1792393920</v>
      </c>
      <c r="DC19">
        <v>196.6498</v>
      </c>
      <c r="DD19">
        <v>199.9792</v>
      </c>
      <c r="DE19">
        <v>17.40734</v>
      </c>
      <c r="DF19">
        <v>15.84114</v>
      </c>
      <c r="DG19">
        <v>196.461</v>
      </c>
      <c r="DH19">
        <v>17.50498</v>
      </c>
      <c r="DI19">
        <v>499.9932</v>
      </c>
      <c r="DJ19">
        <v>101.2886</v>
      </c>
      <c r="DK19">
        <v>0.09994904</v>
      </c>
      <c r="DL19">
        <v>25.16616</v>
      </c>
      <c r="DM19">
        <v>25.01306</v>
      </c>
      <c r="DN19">
        <v>999.9</v>
      </c>
      <c r="DO19">
        <v>0</v>
      </c>
      <c r="DP19">
        <v>0</v>
      </c>
      <c r="DQ19">
        <v>10008.75</v>
      </c>
      <c r="DR19">
        <v>0</v>
      </c>
      <c r="DS19">
        <v>6.43809</v>
      </c>
      <c r="DT19">
        <v>-3.329544</v>
      </c>
      <c r="DU19">
        <v>200.1336</v>
      </c>
      <c r="DV19">
        <v>203.1982</v>
      </c>
      <c r="DW19">
        <v>1.56619</v>
      </c>
      <c r="DX19">
        <v>199.9792</v>
      </c>
      <c r="DY19">
        <v>15.84114</v>
      </c>
      <c r="DZ19">
        <v>1.763162</v>
      </c>
      <c r="EA19">
        <v>1.604526</v>
      </c>
      <c r="EB19">
        <v>15.464</v>
      </c>
      <c r="EC19">
        <v>14.00236</v>
      </c>
      <c r="ED19">
        <v>1500.006</v>
      </c>
      <c r="EE19">
        <v>0.9730068</v>
      </c>
      <c r="EF19">
        <v>0.02699312</v>
      </c>
      <c r="EG19">
        <v>0</v>
      </c>
      <c r="EH19">
        <v>328.6666</v>
      </c>
      <c r="EI19">
        <v>5.00064</v>
      </c>
      <c r="EJ19">
        <v>5111.546</v>
      </c>
      <c r="EK19">
        <v>15439.32</v>
      </c>
      <c r="EL19">
        <v>41.375</v>
      </c>
      <c r="EM19">
        <v>42.0124</v>
      </c>
      <c r="EN19">
        <v>41.687</v>
      </c>
      <c r="EO19">
        <v>41.687</v>
      </c>
      <c r="EP19">
        <v>42.8372</v>
      </c>
      <c r="EQ19">
        <v>1454.646</v>
      </c>
      <c r="ER19">
        <v>40.352</v>
      </c>
      <c r="ES19">
        <v>0</v>
      </c>
      <c r="ET19">
        <v>3444</v>
      </c>
      <c r="EU19">
        <v>0</v>
      </c>
      <c r="EV19">
        <v>328.730769230769</v>
      </c>
      <c r="EW19">
        <v>-0.250461539388256</v>
      </c>
      <c r="EX19">
        <v>0.33401712790647</v>
      </c>
      <c r="EY19">
        <v>5111.55807692308</v>
      </c>
      <c r="EZ19">
        <v>15</v>
      </c>
      <c r="FA19">
        <v>1792393874</v>
      </c>
      <c r="FB19" t="s">
        <v>428</v>
      </c>
      <c r="FC19">
        <v>1792393874</v>
      </c>
      <c r="FD19">
        <v>1792393863</v>
      </c>
      <c r="FE19">
        <v>63</v>
      </c>
      <c r="FF19">
        <v>-0.111</v>
      </c>
      <c r="FG19">
        <v>-0.003</v>
      </c>
      <c r="FH19">
        <v>0.19</v>
      </c>
      <c r="FI19">
        <v>-0.151</v>
      </c>
      <c r="FJ19">
        <v>200</v>
      </c>
      <c r="FK19">
        <v>16</v>
      </c>
      <c r="FL19">
        <v>0.53</v>
      </c>
      <c r="FM19">
        <v>0.03</v>
      </c>
      <c r="FN19">
        <v>7.55117770050673</v>
      </c>
      <c r="FO19">
        <v>0.296703453870211</v>
      </c>
      <c r="FP19">
        <v>0.0571352783241713</v>
      </c>
      <c r="FQ19">
        <v>1</v>
      </c>
      <c r="FR19">
        <v>-3.33841904761905</v>
      </c>
      <c r="FS19">
        <v>-0.0459529870129849</v>
      </c>
      <c r="FT19">
        <v>0.020529146505294</v>
      </c>
      <c r="FU19">
        <v>1</v>
      </c>
      <c r="FV19">
        <v>328.676970588235</v>
      </c>
      <c r="FW19">
        <v>0.304003054542665</v>
      </c>
      <c r="FX19">
        <v>0.199731508795024</v>
      </c>
      <c r="FY19">
        <v>1</v>
      </c>
      <c r="FZ19">
        <v>3</v>
      </c>
      <c r="GA19">
        <v>3</v>
      </c>
      <c r="GB19" t="s">
        <v>419</v>
      </c>
      <c r="GC19">
        <v>3.12327</v>
      </c>
      <c r="GD19">
        <v>2.76536</v>
      </c>
      <c r="GE19">
        <v>0.0490458</v>
      </c>
      <c r="GF19">
        <v>0.051052</v>
      </c>
      <c r="GG19">
        <v>0.0929215</v>
      </c>
      <c r="GH19">
        <v>0.0898719</v>
      </c>
      <c r="GI19">
        <v>18484.4</v>
      </c>
      <c r="GJ19">
        <v>27834.4</v>
      </c>
      <c r="GK19">
        <v>22716.1</v>
      </c>
      <c r="GL19">
        <v>30058.6</v>
      </c>
      <c r="GM19">
        <v>33802.2</v>
      </c>
      <c r="GN19">
        <v>34093.5</v>
      </c>
      <c r="GO19">
        <v>42985.6</v>
      </c>
      <c r="GP19">
        <v>42828.9</v>
      </c>
      <c r="GQ19">
        <v>1.95688</v>
      </c>
      <c r="GR19">
        <v>1.8048</v>
      </c>
      <c r="GS19">
        <v>0.0646561</v>
      </c>
      <c r="GT19">
        <v>0</v>
      </c>
      <c r="GU19">
        <v>23.9507</v>
      </c>
      <c r="GV19">
        <v>999.9</v>
      </c>
      <c r="GW19">
        <v>40.758</v>
      </c>
      <c r="GX19">
        <v>32.539</v>
      </c>
      <c r="GY19">
        <v>19.8073</v>
      </c>
      <c r="GZ19">
        <v>63.042</v>
      </c>
      <c r="HA19">
        <v>33.8301</v>
      </c>
      <c r="HB19">
        <v>1</v>
      </c>
      <c r="HC19">
        <v>0.129715</v>
      </c>
      <c r="HD19">
        <v>2.61652</v>
      </c>
      <c r="HE19">
        <v>20.2182</v>
      </c>
      <c r="HF19">
        <v>5.23436</v>
      </c>
      <c r="HG19">
        <v>11.962</v>
      </c>
      <c r="HH19">
        <v>4.969</v>
      </c>
      <c r="HI19">
        <v>3.29523</v>
      </c>
      <c r="HJ19">
        <v>999.9</v>
      </c>
      <c r="HK19">
        <v>9999</v>
      </c>
      <c r="HL19">
        <v>9999</v>
      </c>
      <c r="HM19">
        <v>9999</v>
      </c>
      <c r="HN19">
        <v>4.96852</v>
      </c>
      <c r="HO19">
        <v>1.8624</v>
      </c>
      <c r="HP19">
        <v>1.86396</v>
      </c>
      <c r="HQ19">
        <v>1.86584</v>
      </c>
      <c r="HR19">
        <v>1.86295</v>
      </c>
      <c r="HS19">
        <v>1.8666</v>
      </c>
      <c r="HT19">
        <v>1.86337</v>
      </c>
      <c r="HU19">
        <v>1.8653</v>
      </c>
      <c r="HV19">
        <v>0</v>
      </c>
      <c r="HW19">
        <v>0</v>
      </c>
      <c r="HX19">
        <v>0</v>
      </c>
      <c r="HY19">
        <v>0</v>
      </c>
      <c r="HZ19" t="s">
        <v>420</v>
      </c>
      <c r="IA19" t="s">
        <v>421</v>
      </c>
      <c r="IB19" t="s">
        <v>422</v>
      </c>
      <c r="IC19" t="s">
        <v>422</v>
      </c>
      <c r="ID19" t="s">
        <v>422</v>
      </c>
      <c r="IE19" t="s">
        <v>422</v>
      </c>
      <c r="IF19">
        <v>0</v>
      </c>
      <c r="IG19">
        <v>100</v>
      </c>
      <c r="IH19">
        <v>100</v>
      </c>
      <c r="II19">
        <v>0.189</v>
      </c>
      <c r="IJ19">
        <v>-0.0978</v>
      </c>
      <c r="IK19">
        <v>0.136224527999028</v>
      </c>
      <c r="IL19">
        <v>0.000216929631606078</v>
      </c>
      <c r="IM19">
        <v>2.72263024731635e-07</v>
      </c>
      <c r="IN19">
        <v>-5.43792051235154e-11</v>
      </c>
      <c r="IO19">
        <v>-0.00806918885464716</v>
      </c>
      <c r="IP19">
        <v>-0.0584433849545669</v>
      </c>
      <c r="IQ19">
        <v>0.00341568706061026</v>
      </c>
      <c r="IR19">
        <v>-2.10952612506686e-05</v>
      </c>
      <c r="IS19">
        <v>-0</v>
      </c>
      <c r="IT19">
        <v>1734</v>
      </c>
      <c r="IU19">
        <v>2</v>
      </c>
      <c r="IV19">
        <v>19</v>
      </c>
      <c r="IW19">
        <v>0.8</v>
      </c>
      <c r="IX19">
        <v>1</v>
      </c>
      <c r="IY19">
        <v>0.634766</v>
      </c>
      <c r="IZ19">
        <v>2.56958</v>
      </c>
      <c r="JA19">
        <v>1.34644</v>
      </c>
      <c r="JB19">
        <v>2.2583</v>
      </c>
      <c r="JC19">
        <v>1.55029</v>
      </c>
      <c r="JD19">
        <v>2.72949</v>
      </c>
      <c r="JE19">
        <v>36.4814</v>
      </c>
      <c r="JF19">
        <v>15.5592</v>
      </c>
      <c r="JG19">
        <v>18</v>
      </c>
      <c r="JH19">
        <v>498.058</v>
      </c>
      <c r="JI19">
        <v>477.174</v>
      </c>
      <c r="JJ19">
        <v>21.4095</v>
      </c>
      <c r="JK19">
        <v>28.8948</v>
      </c>
      <c r="JL19">
        <v>30</v>
      </c>
      <c r="JM19">
        <v>28.8837</v>
      </c>
      <c r="JN19">
        <v>28.8959</v>
      </c>
      <c r="JO19">
        <v>12.7224</v>
      </c>
      <c r="JP19">
        <v>29.4227</v>
      </c>
      <c r="JQ19">
        <v>35.0584</v>
      </c>
      <c r="JR19">
        <v>21.4011</v>
      </c>
      <c r="JS19">
        <v>200</v>
      </c>
      <c r="JT19">
        <v>15.8746</v>
      </c>
      <c r="JU19">
        <v>101.496</v>
      </c>
      <c r="JV19">
        <v>97.238</v>
      </c>
    </row>
    <row r="20" spans="1:282">
      <c r="A20">
        <v>4</v>
      </c>
      <c r="B20">
        <v>1792394044</v>
      </c>
      <c r="C20">
        <v>363.900000095367</v>
      </c>
      <c r="D20" t="s">
        <v>429</v>
      </c>
      <c r="E20" t="s">
        <v>430</v>
      </c>
      <c r="F20">
        <v>5</v>
      </c>
      <c r="G20">
        <v>1792394040.5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416</v>
      </c>
      <c r="AK20" t="s">
        <v>416</v>
      </c>
      <c r="AL20">
        <v>0</v>
      </c>
      <c r="AM20">
        <v>0</v>
      </c>
      <c r="AN20">
        <f>1-AL20/AM20</f>
        <v>0</v>
      </c>
      <c r="AO20">
        <v>0</v>
      </c>
      <c r="AP20" t="s">
        <v>416</v>
      </c>
      <c r="AQ20" t="s">
        <v>416</v>
      </c>
      <c r="AR20">
        <v>0</v>
      </c>
      <c r="AS20">
        <v>0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416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1211</v>
      </c>
      <c r="BM20">
        <v>290</v>
      </c>
      <c r="BN20">
        <v>854.02</v>
      </c>
      <c r="BO20">
        <v>135</v>
      </c>
      <c r="BP20">
        <v>8118.76</v>
      </c>
      <c r="BQ20">
        <v>850.06</v>
      </c>
      <c r="BR20">
        <v>3.96</v>
      </c>
      <c r="BS20">
        <v>300</v>
      </c>
      <c r="BT20">
        <v>19.3</v>
      </c>
      <c r="BU20">
        <v>879.257022088825</v>
      </c>
      <c r="BV20">
        <v>1.85043100621219</v>
      </c>
      <c r="BW20">
        <v>-23.7015574963064</v>
      </c>
      <c r="BX20">
        <v>1.34141796524398</v>
      </c>
      <c r="BY20">
        <v>0.917694192479961</v>
      </c>
      <c r="BZ20">
        <v>-0.00537916729699666</v>
      </c>
      <c r="CA20">
        <v>290</v>
      </c>
      <c r="CB20">
        <v>841.85</v>
      </c>
      <c r="CC20">
        <v>615</v>
      </c>
      <c r="CD20">
        <v>8099.98</v>
      </c>
      <c r="CE20">
        <v>850</v>
      </c>
      <c r="CF20">
        <v>-8.15</v>
      </c>
      <c r="CT20">
        <f>$B$11*DR20+$C$11*DS20+$F$11*ED20*(1-EG20)</f>
        <v>0</v>
      </c>
      <c r="CU20">
        <f>CT20*CV20</f>
        <v>0</v>
      </c>
      <c r="CV20">
        <f>($B$11*$D$9+$C$11*$D$9+$F$11*((EQ20+EI20)/MAX(EQ20+EI20+ER20, 0.1)*$I$9+ER20/MAX(EQ20+EI20+ER20, 0.1)*$J$9))/($B$11+$C$11+$F$11)</f>
        <v>0</v>
      </c>
      <c r="CW20">
        <f>($B$11*$K$9+$C$11*$K$9+$F$11*((EQ20+EI20)/MAX(EQ20+EI20+ER20, 0.1)*$P$9+ER20/MAX(EQ20+EI20+ER20, 0.1)*$Q$9))/($B$11+$C$11+$F$11)</f>
        <v>0</v>
      </c>
      <c r="CX20">
        <v>2</v>
      </c>
      <c r="CY20">
        <v>0.5</v>
      </c>
      <c r="CZ20" t="s">
        <v>417</v>
      </c>
      <c r="DA20">
        <v>2</v>
      </c>
      <c r="DB20">
        <v>1792394040.5</v>
      </c>
      <c r="DC20">
        <v>98.8911166666667</v>
      </c>
      <c r="DD20">
        <v>100.007383333333</v>
      </c>
      <c r="DE20">
        <v>17.4887333333333</v>
      </c>
      <c r="DF20">
        <v>15.8437</v>
      </c>
      <c r="DG20">
        <v>99.0226166666667</v>
      </c>
      <c r="DH20">
        <v>17.5826833333333</v>
      </c>
      <c r="DI20">
        <v>500.126</v>
      </c>
      <c r="DJ20">
        <v>101.287666666667</v>
      </c>
      <c r="DK20">
        <v>0.100094033333333</v>
      </c>
      <c r="DL20">
        <v>25.1965</v>
      </c>
      <c r="DM20">
        <v>24.9719333333333</v>
      </c>
      <c r="DN20">
        <v>999.9</v>
      </c>
      <c r="DO20">
        <v>0</v>
      </c>
      <c r="DP20">
        <v>0</v>
      </c>
      <c r="DQ20">
        <v>10005.6083333333</v>
      </c>
      <c r="DR20">
        <v>0</v>
      </c>
      <c r="DS20">
        <v>6.54721</v>
      </c>
      <c r="DT20">
        <v>-1.11613666666667</v>
      </c>
      <c r="DU20">
        <v>100.651333333333</v>
      </c>
      <c r="DV20">
        <v>101.617333333333</v>
      </c>
      <c r="DW20">
        <v>1.64500833333333</v>
      </c>
      <c r="DX20">
        <v>100.007383333333</v>
      </c>
      <c r="DY20">
        <v>15.8437</v>
      </c>
      <c r="DZ20">
        <v>1.77138833333333</v>
      </c>
      <c r="EA20">
        <v>1.60477</v>
      </c>
      <c r="EB20">
        <v>15.5365833333333</v>
      </c>
      <c r="EC20">
        <v>14.0047</v>
      </c>
      <c r="ED20">
        <v>1500.005</v>
      </c>
      <c r="EE20">
        <v>0.973006666666667</v>
      </c>
      <c r="EF20">
        <v>0.02699325</v>
      </c>
      <c r="EG20">
        <v>0</v>
      </c>
      <c r="EH20">
        <v>330.353333333333</v>
      </c>
      <c r="EI20">
        <v>5.00064</v>
      </c>
      <c r="EJ20">
        <v>5134.22666666667</v>
      </c>
      <c r="EK20">
        <v>15439.2833333333</v>
      </c>
      <c r="EL20">
        <v>41.375</v>
      </c>
      <c r="EM20">
        <v>42.062</v>
      </c>
      <c r="EN20">
        <v>41.687</v>
      </c>
      <c r="EO20">
        <v>41.687</v>
      </c>
      <c r="EP20">
        <v>42.875</v>
      </c>
      <c r="EQ20">
        <v>1454.645</v>
      </c>
      <c r="ER20">
        <v>40.3583333333333</v>
      </c>
      <c r="ES20">
        <v>0</v>
      </c>
      <c r="ET20">
        <v>3564.59999990463</v>
      </c>
      <c r="EU20">
        <v>0</v>
      </c>
      <c r="EV20">
        <v>330.38284</v>
      </c>
      <c r="EW20">
        <v>-0.123999989914168</v>
      </c>
      <c r="EX20">
        <v>-7.10846153638348</v>
      </c>
      <c r="EY20">
        <v>5134.6912</v>
      </c>
      <c r="EZ20">
        <v>15</v>
      </c>
      <c r="FA20">
        <v>1792393994</v>
      </c>
      <c r="FB20" t="s">
        <v>431</v>
      </c>
      <c r="FC20">
        <v>1792393994</v>
      </c>
      <c r="FD20">
        <v>1792393987</v>
      </c>
      <c r="FE20">
        <v>64</v>
      </c>
      <c r="FF20">
        <v>-0.292</v>
      </c>
      <c r="FG20">
        <v>0</v>
      </c>
      <c r="FH20">
        <v>-0.131</v>
      </c>
      <c r="FI20">
        <v>-0.155</v>
      </c>
      <c r="FJ20">
        <v>100</v>
      </c>
      <c r="FK20">
        <v>16</v>
      </c>
      <c r="FL20">
        <v>0.29</v>
      </c>
      <c r="FM20">
        <v>0.04</v>
      </c>
      <c r="FN20">
        <v>2.34626843774541</v>
      </c>
      <c r="FO20">
        <v>0.215903274596009</v>
      </c>
      <c r="FP20">
        <v>0.0615525833515672</v>
      </c>
      <c r="FQ20">
        <v>1</v>
      </c>
      <c r="FR20">
        <v>-1.10563571428571</v>
      </c>
      <c r="FS20">
        <v>-0.0537187012987033</v>
      </c>
      <c r="FT20">
        <v>0.0234932236575386</v>
      </c>
      <c r="FU20">
        <v>1</v>
      </c>
      <c r="FV20">
        <v>330.315852941176</v>
      </c>
      <c r="FW20">
        <v>0.546203211755269</v>
      </c>
      <c r="FX20">
        <v>0.211364353991887</v>
      </c>
      <c r="FY20">
        <v>1</v>
      </c>
      <c r="FZ20">
        <v>3</v>
      </c>
      <c r="GA20">
        <v>3</v>
      </c>
      <c r="GB20" t="s">
        <v>419</v>
      </c>
      <c r="GC20">
        <v>3.12337</v>
      </c>
      <c r="GD20">
        <v>2.76515</v>
      </c>
      <c r="GE20">
        <v>0.0262722</v>
      </c>
      <c r="GF20">
        <v>0.0272224</v>
      </c>
      <c r="GG20">
        <v>0.093209</v>
      </c>
      <c r="GH20">
        <v>0.0898842</v>
      </c>
      <c r="GI20">
        <v>18927.4</v>
      </c>
      <c r="GJ20">
        <v>28533.3</v>
      </c>
      <c r="GK20">
        <v>22716.4</v>
      </c>
      <c r="GL20">
        <v>30058.5</v>
      </c>
      <c r="GM20">
        <v>33790.2</v>
      </c>
      <c r="GN20">
        <v>34091.6</v>
      </c>
      <c r="GO20">
        <v>42986.1</v>
      </c>
      <c r="GP20">
        <v>42829.2</v>
      </c>
      <c r="GQ20">
        <v>1.9568</v>
      </c>
      <c r="GR20">
        <v>1.80465</v>
      </c>
      <c r="GS20">
        <v>0.061933</v>
      </c>
      <c r="GT20">
        <v>0</v>
      </c>
      <c r="GU20">
        <v>23.958</v>
      </c>
      <c r="GV20">
        <v>999.9</v>
      </c>
      <c r="GW20">
        <v>40.667</v>
      </c>
      <c r="GX20">
        <v>32.549</v>
      </c>
      <c r="GY20">
        <v>19.775</v>
      </c>
      <c r="GZ20">
        <v>63.032</v>
      </c>
      <c r="HA20">
        <v>33.3974</v>
      </c>
      <c r="HB20">
        <v>1</v>
      </c>
      <c r="HC20">
        <v>0.129878</v>
      </c>
      <c r="HD20">
        <v>2.29933</v>
      </c>
      <c r="HE20">
        <v>20.2227</v>
      </c>
      <c r="HF20">
        <v>5.23436</v>
      </c>
      <c r="HG20">
        <v>11.9629</v>
      </c>
      <c r="HH20">
        <v>4.9693</v>
      </c>
      <c r="HI20">
        <v>3.2952</v>
      </c>
      <c r="HJ20">
        <v>999.9</v>
      </c>
      <c r="HK20">
        <v>9999</v>
      </c>
      <c r="HL20">
        <v>9999</v>
      </c>
      <c r="HM20">
        <v>9999</v>
      </c>
      <c r="HN20">
        <v>4.96861</v>
      </c>
      <c r="HO20">
        <v>1.86248</v>
      </c>
      <c r="HP20">
        <v>1.86397</v>
      </c>
      <c r="HQ20">
        <v>1.86586</v>
      </c>
      <c r="HR20">
        <v>1.86295</v>
      </c>
      <c r="HS20">
        <v>1.86661</v>
      </c>
      <c r="HT20">
        <v>1.86338</v>
      </c>
      <c r="HU20">
        <v>1.86531</v>
      </c>
      <c r="HV20">
        <v>0</v>
      </c>
      <c r="HW20">
        <v>0</v>
      </c>
      <c r="HX20">
        <v>0</v>
      </c>
      <c r="HY20">
        <v>0</v>
      </c>
      <c r="HZ20" t="s">
        <v>420</v>
      </c>
      <c r="IA20" t="s">
        <v>421</v>
      </c>
      <c r="IB20" t="s">
        <v>422</v>
      </c>
      <c r="IC20" t="s">
        <v>422</v>
      </c>
      <c r="ID20" t="s">
        <v>422</v>
      </c>
      <c r="IE20" t="s">
        <v>422</v>
      </c>
      <c r="IF20">
        <v>0</v>
      </c>
      <c r="IG20">
        <v>100</v>
      </c>
      <c r="IH20">
        <v>100</v>
      </c>
      <c r="II20">
        <v>-0.131</v>
      </c>
      <c r="IJ20">
        <v>-0.0942</v>
      </c>
      <c r="IK20">
        <v>-0.155584892024911</v>
      </c>
      <c r="IL20">
        <v>0.000216929631606078</v>
      </c>
      <c r="IM20">
        <v>2.72263024731635e-07</v>
      </c>
      <c r="IN20">
        <v>-5.43792051235154e-11</v>
      </c>
      <c r="IO20">
        <v>-0.00766051572972345</v>
      </c>
      <c r="IP20">
        <v>-0.0584433849545669</v>
      </c>
      <c r="IQ20">
        <v>0.00341568706061026</v>
      </c>
      <c r="IR20">
        <v>-2.10952612506686e-05</v>
      </c>
      <c r="IS20">
        <v>-0</v>
      </c>
      <c r="IT20">
        <v>1734</v>
      </c>
      <c r="IU20">
        <v>2</v>
      </c>
      <c r="IV20">
        <v>19</v>
      </c>
      <c r="IW20">
        <v>0.8</v>
      </c>
      <c r="IX20">
        <v>0.9</v>
      </c>
      <c r="IY20">
        <v>0.413818</v>
      </c>
      <c r="IZ20">
        <v>2.59033</v>
      </c>
      <c r="JA20">
        <v>1.34766</v>
      </c>
      <c r="JB20">
        <v>2.2583</v>
      </c>
      <c r="JC20">
        <v>1.55029</v>
      </c>
      <c r="JD20">
        <v>2.6001</v>
      </c>
      <c r="JE20">
        <v>36.5051</v>
      </c>
      <c r="JF20">
        <v>15.533</v>
      </c>
      <c r="JG20">
        <v>18</v>
      </c>
      <c r="JH20">
        <v>498.179</v>
      </c>
      <c r="JI20">
        <v>477.251</v>
      </c>
      <c r="JJ20">
        <v>21.5192</v>
      </c>
      <c r="JK20">
        <v>28.9072</v>
      </c>
      <c r="JL20">
        <v>29.9999</v>
      </c>
      <c r="JM20">
        <v>28.9035</v>
      </c>
      <c r="JN20">
        <v>28.9166</v>
      </c>
      <c r="JO20">
        <v>8.30694</v>
      </c>
      <c r="JP20">
        <v>29.0102</v>
      </c>
      <c r="JQ20">
        <v>34.685</v>
      </c>
      <c r="JR20">
        <v>21.5458</v>
      </c>
      <c r="JS20">
        <v>100</v>
      </c>
      <c r="JT20">
        <v>15.8586</v>
      </c>
      <c r="JU20">
        <v>101.497</v>
      </c>
      <c r="JV20">
        <v>97.2383</v>
      </c>
    </row>
    <row r="21" spans="1:282">
      <c r="A21">
        <v>5</v>
      </c>
      <c r="B21">
        <v>1792394165</v>
      </c>
      <c r="C21">
        <v>484.900000095367</v>
      </c>
      <c r="D21" t="s">
        <v>432</v>
      </c>
      <c r="E21" t="s">
        <v>433</v>
      </c>
      <c r="F21">
        <v>5</v>
      </c>
      <c r="G21">
        <v>1792394162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416</v>
      </c>
      <c r="AK21" t="s">
        <v>416</v>
      </c>
      <c r="AL21">
        <v>0</v>
      </c>
      <c r="AM21">
        <v>0</v>
      </c>
      <c r="AN21">
        <f>1-AL21/AM21</f>
        <v>0</v>
      </c>
      <c r="AO21">
        <v>0</v>
      </c>
      <c r="AP21" t="s">
        <v>416</v>
      </c>
      <c r="AQ21" t="s">
        <v>416</v>
      </c>
      <c r="AR21">
        <v>0</v>
      </c>
      <c r="AS21">
        <v>0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416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1211</v>
      </c>
      <c r="BM21">
        <v>290</v>
      </c>
      <c r="BN21">
        <v>854.02</v>
      </c>
      <c r="BO21">
        <v>135</v>
      </c>
      <c r="BP21">
        <v>8118.76</v>
      </c>
      <c r="BQ21">
        <v>850.06</v>
      </c>
      <c r="BR21">
        <v>3.96</v>
      </c>
      <c r="BS21">
        <v>300</v>
      </c>
      <c r="BT21">
        <v>19.3</v>
      </c>
      <c r="BU21">
        <v>879.257022088825</v>
      </c>
      <c r="BV21">
        <v>1.85043100621219</v>
      </c>
      <c r="BW21">
        <v>-23.7015574963064</v>
      </c>
      <c r="BX21">
        <v>1.34141796524398</v>
      </c>
      <c r="BY21">
        <v>0.917694192479961</v>
      </c>
      <c r="BZ21">
        <v>-0.00537916729699666</v>
      </c>
      <c r="CA21">
        <v>290</v>
      </c>
      <c r="CB21">
        <v>841.85</v>
      </c>
      <c r="CC21">
        <v>615</v>
      </c>
      <c r="CD21">
        <v>8099.98</v>
      </c>
      <c r="CE21">
        <v>850</v>
      </c>
      <c r="CF21">
        <v>-8.15</v>
      </c>
      <c r="CT21">
        <f>$B$11*DR21+$C$11*DS21+$F$11*ED21*(1-EG21)</f>
        <v>0</v>
      </c>
      <c r="CU21">
        <f>CT21*CV21</f>
        <v>0</v>
      </c>
      <c r="CV21">
        <f>($B$11*$D$9+$C$11*$D$9+$F$11*((EQ21+EI21)/MAX(EQ21+EI21+ER21, 0.1)*$I$9+ER21/MAX(EQ21+EI21+ER21, 0.1)*$J$9))/($B$11+$C$11+$F$11)</f>
        <v>0</v>
      </c>
      <c r="CW21">
        <f>($B$11*$K$9+$C$11*$K$9+$F$11*((EQ21+EI21)/MAX(EQ21+EI21+ER21, 0.1)*$P$9+ER21/MAX(EQ21+EI21+ER21, 0.1)*$Q$9))/($B$11+$C$11+$F$11)</f>
        <v>0</v>
      </c>
      <c r="CX21">
        <v>2</v>
      </c>
      <c r="CY21">
        <v>0.5</v>
      </c>
      <c r="CZ21" t="s">
        <v>417</v>
      </c>
      <c r="DA21">
        <v>2</v>
      </c>
      <c r="DB21">
        <v>1792394162</v>
      </c>
      <c r="DC21">
        <v>50.12522</v>
      </c>
      <c r="DD21">
        <v>49.98318</v>
      </c>
      <c r="DE21">
        <v>17.5172</v>
      </c>
      <c r="DF21">
        <v>15.74632</v>
      </c>
      <c r="DG21">
        <v>50.31742</v>
      </c>
      <c r="DH21">
        <v>17.61132</v>
      </c>
      <c r="DI21">
        <v>499.942</v>
      </c>
      <c r="DJ21">
        <v>101.294</v>
      </c>
      <c r="DK21">
        <v>0.09988796</v>
      </c>
      <c r="DL21">
        <v>25.24646</v>
      </c>
      <c r="DM21">
        <v>25.01084</v>
      </c>
      <c r="DN21">
        <v>999.9</v>
      </c>
      <c r="DO21">
        <v>0</v>
      </c>
      <c r="DP21">
        <v>0</v>
      </c>
      <c r="DQ21">
        <v>9999.74</v>
      </c>
      <c r="DR21">
        <v>0</v>
      </c>
      <c r="DS21">
        <v>6.54721</v>
      </c>
      <c r="DT21">
        <v>0.1420594</v>
      </c>
      <c r="DU21">
        <v>51.01892</v>
      </c>
      <c r="DV21">
        <v>50.7828</v>
      </c>
      <c r="DW21">
        <v>1.770886</v>
      </c>
      <c r="DX21">
        <v>49.98318</v>
      </c>
      <c r="DY21">
        <v>15.74632</v>
      </c>
      <c r="DZ21">
        <v>1.774388</v>
      </c>
      <c r="EA21">
        <v>1.595006</v>
      </c>
      <c r="EB21">
        <v>15.56298</v>
      </c>
      <c r="EC21">
        <v>13.91066</v>
      </c>
      <c r="ED21">
        <v>1499.97</v>
      </c>
      <c r="EE21">
        <v>0.973006</v>
      </c>
      <c r="EF21">
        <v>0.0269939</v>
      </c>
      <c r="EG21">
        <v>0</v>
      </c>
      <c r="EH21">
        <v>332.148</v>
      </c>
      <c r="EI21">
        <v>5.00064</v>
      </c>
      <c r="EJ21">
        <v>5159.176</v>
      </c>
      <c r="EK21">
        <v>15438.9</v>
      </c>
      <c r="EL21">
        <v>41.375</v>
      </c>
      <c r="EM21">
        <v>42.062</v>
      </c>
      <c r="EN21">
        <v>41.7122</v>
      </c>
      <c r="EO21">
        <v>41.687</v>
      </c>
      <c r="EP21">
        <v>42.875</v>
      </c>
      <c r="EQ21">
        <v>1454.61</v>
      </c>
      <c r="ER21">
        <v>40.36</v>
      </c>
      <c r="ES21">
        <v>0</v>
      </c>
      <c r="ET21">
        <v>3685.79999995232</v>
      </c>
      <c r="EU21">
        <v>0</v>
      </c>
      <c r="EV21">
        <v>332.16064</v>
      </c>
      <c r="EW21">
        <v>-0.774538458769088</v>
      </c>
      <c r="EX21">
        <v>-4.78999998478147</v>
      </c>
      <c r="EY21">
        <v>5159.5772</v>
      </c>
      <c r="EZ21">
        <v>15</v>
      </c>
      <c r="FA21">
        <v>1792394108</v>
      </c>
      <c r="FB21" t="s">
        <v>434</v>
      </c>
      <c r="FC21">
        <v>1792394108</v>
      </c>
      <c r="FD21">
        <v>1792394107</v>
      </c>
      <c r="FE21">
        <v>65</v>
      </c>
      <c r="FF21">
        <v>-0.048</v>
      </c>
      <c r="FG21">
        <v>-0.001</v>
      </c>
      <c r="FH21">
        <v>-0.192</v>
      </c>
      <c r="FI21">
        <v>-0.156</v>
      </c>
      <c r="FJ21">
        <v>50</v>
      </c>
      <c r="FK21">
        <v>16</v>
      </c>
      <c r="FL21">
        <v>0.21</v>
      </c>
      <c r="FM21">
        <v>0.07</v>
      </c>
      <c r="FN21">
        <v>-0.536782427031433</v>
      </c>
      <c r="FO21">
        <v>-0.104711378715363</v>
      </c>
      <c r="FP21">
        <v>0.0608597804510297</v>
      </c>
      <c r="FQ21">
        <v>1</v>
      </c>
      <c r="FR21">
        <v>0.123833376190476</v>
      </c>
      <c r="FS21">
        <v>0.0400161896103899</v>
      </c>
      <c r="FT21">
        <v>0.0238613985185858</v>
      </c>
      <c r="FU21">
        <v>1</v>
      </c>
      <c r="FV21">
        <v>332.212294117647</v>
      </c>
      <c r="FW21">
        <v>-0.711016043909107</v>
      </c>
      <c r="FX21">
        <v>0.231594032409629</v>
      </c>
      <c r="FY21">
        <v>1</v>
      </c>
      <c r="FZ21">
        <v>3</v>
      </c>
      <c r="GA21">
        <v>3</v>
      </c>
      <c r="GB21" t="s">
        <v>419</v>
      </c>
      <c r="GC21">
        <v>3.12302</v>
      </c>
      <c r="GD21">
        <v>2.7651</v>
      </c>
      <c r="GE21">
        <v>0.0136951</v>
      </c>
      <c r="GF21">
        <v>0.0140003</v>
      </c>
      <c r="GG21">
        <v>0.0933307</v>
      </c>
      <c r="GH21">
        <v>0.0894835</v>
      </c>
      <c r="GI21">
        <v>19170.5</v>
      </c>
      <c r="GJ21">
        <v>28919.3</v>
      </c>
      <c r="GK21">
        <v>22714.9</v>
      </c>
      <c r="GL21">
        <v>30056.7</v>
      </c>
      <c r="GM21">
        <v>33782.7</v>
      </c>
      <c r="GN21">
        <v>34103.8</v>
      </c>
      <c r="GO21">
        <v>42983.3</v>
      </c>
      <c r="GP21">
        <v>42826.7</v>
      </c>
      <c r="GQ21">
        <v>1.9563</v>
      </c>
      <c r="GR21">
        <v>1.80422</v>
      </c>
      <c r="GS21">
        <v>0.0631623</v>
      </c>
      <c r="GT21">
        <v>0</v>
      </c>
      <c r="GU21">
        <v>23.9782</v>
      </c>
      <c r="GV21">
        <v>999.9</v>
      </c>
      <c r="GW21">
        <v>40.575</v>
      </c>
      <c r="GX21">
        <v>32.549</v>
      </c>
      <c r="GY21">
        <v>19.7282</v>
      </c>
      <c r="GZ21">
        <v>63.082</v>
      </c>
      <c r="HA21">
        <v>34.0345</v>
      </c>
      <c r="HB21">
        <v>1</v>
      </c>
      <c r="HC21">
        <v>0.131352</v>
      </c>
      <c r="HD21">
        <v>2.38594</v>
      </c>
      <c r="HE21">
        <v>20.2214</v>
      </c>
      <c r="HF21">
        <v>5.23316</v>
      </c>
      <c r="HG21">
        <v>11.962</v>
      </c>
      <c r="HH21">
        <v>4.96745</v>
      </c>
      <c r="HI21">
        <v>3.29503</v>
      </c>
      <c r="HJ21">
        <v>999.9</v>
      </c>
      <c r="HK21">
        <v>9999</v>
      </c>
      <c r="HL21">
        <v>9999</v>
      </c>
      <c r="HM21">
        <v>9999</v>
      </c>
      <c r="HN21">
        <v>4.96855</v>
      </c>
      <c r="HO21">
        <v>1.86246</v>
      </c>
      <c r="HP21">
        <v>1.86398</v>
      </c>
      <c r="HQ21">
        <v>1.86586</v>
      </c>
      <c r="HR21">
        <v>1.86295</v>
      </c>
      <c r="HS21">
        <v>1.86661</v>
      </c>
      <c r="HT21">
        <v>1.8634</v>
      </c>
      <c r="HU21">
        <v>1.86531</v>
      </c>
      <c r="HV21">
        <v>0</v>
      </c>
      <c r="HW21">
        <v>0</v>
      </c>
      <c r="HX21">
        <v>0</v>
      </c>
      <c r="HY21">
        <v>0</v>
      </c>
      <c r="HZ21" t="s">
        <v>420</v>
      </c>
      <c r="IA21" t="s">
        <v>421</v>
      </c>
      <c r="IB21" t="s">
        <v>422</v>
      </c>
      <c r="IC21" t="s">
        <v>422</v>
      </c>
      <c r="ID21" t="s">
        <v>422</v>
      </c>
      <c r="IE21" t="s">
        <v>422</v>
      </c>
      <c r="IF21">
        <v>0</v>
      </c>
      <c r="IG21">
        <v>100</v>
      </c>
      <c r="IH21">
        <v>100</v>
      </c>
      <c r="II21">
        <v>-0.192</v>
      </c>
      <c r="IJ21">
        <v>-0.0942</v>
      </c>
      <c r="IK21">
        <v>-0.203804152244023</v>
      </c>
      <c r="IL21">
        <v>0.000216929631606078</v>
      </c>
      <c r="IM21">
        <v>2.72263024731635e-07</v>
      </c>
      <c r="IN21">
        <v>-5.43792051235154e-11</v>
      </c>
      <c r="IO21">
        <v>-0.00899047091635668</v>
      </c>
      <c r="IP21">
        <v>-0.0584433849545669</v>
      </c>
      <c r="IQ21">
        <v>0.00341568706061026</v>
      </c>
      <c r="IR21">
        <v>-2.10952612506686e-05</v>
      </c>
      <c r="IS21">
        <v>-0</v>
      </c>
      <c r="IT21">
        <v>1734</v>
      </c>
      <c r="IU21">
        <v>2</v>
      </c>
      <c r="IV21">
        <v>19</v>
      </c>
      <c r="IW21">
        <v>0.9</v>
      </c>
      <c r="IX21">
        <v>1</v>
      </c>
      <c r="IY21">
        <v>0.301514</v>
      </c>
      <c r="IZ21">
        <v>2.59277</v>
      </c>
      <c r="JA21">
        <v>1.34644</v>
      </c>
      <c r="JB21">
        <v>2.2583</v>
      </c>
      <c r="JC21">
        <v>1.55029</v>
      </c>
      <c r="JD21">
        <v>2.62329</v>
      </c>
      <c r="JE21">
        <v>36.4814</v>
      </c>
      <c r="JF21">
        <v>15.5155</v>
      </c>
      <c r="JG21">
        <v>18</v>
      </c>
      <c r="JH21">
        <v>498.034</v>
      </c>
      <c r="JI21">
        <v>477.149</v>
      </c>
      <c r="JJ21">
        <v>21.6176</v>
      </c>
      <c r="JK21">
        <v>28.9205</v>
      </c>
      <c r="JL21">
        <v>30.0002</v>
      </c>
      <c r="JM21">
        <v>28.9232</v>
      </c>
      <c r="JN21">
        <v>28.9387</v>
      </c>
      <c r="JO21">
        <v>6.06886</v>
      </c>
      <c r="JP21">
        <v>29.4031</v>
      </c>
      <c r="JQ21">
        <v>34.313</v>
      </c>
      <c r="JR21">
        <v>21.6087</v>
      </c>
      <c r="JS21">
        <v>50</v>
      </c>
      <c r="JT21">
        <v>15.7676</v>
      </c>
      <c r="JU21">
        <v>101.49</v>
      </c>
      <c r="JV21">
        <v>97.2325</v>
      </c>
    </row>
    <row r="22" spans="1:282">
      <c r="A22">
        <v>6</v>
      </c>
      <c r="B22">
        <v>1792394314</v>
      </c>
      <c r="C22">
        <v>633.900000095367</v>
      </c>
      <c r="D22" t="s">
        <v>435</v>
      </c>
      <c r="E22" t="s">
        <v>436</v>
      </c>
      <c r="F22">
        <v>5</v>
      </c>
      <c r="G22">
        <v>1792394311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416</v>
      </c>
      <c r="AK22" t="s">
        <v>416</v>
      </c>
      <c r="AL22">
        <v>0</v>
      </c>
      <c r="AM22">
        <v>0</v>
      </c>
      <c r="AN22">
        <f>1-AL22/AM22</f>
        <v>0</v>
      </c>
      <c r="AO22">
        <v>0</v>
      </c>
      <c r="AP22" t="s">
        <v>416</v>
      </c>
      <c r="AQ22" t="s">
        <v>416</v>
      </c>
      <c r="AR22">
        <v>0</v>
      </c>
      <c r="AS22">
        <v>0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416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1211</v>
      </c>
      <c r="BM22">
        <v>290</v>
      </c>
      <c r="BN22">
        <v>854.02</v>
      </c>
      <c r="BO22">
        <v>135</v>
      </c>
      <c r="BP22">
        <v>8118.76</v>
      </c>
      <c r="BQ22">
        <v>850.06</v>
      </c>
      <c r="BR22">
        <v>3.96</v>
      </c>
      <c r="BS22">
        <v>300</v>
      </c>
      <c r="BT22">
        <v>19.3</v>
      </c>
      <c r="BU22">
        <v>879.257022088825</v>
      </c>
      <c r="BV22">
        <v>1.85043100621219</v>
      </c>
      <c r="BW22">
        <v>-23.7015574963064</v>
      </c>
      <c r="BX22">
        <v>1.34141796524398</v>
      </c>
      <c r="BY22">
        <v>0.917694192479961</v>
      </c>
      <c r="BZ22">
        <v>-0.00537916729699666</v>
      </c>
      <c r="CA22">
        <v>290</v>
      </c>
      <c r="CB22">
        <v>841.85</v>
      </c>
      <c r="CC22">
        <v>615</v>
      </c>
      <c r="CD22">
        <v>8099.98</v>
      </c>
      <c r="CE22">
        <v>850</v>
      </c>
      <c r="CF22">
        <v>-8.15</v>
      </c>
      <c r="CT22">
        <f>$B$11*DR22+$C$11*DS22+$F$11*ED22*(1-EG22)</f>
        <v>0</v>
      </c>
      <c r="CU22">
        <f>CT22*CV22</f>
        <v>0</v>
      </c>
      <c r="CV22">
        <f>($B$11*$D$9+$C$11*$D$9+$F$11*((EQ22+EI22)/MAX(EQ22+EI22+ER22, 0.1)*$I$9+ER22/MAX(EQ22+EI22+ER22, 0.1)*$J$9))/($B$11+$C$11+$F$11)</f>
        <v>0</v>
      </c>
      <c r="CW22">
        <f>($B$11*$K$9+$C$11*$K$9+$F$11*((EQ22+EI22)/MAX(EQ22+EI22+ER22, 0.1)*$P$9+ER22/MAX(EQ22+EI22+ER22, 0.1)*$Q$9))/($B$11+$C$11+$F$11)</f>
        <v>0</v>
      </c>
      <c r="CX22">
        <v>2</v>
      </c>
      <c r="CY22">
        <v>0.5</v>
      </c>
      <c r="CZ22" t="s">
        <v>417</v>
      </c>
      <c r="DA22">
        <v>2</v>
      </c>
      <c r="DB22">
        <v>1792394311</v>
      </c>
      <c r="DC22">
        <v>392.0476</v>
      </c>
      <c r="DD22">
        <v>400.03</v>
      </c>
      <c r="DE22">
        <v>17.58744</v>
      </c>
      <c r="DF22">
        <v>15.64408</v>
      </c>
      <c r="DG22">
        <v>391.4866</v>
      </c>
      <c r="DH22">
        <v>17.67216</v>
      </c>
      <c r="DI22">
        <v>500.0122</v>
      </c>
      <c r="DJ22">
        <v>101.3012</v>
      </c>
      <c r="DK22">
        <v>0.0999699</v>
      </c>
      <c r="DL22">
        <v>25.35782</v>
      </c>
      <c r="DM22">
        <v>24.99286</v>
      </c>
      <c r="DN22">
        <v>999.9</v>
      </c>
      <c r="DO22">
        <v>0</v>
      </c>
      <c r="DP22">
        <v>0</v>
      </c>
      <c r="DQ22">
        <v>9996.74</v>
      </c>
      <c r="DR22">
        <v>0</v>
      </c>
      <c r="DS22">
        <v>6.546392</v>
      </c>
      <c r="DT22">
        <v>-7.982322</v>
      </c>
      <c r="DU22">
        <v>399.066</v>
      </c>
      <c r="DV22">
        <v>406.3874</v>
      </c>
      <c r="DW22">
        <v>1.94339</v>
      </c>
      <c r="DX22">
        <v>400.03</v>
      </c>
      <c r="DY22">
        <v>15.64408</v>
      </c>
      <c r="DZ22">
        <v>1.781628</v>
      </c>
      <c r="EA22">
        <v>1.584758</v>
      </c>
      <c r="EB22">
        <v>15.6265</v>
      </c>
      <c r="EC22">
        <v>13.8114</v>
      </c>
      <c r="ED22">
        <v>1499.98</v>
      </c>
      <c r="EE22">
        <v>0.9730034</v>
      </c>
      <c r="EF22">
        <v>0.02699646</v>
      </c>
      <c r="EG22">
        <v>0</v>
      </c>
      <c r="EH22">
        <v>324.4576</v>
      </c>
      <c r="EI22">
        <v>5.00064</v>
      </c>
      <c r="EJ22">
        <v>5049.28</v>
      </c>
      <c r="EK22">
        <v>15439.02</v>
      </c>
      <c r="EL22">
        <v>41.4246</v>
      </c>
      <c r="EM22">
        <v>42.062</v>
      </c>
      <c r="EN22">
        <v>41.75</v>
      </c>
      <c r="EO22">
        <v>41.7122</v>
      </c>
      <c r="EP22">
        <v>42.9246</v>
      </c>
      <c r="EQ22">
        <v>1454.622</v>
      </c>
      <c r="ER22">
        <v>40.356</v>
      </c>
      <c r="ES22">
        <v>0</v>
      </c>
      <c r="ET22">
        <v>3834.59999990463</v>
      </c>
      <c r="EU22">
        <v>0</v>
      </c>
      <c r="EV22">
        <v>324.50224</v>
      </c>
      <c r="EW22">
        <v>1.24938460765234</v>
      </c>
      <c r="EX22">
        <v>15.7953845772238</v>
      </c>
      <c r="EY22">
        <v>5048.3724</v>
      </c>
      <c r="EZ22">
        <v>15</v>
      </c>
      <c r="FA22">
        <v>1792394249</v>
      </c>
      <c r="FB22" t="s">
        <v>437</v>
      </c>
      <c r="FC22">
        <v>1792394249</v>
      </c>
      <c r="FD22">
        <v>1792394239</v>
      </c>
      <c r="FE22">
        <v>66</v>
      </c>
      <c r="FF22">
        <v>0.641</v>
      </c>
      <c r="FG22">
        <v>0.007</v>
      </c>
      <c r="FH22">
        <v>0.564</v>
      </c>
      <c r="FI22">
        <v>-0.154</v>
      </c>
      <c r="FJ22">
        <v>400</v>
      </c>
      <c r="FK22">
        <v>16</v>
      </c>
      <c r="FL22">
        <v>0.14</v>
      </c>
      <c r="FM22">
        <v>0.04</v>
      </c>
      <c r="FN22">
        <v>17.826545089877</v>
      </c>
      <c r="FO22">
        <v>0.144753102416508</v>
      </c>
      <c r="FP22">
        <v>0.148711726838045</v>
      </c>
      <c r="FQ22">
        <v>1</v>
      </c>
      <c r="FR22">
        <v>-7.90859714285714</v>
      </c>
      <c r="FS22">
        <v>-0.197836363636394</v>
      </c>
      <c r="FT22">
        <v>0.0607318175135851</v>
      </c>
      <c r="FU22">
        <v>1</v>
      </c>
      <c r="FV22">
        <v>324.415647058824</v>
      </c>
      <c r="FW22">
        <v>0.89152024273554</v>
      </c>
      <c r="FX22">
        <v>0.202236739891489</v>
      </c>
      <c r="FY22">
        <v>1</v>
      </c>
      <c r="FZ22">
        <v>3</v>
      </c>
      <c r="GA22">
        <v>3</v>
      </c>
      <c r="GB22" t="s">
        <v>419</v>
      </c>
      <c r="GC22">
        <v>3.12326</v>
      </c>
      <c r="GD22">
        <v>2.76532</v>
      </c>
      <c r="GE22">
        <v>0.0863804</v>
      </c>
      <c r="GF22">
        <v>0.089968</v>
      </c>
      <c r="GG22">
        <v>0.0935645</v>
      </c>
      <c r="GH22">
        <v>0.0890668</v>
      </c>
      <c r="GI22">
        <v>17756.1</v>
      </c>
      <c r="GJ22">
        <v>26689.6</v>
      </c>
      <c r="GK22">
        <v>22713</v>
      </c>
      <c r="GL22">
        <v>30055.1</v>
      </c>
      <c r="GM22">
        <v>33776.5</v>
      </c>
      <c r="GN22">
        <v>34123</v>
      </c>
      <c r="GO22">
        <v>42981.1</v>
      </c>
      <c r="GP22">
        <v>42824.4</v>
      </c>
      <c r="GQ22">
        <v>1.95695</v>
      </c>
      <c r="GR22">
        <v>1.80432</v>
      </c>
      <c r="GS22">
        <v>0.059288</v>
      </c>
      <c r="GT22">
        <v>0</v>
      </c>
      <c r="GU22">
        <v>24.037</v>
      </c>
      <c r="GV22">
        <v>999.9</v>
      </c>
      <c r="GW22">
        <v>40.441</v>
      </c>
      <c r="GX22">
        <v>32.559</v>
      </c>
      <c r="GY22">
        <v>19.6746</v>
      </c>
      <c r="GZ22">
        <v>63.122</v>
      </c>
      <c r="HA22">
        <v>33.726</v>
      </c>
      <c r="HB22">
        <v>1</v>
      </c>
      <c r="HC22">
        <v>0.132721</v>
      </c>
      <c r="HD22">
        <v>2.13816</v>
      </c>
      <c r="HE22">
        <v>20.2214</v>
      </c>
      <c r="HF22">
        <v>5.23391</v>
      </c>
      <c r="HG22">
        <v>11.9623</v>
      </c>
      <c r="HH22">
        <v>4.96915</v>
      </c>
      <c r="HI22">
        <v>3.29513</v>
      </c>
      <c r="HJ22">
        <v>999.9</v>
      </c>
      <c r="HK22">
        <v>9999</v>
      </c>
      <c r="HL22">
        <v>9999</v>
      </c>
      <c r="HM22">
        <v>9999</v>
      </c>
      <c r="HN22">
        <v>4.96856</v>
      </c>
      <c r="HO22">
        <v>1.86246</v>
      </c>
      <c r="HP22">
        <v>1.86397</v>
      </c>
      <c r="HQ22">
        <v>1.86585</v>
      </c>
      <c r="HR22">
        <v>1.86295</v>
      </c>
      <c r="HS22">
        <v>1.86661</v>
      </c>
      <c r="HT22">
        <v>1.86337</v>
      </c>
      <c r="HU22">
        <v>1.86533</v>
      </c>
      <c r="HV22">
        <v>0</v>
      </c>
      <c r="HW22">
        <v>0</v>
      </c>
      <c r="HX22">
        <v>0</v>
      </c>
      <c r="HY22">
        <v>0</v>
      </c>
      <c r="HZ22" t="s">
        <v>420</v>
      </c>
      <c r="IA22" t="s">
        <v>421</v>
      </c>
      <c r="IB22" t="s">
        <v>422</v>
      </c>
      <c r="IC22" t="s">
        <v>422</v>
      </c>
      <c r="ID22" t="s">
        <v>422</v>
      </c>
      <c r="IE22" t="s">
        <v>422</v>
      </c>
      <c r="IF22">
        <v>0</v>
      </c>
      <c r="IG22">
        <v>100</v>
      </c>
      <c r="IH22">
        <v>100</v>
      </c>
      <c r="II22">
        <v>0.561</v>
      </c>
      <c r="IJ22">
        <v>-0.0848</v>
      </c>
      <c r="IK22">
        <v>0.437408774281927</v>
      </c>
      <c r="IL22">
        <v>0.000216929631606078</v>
      </c>
      <c r="IM22">
        <v>2.72263024731635e-07</v>
      </c>
      <c r="IN22">
        <v>-5.43792051235154e-11</v>
      </c>
      <c r="IO22">
        <v>-0.00220138920373149</v>
      </c>
      <c r="IP22">
        <v>-0.0584433849545669</v>
      </c>
      <c r="IQ22">
        <v>0.00341568706061026</v>
      </c>
      <c r="IR22">
        <v>-2.10952612506686e-05</v>
      </c>
      <c r="IS22">
        <v>-0</v>
      </c>
      <c r="IT22">
        <v>1734</v>
      </c>
      <c r="IU22">
        <v>2</v>
      </c>
      <c r="IV22">
        <v>19</v>
      </c>
      <c r="IW22">
        <v>1.1</v>
      </c>
      <c r="IX22">
        <v>1.2</v>
      </c>
      <c r="IY22">
        <v>1.05591</v>
      </c>
      <c r="IZ22">
        <v>2.57935</v>
      </c>
      <c r="JA22">
        <v>1.34644</v>
      </c>
      <c r="JB22">
        <v>2.2583</v>
      </c>
      <c r="JC22">
        <v>1.55029</v>
      </c>
      <c r="JD22">
        <v>2.72461</v>
      </c>
      <c r="JE22">
        <v>36.5051</v>
      </c>
      <c r="JF22">
        <v>15.498</v>
      </c>
      <c r="JG22">
        <v>18</v>
      </c>
      <c r="JH22">
        <v>498.692</v>
      </c>
      <c r="JI22">
        <v>477.499</v>
      </c>
      <c r="JJ22">
        <v>21.8697</v>
      </c>
      <c r="JK22">
        <v>28.949</v>
      </c>
      <c r="JL22">
        <v>29.9999</v>
      </c>
      <c r="JM22">
        <v>28.9528</v>
      </c>
      <c r="JN22">
        <v>28.9708</v>
      </c>
      <c r="JO22">
        <v>21.1431</v>
      </c>
      <c r="JP22">
        <v>29.846</v>
      </c>
      <c r="JQ22">
        <v>33.5915</v>
      </c>
      <c r="JR22">
        <v>21.874</v>
      </c>
      <c r="JS22">
        <v>400</v>
      </c>
      <c r="JT22">
        <v>15.657</v>
      </c>
      <c r="JU22">
        <v>101.484</v>
      </c>
      <c r="JV22">
        <v>97.2274</v>
      </c>
    </row>
    <row r="23" spans="1:282">
      <c r="A23">
        <v>7</v>
      </c>
      <c r="B23">
        <v>1792394435</v>
      </c>
      <c r="C23">
        <v>754.900000095367</v>
      </c>
      <c r="D23" t="s">
        <v>438</v>
      </c>
      <c r="E23" t="s">
        <v>439</v>
      </c>
      <c r="F23">
        <v>5</v>
      </c>
      <c r="G23">
        <v>1792394431.5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416</v>
      </c>
      <c r="AK23" t="s">
        <v>416</v>
      </c>
      <c r="AL23">
        <v>0</v>
      </c>
      <c r="AM23">
        <v>0</v>
      </c>
      <c r="AN23">
        <f>1-AL23/AM23</f>
        <v>0</v>
      </c>
      <c r="AO23">
        <v>0</v>
      </c>
      <c r="AP23" t="s">
        <v>416</v>
      </c>
      <c r="AQ23" t="s">
        <v>416</v>
      </c>
      <c r="AR23">
        <v>0</v>
      </c>
      <c r="AS23">
        <v>0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416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1211</v>
      </c>
      <c r="BM23">
        <v>290</v>
      </c>
      <c r="BN23">
        <v>854.02</v>
      </c>
      <c r="BO23">
        <v>135</v>
      </c>
      <c r="BP23">
        <v>8118.76</v>
      </c>
      <c r="BQ23">
        <v>850.06</v>
      </c>
      <c r="BR23">
        <v>3.96</v>
      </c>
      <c r="BS23">
        <v>300</v>
      </c>
      <c r="BT23">
        <v>19.3</v>
      </c>
      <c r="BU23">
        <v>879.257022088825</v>
      </c>
      <c r="BV23">
        <v>1.85043100621219</v>
      </c>
      <c r="BW23">
        <v>-23.7015574963064</v>
      </c>
      <c r="BX23">
        <v>1.34141796524398</v>
      </c>
      <c r="BY23">
        <v>0.917694192479961</v>
      </c>
      <c r="BZ23">
        <v>-0.00537916729699666</v>
      </c>
      <c r="CA23">
        <v>290</v>
      </c>
      <c r="CB23">
        <v>841.85</v>
      </c>
      <c r="CC23">
        <v>615</v>
      </c>
      <c r="CD23">
        <v>8099.98</v>
      </c>
      <c r="CE23">
        <v>850</v>
      </c>
      <c r="CF23">
        <v>-8.15</v>
      </c>
      <c r="CT23">
        <f>$B$11*DR23+$C$11*DS23+$F$11*ED23*(1-EG23)</f>
        <v>0</v>
      </c>
      <c r="CU23">
        <f>CT23*CV23</f>
        <v>0</v>
      </c>
      <c r="CV23">
        <f>($B$11*$D$9+$C$11*$D$9+$F$11*((EQ23+EI23)/MAX(EQ23+EI23+ER23, 0.1)*$I$9+ER23/MAX(EQ23+EI23+ER23, 0.1)*$J$9))/($B$11+$C$11+$F$11)</f>
        <v>0</v>
      </c>
      <c r="CW23">
        <f>($B$11*$K$9+$C$11*$K$9+$F$11*((EQ23+EI23)/MAX(EQ23+EI23+ER23, 0.1)*$P$9+ER23/MAX(EQ23+EI23+ER23, 0.1)*$Q$9))/($B$11+$C$11+$F$11)</f>
        <v>0</v>
      </c>
      <c r="CX23">
        <v>2</v>
      </c>
      <c r="CY23">
        <v>0.5</v>
      </c>
      <c r="CZ23" t="s">
        <v>417</v>
      </c>
      <c r="DA23">
        <v>2</v>
      </c>
      <c r="DB23">
        <v>1792394431.5</v>
      </c>
      <c r="DC23">
        <v>391.614666666667</v>
      </c>
      <c r="DD23">
        <v>399.9885</v>
      </c>
      <c r="DE23">
        <v>17.6692</v>
      </c>
      <c r="DF23">
        <v>15.6123333333333</v>
      </c>
      <c r="DG23">
        <v>391.082</v>
      </c>
      <c r="DH23">
        <v>17.7493833333333</v>
      </c>
      <c r="DI23">
        <v>500.072666666667</v>
      </c>
      <c r="DJ23">
        <v>101.304333333333</v>
      </c>
      <c r="DK23">
        <v>0.0999606166666667</v>
      </c>
      <c r="DL23">
        <v>25.3772333333333</v>
      </c>
      <c r="DM23">
        <v>24.9876166666667</v>
      </c>
      <c r="DN23">
        <v>999.9</v>
      </c>
      <c r="DO23">
        <v>0</v>
      </c>
      <c r="DP23">
        <v>0</v>
      </c>
      <c r="DQ23">
        <v>10002.0833333333</v>
      </c>
      <c r="DR23">
        <v>0</v>
      </c>
      <c r="DS23">
        <v>6.522205</v>
      </c>
      <c r="DT23">
        <v>-8.37381833333333</v>
      </c>
      <c r="DU23">
        <v>398.658666666667</v>
      </c>
      <c r="DV23">
        <v>406.332333333333</v>
      </c>
      <c r="DW23">
        <v>2.05685833333333</v>
      </c>
      <c r="DX23">
        <v>399.9885</v>
      </c>
      <c r="DY23">
        <v>15.6123333333333</v>
      </c>
      <c r="DZ23">
        <v>1.789965</v>
      </c>
      <c r="EA23">
        <v>1.581595</v>
      </c>
      <c r="EB23">
        <v>15.69945</v>
      </c>
      <c r="EC23">
        <v>13.78065</v>
      </c>
      <c r="ED23">
        <v>1500.01833333333</v>
      </c>
      <c r="EE23">
        <v>0.973005166666667</v>
      </c>
      <c r="EF23">
        <v>0.02699475</v>
      </c>
      <c r="EG23">
        <v>0</v>
      </c>
      <c r="EH23">
        <v>326.030166666667</v>
      </c>
      <c r="EI23">
        <v>5.00064</v>
      </c>
      <c r="EJ23">
        <v>5071.44</v>
      </c>
      <c r="EK23">
        <v>15439.4166666667</v>
      </c>
      <c r="EL23">
        <v>41.437</v>
      </c>
      <c r="EM23">
        <v>42.062</v>
      </c>
      <c r="EN23">
        <v>41.75</v>
      </c>
      <c r="EO23">
        <v>41.75</v>
      </c>
      <c r="EP23">
        <v>42.937</v>
      </c>
      <c r="EQ23">
        <v>1454.66333333333</v>
      </c>
      <c r="ER23">
        <v>40.355</v>
      </c>
      <c r="ES23">
        <v>0</v>
      </c>
      <c r="ET23">
        <v>3955.79999995232</v>
      </c>
      <c r="EU23">
        <v>0</v>
      </c>
      <c r="EV23">
        <v>326.01628</v>
      </c>
      <c r="EW23">
        <v>-0.124230757768395</v>
      </c>
      <c r="EX23">
        <v>-5.74153848425915</v>
      </c>
      <c r="EY23">
        <v>5071.6956</v>
      </c>
      <c r="EZ23">
        <v>15</v>
      </c>
      <c r="FA23">
        <v>1792394369</v>
      </c>
      <c r="FB23" t="s">
        <v>440</v>
      </c>
      <c r="FC23">
        <v>1792394369</v>
      </c>
      <c r="FD23">
        <v>1792394369</v>
      </c>
      <c r="FE23">
        <v>67</v>
      </c>
      <c r="FF23">
        <v>-0.028</v>
      </c>
      <c r="FG23">
        <v>0.001</v>
      </c>
      <c r="FH23">
        <v>0.536</v>
      </c>
      <c r="FI23">
        <v>-0.155</v>
      </c>
      <c r="FJ23">
        <v>400</v>
      </c>
      <c r="FK23">
        <v>16</v>
      </c>
      <c r="FL23">
        <v>0.25</v>
      </c>
      <c r="FM23">
        <v>0.04</v>
      </c>
      <c r="FN23">
        <v>18.919062284331</v>
      </c>
      <c r="FO23">
        <v>-0.484665815053416</v>
      </c>
      <c r="FP23">
        <v>0.111450586463028</v>
      </c>
      <c r="FQ23">
        <v>1</v>
      </c>
      <c r="FR23">
        <v>-8.3885085</v>
      </c>
      <c r="FS23">
        <v>0.156288270676703</v>
      </c>
      <c r="FT23">
        <v>0.0455285258134941</v>
      </c>
      <c r="FU23">
        <v>1</v>
      </c>
      <c r="FV23">
        <v>326.001</v>
      </c>
      <c r="FW23">
        <v>0.296653938469081</v>
      </c>
      <c r="FX23">
        <v>0.211061463030247</v>
      </c>
      <c r="FY23">
        <v>1</v>
      </c>
      <c r="FZ23">
        <v>3</v>
      </c>
      <c r="GA23">
        <v>3</v>
      </c>
      <c r="GB23" t="s">
        <v>419</v>
      </c>
      <c r="GC23">
        <v>3.12309</v>
      </c>
      <c r="GD23">
        <v>2.76523</v>
      </c>
      <c r="GE23">
        <v>0.0862941</v>
      </c>
      <c r="GF23">
        <v>0.0899754</v>
      </c>
      <c r="GG23">
        <v>0.0938614</v>
      </c>
      <c r="GH23">
        <v>0.0889326</v>
      </c>
      <c r="GI23">
        <v>17756.8</v>
      </c>
      <c r="GJ23">
        <v>26687.7</v>
      </c>
      <c r="GK23">
        <v>22711.9</v>
      </c>
      <c r="GL23">
        <v>30053.4</v>
      </c>
      <c r="GM23">
        <v>33763.8</v>
      </c>
      <c r="GN23">
        <v>34126.3</v>
      </c>
      <c r="GO23">
        <v>42979.2</v>
      </c>
      <c r="GP23">
        <v>42822.3</v>
      </c>
      <c r="GQ23">
        <v>1.95637</v>
      </c>
      <c r="GR23">
        <v>1.80378</v>
      </c>
      <c r="GS23">
        <v>0.0563823</v>
      </c>
      <c r="GT23">
        <v>0</v>
      </c>
      <c r="GU23">
        <v>24.0732</v>
      </c>
      <c r="GV23">
        <v>999.9</v>
      </c>
      <c r="GW23">
        <v>40.325</v>
      </c>
      <c r="GX23">
        <v>32.559</v>
      </c>
      <c r="GY23">
        <v>19.6165</v>
      </c>
      <c r="GZ23">
        <v>63.052</v>
      </c>
      <c r="HA23">
        <v>33.5096</v>
      </c>
      <c r="HB23">
        <v>1</v>
      </c>
      <c r="HC23">
        <v>0.134914</v>
      </c>
      <c r="HD23">
        <v>2.16564</v>
      </c>
      <c r="HE23">
        <v>20.2253</v>
      </c>
      <c r="HF23">
        <v>5.23047</v>
      </c>
      <c r="HG23">
        <v>11.9622</v>
      </c>
      <c r="HH23">
        <v>4.96935</v>
      </c>
      <c r="HI23">
        <v>3.2952</v>
      </c>
      <c r="HJ23">
        <v>999.9</v>
      </c>
      <c r="HK23">
        <v>9999</v>
      </c>
      <c r="HL23">
        <v>9999</v>
      </c>
      <c r="HM23">
        <v>9999</v>
      </c>
      <c r="HN23">
        <v>4.96853</v>
      </c>
      <c r="HO23">
        <v>1.86247</v>
      </c>
      <c r="HP23">
        <v>1.8639</v>
      </c>
      <c r="HQ23">
        <v>1.86584</v>
      </c>
      <c r="HR23">
        <v>1.86295</v>
      </c>
      <c r="HS23">
        <v>1.86661</v>
      </c>
      <c r="HT23">
        <v>1.86335</v>
      </c>
      <c r="HU23">
        <v>1.86528</v>
      </c>
      <c r="HV23">
        <v>0</v>
      </c>
      <c r="HW23">
        <v>0</v>
      </c>
      <c r="HX23">
        <v>0</v>
      </c>
      <c r="HY23">
        <v>0</v>
      </c>
      <c r="HZ23" t="s">
        <v>420</v>
      </c>
      <c r="IA23" t="s">
        <v>421</v>
      </c>
      <c r="IB23" t="s">
        <v>422</v>
      </c>
      <c r="IC23" t="s">
        <v>422</v>
      </c>
      <c r="ID23" t="s">
        <v>422</v>
      </c>
      <c r="IE23" t="s">
        <v>422</v>
      </c>
      <c r="IF23">
        <v>0</v>
      </c>
      <c r="IG23">
        <v>100</v>
      </c>
      <c r="IH23">
        <v>100</v>
      </c>
      <c r="II23">
        <v>0.533</v>
      </c>
      <c r="IJ23">
        <v>-0.0803</v>
      </c>
      <c r="IK23">
        <v>0.409459258429909</v>
      </c>
      <c r="IL23">
        <v>0.000216929631606078</v>
      </c>
      <c r="IM23">
        <v>2.72263024731635e-07</v>
      </c>
      <c r="IN23">
        <v>-5.43792051235154e-11</v>
      </c>
      <c r="IO23">
        <v>-0.000980895219469501</v>
      </c>
      <c r="IP23">
        <v>-0.0584433849545669</v>
      </c>
      <c r="IQ23">
        <v>0.00341568706061026</v>
      </c>
      <c r="IR23">
        <v>-2.10952612506686e-05</v>
      </c>
      <c r="IS23">
        <v>-0</v>
      </c>
      <c r="IT23">
        <v>1734</v>
      </c>
      <c r="IU23">
        <v>2</v>
      </c>
      <c r="IV23">
        <v>19</v>
      </c>
      <c r="IW23">
        <v>1.1</v>
      </c>
      <c r="IX23">
        <v>1.1</v>
      </c>
      <c r="IY23">
        <v>1.05591</v>
      </c>
      <c r="IZ23">
        <v>2.58789</v>
      </c>
      <c r="JA23">
        <v>1.34766</v>
      </c>
      <c r="JB23">
        <v>2.2583</v>
      </c>
      <c r="JC23">
        <v>1.55029</v>
      </c>
      <c r="JD23">
        <v>2.58301</v>
      </c>
      <c r="JE23">
        <v>36.5287</v>
      </c>
      <c r="JF23">
        <v>15.4629</v>
      </c>
      <c r="JG23">
        <v>18</v>
      </c>
      <c r="JH23">
        <v>498.585</v>
      </c>
      <c r="JI23">
        <v>477.353</v>
      </c>
      <c r="JJ23">
        <v>21.7905</v>
      </c>
      <c r="JK23">
        <v>28.9791</v>
      </c>
      <c r="JL23">
        <v>30</v>
      </c>
      <c r="JM23">
        <v>28.9825</v>
      </c>
      <c r="JN23">
        <v>28.9979</v>
      </c>
      <c r="JO23">
        <v>21.1375</v>
      </c>
      <c r="JP23">
        <v>29.7089</v>
      </c>
      <c r="JQ23">
        <v>33.0892</v>
      </c>
      <c r="JR23">
        <v>21.7927</v>
      </c>
      <c r="JS23">
        <v>400</v>
      </c>
      <c r="JT23">
        <v>15.6188</v>
      </c>
      <c r="JU23">
        <v>101.479</v>
      </c>
      <c r="JV23">
        <v>97.2222</v>
      </c>
    </row>
    <row r="24" spans="1:282">
      <c r="A24">
        <v>8</v>
      </c>
      <c r="B24">
        <v>1792394560</v>
      </c>
      <c r="C24">
        <v>879.900000095367</v>
      </c>
      <c r="D24" t="s">
        <v>441</v>
      </c>
      <c r="E24" t="s">
        <v>442</v>
      </c>
      <c r="F24">
        <v>5</v>
      </c>
      <c r="G24">
        <v>1792394557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416</v>
      </c>
      <c r="AK24" t="s">
        <v>416</v>
      </c>
      <c r="AL24">
        <v>0</v>
      </c>
      <c r="AM24">
        <v>0</v>
      </c>
      <c r="AN24">
        <f>1-AL24/AM24</f>
        <v>0</v>
      </c>
      <c r="AO24">
        <v>0</v>
      </c>
      <c r="AP24" t="s">
        <v>416</v>
      </c>
      <c r="AQ24" t="s">
        <v>416</v>
      </c>
      <c r="AR24">
        <v>0</v>
      </c>
      <c r="AS24">
        <v>0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416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1211</v>
      </c>
      <c r="BM24">
        <v>290</v>
      </c>
      <c r="BN24">
        <v>854.02</v>
      </c>
      <c r="BO24">
        <v>135</v>
      </c>
      <c r="BP24">
        <v>8118.76</v>
      </c>
      <c r="BQ24">
        <v>850.06</v>
      </c>
      <c r="BR24">
        <v>3.96</v>
      </c>
      <c r="BS24">
        <v>300</v>
      </c>
      <c r="BT24">
        <v>19.3</v>
      </c>
      <c r="BU24">
        <v>879.257022088825</v>
      </c>
      <c r="BV24">
        <v>1.85043100621219</v>
      </c>
      <c r="BW24">
        <v>-23.7015574963064</v>
      </c>
      <c r="BX24">
        <v>1.34141796524398</v>
      </c>
      <c r="BY24">
        <v>0.917694192479961</v>
      </c>
      <c r="BZ24">
        <v>-0.00537916729699666</v>
      </c>
      <c r="CA24">
        <v>290</v>
      </c>
      <c r="CB24">
        <v>841.85</v>
      </c>
      <c r="CC24">
        <v>615</v>
      </c>
      <c r="CD24">
        <v>8099.98</v>
      </c>
      <c r="CE24">
        <v>850</v>
      </c>
      <c r="CF24">
        <v>-8.15</v>
      </c>
      <c r="CT24">
        <f>$B$11*DR24+$C$11*DS24+$F$11*ED24*(1-EG24)</f>
        <v>0</v>
      </c>
      <c r="CU24">
        <f>CT24*CV24</f>
        <v>0</v>
      </c>
      <c r="CV24">
        <f>($B$11*$D$9+$C$11*$D$9+$F$11*((EQ24+EI24)/MAX(EQ24+EI24+ER24, 0.1)*$I$9+ER24/MAX(EQ24+EI24+ER24, 0.1)*$J$9))/($B$11+$C$11+$F$11)</f>
        <v>0</v>
      </c>
      <c r="CW24">
        <f>($B$11*$K$9+$C$11*$K$9+$F$11*((EQ24+EI24)/MAX(EQ24+EI24+ER24, 0.1)*$P$9+ER24/MAX(EQ24+EI24+ER24, 0.1)*$Q$9))/($B$11+$C$11+$F$11)</f>
        <v>0</v>
      </c>
      <c r="CX24">
        <v>2</v>
      </c>
      <c r="CY24">
        <v>0.5</v>
      </c>
      <c r="CZ24" t="s">
        <v>417</v>
      </c>
      <c r="DA24">
        <v>2</v>
      </c>
      <c r="DB24">
        <v>1792394557</v>
      </c>
      <c r="DC24">
        <v>688.1898</v>
      </c>
      <c r="DD24">
        <v>699.9774</v>
      </c>
      <c r="DE24">
        <v>17.71026</v>
      </c>
      <c r="DF24">
        <v>15.5518</v>
      </c>
      <c r="DG24">
        <v>687.5778</v>
      </c>
      <c r="DH24">
        <v>17.78464</v>
      </c>
      <c r="DI24">
        <v>500.0492</v>
      </c>
      <c r="DJ24">
        <v>101.3126</v>
      </c>
      <c r="DK24">
        <v>0.10012088</v>
      </c>
      <c r="DL24">
        <v>25.42036</v>
      </c>
      <c r="DM24">
        <v>24.99946</v>
      </c>
      <c r="DN24">
        <v>999.9</v>
      </c>
      <c r="DO24">
        <v>0</v>
      </c>
      <c r="DP24">
        <v>0</v>
      </c>
      <c r="DQ24">
        <v>9988.004</v>
      </c>
      <c r="DR24">
        <v>0</v>
      </c>
      <c r="DS24">
        <v>6.49265</v>
      </c>
      <c r="DT24">
        <v>-11.78762</v>
      </c>
      <c r="DU24">
        <v>700.5976</v>
      </c>
      <c r="DV24">
        <v>711.0354</v>
      </c>
      <c r="DW24">
        <v>2.158462</v>
      </c>
      <c r="DX24">
        <v>699.9774</v>
      </c>
      <c r="DY24">
        <v>15.5518</v>
      </c>
      <c r="DZ24">
        <v>1.794274</v>
      </c>
      <c r="EA24">
        <v>1.575598</v>
      </c>
      <c r="EB24">
        <v>15.737</v>
      </c>
      <c r="EC24">
        <v>13.72218</v>
      </c>
      <c r="ED24">
        <v>1500.014</v>
      </c>
      <c r="EE24">
        <v>0.9729982</v>
      </c>
      <c r="EF24">
        <v>0.02700164</v>
      </c>
      <c r="EG24">
        <v>0</v>
      </c>
      <c r="EH24">
        <v>324.8242</v>
      </c>
      <c r="EI24">
        <v>5.00064</v>
      </c>
      <c r="EJ24">
        <v>5054.42</v>
      </c>
      <c r="EK24">
        <v>15439.34</v>
      </c>
      <c r="EL24">
        <v>41.437</v>
      </c>
      <c r="EM24">
        <v>42.062</v>
      </c>
      <c r="EN24">
        <v>41.75</v>
      </c>
      <c r="EO24">
        <v>41.75</v>
      </c>
      <c r="EP24">
        <v>42.937</v>
      </c>
      <c r="EQ24">
        <v>1454.646</v>
      </c>
      <c r="ER24">
        <v>40.368</v>
      </c>
      <c r="ES24">
        <v>0</v>
      </c>
      <c r="ET24">
        <v>4080.59999990463</v>
      </c>
      <c r="EU24">
        <v>0</v>
      </c>
      <c r="EV24">
        <v>324.81124</v>
      </c>
      <c r="EW24">
        <v>-0.696923050072068</v>
      </c>
      <c r="EX24">
        <v>-3.23307689102596</v>
      </c>
      <c r="EY24">
        <v>5054.6612</v>
      </c>
      <c r="EZ24">
        <v>15</v>
      </c>
      <c r="FA24">
        <v>1792394499</v>
      </c>
      <c r="FB24" t="s">
        <v>443</v>
      </c>
      <c r="FC24">
        <v>1792394494</v>
      </c>
      <c r="FD24">
        <v>1792394499</v>
      </c>
      <c r="FE24">
        <v>68</v>
      </c>
      <c r="FF24">
        <v>-0.058</v>
      </c>
      <c r="FG24">
        <v>0.004</v>
      </c>
      <c r="FH24">
        <v>0.618</v>
      </c>
      <c r="FI24">
        <v>-0.153</v>
      </c>
      <c r="FJ24">
        <v>700</v>
      </c>
      <c r="FK24">
        <v>16</v>
      </c>
      <c r="FL24">
        <v>0.12</v>
      </c>
      <c r="FM24">
        <v>0.03</v>
      </c>
      <c r="FN24">
        <v>25.6274112611176</v>
      </c>
      <c r="FO24">
        <v>0.548224350400415</v>
      </c>
      <c r="FP24">
        <v>0.139012667256451</v>
      </c>
      <c r="FQ24">
        <v>1</v>
      </c>
      <c r="FR24">
        <v>-11.7618333333333</v>
      </c>
      <c r="FS24">
        <v>-0.244519480519492</v>
      </c>
      <c r="FT24">
        <v>0.0571223193251058</v>
      </c>
      <c r="FU24">
        <v>1</v>
      </c>
      <c r="FV24">
        <v>324.841941176471</v>
      </c>
      <c r="FW24">
        <v>-0.273002283132725</v>
      </c>
      <c r="FX24">
        <v>0.250768341793128</v>
      </c>
      <c r="FY24">
        <v>1</v>
      </c>
      <c r="FZ24">
        <v>3</v>
      </c>
      <c r="GA24">
        <v>3</v>
      </c>
      <c r="GB24" t="s">
        <v>419</v>
      </c>
      <c r="GC24">
        <v>3.12334</v>
      </c>
      <c r="GD24">
        <v>2.76554</v>
      </c>
      <c r="GE24">
        <v>0.129687</v>
      </c>
      <c r="GF24">
        <v>0.134571</v>
      </c>
      <c r="GG24">
        <v>0.0939738</v>
      </c>
      <c r="GH24">
        <v>0.0886875</v>
      </c>
      <c r="GI24">
        <v>16911.3</v>
      </c>
      <c r="GJ24">
        <v>25377.7</v>
      </c>
      <c r="GK24">
        <v>22709.2</v>
      </c>
      <c r="GL24">
        <v>30051.1</v>
      </c>
      <c r="GM24">
        <v>33759.1</v>
      </c>
      <c r="GN24">
        <v>34136.6</v>
      </c>
      <c r="GO24">
        <v>42975.3</v>
      </c>
      <c r="GP24">
        <v>42819.6</v>
      </c>
      <c r="GQ24">
        <v>1.95677</v>
      </c>
      <c r="GR24">
        <v>1.80345</v>
      </c>
      <c r="GS24">
        <v>0.0541657</v>
      </c>
      <c r="GT24">
        <v>0</v>
      </c>
      <c r="GU24">
        <v>24.1097</v>
      </c>
      <c r="GV24">
        <v>999.9</v>
      </c>
      <c r="GW24">
        <v>40.215</v>
      </c>
      <c r="GX24">
        <v>32.579</v>
      </c>
      <c r="GY24">
        <v>19.584</v>
      </c>
      <c r="GZ24">
        <v>62.942</v>
      </c>
      <c r="HA24">
        <v>33.5136</v>
      </c>
      <c r="HB24">
        <v>1</v>
      </c>
      <c r="HC24">
        <v>0.138173</v>
      </c>
      <c r="HD24">
        <v>2.15052</v>
      </c>
      <c r="HE24">
        <v>20.2243</v>
      </c>
      <c r="HF24">
        <v>5.23376</v>
      </c>
      <c r="HG24">
        <v>11.9632</v>
      </c>
      <c r="HH24">
        <v>4.96815</v>
      </c>
      <c r="HI24">
        <v>3.29508</v>
      </c>
      <c r="HJ24">
        <v>999.9</v>
      </c>
      <c r="HK24">
        <v>9999</v>
      </c>
      <c r="HL24">
        <v>9999</v>
      </c>
      <c r="HM24">
        <v>9999</v>
      </c>
      <c r="HN24">
        <v>4.96855</v>
      </c>
      <c r="HO24">
        <v>1.86247</v>
      </c>
      <c r="HP24">
        <v>1.86395</v>
      </c>
      <c r="HQ24">
        <v>1.86585</v>
      </c>
      <c r="HR24">
        <v>1.86293</v>
      </c>
      <c r="HS24">
        <v>1.86661</v>
      </c>
      <c r="HT24">
        <v>1.86339</v>
      </c>
      <c r="HU24">
        <v>1.86526</v>
      </c>
      <c r="HV24">
        <v>0</v>
      </c>
      <c r="HW24">
        <v>0</v>
      </c>
      <c r="HX24">
        <v>0</v>
      </c>
      <c r="HY24">
        <v>0</v>
      </c>
      <c r="HZ24" t="s">
        <v>420</v>
      </c>
      <c r="IA24" t="s">
        <v>421</v>
      </c>
      <c r="IB24" t="s">
        <v>422</v>
      </c>
      <c r="IC24" t="s">
        <v>422</v>
      </c>
      <c r="ID24" t="s">
        <v>422</v>
      </c>
      <c r="IE24" t="s">
        <v>422</v>
      </c>
      <c r="IF24">
        <v>0</v>
      </c>
      <c r="IG24">
        <v>100</v>
      </c>
      <c r="IH24">
        <v>100</v>
      </c>
      <c r="II24">
        <v>0.612</v>
      </c>
      <c r="IJ24">
        <v>-0.0747</v>
      </c>
      <c r="IK24">
        <v>0.351977776091627</v>
      </c>
      <c r="IL24">
        <v>0.000216929631606078</v>
      </c>
      <c r="IM24">
        <v>2.72263024731635e-07</v>
      </c>
      <c r="IN24">
        <v>-5.43792051235154e-11</v>
      </c>
      <c r="IO24">
        <v>0.00333365223964411</v>
      </c>
      <c r="IP24">
        <v>-0.0584433849545669</v>
      </c>
      <c r="IQ24">
        <v>0.00341568706061026</v>
      </c>
      <c r="IR24">
        <v>-2.10952612506686e-05</v>
      </c>
      <c r="IS24">
        <v>-0</v>
      </c>
      <c r="IT24">
        <v>1734</v>
      </c>
      <c r="IU24">
        <v>2</v>
      </c>
      <c r="IV24">
        <v>19</v>
      </c>
      <c r="IW24">
        <v>1.1</v>
      </c>
      <c r="IX24">
        <v>1</v>
      </c>
      <c r="IY24">
        <v>1.63818</v>
      </c>
      <c r="IZ24">
        <v>2.56714</v>
      </c>
      <c r="JA24">
        <v>1.34644</v>
      </c>
      <c r="JB24">
        <v>2.2583</v>
      </c>
      <c r="JC24">
        <v>1.55029</v>
      </c>
      <c r="JD24">
        <v>2.5415</v>
      </c>
      <c r="JE24">
        <v>36.5287</v>
      </c>
      <c r="JF24">
        <v>15.4454</v>
      </c>
      <c r="JG24">
        <v>18</v>
      </c>
      <c r="JH24">
        <v>499.066</v>
      </c>
      <c r="JI24">
        <v>477.382</v>
      </c>
      <c r="JJ24">
        <v>21.7805</v>
      </c>
      <c r="JK24">
        <v>29.0089</v>
      </c>
      <c r="JL24">
        <v>29.9998</v>
      </c>
      <c r="JM24">
        <v>29.0097</v>
      </c>
      <c r="JN24">
        <v>29.0272</v>
      </c>
      <c r="JO24">
        <v>32.7914</v>
      </c>
      <c r="JP24">
        <v>29.7909</v>
      </c>
      <c r="JQ24">
        <v>32.5508</v>
      </c>
      <c r="JR24">
        <v>21.832</v>
      </c>
      <c r="JS24">
        <v>700</v>
      </c>
      <c r="JT24">
        <v>15.5425</v>
      </c>
      <c r="JU24">
        <v>101.469</v>
      </c>
      <c r="JV24">
        <v>97.2157</v>
      </c>
    </row>
    <row r="25" spans="1:282">
      <c r="A25">
        <v>9</v>
      </c>
      <c r="B25">
        <v>1792394711</v>
      </c>
      <c r="C25">
        <v>1030.90000009537</v>
      </c>
      <c r="D25" t="s">
        <v>444</v>
      </c>
      <c r="E25" t="s">
        <v>445</v>
      </c>
      <c r="F25">
        <v>5</v>
      </c>
      <c r="G25">
        <v>1792394708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416</v>
      </c>
      <c r="AK25" t="s">
        <v>416</v>
      </c>
      <c r="AL25">
        <v>0</v>
      </c>
      <c r="AM25">
        <v>0</v>
      </c>
      <c r="AN25">
        <f>1-AL25/AM25</f>
        <v>0</v>
      </c>
      <c r="AO25">
        <v>0</v>
      </c>
      <c r="AP25" t="s">
        <v>416</v>
      </c>
      <c r="AQ25" t="s">
        <v>416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416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1211</v>
      </c>
      <c r="BM25">
        <v>290</v>
      </c>
      <c r="BN25">
        <v>854.02</v>
      </c>
      <c r="BO25">
        <v>135</v>
      </c>
      <c r="BP25">
        <v>8118.76</v>
      </c>
      <c r="BQ25">
        <v>850.06</v>
      </c>
      <c r="BR25">
        <v>3.96</v>
      </c>
      <c r="BS25">
        <v>300</v>
      </c>
      <c r="BT25">
        <v>19.3</v>
      </c>
      <c r="BU25">
        <v>879.257022088825</v>
      </c>
      <c r="BV25">
        <v>1.85043100621219</v>
      </c>
      <c r="BW25">
        <v>-23.7015574963064</v>
      </c>
      <c r="BX25">
        <v>1.34141796524398</v>
      </c>
      <c r="BY25">
        <v>0.917694192479961</v>
      </c>
      <c r="BZ25">
        <v>-0.00537916729699666</v>
      </c>
      <c r="CA25">
        <v>290</v>
      </c>
      <c r="CB25">
        <v>841.85</v>
      </c>
      <c r="CC25">
        <v>615</v>
      </c>
      <c r="CD25">
        <v>8099.98</v>
      </c>
      <c r="CE25">
        <v>850</v>
      </c>
      <c r="CF25">
        <v>-8.15</v>
      </c>
      <c r="CT25">
        <f>$B$11*DR25+$C$11*DS25+$F$11*ED25*(1-EG25)</f>
        <v>0</v>
      </c>
      <c r="CU25">
        <f>CT25*CV25</f>
        <v>0</v>
      </c>
      <c r="CV25">
        <f>($B$11*$D$9+$C$11*$D$9+$F$11*((EQ25+EI25)/MAX(EQ25+EI25+ER25, 0.1)*$I$9+ER25/MAX(EQ25+EI25+ER25, 0.1)*$J$9))/($B$11+$C$11+$F$11)</f>
        <v>0</v>
      </c>
      <c r="CW25">
        <f>($B$11*$K$9+$C$11*$K$9+$F$11*((EQ25+EI25)/MAX(EQ25+EI25+ER25, 0.1)*$P$9+ER25/MAX(EQ25+EI25+ER25, 0.1)*$Q$9))/($B$11+$C$11+$F$11)</f>
        <v>0</v>
      </c>
      <c r="CX25">
        <v>2</v>
      </c>
      <c r="CY25">
        <v>0.5</v>
      </c>
      <c r="CZ25" t="s">
        <v>417</v>
      </c>
      <c r="DA25">
        <v>2</v>
      </c>
      <c r="DB25">
        <v>1792394708</v>
      </c>
      <c r="DC25">
        <v>986.8098</v>
      </c>
      <c r="DD25">
        <v>999.991</v>
      </c>
      <c r="DE25">
        <v>17.67628</v>
      </c>
      <c r="DF25">
        <v>15.53958</v>
      </c>
      <c r="DG25">
        <v>986.3048</v>
      </c>
      <c r="DH25">
        <v>17.75048</v>
      </c>
      <c r="DI25">
        <v>499.9406</v>
      </c>
      <c r="DJ25">
        <v>101.3166</v>
      </c>
      <c r="DK25">
        <v>0.0999847</v>
      </c>
      <c r="DL25">
        <v>25.4348</v>
      </c>
      <c r="DM25">
        <v>25.01812</v>
      </c>
      <c r="DN25">
        <v>999.9</v>
      </c>
      <c r="DO25">
        <v>0</v>
      </c>
      <c r="DP25">
        <v>0</v>
      </c>
      <c r="DQ25">
        <v>9998.25</v>
      </c>
      <c r="DR25">
        <v>0</v>
      </c>
      <c r="DS25">
        <v>6.49265</v>
      </c>
      <c r="DT25">
        <v>-13.18134</v>
      </c>
      <c r="DU25">
        <v>1004.566</v>
      </c>
      <c r="DV25">
        <v>1015.774</v>
      </c>
      <c r="DW25">
        <v>2.136682</v>
      </c>
      <c r="DX25">
        <v>999.991</v>
      </c>
      <c r="DY25">
        <v>15.53958</v>
      </c>
      <c r="DZ25">
        <v>1.790902</v>
      </c>
      <c r="EA25">
        <v>1.574424</v>
      </c>
      <c r="EB25">
        <v>15.7076</v>
      </c>
      <c r="EC25">
        <v>13.71072</v>
      </c>
      <c r="ED25">
        <v>1500.014</v>
      </c>
      <c r="EE25">
        <v>0.9729958</v>
      </c>
      <c r="EF25">
        <v>0.02700394</v>
      </c>
      <c r="EG25">
        <v>0</v>
      </c>
      <c r="EH25">
        <v>324.1468</v>
      </c>
      <c r="EI25">
        <v>5.00064</v>
      </c>
      <c r="EJ25">
        <v>5048.332</v>
      </c>
      <c r="EK25">
        <v>15439.36</v>
      </c>
      <c r="EL25">
        <v>41.5</v>
      </c>
      <c r="EM25">
        <v>42.187</v>
      </c>
      <c r="EN25">
        <v>41.8246</v>
      </c>
      <c r="EO25">
        <v>41.812</v>
      </c>
      <c r="EP25">
        <v>43</v>
      </c>
      <c r="EQ25">
        <v>1454.64</v>
      </c>
      <c r="ER25">
        <v>40.372</v>
      </c>
      <c r="ES25">
        <v>0</v>
      </c>
      <c r="ET25">
        <v>4231.79999995232</v>
      </c>
      <c r="EU25">
        <v>0</v>
      </c>
      <c r="EV25">
        <v>323.93732</v>
      </c>
      <c r="EW25">
        <v>3.98469230031429</v>
      </c>
      <c r="EX25">
        <v>56.4730769264331</v>
      </c>
      <c r="EY25">
        <v>5043.856</v>
      </c>
      <c r="EZ25">
        <v>15</v>
      </c>
      <c r="FA25">
        <v>1792394616</v>
      </c>
      <c r="FB25" t="s">
        <v>446</v>
      </c>
      <c r="FC25">
        <v>1792394616</v>
      </c>
      <c r="FD25">
        <v>1792394616</v>
      </c>
      <c r="FE25">
        <v>69</v>
      </c>
      <c r="FF25">
        <v>-0.274</v>
      </c>
      <c r="FG25">
        <v>0.002</v>
      </c>
      <c r="FH25">
        <v>0.513</v>
      </c>
      <c r="FI25">
        <v>-0.153</v>
      </c>
      <c r="FJ25">
        <v>1000</v>
      </c>
      <c r="FK25">
        <v>16</v>
      </c>
      <c r="FL25">
        <v>0.08</v>
      </c>
      <c r="FM25">
        <v>0.04</v>
      </c>
      <c r="FN25">
        <v>27.2294397506701</v>
      </c>
      <c r="FO25">
        <v>2.50041061574581</v>
      </c>
      <c r="FP25">
        <v>0.277446475138896</v>
      </c>
      <c r="FQ25">
        <v>0</v>
      </c>
      <c r="FR25">
        <v>-13.0463857142857</v>
      </c>
      <c r="FS25">
        <v>-0.914135064935093</v>
      </c>
      <c r="FT25">
        <v>0.108311294252192</v>
      </c>
      <c r="FU25">
        <v>0</v>
      </c>
      <c r="FV25">
        <v>323.775558823529</v>
      </c>
      <c r="FW25">
        <v>2.59842627938183</v>
      </c>
      <c r="FX25">
        <v>0.344147471055519</v>
      </c>
      <c r="FY25">
        <v>0</v>
      </c>
      <c r="FZ25">
        <v>0</v>
      </c>
      <c r="GA25">
        <v>3</v>
      </c>
      <c r="GB25" t="s">
        <v>447</v>
      </c>
      <c r="GC25">
        <v>3.12303</v>
      </c>
      <c r="GD25">
        <v>2.76535</v>
      </c>
      <c r="GE25">
        <v>0.164239</v>
      </c>
      <c r="GF25">
        <v>0.169851</v>
      </c>
      <c r="GG25">
        <v>0.093877</v>
      </c>
      <c r="GH25">
        <v>0.0886405</v>
      </c>
      <c r="GI25">
        <v>16239.8</v>
      </c>
      <c r="GJ25">
        <v>24343.3</v>
      </c>
      <c r="GK25">
        <v>22709.4</v>
      </c>
      <c r="GL25">
        <v>30051.5</v>
      </c>
      <c r="GM25">
        <v>33765.4</v>
      </c>
      <c r="GN25">
        <v>34141.3</v>
      </c>
      <c r="GO25">
        <v>42975.9</v>
      </c>
      <c r="GP25">
        <v>42820.3</v>
      </c>
      <c r="GQ25">
        <v>1.95677</v>
      </c>
      <c r="GR25">
        <v>1.8045</v>
      </c>
      <c r="GS25">
        <v>0.0511855</v>
      </c>
      <c r="GT25">
        <v>0</v>
      </c>
      <c r="GU25">
        <v>24.1625</v>
      </c>
      <c r="GV25">
        <v>999.9</v>
      </c>
      <c r="GW25">
        <v>40.123</v>
      </c>
      <c r="GX25">
        <v>32.589</v>
      </c>
      <c r="GY25">
        <v>19.5498</v>
      </c>
      <c r="GZ25">
        <v>63.322</v>
      </c>
      <c r="HA25">
        <v>33.9463</v>
      </c>
      <c r="HB25">
        <v>1</v>
      </c>
      <c r="HC25">
        <v>0.138875</v>
      </c>
      <c r="HD25">
        <v>2.65969</v>
      </c>
      <c r="HE25">
        <v>20.2165</v>
      </c>
      <c r="HF25">
        <v>5.22987</v>
      </c>
      <c r="HG25">
        <v>11.9625</v>
      </c>
      <c r="HH25">
        <v>4.9676</v>
      </c>
      <c r="HI25">
        <v>3.29453</v>
      </c>
      <c r="HJ25">
        <v>999.9</v>
      </c>
      <c r="HK25">
        <v>9999</v>
      </c>
      <c r="HL25">
        <v>9999</v>
      </c>
      <c r="HM25">
        <v>9999</v>
      </c>
      <c r="HN25">
        <v>4.9685</v>
      </c>
      <c r="HO25">
        <v>1.86243</v>
      </c>
      <c r="HP25">
        <v>1.86392</v>
      </c>
      <c r="HQ25">
        <v>1.86584</v>
      </c>
      <c r="HR25">
        <v>1.86294</v>
      </c>
      <c r="HS25">
        <v>1.86661</v>
      </c>
      <c r="HT25">
        <v>1.86335</v>
      </c>
      <c r="HU25">
        <v>1.86528</v>
      </c>
      <c r="HV25">
        <v>0</v>
      </c>
      <c r="HW25">
        <v>0</v>
      </c>
      <c r="HX25">
        <v>0</v>
      </c>
      <c r="HY25">
        <v>0</v>
      </c>
      <c r="HZ25" t="s">
        <v>420</v>
      </c>
      <c r="IA25" t="s">
        <v>421</v>
      </c>
      <c r="IB25" t="s">
        <v>422</v>
      </c>
      <c r="IC25" t="s">
        <v>422</v>
      </c>
      <c r="ID25" t="s">
        <v>422</v>
      </c>
      <c r="IE25" t="s">
        <v>422</v>
      </c>
      <c r="IF25">
        <v>0</v>
      </c>
      <c r="IG25">
        <v>100</v>
      </c>
      <c r="IH25">
        <v>100</v>
      </c>
      <c r="II25">
        <v>0.505</v>
      </c>
      <c r="IJ25">
        <v>-0.0741</v>
      </c>
      <c r="IK25">
        <v>0.0785380359229679</v>
      </c>
      <c r="IL25">
        <v>0.000216929631606078</v>
      </c>
      <c r="IM25">
        <v>2.72263024731635e-07</v>
      </c>
      <c r="IN25">
        <v>-5.43792051235154e-11</v>
      </c>
      <c r="IO25">
        <v>0.00498737789085266</v>
      </c>
      <c r="IP25">
        <v>-0.0584433849545669</v>
      </c>
      <c r="IQ25">
        <v>0.00341568706061026</v>
      </c>
      <c r="IR25">
        <v>-2.10952612506686e-05</v>
      </c>
      <c r="IS25">
        <v>-0</v>
      </c>
      <c r="IT25">
        <v>1734</v>
      </c>
      <c r="IU25">
        <v>2</v>
      </c>
      <c r="IV25">
        <v>19</v>
      </c>
      <c r="IW25">
        <v>1.6</v>
      </c>
      <c r="IX25">
        <v>1.6</v>
      </c>
      <c r="IY25">
        <v>2.17896</v>
      </c>
      <c r="IZ25">
        <v>2.56226</v>
      </c>
      <c r="JA25">
        <v>1.34644</v>
      </c>
      <c r="JB25">
        <v>2.2583</v>
      </c>
      <c r="JC25">
        <v>1.55029</v>
      </c>
      <c r="JD25">
        <v>2.68188</v>
      </c>
      <c r="JE25">
        <v>36.5523</v>
      </c>
      <c r="JF25">
        <v>15.4104</v>
      </c>
      <c r="JG25">
        <v>18</v>
      </c>
      <c r="JH25">
        <v>499.193</v>
      </c>
      <c r="JI25">
        <v>478.228</v>
      </c>
      <c r="JJ25">
        <v>21.613</v>
      </c>
      <c r="JK25">
        <v>29.0214</v>
      </c>
      <c r="JL25">
        <v>30</v>
      </c>
      <c r="JM25">
        <v>29.0246</v>
      </c>
      <c r="JN25">
        <v>29.04</v>
      </c>
      <c r="JO25">
        <v>43.6235</v>
      </c>
      <c r="JP25">
        <v>29.8112</v>
      </c>
      <c r="JQ25">
        <v>32.0225</v>
      </c>
      <c r="JR25">
        <v>21.6052</v>
      </c>
      <c r="JS25">
        <v>1000</v>
      </c>
      <c r="JT25">
        <v>15.537</v>
      </c>
      <c r="JU25">
        <v>101.47</v>
      </c>
      <c r="JV25">
        <v>97.2172</v>
      </c>
    </row>
    <row r="26" spans="1:282">
      <c r="A26">
        <v>10</v>
      </c>
      <c r="B26">
        <v>1792394832</v>
      </c>
      <c r="C26">
        <v>1151.90000009537</v>
      </c>
      <c r="D26" t="s">
        <v>448</v>
      </c>
      <c r="E26" t="s">
        <v>449</v>
      </c>
      <c r="F26">
        <v>5</v>
      </c>
      <c r="G26">
        <v>1792394829</v>
      </c>
      <c r="H26">
        <f>(I26)/1000</f>
        <v>0</v>
      </c>
      <c r="I26">
        <f>1000*DI26*AG26*(DE26-DF26)/(100*CX26*(1000-AG26*DE26))</f>
        <v>0</v>
      </c>
      <c r="J26">
        <f>DI26*AG26*(DD26-DC26*(1000-AG26*DF26)/(1000-AG26*DE26))/(100*CX26)</f>
        <v>0</v>
      </c>
      <c r="K26">
        <f>DC26 - IF(AG26&gt;1, J26*CX26*100.0/(AI26), 0)</f>
        <v>0</v>
      </c>
      <c r="L26">
        <f>((R26-H26/2)*K26-J26)/(R26+H26/2)</f>
        <v>0</v>
      </c>
      <c r="M26">
        <f>L26*(DJ26+DK26)/1000.0</f>
        <v>0</v>
      </c>
      <c r="N26">
        <f>(DC26 - IF(AG26&gt;1, J26*CX26*100.0/(AI26), 0))*(DJ26+DK26)/1000.0</f>
        <v>0</v>
      </c>
      <c r="O26">
        <f>2.0/((1/Q26-1/P26)+SIGN(Q26)*SQRT((1/Q26-1/P26)*(1/Q26-1/P26) + 4*CY26/((CY26+1)*(CY26+1))*(2*1/Q26*1/P26-1/P26*1/P26)))</f>
        <v>0</v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>0</v>
      </c>
      <c r="Q26">
        <f>H26*(1000-(1000*0.61365*exp(17.502*U26/(240.97+U26))/(DJ26+DK26)+DE26)/2)/(1000*0.61365*exp(17.502*U26/(240.97+U26))/(DJ26+DK26)-DE26)</f>
        <v>0</v>
      </c>
      <c r="R26">
        <f>1/((CY26+1)/(O26/1.6)+1/(P26/1.37)) + CY26/((CY26+1)/(O26/1.6) + CY26/(P26/1.37))</f>
        <v>0</v>
      </c>
      <c r="S26">
        <f>(CT26*CW26)</f>
        <v>0</v>
      </c>
      <c r="T26">
        <f>(DL26+(S26+2*0.95*5.67E-8*(((DL26+$B$7)+273)^4-(DL26+273)^4)-44100*H26)/(1.84*29.3*P26+8*0.95*5.67E-8*(DL26+273)^3))</f>
        <v>0</v>
      </c>
      <c r="U26">
        <f>($C$7*DM26+$D$7*DN26+$E$7*T26)</f>
        <v>0</v>
      </c>
      <c r="V26">
        <f>0.61365*exp(17.502*U26/(240.97+U26))</f>
        <v>0</v>
      </c>
      <c r="W26">
        <f>(X26/Y26*100)</f>
        <v>0</v>
      </c>
      <c r="X26">
        <f>DE26*(DJ26+DK26)/1000</f>
        <v>0</v>
      </c>
      <c r="Y26">
        <f>0.61365*exp(17.502*DL26/(240.97+DL26))</f>
        <v>0</v>
      </c>
      <c r="Z26">
        <f>(V26-DE26*(DJ26+DK26)/1000)</f>
        <v>0</v>
      </c>
      <c r="AA26">
        <f>(-H26*44100)</f>
        <v>0</v>
      </c>
      <c r="AB26">
        <f>2*29.3*P26*0.92*(DL26-U26)</f>
        <v>0</v>
      </c>
      <c r="AC26">
        <f>2*0.95*5.67E-8*(((DL26+$B$7)+273)^4-(U26+273)^4)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MAX(0,($B$13+$C$13*DQ26)/(1+$D$13*DQ26)*DJ26/(DL26+273)*$E$13)</f>
        <v>0</v>
      </c>
      <c r="AJ26" t="s">
        <v>416</v>
      </c>
      <c r="AK26" t="s">
        <v>416</v>
      </c>
      <c r="AL26">
        <v>0</v>
      </c>
      <c r="AM26">
        <v>0</v>
      </c>
      <c r="AN26">
        <f>1-AL26/AM26</f>
        <v>0</v>
      </c>
      <c r="AO26">
        <v>0</v>
      </c>
      <c r="AP26" t="s">
        <v>416</v>
      </c>
      <c r="AQ26" t="s">
        <v>416</v>
      </c>
      <c r="AR26">
        <v>0</v>
      </c>
      <c r="AS26">
        <v>0</v>
      </c>
      <c r="AT26">
        <f>1-AR26/AS26</f>
        <v>0</v>
      </c>
      <c r="AU26">
        <v>0.5</v>
      </c>
      <c r="AV26">
        <f>CU26</f>
        <v>0</v>
      </c>
      <c r="AW26">
        <f>J26</f>
        <v>0</v>
      </c>
      <c r="AX26">
        <f>AT26*AU26*AV26</f>
        <v>0</v>
      </c>
      <c r="AY26">
        <f>(AW26-AO26)/AV26</f>
        <v>0</v>
      </c>
      <c r="AZ26">
        <f>(AM26-AS26)/AS26</f>
        <v>0</v>
      </c>
      <c r="BA26">
        <f>AL26/(AN26+AL26/AS26)</f>
        <v>0</v>
      </c>
      <c r="BB26" t="s">
        <v>416</v>
      </c>
      <c r="BC26">
        <v>0</v>
      </c>
      <c r="BD26">
        <f>IF(BC26&lt;&gt;0, BC26, BA26)</f>
        <v>0</v>
      </c>
      <c r="BE26">
        <f>1-BD26/AS26</f>
        <v>0</v>
      </c>
      <c r="BF26">
        <f>(AS26-AR26)/(AS26-BD26)</f>
        <v>0</v>
      </c>
      <c r="BG26">
        <f>(AM26-AS26)/(AM26-BD26)</f>
        <v>0</v>
      </c>
      <c r="BH26">
        <f>(AS26-AR26)/(AS26-AL26)</f>
        <v>0</v>
      </c>
      <c r="BI26">
        <f>(AM26-AS26)/(AM26-AL26)</f>
        <v>0</v>
      </c>
      <c r="BJ26">
        <f>(BF26*BD26/AR26)</f>
        <v>0</v>
      </c>
      <c r="BK26">
        <f>(1-BJ26)</f>
        <v>0</v>
      </c>
      <c r="BL26">
        <v>1211</v>
      </c>
      <c r="BM26">
        <v>290</v>
      </c>
      <c r="BN26">
        <v>854.02</v>
      </c>
      <c r="BO26">
        <v>135</v>
      </c>
      <c r="BP26">
        <v>8118.76</v>
      </c>
      <c r="BQ26">
        <v>850.06</v>
      </c>
      <c r="BR26">
        <v>3.96</v>
      </c>
      <c r="BS26">
        <v>300</v>
      </c>
      <c r="BT26">
        <v>19.3</v>
      </c>
      <c r="BU26">
        <v>879.257022088825</v>
      </c>
      <c r="BV26">
        <v>1.85043100621219</v>
      </c>
      <c r="BW26">
        <v>-23.7015574963064</v>
      </c>
      <c r="BX26">
        <v>1.34141796524398</v>
      </c>
      <c r="BY26">
        <v>0.917694192479961</v>
      </c>
      <c r="BZ26">
        <v>-0.00537916729699666</v>
      </c>
      <c r="CA26">
        <v>290</v>
      </c>
      <c r="CB26">
        <v>841.85</v>
      </c>
      <c r="CC26">
        <v>615</v>
      </c>
      <c r="CD26">
        <v>8099.98</v>
      </c>
      <c r="CE26">
        <v>850</v>
      </c>
      <c r="CF26">
        <v>-8.15</v>
      </c>
      <c r="CT26">
        <f>$B$11*DR26+$C$11*DS26+$F$11*ED26*(1-EG26)</f>
        <v>0</v>
      </c>
      <c r="CU26">
        <f>CT26*CV26</f>
        <v>0</v>
      </c>
      <c r="CV26">
        <f>($B$11*$D$9+$C$11*$D$9+$F$11*((EQ26+EI26)/MAX(EQ26+EI26+ER26, 0.1)*$I$9+ER26/MAX(EQ26+EI26+ER26, 0.1)*$J$9))/($B$11+$C$11+$F$11)</f>
        <v>0</v>
      </c>
      <c r="CW26">
        <f>($B$11*$K$9+$C$11*$K$9+$F$11*((EQ26+EI26)/MAX(EQ26+EI26+ER26, 0.1)*$P$9+ER26/MAX(EQ26+EI26+ER26, 0.1)*$Q$9))/($B$11+$C$11+$F$11)</f>
        <v>0</v>
      </c>
      <c r="CX26">
        <v>2</v>
      </c>
      <c r="CY26">
        <v>0.5</v>
      </c>
      <c r="CZ26" t="s">
        <v>417</v>
      </c>
      <c r="DA26">
        <v>2</v>
      </c>
      <c r="DB26">
        <v>1792394829</v>
      </c>
      <c r="DC26">
        <v>1186.622</v>
      </c>
      <c r="DD26">
        <v>1199.93</v>
      </c>
      <c r="DE26">
        <v>17.69678</v>
      </c>
      <c r="DF26">
        <v>15.65772</v>
      </c>
      <c r="DG26">
        <v>1185.5</v>
      </c>
      <c r="DH26">
        <v>17.76688</v>
      </c>
      <c r="DI26">
        <v>500.0758</v>
      </c>
      <c r="DJ26">
        <v>101.3142</v>
      </c>
      <c r="DK26">
        <v>0.10019854</v>
      </c>
      <c r="DL26">
        <v>25.37068</v>
      </c>
      <c r="DM26">
        <v>24.9899</v>
      </c>
      <c r="DN26">
        <v>999.9</v>
      </c>
      <c r="DO26">
        <v>0</v>
      </c>
      <c r="DP26">
        <v>0</v>
      </c>
      <c r="DQ26">
        <v>9984</v>
      </c>
      <c r="DR26">
        <v>0</v>
      </c>
      <c r="DS26">
        <v>6.49265</v>
      </c>
      <c r="DT26">
        <v>-13.30778</v>
      </c>
      <c r="DU26">
        <v>1208</v>
      </c>
      <c r="DV26">
        <v>1219.016</v>
      </c>
      <c r="DW26">
        <v>2.039044</v>
      </c>
      <c r="DX26">
        <v>1199.93</v>
      </c>
      <c r="DY26">
        <v>15.65772</v>
      </c>
      <c r="DZ26">
        <v>1.792934</v>
      </c>
      <c r="EA26">
        <v>1.586352</v>
      </c>
      <c r="EB26">
        <v>15.72536</v>
      </c>
      <c r="EC26">
        <v>13.82688</v>
      </c>
      <c r="ED26">
        <v>1500.04</v>
      </c>
      <c r="EE26">
        <v>0.9729966</v>
      </c>
      <c r="EF26">
        <v>0.0270032</v>
      </c>
      <c r="EG26">
        <v>0</v>
      </c>
      <c r="EH26">
        <v>324.0502</v>
      </c>
      <c r="EI26">
        <v>5.00064</v>
      </c>
      <c r="EJ26">
        <v>5045.422</v>
      </c>
      <c r="EK26">
        <v>15439.62</v>
      </c>
      <c r="EL26">
        <v>41.562</v>
      </c>
      <c r="EM26">
        <v>42.187</v>
      </c>
      <c r="EN26">
        <v>41.875</v>
      </c>
      <c r="EO26">
        <v>41.875</v>
      </c>
      <c r="EP26">
        <v>43.0372</v>
      </c>
      <c r="EQ26">
        <v>1454.666</v>
      </c>
      <c r="ER26">
        <v>40.372</v>
      </c>
      <c r="ES26">
        <v>0</v>
      </c>
      <c r="ET26">
        <v>4353</v>
      </c>
      <c r="EU26">
        <v>0</v>
      </c>
      <c r="EV26">
        <v>324.00324</v>
      </c>
      <c r="EW26">
        <v>-0.674384612252217</v>
      </c>
      <c r="EX26">
        <v>-13.5407692138743</v>
      </c>
      <c r="EY26">
        <v>5046.3312</v>
      </c>
      <c r="EZ26">
        <v>15</v>
      </c>
      <c r="FA26">
        <v>1792394773</v>
      </c>
      <c r="FB26" t="s">
        <v>450</v>
      </c>
      <c r="FC26">
        <v>1792394773</v>
      </c>
      <c r="FD26">
        <v>1792394772</v>
      </c>
      <c r="FE26">
        <v>70</v>
      </c>
      <c r="FF26">
        <v>0.496</v>
      </c>
      <c r="FG26">
        <v>0.003</v>
      </c>
      <c r="FH26">
        <v>1.132</v>
      </c>
      <c r="FI26">
        <v>-0.15</v>
      </c>
      <c r="FJ26">
        <v>1200</v>
      </c>
      <c r="FK26">
        <v>16</v>
      </c>
      <c r="FL26">
        <v>0.15</v>
      </c>
      <c r="FM26">
        <v>0.03</v>
      </c>
      <c r="FN26">
        <v>27.3599747500422</v>
      </c>
      <c r="FO26">
        <v>0.0420552784375307</v>
      </c>
      <c r="FP26">
        <v>0.148611116623359</v>
      </c>
      <c r="FQ26">
        <v>1</v>
      </c>
      <c r="FR26">
        <v>-13.4092571428571</v>
      </c>
      <c r="FS26">
        <v>0.189062337662322</v>
      </c>
      <c r="FT26">
        <v>0.0715507250732193</v>
      </c>
      <c r="FU26">
        <v>1</v>
      </c>
      <c r="FV26">
        <v>324.055529411765</v>
      </c>
      <c r="FW26">
        <v>-0.73375095464282</v>
      </c>
      <c r="FX26">
        <v>0.202915983090962</v>
      </c>
      <c r="FY26">
        <v>1</v>
      </c>
      <c r="FZ26">
        <v>3</v>
      </c>
      <c r="GA26">
        <v>3</v>
      </c>
      <c r="GB26" t="s">
        <v>419</v>
      </c>
      <c r="GC26">
        <v>3.12322</v>
      </c>
      <c r="GD26">
        <v>2.7652</v>
      </c>
      <c r="GE26">
        <v>0.18407</v>
      </c>
      <c r="GF26">
        <v>0.190103</v>
      </c>
      <c r="GG26">
        <v>0.093914</v>
      </c>
      <c r="GH26">
        <v>0.089122</v>
      </c>
      <c r="GI26">
        <v>15853.6</v>
      </c>
      <c r="GJ26">
        <v>23749</v>
      </c>
      <c r="GK26">
        <v>22708.3</v>
      </c>
      <c r="GL26">
        <v>30051.2</v>
      </c>
      <c r="GM26">
        <v>33763.7</v>
      </c>
      <c r="GN26">
        <v>34124.3</v>
      </c>
      <c r="GO26">
        <v>42974</v>
      </c>
      <c r="GP26">
        <v>42819.9</v>
      </c>
      <c r="GQ26">
        <v>1.9567</v>
      </c>
      <c r="GR26">
        <v>1.8048</v>
      </c>
      <c r="GS26">
        <v>0.0502169</v>
      </c>
      <c r="GT26">
        <v>0</v>
      </c>
      <c r="GU26">
        <v>24.1503</v>
      </c>
      <c r="GV26">
        <v>999.9</v>
      </c>
      <c r="GW26">
        <v>40.032</v>
      </c>
      <c r="GX26">
        <v>32.599</v>
      </c>
      <c r="GY26">
        <v>19.5176</v>
      </c>
      <c r="GZ26">
        <v>63.042</v>
      </c>
      <c r="HA26">
        <v>33.1971</v>
      </c>
      <c r="HB26">
        <v>1</v>
      </c>
      <c r="HC26">
        <v>0.139024</v>
      </c>
      <c r="HD26">
        <v>2.48342</v>
      </c>
      <c r="HE26">
        <v>20.2208</v>
      </c>
      <c r="HF26">
        <v>5.23346</v>
      </c>
      <c r="HG26">
        <v>11.9626</v>
      </c>
      <c r="HH26">
        <v>4.9689</v>
      </c>
      <c r="HI26">
        <v>3.29513</v>
      </c>
      <c r="HJ26">
        <v>999.9</v>
      </c>
      <c r="HK26">
        <v>9999</v>
      </c>
      <c r="HL26">
        <v>9999</v>
      </c>
      <c r="HM26">
        <v>9999</v>
      </c>
      <c r="HN26">
        <v>4.96854</v>
      </c>
      <c r="HO26">
        <v>1.86243</v>
      </c>
      <c r="HP26">
        <v>1.86398</v>
      </c>
      <c r="HQ26">
        <v>1.86584</v>
      </c>
      <c r="HR26">
        <v>1.86295</v>
      </c>
      <c r="HS26">
        <v>1.86661</v>
      </c>
      <c r="HT26">
        <v>1.86338</v>
      </c>
      <c r="HU26">
        <v>1.86526</v>
      </c>
      <c r="HV26">
        <v>0</v>
      </c>
      <c r="HW26">
        <v>0</v>
      </c>
      <c r="HX26">
        <v>0</v>
      </c>
      <c r="HY26">
        <v>0</v>
      </c>
      <c r="HZ26" t="s">
        <v>420</v>
      </c>
      <c r="IA26" t="s">
        <v>421</v>
      </c>
      <c r="IB26" t="s">
        <v>422</v>
      </c>
      <c r="IC26" t="s">
        <v>422</v>
      </c>
      <c r="ID26" t="s">
        <v>422</v>
      </c>
      <c r="IE26" t="s">
        <v>422</v>
      </c>
      <c r="IF26">
        <v>0</v>
      </c>
      <c r="IG26">
        <v>100</v>
      </c>
      <c r="IH26">
        <v>100</v>
      </c>
      <c r="II26">
        <v>1.12</v>
      </c>
      <c r="IJ26">
        <v>-0.0702</v>
      </c>
      <c r="IK26">
        <v>0.574229589663809</v>
      </c>
      <c r="IL26">
        <v>0.000216929631606078</v>
      </c>
      <c r="IM26">
        <v>2.72263024731635e-07</v>
      </c>
      <c r="IN26">
        <v>-5.43792051235154e-11</v>
      </c>
      <c r="IO26">
        <v>0.00838844515066615</v>
      </c>
      <c r="IP26">
        <v>-0.0584433849545669</v>
      </c>
      <c r="IQ26">
        <v>0.00341568706061026</v>
      </c>
      <c r="IR26">
        <v>-2.10952612506686e-05</v>
      </c>
      <c r="IS26">
        <v>-0</v>
      </c>
      <c r="IT26">
        <v>1734</v>
      </c>
      <c r="IU26">
        <v>2</v>
      </c>
      <c r="IV26">
        <v>19</v>
      </c>
      <c r="IW26">
        <v>1</v>
      </c>
      <c r="IX26">
        <v>1</v>
      </c>
      <c r="IY26">
        <v>2.52197</v>
      </c>
      <c r="IZ26">
        <v>2.5769</v>
      </c>
      <c r="JA26">
        <v>1.34766</v>
      </c>
      <c r="JB26">
        <v>2.2583</v>
      </c>
      <c r="JC26">
        <v>1.55029</v>
      </c>
      <c r="JD26">
        <v>2.43408</v>
      </c>
      <c r="JE26">
        <v>36.5287</v>
      </c>
      <c r="JF26">
        <v>15.3754</v>
      </c>
      <c r="JG26">
        <v>18</v>
      </c>
      <c r="JH26">
        <v>499.251</v>
      </c>
      <c r="JI26">
        <v>478.546</v>
      </c>
      <c r="JJ26">
        <v>21.6046</v>
      </c>
      <c r="JK26">
        <v>29.0338</v>
      </c>
      <c r="JL26">
        <v>30.0004</v>
      </c>
      <c r="JM26">
        <v>29.0369</v>
      </c>
      <c r="JN26">
        <v>29.0524</v>
      </c>
      <c r="JO26">
        <v>50.4715</v>
      </c>
      <c r="JP26">
        <v>28.7878</v>
      </c>
      <c r="JQ26">
        <v>31.7</v>
      </c>
      <c r="JR26">
        <v>21.6076</v>
      </c>
      <c r="JS26">
        <v>1200</v>
      </c>
      <c r="JT26">
        <v>15.6207</v>
      </c>
      <c r="JU26">
        <v>101.466</v>
      </c>
      <c r="JV26">
        <v>97.2162</v>
      </c>
    </row>
    <row r="27" spans="1:282">
      <c r="A27">
        <v>11</v>
      </c>
      <c r="B27">
        <v>1792394956</v>
      </c>
      <c r="C27">
        <v>1275.90000009537</v>
      </c>
      <c r="D27" t="s">
        <v>451</v>
      </c>
      <c r="E27" t="s">
        <v>452</v>
      </c>
      <c r="F27">
        <v>5</v>
      </c>
      <c r="G27">
        <v>1792394953</v>
      </c>
      <c r="H27">
        <f>(I27)/1000</f>
        <v>0</v>
      </c>
      <c r="I27">
        <f>1000*DI27*AG27*(DE27-DF27)/(100*CX27*(1000-AG27*DE27))</f>
        <v>0</v>
      </c>
      <c r="J27">
        <f>DI27*AG27*(DD27-DC27*(1000-AG27*DF27)/(1000-AG27*DE27))/(100*CX27)</f>
        <v>0</v>
      </c>
      <c r="K27">
        <f>DC27 - IF(AG27&gt;1, J27*CX27*100.0/(AI27), 0)</f>
        <v>0</v>
      </c>
      <c r="L27">
        <f>((R27-H27/2)*K27-J27)/(R27+H27/2)</f>
        <v>0</v>
      </c>
      <c r="M27">
        <f>L27*(DJ27+DK27)/1000.0</f>
        <v>0</v>
      </c>
      <c r="N27">
        <f>(DC27 - IF(AG27&gt;1, J27*CX27*100.0/(AI27), 0))*(DJ27+DK27)/1000.0</f>
        <v>0</v>
      </c>
      <c r="O27">
        <f>2.0/((1/Q27-1/P27)+SIGN(Q27)*SQRT((1/Q27-1/P27)*(1/Q27-1/P27) + 4*CY27/((CY27+1)*(CY27+1))*(2*1/Q27*1/P27-1/P27*1/P27)))</f>
        <v>0</v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>0</v>
      </c>
      <c r="Q27">
        <f>H27*(1000-(1000*0.61365*exp(17.502*U27/(240.97+U27))/(DJ27+DK27)+DE27)/2)/(1000*0.61365*exp(17.502*U27/(240.97+U27))/(DJ27+DK27)-DE27)</f>
        <v>0</v>
      </c>
      <c r="R27">
        <f>1/((CY27+1)/(O27/1.6)+1/(P27/1.37)) + CY27/((CY27+1)/(O27/1.6) + CY27/(P27/1.37))</f>
        <v>0</v>
      </c>
      <c r="S27">
        <f>(CT27*CW27)</f>
        <v>0</v>
      </c>
      <c r="T27">
        <f>(DL27+(S27+2*0.95*5.67E-8*(((DL27+$B$7)+273)^4-(DL27+273)^4)-44100*H27)/(1.84*29.3*P27+8*0.95*5.67E-8*(DL27+273)^3))</f>
        <v>0</v>
      </c>
      <c r="U27">
        <f>($C$7*DM27+$D$7*DN27+$E$7*T27)</f>
        <v>0</v>
      </c>
      <c r="V27">
        <f>0.61365*exp(17.502*U27/(240.97+U27))</f>
        <v>0</v>
      </c>
      <c r="W27">
        <f>(X27/Y27*100)</f>
        <v>0</v>
      </c>
      <c r="X27">
        <f>DE27*(DJ27+DK27)/1000</f>
        <v>0</v>
      </c>
      <c r="Y27">
        <f>0.61365*exp(17.502*DL27/(240.97+DL27))</f>
        <v>0</v>
      </c>
      <c r="Z27">
        <f>(V27-DE27*(DJ27+DK27)/1000)</f>
        <v>0</v>
      </c>
      <c r="AA27">
        <f>(-H27*44100)</f>
        <v>0</v>
      </c>
      <c r="AB27">
        <f>2*29.3*P27*0.92*(DL27-U27)</f>
        <v>0</v>
      </c>
      <c r="AC27">
        <f>2*0.95*5.67E-8*(((DL27+$B$7)+273)^4-(U27+273)^4)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MAX(0,($B$13+$C$13*DQ27)/(1+$D$13*DQ27)*DJ27/(DL27+273)*$E$13)</f>
        <v>0</v>
      </c>
      <c r="AJ27" t="s">
        <v>416</v>
      </c>
      <c r="AK27" t="s">
        <v>416</v>
      </c>
      <c r="AL27">
        <v>0</v>
      </c>
      <c r="AM27">
        <v>0</v>
      </c>
      <c r="AN27">
        <f>1-AL27/AM27</f>
        <v>0</v>
      </c>
      <c r="AO27">
        <v>0</v>
      </c>
      <c r="AP27" t="s">
        <v>416</v>
      </c>
      <c r="AQ27" t="s">
        <v>416</v>
      </c>
      <c r="AR27">
        <v>0</v>
      </c>
      <c r="AS27">
        <v>0</v>
      </c>
      <c r="AT27">
        <f>1-AR27/AS27</f>
        <v>0</v>
      </c>
      <c r="AU27">
        <v>0.5</v>
      </c>
      <c r="AV27">
        <f>CU27</f>
        <v>0</v>
      </c>
      <c r="AW27">
        <f>J27</f>
        <v>0</v>
      </c>
      <c r="AX27">
        <f>AT27*AU27*AV27</f>
        <v>0</v>
      </c>
      <c r="AY27">
        <f>(AW27-AO27)/AV27</f>
        <v>0</v>
      </c>
      <c r="AZ27">
        <f>(AM27-AS27)/AS27</f>
        <v>0</v>
      </c>
      <c r="BA27">
        <f>AL27/(AN27+AL27/AS27)</f>
        <v>0</v>
      </c>
      <c r="BB27" t="s">
        <v>416</v>
      </c>
      <c r="BC27">
        <v>0</v>
      </c>
      <c r="BD27">
        <f>IF(BC27&lt;&gt;0, BC27, BA27)</f>
        <v>0</v>
      </c>
      <c r="BE27">
        <f>1-BD27/AS27</f>
        <v>0</v>
      </c>
      <c r="BF27">
        <f>(AS27-AR27)/(AS27-BD27)</f>
        <v>0</v>
      </c>
      <c r="BG27">
        <f>(AM27-AS27)/(AM27-BD27)</f>
        <v>0</v>
      </c>
      <c r="BH27">
        <f>(AS27-AR27)/(AS27-AL27)</f>
        <v>0</v>
      </c>
      <c r="BI27">
        <f>(AM27-AS27)/(AM27-AL27)</f>
        <v>0</v>
      </c>
      <c r="BJ27">
        <f>(BF27*BD27/AR27)</f>
        <v>0</v>
      </c>
      <c r="BK27">
        <f>(1-BJ27)</f>
        <v>0</v>
      </c>
      <c r="BL27">
        <v>1211</v>
      </c>
      <c r="BM27">
        <v>290</v>
      </c>
      <c r="BN27">
        <v>854.02</v>
      </c>
      <c r="BO27">
        <v>135</v>
      </c>
      <c r="BP27">
        <v>8118.76</v>
      </c>
      <c r="BQ27">
        <v>850.06</v>
      </c>
      <c r="BR27">
        <v>3.96</v>
      </c>
      <c r="BS27">
        <v>300</v>
      </c>
      <c r="BT27">
        <v>19.3</v>
      </c>
      <c r="BU27">
        <v>879.257022088825</v>
      </c>
      <c r="BV27">
        <v>1.85043100621219</v>
      </c>
      <c r="BW27">
        <v>-23.7015574963064</v>
      </c>
      <c r="BX27">
        <v>1.34141796524398</v>
      </c>
      <c r="BY27">
        <v>0.917694192479961</v>
      </c>
      <c r="BZ27">
        <v>-0.00537916729699666</v>
      </c>
      <c r="CA27">
        <v>290</v>
      </c>
      <c r="CB27">
        <v>841.85</v>
      </c>
      <c r="CC27">
        <v>615</v>
      </c>
      <c r="CD27">
        <v>8099.98</v>
      </c>
      <c r="CE27">
        <v>850</v>
      </c>
      <c r="CF27">
        <v>-8.15</v>
      </c>
      <c r="CT27">
        <f>$B$11*DR27+$C$11*DS27+$F$11*ED27*(1-EG27)</f>
        <v>0</v>
      </c>
      <c r="CU27">
        <f>CT27*CV27</f>
        <v>0</v>
      </c>
      <c r="CV27">
        <f>($B$11*$D$9+$C$11*$D$9+$F$11*((EQ27+EI27)/MAX(EQ27+EI27+ER27, 0.1)*$I$9+ER27/MAX(EQ27+EI27+ER27, 0.1)*$J$9))/($B$11+$C$11+$F$11)</f>
        <v>0</v>
      </c>
      <c r="CW27">
        <f>($B$11*$K$9+$C$11*$K$9+$F$11*((EQ27+EI27)/MAX(EQ27+EI27+ER27, 0.1)*$P$9+ER27/MAX(EQ27+EI27+ER27, 0.1)*$Q$9))/($B$11+$C$11+$F$11)</f>
        <v>0</v>
      </c>
      <c r="CX27">
        <v>2</v>
      </c>
      <c r="CY27">
        <v>0.5</v>
      </c>
      <c r="CZ27" t="s">
        <v>417</v>
      </c>
      <c r="DA27">
        <v>2</v>
      </c>
      <c r="DB27">
        <v>1792394953</v>
      </c>
      <c r="DC27">
        <v>1486.434</v>
      </c>
      <c r="DD27">
        <v>1500.016</v>
      </c>
      <c r="DE27">
        <v>17.58184</v>
      </c>
      <c r="DF27">
        <v>15.7457</v>
      </c>
      <c r="DG27">
        <v>1484.734</v>
      </c>
      <c r="DH27">
        <v>17.65656</v>
      </c>
      <c r="DI27">
        <v>499.9826</v>
      </c>
      <c r="DJ27">
        <v>101.3108</v>
      </c>
      <c r="DK27">
        <v>0.09988948</v>
      </c>
      <c r="DL27">
        <v>25.29846</v>
      </c>
      <c r="DM27">
        <v>25.04372</v>
      </c>
      <c r="DN27">
        <v>999.9</v>
      </c>
      <c r="DO27">
        <v>0</v>
      </c>
      <c r="DP27">
        <v>0</v>
      </c>
      <c r="DQ27">
        <v>10008.246</v>
      </c>
      <c r="DR27">
        <v>0</v>
      </c>
      <c r="DS27">
        <v>6.49265</v>
      </c>
      <c r="DT27">
        <v>-13.5809</v>
      </c>
      <c r="DU27">
        <v>1513.036</v>
      </c>
      <c r="DV27">
        <v>1524.012</v>
      </c>
      <c r="DW27">
        <v>1.836134</v>
      </c>
      <c r="DX27">
        <v>1500.016</v>
      </c>
      <c r="DY27">
        <v>15.7457</v>
      </c>
      <c r="DZ27">
        <v>1.781232</v>
      </c>
      <c r="EA27">
        <v>1.595212</v>
      </c>
      <c r="EB27">
        <v>15.62302</v>
      </c>
      <c r="EC27">
        <v>13.91264</v>
      </c>
      <c r="ED27">
        <v>1499.952</v>
      </c>
      <c r="EE27">
        <v>0.9730042</v>
      </c>
      <c r="EF27">
        <v>0.02699574</v>
      </c>
      <c r="EG27">
        <v>0</v>
      </c>
      <c r="EH27">
        <v>323.9998</v>
      </c>
      <c r="EI27">
        <v>5.00064</v>
      </c>
      <c r="EJ27">
        <v>5048.434</v>
      </c>
      <c r="EK27">
        <v>15438.76</v>
      </c>
      <c r="EL27">
        <v>41.5</v>
      </c>
      <c r="EM27">
        <v>42.187</v>
      </c>
      <c r="EN27">
        <v>41.875</v>
      </c>
      <c r="EO27">
        <v>41.812</v>
      </c>
      <c r="EP27">
        <v>43</v>
      </c>
      <c r="EQ27">
        <v>1454.596</v>
      </c>
      <c r="ER27">
        <v>40.356</v>
      </c>
      <c r="ES27">
        <v>0</v>
      </c>
      <c r="ET27">
        <v>4476.59999990463</v>
      </c>
      <c r="EU27">
        <v>0</v>
      </c>
      <c r="EV27">
        <v>324.12844</v>
      </c>
      <c r="EW27">
        <v>-0.677846150871683</v>
      </c>
      <c r="EX27">
        <v>4.94076919638583</v>
      </c>
      <c r="EY27">
        <v>5048.1056</v>
      </c>
      <c r="EZ27">
        <v>15</v>
      </c>
      <c r="FA27">
        <v>1792394897</v>
      </c>
      <c r="FB27" t="s">
        <v>453</v>
      </c>
      <c r="FC27">
        <v>1792394897</v>
      </c>
      <c r="FD27">
        <v>1792394886</v>
      </c>
      <c r="FE27">
        <v>71</v>
      </c>
      <c r="FF27">
        <v>0.385</v>
      </c>
      <c r="FG27">
        <v>0</v>
      </c>
      <c r="FH27">
        <v>1.712</v>
      </c>
      <c r="FI27">
        <v>-0.146</v>
      </c>
      <c r="FJ27">
        <v>1500</v>
      </c>
      <c r="FK27">
        <v>16</v>
      </c>
      <c r="FL27">
        <v>0.17</v>
      </c>
      <c r="FM27">
        <v>0.04</v>
      </c>
      <c r="FN27">
        <v>26.9818996010819</v>
      </c>
      <c r="FO27">
        <v>0.135304850899803</v>
      </c>
      <c r="FP27">
        <v>0.12719467544643</v>
      </c>
      <c r="FQ27">
        <v>1</v>
      </c>
      <c r="FR27">
        <v>-13.59504</v>
      </c>
      <c r="FS27">
        <v>0.239287218045087</v>
      </c>
      <c r="FT27">
        <v>0.0484752452288796</v>
      </c>
      <c r="FU27">
        <v>1</v>
      </c>
      <c r="FV27">
        <v>324.071705882353</v>
      </c>
      <c r="FW27">
        <v>0.460015278426302</v>
      </c>
      <c r="FX27">
        <v>0.231740667609771</v>
      </c>
      <c r="FY27">
        <v>1</v>
      </c>
      <c r="FZ27">
        <v>3</v>
      </c>
      <c r="GA27">
        <v>3</v>
      </c>
      <c r="GB27" t="s">
        <v>419</v>
      </c>
      <c r="GC27">
        <v>3.12308</v>
      </c>
      <c r="GD27">
        <v>2.76535</v>
      </c>
      <c r="GE27">
        <v>0.210493</v>
      </c>
      <c r="GF27">
        <v>0.217053</v>
      </c>
      <c r="GG27">
        <v>0.0934775</v>
      </c>
      <c r="GH27">
        <v>0.0894722</v>
      </c>
      <c r="GI27">
        <v>15340.5</v>
      </c>
      <c r="GJ27">
        <v>22958.6</v>
      </c>
      <c r="GK27">
        <v>22709.1</v>
      </c>
      <c r="GL27">
        <v>30051.4</v>
      </c>
      <c r="GM27">
        <v>33783.1</v>
      </c>
      <c r="GN27">
        <v>34113</v>
      </c>
      <c r="GO27">
        <v>42975.4</v>
      </c>
      <c r="GP27">
        <v>42820</v>
      </c>
      <c r="GQ27">
        <v>1.95672</v>
      </c>
      <c r="GR27">
        <v>1.80555</v>
      </c>
      <c r="GS27">
        <v>0.057146</v>
      </c>
      <c r="GT27">
        <v>0</v>
      </c>
      <c r="GU27">
        <v>24.0962</v>
      </c>
      <c r="GV27">
        <v>999.9</v>
      </c>
      <c r="GW27">
        <v>39.928</v>
      </c>
      <c r="GX27">
        <v>32.599</v>
      </c>
      <c r="GY27">
        <v>19.4676</v>
      </c>
      <c r="GZ27">
        <v>63.182</v>
      </c>
      <c r="HA27">
        <v>33.9704</v>
      </c>
      <c r="HB27">
        <v>1</v>
      </c>
      <c r="HC27">
        <v>0.13983</v>
      </c>
      <c r="HD27">
        <v>2.75153</v>
      </c>
      <c r="HE27">
        <v>20.2169</v>
      </c>
      <c r="HF27">
        <v>5.23376</v>
      </c>
      <c r="HG27">
        <v>11.9641</v>
      </c>
      <c r="HH27">
        <v>4.9693</v>
      </c>
      <c r="HI27">
        <v>3.29513</v>
      </c>
      <c r="HJ27">
        <v>999.9</v>
      </c>
      <c r="HK27">
        <v>9999</v>
      </c>
      <c r="HL27">
        <v>9999</v>
      </c>
      <c r="HM27">
        <v>9999</v>
      </c>
      <c r="HN27">
        <v>4.96854</v>
      </c>
      <c r="HO27">
        <v>1.86244</v>
      </c>
      <c r="HP27">
        <v>1.86394</v>
      </c>
      <c r="HQ27">
        <v>1.86585</v>
      </c>
      <c r="HR27">
        <v>1.86292</v>
      </c>
      <c r="HS27">
        <v>1.8666</v>
      </c>
      <c r="HT27">
        <v>1.8634</v>
      </c>
      <c r="HU27">
        <v>1.86523</v>
      </c>
      <c r="HV27">
        <v>0</v>
      </c>
      <c r="HW27">
        <v>0</v>
      </c>
      <c r="HX27">
        <v>0</v>
      </c>
      <c r="HY27">
        <v>0</v>
      </c>
      <c r="HZ27" t="s">
        <v>420</v>
      </c>
      <c r="IA27" t="s">
        <v>421</v>
      </c>
      <c r="IB27" t="s">
        <v>422</v>
      </c>
      <c r="IC27" t="s">
        <v>422</v>
      </c>
      <c r="ID27" t="s">
        <v>422</v>
      </c>
      <c r="IE27" t="s">
        <v>422</v>
      </c>
      <c r="IF27">
        <v>0</v>
      </c>
      <c r="IG27">
        <v>100</v>
      </c>
      <c r="IH27">
        <v>100</v>
      </c>
      <c r="II27">
        <v>1.7</v>
      </c>
      <c r="IJ27">
        <v>-0.0749</v>
      </c>
      <c r="IK27">
        <v>0.958228356157012</v>
      </c>
      <c r="IL27">
        <v>0.000216929631606078</v>
      </c>
      <c r="IM27">
        <v>2.72263024731635e-07</v>
      </c>
      <c r="IN27">
        <v>-5.43792051235154e-11</v>
      </c>
      <c r="IO27">
        <v>0.00846008014511774</v>
      </c>
      <c r="IP27">
        <v>-0.0584433849545669</v>
      </c>
      <c r="IQ27">
        <v>0.00341568706061026</v>
      </c>
      <c r="IR27">
        <v>-2.10952612506686e-05</v>
      </c>
      <c r="IS27">
        <v>-0</v>
      </c>
      <c r="IT27">
        <v>1734</v>
      </c>
      <c r="IU27">
        <v>2</v>
      </c>
      <c r="IV27">
        <v>19</v>
      </c>
      <c r="IW27">
        <v>1</v>
      </c>
      <c r="IX27">
        <v>1.2</v>
      </c>
      <c r="IY27">
        <v>3.01147</v>
      </c>
      <c r="IZ27">
        <v>2.53662</v>
      </c>
      <c r="JA27">
        <v>1.34644</v>
      </c>
      <c r="JB27">
        <v>2.2583</v>
      </c>
      <c r="JC27">
        <v>1.55029</v>
      </c>
      <c r="JD27">
        <v>2.67822</v>
      </c>
      <c r="JE27">
        <v>36.5287</v>
      </c>
      <c r="JF27">
        <v>15.3666</v>
      </c>
      <c r="JG27">
        <v>18</v>
      </c>
      <c r="JH27">
        <v>499.288</v>
      </c>
      <c r="JI27">
        <v>479.092</v>
      </c>
      <c r="JJ27">
        <v>21.4226</v>
      </c>
      <c r="JK27">
        <v>29.0366</v>
      </c>
      <c r="JL27">
        <v>30.0004</v>
      </c>
      <c r="JM27">
        <v>29.0394</v>
      </c>
      <c r="JN27">
        <v>29.0548</v>
      </c>
      <c r="JO27">
        <v>60.2766</v>
      </c>
      <c r="JP27">
        <v>28.3712</v>
      </c>
      <c r="JQ27">
        <v>31.3326</v>
      </c>
      <c r="JR27">
        <v>21.4014</v>
      </c>
      <c r="JS27">
        <v>1500</v>
      </c>
      <c r="JT27">
        <v>15.6966</v>
      </c>
      <c r="JU27">
        <v>101.469</v>
      </c>
      <c r="JV27">
        <v>97.2165</v>
      </c>
    </row>
    <row r="28" spans="1:282">
      <c r="A28">
        <v>12</v>
      </c>
      <c r="B28">
        <v>1792395079</v>
      </c>
      <c r="C28">
        <v>1398.90000009537</v>
      </c>
      <c r="D28" t="s">
        <v>454</v>
      </c>
      <c r="E28" t="s">
        <v>455</v>
      </c>
      <c r="F28">
        <v>5</v>
      </c>
      <c r="G28">
        <v>1792395076</v>
      </c>
      <c r="H28">
        <f>(I28)/1000</f>
        <v>0</v>
      </c>
      <c r="I28">
        <f>1000*DI28*AG28*(DE28-DF28)/(100*CX28*(1000-AG28*DE28))</f>
        <v>0</v>
      </c>
      <c r="J28">
        <f>DI28*AG28*(DD28-DC28*(1000-AG28*DF28)/(1000-AG28*DE28))/(100*CX28)</f>
        <v>0</v>
      </c>
      <c r="K28">
        <f>DC28 - IF(AG28&gt;1, J28*CX28*100.0/(AI28), 0)</f>
        <v>0</v>
      </c>
      <c r="L28">
        <f>((R28-H28/2)*K28-J28)/(R28+H28/2)</f>
        <v>0</v>
      </c>
      <c r="M28">
        <f>L28*(DJ28+DK28)/1000.0</f>
        <v>0</v>
      </c>
      <c r="N28">
        <f>(DC28 - IF(AG28&gt;1, J28*CX28*100.0/(AI28), 0))*(DJ28+DK28)/1000.0</f>
        <v>0</v>
      </c>
      <c r="O28">
        <f>2.0/((1/Q28-1/P28)+SIGN(Q28)*SQRT((1/Q28-1/P28)*(1/Q28-1/P28) + 4*CY28/((CY28+1)*(CY28+1))*(2*1/Q28*1/P28-1/P28*1/P28)))</f>
        <v>0</v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>0</v>
      </c>
      <c r="Q28">
        <f>H28*(1000-(1000*0.61365*exp(17.502*U28/(240.97+U28))/(DJ28+DK28)+DE28)/2)/(1000*0.61365*exp(17.502*U28/(240.97+U28))/(DJ28+DK28)-DE28)</f>
        <v>0</v>
      </c>
      <c r="R28">
        <f>1/((CY28+1)/(O28/1.6)+1/(P28/1.37)) + CY28/((CY28+1)/(O28/1.6) + CY28/(P28/1.37))</f>
        <v>0</v>
      </c>
      <c r="S28">
        <f>(CT28*CW28)</f>
        <v>0</v>
      </c>
      <c r="T28">
        <f>(DL28+(S28+2*0.95*5.67E-8*(((DL28+$B$7)+273)^4-(DL28+273)^4)-44100*H28)/(1.84*29.3*P28+8*0.95*5.67E-8*(DL28+273)^3))</f>
        <v>0</v>
      </c>
      <c r="U28">
        <f>($C$7*DM28+$D$7*DN28+$E$7*T28)</f>
        <v>0</v>
      </c>
      <c r="V28">
        <f>0.61365*exp(17.502*U28/(240.97+U28))</f>
        <v>0</v>
      </c>
      <c r="W28">
        <f>(X28/Y28*100)</f>
        <v>0</v>
      </c>
      <c r="X28">
        <f>DE28*(DJ28+DK28)/1000</f>
        <v>0</v>
      </c>
      <c r="Y28">
        <f>0.61365*exp(17.502*DL28/(240.97+DL28))</f>
        <v>0</v>
      </c>
      <c r="Z28">
        <f>(V28-DE28*(DJ28+DK28)/1000)</f>
        <v>0</v>
      </c>
      <c r="AA28">
        <f>(-H28*44100)</f>
        <v>0</v>
      </c>
      <c r="AB28">
        <f>2*29.3*P28*0.92*(DL28-U28)</f>
        <v>0</v>
      </c>
      <c r="AC28">
        <f>2*0.95*5.67E-8*(((DL28+$B$7)+273)^4-(U28+273)^4)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MAX(0,($B$13+$C$13*DQ28)/(1+$D$13*DQ28)*DJ28/(DL28+273)*$E$13)</f>
        <v>0</v>
      </c>
      <c r="AJ28" t="s">
        <v>416</v>
      </c>
      <c r="AK28" t="s">
        <v>416</v>
      </c>
      <c r="AL28">
        <v>0</v>
      </c>
      <c r="AM28">
        <v>0</v>
      </c>
      <c r="AN28">
        <f>1-AL28/AM28</f>
        <v>0</v>
      </c>
      <c r="AO28">
        <v>0</v>
      </c>
      <c r="AP28" t="s">
        <v>416</v>
      </c>
      <c r="AQ28" t="s">
        <v>416</v>
      </c>
      <c r="AR28">
        <v>0</v>
      </c>
      <c r="AS28">
        <v>0</v>
      </c>
      <c r="AT28">
        <f>1-AR28/AS28</f>
        <v>0</v>
      </c>
      <c r="AU28">
        <v>0.5</v>
      </c>
      <c r="AV28">
        <f>CU28</f>
        <v>0</v>
      </c>
      <c r="AW28">
        <f>J28</f>
        <v>0</v>
      </c>
      <c r="AX28">
        <f>AT28*AU28*AV28</f>
        <v>0</v>
      </c>
      <c r="AY28">
        <f>(AW28-AO28)/AV28</f>
        <v>0</v>
      </c>
      <c r="AZ28">
        <f>(AM28-AS28)/AS28</f>
        <v>0</v>
      </c>
      <c r="BA28">
        <f>AL28/(AN28+AL28/AS28)</f>
        <v>0</v>
      </c>
      <c r="BB28" t="s">
        <v>416</v>
      </c>
      <c r="BC28">
        <v>0</v>
      </c>
      <c r="BD28">
        <f>IF(BC28&lt;&gt;0, BC28, BA28)</f>
        <v>0</v>
      </c>
      <c r="BE28">
        <f>1-BD28/AS28</f>
        <v>0</v>
      </c>
      <c r="BF28">
        <f>(AS28-AR28)/(AS28-BD28)</f>
        <v>0</v>
      </c>
      <c r="BG28">
        <f>(AM28-AS28)/(AM28-BD28)</f>
        <v>0</v>
      </c>
      <c r="BH28">
        <f>(AS28-AR28)/(AS28-AL28)</f>
        <v>0</v>
      </c>
      <c r="BI28">
        <f>(AM28-AS28)/(AM28-AL28)</f>
        <v>0</v>
      </c>
      <c r="BJ28">
        <f>(BF28*BD28/AR28)</f>
        <v>0</v>
      </c>
      <c r="BK28">
        <f>(1-BJ28)</f>
        <v>0</v>
      </c>
      <c r="BL28">
        <v>1211</v>
      </c>
      <c r="BM28">
        <v>290</v>
      </c>
      <c r="BN28">
        <v>854.02</v>
      </c>
      <c r="BO28">
        <v>135</v>
      </c>
      <c r="BP28">
        <v>8118.76</v>
      </c>
      <c r="BQ28">
        <v>850.06</v>
      </c>
      <c r="BR28">
        <v>3.96</v>
      </c>
      <c r="BS28">
        <v>300</v>
      </c>
      <c r="BT28">
        <v>19.3</v>
      </c>
      <c r="BU28">
        <v>879.257022088825</v>
      </c>
      <c r="BV28">
        <v>1.85043100621219</v>
      </c>
      <c r="BW28">
        <v>-23.7015574963064</v>
      </c>
      <c r="BX28">
        <v>1.34141796524398</v>
      </c>
      <c r="BY28">
        <v>0.917694192479961</v>
      </c>
      <c r="BZ28">
        <v>-0.00537916729699666</v>
      </c>
      <c r="CA28">
        <v>290</v>
      </c>
      <c r="CB28">
        <v>841.85</v>
      </c>
      <c r="CC28">
        <v>615</v>
      </c>
      <c r="CD28">
        <v>8099.98</v>
      </c>
      <c r="CE28">
        <v>850</v>
      </c>
      <c r="CF28">
        <v>-8.15</v>
      </c>
      <c r="CT28">
        <f>$B$11*DR28+$C$11*DS28+$F$11*ED28*(1-EG28)</f>
        <v>0</v>
      </c>
      <c r="CU28">
        <f>CT28*CV28</f>
        <v>0</v>
      </c>
      <c r="CV28">
        <f>($B$11*$D$9+$C$11*$D$9+$F$11*((EQ28+EI28)/MAX(EQ28+EI28+ER28, 0.1)*$I$9+ER28/MAX(EQ28+EI28+ER28, 0.1)*$J$9))/($B$11+$C$11+$F$11)</f>
        <v>0</v>
      </c>
      <c r="CW28">
        <f>($B$11*$K$9+$C$11*$K$9+$F$11*((EQ28+EI28)/MAX(EQ28+EI28+ER28, 0.1)*$P$9+ER28/MAX(EQ28+EI28+ER28, 0.1)*$Q$9))/($B$11+$C$11+$F$11)</f>
        <v>0</v>
      </c>
      <c r="CX28">
        <v>2</v>
      </c>
      <c r="CY28">
        <v>0.5</v>
      </c>
      <c r="CZ28" t="s">
        <v>417</v>
      </c>
      <c r="DA28">
        <v>2</v>
      </c>
      <c r="DB28">
        <v>1792395076</v>
      </c>
      <c r="DC28">
        <v>1786.224</v>
      </c>
      <c r="DD28">
        <v>1799.94</v>
      </c>
      <c r="DE28">
        <v>17.46696</v>
      </c>
      <c r="DF28">
        <v>15.85332</v>
      </c>
      <c r="DG28">
        <v>1784.164</v>
      </c>
      <c r="DH28">
        <v>17.5446</v>
      </c>
      <c r="DI28">
        <v>500.0806</v>
      </c>
      <c r="DJ28">
        <v>101.303</v>
      </c>
      <c r="DK28">
        <v>0.10008232</v>
      </c>
      <c r="DL28">
        <v>25.17024</v>
      </c>
      <c r="DM28">
        <v>24.97906</v>
      </c>
      <c r="DN28">
        <v>999.9</v>
      </c>
      <c r="DO28">
        <v>0</v>
      </c>
      <c r="DP28">
        <v>0</v>
      </c>
      <c r="DQ28">
        <v>9998.99</v>
      </c>
      <c r="DR28">
        <v>0</v>
      </c>
      <c r="DS28">
        <v>6.444366</v>
      </c>
      <c r="DT28">
        <v>-13.71514</v>
      </c>
      <c r="DU28">
        <v>1817.978</v>
      </c>
      <c r="DV28">
        <v>1828.934</v>
      </c>
      <c r="DW28">
        <v>1.613648</v>
      </c>
      <c r="DX28">
        <v>1799.94</v>
      </c>
      <c r="DY28">
        <v>15.85332</v>
      </c>
      <c r="DZ28">
        <v>1.769452</v>
      </c>
      <c r="EA28">
        <v>1.60599</v>
      </c>
      <c r="EB28">
        <v>15.51954</v>
      </c>
      <c r="EC28">
        <v>14.0164</v>
      </c>
      <c r="ED28">
        <v>1499.998</v>
      </c>
      <c r="EE28">
        <v>0.9730068</v>
      </c>
      <c r="EF28">
        <v>0.02699312</v>
      </c>
      <c r="EG28">
        <v>0</v>
      </c>
      <c r="EH28">
        <v>325.2192</v>
      </c>
      <c r="EI28">
        <v>5.00064</v>
      </c>
      <c r="EJ28">
        <v>5060.034</v>
      </c>
      <c r="EK28">
        <v>15439.2</v>
      </c>
      <c r="EL28">
        <v>41.3874</v>
      </c>
      <c r="EM28">
        <v>42.062</v>
      </c>
      <c r="EN28">
        <v>41.75</v>
      </c>
      <c r="EO28">
        <v>41.687</v>
      </c>
      <c r="EP28">
        <v>42.875</v>
      </c>
      <c r="EQ28">
        <v>1454.638</v>
      </c>
      <c r="ER28">
        <v>40.35</v>
      </c>
      <c r="ES28">
        <v>0</v>
      </c>
      <c r="ET28">
        <v>4599.59999990463</v>
      </c>
      <c r="EU28">
        <v>0</v>
      </c>
      <c r="EV28">
        <v>325.010038461538</v>
      </c>
      <c r="EW28">
        <v>1.69295726253736</v>
      </c>
      <c r="EX28">
        <v>19.1883760178228</v>
      </c>
      <c r="EY28">
        <v>5058.22769230769</v>
      </c>
      <c r="EZ28">
        <v>15</v>
      </c>
      <c r="FA28">
        <v>1792395028</v>
      </c>
      <c r="FB28" t="s">
        <v>456</v>
      </c>
      <c r="FC28">
        <v>1792395028</v>
      </c>
      <c r="FD28">
        <v>1792395014</v>
      </c>
      <c r="FE28">
        <v>72</v>
      </c>
      <c r="FF28">
        <v>0.115</v>
      </c>
      <c r="FG28">
        <v>0.002</v>
      </c>
      <c r="FH28">
        <v>2.028</v>
      </c>
      <c r="FI28">
        <v>-0.141</v>
      </c>
      <c r="FJ28">
        <v>1801</v>
      </c>
      <c r="FK28">
        <v>16</v>
      </c>
      <c r="FL28">
        <v>0.3</v>
      </c>
      <c r="FM28">
        <v>0.02</v>
      </c>
      <c r="FN28">
        <v>26.9407881577096</v>
      </c>
      <c r="FO28">
        <v>0.432251251036175</v>
      </c>
      <c r="FP28">
        <v>0.284755676077539</v>
      </c>
      <c r="FQ28">
        <v>1</v>
      </c>
      <c r="FR28">
        <v>-13.75603</v>
      </c>
      <c r="FS28">
        <v>0.255058646616515</v>
      </c>
      <c r="FT28">
        <v>0.108851279735242</v>
      </c>
      <c r="FU28">
        <v>1</v>
      </c>
      <c r="FV28">
        <v>324.989470588235</v>
      </c>
      <c r="FW28">
        <v>0.684705882946086</v>
      </c>
      <c r="FX28">
        <v>0.255136668715378</v>
      </c>
      <c r="FY28">
        <v>1</v>
      </c>
      <c r="FZ28">
        <v>3</v>
      </c>
      <c r="GA28">
        <v>3</v>
      </c>
      <c r="GB28" t="s">
        <v>419</v>
      </c>
      <c r="GC28">
        <v>3.12341</v>
      </c>
      <c r="GD28">
        <v>2.76556</v>
      </c>
      <c r="GE28">
        <v>0.233822</v>
      </c>
      <c r="GF28">
        <v>0.240833</v>
      </c>
      <c r="GG28">
        <v>0.0930568</v>
      </c>
      <c r="GH28">
        <v>0.0899132</v>
      </c>
      <c r="GI28">
        <v>14889.8</v>
      </c>
      <c r="GJ28">
        <v>22265.6</v>
      </c>
      <c r="GK28">
        <v>22712.8</v>
      </c>
      <c r="GL28">
        <v>30057.1</v>
      </c>
      <c r="GM28">
        <v>33805.1</v>
      </c>
      <c r="GN28">
        <v>34104.3</v>
      </c>
      <c r="GO28">
        <v>42981.4</v>
      </c>
      <c r="GP28">
        <v>42827.9</v>
      </c>
      <c r="GQ28">
        <v>1.95732</v>
      </c>
      <c r="GR28">
        <v>1.80735</v>
      </c>
      <c r="GS28">
        <v>0.0626408</v>
      </c>
      <c r="GT28">
        <v>0</v>
      </c>
      <c r="GU28">
        <v>23.9416</v>
      </c>
      <c r="GV28">
        <v>999.9</v>
      </c>
      <c r="GW28">
        <v>39.928</v>
      </c>
      <c r="GX28">
        <v>32.599</v>
      </c>
      <c r="GY28">
        <v>19.469</v>
      </c>
      <c r="GZ28">
        <v>63.1521</v>
      </c>
      <c r="HA28">
        <v>33.4575</v>
      </c>
      <c r="HB28">
        <v>1</v>
      </c>
      <c r="HC28">
        <v>0.131875</v>
      </c>
      <c r="HD28">
        <v>2.27818</v>
      </c>
      <c r="HE28">
        <v>20.2238</v>
      </c>
      <c r="HF28">
        <v>5.23406</v>
      </c>
      <c r="HG28">
        <v>11.9623</v>
      </c>
      <c r="HH28">
        <v>4.96765</v>
      </c>
      <c r="HI28">
        <v>3.29523</v>
      </c>
      <c r="HJ28">
        <v>999.9</v>
      </c>
      <c r="HK28">
        <v>9999</v>
      </c>
      <c r="HL28">
        <v>9999</v>
      </c>
      <c r="HM28">
        <v>9999</v>
      </c>
      <c r="HN28">
        <v>4.96855</v>
      </c>
      <c r="HO28">
        <v>1.86242</v>
      </c>
      <c r="HP28">
        <v>1.86396</v>
      </c>
      <c r="HQ28">
        <v>1.86584</v>
      </c>
      <c r="HR28">
        <v>1.86293</v>
      </c>
      <c r="HS28">
        <v>1.86661</v>
      </c>
      <c r="HT28">
        <v>1.86338</v>
      </c>
      <c r="HU28">
        <v>1.86524</v>
      </c>
      <c r="HV28">
        <v>0</v>
      </c>
      <c r="HW28">
        <v>0</v>
      </c>
      <c r="HX28">
        <v>0</v>
      </c>
      <c r="HY28">
        <v>0</v>
      </c>
      <c r="HZ28" t="s">
        <v>420</v>
      </c>
      <c r="IA28" t="s">
        <v>421</v>
      </c>
      <c r="IB28" t="s">
        <v>422</v>
      </c>
      <c r="IC28" t="s">
        <v>422</v>
      </c>
      <c r="ID28" t="s">
        <v>422</v>
      </c>
      <c r="IE28" t="s">
        <v>422</v>
      </c>
      <c r="IF28">
        <v>0</v>
      </c>
      <c r="IG28">
        <v>100</v>
      </c>
      <c r="IH28">
        <v>100</v>
      </c>
      <c r="II28">
        <v>2.07</v>
      </c>
      <c r="IJ28">
        <v>-0.0778</v>
      </c>
      <c r="IK28">
        <v>1.11704169655372</v>
      </c>
      <c r="IL28">
        <v>0.000216929631606078</v>
      </c>
      <c r="IM28">
        <v>2.72263024731635e-07</v>
      </c>
      <c r="IN28">
        <v>-5.43792051235154e-11</v>
      </c>
      <c r="IO28">
        <v>0.0102617463874689</v>
      </c>
      <c r="IP28">
        <v>-0.0584433849545669</v>
      </c>
      <c r="IQ28">
        <v>0.00341568706061026</v>
      </c>
      <c r="IR28">
        <v>-2.10952612506686e-05</v>
      </c>
      <c r="IS28">
        <v>-0</v>
      </c>
      <c r="IT28">
        <v>1734</v>
      </c>
      <c r="IU28">
        <v>2</v>
      </c>
      <c r="IV28">
        <v>19</v>
      </c>
      <c r="IW28">
        <v>0.8</v>
      </c>
      <c r="IX28">
        <v>1.1</v>
      </c>
      <c r="IY28">
        <v>3.47412</v>
      </c>
      <c r="IZ28">
        <v>2.50854</v>
      </c>
      <c r="JA28">
        <v>1.34644</v>
      </c>
      <c r="JB28">
        <v>2.2583</v>
      </c>
      <c r="JC28">
        <v>1.55029</v>
      </c>
      <c r="JD28">
        <v>2.71362</v>
      </c>
      <c r="JE28">
        <v>36.4814</v>
      </c>
      <c r="JF28">
        <v>15.3579</v>
      </c>
      <c r="JG28">
        <v>18</v>
      </c>
      <c r="JH28">
        <v>499.282</v>
      </c>
      <c r="JI28">
        <v>479.976</v>
      </c>
      <c r="JJ28">
        <v>21.4598</v>
      </c>
      <c r="JK28">
        <v>28.9716</v>
      </c>
      <c r="JL28">
        <v>29.9997</v>
      </c>
      <c r="JM28">
        <v>28.9945</v>
      </c>
      <c r="JN28">
        <v>29.012</v>
      </c>
      <c r="JO28">
        <v>69.5627</v>
      </c>
      <c r="JP28">
        <v>27.8254</v>
      </c>
      <c r="JQ28">
        <v>31.1036</v>
      </c>
      <c r="JR28">
        <v>21.4659</v>
      </c>
      <c r="JS28">
        <v>1800</v>
      </c>
      <c r="JT28">
        <v>15.8113</v>
      </c>
      <c r="JU28">
        <v>101.484</v>
      </c>
      <c r="JV28">
        <v>97.2347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2026-10-19T16:33:27Z</dcterms:created>
  <dcterms:modified xsi:type="dcterms:W3CDTF">2026-10-19T16:33:27Z</dcterms:modified>
</cp:coreProperties>
</file>