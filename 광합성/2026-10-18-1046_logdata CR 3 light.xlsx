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<sst xmlns="http://schemas.openxmlformats.org/spreadsheetml/2006/main" count="802" uniqueCount="381">
  <si>
    <t>File opened</t>
  </si>
  <si>
    <t>2026-10-18 10:46:50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</si>
  <si>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</si>
  <si>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</si>
  <si>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</si>
  <si>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</si>
  <si>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</si>
  <si>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</si>
  <si>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</si>
  <si>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</si>
  <si>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</si>
  <si>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</si>
  <si>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</si>
  <si>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{"h2oaspan2b": "0.0986302", "co2bspanconc2": "1516", "h2oaspan2": "0", "h2obspanconc2": "0", "co2bspanconc1": "437.6", "h2oaspanconc2": "0", "h2obspan1": "1.01044", "ssa_ref": "37830.5", "co2aspan2a": "0.106022", "flowazero": "0.276", "tazero": "0.15448", "h2oazero": "1.03097", "co2bspan2": "-0.00857283", "h2oaspan1": "1.02308", "h2obspan2b": "0.0971974", "h2obspan2a": "0.0961931", "h2obspan2": "0", "chamberpressurezero": "2.71033", "ssb_ref": "36242.9", "co2bzero": "0.953041", "co2azero": "0.931334", "h2obzero": "1.01897", "flowbzero": "0.30473", "co2aspan1": "1.00082", "h2oaspanconc1": "17.96", "co2aspanconc1": "437.6", "co2bspan1": "1.00005", "co2aspan2b": "0.105998", "co2aspan2": "-0.00988168", "h2obspanconc1": "17.96", "co2bspan2a": "0.105708", "tbzero": "0.143742", "oxygen": "21", "h2oaspan2a": "0.0964052", "co2bspan2b": "0.105618", "flowmeterzero": "2.483", "co2aspanconc2": "1516"}</t>
  </si>
  <si>
    <t>Factory cal date</t>
  </si>
  <si>
    <t>14 Dec 2023</t>
  </si>
  <si>
    <t>CO2 rangematch</t>
  </si>
  <si>
    <t>Fri Oct 16 09:42</t>
  </si>
  <si>
    <t>H2O rangematch</t>
  </si>
  <si>
    <t>Fri Oct 16 09:48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</si>
  <si>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</si>
  <si>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</si>
  <si>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</si>
  <si>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</si>
  <si>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</si>
  <si>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</si>
  <si>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</si>
  <si>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</si>
  <si>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</si>
  <si>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10:46:50</t>
  </si>
  <si>
    <t>Stability Definition:	F (FlrLS): Slp&lt;1 Per=20	A (GasEx): Slp&lt;0.6 Per=20	ΔCO2 (Meas2): Slp&lt;0.5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</si>
  <si>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</si>
  <si>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</si>
  <si>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</si>
  <si>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</si>
  <si>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</si>
  <si>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</si>
  <si>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</si>
  <si>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</si>
  <si>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</si>
  <si>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</si>
  <si>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</si>
  <si>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</si>
  <si>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</si>
  <si>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</si>
  <si>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</si>
  <si>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</si>
  <si>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</si>
  <si>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</si>
  <si>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</si>
  <si>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</si>
  <si>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</si>
  <si>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</si>
  <si>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</si>
  <si>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</si>
  <si>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</si>
  <si>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</si>
  <si>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</si>
  <si>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</si>
  <si>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</si>
  <si>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</si>
  <si>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</si>
  <si>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</si>
  <si>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</si>
  <si>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</si>
  <si>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</si>
  <si>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</si>
  <si>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</si>
  <si>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</si>
  <si>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</si>
  <si>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</si>
  <si>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</si>
  <si>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</si>
  <si>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</si>
  <si>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</si>
  <si>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</si>
  <si>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</si>
  <si>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</si>
  <si>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</si>
  <si>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</si>
  <si>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</si>
  <si>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</si>
  <si>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</si>
  <si>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4.11497 200.008 352.137 581.816 845.455 1058.69 1250.8 1364.04</t>
  </si>
  <si>
    <t>Fs_true</t>
  </si>
  <si>
    <t>0.208878 227.229 384.124 588.385 810.893 1001.58 1202.49 1400.6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</si>
  <si>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</si>
  <si>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</si>
  <si>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</si>
  <si>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</si>
  <si>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</si>
  <si>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</si>
  <si>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</si>
  <si>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</si>
  <si>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</si>
  <si>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</si>
  <si>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</si>
  <si>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</si>
  <si>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</si>
  <si>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</si>
  <si>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</si>
  <si>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</si>
  <si>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</si>
  <si>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</si>
  <si>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</si>
  <si>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</si>
  <si>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</si>
  <si>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</si>
  <si>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</si>
  <si>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</si>
  <si>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</si>
  <si>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</si>
  <si>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</si>
  <si>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</si>
  <si>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</si>
  <si>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</si>
  <si>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</si>
  <si>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</si>
  <si>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</si>
  <si>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</si>
  <si>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</si>
  <si>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</si>
  <si>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</si>
  <si>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</si>
  <si>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</si>
  <si>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</si>
  <si>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</si>
  <si>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</si>
  <si>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</si>
  <si>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</si>
  <si>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</si>
  <si>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</si>
  <si>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</si>
  <si>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</si>
  <si>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</si>
  <si>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</si>
  <si>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</si>
  <si>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</si>
  <si>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</si>
  <si>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</si>
  <si>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</si>
  <si>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</si>
  <si>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</si>
  <si>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</si>
  <si>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</si>
  <si>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</si>
  <si>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</si>
  <si>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</si>
  <si>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</si>
  <si>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</si>
  <si>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</si>
  <si>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</si>
  <si>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</si>
  <si>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</si>
  <si>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</si>
  <si>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</si>
  <si>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</si>
  <si>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</si>
  <si>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</si>
  <si>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</si>
  <si>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</si>
  <si>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</si>
  <si>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</si>
  <si>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</si>
  <si>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</si>
  <si>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</si>
  <si>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</si>
  <si>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</si>
  <si>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</si>
  <si>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</si>
  <si>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</si>
  <si>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</si>
  <si>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</si>
  <si>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</si>
  <si>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</si>
  <si>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</si>
  <si>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</si>
  <si>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</si>
  <si>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</si>
  <si>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</si>
  <si>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</si>
  <si>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</si>
  <si>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</si>
  <si>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</si>
  <si>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</si>
  <si>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</si>
  <si>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</si>
  <si>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</si>
  <si>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</si>
  <si>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</si>
  <si>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</si>
  <si>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</si>
  <si>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</si>
  <si>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</si>
  <si>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</si>
  <si>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</si>
  <si>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</si>
  <si>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</si>
  <si>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</si>
  <si>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</si>
  <si>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</si>
  <si>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</si>
  <si>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</si>
  <si>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</si>
  <si>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</si>
  <si>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</si>
  <si>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</si>
  <si>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</si>
  <si>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</si>
  <si>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</si>
  <si>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</si>
  <si>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</si>
  <si>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</si>
  <si>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</si>
  <si>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</si>
  <si>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</si>
  <si>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</si>
  <si>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</si>
  <si>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</si>
  <si>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</si>
  <si>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</si>
  <si>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</si>
  <si>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</si>
  <si>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</si>
  <si>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</si>
  <si>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</si>
  <si>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</si>
  <si>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</si>
  <si>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</si>
  <si>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</si>
  <si>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</si>
  <si>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</si>
  <si>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</si>
  <si>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</si>
  <si>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</si>
  <si>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</si>
  <si>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</si>
  <si>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</si>
  <si>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</si>
  <si>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</si>
  <si>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</si>
  <si>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</si>
  <si>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</si>
  <si>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</si>
  <si>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</si>
  <si>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</si>
  <si>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</si>
  <si>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</si>
  <si>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</si>
  <si>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</si>
  <si>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</si>
  <si>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</si>
  <si>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</si>
  <si>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</si>
  <si>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</si>
  <si>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</si>
  <si>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</si>
  <si>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</si>
  <si>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</si>
  <si>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</si>
  <si>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</si>
  <si>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</si>
  <si>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</si>
  <si>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</si>
  <si>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</si>
  <si>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</si>
  <si>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</si>
  <si>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</si>
  <si>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</si>
  <si>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</si>
  <si>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</si>
  <si>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</si>
  <si>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</si>
  <si>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</si>
  <si>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</si>
  <si>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</si>
  <si>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</si>
  <si>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</si>
  <si>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</si>
  <si>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</si>
  <si>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</si>
  <si>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</si>
  <si>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</si>
  <si>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</si>
  <si>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</si>
  <si>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</si>
  <si>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</si>
  <si>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</si>
  <si>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</si>
  <si>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</si>
  <si>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</si>
  <si>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</si>
  <si>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</si>
  <si>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</si>
  <si>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</si>
  <si>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</si>
  <si>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</si>
  <si>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</si>
  <si>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</si>
  <si>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</si>
  <si>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</si>
  <si>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</si>
  <si>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</si>
  <si>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</si>
  <si>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</si>
  <si>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</si>
  <si>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</si>
  <si>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</si>
  <si>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</si>
  <si>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</si>
  <si>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</si>
  <si>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</si>
  <si>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</si>
  <si>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</si>
  <si>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</si>
  <si>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</si>
  <si>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</si>
  <si>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</si>
  <si>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</si>
  <si>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</si>
  <si>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</si>
  <si>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</si>
  <si>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</si>
  <si>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</si>
  <si>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</si>
  <si>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</si>
  <si>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</si>
  <si>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</si>
  <si>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</si>
  <si>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</si>
  <si>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</si>
  <si>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</si>
  <si>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</si>
  <si>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</si>
  <si>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</si>
  <si>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</si>
  <si>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</si>
  <si>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</si>
  <si>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</si>
  <si>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</si>
  <si>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</si>
  <si>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20261018 11:14:58</t>
  </si>
  <si>
    <t>11:14:58</t>
  </si>
  <si>
    <t>MPF-219-20261017-17_41_13</t>
  </si>
  <si>
    <t>MPF-221-20261018-11_15_01</t>
  </si>
  <si>
    <t>-</t>
  </si>
  <si>
    <t>0: Broadleaf</t>
  </si>
  <si>
    <t>11:12:15</t>
  </si>
  <si>
    <t>3/3</t>
  </si>
  <si>
    <t>20261018 11:17:01</t>
  </si>
  <si>
    <t>11:17:01</t>
  </si>
  <si>
    <t>MPF-222-20261018-11_17_04</t>
  </si>
  <si>
    <t>20261018 11:19:17</t>
  </si>
  <si>
    <t>11:19:17</t>
  </si>
  <si>
    <t>MPF-223-20261018-11_19_20</t>
  </si>
  <si>
    <t>11:18:29</t>
  </si>
  <si>
    <t>20261018 11:21:20</t>
  </si>
  <si>
    <t>11:21:20</t>
  </si>
  <si>
    <t>MPF-224-20261018-11_21_23</t>
  </si>
  <si>
    <t>11:20:21</t>
  </si>
  <si>
    <t>20261018 11:24:23</t>
  </si>
  <si>
    <t>11:24:23</t>
  </si>
  <si>
    <t>MPF-225-20261018-11_24_26</t>
  </si>
  <si>
    <t>11:22:26</t>
  </si>
  <si>
    <t>2/3</t>
  </si>
  <si>
    <t>20261018 11:27:19</t>
  </si>
  <si>
    <t>11:27:19</t>
  </si>
  <si>
    <t>MPF-226-20261018-11_27_22</t>
  </si>
  <si>
    <t>11:25:37</t>
  </si>
  <si>
    <t>20261018 11:30:03</t>
  </si>
  <si>
    <t>11:30:03</t>
  </si>
  <si>
    <t>MPF-227-20261018-11_30_06</t>
  </si>
  <si>
    <t>11:28:23</t>
  </si>
  <si>
    <t>20261018 11:32:06</t>
  </si>
  <si>
    <t>11:32:06</t>
  </si>
  <si>
    <t>MPF-228-20261018-11_32_09</t>
  </si>
  <si>
    <t>11:31:17</t>
  </si>
  <si>
    <t>20261018 11:34:27</t>
  </si>
  <si>
    <t>11:34:27</t>
  </si>
  <si>
    <t>MPF-229-20261018-11_34_30</t>
  </si>
  <si>
    <t>11:33:07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</si>
</sst>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H25"/>
  <sheetViews>
    <sheetView tabSelected="1" workbookViewId="0"/>
  </sheetViews>
  <sheetFormatPr defaultRowHeight="15"/>
  <sheetData>
    <row r="2" spans="1:216">
      <c r="A2" t="s">
        <v>31</v>
      </c>
      <c r="B2" t="s">
        <v>32</v>
      </c>
      <c r="C2" t="s">
        <v>34</v>
      </c>
    </row>
    <row r="3" spans="1:216">
      <c r="B3" t="s">
        <v>33</v>
      </c>
      <c r="C3">
        <v>21</v>
      </c>
    </row>
    <row r="4" spans="1:21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>
      <c r="B5" t="s">
        <v>21</v>
      </c>
      <c r="C5" t="s">
        <v>38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16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>
      <c r="B7">
        <v>0</v>
      </c>
      <c r="C7">
        <v>1</v>
      </c>
      <c r="D7">
        <v>0</v>
      </c>
      <c r="E7">
        <v>0</v>
      </c>
    </row>
    <row r="8" spans="1:216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16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>
      <c r="B11">
        <v>0</v>
      </c>
      <c r="C11">
        <v>0</v>
      </c>
      <c r="D11">
        <v>0</v>
      </c>
      <c r="E11">
        <v>0</v>
      </c>
      <c r="F11">
        <v>1</v>
      </c>
    </row>
    <row r="12" spans="1:216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16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>
      <c r="A17">
        <v>1</v>
      </c>
      <c r="B17">
        <v>1792289698</v>
      </c>
      <c r="C17">
        <v>0</v>
      </c>
      <c r="D17" t="s">
        <v>341</v>
      </c>
      <c r="E17" t="s">
        <v>342</v>
      </c>
      <c r="F17">
        <v>5</v>
      </c>
      <c r="G17">
        <v>1792289695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343</v>
      </c>
      <c r="AK17">
        <v>8117.93</v>
      </c>
      <c r="AL17">
        <v>192.957692307692</v>
      </c>
      <c r="AM17">
        <v>719.687708182351</v>
      </c>
      <c r="AN17">
        <f>1-AL17/AM17</f>
        <v>0</v>
      </c>
      <c r="AO17">
        <v>-1.61817289260315</v>
      </c>
      <c r="AP17" t="s">
        <v>344</v>
      </c>
      <c r="AQ17">
        <v>8142.18</v>
      </c>
      <c r="AR17">
        <v>289.431038461538</v>
      </c>
      <c r="AS17">
        <v>346.207464923569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345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BL17">
        <v>221</v>
      </c>
      <c r="BM17">
        <v>290</v>
      </c>
      <c r="BN17">
        <v>337.21</v>
      </c>
      <c r="BO17">
        <v>275</v>
      </c>
      <c r="BP17">
        <v>8142.18</v>
      </c>
      <c r="BQ17">
        <v>337.28</v>
      </c>
      <c r="BR17">
        <v>-0.07</v>
      </c>
      <c r="BS17">
        <v>300</v>
      </c>
      <c r="BT17">
        <v>19.1</v>
      </c>
      <c r="BU17">
        <v>346.207464923569</v>
      </c>
      <c r="BV17">
        <v>2.88971972796974</v>
      </c>
      <c r="BW17">
        <v>-7.26712548792239</v>
      </c>
      <c r="BX17">
        <v>2.15303251829489</v>
      </c>
      <c r="BY17">
        <v>0.289207213542103</v>
      </c>
      <c r="BZ17">
        <v>-0.00438726852057842</v>
      </c>
      <c r="CA17">
        <v>290</v>
      </c>
      <c r="CB17">
        <v>337.81</v>
      </c>
      <c r="CC17">
        <v>775</v>
      </c>
      <c r="CD17">
        <v>8135.99</v>
      </c>
      <c r="CE17">
        <v>337.28</v>
      </c>
      <c r="CF17">
        <v>0.53</v>
      </c>
      <c r="CT17">
        <f>$B$11*DR17+$C$11*DS17+$F$11*DT17*(1-DW17)</f>
        <v>0</v>
      </c>
      <c r="CU17">
        <f>CT17*CV17</f>
        <v>0</v>
      </c>
      <c r="CV17">
        <f>($B$11*$D$9+$C$11*$D$9+$F$11*((EG17+DY17)/MAX(EG17+DY17+EH17, 0.1)*$I$9+EH17/MAX(EG17+DY17+EH17, 0.1)*$J$9))/($B$11+$C$11+$F$11)</f>
        <v>0</v>
      </c>
      <c r="CW17">
        <f>($B$11*$K$9+$C$11*$K$9+$F$11*((EG17+DY17)/MAX(EG17+DY17+EH17, 0.1)*$P$9+EH17/MAX(EG17+DY17+EH17, 0.1)*$Q$9))/($B$11+$C$11+$F$11)</f>
        <v>0</v>
      </c>
      <c r="CX17">
        <v>2</v>
      </c>
      <c r="CY17">
        <v>0.5</v>
      </c>
      <c r="CZ17" t="s">
        <v>346</v>
      </c>
      <c r="DA17">
        <v>2</v>
      </c>
      <c r="DB17">
        <v>1792289695</v>
      </c>
      <c r="DC17">
        <v>400.0342</v>
      </c>
      <c r="DD17">
        <v>405.7532</v>
      </c>
      <c r="DE17">
        <v>17.48286</v>
      </c>
      <c r="DF17">
        <v>16.63512</v>
      </c>
      <c r="DG17">
        <v>400.4</v>
      </c>
      <c r="DH17">
        <v>17.63576</v>
      </c>
      <c r="DI17">
        <v>500.0164</v>
      </c>
      <c r="DJ17">
        <v>101.0734</v>
      </c>
      <c r="DK17">
        <v>0.1001863</v>
      </c>
      <c r="DL17">
        <v>25.20668</v>
      </c>
      <c r="DM17">
        <v>25.01212</v>
      </c>
      <c r="DN17">
        <v>999.9</v>
      </c>
      <c r="DO17">
        <v>0</v>
      </c>
      <c r="DP17">
        <v>0</v>
      </c>
      <c r="DQ17">
        <v>9987.01</v>
      </c>
      <c r="DR17">
        <v>0</v>
      </c>
      <c r="DS17">
        <v>7.2843</v>
      </c>
      <c r="DT17">
        <v>1500.022</v>
      </c>
      <c r="DU17">
        <v>0.972994</v>
      </c>
      <c r="DV17">
        <v>0.02700612</v>
      </c>
      <c r="DW17">
        <v>0</v>
      </c>
      <c r="DX17">
        <v>289.2328</v>
      </c>
      <c r="DY17">
        <v>4.99999</v>
      </c>
      <c r="DZ17">
        <v>4272.37</v>
      </c>
      <c r="EA17">
        <v>14882.76</v>
      </c>
      <c r="EB17">
        <v>36.875</v>
      </c>
      <c r="EC17">
        <v>38.437</v>
      </c>
      <c r="ED17">
        <v>37.4496</v>
      </c>
      <c r="EE17">
        <v>37.9246</v>
      </c>
      <c r="EF17">
        <v>38.4748</v>
      </c>
      <c r="EG17">
        <v>1454.652</v>
      </c>
      <c r="EH17">
        <v>40.37</v>
      </c>
      <c r="EI17">
        <v>0</v>
      </c>
      <c r="EJ17">
        <v>1792289698.8</v>
      </c>
      <c r="EK17">
        <v>0</v>
      </c>
      <c r="EL17">
        <v>289.431038461538</v>
      </c>
      <c r="EM17">
        <v>-2.43032478098195</v>
      </c>
      <c r="EN17">
        <v>0.262222244433219</v>
      </c>
      <c r="EO17">
        <v>4272.34423076923</v>
      </c>
      <c r="EP17">
        <v>15</v>
      </c>
      <c r="EQ17">
        <v>1792289535</v>
      </c>
      <c r="ER17" t="s">
        <v>347</v>
      </c>
      <c r="ES17">
        <v>1792289533</v>
      </c>
      <c r="ET17">
        <v>1792289535</v>
      </c>
      <c r="EU17">
        <v>14</v>
      </c>
      <c r="EV17">
        <v>-0.328</v>
      </c>
      <c r="EW17">
        <v>0.006</v>
      </c>
      <c r="EX17">
        <v>-0.363</v>
      </c>
      <c r="EY17">
        <v>-0.165</v>
      </c>
      <c r="EZ17">
        <v>406</v>
      </c>
      <c r="FA17">
        <v>17</v>
      </c>
      <c r="FB17">
        <v>0.5</v>
      </c>
      <c r="FC17">
        <v>0.06</v>
      </c>
      <c r="FD17">
        <v>13.5332067533411</v>
      </c>
      <c r="FE17">
        <v>-0.227997486134014</v>
      </c>
      <c r="FF17">
        <v>0.102929392799369</v>
      </c>
      <c r="FG17">
        <v>1</v>
      </c>
      <c r="FH17">
        <v>-5.757198</v>
      </c>
      <c r="FI17">
        <v>0.160431879699239</v>
      </c>
      <c r="FJ17">
        <v>0.0436240714055899</v>
      </c>
      <c r="FK17">
        <v>1</v>
      </c>
      <c r="FL17">
        <v>289.513441176471</v>
      </c>
      <c r="FM17">
        <v>-0.875248276372348</v>
      </c>
      <c r="FN17">
        <v>0.438032310866814</v>
      </c>
      <c r="FO17">
        <v>1</v>
      </c>
      <c r="FP17">
        <v>3</v>
      </c>
      <c r="FQ17">
        <v>3</v>
      </c>
      <c r="FR17" t="s">
        <v>348</v>
      </c>
      <c r="FS17">
        <v>100</v>
      </c>
      <c r="FT17">
        <v>100</v>
      </c>
      <c r="FU17">
        <v>-0.366</v>
      </c>
      <c r="FV17">
        <v>-0.1528</v>
      </c>
      <c r="FW17">
        <v>-0.440643707742737</v>
      </c>
      <c r="FX17">
        <v>-6.16732984266029e-05</v>
      </c>
      <c r="FY17">
        <v>6.19398071816742e-07</v>
      </c>
      <c r="FZ17">
        <v>3.19222985850634e-12</v>
      </c>
      <c r="GA17">
        <v>-0.0734429782633424</v>
      </c>
      <c r="GB17">
        <v>-0.0257783215012692</v>
      </c>
      <c r="GC17">
        <v>0.00133723821780375</v>
      </c>
      <c r="GD17">
        <v>-7.42160749481374e-06</v>
      </c>
      <c r="GE17">
        <v>7</v>
      </c>
      <c r="GF17">
        <v>2154</v>
      </c>
      <c r="GG17">
        <v>2</v>
      </c>
      <c r="GH17">
        <v>20</v>
      </c>
      <c r="GI17">
        <v>2.8</v>
      </c>
      <c r="GJ17">
        <v>2.7</v>
      </c>
      <c r="GK17">
        <v>1.05225</v>
      </c>
      <c r="GL17">
        <v>2.62329</v>
      </c>
      <c r="GM17">
        <v>1.65161</v>
      </c>
      <c r="GN17">
        <v>2.27539</v>
      </c>
      <c r="GO17">
        <v>1.5979</v>
      </c>
      <c r="GP17">
        <v>2.6416</v>
      </c>
      <c r="GQ17">
        <v>33.244</v>
      </c>
      <c r="GR17">
        <v>14.6486</v>
      </c>
      <c r="GS17">
        <v>18</v>
      </c>
      <c r="GT17">
        <v>504.856</v>
      </c>
      <c r="GU17">
        <v>545.65</v>
      </c>
      <c r="GV17">
        <v>21.4737</v>
      </c>
      <c r="GW17">
        <v>29.7411</v>
      </c>
      <c r="GX17">
        <v>30.0002</v>
      </c>
      <c r="GY17">
        <v>29.9058</v>
      </c>
      <c r="GZ17">
        <v>29.9644</v>
      </c>
      <c r="HA17">
        <v>21.0476</v>
      </c>
      <c r="HB17">
        <v>28.6407</v>
      </c>
      <c r="HC17">
        <v>48.045</v>
      </c>
      <c r="HD17">
        <v>21.4655</v>
      </c>
      <c r="HE17">
        <v>405.775</v>
      </c>
      <c r="HF17">
        <v>16.6637</v>
      </c>
      <c r="HG17">
        <v>98.0358</v>
      </c>
      <c r="HH17">
        <v>94.5169</v>
      </c>
    </row>
    <row r="18" spans="1:216">
      <c r="A18">
        <v>2</v>
      </c>
      <c r="B18">
        <v>1792289821</v>
      </c>
      <c r="C18">
        <v>123</v>
      </c>
      <c r="D18" t="s">
        <v>349</v>
      </c>
      <c r="E18" t="s">
        <v>350</v>
      </c>
      <c r="F18">
        <v>5</v>
      </c>
      <c r="G18">
        <v>1792289817.5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343</v>
      </c>
      <c r="AK18">
        <v>8117.93</v>
      </c>
      <c r="AL18">
        <v>192.957692307692</v>
      </c>
      <c r="AM18">
        <v>719.687708182351</v>
      </c>
      <c r="AN18">
        <f>1-AL18/AM18</f>
        <v>0</v>
      </c>
      <c r="AO18">
        <v>-1.61817289260315</v>
      </c>
      <c r="AP18" t="s">
        <v>351</v>
      </c>
      <c r="AQ18">
        <v>8143.12</v>
      </c>
      <c r="AR18">
        <v>281.241</v>
      </c>
      <c r="AS18">
        <v>358.294555269906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345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BL18">
        <v>222</v>
      </c>
      <c r="BM18">
        <v>290</v>
      </c>
      <c r="BN18">
        <v>344.2</v>
      </c>
      <c r="BO18">
        <v>285</v>
      </c>
      <c r="BP18">
        <v>8143.12</v>
      </c>
      <c r="BQ18">
        <v>344.04</v>
      </c>
      <c r="BR18">
        <v>0.16</v>
      </c>
      <c r="BS18">
        <v>300</v>
      </c>
      <c r="BT18">
        <v>19.1</v>
      </c>
      <c r="BU18">
        <v>358.294555269906</v>
      </c>
      <c r="BV18">
        <v>3.22660463064124</v>
      </c>
      <c r="BW18">
        <v>-11.6116926186728</v>
      </c>
      <c r="BX18">
        <v>2.39371685942537</v>
      </c>
      <c r="BY18">
        <v>0.4566406774787</v>
      </c>
      <c r="BZ18">
        <v>-0.0045886104560623</v>
      </c>
      <c r="CA18">
        <v>290</v>
      </c>
      <c r="CB18">
        <v>344.13</v>
      </c>
      <c r="CC18">
        <v>715</v>
      </c>
      <c r="CD18">
        <v>8137.88</v>
      </c>
      <c r="CE18">
        <v>344.03</v>
      </c>
      <c r="CF18">
        <v>0.1</v>
      </c>
      <c r="CT18">
        <f>$B$11*DR18+$C$11*DS18+$F$11*DT18*(1-DW18)</f>
        <v>0</v>
      </c>
      <c r="CU18">
        <f>CT18*CV18</f>
        <v>0</v>
      </c>
      <c r="CV18">
        <f>($B$11*$D$9+$C$11*$D$9+$F$11*((EG18+DY18)/MAX(EG18+DY18+EH18, 0.1)*$I$9+EH18/MAX(EG18+DY18+EH18, 0.1)*$J$9))/($B$11+$C$11+$F$11)</f>
        <v>0</v>
      </c>
      <c r="CW18">
        <f>($B$11*$K$9+$C$11*$K$9+$F$11*((EG18+DY18)/MAX(EG18+DY18+EH18, 0.1)*$P$9+EH18/MAX(EG18+DY18+EH18, 0.1)*$Q$9))/($B$11+$C$11+$F$11)</f>
        <v>0</v>
      </c>
      <c r="CX18">
        <v>2</v>
      </c>
      <c r="CY18">
        <v>0.5</v>
      </c>
      <c r="CZ18" t="s">
        <v>346</v>
      </c>
      <c r="DA18">
        <v>2</v>
      </c>
      <c r="DB18">
        <v>1792289817.5</v>
      </c>
      <c r="DC18">
        <v>400.007333333333</v>
      </c>
      <c r="DD18">
        <v>405.459833333333</v>
      </c>
      <c r="DE18">
        <v>17.5032166666667</v>
      </c>
      <c r="DF18">
        <v>16.6815666666667</v>
      </c>
      <c r="DG18">
        <v>400.373166666667</v>
      </c>
      <c r="DH18">
        <v>17.6558</v>
      </c>
      <c r="DI18">
        <v>500.098</v>
      </c>
      <c r="DJ18">
        <v>101.076</v>
      </c>
      <c r="DK18">
        <v>0.100235533333333</v>
      </c>
      <c r="DL18">
        <v>25.3436166666667</v>
      </c>
      <c r="DM18">
        <v>25.00405</v>
      </c>
      <c r="DN18">
        <v>999.9</v>
      </c>
      <c r="DO18">
        <v>0</v>
      </c>
      <c r="DP18">
        <v>0</v>
      </c>
      <c r="DQ18">
        <v>9994.375</v>
      </c>
      <c r="DR18">
        <v>0</v>
      </c>
      <c r="DS18">
        <v>7.2843</v>
      </c>
      <c r="DT18">
        <v>1200.03166666667</v>
      </c>
      <c r="DU18">
        <v>0.9670105</v>
      </c>
      <c r="DV18">
        <v>0.0329891666666667</v>
      </c>
      <c r="DW18">
        <v>0</v>
      </c>
      <c r="DX18">
        <v>281.088333333333</v>
      </c>
      <c r="DY18">
        <v>4.99999</v>
      </c>
      <c r="DZ18">
        <v>3321.83833333333</v>
      </c>
      <c r="EA18">
        <v>11873.0166666667</v>
      </c>
      <c r="EB18">
        <v>36.562</v>
      </c>
      <c r="EC18">
        <v>38.437</v>
      </c>
      <c r="ED18">
        <v>37.375</v>
      </c>
      <c r="EE18">
        <v>37.875</v>
      </c>
      <c r="EF18">
        <v>38.312</v>
      </c>
      <c r="EG18">
        <v>1155.61166666667</v>
      </c>
      <c r="EH18">
        <v>39.42</v>
      </c>
      <c r="EI18">
        <v>0</v>
      </c>
      <c r="EJ18">
        <v>121.699999809265</v>
      </c>
      <c r="EK18">
        <v>0</v>
      </c>
      <c r="EL18">
        <v>281.241</v>
      </c>
      <c r="EM18">
        <v>-0.488341855188192</v>
      </c>
      <c r="EN18">
        <v>-0.194871819735228</v>
      </c>
      <c r="EO18">
        <v>3321.67846153846</v>
      </c>
      <c r="EP18">
        <v>15</v>
      </c>
      <c r="EQ18">
        <v>1792289535</v>
      </c>
      <c r="ER18" t="s">
        <v>347</v>
      </c>
      <c r="ES18">
        <v>1792289533</v>
      </c>
      <c r="ET18">
        <v>1792289535</v>
      </c>
      <c r="EU18">
        <v>14</v>
      </c>
      <c r="EV18">
        <v>-0.328</v>
      </c>
      <c r="EW18">
        <v>0.006</v>
      </c>
      <c r="EX18">
        <v>-0.363</v>
      </c>
      <c r="EY18">
        <v>-0.165</v>
      </c>
      <c r="EZ18">
        <v>406</v>
      </c>
      <c r="FA18">
        <v>17</v>
      </c>
      <c r="FB18">
        <v>0.5</v>
      </c>
      <c r="FC18">
        <v>0.06</v>
      </c>
      <c r="FD18">
        <v>12.7747934509063</v>
      </c>
      <c r="FE18">
        <v>-0.360545818170977</v>
      </c>
      <c r="FF18">
        <v>0.111941145099469</v>
      </c>
      <c r="FG18">
        <v>1</v>
      </c>
      <c r="FH18">
        <v>-5.436987</v>
      </c>
      <c r="FI18">
        <v>0.031810827067674</v>
      </c>
      <c r="FJ18">
        <v>0.0405719382208936</v>
      </c>
      <c r="FK18">
        <v>1</v>
      </c>
      <c r="FL18">
        <v>281.259970588235</v>
      </c>
      <c r="FM18">
        <v>-0.538808232123295</v>
      </c>
      <c r="FN18">
        <v>0.412019523045014</v>
      </c>
      <c r="FO18">
        <v>1</v>
      </c>
      <c r="FP18">
        <v>3</v>
      </c>
      <c r="FQ18">
        <v>3</v>
      </c>
      <c r="FR18" t="s">
        <v>348</v>
      </c>
      <c r="FS18">
        <v>100</v>
      </c>
      <c r="FT18">
        <v>100</v>
      </c>
      <c r="FU18">
        <v>-0.366</v>
      </c>
      <c r="FV18">
        <v>-0.1527</v>
      </c>
      <c r="FW18">
        <v>-0.440643707742737</v>
      </c>
      <c r="FX18">
        <v>-6.16732984266029e-05</v>
      </c>
      <c r="FY18">
        <v>6.19398071816742e-07</v>
      </c>
      <c r="FZ18">
        <v>3.19222985850634e-12</v>
      </c>
      <c r="GA18">
        <v>-0.0734429782633424</v>
      </c>
      <c r="GB18">
        <v>-0.0257783215012692</v>
      </c>
      <c r="GC18">
        <v>0.00133723821780375</v>
      </c>
      <c r="GD18">
        <v>-7.42160749481374e-06</v>
      </c>
      <c r="GE18">
        <v>7</v>
      </c>
      <c r="GF18">
        <v>2154</v>
      </c>
      <c r="GG18">
        <v>2</v>
      </c>
      <c r="GH18">
        <v>20</v>
      </c>
      <c r="GI18">
        <v>4.8</v>
      </c>
      <c r="GJ18">
        <v>4.8</v>
      </c>
      <c r="GK18">
        <v>1.05225</v>
      </c>
      <c r="GL18">
        <v>2.64404</v>
      </c>
      <c r="GM18">
        <v>1.65161</v>
      </c>
      <c r="GN18">
        <v>2.27539</v>
      </c>
      <c r="GO18">
        <v>1.5979</v>
      </c>
      <c r="GP18">
        <v>2.43896</v>
      </c>
      <c r="GQ18">
        <v>33.2887</v>
      </c>
      <c r="GR18">
        <v>14.6224</v>
      </c>
      <c r="GS18">
        <v>18</v>
      </c>
      <c r="GT18">
        <v>504.963</v>
      </c>
      <c r="GU18">
        <v>545.46</v>
      </c>
      <c r="GV18">
        <v>22.7475</v>
      </c>
      <c r="GW18">
        <v>29.7411</v>
      </c>
      <c r="GX18">
        <v>30.0002</v>
      </c>
      <c r="GY18">
        <v>29.9135</v>
      </c>
      <c r="GZ18">
        <v>29.9747</v>
      </c>
      <c r="HA18">
        <v>21.0371</v>
      </c>
      <c r="HB18">
        <v>28.3396</v>
      </c>
      <c r="HC18">
        <v>47.2998</v>
      </c>
      <c r="HD18">
        <v>22.7386</v>
      </c>
      <c r="HE18">
        <v>405.416</v>
      </c>
      <c r="HF18">
        <v>16.8072</v>
      </c>
      <c r="HG18">
        <v>98.0372</v>
      </c>
      <c r="HH18">
        <v>94.5171</v>
      </c>
    </row>
    <row r="19" spans="1:216">
      <c r="A19">
        <v>3</v>
      </c>
      <c r="B19">
        <v>1792289957</v>
      </c>
      <c r="C19">
        <v>259</v>
      </c>
      <c r="D19" t="s">
        <v>352</v>
      </c>
      <c r="E19" t="s">
        <v>353</v>
      </c>
      <c r="F19">
        <v>5</v>
      </c>
      <c r="G19">
        <v>1792289953.5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343</v>
      </c>
      <c r="AK19">
        <v>8117.93</v>
      </c>
      <c r="AL19">
        <v>192.957692307692</v>
      </c>
      <c r="AM19">
        <v>719.687708182351</v>
      </c>
      <c r="AN19">
        <f>1-AL19/AM19</f>
        <v>0</v>
      </c>
      <c r="AO19">
        <v>-1.61817289260315</v>
      </c>
      <c r="AP19" t="s">
        <v>354</v>
      </c>
      <c r="AQ19">
        <v>8145.8</v>
      </c>
      <c r="AR19">
        <v>271.520307692308</v>
      </c>
      <c r="AS19">
        <v>377.690508244656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345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BL19">
        <v>223</v>
      </c>
      <c r="BM19">
        <v>290</v>
      </c>
      <c r="BN19">
        <v>360.12</v>
      </c>
      <c r="BO19">
        <v>295</v>
      </c>
      <c r="BP19">
        <v>8145.8</v>
      </c>
      <c r="BQ19">
        <v>359.48</v>
      </c>
      <c r="BR19">
        <v>0.64</v>
      </c>
      <c r="BS19">
        <v>300</v>
      </c>
      <c r="BT19">
        <v>19.1</v>
      </c>
      <c r="BU19">
        <v>377.690508244656</v>
      </c>
      <c r="BV19">
        <v>2.96261293070889</v>
      </c>
      <c r="BW19">
        <v>-14.83065607134</v>
      </c>
      <c r="BX19">
        <v>2.18876702655254</v>
      </c>
      <c r="BY19">
        <v>0.621168651823446</v>
      </c>
      <c r="BZ19">
        <v>-0.00479031857619577</v>
      </c>
      <c r="CA19">
        <v>290</v>
      </c>
      <c r="CB19">
        <v>358.51</v>
      </c>
      <c r="CC19">
        <v>705</v>
      </c>
      <c r="CD19">
        <v>8140.62</v>
      </c>
      <c r="CE19">
        <v>359.47</v>
      </c>
      <c r="CF19">
        <v>-0.96</v>
      </c>
      <c r="CT19">
        <f>$B$11*DR19+$C$11*DS19+$F$11*DT19*(1-DW19)</f>
        <v>0</v>
      </c>
      <c r="CU19">
        <f>CT19*CV19</f>
        <v>0</v>
      </c>
      <c r="CV19">
        <f>($B$11*$D$9+$C$11*$D$9+$F$11*((EG19+DY19)/MAX(EG19+DY19+EH19, 0.1)*$I$9+EH19/MAX(EG19+DY19+EH19, 0.1)*$J$9))/($B$11+$C$11+$F$11)</f>
        <v>0</v>
      </c>
      <c r="CW19">
        <f>($B$11*$K$9+$C$11*$K$9+$F$11*((EG19+DY19)/MAX(EG19+DY19+EH19, 0.1)*$P$9+EH19/MAX(EG19+DY19+EH19, 0.1)*$Q$9))/($B$11+$C$11+$F$11)</f>
        <v>0</v>
      </c>
      <c r="CX19">
        <v>2</v>
      </c>
      <c r="CY19">
        <v>0.5</v>
      </c>
      <c r="CZ19" t="s">
        <v>346</v>
      </c>
      <c r="DA19">
        <v>2</v>
      </c>
      <c r="DB19">
        <v>1792289953.5</v>
      </c>
      <c r="DC19">
        <v>400.050833333333</v>
      </c>
      <c r="DD19">
        <v>404.836</v>
      </c>
      <c r="DE19">
        <v>17.7549</v>
      </c>
      <c r="DF19">
        <v>17.09615</v>
      </c>
      <c r="DG19">
        <v>400.421833333333</v>
      </c>
      <c r="DH19">
        <v>17.9066166666667</v>
      </c>
      <c r="DI19">
        <v>500.001666666667</v>
      </c>
      <c r="DJ19">
        <v>101.076666666667</v>
      </c>
      <c r="DK19">
        <v>0.100022416666667</v>
      </c>
      <c r="DL19">
        <v>25.4582833333333</v>
      </c>
      <c r="DM19">
        <v>25.0217833333333</v>
      </c>
      <c r="DN19">
        <v>999.9</v>
      </c>
      <c r="DO19">
        <v>0</v>
      </c>
      <c r="DP19">
        <v>0</v>
      </c>
      <c r="DQ19">
        <v>10000.8416666667</v>
      </c>
      <c r="DR19">
        <v>0</v>
      </c>
      <c r="DS19">
        <v>7.10549</v>
      </c>
      <c r="DT19">
        <v>899.978666666667</v>
      </c>
      <c r="DU19">
        <v>0.956006</v>
      </c>
      <c r="DV19">
        <v>0.0439941</v>
      </c>
      <c r="DW19">
        <v>0</v>
      </c>
      <c r="DX19">
        <v>271.565666666667</v>
      </c>
      <c r="DY19">
        <v>4.99999</v>
      </c>
      <c r="DZ19">
        <v>2401.75333333333</v>
      </c>
      <c r="EA19">
        <v>8859.685</v>
      </c>
      <c r="EB19">
        <v>36.062</v>
      </c>
      <c r="EC19">
        <v>38.25</v>
      </c>
      <c r="ED19">
        <v>37.1145</v>
      </c>
      <c r="EE19">
        <v>37.75</v>
      </c>
      <c r="EF19">
        <v>38</v>
      </c>
      <c r="EG19">
        <v>855.605</v>
      </c>
      <c r="EH19">
        <v>39.37</v>
      </c>
      <c r="EI19">
        <v>0</v>
      </c>
      <c r="EJ19">
        <v>134.899999856949</v>
      </c>
      <c r="EK19">
        <v>0</v>
      </c>
      <c r="EL19">
        <v>271.520307692308</v>
      </c>
      <c r="EM19">
        <v>-0.176547003400759</v>
      </c>
      <c r="EN19">
        <v>-0.0348717952828262</v>
      </c>
      <c r="EO19">
        <v>2401.77538461539</v>
      </c>
      <c r="EP19">
        <v>15</v>
      </c>
      <c r="EQ19">
        <v>1792289909</v>
      </c>
      <c r="ER19" t="s">
        <v>355</v>
      </c>
      <c r="ES19">
        <v>1792289909</v>
      </c>
      <c r="ET19">
        <v>1792289899</v>
      </c>
      <c r="EU19">
        <v>15</v>
      </c>
      <c r="EV19">
        <v>-0.005</v>
      </c>
      <c r="EW19">
        <v>-0.003</v>
      </c>
      <c r="EX19">
        <v>-0.369</v>
      </c>
      <c r="EY19">
        <v>-0.162</v>
      </c>
      <c r="EZ19">
        <v>405</v>
      </c>
      <c r="FA19">
        <v>17</v>
      </c>
      <c r="FB19">
        <v>0.14</v>
      </c>
      <c r="FC19">
        <v>0.09</v>
      </c>
      <c r="FD19">
        <v>11.3696847005502</v>
      </c>
      <c r="FE19">
        <v>-0.0149716671989852</v>
      </c>
      <c r="FF19">
        <v>0.15545083169947</v>
      </c>
      <c r="FG19">
        <v>1</v>
      </c>
      <c r="FH19">
        <v>-4.81718761904762</v>
      </c>
      <c r="FI19">
        <v>0.0880464935064907</v>
      </c>
      <c r="FJ19">
        <v>0.0616902657988362</v>
      </c>
      <c r="FK19">
        <v>1</v>
      </c>
      <c r="FL19">
        <v>271.533029411765</v>
      </c>
      <c r="FM19">
        <v>0.536516428596012</v>
      </c>
      <c r="FN19">
        <v>0.359681598189456</v>
      </c>
      <c r="FO19">
        <v>1</v>
      </c>
      <c r="FP19">
        <v>3</v>
      </c>
      <c r="FQ19">
        <v>3</v>
      </c>
      <c r="FR19" t="s">
        <v>348</v>
      </c>
      <c r="FS19">
        <v>100</v>
      </c>
      <c r="FT19">
        <v>100</v>
      </c>
      <c r="FU19">
        <v>-0.371</v>
      </c>
      <c r="FV19">
        <v>-0.1517</v>
      </c>
      <c r="FW19">
        <v>-0.44594555897776</v>
      </c>
      <c r="FX19">
        <v>-6.16732984266029e-05</v>
      </c>
      <c r="FY19">
        <v>6.19398071816742e-07</v>
      </c>
      <c r="FZ19">
        <v>3.19222985850634e-12</v>
      </c>
      <c r="GA19">
        <v>-0.0762730317280953</v>
      </c>
      <c r="GB19">
        <v>-0.0257783215012692</v>
      </c>
      <c r="GC19">
        <v>0.00133723821780375</v>
      </c>
      <c r="GD19">
        <v>-7.42160749481374e-06</v>
      </c>
      <c r="GE19">
        <v>7</v>
      </c>
      <c r="GF19">
        <v>2154</v>
      </c>
      <c r="GG19">
        <v>2</v>
      </c>
      <c r="GH19">
        <v>20</v>
      </c>
      <c r="GI19">
        <v>0.8</v>
      </c>
      <c r="GJ19">
        <v>1</v>
      </c>
      <c r="GK19">
        <v>1.05103</v>
      </c>
      <c r="GL19">
        <v>2.62695</v>
      </c>
      <c r="GM19">
        <v>1.65161</v>
      </c>
      <c r="GN19">
        <v>2.27539</v>
      </c>
      <c r="GO19">
        <v>1.5979</v>
      </c>
      <c r="GP19">
        <v>2.56714</v>
      </c>
      <c r="GQ19">
        <v>33.3111</v>
      </c>
      <c r="GR19">
        <v>14.6136</v>
      </c>
      <c r="GS19">
        <v>18</v>
      </c>
      <c r="GT19">
        <v>504.718</v>
      </c>
      <c r="GU19">
        <v>545.48</v>
      </c>
      <c r="GV19">
        <v>22.6477</v>
      </c>
      <c r="GW19">
        <v>29.7282</v>
      </c>
      <c r="GX19">
        <v>30.0001</v>
      </c>
      <c r="GY19">
        <v>29.9135</v>
      </c>
      <c r="GZ19">
        <v>29.9747</v>
      </c>
      <c r="HA19">
        <v>21.0184</v>
      </c>
      <c r="HB19">
        <v>27.0934</v>
      </c>
      <c r="HC19">
        <v>47.2998</v>
      </c>
      <c r="HD19">
        <v>22.635</v>
      </c>
      <c r="HE19">
        <v>404.84</v>
      </c>
      <c r="HF19">
        <v>17.0578</v>
      </c>
      <c r="HG19">
        <v>98.0389</v>
      </c>
      <c r="HH19">
        <v>94.5183</v>
      </c>
    </row>
    <row r="20" spans="1:216">
      <c r="A20">
        <v>4</v>
      </c>
      <c r="B20">
        <v>1792290080</v>
      </c>
      <c r="C20">
        <v>382</v>
      </c>
      <c r="D20" t="s">
        <v>356</v>
      </c>
      <c r="E20" t="s">
        <v>357</v>
      </c>
      <c r="F20">
        <v>5</v>
      </c>
      <c r="G20">
        <v>1792290077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343</v>
      </c>
      <c r="AK20">
        <v>8117.93</v>
      </c>
      <c r="AL20">
        <v>192.957692307692</v>
      </c>
      <c r="AM20">
        <v>719.687708182351</v>
      </c>
      <c r="AN20">
        <f>1-AL20/AM20</f>
        <v>0</v>
      </c>
      <c r="AO20">
        <v>-1.61817289260315</v>
      </c>
      <c r="AP20" t="s">
        <v>358</v>
      </c>
      <c r="AQ20">
        <v>8154.15</v>
      </c>
      <c r="AR20">
        <v>262.646923076923</v>
      </c>
      <c r="AS20">
        <v>445.534464810012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345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BL20">
        <v>224</v>
      </c>
      <c r="BM20">
        <v>290</v>
      </c>
      <c r="BN20">
        <v>407.68</v>
      </c>
      <c r="BO20">
        <v>165</v>
      </c>
      <c r="BP20">
        <v>8154.15</v>
      </c>
      <c r="BQ20">
        <v>406.49</v>
      </c>
      <c r="BR20">
        <v>1.19</v>
      </c>
      <c r="BS20">
        <v>300</v>
      </c>
      <c r="BT20">
        <v>19.1</v>
      </c>
      <c r="BU20">
        <v>445.534464810012</v>
      </c>
      <c r="BV20">
        <v>2.90941010978674</v>
      </c>
      <c r="BW20">
        <v>-31.8339769912915</v>
      </c>
      <c r="BX20">
        <v>2.14070047715418</v>
      </c>
      <c r="BY20">
        <v>0.887614005440226</v>
      </c>
      <c r="BZ20">
        <v>-0.00499348231368187</v>
      </c>
      <c r="CA20">
        <v>290</v>
      </c>
      <c r="CB20">
        <v>401.33</v>
      </c>
      <c r="CC20">
        <v>675</v>
      </c>
      <c r="CD20">
        <v>8144.72</v>
      </c>
      <c r="CE20">
        <v>406.45</v>
      </c>
      <c r="CF20">
        <v>-5.12</v>
      </c>
      <c r="CT20">
        <f>$B$11*DR20+$C$11*DS20+$F$11*DT20*(1-DW20)</f>
        <v>0</v>
      </c>
      <c r="CU20">
        <f>CT20*CV20</f>
        <v>0</v>
      </c>
      <c r="CV20">
        <f>($B$11*$D$9+$C$11*$D$9+$F$11*((EG20+DY20)/MAX(EG20+DY20+EH20, 0.1)*$I$9+EH20/MAX(EG20+DY20+EH20, 0.1)*$J$9))/($B$11+$C$11+$F$11)</f>
        <v>0</v>
      </c>
      <c r="CW20">
        <f>($B$11*$K$9+$C$11*$K$9+$F$11*((EG20+DY20)/MAX(EG20+DY20+EH20, 0.1)*$P$9+EH20/MAX(EG20+DY20+EH20, 0.1)*$Q$9))/($B$11+$C$11+$F$11)</f>
        <v>0</v>
      </c>
      <c r="CX20">
        <v>2</v>
      </c>
      <c r="CY20">
        <v>0.5</v>
      </c>
      <c r="CZ20" t="s">
        <v>346</v>
      </c>
      <c r="DA20">
        <v>2</v>
      </c>
      <c r="DB20">
        <v>1792290077</v>
      </c>
      <c r="DC20">
        <v>400.028</v>
      </c>
      <c r="DD20">
        <v>404.327</v>
      </c>
      <c r="DE20">
        <v>17.68004</v>
      </c>
      <c r="DF20">
        <v>17.12748</v>
      </c>
      <c r="DG20">
        <v>400.4106</v>
      </c>
      <c r="DH20">
        <v>17.8336</v>
      </c>
      <c r="DI20">
        <v>500.0494</v>
      </c>
      <c r="DJ20">
        <v>101.0748</v>
      </c>
      <c r="DK20">
        <v>0.09999866</v>
      </c>
      <c r="DL20">
        <v>25.52322</v>
      </c>
      <c r="DM20">
        <v>25.00138</v>
      </c>
      <c r="DN20">
        <v>999.9</v>
      </c>
      <c r="DO20">
        <v>0</v>
      </c>
      <c r="DP20">
        <v>0</v>
      </c>
      <c r="DQ20">
        <v>10010.12</v>
      </c>
      <c r="DR20">
        <v>0</v>
      </c>
      <c r="DS20">
        <v>7.309716</v>
      </c>
      <c r="DT20">
        <v>599.987</v>
      </c>
      <c r="DU20">
        <v>0.9329892</v>
      </c>
      <c r="DV20">
        <v>0.06701082</v>
      </c>
      <c r="DW20">
        <v>0</v>
      </c>
      <c r="DX20">
        <v>262.6234</v>
      </c>
      <c r="DY20">
        <v>4.99999</v>
      </c>
      <c r="DZ20">
        <v>1541.632</v>
      </c>
      <c r="EA20">
        <v>5845.18</v>
      </c>
      <c r="EB20">
        <v>35.4748</v>
      </c>
      <c r="EC20">
        <v>38.0372</v>
      </c>
      <c r="ED20">
        <v>36.75</v>
      </c>
      <c r="EE20">
        <v>37.562</v>
      </c>
      <c r="EF20">
        <v>37.562</v>
      </c>
      <c r="EG20">
        <v>555.118</v>
      </c>
      <c r="EH20">
        <v>39.868</v>
      </c>
      <c r="EI20">
        <v>0</v>
      </c>
      <c r="EJ20">
        <v>121.699999809265</v>
      </c>
      <c r="EK20">
        <v>0</v>
      </c>
      <c r="EL20">
        <v>262.646923076923</v>
      </c>
      <c r="EM20">
        <v>-0.0199658062994409</v>
      </c>
      <c r="EN20">
        <v>-3.61572652000021</v>
      </c>
      <c r="EO20">
        <v>1541.96153846154</v>
      </c>
      <c r="EP20">
        <v>15</v>
      </c>
      <c r="EQ20">
        <v>1792290021</v>
      </c>
      <c r="ER20" t="s">
        <v>359</v>
      </c>
      <c r="ES20">
        <v>1792290021</v>
      </c>
      <c r="ET20">
        <v>1792290018</v>
      </c>
      <c r="EU20">
        <v>16</v>
      </c>
      <c r="EV20">
        <v>-0.011</v>
      </c>
      <c r="EW20">
        <v>-0.001</v>
      </c>
      <c r="EX20">
        <v>-0.381</v>
      </c>
      <c r="EY20">
        <v>-0.161</v>
      </c>
      <c r="EZ20">
        <v>404</v>
      </c>
      <c r="FA20">
        <v>17</v>
      </c>
      <c r="FB20">
        <v>0.54</v>
      </c>
      <c r="FC20">
        <v>0.12</v>
      </c>
      <c r="FD20">
        <v>10.1828122124876</v>
      </c>
      <c r="FE20">
        <v>0.271070146901861</v>
      </c>
      <c r="FF20">
        <v>0.0576535429020399</v>
      </c>
      <c r="FG20">
        <v>1</v>
      </c>
      <c r="FH20">
        <v>-4.327279</v>
      </c>
      <c r="FI20">
        <v>0.0845151879699225</v>
      </c>
      <c r="FJ20">
        <v>0.0191775850669473</v>
      </c>
      <c r="FK20">
        <v>1</v>
      </c>
      <c r="FL20">
        <v>262.706382352941</v>
      </c>
      <c r="FM20">
        <v>-0.804171123201305</v>
      </c>
      <c r="FN20">
        <v>0.266714764441214</v>
      </c>
      <c r="FO20">
        <v>1</v>
      </c>
      <c r="FP20">
        <v>3</v>
      </c>
      <c r="FQ20">
        <v>3</v>
      </c>
      <c r="FR20" t="s">
        <v>348</v>
      </c>
      <c r="FS20">
        <v>100</v>
      </c>
      <c r="FT20">
        <v>100</v>
      </c>
      <c r="FU20">
        <v>-0.382</v>
      </c>
      <c r="FV20">
        <v>-0.1532</v>
      </c>
      <c r="FW20">
        <v>-0.457276945987656</v>
      </c>
      <c r="FX20">
        <v>-6.16732984266029e-05</v>
      </c>
      <c r="FY20">
        <v>6.19398071816742e-07</v>
      </c>
      <c r="FZ20">
        <v>3.19222985850634e-12</v>
      </c>
      <c r="GA20">
        <v>-0.0770077930052651</v>
      </c>
      <c r="GB20">
        <v>-0.0257783215012692</v>
      </c>
      <c r="GC20">
        <v>0.00133723821780375</v>
      </c>
      <c r="GD20">
        <v>-7.42160749481374e-06</v>
      </c>
      <c r="GE20">
        <v>7</v>
      </c>
      <c r="GF20">
        <v>2154</v>
      </c>
      <c r="GG20">
        <v>2</v>
      </c>
      <c r="GH20">
        <v>20</v>
      </c>
      <c r="GI20">
        <v>1</v>
      </c>
      <c r="GJ20">
        <v>1</v>
      </c>
      <c r="GK20">
        <v>1.0498</v>
      </c>
      <c r="GL20">
        <v>2.63062</v>
      </c>
      <c r="GM20">
        <v>1.65161</v>
      </c>
      <c r="GN20">
        <v>2.27539</v>
      </c>
      <c r="GO20">
        <v>1.5979</v>
      </c>
      <c r="GP20">
        <v>2.53662</v>
      </c>
      <c r="GQ20">
        <v>33.3335</v>
      </c>
      <c r="GR20">
        <v>14.6049</v>
      </c>
      <c r="GS20">
        <v>18</v>
      </c>
      <c r="GT20">
        <v>504.841</v>
      </c>
      <c r="GU20">
        <v>545.005</v>
      </c>
      <c r="GV20">
        <v>23.5747</v>
      </c>
      <c r="GW20">
        <v>29.7282</v>
      </c>
      <c r="GX20">
        <v>30.0002</v>
      </c>
      <c r="GY20">
        <v>29.9135</v>
      </c>
      <c r="GZ20">
        <v>29.9773</v>
      </c>
      <c r="HA20">
        <v>20.9972</v>
      </c>
      <c r="HB20">
        <v>26.882</v>
      </c>
      <c r="HC20">
        <v>47.2998</v>
      </c>
      <c r="HD20">
        <v>23.5688</v>
      </c>
      <c r="HE20">
        <v>404.348</v>
      </c>
      <c r="HF20">
        <v>17.2166</v>
      </c>
      <c r="HG20">
        <v>98.0351</v>
      </c>
      <c r="HH20">
        <v>94.5119</v>
      </c>
    </row>
    <row r="21" spans="1:216">
      <c r="A21">
        <v>5</v>
      </c>
      <c r="B21">
        <v>1792290263</v>
      </c>
      <c r="C21">
        <v>565</v>
      </c>
      <c r="D21" t="s">
        <v>360</v>
      </c>
      <c r="E21" t="s">
        <v>361</v>
      </c>
      <c r="F21">
        <v>5</v>
      </c>
      <c r="G21">
        <v>1792290260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343</v>
      </c>
      <c r="AK21">
        <v>8117.93</v>
      </c>
      <c r="AL21">
        <v>192.957692307692</v>
      </c>
      <c r="AM21">
        <v>719.687708182351</v>
      </c>
      <c r="AN21">
        <f>1-AL21/AM21</f>
        <v>0</v>
      </c>
      <c r="AO21">
        <v>-1.61817289260315</v>
      </c>
      <c r="AP21" t="s">
        <v>362</v>
      </c>
      <c r="AQ21">
        <v>8148.65</v>
      </c>
      <c r="AR21">
        <v>264.361884615385</v>
      </c>
      <c r="AS21">
        <v>569.948748161298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345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BL21">
        <v>225</v>
      </c>
      <c r="BM21">
        <v>290</v>
      </c>
      <c r="BN21">
        <v>505.54</v>
      </c>
      <c r="BO21">
        <v>185</v>
      </c>
      <c r="BP21">
        <v>8148.65</v>
      </c>
      <c r="BQ21">
        <v>502.68</v>
      </c>
      <c r="BR21">
        <v>2.86</v>
      </c>
      <c r="BS21">
        <v>300</v>
      </c>
      <c r="BT21">
        <v>19.1</v>
      </c>
      <c r="BU21">
        <v>569.948748161298</v>
      </c>
      <c r="BV21">
        <v>3.23812230750845</v>
      </c>
      <c r="BW21">
        <v>-54.8133775946423</v>
      </c>
      <c r="BX21">
        <v>2.3738382237146</v>
      </c>
      <c r="BY21">
        <v>0.950104812576722</v>
      </c>
      <c r="BZ21">
        <v>-0.00512564983314795</v>
      </c>
      <c r="CA21">
        <v>290</v>
      </c>
      <c r="CB21">
        <v>492.04</v>
      </c>
      <c r="CC21">
        <v>625</v>
      </c>
      <c r="CD21">
        <v>8140.68</v>
      </c>
      <c r="CE21">
        <v>502.62</v>
      </c>
      <c r="CF21">
        <v>-10.58</v>
      </c>
      <c r="CT21">
        <f>$B$11*DR21+$C$11*DS21+$F$11*DT21*(1-DW21)</f>
        <v>0</v>
      </c>
      <c r="CU21">
        <f>CT21*CV21</f>
        <v>0</v>
      </c>
      <c r="CV21">
        <f>($B$11*$D$9+$C$11*$D$9+$F$11*((EG21+DY21)/MAX(EG21+DY21+EH21, 0.1)*$I$9+EH21/MAX(EG21+DY21+EH21, 0.1)*$J$9))/($B$11+$C$11+$F$11)</f>
        <v>0</v>
      </c>
      <c r="CW21">
        <f>($B$11*$K$9+$C$11*$K$9+$F$11*((EG21+DY21)/MAX(EG21+DY21+EH21, 0.1)*$P$9+EH21/MAX(EG21+DY21+EH21, 0.1)*$Q$9))/($B$11+$C$11+$F$11)</f>
        <v>0</v>
      </c>
      <c r="CX21">
        <v>2</v>
      </c>
      <c r="CY21">
        <v>0.5</v>
      </c>
      <c r="CZ21" t="s">
        <v>346</v>
      </c>
      <c r="DA21">
        <v>2</v>
      </c>
      <c r="DB21">
        <v>1792290260</v>
      </c>
      <c r="DC21">
        <v>399.9994</v>
      </c>
      <c r="DD21">
        <v>403.5562</v>
      </c>
      <c r="DE21">
        <v>17.8293</v>
      </c>
      <c r="DF21">
        <v>17.35636</v>
      </c>
      <c r="DG21">
        <v>400.3888</v>
      </c>
      <c r="DH21">
        <v>17.98102</v>
      </c>
      <c r="DI21">
        <v>499.9486</v>
      </c>
      <c r="DJ21">
        <v>101.064</v>
      </c>
      <c r="DK21">
        <v>0.09975914</v>
      </c>
      <c r="DL21">
        <v>25.56448</v>
      </c>
      <c r="DM21">
        <v>25.03938</v>
      </c>
      <c r="DN21">
        <v>999.9</v>
      </c>
      <c r="DO21">
        <v>0</v>
      </c>
      <c r="DP21">
        <v>0</v>
      </c>
      <c r="DQ21">
        <v>10018.72</v>
      </c>
      <c r="DR21">
        <v>0</v>
      </c>
      <c r="DS21">
        <v>7.2843</v>
      </c>
      <c r="DT21">
        <v>400.0448</v>
      </c>
      <c r="DU21">
        <v>0.9000274</v>
      </c>
      <c r="DV21">
        <v>0.09997242</v>
      </c>
      <c r="DW21">
        <v>0</v>
      </c>
      <c r="DX21">
        <v>263.9732</v>
      </c>
      <c r="DY21">
        <v>4.99999</v>
      </c>
      <c r="DZ21">
        <v>1038.944</v>
      </c>
      <c r="EA21">
        <v>3838.354</v>
      </c>
      <c r="EB21">
        <v>36.6996</v>
      </c>
      <c r="EC21">
        <v>41.1498</v>
      </c>
      <c r="ED21">
        <v>38.6124</v>
      </c>
      <c r="EE21">
        <v>41.8998</v>
      </c>
      <c r="EF21">
        <v>39.6622</v>
      </c>
      <c r="EG21">
        <v>355.552</v>
      </c>
      <c r="EH21">
        <v>39.49</v>
      </c>
      <c r="EI21">
        <v>0</v>
      </c>
      <c r="EJ21">
        <v>182.099999904633</v>
      </c>
      <c r="EK21">
        <v>0</v>
      </c>
      <c r="EL21">
        <v>264.361884615385</v>
      </c>
      <c r="EM21">
        <v>-3.71996580343871</v>
      </c>
      <c r="EN21">
        <v>-1.4820512780202</v>
      </c>
      <c r="EO21">
        <v>1038.95807692308</v>
      </c>
      <c r="EP21">
        <v>15</v>
      </c>
      <c r="EQ21">
        <v>1792290146</v>
      </c>
      <c r="ER21" t="s">
        <v>363</v>
      </c>
      <c r="ES21">
        <v>1792290140</v>
      </c>
      <c r="ET21">
        <v>1792290146</v>
      </c>
      <c r="EU21">
        <v>17</v>
      </c>
      <c r="EV21">
        <v>-0.007</v>
      </c>
      <c r="EW21">
        <v>-0</v>
      </c>
      <c r="EX21">
        <v>-0.388</v>
      </c>
      <c r="EY21">
        <v>-0.158</v>
      </c>
      <c r="EZ21">
        <v>404</v>
      </c>
      <c r="FA21">
        <v>17</v>
      </c>
      <c r="FB21">
        <v>0.45</v>
      </c>
      <c r="FC21">
        <v>0.18</v>
      </c>
      <c r="FD21">
        <v>8.3673474680591</v>
      </c>
      <c r="FE21">
        <v>-0.531544833811068</v>
      </c>
      <c r="FF21">
        <v>0.102380296713464</v>
      </c>
      <c r="FG21">
        <v>1</v>
      </c>
      <c r="FH21">
        <v>-3.539081</v>
      </c>
      <c r="FI21">
        <v>0.133270375939856</v>
      </c>
      <c r="FJ21">
        <v>0.0416814866457519</v>
      </c>
      <c r="FK21">
        <v>1</v>
      </c>
      <c r="FL21">
        <v>264.468470588235</v>
      </c>
      <c r="FM21">
        <v>-2.48763941878763</v>
      </c>
      <c r="FN21">
        <v>0.441604110387824</v>
      </c>
      <c r="FO21">
        <v>0</v>
      </c>
      <c r="FP21">
        <v>2</v>
      </c>
      <c r="FQ21">
        <v>3</v>
      </c>
      <c r="FR21" t="s">
        <v>364</v>
      </c>
      <c r="FS21">
        <v>100</v>
      </c>
      <c r="FT21">
        <v>100</v>
      </c>
      <c r="FU21">
        <v>-0.39</v>
      </c>
      <c r="FV21">
        <v>-0.1518</v>
      </c>
      <c r="FW21">
        <v>-0.464255828453208</v>
      </c>
      <c r="FX21">
        <v>-6.16732984266029e-05</v>
      </c>
      <c r="FY21">
        <v>6.19398071816742e-07</v>
      </c>
      <c r="FZ21">
        <v>3.19222985850634e-12</v>
      </c>
      <c r="GA21">
        <v>-0.0773907856115948</v>
      </c>
      <c r="GB21">
        <v>-0.0257783215012692</v>
      </c>
      <c r="GC21">
        <v>0.00133723821780375</v>
      </c>
      <c r="GD21">
        <v>-7.42160749481374e-06</v>
      </c>
      <c r="GE21">
        <v>7</v>
      </c>
      <c r="GF21">
        <v>2154</v>
      </c>
      <c r="GG21">
        <v>2</v>
      </c>
      <c r="GH21">
        <v>20</v>
      </c>
      <c r="GI21">
        <v>2</v>
      </c>
      <c r="GJ21">
        <v>1.9</v>
      </c>
      <c r="GK21">
        <v>1.04858</v>
      </c>
      <c r="GL21">
        <v>2.6355</v>
      </c>
      <c r="GM21">
        <v>1.65161</v>
      </c>
      <c r="GN21">
        <v>2.27539</v>
      </c>
      <c r="GO21">
        <v>1.5979</v>
      </c>
      <c r="GP21">
        <v>2.51465</v>
      </c>
      <c r="GQ21">
        <v>33.3784</v>
      </c>
      <c r="GR21">
        <v>14.5786</v>
      </c>
      <c r="GS21">
        <v>18</v>
      </c>
      <c r="GT21">
        <v>504.861</v>
      </c>
      <c r="GU21">
        <v>544.896</v>
      </c>
      <c r="GV21">
        <v>22.8885</v>
      </c>
      <c r="GW21">
        <v>29.736</v>
      </c>
      <c r="GX21">
        <v>30.0002</v>
      </c>
      <c r="GY21">
        <v>29.9161</v>
      </c>
      <c r="GZ21">
        <v>29.9799</v>
      </c>
      <c r="HA21">
        <v>20.9709</v>
      </c>
      <c r="HB21">
        <v>26.4782</v>
      </c>
      <c r="HC21">
        <v>47.2998</v>
      </c>
      <c r="HD21">
        <v>22.86</v>
      </c>
      <c r="HE21">
        <v>403.542</v>
      </c>
      <c r="HF21">
        <v>17.3585</v>
      </c>
      <c r="HG21">
        <v>98.0358</v>
      </c>
      <c r="HH21">
        <v>94.5173</v>
      </c>
    </row>
    <row r="22" spans="1:216">
      <c r="A22">
        <v>6</v>
      </c>
      <c r="B22">
        <v>1792290439</v>
      </c>
      <c r="C22">
        <v>741</v>
      </c>
      <c r="D22" t="s">
        <v>365</v>
      </c>
      <c r="E22" t="s">
        <v>366</v>
      </c>
      <c r="F22">
        <v>5</v>
      </c>
      <c r="G22">
        <v>1792290435.5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343</v>
      </c>
      <c r="AK22">
        <v>8117.93</v>
      </c>
      <c r="AL22">
        <v>192.957692307692</v>
      </c>
      <c r="AM22">
        <v>719.687708182351</v>
      </c>
      <c r="AN22">
        <f>1-AL22/AM22</f>
        <v>0</v>
      </c>
      <c r="AO22">
        <v>-1.61817289260315</v>
      </c>
      <c r="AP22" t="s">
        <v>367</v>
      </c>
      <c r="AQ22">
        <v>8137.3</v>
      </c>
      <c r="AR22">
        <v>281.9966</v>
      </c>
      <c r="AS22">
        <v>868.172123428045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345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BL22">
        <v>226</v>
      </c>
      <c r="BM22">
        <v>290</v>
      </c>
      <c r="BN22">
        <v>754.36</v>
      </c>
      <c r="BO22">
        <v>175</v>
      </c>
      <c r="BP22">
        <v>8137.3</v>
      </c>
      <c r="BQ22">
        <v>751.5</v>
      </c>
      <c r="BR22">
        <v>2.86</v>
      </c>
      <c r="BS22">
        <v>300</v>
      </c>
      <c r="BT22">
        <v>19.1</v>
      </c>
      <c r="BU22">
        <v>868.172123428045</v>
      </c>
      <c r="BV22">
        <v>3.09012446649402</v>
      </c>
      <c r="BW22">
        <v>-94.9429838004179</v>
      </c>
      <c r="BX22">
        <v>2.25522447000742</v>
      </c>
      <c r="BY22">
        <v>0.984447352656982</v>
      </c>
      <c r="BZ22">
        <v>-0.00525070077864294</v>
      </c>
      <c r="CA22">
        <v>290</v>
      </c>
      <c r="CB22">
        <v>726.88</v>
      </c>
      <c r="CC22">
        <v>625</v>
      </c>
      <c r="CD22">
        <v>8128.98</v>
      </c>
      <c r="CE22">
        <v>751.38</v>
      </c>
      <c r="CF22">
        <v>-24.5</v>
      </c>
      <c r="CT22">
        <f>$B$11*DR22+$C$11*DS22+$F$11*DT22*(1-DW22)</f>
        <v>0</v>
      </c>
      <c r="CU22">
        <f>CT22*CV22</f>
        <v>0</v>
      </c>
      <c r="CV22">
        <f>($B$11*$D$9+$C$11*$D$9+$F$11*((EG22+DY22)/MAX(EG22+DY22+EH22, 0.1)*$I$9+EH22/MAX(EG22+DY22+EH22, 0.1)*$J$9))/($B$11+$C$11+$F$11)</f>
        <v>0</v>
      </c>
      <c r="CW22">
        <f>($B$11*$K$9+$C$11*$K$9+$F$11*((EG22+DY22)/MAX(EG22+DY22+EH22, 0.1)*$P$9+EH22/MAX(EG22+DY22+EH22, 0.1)*$Q$9))/($B$11+$C$11+$F$11)</f>
        <v>0</v>
      </c>
      <c r="CX22">
        <v>2</v>
      </c>
      <c r="CY22">
        <v>0.5</v>
      </c>
      <c r="CZ22" t="s">
        <v>346</v>
      </c>
      <c r="DA22">
        <v>2</v>
      </c>
      <c r="DB22">
        <v>1792290435.5</v>
      </c>
      <c r="DC22">
        <v>400.052166666667</v>
      </c>
      <c r="DD22">
        <v>402.294833333333</v>
      </c>
      <c r="DE22">
        <v>17.7623333333333</v>
      </c>
      <c r="DF22">
        <v>17.42645</v>
      </c>
      <c r="DG22">
        <v>400.460166666667</v>
      </c>
      <c r="DH22">
        <v>17.9175166666667</v>
      </c>
      <c r="DI22">
        <v>500.043833333333</v>
      </c>
      <c r="DJ22">
        <v>101.056166666667</v>
      </c>
      <c r="DK22">
        <v>0.100069516666667</v>
      </c>
      <c r="DL22">
        <v>25.53225</v>
      </c>
      <c r="DM22">
        <v>24.9965166666667</v>
      </c>
      <c r="DN22">
        <v>999.9</v>
      </c>
      <c r="DO22">
        <v>0</v>
      </c>
      <c r="DP22">
        <v>0</v>
      </c>
      <c r="DQ22">
        <v>9992.3</v>
      </c>
      <c r="DR22">
        <v>0</v>
      </c>
      <c r="DS22">
        <v>7.340535</v>
      </c>
      <c r="DT22">
        <v>199.974166666667</v>
      </c>
      <c r="DU22">
        <v>0.899997166666667</v>
      </c>
      <c r="DV22">
        <v>0.100002666666667</v>
      </c>
      <c r="DW22">
        <v>0</v>
      </c>
      <c r="DX22">
        <v>281.787333333333</v>
      </c>
      <c r="DY22">
        <v>4.99999</v>
      </c>
      <c r="DZ22">
        <v>547.932</v>
      </c>
      <c r="EA22">
        <v>1894.39833333333</v>
      </c>
      <c r="EB22">
        <v>35.437</v>
      </c>
      <c r="EC22">
        <v>38.562</v>
      </c>
      <c r="ED22">
        <v>37.125</v>
      </c>
      <c r="EE22">
        <v>38.187</v>
      </c>
      <c r="EF22">
        <v>37.75</v>
      </c>
      <c r="EG22">
        <v>175.476666666667</v>
      </c>
      <c r="EH22">
        <v>19.5</v>
      </c>
      <c r="EI22">
        <v>0</v>
      </c>
      <c r="EJ22">
        <v>174.699999809265</v>
      </c>
      <c r="EK22">
        <v>0</v>
      </c>
      <c r="EL22">
        <v>281.9966</v>
      </c>
      <c r="EM22">
        <v>-1.05230768996057</v>
      </c>
      <c r="EN22">
        <v>-7.27530767386738</v>
      </c>
      <c r="EO22">
        <v>548.41632</v>
      </c>
      <c r="EP22">
        <v>15</v>
      </c>
      <c r="EQ22">
        <v>1792290337</v>
      </c>
      <c r="ER22" t="s">
        <v>368</v>
      </c>
      <c r="ES22">
        <v>1792290337</v>
      </c>
      <c r="ET22">
        <v>1792290327</v>
      </c>
      <c r="EU22">
        <v>18</v>
      </c>
      <c r="EV22">
        <v>-0.019</v>
      </c>
      <c r="EW22">
        <v>-0.003</v>
      </c>
      <c r="EX22">
        <v>-0.407</v>
      </c>
      <c r="EY22">
        <v>-0.159</v>
      </c>
      <c r="EZ22">
        <v>402</v>
      </c>
      <c r="FA22">
        <v>17</v>
      </c>
      <c r="FB22">
        <v>0.37</v>
      </c>
      <c r="FC22">
        <v>0.1</v>
      </c>
      <c r="FD22">
        <v>5.37537179652696</v>
      </c>
      <c r="FE22">
        <v>0.0959348483103629</v>
      </c>
      <c r="FF22">
        <v>0.11594686678524</v>
      </c>
      <c r="FG22">
        <v>1</v>
      </c>
      <c r="FH22">
        <v>-2.28611666666667</v>
      </c>
      <c r="FI22">
        <v>0.0474374025974046</v>
      </c>
      <c r="FJ22">
        <v>0.0487096720945189</v>
      </c>
      <c r="FK22">
        <v>1</v>
      </c>
      <c r="FL22">
        <v>282.054264705882</v>
      </c>
      <c r="FM22">
        <v>-0.382811297941767</v>
      </c>
      <c r="FN22">
        <v>0.361660574444143</v>
      </c>
      <c r="FO22">
        <v>1</v>
      </c>
      <c r="FP22">
        <v>3</v>
      </c>
      <c r="FQ22">
        <v>3</v>
      </c>
      <c r="FR22" t="s">
        <v>348</v>
      </c>
      <c r="FS22">
        <v>100</v>
      </c>
      <c r="FT22">
        <v>100</v>
      </c>
      <c r="FU22">
        <v>-0.408</v>
      </c>
      <c r="FV22">
        <v>-0.1553</v>
      </c>
      <c r="FW22">
        <v>-0.482984474968168</v>
      </c>
      <c r="FX22">
        <v>-6.16732984266029e-05</v>
      </c>
      <c r="FY22">
        <v>6.19398071816742e-07</v>
      </c>
      <c r="FZ22">
        <v>3.19222985850634e-12</v>
      </c>
      <c r="GA22">
        <v>-0.0799105867484699</v>
      </c>
      <c r="GB22">
        <v>-0.0257783215012692</v>
      </c>
      <c r="GC22">
        <v>0.00133723821780375</v>
      </c>
      <c r="GD22">
        <v>-7.42160749481374e-06</v>
      </c>
      <c r="GE22">
        <v>7</v>
      </c>
      <c r="GF22">
        <v>2154</v>
      </c>
      <c r="GG22">
        <v>2</v>
      </c>
      <c r="GH22">
        <v>20</v>
      </c>
      <c r="GI22">
        <v>1.7</v>
      </c>
      <c r="GJ22">
        <v>1.9</v>
      </c>
      <c r="GK22">
        <v>1.04614</v>
      </c>
      <c r="GL22">
        <v>2.63184</v>
      </c>
      <c r="GM22">
        <v>1.65161</v>
      </c>
      <c r="GN22">
        <v>2.27539</v>
      </c>
      <c r="GO22">
        <v>1.5979</v>
      </c>
      <c r="GP22">
        <v>2.62817</v>
      </c>
      <c r="GQ22">
        <v>33.4232</v>
      </c>
      <c r="GR22">
        <v>14.5611</v>
      </c>
      <c r="GS22">
        <v>18</v>
      </c>
      <c r="GT22">
        <v>504.78</v>
      </c>
      <c r="GU22">
        <v>544.078</v>
      </c>
      <c r="GV22">
        <v>23.2079</v>
      </c>
      <c r="GW22">
        <v>29.7462</v>
      </c>
      <c r="GX22">
        <v>29.9999</v>
      </c>
      <c r="GY22">
        <v>29.9212</v>
      </c>
      <c r="GZ22">
        <v>29.9825</v>
      </c>
      <c r="HA22">
        <v>20.9186</v>
      </c>
      <c r="HB22">
        <v>26.4523</v>
      </c>
      <c r="HC22">
        <v>47.2998</v>
      </c>
      <c r="HD22">
        <v>23.2218</v>
      </c>
      <c r="HE22">
        <v>402.202</v>
      </c>
      <c r="HF22">
        <v>17.4953</v>
      </c>
      <c r="HG22">
        <v>98.0332</v>
      </c>
      <c r="HH22">
        <v>94.5111</v>
      </c>
    </row>
    <row r="23" spans="1:216">
      <c r="A23">
        <v>7</v>
      </c>
      <c r="B23">
        <v>1792290603</v>
      </c>
      <c r="C23">
        <v>905</v>
      </c>
      <c r="D23" t="s">
        <v>369</v>
      </c>
      <c r="E23" t="s">
        <v>370</v>
      </c>
      <c r="F23">
        <v>5</v>
      </c>
      <c r="G23">
        <v>1792290599.5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343</v>
      </c>
      <c r="AK23">
        <v>8117.93</v>
      </c>
      <c r="AL23">
        <v>192.957692307692</v>
      </c>
      <c r="AM23">
        <v>719.687708182351</v>
      </c>
      <c r="AN23">
        <f>1-AL23/AM23</f>
        <v>0</v>
      </c>
      <c r="AO23">
        <v>-1.61817289260315</v>
      </c>
      <c r="AP23" t="s">
        <v>371</v>
      </c>
      <c r="AQ23">
        <v>8125.44</v>
      </c>
      <c r="AR23">
        <v>273.31096</v>
      </c>
      <c r="AS23">
        <v>950.99715559239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345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BL23">
        <v>227</v>
      </c>
      <c r="BM23">
        <v>290</v>
      </c>
      <c r="BN23">
        <v>884.18</v>
      </c>
      <c r="BO23">
        <v>225</v>
      </c>
      <c r="BP23">
        <v>8125.44</v>
      </c>
      <c r="BQ23">
        <v>884.23</v>
      </c>
      <c r="BR23">
        <v>-0.05</v>
      </c>
      <c r="BS23">
        <v>300</v>
      </c>
      <c r="BT23">
        <v>19.1</v>
      </c>
      <c r="BU23">
        <v>950.99715559239</v>
      </c>
      <c r="BV23">
        <v>2.91411133948684</v>
      </c>
      <c r="BW23">
        <v>-54.2510611255396</v>
      </c>
      <c r="BX23">
        <v>2.1209342291961</v>
      </c>
      <c r="BY23">
        <v>0.95896098779962</v>
      </c>
      <c r="BZ23">
        <v>-0.00531213303670746</v>
      </c>
      <c r="CA23">
        <v>290</v>
      </c>
      <c r="CB23">
        <v>872.26</v>
      </c>
      <c r="CC23">
        <v>645</v>
      </c>
      <c r="CD23">
        <v>8118.97</v>
      </c>
      <c r="CE23">
        <v>884.18</v>
      </c>
      <c r="CF23">
        <v>-11.92</v>
      </c>
      <c r="CT23">
        <f>$B$11*DR23+$C$11*DS23+$F$11*DT23*(1-DW23)</f>
        <v>0</v>
      </c>
      <c r="CU23">
        <f>CT23*CV23</f>
        <v>0</v>
      </c>
      <c r="CV23">
        <f>($B$11*$D$9+$C$11*$D$9+$F$11*((EG23+DY23)/MAX(EG23+DY23+EH23, 0.1)*$I$9+EH23/MAX(EG23+DY23+EH23, 0.1)*$J$9))/($B$11+$C$11+$F$11)</f>
        <v>0</v>
      </c>
      <c r="CW23">
        <f>($B$11*$K$9+$C$11*$K$9+$F$11*((EG23+DY23)/MAX(EG23+DY23+EH23, 0.1)*$P$9+EH23/MAX(EG23+DY23+EH23, 0.1)*$Q$9))/($B$11+$C$11+$F$11)</f>
        <v>0</v>
      </c>
      <c r="CX23">
        <v>2</v>
      </c>
      <c r="CY23">
        <v>0.5</v>
      </c>
      <c r="CZ23" t="s">
        <v>346</v>
      </c>
      <c r="DA23">
        <v>2</v>
      </c>
      <c r="DB23">
        <v>1792290599.5</v>
      </c>
      <c r="DC23">
        <v>400.0105</v>
      </c>
      <c r="DD23">
        <v>401.0835</v>
      </c>
      <c r="DE23">
        <v>17.7697833333333</v>
      </c>
      <c r="DF23">
        <v>17.5655833333333</v>
      </c>
      <c r="DG23">
        <v>400.362833333333</v>
      </c>
      <c r="DH23">
        <v>17.92595</v>
      </c>
      <c r="DI23">
        <v>500.017833333333</v>
      </c>
      <c r="DJ23">
        <v>101.056</v>
      </c>
      <c r="DK23">
        <v>0.10002725</v>
      </c>
      <c r="DL23">
        <v>25.4624833333333</v>
      </c>
      <c r="DM23">
        <v>24.99705</v>
      </c>
      <c r="DN23">
        <v>999.9</v>
      </c>
      <c r="DO23">
        <v>0</v>
      </c>
      <c r="DP23">
        <v>0</v>
      </c>
      <c r="DQ23">
        <v>9994.575</v>
      </c>
      <c r="DR23">
        <v>0</v>
      </c>
      <c r="DS23">
        <v>7.28547666666667</v>
      </c>
      <c r="DT23">
        <v>100.002033333333</v>
      </c>
      <c r="DU23">
        <v>0.899941</v>
      </c>
      <c r="DV23">
        <v>0.100059</v>
      </c>
      <c r="DW23">
        <v>0</v>
      </c>
      <c r="DX23">
        <v>273.2775</v>
      </c>
      <c r="DY23">
        <v>4.99999</v>
      </c>
      <c r="DZ23">
        <v>259.249</v>
      </c>
      <c r="EA23">
        <v>923.036</v>
      </c>
      <c r="EB23">
        <v>35.0935</v>
      </c>
      <c r="EC23">
        <v>39.5311666666667</v>
      </c>
      <c r="ED23">
        <v>37.2395</v>
      </c>
      <c r="EE23">
        <v>39.4996666666667</v>
      </c>
      <c r="EF23">
        <v>38.125</v>
      </c>
      <c r="EG23">
        <v>85.4966666666667</v>
      </c>
      <c r="EH23">
        <v>9.51</v>
      </c>
      <c r="EI23">
        <v>0</v>
      </c>
      <c r="EJ23">
        <v>163.099999904633</v>
      </c>
      <c r="EK23">
        <v>0</v>
      </c>
      <c r="EL23">
        <v>273.31096</v>
      </c>
      <c r="EM23">
        <v>0.077615366299892</v>
      </c>
      <c r="EN23">
        <v>0.14592307788221</v>
      </c>
      <c r="EO23">
        <v>259.27564</v>
      </c>
      <c r="EP23">
        <v>15</v>
      </c>
      <c r="EQ23">
        <v>1792290503</v>
      </c>
      <c r="ER23" t="s">
        <v>372</v>
      </c>
      <c r="ES23">
        <v>1792290503</v>
      </c>
      <c r="ET23">
        <v>1792290503</v>
      </c>
      <c r="EU23">
        <v>19</v>
      </c>
      <c r="EV23">
        <v>0.056</v>
      </c>
      <c r="EW23">
        <v>-0.001</v>
      </c>
      <c r="EX23">
        <v>-0.352</v>
      </c>
      <c r="EY23">
        <v>-0.158</v>
      </c>
      <c r="EZ23">
        <v>401</v>
      </c>
      <c r="FA23">
        <v>18</v>
      </c>
      <c r="FB23">
        <v>0.33</v>
      </c>
      <c r="FC23">
        <v>0.19</v>
      </c>
      <c r="FD23">
        <v>2.53892669632478</v>
      </c>
      <c r="FE23">
        <v>-0.13627225224304</v>
      </c>
      <c r="FF23">
        <v>0.0621216285662688</v>
      </c>
      <c r="FG23">
        <v>1</v>
      </c>
      <c r="FH23">
        <v>-1.09840476190476</v>
      </c>
      <c r="FI23">
        <v>0.0858490909090902</v>
      </c>
      <c r="FJ23">
        <v>0.025544245017513</v>
      </c>
      <c r="FK23">
        <v>1</v>
      </c>
      <c r="FL23">
        <v>273.366823529412</v>
      </c>
      <c r="FM23">
        <v>-0.522322394045908</v>
      </c>
      <c r="FN23">
        <v>0.416309236773385</v>
      </c>
      <c r="FO23">
        <v>1</v>
      </c>
      <c r="FP23">
        <v>3</v>
      </c>
      <c r="FQ23">
        <v>3</v>
      </c>
      <c r="FR23" t="s">
        <v>348</v>
      </c>
      <c r="FS23">
        <v>100</v>
      </c>
      <c r="FT23">
        <v>100</v>
      </c>
      <c r="FU23">
        <v>-0.352</v>
      </c>
      <c r="FV23">
        <v>-0.1561</v>
      </c>
      <c r="FW23">
        <v>-0.426928127010168</v>
      </c>
      <c r="FX23">
        <v>-6.16732984266029e-05</v>
      </c>
      <c r="FY23">
        <v>6.19398071816742e-07</v>
      </c>
      <c r="FZ23">
        <v>3.19222985850634e-12</v>
      </c>
      <c r="GA23">
        <v>-0.0809899339497257</v>
      </c>
      <c r="GB23">
        <v>-0.0257783215012692</v>
      </c>
      <c r="GC23">
        <v>0.00133723821780375</v>
      </c>
      <c r="GD23">
        <v>-7.42160749481374e-06</v>
      </c>
      <c r="GE23">
        <v>7</v>
      </c>
      <c r="GF23">
        <v>2154</v>
      </c>
      <c r="GG23">
        <v>2</v>
      </c>
      <c r="GH23">
        <v>20</v>
      </c>
      <c r="GI23">
        <v>1.7</v>
      </c>
      <c r="GJ23">
        <v>1.7</v>
      </c>
      <c r="GK23">
        <v>1.0437</v>
      </c>
      <c r="GL23">
        <v>2.64648</v>
      </c>
      <c r="GM23">
        <v>1.65161</v>
      </c>
      <c r="GN23">
        <v>2.27539</v>
      </c>
      <c r="GO23">
        <v>1.5979</v>
      </c>
      <c r="GP23">
        <v>2.54517</v>
      </c>
      <c r="GQ23">
        <v>33.4681</v>
      </c>
      <c r="GR23">
        <v>14.5348</v>
      </c>
      <c r="GS23">
        <v>18</v>
      </c>
      <c r="GT23">
        <v>504.851</v>
      </c>
      <c r="GU23">
        <v>543.955</v>
      </c>
      <c r="GV23">
        <v>23.3824</v>
      </c>
      <c r="GW23">
        <v>29.7513</v>
      </c>
      <c r="GX23">
        <v>30</v>
      </c>
      <c r="GY23">
        <v>29.9263</v>
      </c>
      <c r="GZ23">
        <v>29.9876</v>
      </c>
      <c r="HA23">
        <v>20.8709</v>
      </c>
      <c r="HB23">
        <v>26.0815</v>
      </c>
      <c r="HC23">
        <v>47.2998</v>
      </c>
      <c r="HD23">
        <v>23.3866</v>
      </c>
      <c r="HE23">
        <v>401.08</v>
      </c>
      <c r="HF23">
        <v>17.5091</v>
      </c>
      <c r="HG23">
        <v>98.031</v>
      </c>
      <c r="HH23">
        <v>94.5111</v>
      </c>
    </row>
    <row r="24" spans="1:216">
      <c r="A24">
        <v>8</v>
      </c>
      <c r="B24">
        <v>1792290726</v>
      </c>
      <c r="C24">
        <v>1028</v>
      </c>
      <c r="D24" t="s">
        <v>373</v>
      </c>
      <c r="E24" t="s">
        <v>374</v>
      </c>
      <c r="F24">
        <v>5</v>
      </c>
      <c r="G24">
        <v>1792290723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343</v>
      </c>
      <c r="AK24">
        <v>8117.93</v>
      </c>
      <c r="AL24">
        <v>192.957692307692</v>
      </c>
      <c r="AM24">
        <v>719.687708182351</v>
      </c>
      <c r="AN24">
        <f>1-AL24/AM24</f>
        <v>0</v>
      </c>
      <c r="AO24">
        <v>-1.61817289260315</v>
      </c>
      <c r="AP24" t="s">
        <v>375</v>
      </c>
      <c r="AQ24">
        <v>8118.9</v>
      </c>
      <c r="AR24">
        <v>262.599576923077</v>
      </c>
      <c r="AS24">
        <v>986.309803207649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345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BL24">
        <v>228</v>
      </c>
      <c r="BM24">
        <v>290</v>
      </c>
      <c r="BN24">
        <v>924.7</v>
      </c>
      <c r="BO24">
        <v>255</v>
      </c>
      <c r="BP24">
        <v>8118.9</v>
      </c>
      <c r="BQ24">
        <v>923.01</v>
      </c>
      <c r="BR24">
        <v>1.69</v>
      </c>
      <c r="BS24">
        <v>300</v>
      </c>
      <c r="BT24">
        <v>19.1</v>
      </c>
      <c r="BU24">
        <v>986.309803207649</v>
      </c>
      <c r="BV24">
        <v>3.48167195066099</v>
      </c>
      <c r="BW24">
        <v>-51.3925118231832</v>
      </c>
      <c r="BX24">
        <v>2.53035774170261</v>
      </c>
      <c r="BY24">
        <v>0.936437497114515</v>
      </c>
      <c r="BZ24">
        <v>-0.0053418318131257</v>
      </c>
      <c r="CA24">
        <v>290</v>
      </c>
      <c r="CB24">
        <v>910.88</v>
      </c>
      <c r="CC24">
        <v>625</v>
      </c>
      <c r="CD24">
        <v>8113.91</v>
      </c>
      <c r="CE24">
        <v>922.97</v>
      </c>
      <c r="CF24">
        <v>-12.09</v>
      </c>
      <c r="CT24">
        <f>$B$11*DR24+$C$11*DS24+$F$11*DT24*(1-DW24)</f>
        <v>0</v>
      </c>
      <c r="CU24">
        <f>CT24*CV24</f>
        <v>0</v>
      </c>
      <c r="CV24">
        <f>($B$11*$D$9+$C$11*$D$9+$F$11*((EG24+DY24)/MAX(EG24+DY24+EH24, 0.1)*$I$9+EH24/MAX(EG24+DY24+EH24, 0.1)*$J$9))/($B$11+$C$11+$F$11)</f>
        <v>0</v>
      </c>
      <c r="CW24">
        <f>($B$11*$K$9+$C$11*$K$9+$F$11*((EG24+DY24)/MAX(EG24+DY24+EH24, 0.1)*$P$9+EH24/MAX(EG24+DY24+EH24, 0.1)*$Q$9))/($B$11+$C$11+$F$11)</f>
        <v>0</v>
      </c>
      <c r="CX24">
        <v>2</v>
      </c>
      <c r="CY24">
        <v>0.5</v>
      </c>
      <c r="CZ24" t="s">
        <v>346</v>
      </c>
      <c r="DA24">
        <v>2</v>
      </c>
      <c r="DB24">
        <v>1792290723</v>
      </c>
      <c r="DC24">
        <v>399.9808</v>
      </c>
      <c r="DD24">
        <v>400.3876</v>
      </c>
      <c r="DE24">
        <v>17.77012</v>
      </c>
      <c r="DF24">
        <v>17.60602</v>
      </c>
      <c r="DG24">
        <v>400.3148</v>
      </c>
      <c r="DH24">
        <v>17.92366</v>
      </c>
      <c r="DI24">
        <v>500.0276</v>
      </c>
      <c r="DJ24">
        <v>101.0502</v>
      </c>
      <c r="DK24">
        <v>0.0999289</v>
      </c>
      <c r="DL24">
        <v>25.48812</v>
      </c>
      <c r="DM24">
        <v>25.00072</v>
      </c>
      <c r="DN24">
        <v>999.9</v>
      </c>
      <c r="DO24">
        <v>0</v>
      </c>
      <c r="DP24">
        <v>0</v>
      </c>
      <c r="DQ24">
        <v>10006.23</v>
      </c>
      <c r="DR24">
        <v>0</v>
      </c>
      <c r="DS24">
        <v>7.208636</v>
      </c>
      <c r="DT24">
        <v>50.09096</v>
      </c>
      <c r="DU24">
        <v>0.9000844</v>
      </c>
      <c r="DV24">
        <v>0.09991586</v>
      </c>
      <c r="DW24">
        <v>0</v>
      </c>
      <c r="DX24">
        <v>262.5934</v>
      </c>
      <c r="DY24">
        <v>4.99999</v>
      </c>
      <c r="DZ24">
        <v>117.7542</v>
      </c>
      <c r="EA24">
        <v>438.1232</v>
      </c>
      <c r="EB24">
        <v>35.7624</v>
      </c>
      <c r="EC24">
        <v>40.4122</v>
      </c>
      <c r="ED24">
        <v>38.0124</v>
      </c>
      <c r="EE24">
        <v>40.9748</v>
      </c>
      <c r="EF24">
        <v>38.5998</v>
      </c>
      <c r="EG24">
        <v>40.586</v>
      </c>
      <c r="EH24">
        <v>4.504</v>
      </c>
      <c r="EI24">
        <v>0</v>
      </c>
      <c r="EJ24">
        <v>121.899999856949</v>
      </c>
      <c r="EK24">
        <v>0</v>
      </c>
      <c r="EL24">
        <v>262.599576923077</v>
      </c>
      <c r="EM24">
        <v>-1.80167521867958</v>
      </c>
      <c r="EN24">
        <v>-0.664786336648845</v>
      </c>
      <c r="EO24">
        <v>117.677269230769</v>
      </c>
      <c r="EP24">
        <v>15</v>
      </c>
      <c r="EQ24">
        <v>1792290677</v>
      </c>
      <c r="ER24" t="s">
        <v>376</v>
      </c>
      <c r="ES24">
        <v>1792290677</v>
      </c>
      <c r="ET24">
        <v>1792290676</v>
      </c>
      <c r="EU24">
        <v>20</v>
      </c>
      <c r="EV24">
        <v>0.019</v>
      </c>
      <c r="EW24">
        <v>0.003</v>
      </c>
      <c r="EX24">
        <v>-0.333</v>
      </c>
      <c r="EY24">
        <v>-0.155</v>
      </c>
      <c r="EZ24">
        <v>400</v>
      </c>
      <c r="FA24">
        <v>18</v>
      </c>
      <c r="FB24">
        <v>0.34</v>
      </c>
      <c r="FC24">
        <v>0.19</v>
      </c>
      <c r="FD24">
        <v>0.799434418292861</v>
      </c>
      <c r="FE24">
        <v>0.118855186896664</v>
      </c>
      <c r="FF24">
        <v>0.0768553714345817</v>
      </c>
      <c r="FG24">
        <v>1</v>
      </c>
      <c r="FH24">
        <v>-0.39228319047619</v>
      </c>
      <c r="FI24">
        <v>-0.0635398441558448</v>
      </c>
      <c r="FJ24">
        <v>0.0322986678593333</v>
      </c>
      <c r="FK24">
        <v>1</v>
      </c>
      <c r="FL24">
        <v>262.640147058824</v>
      </c>
      <c r="FM24">
        <v>-0.825775401608899</v>
      </c>
      <c r="FN24">
        <v>0.413944805382445</v>
      </c>
      <c r="FO24">
        <v>1</v>
      </c>
      <c r="FP24">
        <v>3</v>
      </c>
      <c r="FQ24">
        <v>3</v>
      </c>
      <c r="FR24" t="s">
        <v>348</v>
      </c>
      <c r="FS24">
        <v>100</v>
      </c>
      <c r="FT24">
        <v>100</v>
      </c>
      <c r="FU24">
        <v>-0.333</v>
      </c>
      <c r="FV24">
        <v>-0.1536</v>
      </c>
      <c r="FW24">
        <v>-0.408284801054057</v>
      </c>
      <c r="FX24">
        <v>-6.16732984266029e-05</v>
      </c>
      <c r="FY24">
        <v>6.19398071816742e-07</v>
      </c>
      <c r="FZ24">
        <v>3.19222985850634e-12</v>
      </c>
      <c r="GA24">
        <v>-0.0783892806566326</v>
      </c>
      <c r="GB24">
        <v>-0.0257783215012692</v>
      </c>
      <c r="GC24">
        <v>0.00133723821780375</v>
      </c>
      <c r="GD24">
        <v>-7.42160749481374e-06</v>
      </c>
      <c r="GE24">
        <v>7</v>
      </c>
      <c r="GF24">
        <v>2154</v>
      </c>
      <c r="GG24">
        <v>2</v>
      </c>
      <c r="GH24">
        <v>20</v>
      </c>
      <c r="GI24">
        <v>0.8</v>
      </c>
      <c r="GJ24">
        <v>0.8</v>
      </c>
      <c r="GK24">
        <v>1.04248</v>
      </c>
      <c r="GL24">
        <v>2.64038</v>
      </c>
      <c r="GM24">
        <v>1.65161</v>
      </c>
      <c r="GN24">
        <v>2.27539</v>
      </c>
      <c r="GO24">
        <v>1.5979</v>
      </c>
      <c r="GP24">
        <v>2.59888</v>
      </c>
      <c r="GQ24">
        <v>33.4906</v>
      </c>
      <c r="GR24">
        <v>14.5173</v>
      </c>
      <c r="GS24">
        <v>18</v>
      </c>
      <c r="GT24">
        <v>504.393</v>
      </c>
      <c r="GU24">
        <v>543.63</v>
      </c>
      <c r="GV24">
        <v>23.3979</v>
      </c>
      <c r="GW24">
        <v>29.7539</v>
      </c>
      <c r="GX24">
        <v>30.0007</v>
      </c>
      <c r="GY24">
        <v>29.9263</v>
      </c>
      <c r="GZ24">
        <v>29.9876</v>
      </c>
      <c r="HA24">
        <v>20.8437</v>
      </c>
      <c r="HB24">
        <v>26.0939</v>
      </c>
      <c r="HC24">
        <v>47.2998</v>
      </c>
      <c r="HD24">
        <v>23.3759</v>
      </c>
      <c r="HE24">
        <v>400.337</v>
      </c>
      <c r="HF24">
        <v>17.5963</v>
      </c>
      <c r="HG24">
        <v>98.0267</v>
      </c>
      <c r="HH24">
        <v>94.5135</v>
      </c>
    </row>
    <row r="25" spans="1:216">
      <c r="A25">
        <v>9</v>
      </c>
      <c r="B25">
        <v>1792290867.1</v>
      </c>
      <c r="C25">
        <v>1169.09999990463</v>
      </c>
      <c r="D25" t="s">
        <v>377</v>
      </c>
      <c r="E25" t="s">
        <v>378</v>
      </c>
      <c r="F25">
        <v>5</v>
      </c>
      <c r="G25">
        <v>1792290863.6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379</v>
      </c>
      <c r="AK25">
        <v>8125.4</v>
      </c>
      <c r="AL25">
        <v>230.654807692308</v>
      </c>
      <c r="AM25">
        <v>1050.94976592848</v>
      </c>
      <c r="AN25">
        <f>1-AL25/AM25</f>
        <v>0</v>
      </c>
      <c r="AO25">
        <v>-2.22481790193981</v>
      </c>
      <c r="AP25" t="s">
        <v>345</v>
      </c>
      <c r="AQ25" t="s">
        <v>345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345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BL25">
        <v>229</v>
      </c>
      <c r="BM25">
        <v>290</v>
      </c>
      <c r="BN25">
        <v>1011.23</v>
      </c>
      <c r="BO25">
        <v>125</v>
      </c>
      <c r="BP25">
        <v>8125.4</v>
      </c>
      <c r="BQ25">
        <v>1006.99</v>
      </c>
      <c r="BR25">
        <v>4.24</v>
      </c>
      <c r="BS25">
        <v>300</v>
      </c>
      <c r="BT25">
        <v>19.1</v>
      </c>
      <c r="BU25">
        <v>1050.94976592848</v>
      </c>
      <c r="BV25">
        <v>2.96753520531848</v>
      </c>
      <c r="BW25">
        <v>-35.7187275448967</v>
      </c>
      <c r="BX25">
        <v>2.15538353963423</v>
      </c>
      <c r="BY25">
        <v>0.907476783931123</v>
      </c>
      <c r="BZ25">
        <v>-0.0053713552836485</v>
      </c>
      <c r="CA25">
        <v>290</v>
      </c>
      <c r="CB25">
        <v>995.53</v>
      </c>
      <c r="CC25">
        <v>615</v>
      </c>
      <c r="CD25">
        <v>8114.81</v>
      </c>
      <c r="CE25">
        <v>1006.93</v>
      </c>
      <c r="CF25">
        <v>-11.4</v>
      </c>
      <c r="CT25">
        <f>$B$11*DR25+$C$11*DS25+$F$11*DT25*(1-DW25)</f>
        <v>0</v>
      </c>
      <c r="CU25">
        <f>CT25*CV25</f>
        <v>0</v>
      </c>
      <c r="CV25">
        <f>($B$11*$D$9+$C$11*$D$9+$F$11*((EG25+DY25)/MAX(EG25+DY25+EH25, 0.1)*$I$9+EH25/MAX(EG25+DY25+EH25, 0.1)*$J$9))/($B$11+$C$11+$F$11)</f>
        <v>0</v>
      </c>
      <c r="CW25">
        <f>($B$11*$K$9+$C$11*$K$9+$F$11*((EG25+DY25)/MAX(EG25+DY25+EH25, 0.1)*$P$9+EH25/MAX(EG25+DY25+EH25, 0.1)*$Q$9))/($B$11+$C$11+$F$11)</f>
        <v>0</v>
      </c>
      <c r="CX25">
        <v>2</v>
      </c>
      <c r="CY25">
        <v>0.5</v>
      </c>
      <c r="CZ25" t="s">
        <v>346</v>
      </c>
      <c r="DA25">
        <v>2</v>
      </c>
      <c r="DB25">
        <v>1792290863.6</v>
      </c>
      <c r="DC25">
        <v>400.007</v>
      </c>
      <c r="DD25">
        <v>399.164833333333</v>
      </c>
      <c r="DE25">
        <v>17.7633166666667</v>
      </c>
      <c r="DF25">
        <v>17.6463166666667</v>
      </c>
      <c r="DG25">
        <v>400.340666666667</v>
      </c>
      <c r="DH25">
        <v>17.9181</v>
      </c>
      <c r="DI25">
        <v>500.063666666667</v>
      </c>
      <c r="DJ25">
        <v>101.048166666667</v>
      </c>
      <c r="DK25">
        <v>0.10002775</v>
      </c>
      <c r="DL25">
        <v>25.46835</v>
      </c>
      <c r="DM25">
        <v>24.9881666666667</v>
      </c>
      <c r="DN25">
        <v>999.9</v>
      </c>
      <c r="DO25">
        <v>0</v>
      </c>
      <c r="DP25">
        <v>0</v>
      </c>
      <c r="DQ25">
        <v>10011.7533333333</v>
      </c>
      <c r="DR25">
        <v>0</v>
      </c>
      <c r="DS25">
        <v>7.22783</v>
      </c>
      <c r="DT25">
        <v>0.0199999</v>
      </c>
      <c r="DU25">
        <v>0</v>
      </c>
      <c r="DV25">
        <v>0</v>
      </c>
      <c r="DW25">
        <v>0</v>
      </c>
      <c r="DX25">
        <v>230.45</v>
      </c>
      <c r="DY25">
        <v>0.0199999</v>
      </c>
      <c r="DZ25">
        <v>-13.9583333333333</v>
      </c>
      <c r="EA25">
        <v>3.7125</v>
      </c>
      <c r="EB25">
        <v>34.6975</v>
      </c>
      <c r="EC25">
        <v>38.187</v>
      </c>
      <c r="ED25">
        <v>36.604</v>
      </c>
      <c r="EE25">
        <v>37.781</v>
      </c>
      <c r="EF25">
        <v>36.9685</v>
      </c>
      <c r="EG25">
        <v>0</v>
      </c>
      <c r="EH25">
        <v>0</v>
      </c>
      <c r="EI25">
        <v>0</v>
      </c>
      <c r="EJ25">
        <v>139.799999952316</v>
      </c>
      <c r="EK25">
        <v>0</v>
      </c>
      <c r="EL25">
        <v>230.654807692308</v>
      </c>
      <c r="EM25">
        <v>8.37179480027268</v>
      </c>
      <c r="EN25">
        <v>-12.1598287656831</v>
      </c>
      <c r="EO25">
        <v>-15.1951923076923</v>
      </c>
      <c r="EP25">
        <v>15</v>
      </c>
      <c r="EQ25">
        <v>1792290787.1</v>
      </c>
      <c r="ER25" t="s">
        <v>380</v>
      </c>
      <c r="ES25">
        <v>1792290787.1</v>
      </c>
      <c r="ET25">
        <v>1792290786.1</v>
      </c>
      <c r="EU25">
        <v>21</v>
      </c>
      <c r="EV25">
        <v>-0</v>
      </c>
      <c r="EW25">
        <v>-0.001</v>
      </c>
      <c r="EX25">
        <v>-0.334</v>
      </c>
      <c r="EY25">
        <v>-0.155</v>
      </c>
      <c r="EZ25">
        <v>400</v>
      </c>
      <c r="FA25">
        <v>18</v>
      </c>
      <c r="FB25">
        <v>0.56</v>
      </c>
      <c r="FC25">
        <v>0.17</v>
      </c>
      <c r="FD25">
        <v>-2.24267949156099</v>
      </c>
      <c r="FE25">
        <v>-0.0189084884498973</v>
      </c>
      <c r="FF25">
        <v>0.0599033495090416</v>
      </c>
      <c r="FG25">
        <v>1</v>
      </c>
      <c r="FH25">
        <v>0.84429625</v>
      </c>
      <c r="FI25">
        <v>0.0413577293233076</v>
      </c>
      <c r="FJ25">
        <v>0.0231789487765839</v>
      </c>
      <c r="FK25">
        <v>1</v>
      </c>
      <c r="FL25">
        <v>231.347058823529</v>
      </c>
      <c r="FM25">
        <v>-0.841863930449192</v>
      </c>
      <c r="FN25">
        <v>6.80293990488531</v>
      </c>
      <c r="FO25">
        <v>1</v>
      </c>
      <c r="FP25">
        <v>3</v>
      </c>
      <c r="FQ25">
        <v>3</v>
      </c>
      <c r="FR25" t="s">
        <v>348</v>
      </c>
      <c r="FS25">
        <v>100</v>
      </c>
      <c r="FT25">
        <v>100</v>
      </c>
      <c r="FU25">
        <v>-0.333</v>
      </c>
      <c r="FV25">
        <v>-0.1548</v>
      </c>
      <c r="FW25">
        <v>-0.408499367389824</v>
      </c>
      <c r="FX25">
        <v>-6.16732984266029e-05</v>
      </c>
      <c r="FY25">
        <v>6.19398071816742e-07</v>
      </c>
      <c r="FZ25">
        <v>3.19222985850634e-12</v>
      </c>
      <c r="GA25">
        <v>-0.0795290525234841</v>
      </c>
      <c r="GB25">
        <v>-0.0257783215012692</v>
      </c>
      <c r="GC25">
        <v>0.00133723821780375</v>
      </c>
      <c r="GD25">
        <v>-7.42160749481374e-06</v>
      </c>
      <c r="GE25">
        <v>7</v>
      </c>
      <c r="GF25">
        <v>2154</v>
      </c>
      <c r="GG25">
        <v>2</v>
      </c>
      <c r="GH25">
        <v>20</v>
      </c>
      <c r="GI25">
        <v>1.3</v>
      </c>
      <c r="GJ25">
        <v>1.4</v>
      </c>
      <c r="GK25">
        <v>1.04004</v>
      </c>
      <c r="GL25">
        <v>2.63916</v>
      </c>
      <c r="GM25">
        <v>1.65161</v>
      </c>
      <c r="GN25">
        <v>2.27539</v>
      </c>
      <c r="GO25">
        <v>1.5979</v>
      </c>
      <c r="GP25">
        <v>2.49023</v>
      </c>
      <c r="GQ25">
        <v>33.513</v>
      </c>
      <c r="GR25">
        <v>14.491</v>
      </c>
      <c r="GS25">
        <v>18</v>
      </c>
      <c r="GT25">
        <v>504.637</v>
      </c>
      <c r="GU25">
        <v>543.4</v>
      </c>
      <c r="GV25">
        <v>23.5839</v>
      </c>
      <c r="GW25">
        <v>29.7513</v>
      </c>
      <c r="GX25">
        <v>30.0001</v>
      </c>
      <c r="GY25">
        <v>29.9263</v>
      </c>
      <c r="GZ25">
        <v>29.9876</v>
      </c>
      <c r="HA25">
        <v>20.7951</v>
      </c>
      <c r="HB25">
        <v>26.086</v>
      </c>
      <c r="HC25">
        <v>47.2998</v>
      </c>
      <c r="HD25">
        <v>23.5849</v>
      </c>
      <c r="HE25">
        <v>399.22</v>
      </c>
      <c r="HF25">
        <v>17.6443</v>
      </c>
      <c r="HG25">
        <v>98.0292</v>
      </c>
      <c r="HH25">
        <v>94.5117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2026-10-18T11:35:14Z</dcterms:created>
  <dcterms:modified xsi:type="dcterms:W3CDTF">2026-10-18T11:35:14Z</dcterms:modified>
</cp:coreProperties>
</file>