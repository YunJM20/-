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<sst xmlns="http://schemas.openxmlformats.org/spreadsheetml/2006/main" count="857" uniqueCount="380">
  <si>
    <t>File opened</t>
  </si>
  <si>
    <t>2026-10-19 12:35:35</t>
  </si>
  <si>
    <t>Console s/n</t>
  </si>
  <si>
    <t>68C-812153</t>
  </si>
  <si>
    <t>Console ver</t>
  </si>
  <si>
    <t>Bluestem v.2.1.13</t>
  </si>
  <si>
    <t>Scripts ver</t>
  </si>
  <si>
    <t>2024.01  2.1.13, Apr 2024</t>
  </si>
  <si>
    <t>Head s/n</t>
  </si>
  <si>
    <t>68H-982143</t>
  </si>
  <si>
    <t>Head ver</t>
  </si>
  <si>
    <t>1.4.23</t>
  </si>
  <si>
    <t>Head cal</t>
  </si>
  <si>
    <t>{"tazero": "0.15448", "h2oaspan2b": "0.0986302", "h2oaspan1": "1.02308", "co2aspanconc2": "1516", "flowbzero": "0.30473", "ssb_ref": "36242.9", "co2bspan1": "1.00005", "co2bspanconc1": "437.6", "h2obspan1": "1.01044", "chamberpressurezero": "2.71033", "co2azero": "0.930948", "h2obspan2a": "0.0961931", "co2bspan2a": "0.105708", "flowazero": "0.276", "h2obzero": "1.02281", "h2obspan2": "0", "co2bspan2b": "0.105618", "co2aspan2b": "0.105998", "h2oaspanconc1": "17.96", "co2aspan1": "1.00082", "h2obspanconc1": "17.96", "co2aspanconc1": "437.6", "h2oaspanconc2": "0", "flowmeterzero": "2.483", "co2bspan2": "-0.00857283", "h2obspanconc2": "0", "co2bzero": "0.953603", "tbzero": "0.143742", "oxygen": "21", "co2aspan2": "-0.00988168", "h2oaspan2a": "0.0964052", "co2bspanconc2": "1516", "h2oazero": "1.03356", "co2aspan2a": "0.106022", "h2oaspan2": "0", "h2obspan2b": "0.0971974", "ssa_ref": "37830.5"}</t>
  </si>
  <si>
    <t>Factory cal date</t>
  </si>
  <si>
    <t>14 Dec 2023</t>
  </si>
  <si>
    <t>CO2 rangematch</t>
  </si>
  <si>
    <t>Mon Oct 19 12:33</t>
  </si>
  <si>
    <t>H2O rangematch</t>
  </si>
  <si>
    <t>Mon Oct 19 12:19</t>
  </si>
  <si>
    <t>Chamber type</t>
  </si>
  <si>
    <t>6800-01A</t>
  </si>
  <si>
    <t>Chamber s/n</t>
  </si>
  <si>
    <t>MPF-742752</t>
  </si>
  <si>
    <t>Chamber rev</t>
  </si>
  <si>
    <t>0</t>
  </si>
  <si>
    <t>Chamber cal</t>
  </si>
  <si>
    <t>Fluorometer</t>
  </si>
  <si>
    <t>Flr. Version</t>
  </si>
  <si>
    <t>12:35:35</t>
  </si>
  <si>
    <t>Stability Definition:	F (FlrLS): Slp&lt;1 Per=20	A (GasEx): Slp&lt;0.6 Per=20	ΔCO2 (Meas2): Slp&lt;0.5 Per=20</t>
  </si>
  <si>
    <t>SysConst</t>
  </si>
  <si>
    <t>AvgTime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</si>
  <si>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</si>
  <si>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</si>
  <si>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</si>
  <si>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</si>
  <si>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</si>
  <si>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</si>
  <si>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</si>
  <si>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</si>
  <si>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</si>
  <si>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</si>
  <si>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</si>
  <si>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</si>
  <si>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</si>
  <si>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</si>
  <si>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</si>
  <si>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</si>
  <si>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</si>
  <si>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</si>
  <si>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</si>
  <si>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</si>
  <si>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</si>
  <si>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</si>
  <si>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</si>
  <si>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</si>
  <si>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</si>
  <si>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</si>
  <si>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</si>
  <si>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</si>
  <si>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</si>
  <si>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</si>
  <si>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</si>
  <si>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</si>
  <si>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</si>
  <si>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</si>
  <si>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</si>
  <si>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</si>
  <si>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</si>
  <si>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</si>
  <si>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</si>
  <si>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</si>
  <si>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</si>
  <si>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</si>
  <si>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</si>
  <si>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</si>
  <si>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</si>
  <si>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</si>
  <si>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</si>
  <si>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</si>
  <si>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</si>
  <si>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5.24961 207.712 374.057 607.691 871.253 1090.42 1263.62 1390.26</t>
  </si>
  <si>
    <t>Fs_true</t>
  </si>
  <si>
    <t>0.0484275 224.129 388.99 591.828 811.376 1008.55 1200.61 1401.01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</si>
  <si>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</si>
  <si>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</si>
  <si>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</si>
  <si>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</si>
  <si>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</si>
  <si>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</si>
  <si>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</si>
  <si>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</si>
  <si>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</si>
  <si>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</si>
  <si>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FlrLS</t>
  </si>
  <si>
    <t>FlrStats</t>
  </si>
  <si>
    <t>MchEvent</t>
  </si>
  <si>
    <t>Stability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</si>
  <si>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</si>
  <si>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</si>
  <si>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</si>
  <si>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</si>
  <si>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</si>
  <si>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</si>
  <si>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</si>
  <si>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</si>
  <si>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</si>
  <si>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</si>
  <si>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</si>
  <si>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</si>
  <si>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</si>
  <si>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</si>
  <si>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</si>
  <si>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</si>
  <si>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</si>
  <si>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</si>
  <si>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</si>
  <si>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</si>
  <si>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</si>
  <si>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</si>
  <si>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</si>
  <si>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</si>
  <si>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</si>
  <si>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</si>
  <si>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</si>
  <si>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</si>
  <si>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</si>
  <si>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</si>
  <si>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</si>
  <si>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</si>
  <si>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</si>
  <si>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</si>
  <si>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</si>
  <si>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</si>
  <si>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</si>
  <si>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</si>
  <si>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</si>
  <si>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</si>
  <si>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</si>
  <si>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</si>
  <si>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</si>
  <si>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</si>
  <si>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</si>
  <si>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</si>
  <si>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</si>
  <si>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</si>
  <si>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</si>
  <si>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</si>
  <si>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</si>
  <si>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</si>
  <si>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</si>
  <si>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</si>
  <si>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</si>
  <si>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</si>
  <si>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</si>
  <si>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</si>
  <si>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</si>
  <si>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</si>
  <si>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</si>
  <si>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</si>
  <si>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</si>
  <si>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</si>
  <si>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</si>
  <si>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</si>
  <si>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</si>
  <si>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</si>
  <si>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</si>
  <si>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</si>
  <si>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</si>
  <si>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</si>
  <si>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</si>
  <si>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</si>
  <si>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</si>
  <si>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</si>
  <si>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</si>
  <si>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</si>
  <si>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</si>
  <si>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</si>
  <si>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</si>
  <si>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</si>
  <si>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</si>
  <si>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</si>
  <si>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</si>
  <si>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</si>
  <si>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</si>
  <si>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</si>
  <si>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</si>
  <si>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</si>
  <si>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</si>
  <si>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</si>
  <si>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</si>
  <si>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</si>
  <si>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</si>
  <si>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</si>
  <si>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</si>
  <si>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</si>
  <si>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</si>
  <si>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</si>
  <si>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</si>
  <si>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</si>
  <si>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</si>
  <si>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</si>
  <si>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</si>
  <si>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</si>
  <si>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</si>
  <si>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</si>
  <si>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</si>
  <si>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</si>
  <si>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</si>
  <si>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</si>
  <si>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</si>
  <si>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</si>
  <si>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</si>
  <si>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</si>
  <si>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</si>
  <si>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</si>
  <si>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</si>
  <si>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</si>
  <si>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</si>
  <si>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</si>
  <si>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</si>
  <si>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</si>
  <si>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</si>
  <si>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</si>
  <si>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</si>
  <si>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</si>
  <si>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</si>
  <si>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</si>
  <si>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</si>
  <si>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</si>
  <si>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</si>
  <si>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</si>
  <si>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</si>
  <si>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</si>
  <si>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</si>
  <si>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</si>
  <si>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</si>
  <si>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</si>
  <si>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</si>
  <si>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</si>
  <si>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</si>
  <si>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</si>
  <si>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</si>
  <si>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</si>
  <si>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</si>
  <si>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</si>
  <si>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</si>
  <si>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</si>
  <si>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</si>
  <si>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</si>
  <si>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</si>
  <si>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</si>
  <si>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</si>
  <si>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</si>
  <si>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</si>
  <si>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</si>
  <si>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</si>
  <si>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</si>
  <si>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</si>
  <si>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</si>
  <si>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</si>
  <si>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</si>
  <si>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</si>
  <si>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</si>
  <si>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</si>
  <si>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</si>
  <si>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</si>
  <si>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</si>
  <si>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</si>
  <si>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</si>
  <si>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</si>
  <si>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</si>
  <si>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</si>
  <si>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</si>
  <si>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</si>
  <si>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</si>
  <si>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</si>
  <si>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</si>
  <si>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</si>
  <si>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</si>
  <si>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</si>
  <si>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</si>
  <si>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</si>
  <si>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</si>
  <si>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</si>
  <si>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</si>
  <si>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</si>
  <si>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</si>
  <si>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</si>
  <si>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</si>
  <si>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</si>
  <si>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</si>
  <si>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</si>
  <si>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</si>
  <si>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</si>
  <si>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</si>
  <si>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</si>
  <si>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</si>
  <si>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</si>
  <si>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</si>
  <si>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</si>
  <si>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</si>
  <si>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</si>
  <si>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</si>
  <si>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</si>
  <si>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</si>
  <si>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</si>
  <si>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</si>
  <si>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</si>
  <si>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</si>
  <si>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</si>
  <si>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</si>
  <si>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</si>
  <si>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</si>
  <si>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</si>
  <si>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</si>
  <si>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</si>
  <si>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</si>
  <si>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</si>
  <si>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</si>
  <si>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</si>
  <si>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</si>
  <si>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</si>
  <si>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</si>
  <si>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</si>
  <si>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</si>
  <si>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</si>
  <si>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</si>
  <si>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</si>
  <si>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</si>
  <si>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</si>
  <si>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</si>
  <si>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</si>
  <si>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</si>
  <si>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</si>
  <si>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</si>
  <si>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</si>
  <si>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min</t>
  </si>
  <si>
    <t>V</t>
  </si>
  <si>
    <t>20200722 00:49:36</t>
  </si>
  <si>
    <t>00:49:36</t>
  </si>
  <si>
    <t>-</t>
  </si>
  <si>
    <t>0: Broadleaf</t>
  </si>
  <si>
    <t>00:48:10</t>
  </si>
  <si>
    <t>3/3</t>
  </si>
  <si>
    <t>20200722 00:51:44</t>
  </si>
  <si>
    <t>00:51:44</t>
  </si>
  <si>
    <t>00:50:40</t>
  </si>
  <si>
    <t>20200722 00:53:45</t>
  </si>
  <si>
    <t>00:53:45</t>
  </si>
  <si>
    <t>00:52:46</t>
  </si>
  <si>
    <t>20200722 00:55:46</t>
  </si>
  <si>
    <t>00:55:46</t>
  </si>
  <si>
    <t>00:55:07</t>
  </si>
  <si>
    <t>20200722 00:57:50</t>
  </si>
  <si>
    <t>00:57:50</t>
  </si>
  <si>
    <t>00:56:44</t>
  </si>
  <si>
    <t>20200722 01:00:21</t>
  </si>
  <si>
    <t>01:00:21</t>
  </si>
  <si>
    <t>00:59:00</t>
  </si>
  <si>
    <t>2/3</t>
  </si>
  <si>
    <t>20200722 01:02:26</t>
  </si>
  <si>
    <t>01:02:26</t>
  </si>
  <si>
    <t>01:01:14</t>
  </si>
  <si>
    <t>20200722 01:04:48</t>
  </si>
  <si>
    <t>01:04:48</t>
  </si>
  <si>
    <t>01:03:28</t>
  </si>
  <si>
    <t>20200722 01:06:49</t>
  </si>
  <si>
    <t>01:06:49</t>
  </si>
  <si>
    <t>01:05:50</t>
  </si>
  <si>
    <t>20200722 01:09:07</t>
  </si>
  <si>
    <t>01:09:07</t>
  </si>
  <si>
    <t>01:08:04</t>
  </si>
  <si>
    <t>20200722 01:11:29</t>
  </si>
  <si>
    <t>01:11:29</t>
  </si>
  <si>
    <t>01:10:12</t>
  </si>
  <si>
    <t>20200722 01:13:30</t>
  </si>
  <si>
    <t>01:13:30</t>
  </si>
  <si>
    <t>01:12:29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</si>
</sst>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H28"/>
  <sheetViews>
    <sheetView tabSelected="1" workbookViewId="0"/>
  </sheetViews>
  <sheetFormatPr defaultRowHeight="15"/>
  <sheetData>
    <row r="2" spans="1:216">
      <c r="A2" t="s">
        <v>31</v>
      </c>
      <c r="B2" t="s">
        <v>32</v>
      </c>
      <c r="C2" t="s">
        <v>33</v>
      </c>
    </row>
    <row r="3" spans="1:216">
      <c r="B3">
        <v>4</v>
      </c>
      <c r="C3">
        <v>21</v>
      </c>
    </row>
    <row r="4" spans="1:216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16">
      <c r="B5" t="s">
        <v>21</v>
      </c>
      <c r="C5" t="s">
        <v>37</v>
      </c>
      <c r="D5">
        <v>0.572</v>
      </c>
      <c r="E5">
        <v>0.3872742</v>
      </c>
      <c r="F5">
        <v>-0.01870584</v>
      </c>
      <c r="G5">
        <v>0</v>
      </c>
      <c r="H5">
        <v>-0.00737389</v>
      </c>
      <c r="I5">
        <v>1</v>
      </c>
      <c r="J5">
        <v>2</v>
      </c>
      <c r="K5">
        <v>96.9</v>
      </c>
    </row>
    <row r="6" spans="1:216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16">
      <c r="B7">
        <v>0</v>
      </c>
      <c r="C7">
        <v>1</v>
      </c>
      <c r="D7">
        <v>0</v>
      </c>
      <c r="E7">
        <v>0</v>
      </c>
    </row>
    <row r="8" spans="1:216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16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16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16">
      <c r="B11">
        <v>0</v>
      </c>
      <c r="C11">
        <v>0</v>
      </c>
      <c r="D11">
        <v>0</v>
      </c>
      <c r="E11">
        <v>0</v>
      </c>
      <c r="F11">
        <v>1</v>
      </c>
    </row>
    <row r="12" spans="1:216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16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16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88</v>
      </c>
      <c r="AF14" t="s">
        <v>88</v>
      </c>
      <c r="AG14" t="s">
        <v>88</v>
      </c>
      <c r="AH14" t="s">
        <v>88</v>
      </c>
      <c r="AI14" t="s">
        <v>88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91</v>
      </c>
      <c r="CH14" t="s">
        <v>91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92</v>
      </c>
      <c r="CU14" t="s">
        <v>92</v>
      </c>
      <c r="CV14" t="s">
        <v>92</v>
      </c>
      <c r="CW14" t="s">
        <v>92</v>
      </c>
      <c r="CX14" t="s">
        <v>93</v>
      </c>
      <c r="CY14" t="s">
        <v>93</v>
      </c>
      <c r="CZ14" t="s">
        <v>93</v>
      </c>
      <c r="DA14" t="s">
        <v>93</v>
      </c>
      <c r="DB14" t="s">
        <v>94</v>
      </c>
      <c r="DC14" t="s">
        <v>94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95</v>
      </c>
      <c r="DU14" t="s">
        <v>95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95</v>
      </c>
      <c r="EI14" t="s">
        <v>95</v>
      </c>
      <c r="EJ14" t="s">
        <v>95</v>
      </c>
      <c r="EK14" t="s">
        <v>95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97</v>
      </c>
      <c r="ER14" t="s">
        <v>97</v>
      </c>
      <c r="ES14" t="s">
        <v>97</v>
      </c>
      <c r="ET14" t="s">
        <v>97</v>
      </c>
      <c r="EU14" t="s">
        <v>97</v>
      </c>
      <c r="EV14" t="s">
        <v>97</v>
      </c>
      <c r="EW14" t="s">
        <v>97</v>
      </c>
      <c r="EX14" t="s">
        <v>97</v>
      </c>
      <c r="EY14" t="s">
        <v>97</v>
      </c>
      <c r="EZ14" t="s">
        <v>97</v>
      </c>
      <c r="FA14" t="s">
        <v>97</v>
      </c>
      <c r="FB14" t="s">
        <v>97</v>
      </c>
      <c r="FC14" t="s">
        <v>97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98</v>
      </c>
      <c r="FQ14" t="s">
        <v>98</v>
      </c>
      <c r="FR14" t="s">
        <v>98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99</v>
      </c>
      <c r="GC14" t="s">
        <v>99</v>
      </c>
      <c r="GD14" t="s">
        <v>99</v>
      </c>
      <c r="GE14" t="s">
        <v>99</v>
      </c>
      <c r="GF14" t="s">
        <v>99</v>
      </c>
      <c r="GG14" t="s">
        <v>99</v>
      </c>
      <c r="GH14" t="s">
        <v>99</v>
      </c>
      <c r="GI14" t="s">
        <v>99</v>
      </c>
      <c r="GJ14" t="s">
        <v>99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</row>
    <row r="15" spans="1:216">
      <c r="A15" t="s">
        <v>102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t="s">
        <v>109</v>
      </c>
      <c r="I15" t="s">
        <v>110</v>
      </c>
      <c r="J15" t="s">
        <v>111</v>
      </c>
      <c r="K15" t="s">
        <v>112</v>
      </c>
      <c r="L15" t="s">
        <v>113</v>
      </c>
      <c r="M15" t="s">
        <v>114</v>
      </c>
      <c r="N15" t="s">
        <v>115</v>
      </c>
      <c r="O15" t="s">
        <v>116</v>
      </c>
      <c r="P15" t="s">
        <v>117</v>
      </c>
      <c r="Q15" t="s">
        <v>118</v>
      </c>
      <c r="R15" t="s">
        <v>119</v>
      </c>
      <c r="S15" t="s">
        <v>120</v>
      </c>
      <c r="T15" t="s">
        <v>121</v>
      </c>
      <c r="U15" t="s">
        <v>122</v>
      </c>
      <c r="V15" t="s">
        <v>123</v>
      </c>
      <c r="W15" t="s">
        <v>124</v>
      </c>
      <c r="X15" t="s">
        <v>125</v>
      </c>
      <c r="Y15" t="s">
        <v>126</v>
      </c>
      <c r="Z15" t="s">
        <v>127</v>
      </c>
      <c r="AA15" t="s">
        <v>128</v>
      </c>
      <c r="AB15" t="s">
        <v>129</v>
      </c>
      <c r="AC15" t="s">
        <v>130</v>
      </c>
      <c r="AD15" t="s">
        <v>131</v>
      </c>
      <c r="AE15" t="s">
        <v>88</v>
      </c>
      <c r="AF15" t="s">
        <v>132</v>
      </c>
      <c r="AG15" t="s">
        <v>133</v>
      </c>
      <c r="AH15" t="s">
        <v>134</v>
      </c>
      <c r="AI15" t="s">
        <v>135</v>
      </c>
      <c r="AJ15" t="s">
        <v>136</v>
      </c>
      <c r="AK15" t="s">
        <v>137</v>
      </c>
      <c r="AL15" t="s">
        <v>138</v>
      </c>
      <c r="AM15" t="s">
        <v>139</v>
      </c>
      <c r="AN15" t="s">
        <v>140</v>
      </c>
      <c r="AO15" t="s">
        <v>141</v>
      </c>
      <c r="AP15" t="s">
        <v>142</v>
      </c>
      <c r="AQ15" t="s">
        <v>143</v>
      </c>
      <c r="AR15" t="s">
        <v>144</v>
      </c>
      <c r="AS15" t="s">
        <v>145</v>
      </c>
      <c r="AT15" t="s">
        <v>146</v>
      </c>
      <c r="AU15" t="s">
        <v>147</v>
      </c>
      <c r="AV15" t="s">
        <v>148</v>
      </c>
      <c r="AW15" t="s">
        <v>149</v>
      </c>
      <c r="AX15" t="s">
        <v>150</v>
      </c>
      <c r="AY15" t="s">
        <v>151</v>
      </c>
      <c r="AZ15" t="s">
        <v>152</v>
      </c>
      <c r="BA15" t="s">
        <v>153</v>
      </c>
      <c r="BB15" t="s">
        <v>154</v>
      </c>
      <c r="BC15" t="s">
        <v>155</v>
      </c>
      <c r="BD15" t="s">
        <v>156</v>
      </c>
      <c r="BE15" t="s">
        <v>157</v>
      </c>
      <c r="BF15" t="s">
        <v>158</v>
      </c>
      <c r="BG15" t="s">
        <v>159</v>
      </c>
      <c r="BH15" t="s">
        <v>160</v>
      </c>
      <c r="BI15" t="s">
        <v>161</v>
      </c>
      <c r="BJ15" t="s">
        <v>162</v>
      </c>
      <c r="BK15" t="s">
        <v>163</v>
      </c>
      <c r="BL15" t="s">
        <v>164</v>
      </c>
      <c r="BM15" t="s">
        <v>165</v>
      </c>
      <c r="BN15" t="s">
        <v>166</v>
      </c>
      <c r="BO15" t="s">
        <v>167</v>
      </c>
      <c r="BP15" t="s">
        <v>168</v>
      </c>
      <c r="BQ15" t="s">
        <v>169</v>
      </c>
      <c r="BR15" t="s">
        <v>170</v>
      </c>
      <c r="BS15" t="s">
        <v>171</v>
      </c>
      <c r="BT15" t="s">
        <v>172</v>
      </c>
      <c r="BU15" t="s">
        <v>173</v>
      </c>
      <c r="BV15" t="s">
        <v>174</v>
      </c>
      <c r="BW15" t="s">
        <v>175</v>
      </c>
      <c r="BX15" t="s">
        <v>176</v>
      </c>
      <c r="BY15" t="s">
        <v>177</v>
      </c>
      <c r="BZ15" t="s">
        <v>178</v>
      </c>
      <c r="CA15" t="s">
        <v>179</v>
      </c>
      <c r="CB15" t="s">
        <v>180</v>
      </c>
      <c r="CC15" t="s">
        <v>181</v>
      </c>
      <c r="CD15" t="s">
        <v>182</v>
      </c>
      <c r="CE15" t="s">
        <v>183</v>
      </c>
      <c r="CF15" t="s">
        <v>184</v>
      </c>
      <c r="CG15" t="s">
        <v>164</v>
      </c>
      <c r="CH15" t="s">
        <v>185</v>
      </c>
      <c r="CI15" t="s">
        <v>186</v>
      </c>
      <c r="CJ15" t="s">
        <v>187</v>
      </c>
      <c r="CK15" t="s">
        <v>138</v>
      </c>
      <c r="CL15" t="s">
        <v>188</v>
      </c>
      <c r="CM15" t="s">
        <v>189</v>
      </c>
      <c r="CN15" t="s">
        <v>190</v>
      </c>
      <c r="CO15" t="s">
        <v>191</v>
      </c>
      <c r="CP15" t="s">
        <v>192</v>
      </c>
      <c r="CQ15" t="s">
        <v>193</v>
      </c>
      <c r="CR15" t="s">
        <v>194</v>
      </c>
      <c r="CS15" t="s">
        <v>195</v>
      </c>
      <c r="CT15" t="s">
        <v>196</v>
      </c>
      <c r="CU15" t="s">
        <v>197</v>
      </c>
      <c r="CV15" t="s">
        <v>198</v>
      </c>
      <c r="CW15" t="s">
        <v>199</v>
      </c>
      <c r="CX15" t="s">
        <v>200</v>
      </c>
      <c r="CY15" t="s">
        <v>201</v>
      </c>
      <c r="CZ15" t="s">
        <v>202</v>
      </c>
      <c r="DA15" t="s">
        <v>203</v>
      </c>
      <c r="DB15" t="s">
        <v>108</v>
      </c>
      <c r="DC15" t="s">
        <v>204</v>
      </c>
      <c r="DD15" t="s">
        <v>205</v>
      </c>
      <c r="DE15" t="s">
        <v>206</v>
      </c>
      <c r="DF15" t="s">
        <v>207</v>
      </c>
      <c r="DG15" t="s">
        <v>208</v>
      </c>
      <c r="DH15" t="s">
        <v>209</v>
      </c>
      <c r="DI15" t="s">
        <v>210</v>
      </c>
      <c r="DJ15" t="s">
        <v>211</v>
      </c>
      <c r="DK15" t="s">
        <v>212</v>
      </c>
      <c r="DL15" t="s">
        <v>213</v>
      </c>
      <c r="DM15" t="s">
        <v>214</v>
      </c>
      <c r="DN15" t="s">
        <v>215</v>
      </c>
      <c r="DO15" t="s">
        <v>216</v>
      </c>
      <c r="DP15" t="s">
        <v>217</v>
      </c>
      <c r="DQ15" t="s">
        <v>218</v>
      </c>
      <c r="DR15" t="s">
        <v>219</v>
      </c>
      <c r="DS15" t="s">
        <v>220</v>
      </c>
      <c r="DT15" t="s">
        <v>221</v>
      </c>
      <c r="DU15" t="s">
        <v>222</v>
      </c>
      <c r="DV15" t="s">
        <v>223</v>
      </c>
      <c r="DW15" t="s">
        <v>224</v>
      </c>
      <c r="DX15" t="s">
        <v>225</v>
      </c>
      <c r="DY15" t="s">
        <v>226</v>
      </c>
      <c r="DZ15" t="s">
        <v>227</v>
      </c>
      <c r="EA15" t="s">
        <v>228</v>
      </c>
      <c r="EB15" t="s">
        <v>229</v>
      </c>
      <c r="EC15" t="s">
        <v>230</v>
      </c>
      <c r="ED15" t="s">
        <v>231</v>
      </c>
      <c r="EE15" t="s">
        <v>232</v>
      </c>
      <c r="EF15" t="s">
        <v>233</v>
      </c>
      <c r="EG15" t="s">
        <v>234</v>
      </c>
      <c r="EH15" t="s">
        <v>235</v>
      </c>
      <c r="EI15" t="s">
        <v>236</v>
      </c>
      <c r="EJ15" t="s">
        <v>237</v>
      </c>
      <c r="EK15" t="s">
        <v>238</v>
      </c>
      <c r="EL15" t="s">
        <v>239</v>
      </c>
      <c r="EM15" t="s">
        <v>240</v>
      </c>
      <c r="EN15" t="s">
        <v>241</v>
      </c>
      <c r="EO15" t="s">
        <v>242</v>
      </c>
      <c r="EP15" t="s">
        <v>243</v>
      </c>
      <c r="EQ15" t="s">
        <v>103</v>
      </c>
      <c r="ER15" t="s">
        <v>106</v>
      </c>
      <c r="ES15" t="s">
        <v>244</v>
      </c>
      <c r="ET15" t="s">
        <v>245</v>
      </c>
      <c r="EU15" t="s">
        <v>246</v>
      </c>
      <c r="EV15" t="s">
        <v>247</v>
      </c>
      <c r="EW15" t="s">
        <v>248</v>
      </c>
      <c r="EX15" t="s">
        <v>249</v>
      </c>
      <c r="EY15" t="s">
        <v>250</v>
      </c>
      <c r="EZ15" t="s">
        <v>251</v>
      </c>
      <c r="FA15" t="s">
        <v>252</v>
      </c>
      <c r="FB15" t="s">
        <v>253</v>
      </c>
      <c r="FC15" t="s">
        <v>254</v>
      </c>
      <c r="FD15" t="s">
        <v>255</v>
      </c>
      <c r="FE15" t="s">
        <v>256</v>
      </c>
      <c r="FF15" t="s">
        <v>257</v>
      </c>
      <c r="FG15" t="s">
        <v>258</v>
      </c>
      <c r="FH15" t="s">
        <v>259</v>
      </c>
      <c r="FI15" t="s">
        <v>260</v>
      </c>
      <c r="FJ15" t="s">
        <v>261</v>
      </c>
      <c r="FK15" t="s">
        <v>262</v>
      </c>
      <c r="FL15" t="s">
        <v>263</v>
      </c>
      <c r="FM15" t="s">
        <v>264</v>
      </c>
      <c r="FN15" t="s">
        <v>265</v>
      </c>
      <c r="FO15" t="s">
        <v>266</v>
      </c>
      <c r="FP15" t="s">
        <v>267</v>
      </c>
      <c r="FQ15" t="s">
        <v>268</v>
      </c>
      <c r="FR15" t="s">
        <v>269</v>
      </c>
      <c r="FS15" t="s">
        <v>270</v>
      </c>
      <c r="FT15" t="s">
        <v>271</v>
      </c>
      <c r="FU15" t="s">
        <v>272</v>
      </c>
      <c r="FV15" t="s">
        <v>273</v>
      </c>
      <c r="FW15" t="s">
        <v>274</v>
      </c>
      <c r="FX15" t="s">
        <v>275</v>
      </c>
      <c r="FY15" t="s">
        <v>276</v>
      </c>
      <c r="FZ15" t="s">
        <v>277</v>
      </c>
      <c r="GA15" t="s">
        <v>278</v>
      </c>
      <c r="GB15" t="s">
        <v>279</v>
      </c>
      <c r="GC15" t="s">
        <v>280</v>
      </c>
      <c r="GD15" t="s">
        <v>281</v>
      </c>
      <c r="GE15" t="s">
        <v>282</v>
      </c>
      <c r="GF15" t="s">
        <v>283</v>
      </c>
      <c r="GG15" t="s">
        <v>284</v>
      </c>
      <c r="GH15" t="s">
        <v>285</v>
      </c>
      <c r="GI15" t="s">
        <v>286</v>
      </c>
      <c r="GJ15" t="s">
        <v>287</v>
      </c>
      <c r="GK15" t="s">
        <v>288</v>
      </c>
      <c r="GL15" t="s">
        <v>289</v>
      </c>
      <c r="GM15" t="s">
        <v>290</v>
      </c>
      <c r="GN15" t="s">
        <v>291</v>
      </c>
      <c r="GO15" t="s">
        <v>292</v>
      </c>
      <c r="GP15" t="s">
        <v>293</v>
      </c>
      <c r="GQ15" t="s">
        <v>294</v>
      </c>
      <c r="GR15" t="s">
        <v>295</v>
      </c>
      <c r="GS15" t="s">
        <v>296</v>
      </c>
      <c r="GT15" t="s">
        <v>297</v>
      </c>
      <c r="GU15" t="s">
        <v>298</v>
      </c>
      <c r="GV15" t="s">
        <v>299</v>
      </c>
      <c r="GW15" t="s">
        <v>300</v>
      </c>
      <c r="GX15" t="s">
        <v>301</v>
      </c>
      <c r="GY15" t="s">
        <v>302</v>
      </c>
      <c r="GZ15" t="s">
        <v>303</v>
      </c>
      <c r="HA15" t="s">
        <v>304</v>
      </c>
      <c r="HB15" t="s">
        <v>305</v>
      </c>
      <c r="HC15" t="s">
        <v>306</v>
      </c>
      <c r="HD15" t="s">
        <v>307</v>
      </c>
      <c r="HE15" t="s">
        <v>308</v>
      </c>
      <c r="HF15" t="s">
        <v>309</v>
      </c>
      <c r="HG15" t="s">
        <v>310</v>
      </c>
      <c r="HH15" t="s">
        <v>311</v>
      </c>
    </row>
    <row r="16" spans="1:216">
      <c r="B16" t="s">
        <v>312</v>
      </c>
      <c r="C16" t="s">
        <v>312</v>
      </c>
      <c r="F16" t="s">
        <v>312</v>
      </c>
      <c r="G16" t="s">
        <v>312</v>
      </c>
      <c r="H16" t="s">
        <v>313</v>
      </c>
      <c r="I16" t="s">
        <v>314</v>
      </c>
      <c r="J16" t="s">
        <v>315</v>
      </c>
      <c r="K16" t="s">
        <v>316</v>
      </c>
      <c r="L16" t="s">
        <v>316</v>
      </c>
      <c r="M16" t="s">
        <v>211</v>
      </c>
      <c r="N16" t="s">
        <v>211</v>
      </c>
      <c r="O16" t="s">
        <v>313</v>
      </c>
      <c r="P16" t="s">
        <v>313</v>
      </c>
      <c r="Q16" t="s">
        <v>313</v>
      </c>
      <c r="R16" t="s">
        <v>313</v>
      </c>
      <c r="S16" t="s">
        <v>317</v>
      </c>
      <c r="T16" t="s">
        <v>318</v>
      </c>
      <c r="U16" t="s">
        <v>318</v>
      </c>
      <c r="V16" t="s">
        <v>319</v>
      </c>
      <c r="W16" t="s">
        <v>320</v>
      </c>
      <c r="X16" t="s">
        <v>319</v>
      </c>
      <c r="Y16" t="s">
        <v>319</v>
      </c>
      <c r="Z16" t="s">
        <v>319</v>
      </c>
      <c r="AA16" t="s">
        <v>317</v>
      </c>
      <c r="AB16" t="s">
        <v>317</v>
      </c>
      <c r="AC16" t="s">
        <v>317</v>
      </c>
      <c r="AD16" t="s">
        <v>317</v>
      </c>
      <c r="AE16" t="s">
        <v>321</v>
      </c>
      <c r="AF16" t="s">
        <v>320</v>
      </c>
      <c r="AH16" t="s">
        <v>320</v>
      </c>
      <c r="AI16" t="s">
        <v>321</v>
      </c>
      <c r="AO16" t="s">
        <v>315</v>
      </c>
      <c r="AV16" t="s">
        <v>315</v>
      </c>
      <c r="AW16" t="s">
        <v>315</v>
      </c>
      <c r="AX16" t="s">
        <v>315</v>
      </c>
      <c r="AY16" t="s">
        <v>322</v>
      </c>
      <c r="BM16" t="s">
        <v>323</v>
      </c>
      <c r="BO16" t="s">
        <v>323</v>
      </c>
      <c r="BP16" t="s">
        <v>315</v>
      </c>
      <c r="BS16" t="s">
        <v>323</v>
      </c>
      <c r="BT16" t="s">
        <v>320</v>
      </c>
      <c r="BW16" t="s">
        <v>324</v>
      </c>
      <c r="BX16" t="s">
        <v>324</v>
      </c>
      <c r="BZ16" t="s">
        <v>325</v>
      </c>
      <c r="CA16" t="s">
        <v>323</v>
      </c>
      <c r="CC16" t="s">
        <v>323</v>
      </c>
      <c r="CD16" t="s">
        <v>315</v>
      </c>
      <c r="CH16" t="s">
        <v>323</v>
      </c>
      <c r="CJ16" t="s">
        <v>326</v>
      </c>
      <c r="CM16" t="s">
        <v>323</v>
      </c>
      <c r="CN16" t="s">
        <v>323</v>
      </c>
      <c r="CP16" t="s">
        <v>323</v>
      </c>
      <c r="CR16" t="s">
        <v>323</v>
      </c>
      <c r="CT16" t="s">
        <v>315</v>
      </c>
      <c r="CU16" t="s">
        <v>315</v>
      </c>
      <c r="CW16" t="s">
        <v>327</v>
      </c>
      <c r="CX16" t="s">
        <v>328</v>
      </c>
      <c r="DA16" t="s">
        <v>313</v>
      </c>
      <c r="DB16" t="s">
        <v>312</v>
      </c>
      <c r="DC16" t="s">
        <v>316</v>
      </c>
      <c r="DD16" t="s">
        <v>316</v>
      </c>
      <c r="DE16" t="s">
        <v>329</v>
      </c>
      <c r="DF16" t="s">
        <v>329</v>
      </c>
      <c r="DG16" t="s">
        <v>316</v>
      </c>
      <c r="DH16" t="s">
        <v>329</v>
      </c>
      <c r="DI16" t="s">
        <v>321</v>
      </c>
      <c r="DJ16" t="s">
        <v>319</v>
      </c>
      <c r="DK16" t="s">
        <v>319</v>
      </c>
      <c r="DL16" t="s">
        <v>318</v>
      </c>
      <c r="DM16" t="s">
        <v>318</v>
      </c>
      <c r="DN16" t="s">
        <v>318</v>
      </c>
      <c r="DO16" t="s">
        <v>318</v>
      </c>
      <c r="DP16" t="s">
        <v>318</v>
      </c>
      <c r="DQ16" t="s">
        <v>330</v>
      </c>
      <c r="DR16" t="s">
        <v>315</v>
      </c>
      <c r="DS16" t="s">
        <v>315</v>
      </c>
      <c r="DT16" t="s">
        <v>315</v>
      </c>
      <c r="DY16" t="s">
        <v>315</v>
      </c>
      <c r="EB16" t="s">
        <v>318</v>
      </c>
      <c r="EC16" t="s">
        <v>318</v>
      </c>
      <c r="ED16" t="s">
        <v>318</v>
      </c>
      <c r="EE16" t="s">
        <v>318</v>
      </c>
      <c r="EF16" t="s">
        <v>318</v>
      </c>
      <c r="EG16" t="s">
        <v>315</v>
      </c>
      <c r="EH16" t="s">
        <v>315</v>
      </c>
      <c r="EI16" t="s">
        <v>315</v>
      </c>
      <c r="EJ16" t="s">
        <v>312</v>
      </c>
      <c r="EM16" t="s">
        <v>331</v>
      </c>
      <c r="EN16" t="s">
        <v>331</v>
      </c>
      <c r="EP16" t="s">
        <v>312</v>
      </c>
      <c r="EQ16" t="s">
        <v>332</v>
      </c>
      <c r="ES16" t="s">
        <v>312</v>
      </c>
      <c r="ET16" t="s">
        <v>312</v>
      </c>
      <c r="EV16" t="s">
        <v>333</v>
      </c>
      <c r="EW16" t="s">
        <v>334</v>
      </c>
      <c r="EX16" t="s">
        <v>333</v>
      </c>
      <c r="EY16" t="s">
        <v>334</v>
      </c>
      <c r="EZ16" t="s">
        <v>333</v>
      </c>
      <c r="FA16" t="s">
        <v>334</v>
      </c>
      <c r="FB16" t="s">
        <v>320</v>
      </c>
      <c r="FC16" t="s">
        <v>320</v>
      </c>
      <c r="FD16" t="s">
        <v>315</v>
      </c>
      <c r="FE16" t="s">
        <v>335</v>
      </c>
      <c r="FF16" t="s">
        <v>315</v>
      </c>
      <c r="FH16" t="s">
        <v>316</v>
      </c>
      <c r="FI16" t="s">
        <v>336</v>
      </c>
      <c r="FJ16" t="s">
        <v>316</v>
      </c>
      <c r="FM16" t="s">
        <v>337</v>
      </c>
      <c r="FS16" t="s">
        <v>320</v>
      </c>
      <c r="FT16" t="s">
        <v>320</v>
      </c>
      <c r="FU16" t="s">
        <v>333</v>
      </c>
      <c r="FV16" t="s">
        <v>334</v>
      </c>
      <c r="FW16" t="s">
        <v>333</v>
      </c>
      <c r="GA16" t="s">
        <v>334</v>
      </c>
      <c r="GE16" t="s">
        <v>316</v>
      </c>
      <c r="GF16" t="s">
        <v>316</v>
      </c>
      <c r="GG16" t="s">
        <v>329</v>
      </c>
      <c r="GH16" t="s">
        <v>329</v>
      </c>
      <c r="GI16" t="s">
        <v>338</v>
      </c>
      <c r="GJ16" t="s">
        <v>338</v>
      </c>
      <c r="GK16" t="s">
        <v>339</v>
      </c>
      <c r="GL16" t="s">
        <v>339</v>
      </c>
      <c r="GM16" t="s">
        <v>339</v>
      </c>
      <c r="GN16" t="s">
        <v>339</v>
      </c>
      <c r="GO16" t="s">
        <v>339</v>
      </c>
      <c r="GP16" t="s">
        <v>339</v>
      </c>
      <c r="GQ16" t="s">
        <v>318</v>
      </c>
      <c r="GR16" t="s">
        <v>339</v>
      </c>
      <c r="GT16" t="s">
        <v>321</v>
      </c>
      <c r="GU16" t="s">
        <v>321</v>
      </c>
      <c r="GV16" t="s">
        <v>318</v>
      </c>
      <c r="GW16" t="s">
        <v>318</v>
      </c>
      <c r="GX16" t="s">
        <v>318</v>
      </c>
      <c r="GY16" t="s">
        <v>318</v>
      </c>
      <c r="GZ16" t="s">
        <v>318</v>
      </c>
      <c r="HA16" t="s">
        <v>320</v>
      </c>
      <c r="HB16" t="s">
        <v>320</v>
      </c>
      <c r="HC16" t="s">
        <v>320</v>
      </c>
      <c r="HD16" t="s">
        <v>318</v>
      </c>
      <c r="HE16" t="s">
        <v>316</v>
      </c>
      <c r="HF16" t="s">
        <v>329</v>
      </c>
      <c r="HG16" t="s">
        <v>320</v>
      </c>
      <c r="HH16" t="s">
        <v>320</v>
      </c>
    </row>
    <row r="17" spans="1:216">
      <c r="A17">
        <v>1</v>
      </c>
      <c r="B17">
        <v>1595346576</v>
      </c>
      <c r="C17">
        <v>0</v>
      </c>
      <c r="D17" t="s">
        <v>340</v>
      </c>
      <c r="E17" t="s">
        <v>341</v>
      </c>
      <c r="F17">
        <v>5</v>
      </c>
      <c r="G17">
        <v>1595346567.5</v>
      </c>
      <c r="H17">
        <f>(I17)/1000</f>
        <v>0</v>
      </c>
      <c r="I17">
        <f>1000*DI17*AG17*(DE17-DF17)/(100*CX17*(1000-AG17*DE17))</f>
        <v>0</v>
      </c>
      <c r="J17">
        <f>DI17*AG17*(DD17-DC17*(1000-AG17*DF17)/(1000-AG17*DE17))/(100*CX17)</f>
        <v>0</v>
      </c>
      <c r="K17">
        <f>DC17 - IF(AG17&gt;1, J17*CX17*100.0/(AI17), 0)</f>
        <v>0</v>
      </c>
      <c r="L17">
        <f>((R17-H17/2)*K17-J17)/(R17+H17/2)</f>
        <v>0</v>
      </c>
      <c r="M17">
        <f>L17*(DJ17+DK17)/1000.0</f>
        <v>0</v>
      </c>
      <c r="N17">
        <f>(DC17 - IF(AG17&gt;1, J17*CX17*100.0/(AI17), 0))*(DJ17+DK17)/1000.0</f>
        <v>0</v>
      </c>
      <c r="O17">
        <f>2.0/((1/Q17-1/P17)+SIGN(Q17)*SQRT((1/Q17-1/P17)*(1/Q17-1/P17) + 4*CY17/((CY17+1)*(CY17+1))*(2*1/Q17*1/P17-1/P17*1/P17)))</f>
        <v>0</v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>0</v>
      </c>
      <c r="Q17">
        <f>H17*(1000-(1000*0.61365*exp(17.502*U17/(240.97+U17))/(DJ17+DK17)+DE17)/2)/(1000*0.61365*exp(17.502*U17/(240.97+U17))/(DJ17+DK17)-DE17)</f>
        <v>0</v>
      </c>
      <c r="R17">
        <f>1/((CY17+1)/(O17/1.6)+1/(P17/1.37)) + CY17/((CY17+1)/(O17/1.6) + CY17/(P17/1.37))</f>
        <v>0</v>
      </c>
      <c r="S17">
        <f>(CT17*CW17)</f>
        <v>0</v>
      </c>
      <c r="T17">
        <f>(DL17+(S17+2*0.95*5.67E-8*(((DL17+$B$7)+273)^4-(DL17+273)^4)-44100*H17)/(1.84*29.3*P17+8*0.95*5.67E-8*(DL17+273)^3))</f>
        <v>0</v>
      </c>
      <c r="U17">
        <f>($C$7*DM17+$D$7*DN17+$E$7*T17)</f>
        <v>0</v>
      </c>
      <c r="V17">
        <f>0.61365*exp(17.502*U17/(240.97+U17))</f>
        <v>0</v>
      </c>
      <c r="W17">
        <f>(X17/Y17*100)</f>
        <v>0</v>
      </c>
      <c r="X17">
        <f>DE17*(DJ17+DK17)/1000</f>
        <v>0</v>
      </c>
      <c r="Y17">
        <f>0.61365*exp(17.502*DL17/(240.97+DL17))</f>
        <v>0</v>
      </c>
      <c r="Z17">
        <f>(V17-DE17*(DJ17+DK17)/1000)</f>
        <v>0</v>
      </c>
      <c r="AA17">
        <f>(-H17*44100)</f>
        <v>0</v>
      </c>
      <c r="AB17">
        <f>2*29.3*P17*0.92*(DL17-U17)</f>
        <v>0</v>
      </c>
      <c r="AC17">
        <f>2*0.95*5.67E-8*(((DL17+$B$7)+273)^4-(U17+273)^4)</f>
        <v>0</v>
      </c>
      <c r="AD17">
        <f>S17+AC17+AA17+AB17</f>
        <v>0</v>
      </c>
      <c r="AE17">
        <v>0</v>
      </c>
      <c r="AF17">
        <v>0</v>
      </c>
      <c r="AG17">
        <f>IF(AE17*$H$13&gt;=AI17,1.0,(AI17/(AI17-AE17*$H$13)))</f>
        <v>0</v>
      </c>
      <c r="AH17">
        <f>(AG17-1)*100</f>
        <v>0</v>
      </c>
      <c r="AI17">
        <f>MAX(0,($B$13+$C$13*DQ17)/(1+$D$13*DQ17)*DJ17/(DL17+273)*$E$13)</f>
        <v>0</v>
      </c>
      <c r="AJ17" t="s">
        <v>342</v>
      </c>
      <c r="AK17" t="s">
        <v>342</v>
      </c>
      <c r="AL17">
        <v>0</v>
      </c>
      <c r="AM17">
        <v>0</v>
      </c>
      <c r="AN17">
        <f>1-AL17/AM17</f>
        <v>0</v>
      </c>
      <c r="AO17">
        <v>0</v>
      </c>
      <c r="AP17" t="s">
        <v>342</v>
      </c>
      <c r="AQ17" t="s">
        <v>342</v>
      </c>
      <c r="AR17">
        <v>0</v>
      </c>
      <c r="AS17">
        <v>0</v>
      </c>
      <c r="AT17">
        <f>1-AR17/AS17</f>
        <v>0</v>
      </c>
      <c r="AU17">
        <v>0.5</v>
      </c>
      <c r="AV17">
        <f>CU17</f>
        <v>0</v>
      </c>
      <c r="AW17">
        <f>J17</f>
        <v>0</v>
      </c>
      <c r="AX17">
        <f>AT17*AU17*AV17</f>
        <v>0</v>
      </c>
      <c r="AY17">
        <f>(AW17-AO17)/AV17</f>
        <v>0</v>
      </c>
      <c r="AZ17">
        <f>(AM17-AS17)/AS17</f>
        <v>0</v>
      </c>
      <c r="BA17">
        <f>AL17/(AN17+AL17/AS17)</f>
        <v>0</v>
      </c>
      <c r="BB17" t="s">
        <v>342</v>
      </c>
      <c r="BC17">
        <v>0</v>
      </c>
      <c r="BD17">
        <f>IF(BC17&lt;&gt;0, BC17, BA17)</f>
        <v>0</v>
      </c>
      <c r="BE17">
        <f>1-BD17/AS17</f>
        <v>0</v>
      </c>
      <c r="BF17">
        <f>(AS17-AR17)/(AS17-BD17)</f>
        <v>0</v>
      </c>
      <c r="BG17">
        <f>(AM17-AS17)/(AM17-BD17)</f>
        <v>0</v>
      </c>
      <c r="BH17">
        <f>(AS17-AR17)/(AS17-AL17)</f>
        <v>0</v>
      </c>
      <c r="BI17">
        <f>(AM17-AS17)/(AM17-AL17)</f>
        <v>0</v>
      </c>
      <c r="BJ17">
        <f>(BF17*BD17/AR17)</f>
        <v>0</v>
      </c>
      <c r="BK17">
        <f>(1-BJ17)</f>
        <v>0</v>
      </c>
      <c r="CT17">
        <f>$B$11*DR17+$C$11*DS17+$F$11*DT17*(1-DW17)</f>
        <v>0</v>
      </c>
      <c r="CU17">
        <f>CT17*CV17</f>
        <v>0</v>
      </c>
      <c r="CV17">
        <f>($B$11*$D$9+$C$11*$D$9+$F$11*((EG17+DY17)/MAX(EG17+DY17+EH17, 0.1)*$I$9+EH17/MAX(EG17+DY17+EH17, 0.1)*$J$9))/($B$11+$C$11+$F$11)</f>
        <v>0</v>
      </c>
      <c r="CW17">
        <f>($B$11*$K$9+$C$11*$K$9+$F$11*((EG17+DY17)/MAX(EG17+DY17+EH17, 0.1)*$P$9+EH17/MAX(EG17+DY17+EH17, 0.1)*$Q$9))/($B$11+$C$11+$F$11)</f>
        <v>0</v>
      </c>
      <c r="CX17">
        <v>2</v>
      </c>
      <c r="CY17">
        <v>0.5</v>
      </c>
      <c r="CZ17" t="s">
        <v>343</v>
      </c>
      <c r="DA17">
        <v>2</v>
      </c>
      <c r="DB17">
        <v>1595346567.5</v>
      </c>
      <c r="DC17">
        <v>390.9558125</v>
      </c>
      <c r="DD17">
        <v>399.96125</v>
      </c>
      <c r="DE17">
        <v>17.5029625</v>
      </c>
      <c r="DF17">
        <v>16.05133125</v>
      </c>
      <c r="DG17">
        <v>390.7215</v>
      </c>
      <c r="DH17">
        <v>17.60718125</v>
      </c>
      <c r="DI17">
        <v>500.0033125</v>
      </c>
      <c r="DJ17">
        <v>101.334375</v>
      </c>
      <c r="DK17">
        <v>0.09997471875</v>
      </c>
      <c r="DL17">
        <v>25.19269375</v>
      </c>
      <c r="DM17">
        <v>25.01689375</v>
      </c>
      <c r="DN17">
        <v>999.9</v>
      </c>
      <c r="DO17">
        <v>0</v>
      </c>
      <c r="DP17">
        <v>0</v>
      </c>
      <c r="DQ17">
        <v>10003.12</v>
      </c>
      <c r="DR17">
        <v>0</v>
      </c>
      <c r="DS17">
        <v>7.4537</v>
      </c>
      <c r="DT17">
        <v>1500.00375</v>
      </c>
      <c r="DU17">
        <v>0.97300875</v>
      </c>
      <c r="DV17">
        <v>0.0269913875</v>
      </c>
      <c r="DW17">
        <v>0</v>
      </c>
      <c r="DX17">
        <v>255.162375</v>
      </c>
      <c r="DY17">
        <v>4.99999</v>
      </c>
      <c r="DZ17">
        <v>3794.523125</v>
      </c>
      <c r="EA17">
        <v>14882.65625</v>
      </c>
      <c r="EB17">
        <v>36.8395625</v>
      </c>
      <c r="EC17">
        <v>38.38275</v>
      </c>
      <c r="ED17">
        <v>37.444875</v>
      </c>
      <c r="EE17">
        <v>37.75</v>
      </c>
      <c r="EF17">
        <v>38.4960625</v>
      </c>
      <c r="EG17">
        <v>1454.65375</v>
      </c>
      <c r="EH17">
        <v>40.35</v>
      </c>
      <c r="EI17">
        <v>0</v>
      </c>
      <c r="EJ17">
        <v>1792381922.1</v>
      </c>
      <c r="EK17">
        <v>0</v>
      </c>
      <c r="EL17">
        <v>255.30148</v>
      </c>
      <c r="EM17">
        <v>1.61084615318884</v>
      </c>
      <c r="EN17">
        <v>-15.2453846264044</v>
      </c>
      <c r="EO17">
        <v>3794.0768</v>
      </c>
      <c r="EP17">
        <v>15</v>
      </c>
      <c r="EQ17">
        <v>1595346490</v>
      </c>
      <c r="ER17" t="s">
        <v>344</v>
      </c>
      <c r="ES17">
        <v>1595346481</v>
      </c>
      <c r="ET17">
        <v>1595346490</v>
      </c>
      <c r="EU17">
        <v>2</v>
      </c>
      <c r="EV17">
        <v>0.025</v>
      </c>
      <c r="EW17">
        <v>-0</v>
      </c>
      <c r="EX17">
        <v>0.244</v>
      </c>
      <c r="EY17">
        <v>-0.104</v>
      </c>
      <c r="EZ17">
        <v>400</v>
      </c>
      <c r="FA17">
        <v>16</v>
      </c>
      <c r="FB17">
        <v>0.18</v>
      </c>
      <c r="FC17">
        <v>0.06</v>
      </c>
      <c r="FD17">
        <v>21.0950335982895</v>
      </c>
      <c r="FE17">
        <v>-0.244498411256374</v>
      </c>
      <c r="FF17">
        <v>0.0705531703108114</v>
      </c>
      <c r="FG17">
        <v>1</v>
      </c>
      <c r="FH17">
        <v>-9.01819428571429</v>
      </c>
      <c r="FI17">
        <v>0.175725974025971</v>
      </c>
      <c r="FJ17">
        <v>0.0323697842015004</v>
      </c>
      <c r="FK17">
        <v>1</v>
      </c>
      <c r="FL17">
        <v>255.348117647059</v>
      </c>
      <c r="FM17">
        <v>-0.600702827315701</v>
      </c>
      <c r="FN17">
        <v>0.416137474789133</v>
      </c>
      <c r="FO17">
        <v>1</v>
      </c>
      <c r="FP17">
        <v>3</v>
      </c>
      <c r="FQ17">
        <v>3</v>
      </c>
      <c r="FR17" t="s">
        <v>345</v>
      </c>
      <c r="FS17">
        <v>100</v>
      </c>
      <c r="FT17">
        <v>100</v>
      </c>
      <c r="FU17">
        <v>0.234</v>
      </c>
      <c r="FV17">
        <v>-0.1042</v>
      </c>
      <c r="FW17">
        <v>-0.154310420074326</v>
      </c>
      <c r="FX17">
        <v>0.000862124167288959</v>
      </c>
      <c r="FY17">
        <v>3.40327538556632e-07</v>
      </c>
      <c r="FZ17">
        <v>-2.02263791882896e-12</v>
      </c>
      <c r="GA17">
        <v>-0.104209090909094</v>
      </c>
      <c r="GB17">
        <v>0</v>
      </c>
      <c r="GC17">
        <v>0</v>
      </c>
      <c r="GD17">
        <v>0</v>
      </c>
      <c r="GE17">
        <v>4</v>
      </c>
      <c r="GF17">
        <v>2115</v>
      </c>
      <c r="GG17">
        <v>-1</v>
      </c>
      <c r="GH17">
        <v>-1</v>
      </c>
      <c r="GI17">
        <v>1.6</v>
      </c>
      <c r="GJ17">
        <v>1.4</v>
      </c>
      <c r="GK17">
        <v>1.03149</v>
      </c>
      <c r="GL17">
        <v>2.62573</v>
      </c>
      <c r="GM17">
        <v>1.65161</v>
      </c>
      <c r="GN17">
        <v>2.27295</v>
      </c>
      <c r="GO17">
        <v>1.5979</v>
      </c>
      <c r="GP17">
        <v>2.64648</v>
      </c>
      <c r="GQ17">
        <v>33.3784</v>
      </c>
      <c r="GR17">
        <v>15.3579</v>
      </c>
      <c r="GS17">
        <v>18</v>
      </c>
      <c r="GT17">
        <v>504.521</v>
      </c>
      <c r="GU17">
        <v>546.587</v>
      </c>
      <c r="GV17">
        <v>21.115</v>
      </c>
      <c r="GW17">
        <v>29.2069</v>
      </c>
      <c r="GX17">
        <v>29.9999</v>
      </c>
      <c r="GY17">
        <v>29.4392</v>
      </c>
      <c r="GZ17">
        <v>29.5059</v>
      </c>
      <c r="HA17">
        <v>20.6361</v>
      </c>
      <c r="HB17">
        <v>32.0611</v>
      </c>
      <c r="HC17">
        <v>44.1401</v>
      </c>
      <c r="HD17">
        <v>21.1148</v>
      </c>
      <c r="HE17">
        <v>400</v>
      </c>
      <c r="HF17">
        <v>16.0307</v>
      </c>
      <c r="HG17">
        <v>98.0161</v>
      </c>
      <c r="HH17">
        <v>95.4212</v>
      </c>
    </row>
    <row r="18" spans="1:216">
      <c r="A18">
        <v>2</v>
      </c>
      <c r="B18">
        <v>1595346704</v>
      </c>
      <c r="C18">
        <v>128</v>
      </c>
      <c r="D18" t="s">
        <v>346</v>
      </c>
      <c r="E18" t="s">
        <v>347</v>
      </c>
      <c r="F18">
        <v>5</v>
      </c>
      <c r="G18">
        <v>1595346695.5</v>
      </c>
      <c r="H18">
        <f>(I18)/1000</f>
        <v>0</v>
      </c>
      <c r="I18">
        <f>1000*DI18*AG18*(DE18-DF18)/(100*CX18*(1000-AG18*DE18))</f>
        <v>0</v>
      </c>
      <c r="J18">
        <f>DI18*AG18*(DD18-DC18*(1000-AG18*DF18)/(1000-AG18*DE18))/(100*CX18)</f>
        <v>0</v>
      </c>
      <c r="K18">
        <f>DC18 - IF(AG18&gt;1, J18*CX18*100.0/(AI18), 0)</f>
        <v>0</v>
      </c>
      <c r="L18">
        <f>((R18-H18/2)*K18-J18)/(R18+H18/2)</f>
        <v>0</v>
      </c>
      <c r="M18">
        <f>L18*(DJ18+DK18)/1000.0</f>
        <v>0</v>
      </c>
      <c r="N18">
        <f>(DC18 - IF(AG18&gt;1, J18*CX18*100.0/(AI18), 0))*(DJ18+DK18)/1000.0</f>
        <v>0</v>
      </c>
      <c r="O18">
        <f>2.0/((1/Q18-1/P18)+SIGN(Q18)*SQRT((1/Q18-1/P18)*(1/Q18-1/P18) + 4*CY18/((CY18+1)*(CY18+1))*(2*1/Q18*1/P18-1/P18*1/P18)))</f>
        <v>0</v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>0</v>
      </c>
      <c r="Q18">
        <f>H18*(1000-(1000*0.61365*exp(17.502*U18/(240.97+U18))/(DJ18+DK18)+DE18)/2)/(1000*0.61365*exp(17.502*U18/(240.97+U18))/(DJ18+DK18)-DE18)</f>
        <v>0</v>
      </c>
      <c r="R18">
        <f>1/((CY18+1)/(O18/1.6)+1/(P18/1.37)) + CY18/((CY18+1)/(O18/1.6) + CY18/(P18/1.37))</f>
        <v>0</v>
      </c>
      <c r="S18">
        <f>(CT18*CW18)</f>
        <v>0</v>
      </c>
      <c r="T18">
        <f>(DL18+(S18+2*0.95*5.67E-8*(((DL18+$B$7)+273)^4-(DL18+273)^4)-44100*H18)/(1.84*29.3*P18+8*0.95*5.67E-8*(DL18+273)^3))</f>
        <v>0</v>
      </c>
      <c r="U18">
        <f>($C$7*DM18+$D$7*DN18+$E$7*T18)</f>
        <v>0</v>
      </c>
      <c r="V18">
        <f>0.61365*exp(17.502*U18/(240.97+U18))</f>
        <v>0</v>
      </c>
      <c r="W18">
        <f>(X18/Y18*100)</f>
        <v>0</v>
      </c>
      <c r="X18">
        <f>DE18*(DJ18+DK18)/1000</f>
        <v>0</v>
      </c>
      <c r="Y18">
        <f>0.61365*exp(17.502*DL18/(240.97+DL18))</f>
        <v>0</v>
      </c>
      <c r="Z18">
        <f>(V18-DE18*(DJ18+DK18)/1000)</f>
        <v>0</v>
      </c>
      <c r="AA18">
        <f>(-H18*44100)</f>
        <v>0</v>
      </c>
      <c r="AB18">
        <f>2*29.3*P18*0.92*(DL18-U18)</f>
        <v>0</v>
      </c>
      <c r="AC18">
        <f>2*0.95*5.67E-8*(((DL18+$B$7)+273)^4-(U18+273)^4)</f>
        <v>0</v>
      </c>
      <c r="AD18">
        <f>S18+AC18+AA18+AB18</f>
        <v>0</v>
      </c>
      <c r="AE18">
        <v>0</v>
      </c>
      <c r="AF18">
        <v>0</v>
      </c>
      <c r="AG18">
        <f>IF(AE18*$H$13&gt;=AI18,1.0,(AI18/(AI18-AE18*$H$13)))</f>
        <v>0</v>
      </c>
      <c r="AH18">
        <f>(AG18-1)*100</f>
        <v>0</v>
      </c>
      <c r="AI18">
        <f>MAX(0,($B$13+$C$13*DQ18)/(1+$D$13*DQ18)*DJ18/(DL18+273)*$E$13)</f>
        <v>0</v>
      </c>
      <c r="AJ18" t="s">
        <v>342</v>
      </c>
      <c r="AK18" t="s">
        <v>342</v>
      </c>
      <c r="AL18">
        <v>0</v>
      </c>
      <c r="AM18">
        <v>0</v>
      </c>
      <c r="AN18">
        <f>1-AL18/AM18</f>
        <v>0</v>
      </c>
      <c r="AO18">
        <v>0</v>
      </c>
      <c r="AP18" t="s">
        <v>342</v>
      </c>
      <c r="AQ18" t="s">
        <v>342</v>
      </c>
      <c r="AR18">
        <v>0</v>
      </c>
      <c r="AS18">
        <v>0</v>
      </c>
      <c r="AT18">
        <f>1-AR18/AS18</f>
        <v>0</v>
      </c>
      <c r="AU18">
        <v>0.5</v>
      </c>
      <c r="AV18">
        <f>CU18</f>
        <v>0</v>
      </c>
      <c r="AW18">
        <f>J18</f>
        <v>0</v>
      </c>
      <c r="AX18">
        <f>AT18*AU18*AV18</f>
        <v>0</v>
      </c>
      <c r="AY18">
        <f>(AW18-AO18)/AV18</f>
        <v>0</v>
      </c>
      <c r="AZ18">
        <f>(AM18-AS18)/AS18</f>
        <v>0</v>
      </c>
      <c r="BA18">
        <f>AL18/(AN18+AL18/AS18)</f>
        <v>0</v>
      </c>
      <c r="BB18" t="s">
        <v>342</v>
      </c>
      <c r="BC18">
        <v>0</v>
      </c>
      <c r="BD18">
        <f>IF(BC18&lt;&gt;0, BC18, BA18)</f>
        <v>0</v>
      </c>
      <c r="BE18">
        <f>1-BD18/AS18</f>
        <v>0</v>
      </c>
      <c r="BF18">
        <f>(AS18-AR18)/(AS18-BD18)</f>
        <v>0</v>
      </c>
      <c r="BG18">
        <f>(AM18-AS18)/(AM18-BD18)</f>
        <v>0</v>
      </c>
      <c r="BH18">
        <f>(AS18-AR18)/(AS18-AL18)</f>
        <v>0</v>
      </c>
      <c r="BI18">
        <f>(AM18-AS18)/(AM18-AL18)</f>
        <v>0</v>
      </c>
      <c r="BJ18">
        <f>(BF18*BD18/AR18)</f>
        <v>0</v>
      </c>
      <c r="BK18">
        <f>(1-BJ18)</f>
        <v>0</v>
      </c>
      <c r="CT18">
        <f>$B$11*DR18+$C$11*DS18+$F$11*DT18*(1-DW18)</f>
        <v>0</v>
      </c>
      <c r="CU18">
        <f>CT18*CV18</f>
        <v>0</v>
      </c>
      <c r="CV18">
        <f>($B$11*$D$9+$C$11*$D$9+$F$11*((EG18+DY18)/MAX(EG18+DY18+EH18, 0.1)*$I$9+EH18/MAX(EG18+DY18+EH18, 0.1)*$J$9))/($B$11+$C$11+$F$11)</f>
        <v>0</v>
      </c>
      <c r="CW18">
        <f>($B$11*$K$9+$C$11*$K$9+$F$11*((EG18+DY18)/MAX(EG18+DY18+EH18, 0.1)*$P$9+EH18/MAX(EG18+DY18+EH18, 0.1)*$Q$9))/($B$11+$C$11+$F$11)</f>
        <v>0</v>
      </c>
      <c r="CX18">
        <v>2</v>
      </c>
      <c r="CY18">
        <v>0.5</v>
      </c>
      <c r="CZ18" t="s">
        <v>343</v>
      </c>
      <c r="DA18">
        <v>2</v>
      </c>
      <c r="DB18">
        <v>1595346695.5</v>
      </c>
      <c r="DC18">
        <v>293.9906875</v>
      </c>
      <c r="DD18">
        <v>299.9876875</v>
      </c>
      <c r="DE18">
        <v>17.2310375</v>
      </c>
      <c r="DF18">
        <v>16.00274375</v>
      </c>
      <c r="DG18">
        <v>293.8030625</v>
      </c>
      <c r="DH18">
        <v>17.33689375</v>
      </c>
      <c r="DI18">
        <v>500.0330625</v>
      </c>
      <c r="DJ18">
        <v>101.32425</v>
      </c>
      <c r="DK18">
        <v>0.0999583875</v>
      </c>
      <c r="DL18">
        <v>24.9914875</v>
      </c>
      <c r="DM18">
        <v>25.03225625</v>
      </c>
      <c r="DN18">
        <v>999.9</v>
      </c>
      <c r="DO18">
        <v>0</v>
      </c>
      <c r="DP18">
        <v>0</v>
      </c>
      <c r="DQ18">
        <v>10001.911875</v>
      </c>
      <c r="DR18">
        <v>0</v>
      </c>
      <c r="DS18">
        <v>7.511934375</v>
      </c>
      <c r="DT18">
        <v>1500.01</v>
      </c>
      <c r="DU18">
        <v>0.9730071875</v>
      </c>
      <c r="DV18">
        <v>0.02699304375</v>
      </c>
      <c r="DW18">
        <v>0</v>
      </c>
      <c r="DX18">
        <v>251.3618125</v>
      </c>
      <c r="DY18">
        <v>4.99999</v>
      </c>
      <c r="DZ18">
        <v>3735.095</v>
      </c>
      <c r="EA18">
        <v>14882.7125</v>
      </c>
      <c r="EB18">
        <v>36.625</v>
      </c>
      <c r="EC18">
        <v>38.2145625</v>
      </c>
      <c r="ED18">
        <v>37.25</v>
      </c>
      <c r="EE18">
        <v>37.57775</v>
      </c>
      <c r="EF18">
        <v>38.25775</v>
      </c>
      <c r="EG18">
        <v>1454.66</v>
      </c>
      <c r="EH18">
        <v>40.354375</v>
      </c>
      <c r="EI18">
        <v>0</v>
      </c>
      <c r="EJ18">
        <v>1792382049.9</v>
      </c>
      <c r="EK18">
        <v>0</v>
      </c>
      <c r="EL18">
        <v>251.581615384615</v>
      </c>
      <c r="EM18">
        <v>-0.51856411091148</v>
      </c>
      <c r="EN18">
        <v>0.829743615808981</v>
      </c>
      <c r="EO18">
        <v>3734.93730769231</v>
      </c>
      <c r="EP18">
        <v>15</v>
      </c>
      <c r="EQ18">
        <v>1595346640</v>
      </c>
      <c r="ER18" t="s">
        <v>348</v>
      </c>
      <c r="ES18">
        <v>1595346638</v>
      </c>
      <c r="ET18">
        <v>1595346640</v>
      </c>
      <c r="EU18">
        <v>3</v>
      </c>
      <c r="EV18">
        <v>0.059</v>
      </c>
      <c r="EW18">
        <v>-0.002</v>
      </c>
      <c r="EX18">
        <v>0.194</v>
      </c>
      <c r="EY18">
        <v>-0.106</v>
      </c>
      <c r="EZ18">
        <v>300</v>
      </c>
      <c r="FA18">
        <v>16</v>
      </c>
      <c r="FB18">
        <v>0.27</v>
      </c>
      <c r="FC18">
        <v>0.05</v>
      </c>
      <c r="FD18">
        <v>14.095315138044</v>
      </c>
      <c r="FE18">
        <v>-0.337182740557344</v>
      </c>
      <c r="FF18">
        <v>0.0469468654873304</v>
      </c>
      <c r="FG18">
        <v>1</v>
      </c>
      <c r="FH18">
        <v>-6.00907333333333</v>
      </c>
      <c r="FI18">
        <v>0.14470675324675</v>
      </c>
      <c r="FJ18">
        <v>0.0218880326800555</v>
      </c>
      <c r="FK18">
        <v>1</v>
      </c>
      <c r="FL18">
        <v>251.553147058823</v>
      </c>
      <c r="FM18">
        <v>0.620488908759665</v>
      </c>
      <c r="FN18">
        <v>0.451966366028224</v>
      </c>
      <c r="FO18">
        <v>1</v>
      </c>
      <c r="FP18">
        <v>3</v>
      </c>
      <c r="FQ18">
        <v>3</v>
      </c>
      <c r="FR18" t="s">
        <v>345</v>
      </c>
      <c r="FS18">
        <v>100</v>
      </c>
      <c r="FT18">
        <v>100</v>
      </c>
      <c r="FU18">
        <v>0.187</v>
      </c>
      <c r="FV18">
        <v>-0.1059</v>
      </c>
      <c r="FW18">
        <v>-0.0950172435243371</v>
      </c>
      <c r="FX18">
        <v>0.000862124167288959</v>
      </c>
      <c r="FY18">
        <v>3.40327538556632e-07</v>
      </c>
      <c r="FZ18">
        <v>-2.02263791882896e-12</v>
      </c>
      <c r="GA18">
        <v>-0.105869999999999</v>
      </c>
      <c r="GB18">
        <v>0</v>
      </c>
      <c r="GC18">
        <v>0</v>
      </c>
      <c r="GD18">
        <v>0</v>
      </c>
      <c r="GE18">
        <v>4</v>
      </c>
      <c r="GF18">
        <v>2115</v>
      </c>
      <c r="GG18">
        <v>-1</v>
      </c>
      <c r="GH18">
        <v>-1</v>
      </c>
      <c r="GI18">
        <v>1.1</v>
      </c>
      <c r="GJ18">
        <v>1.1</v>
      </c>
      <c r="GK18">
        <v>0.822754</v>
      </c>
      <c r="GL18">
        <v>2.63428</v>
      </c>
      <c r="GM18">
        <v>1.65161</v>
      </c>
      <c r="GN18">
        <v>2.27295</v>
      </c>
      <c r="GO18">
        <v>1.5979</v>
      </c>
      <c r="GP18">
        <v>2.57935</v>
      </c>
      <c r="GQ18">
        <v>33.4008</v>
      </c>
      <c r="GR18">
        <v>15.3316</v>
      </c>
      <c r="GS18">
        <v>18</v>
      </c>
      <c r="GT18">
        <v>504.066</v>
      </c>
      <c r="GU18">
        <v>546.183</v>
      </c>
      <c r="GV18">
        <v>21.0297</v>
      </c>
      <c r="GW18">
        <v>29.161</v>
      </c>
      <c r="GX18">
        <v>30</v>
      </c>
      <c r="GY18">
        <v>29.3977</v>
      </c>
      <c r="GZ18">
        <v>29.4638</v>
      </c>
      <c r="HA18">
        <v>16.4633</v>
      </c>
      <c r="HB18">
        <v>31.2901</v>
      </c>
      <c r="HC18">
        <v>43.0206</v>
      </c>
      <c r="HD18">
        <v>21.0175</v>
      </c>
      <c r="HE18">
        <v>300</v>
      </c>
      <c r="HF18">
        <v>16.1155</v>
      </c>
      <c r="HG18">
        <v>98.0213</v>
      </c>
      <c r="HH18">
        <v>95.4288</v>
      </c>
    </row>
    <row r="19" spans="1:216">
      <c r="A19">
        <v>3</v>
      </c>
      <c r="B19">
        <v>1595346825</v>
      </c>
      <c r="C19">
        <v>249</v>
      </c>
      <c r="D19" t="s">
        <v>349</v>
      </c>
      <c r="E19" t="s">
        <v>350</v>
      </c>
      <c r="F19">
        <v>5</v>
      </c>
      <c r="G19">
        <v>1595346817</v>
      </c>
      <c r="H19">
        <f>(I19)/1000</f>
        <v>0</v>
      </c>
      <c r="I19">
        <f>1000*DI19*AG19*(DE19-DF19)/(100*CX19*(1000-AG19*DE19))</f>
        <v>0</v>
      </c>
      <c r="J19">
        <f>DI19*AG19*(DD19-DC19*(1000-AG19*DF19)/(1000-AG19*DE19))/(100*CX19)</f>
        <v>0</v>
      </c>
      <c r="K19">
        <f>DC19 - IF(AG19&gt;1, J19*CX19*100.0/(AI19), 0)</f>
        <v>0</v>
      </c>
      <c r="L19">
        <f>((R19-H19/2)*K19-J19)/(R19+H19/2)</f>
        <v>0</v>
      </c>
      <c r="M19">
        <f>L19*(DJ19+DK19)/1000.0</f>
        <v>0</v>
      </c>
      <c r="N19">
        <f>(DC19 - IF(AG19&gt;1, J19*CX19*100.0/(AI19), 0))*(DJ19+DK19)/1000.0</f>
        <v>0</v>
      </c>
      <c r="O19">
        <f>2.0/((1/Q19-1/P19)+SIGN(Q19)*SQRT((1/Q19-1/P19)*(1/Q19-1/P19) + 4*CY19/((CY19+1)*(CY19+1))*(2*1/Q19*1/P19-1/P19*1/P19)))</f>
        <v>0</v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>0</v>
      </c>
      <c r="Q19">
        <f>H19*(1000-(1000*0.61365*exp(17.502*U19/(240.97+U19))/(DJ19+DK19)+DE19)/2)/(1000*0.61365*exp(17.502*U19/(240.97+U19))/(DJ19+DK19)-DE19)</f>
        <v>0</v>
      </c>
      <c r="R19">
        <f>1/((CY19+1)/(O19/1.6)+1/(P19/1.37)) + CY19/((CY19+1)/(O19/1.6) + CY19/(P19/1.37))</f>
        <v>0</v>
      </c>
      <c r="S19">
        <f>(CT19*CW19)</f>
        <v>0</v>
      </c>
      <c r="T19">
        <f>(DL19+(S19+2*0.95*5.67E-8*(((DL19+$B$7)+273)^4-(DL19+273)^4)-44100*H19)/(1.84*29.3*P19+8*0.95*5.67E-8*(DL19+273)^3))</f>
        <v>0</v>
      </c>
      <c r="U19">
        <f>($C$7*DM19+$D$7*DN19+$E$7*T19)</f>
        <v>0</v>
      </c>
      <c r="V19">
        <f>0.61365*exp(17.502*U19/(240.97+U19))</f>
        <v>0</v>
      </c>
      <c r="W19">
        <f>(X19/Y19*100)</f>
        <v>0</v>
      </c>
      <c r="X19">
        <f>DE19*(DJ19+DK19)/1000</f>
        <v>0</v>
      </c>
      <c r="Y19">
        <f>0.61365*exp(17.502*DL19/(240.97+DL19))</f>
        <v>0</v>
      </c>
      <c r="Z19">
        <f>(V19-DE19*(DJ19+DK19)/1000)</f>
        <v>0</v>
      </c>
      <c r="AA19">
        <f>(-H19*44100)</f>
        <v>0</v>
      </c>
      <c r="AB19">
        <f>2*29.3*P19*0.92*(DL19-U19)</f>
        <v>0</v>
      </c>
      <c r="AC19">
        <f>2*0.95*5.67E-8*(((DL19+$B$7)+273)^4-(U19+273)^4)</f>
        <v>0</v>
      </c>
      <c r="AD19">
        <f>S19+AC19+AA19+AB19</f>
        <v>0</v>
      </c>
      <c r="AE19">
        <v>0</v>
      </c>
      <c r="AF19">
        <v>0</v>
      </c>
      <c r="AG19">
        <f>IF(AE19*$H$13&gt;=AI19,1.0,(AI19/(AI19-AE19*$H$13)))</f>
        <v>0</v>
      </c>
      <c r="AH19">
        <f>(AG19-1)*100</f>
        <v>0</v>
      </c>
      <c r="AI19">
        <f>MAX(0,($B$13+$C$13*DQ19)/(1+$D$13*DQ19)*DJ19/(DL19+273)*$E$13)</f>
        <v>0</v>
      </c>
      <c r="AJ19" t="s">
        <v>342</v>
      </c>
      <c r="AK19" t="s">
        <v>342</v>
      </c>
      <c r="AL19">
        <v>0</v>
      </c>
      <c r="AM19">
        <v>0</v>
      </c>
      <c r="AN19">
        <f>1-AL19/AM19</f>
        <v>0</v>
      </c>
      <c r="AO19">
        <v>0</v>
      </c>
      <c r="AP19" t="s">
        <v>342</v>
      </c>
      <c r="AQ19" t="s">
        <v>342</v>
      </c>
      <c r="AR19">
        <v>0</v>
      </c>
      <c r="AS19">
        <v>0</v>
      </c>
      <c r="AT19">
        <f>1-AR19/AS19</f>
        <v>0</v>
      </c>
      <c r="AU19">
        <v>0.5</v>
      </c>
      <c r="AV19">
        <f>CU19</f>
        <v>0</v>
      </c>
      <c r="AW19">
        <f>J19</f>
        <v>0</v>
      </c>
      <c r="AX19">
        <f>AT19*AU19*AV19</f>
        <v>0</v>
      </c>
      <c r="AY19">
        <f>(AW19-AO19)/AV19</f>
        <v>0</v>
      </c>
      <c r="AZ19">
        <f>(AM19-AS19)/AS19</f>
        <v>0</v>
      </c>
      <c r="BA19">
        <f>AL19/(AN19+AL19/AS19)</f>
        <v>0</v>
      </c>
      <c r="BB19" t="s">
        <v>342</v>
      </c>
      <c r="BC19">
        <v>0</v>
      </c>
      <c r="BD19">
        <f>IF(BC19&lt;&gt;0, BC19, BA19)</f>
        <v>0</v>
      </c>
      <c r="BE19">
        <f>1-BD19/AS19</f>
        <v>0</v>
      </c>
      <c r="BF19">
        <f>(AS19-AR19)/(AS19-BD19)</f>
        <v>0</v>
      </c>
      <c r="BG19">
        <f>(AM19-AS19)/(AM19-BD19)</f>
        <v>0</v>
      </c>
      <c r="BH19">
        <f>(AS19-AR19)/(AS19-AL19)</f>
        <v>0</v>
      </c>
      <c r="BI19">
        <f>(AM19-AS19)/(AM19-AL19)</f>
        <v>0</v>
      </c>
      <c r="BJ19">
        <f>(BF19*BD19/AR19)</f>
        <v>0</v>
      </c>
      <c r="BK19">
        <f>(1-BJ19)</f>
        <v>0</v>
      </c>
      <c r="CT19">
        <f>$B$11*DR19+$C$11*DS19+$F$11*DT19*(1-DW19)</f>
        <v>0</v>
      </c>
      <c r="CU19">
        <f>CT19*CV19</f>
        <v>0</v>
      </c>
      <c r="CV19">
        <f>($B$11*$D$9+$C$11*$D$9+$F$11*((EG19+DY19)/MAX(EG19+DY19+EH19, 0.1)*$I$9+EH19/MAX(EG19+DY19+EH19, 0.1)*$J$9))/($B$11+$C$11+$F$11)</f>
        <v>0</v>
      </c>
      <c r="CW19">
        <f>($B$11*$K$9+$C$11*$K$9+$F$11*((EG19+DY19)/MAX(EG19+DY19+EH19, 0.1)*$P$9+EH19/MAX(EG19+DY19+EH19, 0.1)*$Q$9))/($B$11+$C$11+$F$11)</f>
        <v>0</v>
      </c>
      <c r="CX19">
        <v>2</v>
      </c>
      <c r="CY19">
        <v>0.5</v>
      </c>
      <c r="CZ19" t="s">
        <v>343</v>
      </c>
      <c r="DA19">
        <v>2</v>
      </c>
      <c r="DB19">
        <v>1595346817</v>
      </c>
      <c r="DC19">
        <v>196.852</v>
      </c>
      <c r="DD19">
        <v>199.991333333333</v>
      </c>
      <c r="DE19">
        <v>17.1561266666667</v>
      </c>
      <c r="DF19">
        <v>16.1075066666667</v>
      </c>
      <c r="DG19">
        <v>196.671866666667</v>
      </c>
      <c r="DH19">
        <v>17.2625133333333</v>
      </c>
      <c r="DI19">
        <v>500.019133333333</v>
      </c>
      <c r="DJ19">
        <v>101.325466666667</v>
      </c>
      <c r="DK19">
        <v>0.09996286</v>
      </c>
      <c r="DL19">
        <v>24.92834</v>
      </c>
      <c r="DM19">
        <v>24.9615533333333</v>
      </c>
      <c r="DN19">
        <v>999.9</v>
      </c>
      <c r="DO19">
        <v>0</v>
      </c>
      <c r="DP19">
        <v>0</v>
      </c>
      <c r="DQ19">
        <v>10003.33</v>
      </c>
      <c r="DR19">
        <v>0</v>
      </c>
      <c r="DS19">
        <v>7.508288</v>
      </c>
      <c r="DT19">
        <v>1499.996</v>
      </c>
      <c r="DU19">
        <v>0.973005333333333</v>
      </c>
      <c r="DV19">
        <v>0.02699496</v>
      </c>
      <c r="DW19">
        <v>0</v>
      </c>
      <c r="DX19">
        <v>251.308066666667</v>
      </c>
      <c r="DY19">
        <v>4.99999</v>
      </c>
      <c r="DZ19">
        <v>3729.62</v>
      </c>
      <c r="EA19">
        <v>14882.5666666667</v>
      </c>
      <c r="EB19">
        <v>36.4748</v>
      </c>
      <c r="EC19">
        <v>38.0578666666667</v>
      </c>
      <c r="ED19">
        <v>37.062</v>
      </c>
      <c r="EE19">
        <v>37.437</v>
      </c>
      <c r="EF19">
        <v>38.1208</v>
      </c>
      <c r="EG19">
        <v>1454.636</v>
      </c>
      <c r="EH19">
        <v>40.36</v>
      </c>
      <c r="EI19">
        <v>0</v>
      </c>
      <c r="EJ19">
        <v>1792382171.1</v>
      </c>
      <c r="EK19">
        <v>0</v>
      </c>
      <c r="EL19">
        <v>251.345269230769</v>
      </c>
      <c r="EM19">
        <v>0.80105980428271</v>
      </c>
      <c r="EN19">
        <v>-0.775042722747009</v>
      </c>
      <c r="EO19">
        <v>3729.62115384615</v>
      </c>
      <c r="EP19">
        <v>15</v>
      </c>
      <c r="EQ19">
        <v>1595346766</v>
      </c>
      <c r="ER19" t="s">
        <v>351</v>
      </c>
      <c r="ES19">
        <v>1595346764</v>
      </c>
      <c r="ET19">
        <v>1595346766</v>
      </c>
      <c r="EU19">
        <v>4</v>
      </c>
      <c r="EV19">
        <v>0.093</v>
      </c>
      <c r="EW19">
        <v>-0.001</v>
      </c>
      <c r="EX19">
        <v>0.183</v>
      </c>
      <c r="EY19">
        <v>-0.106</v>
      </c>
      <c r="EZ19">
        <v>200</v>
      </c>
      <c r="FA19">
        <v>16</v>
      </c>
      <c r="FB19">
        <v>0.3</v>
      </c>
      <c r="FC19">
        <v>0.06</v>
      </c>
      <c r="FD19">
        <v>7.33114012696044</v>
      </c>
      <c r="FE19">
        <v>-0.373016416165286</v>
      </c>
      <c r="FF19">
        <v>0.0644426266673035</v>
      </c>
      <c r="FG19">
        <v>1</v>
      </c>
      <c r="FH19">
        <v>-3.14184523809524</v>
      </c>
      <c r="FI19">
        <v>0.183145714285715</v>
      </c>
      <c r="FJ19">
        <v>0.027942213945595</v>
      </c>
      <c r="FK19">
        <v>1</v>
      </c>
      <c r="FL19">
        <v>251.308176470588</v>
      </c>
      <c r="FM19">
        <v>-0.345148971855809</v>
      </c>
      <c r="FN19">
        <v>0.409296273433275</v>
      </c>
      <c r="FO19">
        <v>1</v>
      </c>
      <c r="FP19">
        <v>3</v>
      </c>
      <c r="FQ19">
        <v>3</v>
      </c>
      <c r="FR19" t="s">
        <v>345</v>
      </c>
      <c r="FS19">
        <v>100</v>
      </c>
      <c r="FT19">
        <v>100</v>
      </c>
      <c r="FU19">
        <v>0.18</v>
      </c>
      <c r="FV19">
        <v>-0.1064</v>
      </c>
      <c r="FW19">
        <v>-0.00254942155004459</v>
      </c>
      <c r="FX19">
        <v>0.000862124167288959</v>
      </c>
      <c r="FY19">
        <v>3.40327538556632e-07</v>
      </c>
      <c r="FZ19">
        <v>-2.02263791882896e-12</v>
      </c>
      <c r="GA19">
        <v>-0.106379999999998</v>
      </c>
      <c r="GB19">
        <v>0</v>
      </c>
      <c r="GC19">
        <v>0</v>
      </c>
      <c r="GD19">
        <v>0</v>
      </c>
      <c r="GE19">
        <v>4</v>
      </c>
      <c r="GF19">
        <v>2115</v>
      </c>
      <c r="GG19">
        <v>-1</v>
      </c>
      <c r="GH19">
        <v>-1</v>
      </c>
      <c r="GI19">
        <v>1</v>
      </c>
      <c r="GJ19">
        <v>1</v>
      </c>
      <c r="GK19">
        <v>0.604248</v>
      </c>
      <c r="GL19">
        <v>2.64404</v>
      </c>
      <c r="GM19">
        <v>1.65161</v>
      </c>
      <c r="GN19">
        <v>2.27173</v>
      </c>
      <c r="GO19">
        <v>1.5979</v>
      </c>
      <c r="GP19">
        <v>2.44385</v>
      </c>
      <c r="GQ19">
        <v>33.4232</v>
      </c>
      <c r="GR19">
        <v>15.3141</v>
      </c>
      <c r="GS19">
        <v>18</v>
      </c>
      <c r="GT19">
        <v>504.062</v>
      </c>
      <c r="GU19">
        <v>545.645</v>
      </c>
      <c r="GV19">
        <v>21.4889</v>
      </c>
      <c r="GW19">
        <v>29.121</v>
      </c>
      <c r="GX19">
        <v>30</v>
      </c>
      <c r="GY19">
        <v>29.3631</v>
      </c>
      <c r="GZ19">
        <v>29.4298</v>
      </c>
      <c r="HA19">
        <v>12.0794</v>
      </c>
      <c r="HB19">
        <v>30.6417</v>
      </c>
      <c r="HC19">
        <v>41.8987</v>
      </c>
      <c r="HD19">
        <v>21.5063</v>
      </c>
      <c r="HE19">
        <v>200</v>
      </c>
      <c r="HF19">
        <v>16.1112</v>
      </c>
      <c r="HG19">
        <v>98.0322</v>
      </c>
      <c r="HH19">
        <v>95.4339</v>
      </c>
    </row>
    <row r="20" spans="1:216">
      <c r="A20">
        <v>4</v>
      </c>
      <c r="B20">
        <v>1595346946</v>
      </c>
      <c r="C20">
        <v>370</v>
      </c>
      <c r="D20" t="s">
        <v>352</v>
      </c>
      <c r="E20" t="s">
        <v>353</v>
      </c>
      <c r="F20">
        <v>5</v>
      </c>
      <c r="G20">
        <v>1595346938</v>
      </c>
      <c r="H20">
        <f>(I20)/1000</f>
        <v>0</v>
      </c>
      <c r="I20">
        <f>1000*DI20*AG20*(DE20-DF20)/(100*CX20*(1000-AG20*DE20))</f>
        <v>0</v>
      </c>
      <c r="J20">
        <f>DI20*AG20*(DD20-DC20*(1000-AG20*DF20)/(1000-AG20*DE20))/(100*CX20)</f>
        <v>0</v>
      </c>
      <c r="K20">
        <f>DC20 - IF(AG20&gt;1, J20*CX20*100.0/(AI20), 0)</f>
        <v>0</v>
      </c>
      <c r="L20">
        <f>((R20-H20/2)*K20-J20)/(R20+H20/2)</f>
        <v>0</v>
      </c>
      <c r="M20">
        <f>L20*(DJ20+DK20)/1000.0</f>
        <v>0</v>
      </c>
      <c r="N20">
        <f>(DC20 - IF(AG20&gt;1, J20*CX20*100.0/(AI20), 0))*(DJ20+DK20)/1000.0</f>
        <v>0</v>
      </c>
      <c r="O20">
        <f>2.0/((1/Q20-1/P20)+SIGN(Q20)*SQRT((1/Q20-1/P20)*(1/Q20-1/P20) + 4*CY20/((CY20+1)*(CY20+1))*(2*1/Q20*1/P20-1/P20*1/P20)))</f>
        <v>0</v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>0</v>
      </c>
      <c r="Q20">
        <f>H20*(1000-(1000*0.61365*exp(17.502*U20/(240.97+U20))/(DJ20+DK20)+DE20)/2)/(1000*0.61365*exp(17.502*U20/(240.97+U20))/(DJ20+DK20)-DE20)</f>
        <v>0</v>
      </c>
      <c r="R20">
        <f>1/((CY20+1)/(O20/1.6)+1/(P20/1.37)) + CY20/((CY20+1)/(O20/1.6) + CY20/(P20/1.37))</f>
        <v>0</v>
      </c>
      <c r="S20">
        <f>(CT20*CW20)</f>
        <v>0</v>
      </c>
      <c r="T20">
        <f>(DL20+(S20+2*0.95*5.67E-8*(((DL20+$B$7)+273)^4-(DL20+273)^4)-44100*H20)/(1.84*29.3*P20+8*0.95*5.67E-8*(DL20+273)^3))</f>
        <v>0</v>
      </c>
      <c r="U20">
        <f>($C$7*DM20+$D$7*DN20+$E$7*T20)</f>
        <v>0</v>
      </c>
      <c r="V20">
        <f>0.61365*exp(17.502*U20/(240.97+U20))</f>
        <v>0</v>
      </c>
      <c r="W20">
        <f>(X20/Y20*100)</f>
        <v>0</v>
      </c>
      <c r="X20">
        <f>DE20*(DJ20+DK20)/1000</f>
        <v>0</v>
      </c>
      <c r="Y20">
        <f>0.61365*exp(17.502*DL20/(240.97+DL20))</f>
        <v>0</v>
      </c>
      <c r="Z20">
        <f>(V20-DE20*(DJ20+DK20)/1000)</f>
        <v>0</v>
      </c>
      <c r="AA20">
        <f>(-H20*44100)</f>
        <v>0</v>
      </c>
      <c r="AB20">
        <f>2*29.3*P20*0.92*(DL20-U20)</f>
        <v>0</v>
      </c>
      <c r="AC20">
        <f>2*0.95*5.67E-8*(((DL20+$B$7)+273)^4-(U20+273)^4)</f>
        <v>0</v>
      </c>
      <c r="AD20">
        <f>S20+AC20+AA20+AB20</f>
        <v>0</v>
      </c>
      <c r="AE20">
        <v>0</v>
      </c>
      <c r="AF20">
        <v>0</v>
      </c>
      <c r="AG20">
        <f>IF(AE20*$H$13&gt;=AI20,1.0,(AI20/(AI20-AE20*$H$13)))</f>
        <v>0</v>
      </c>
      <c r="AH20">
        <f>(AG20-1)*100</f>
        <v>0</v>
      </c>
      <c r="AI20">
        <f>MAX(0,($B$13+$C$13*DQ20)/(1+$D$13*DQ20)*DJ20/(DL20+273)*$E$13)</f>
        <v>0</v>
      </c>
      <c r="AJ20" t="s">
        <v>342</v>
      </c>
      <c r="AK20" t="s">
        <v>342</v>
      </c>
      <c r="AL20">
        <v>0</v>
      </c>
      <c r="AM20">
        <v>0</v>
      </c>
      <c r="AN20">
        <f>1-AL20/AM20</f>
        <v>0</v>
      </c>
      <c r="AO20">
        <v>0</v>
      </c>
      <c r="AP20" t="s">
        <v>342</v>
      </c>
      <c r="AQ20" t="s">
        <v>342</v>
      </c>
      <c r="AR20">
        <v>0</v>
      </c>
      <c r="AS20">
        <v>0</v>
      </c>
      <c r="AT20">
        <f>1-AR20/AS20</f>
        <v>0</v>
      </c>
      <c r="AU20">
        <v>0.5</v>
      </c>
      <c r="AV20">
        <f>CU20</f>
        <v>0</v>
      </c>
      <c r="AW20">
        <f>J20</f>
        <v>0</v>
      </c>
      <c r="AX20">
        <f>AT20*AU20*AV20</f>
        <v>0</v>
      </c>
      <c r="AY20">
        <f>(AW20-AO20)/AV20</f>
        <v>0</v>
      </c>
      <c r="AZ20">
        <f>(AM20-AS20)/AS20</f>
        <v>0</v>
      </c>
      <c r="BA20">
        <f>AL20/(AN20+AL20/AS20)</f>
        <v>0</v>
      </c>
      <c r="BB20" t="s">
        <v>342</v>
      </c>
      <c r="BC20">
        <v>0</v>
      </c>
      <c r="BD20">
        <f>IF(BC20&lt;&gt;0, BC20, BA20)</f>
        <v>0</v>
      </c>
      <c r="BE20">
        <f>1-BD20/AS20</f>
        <v>0</v>
      </c>
      <c r="BF20">
        <f>(AS20-AR20)/(AS20-BD20)</f>
        <v>0</v>
      </c>
      <c r="BG20">
        <f>(AM20-AS20)/(AM20-BD20)</f>
        <v>0</v>
      </c>
      <c r="BH20">
        <f>(AS20-AR20)/(AS20-AL20)</f>
        <v>0</v>
      </c>
      <c r="BI20">
        <f>(AM20-AS20)/(AM20-AL20)</f>
        <v>0</v>
      </c>
      <c r="BJ20">
        <f>(BF20*BD20/AR20)</f>
        <v>0</v>
      </c>
      <c r="BK20">
        <f>(1-BJ20)</f>
        <v>0</v>
      </c>
      <c r="CT20">
        <f>$B$11*DR20+$C$11*DS20+$F$11*DT20*(1-DW20)</f>
        <v>0</v>
      </c>
      <c r="CU20">
        <f>CT20*CV20</f>
        <v>0</v>
      </c>
      <c r="CV20">
        <f>($B$11*$D$9+$C$11*$D$9+$F$11*((EG20+DY20)/MAX(EG20+DY20+EH20, 0.1)*$I$9+EH20/MAX(EG20+DY20+EH20, 0.1)*$J$9))/($B$11+$C$11+$F$11)</f>
        <v>0</v>
      </c>
      <c r="CW20">
        <f>($B$11*$K$9+$C$11*$K$9+$F$11*((EG20+DY20)/MAX(EG20+DY20+EH20, 0.1)*$P$9+EH20/MAX(EG20+DY20+EH20, 0.1)*$Q$9))/($B$11+$C$11+$F$11)</f>
        <v>0</v>
      </c>
      <c r="CX20">
        <v>2</v>
      </c>
      <c r="CY20">
        <v>0.5</v>
      </c>
      <c r="CZ20" t="s">
        <v>343</v>
      </c>
      <c r="DA20">
        <v>2</v>
      </c>
      <c r="DB20">
        <v>1595346938</v>
      </c>
      <c r="DC20">
        <v>99.1118733333333</v>
      </c>
      <c r="DD20">
        <v>99.98876</v>
      </c>
      <c r="DE20">
        <v>17.2293333333333</v>
      </c>
      <c r="DF20">
        <v>16.2641133333333</v>
      </c>
      <c r="DG20">
        <v>98.97494</v>
      </c>
      <c r="DH20">
        <v>17.3317866666667</v>
      </c>
      <c r="DI20">
        <v>500.016133333333</v>
      </c>
      <c r="DJ20">
        <v>101.3326</v>
      </c>
      <c r="DK20">
        <v>0.0999971733333333</v>
      </c>
      <c r="DL20">
        <v>24.9679266666667</v>
      </c>
      <c r="DM20">
        <v>24.9903866666667</v>
      </c>
      <c r="DN20">
        <v>999.9</v>
      </c>
      <c r="DO20">
        <v>0</v>
      </c>
      <c r="DP20">
        <v>0</v>
      </c>
      <c r="DQ20">
        <v>9995.82666666667</v>
      </c>
      <c r="DR20">
        <v>0</v>
      </c>
      <c r="DS20">
        <v>7.52899333333333</v>
      </c>
      <c r="DT20">
        <v>1499.982</v>
      </c>
      <c r="DU20">
        <v>0.973004333333334</v>
      </c>
      <c r="DV20">
        <v>0.0269959933333333</v>
      </c>
      <c r="DW20">
        <v>0</v>
      </c>
      <c r="DX20">
        <v>253.6354</v>
      </c>
      <c r="DY20">
        <v>4.99999</v>
      </c>
      <c r="DZ20">
        <v>3759.41333333333</v>
      </c>
      <c r="EA20">
        <v>14882.4266666667</v>
      </c>
      <c r="EB20">
        <v>36.312</v>
      </c>
      <c r="EC20">
        <v>37.9454</v>
      </c>
      <c r="ED20">
        <v>36.9454</v>
      </c>
      <c r="EE20">
        <v>37.3287333333333</v>
      </c>
      <c r="EF20">
        <v>38.0082666666667</v>
      </c>
      <c r="EG20">
        <v>1454.62266666667</v>
      </c>
      <c r="EH20">
        <v>40.3593333333333</v>
      </c>
      <c r="EI20">
        <v>0</v>
      </c>
      <c r="EJ20">
        <v>1792382292.3</v>
      </c>
      <c r="EK20">
        <v>0</v>
      </c>
      <c r="EL20">
        <v>253.529846153846</v>
      </c>
      <c r="EM20">
        <v>0.891487206578546</v>
      </c>
      <c r="EN20">
        <v>2.8817093970139</v>
      </c>
      <c r="EO20">
        <v>3759.56576923077</v>
      </c>
      <c r="EP20">
        <v>15</v>
      </c>
      <c r="EQ20">
        <v>1595346907</v>
      </c>
      <c r="ER20" t="s">
        <v>354</v>
      </c>
      <c r="ES20">
        <v>1595346907</v>
      </c>
      <c r="ET20">
        <v>1595346907</v>
      </c>
      <c r="EU20">
        <v>5</v>
      </c>
      <c r="EV20">
        <v>0.051</v>
      </c>
      <c r="EW20">
        <v>0.004</v>
      </c>
      <c r="EX20">
        <v>0.138</v>
      </c>
      <c r="EY20">
        <v>-0.102</v>
      </c>
      <c r="EZ20">
        <v>100</v>
      </c>
      <c r="FA20">
        <v>16</v>
      </c>
      <c r="FB20">
        <v>0.17</v>
      </c>
      <c r="FC20">
        <v>0.05</v>
      </c>
      <c r="FD20">
        <v>1.97904887132899</v>
      </c>
      <c r="FE20">
        <v>-0.316201150971762</v>
      </c>
      <c r="FF20">
        <v>0.0594054181227202</v>
      </c>
      <c r="FG20">
        <v>1</v>
      </c>
      <c r="FH20">
        <v>-0.8854461</v>
      </c>
      <c r="FI20">
        <v>0.0928898345864671</v>
      </c>
      <c r="FJ20">
        <v>0.021411609743081</v>
      </c>
      <c r="FK20">
        <v>1</v>
      </c>
      <c r="FL20">
        <v>253.563029411765</v>
      </c>
      <c r="FM20">
        <v>0.607226906615818</v>
      </c>
      <c r="FN20">
        <v>0.485988530807182</v>
      </c>
      <c r="FO20">
        <v>1</v>
      </c>
      <c r="FP20">
        <v>3</v>
      </c>
      <c r="FQ20">
        <v>3</v>
      </c>
      <c r="FR20" t="s">
        <v>345</v>
      </c>
      <c r="FS20">
        <v>100</v>
      </c>
      <c r="FT20">
        <v>100</v>
      </c>
      <c r="FU20">
        <v>0.137</v>
      </c>
      <c r="FV20">
        <v>-0.1025</v>
      </c>
      <c r="FW20">
        <v>0.0482462770901616</v>
      </c>
      <c r="FX20">
        <v>0.000862124167288959</v>
      </c>
      <c r="FY20">
        <v>3.40327538556632e-07</v>
      </c>
      <c r="FZ20">
        <v>-2.02263791882896e-12</v>
      </c>
      <c r="GA20">
        <v>-0.102450000000001</v>
      </c>
      <c r="GB20">
        <v>0</v>
      </c>
      <c r="GC20">
        <v>0</v>
      </c>
      <c r="GD20">
        <v>0</v>
      </c>
      <c r="GE20">
        <v>4</v>
      </c>
      <c r="GF20">
        <v>2115</v>
      </c>
      <c r="GG20">
        <v>-1</v>
      </c>
      <c r="GH20">
        <v>-1</v>
      </c>
      <c r="GI20">
        <v>0.7</v>
      </c>
      <c r="GJ20">
        <v>0.7</v>
      </c>
      <c r="GK20">
        <v>0.377197</v>
      </c>
      <c r="GL20">
        <v>2.65503</v>
      </c>
      <c r="GM20">
        <v>1.65161</v>
      </c>
      <c r="GN20">
        <v>2.27295</v>
      </c>
      <c r="GO20">
        <v>1.5979</v>
      </c>
      <c r="GP20">
        <v>2.5415</v>
      </c>
      <c r="GQ20">
        <v>33.4456</v>
      </c>
      <c r="GR20">
        <v>15.3053</v>
      </c>
      <c r="GS20">
        <v>18</v>
      </c>
      <c r="GT20">
        <v>504.07</v>
      </c>
      <c r="GU20">
        <v>545.481</v>
      </c>
      <c r="GV20">
        <v>21.6467</v>
      </c>
      <c r="GW20">
        <v>29.0819</v>
      </c>
      <c r="GX20">
        <v>30</v>
      </c>
      <c r="GY20">
        <v>29.328</v>
      </c>
      <c r="GZ20">
        <v>29.395</v>
      </c>
      <c r="HA20">
        <v>7.53256</v>
      </c>
      <c r="HB20">
        <v>29.6759</v>
      </c>
      <c r="HC20">
        <v>40.7836</v>
      </c>
      <c r="HD20">
        <v>21.6496</v>
      </c>
      <c r="HE20">
        <v>100</v>
      </c>
      <c r="HF20">
        <v>16.2409</v>
      </c>
      <c r="HG20">
        <v>98.0376</v>
      </c>
      <c r="HH20">
        <v>95.4401</v>
      </c>
    </row>
    <row r="21" spans="1:216">
      <c r="A21">
        <v>5</v>
      </c>
      <c r="B21">
        <v>1595347070</v>
      </c>
      <c r="C21">
        <v>494</v>
      </c>
      <c r="D21" t="s">
        <v>355</v>
      </c>
      <c r="E21" t="s">
        <v>356</v>
      </c>
      <c r="F21">
        <v>5</v>
      </c>
      <c r="G21">
        <v>1595347061.5</v>
      </c>
      <c r="H21">
        <f>(I21)/1000</f>
        <v>0</v>
      </c>
      <c r="I21">
        <f>1000*DI21*AG21*(DE21-DF21)/(100*CX21*(1000-AG21*DE21))</f>
        <v>0</v>
      </c>
      <c r="J21">
        <f>DI21*AG21*(DD21-DC21*(1000-AG21*DF21)/(1000-AG21*DE21))/(100*CX21)</f>
        <v>0</v>
      </c>
      <c r="K21">
        <f>DC21 - IF(AG21&gt;1, J21*CX21*100.0/(AI21), 0)</f>
        <v>0</v>
      </c>
      <c r="L21">
        <f>((R21-H21/2)*K21-J21)/(R21+H21/2)</f>
        <v>0</v>
      </c>
      <c r="M21">
        <f>L21*(DJ21+DK21)/1000.0</f>
        <v>0</v>
      </c>
      <c r="N21">
        <f>(DC21 - IF(AG21&gt;1, J21*CX21*100.0/(AI21), 0))*(DJ21+DK21)/1000.0</f>
        <v>0</v>
      </c>
      <c r="O21">
        <f>2.0/((1/Q21-1/P21)+SIGN(Q21)*SQRT((1/Q21-1/P21)*(1/Q21-1/P21) + 4*CY21/((CY21+1)*(CY21+1))*(2*1/Q21*1/P21-1/P21*1/P21)))</f>
        <v>0</v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>0</v>
      </c>
      <c r="Q21">
        <f>H21*(1000-(1000*0.61365*exp(17.502*U21/(240.97+U21))/(DJ21+DK21)+DE21)/2)/(1000*0.61365*exp(17.502*U21/(240.97+U21))/(DJ21+DK21)-DE21)</f>
        <v>0</v>
      </c>
      <c r="R21">
        <f>1/((CY21+1)/(O21/1.6)+1/(P21/1.37)) + CY21/((CY21+1)/(O21/1.6) + CY21/(P21/1.37))</f>
        <v>0</v>
      </c>
      <c r="S21">
        <f>(CT21*CW21)</f>
        <v>0</v>
      </c>
      <c r="T21">
        <f>(DL21+(S21+2*0.95*5.67E-8*(((DL21+$B$7)+273)^4-(DL21+273)^4)-44100*H21)/(1.84*29.3*P21+8*0.95*5.67E-8*(DL21+273)^3))</f>
        <v>0</v>
      </c>
      <c r="U21">
        <f>($C$7*DM21+$D$7*DN21+$E$7*T21)</f>
        <v>0</v>
      </c>
      <c r="V21">
        <f>0.61365*exp(17.502*U21/(240.97+U21))</f>
        <v>0</v>
      </c>
      <c r="W21">
        <f>(X21/Y21*100)</f>
        <v>0</v>
      </c>
      <c r="X21">
        <f>DE21*(DJ21+DK21)/1000</f>
        <v>0</v>
      </c>
      <c r="Y21">
        <f>0.61365*exp(17.502*DL21/(240.97+DL21))</f>
        <v>0</v>
      </c>
      <c r="Z21">
        <f>(V21-DE21*(DJ21+DK21)/1000)</f>
        <v>0</v>
      </c>
      <c r="AA21">
        <f>(-H21*44100)</f>
        <v>0</v>
      </c>
      <c r="AB21">
        <f>2*29.3*P21*0.92*(DL21-U21)</f>
        <v>0</v>
      </c>
      <c r="AC21">
        <f>2*0.95*5.67E-8*(((DL21+$B$7)+273)^4-(U21+273)^4)</f>
        <v>0</v>
      </c>
      <c r="AD21">
        <f>S21+AC21+AA21+AB21</f>
        <v>0</v>
      </c>
      <c r="AE21">
        <v>0</v>
      </c>
      <c r="AF21">
        <v>0</v>
      </c>
      <c r="AG21">
        <f>IF(AE21*$H$13&gt;=AI21,1.0,(AI21/(AI21-AE21*$H$13)))</f>
        <v>0</v>
      </c>
      <c r="AH21">
        <f>(AG21-1)*100</f>
        <v>0</v>
      </c>
      <c r="AI21">
        <f>MAX(0,($B$13+$C$13*DQ21)/(1+$D$13*DQ21)*DJ21/(DL21+273)*$E$13)</f>
        <v>0</v>
      </c>
      <c r="AJ21" t="s">
        <v>342</v>
      </c>
      <c r="AK21" t="s">
        <v>342</v>
      </c>
      <c r="AL21">
        <v>0</v>
      </c>
      <c r="AM21">
        <v>0</v>
      </c>
      <c r="AN21">
        <f>1-AL21/AM21</f>
        <v>0</v>
      </c>
      <c r="AO21">
        <v>0</v>
      </c>
      <c r="AP21" t="s">
        <v>342</v>
      </c>
      <c r="AQ21" t="s">
        <v>342</v>
      </c>
      <c r="AR21">
        <v>0</v>
      </c>
      <c r="AS21">
        <v>0</v>
      </c>
      <c r="AT21">
        <f>1-AR21/AS21</f>
        <v>0</v>
      </c>
      <c r="AU21">
        <v>0.5</v>
      </c>
      <c r="AV21">
        <f>CU21</f>
        <v>0</v>
      </c>
      <c r="AW21">
        <f>J21</f>
        <v>0</v>
      </c>
      <c r="AX21">
        <f>AT21*AU21*AV21</f>
        <v>0</v>
      </c>
      <c r="AY21">
        <f>(AW21-AO21)/AV21</f>
        <v>0</v>
      </c>
      <c r="AZ21">
        <f>(AM21-AS21)/AS21</f>
        <v>0</v>
      </c>
      <c r="BA21">
        <f>AL21/(AN21+AL21/AS21)</f>
        <v>0</v>
      </c>
      <c r="BB21" t="s">
        <v>342</v>
      </c>
      <c r="BC21">
        <v>0</v>
      </c>
      <c r="BD21">
        <f>IF(BC21&lt;&gt;0, BC21, BA21)</f>
        <v>0</v>
      </c>
      <c r="BE21">
        <f>1-BD21/AS21</f>
        <v>0</v>
      </c>
      <c r="BF21">
        <f>(AS21-AR21)/(AS21-BD21)</f>
        <v>0</v>
      </c>
      <c r="BG21">
        <f>(AM21-AS21)/(AM21-BD21)</f>
        <v>0</v>
      </c>
      <c r="BH21">
        <f>(AS21-AR21)/(AS21-AL21)</f>
        <v>0</v>
      </c>
      <c r="BI21">
        <f>(AM21-AS21)/(AM21-AL21)</f>
        <v>0</v>
      </c>
      <c r="BJ21">
        <f>(BF21*BD21/AR21)</f>
        <v>0</v>
      </c>
      <c r="BK21">
        <f>(1-BJ21)</f>
        <v>0</v>
      </c>
      <c r="CT21">
        <f>$B$11*DR21+$C$11*DS21+$F$11*DT21*(1-DW21)</f>
        <v>0</v>
      </c>
      <c r="CU21">
        <f>CT21*CV21</f>
        <v>0</v>
      </c>
      <c r="CV21">
        <f>($B$11*$D$9+$C$11*$D$9+$F$11*((EG21+DY21)/MAX(EG21+DY21+EH21, 0.1)*$I$9+EH21/MAX(EG21+DY21+EH21, 0.1)*$J$9))/($B$11+$C$11+$F$11)</f>
        <v>0</v>
      </c>
      <c r="CW21">
        <f>($B$11*$K$9+$C$11*$K$9+$F$11*((EG21+DY21)/MAX(EG21+DY21+EH21, 0.1)*$P$9+EH21/MAX(EG21+DY21+EH21, 0.1)*$Q$9))/($B$11+$C$11+$F$11)</f>
        <v>0</v>
      </c>
      <c r="CX21">
        <v>2</v>
      </c>
      <c r="CY21">
        <v>0.5</v>
      </c>
      <c r="CZ21" t="s">
        <v>343</v>
      </c>
      <c r="DA21">
        <v>2</v>
      </c>
      <c r="DB21">
        <v>1595347061.5</v>
      </c>
      <c r="DC21">
        <v>50.18180625</v>
      </c>
      <c r="DD21">
        <v>49.99373125</v>
      </c>
      <c r="DE21">
        <v>17.2485</v>
      </c>
      <c r="DF21">
        <v>16.292325</v>
      </c>
      <c r="DG21">
        <v>50.06943125</v>
      </c>
      <c r="DH21">
        <v>17.3501375</v>
      </c>
      <c r="DI21">
        <v>499.9985</v>
      </c>
      <c r="DJ21">
        <v>101.330375</v>
      </c>
      <c r="DK21">
        <v>0.09996054375</v>
      </c>
      <c r="DL21">
        <v>25.05191875</v>
      </c>
      <c r="DM21">
        <v>24.99509375</v>
      </c>
      <c r="DN21">
        <v>999.9</v>
      </c>
      <c r="DO21">
        <v>0</v>
      </c>
      <c r="DP21">
        <v>0</v>
      </c>
      <c r="DQ21">
        <v>9998.353125</v>
      </c>
      <c r="DR21">
        <v>0</v>
      </c>
      <c r="DS21">
        <v>7.5732575</v>
      </c>
      <c r="DT21">
        <v>1500.001875</v>
      </c>
      <c r="DU21">
        <v>0.973002875</v>
      </c>
      <c r="DV21">
        <v>0.02699745</v>
      </c>
      <c r="DW21">
        <v>0</v>
      </c>
      <c r="DX21">
        <v>254.032625</v>
      </c>
      <c r="DY21">
        <v>4.99999</v>
      </c>
      <c r="DZ21">
        <v>3801.706875</v>
      </c>
      <c r="EA21">
        <v>14882.6125</v>
      </c>
      <c r="EB21">
        <v>38.5895625</v>
      </c>
      <c r="EC21">
        <v>40.7888125</v>
      </c>
      <c r="ED21">
        <v>39.1286875</v>
      </c>
      <c r="EE21">
        <v>41.26925</v>
      </c>
      <c r="EF21">
        <v>40.5935</v>
      </c>
      <c r="EG21">
        <v>1454.641875</v>
      </c>
      <c r="EH21">
        <v>40.36</v>
      </c>
      <c r="EI21">
        <v>0</v>
      </c>
      <c r="EJ21">
        <v>1792382415.9</v>
      </c>
      <c r="EK21">
        <v>0</v>
      </c>
      <c r="EL21">
        <v>254.042038461538</v>
      </c>
      <c r="EM21">
        <v>1.67873505164072</v>
      </c>
      <c r="EN21">
        <v>8.14256409432078</v>
      </c>
      <c r="EO21">
        <v>3801.63807692308</v>
      </c>
      <c r="EP21">
        <v>15</v>
      </c>
      <c r="EQ21">
        <v>1595347004</v>
      </c>
      <c r="ER21" t="s">
        <v>357</v>
      </c>
      <c r="ES21">
        <v>1595347002</v>
      </c>
      <c r="ET21">
        <v>1595347004</v>
      </c>
      <c r="EU21">
        <v>6</v>
      </c>
      <c r="EV21">
        <v>0.02</v>
      </c>
      <c r="EW21">
        <v>0.001</v>
      </c>
      <c r="EX21">
        <v>0.112</v>
      </c>
      <c r="EY21">
        <v>-0.102</v>
      </c>
      <c r="EZ21">
        <v>50</v>
      </c>
      <c r="FA21">
        <v>16</v>
      </c>
      <c r="FB21">
        <v>0.25</v>
      </c>
      <c r="FC21">
        <v>0.05</v>
      </c>
      <c r="FD21">
        <v>-0.598235276132193</v>
      </c>
      <c r="FE21">
        <v>0.231897033694327</v>
      </c>
      <c r="FF21">
        <v>0.0543664866827511</v>
      </c>
      <c r="FG21">
        <v>1</v>
      </c>
      <c r="FH21">
        <v>0.19146180952381</v>
      </c>
      <c r="FI21">
        <v>-0.0637005194805196</v>
      </c>
      <c r="FJ21">
        <v>0.0217012627317904</v>
      </c>
      <c r="FK21">
        <v>1</v>
      </c>
      <c r="FL21">
        <v>254.097352941176</v>
      </c>
      <c r="FM21">
        <v>-0.400886177933196</v>
      </c>
      <c r="FN21">
        <v>0.434859063196673</v>
      </c>
      <c r="FO21">
        <v>1</v>
      </c>
      <c r="FP21">
        <v>3</v>
      </c>
      <c r="FQ21">
        <v>3</v>
      </c>
      <c r="FR21" t="s">
        <v>345</v>
      </c>
      <c r="FS21">
        <v>100</v>
      </c>
      <c r="FT21">
        <v>100</v>
      </c>
      <c r="FU21">
        <v>0.112</v>
      </c>
      <c r="FV21">
        <v>-0.1016</v>
      </c>
      <c r="FW21">
        <v>0.0683574512830268</v>
      </c>
      <c r="FX21">
        <v>0.000862124167288959</v>
      </c>
      <c r="FY21">
        <v>3.40327538556632e-07</v>
      </c>
      <c r="FZ21">
        <v>-2.02263791882896e-12</v>
      </c>
      <c r="GA21">
        <v>-0.101659999999999</v>
      </c>
      <c r="GB21">
        <v>0</v>
      </c>
      <c r="GC21">
        <v>0</v>
      </c>
      <c r="GD21">
        <v>0</v>
      </c>
      <c r="GE21">
        <v>4</v>
      </c>
      <c r="GF21">
        <v>2115</v>
      </c>
      <c r="GG21">
        <v>-1</v>
      </c>
      <c r="GH21">
        <v>-1</v>
      </c>
      <c r="GI21">
        <v>1.1</v>
      </c>
      <c r="GJ21">
        <v>1.1</v>
      </c>
      <c r="GK21">
        <v>0.263672</v>
      </c>
      <c r="GL21">
        <v>2.67334</v>
      </c>
      <c r="GM21">
        <v>1.65161</v>
      </c>
      <c r="GN21">
        <v>2.27295</v>
      </c>
      <c r="GO21">
        <v>1.5979</v>
      </c>
      <c r="GP21">
        <v>2.66113</v>
      </c>
      <c r="GQ21">
        <v>33.4681</v>
      </c>
      <c r="GR21">
        <v>15.2966</v>
      </c>
      <c r="GS21">
        <v>18</v>
      </c>
      <c r="GT21">
        <v>503.809</v>
      </c>
      <c r="GU21">
        <v>545.951</v>
      </c>
      <c r="GV21">
        <v>21.5795</v>
      </c>
      <c r="GW21">
        <v>29.0489</v>
      </c>
      <c r="GX21">
        <v>30</v>
      </c>
      <c r="GY21">
        <v>29.2955</v>
      </c>
      <c r="GZ21">
        <v>29.3624</v>
      </c>
      <c r="HA21">
        <v>5.28061</v>
      </c>
      <c r="HB21">
        <v>29.2701</v>
      </c>
      <c r="HC21">
        <v>40.0398</v>
      </c>
      <c r="HD21">
        <v>21.5547</v>
      </c>
      <c r="HE21">
        <v>50</v>
      </c>
      <c r="HF21">
        <v>16.3026</v>
      </c>
      <c r="HG21">
        <v>98.0373</v>
      </c>
      <c r="HH21">
        <v>95.4452</v>
      </c>
    </row>
    <row r="22" spans="1:216">
      <c r="A22">
        <v>6</v>
      </c>
      <c r="B22">
        <v>1595347221</v>
      </c>
      <c r="C22">
        <v>645</v>
      </c>
      <c r="D22" t="s">
        <v>358</v>
      </c>
      <c r="E22" t="s">
        <v>359</v>
      </c>
      <c r="F22">
        <v>5</v>
      </c>
      <c r="G22">
        <v>1595347213</v>
      </c>
      <c r="H22">
        <f>(I22)/1000</f>
        <v>0</v>
      </c>
      <c r="I22">
        <f>1000*DI22*AG22*(DE22-DF22)/(100*CX22*(1000-AG22*DE22))</f>
        <v>0</v>
      </c>
      <c r="J22">
        <f>DI22*AG22*(DD22-DC22*(1000-AG22*DF22)/(1000-AG22*DE22))/(100*CX22)</f>
        <v>0</v>
      </c>
      <c r="K22">
        <f>DC22 - IF(AG22&gt;1, J22*CX22*100.0/(AI22), 0)</f>
        <v>0</v>
      </c>
      <c r="L22">
        <f>((R22-H22/2)*K22-J22)/(R22+H22/2)</f>
        <v>0</v>
      </c>
      <c r="M22">
        <f>L22*(DJ22+DK22)/1000.0</f>
        <v>0</v>
      </c>
      <c r="N22">
        <f>(DC22 - IF(AG22&gt;1, J22*CX22*100.0/(AI22), 0))*(DJ22+DK22)/1000.0</f>
        <v>0</v>
      </c>
      <c r="O22">
        <f>2.0/((1/Q22-1/P22)+SIGN(Q22)*SQRT((1/Q22-1/P22)*(1/Q22-1/P22) + 4*CY22/((CY22+1)*(CY22+1))*(2*1/Q22*1/P22-1/P22*1/P22)))</f>
        <v>0</v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>0</v>
      </c>
      <c r="Q22">
        <f>H22*(1000-(1000*0.61365*exp(17.502*U22/(240.97+U22))/(DJ22+DK22)+DE22)/2)/(1000*0.61365*exp(17.502*U22/(240.97+U22))/(DJ22+DK22)-DE22)</f>
        <v>0</v>
      </c>
      <c r="R22">
        <f>1/((CY22+1)/(O22/1.6)+1/(P22/1.37)) + CY22/((CY22+1)/(O22/1.6) + CY22/(P22/1.37))</f>
        <v>0</v>
      </c>
      <c r="S22">
        <f>(CT22*CW22)</f>
        <v>0</v>
      </c>
      <c r="T22">
        <f>(DL22+(S22+2*0.95*5.67E-8*(((DL22+$B$7)+273)^4-(DL22+273)^4)-44100*H22)/(1.84*29.3*P22+8*0.95*5.67E-8*(DL22+273)^3))</f>
        <v>0</v>
      </c>
      <c r="U22">
        <f>($C$7*DM22+$D$7*DN22+$E$7*T22)</f>
        <v>0</v>
      </c>
      <c r="V22">
        <f>0.61365*exp(17.502*U22/(240.97+U22))</f>
        <v>0</v>
      </c>
      <c r="W22">
        <f>(X22/Y22*100)</f>
        <v>0</v>
      </c>
      <c r="X22">
        <f>DE22*(DJ22+DK22)/1000</f>
        <v>0</v>
      </c>
      <c r="Y22">
        <f>0.61365*exp(17.502*DL22/(240.97+DL22))</f>
        <v>0</v>
      </c>
      <c r="Z22">
        <f>(V22-DE22*(DJ22+DK22)/1000)</f>
        <v>0</v>
      </c>
      <c r="AA22">
        <f>(-H22*44100)</f>
        <v>0</v>
      </c>
      <c r="AB22">
        <f>2*29.3*P22*0.92*(DL22-U22)</f>
        <v>0</v>
      </c>
      <c r="AC22">
        <f>2*0.95*5.67E-8*(((DL22+$B$7)+273)^4-(U22+273)^4)</f>
        <v>0</v>
      </c>
      <c r="AD22">
        <f>S22+AC22+AA22+AB22</f>
        <v>0</v>
      </c>
      <c r="AE22">
        <v>0</v>
      </c>
      <c r="AF22">
        <v>0</v>
      </c>
      <c r="AG22">
        <f>IF(AE22*$H$13&gt;=AI22,1.0,(AI22/(AI22-AE22*$H$13)))</f>
        <v>0</v>
      </c>
      <c r="AH22">
        <f>(AG22-1)*100</f>
        <v>0</v>
      </c>
      <c r="AI22">
        <f>MAX(0,($B$13+$C$13*DQ22)/(1+$D$13*DQ22)*DJ22/(DL22+273)*$E$13)</f>
        <v>0</v>
      </c>
      <c r="AJ22" t="s">
        <v>342</v>
      </c>
      <c r="AK22" t="s">
        <v>342</v>
      </c>
      <c r="AL22">
        <v>0</v>
      </c>
      <c r="AM22">
        <v>0</v>
      </c>
      <c r="AN22">
        <f>1-AL22/AM22</f>
        <v>0</v>
      </c>
      <c r="AO22">
        <v>0</v>
      </c>
      <c r="AP22" t="s">
        <v>342</v>
      </c>
      <c r="AQ22" t="s">
        <v>342</v>
      </c>
      <c r="AR22">
        <v>0</v>
      </c>
      <c r="AS22">
        <v>0</v>
      </c>
      <c r="AT22">
        <f>1-AR22/AS22</f>
        <v>0</v>
      </c>
      <c r="AU22">
        <v>0.5</v>
      </c>
      <c r="AV22">
        <f>CU22</f>
        <v>0</v>
      </c>
      <c r="AW22">
        <f>J22</f>
        <v>0</v>
      </c>
      <c r="AX22">
        <f>AT22*AU22*AV22</f>
        <v>0</v>
      </c>
      <c r="AY22">
        <f>(AW22-AO22)/AV22</f>
        <v>0</v>
      </c>
      <c r="AZ22">
        <f>(AM22-AS22)/AS22</f>
        <v>0</v>
      </c>
      <c r="BA22">
        <f>AL22/(AN22+AL22/AS22)</f>
        <v>0</v>
      </c>
      <c r="BB22" t="s">
        <v>342</v>
      </c>
      <c r="BC22">
        <v>0</v>
      </c>
      <c r="BD22">
        <f>IF(BC22&lt;&gt;0, BC22, BA22)</f>
        <v>0</v>
      </c>
      <c r="BE22">
        <f>1-BD22/AS22</f>
        <v>0</v>
      </c>
      <c r="BF22">
        <f>(AS22-AR22)/(AS22-BD22)</f>
        <v>0</v>
      </c>
      <c r="BG22">
        <f>(AM22-AS22)/(AM22-BD22)</f>
        <v>0</v>
      </c>
      <c r="BH22">
        <f>(AS22-AR22)/(AS22-AL22)</f>
        <v>0</v>
      </c>
      <c r="BI22">
        <f>(AM22-AS22)/(AM22-AL22)</f>
        <v>0</v>
      </c>
      <c r="BJ22">
        <f>(BF22*BD22/AR22)</f>
        <v>0</v>
      </c>
      <c r="BK22">
        <f>(1-BJ22)</f>
        <v>0</v>
      </c>
      <c r="CT22">
        <f>$B$11*DR22+$C$11*DS22+$F$11*DT22*(1-DW22)</f>
        <v>0</v>
      </c>
      <c r="CU22">
        <f>CT22*CV22</f>
        <v>0</v>
      </c>
      <c r="CV22">
        <f>($B$11*$D$9+$C$11*$D$9+$F$11*((EG22+DY22)/MAX(EG22+DY22+EH22, 0.1)*$I$9+EH22/MAX(EG22+DY22+EH22, 0.1)*$J$9))/($B$11+$C$11+$F$11)</f>
        <v>0</v>
      </c>
      <c r="CW22">
        <f>($B$11*$K$9+$C$11*$K$9+$F$11*((EG22+DY22)/MAX(EG22+DY22+EH22, 0.1)*$P$9+EH22/MAX(EG22+DY22+EH22, 0.1)*$Q$9))/($B$11+$C$11+$F$11)</f>
        <v>0</v>
      </c>
      <c r="CX22">
        <v>2</v>
      </c>
      <c r="CY22">
        <v>0.5</v>
      </c>
      <c r="CZ22" t="s">
        <v>343</v>
      </c>
      <c r="DA22">
        <v>2</v>
      </c>
      <c r="DB22">
        <v>1595347213</v>
      </c>
      <c r="DC22">
        <v>392.820666666667</v>
      </c>
      <c r="DD22">
        <v>400.022</v>
      </c>
      <c r="DE22">
        <v>17.4446266666667</v>
      </c>
      <c r="DF22">
        <v>16.4201666666667</v>
      </c>
      <c r="DG22">
        <v>392.526933333333</v>
      </c>
      <c r="DH22">
        <v>17.5456266666667</v>
      </c>
      <c r="DI22">
        <v>500.0218</v>
      </c>
      <c r="DJ22">
        <v>101.314866666667</v>
      </c>
      <c r="DK22">
        <v>0.100026793333333</v>
      </c>
      <c r="DL22">
        <v>25.1589866666667</v>
      </c>
      <c r="DM22">
        <v>25.00006</v>
      </c>
      <c r="DN22">
        <v>999.9</v>
      </c>
      <c r="DO22">
        <v>0</v>
      </c>
      <c r="DP22">
        <v>0</v>
      </c>
      <c r="DQ22">
        <v>10002.416</v>
      </c>
      <c r="DR22">
        <v>0</v>
      </c>
      <c r="DS22">
        <v>7.67957</v>
      </c>
      <c r="DT22">
        <v>1499.99933333333</v>
      </c>
      <c r="DU22">
        <v>0.972997666666667</v>
      </c>
      <c r="DV22">
        <v>0.02700232</v>
      </c>
      <c r="DW22">
        <v>0</v>
      </c>
      <c r="DX22">
        <v>249.907733333333</v>
      </c>
      <c r="DY22">
        <v>4.99999</v>
      </c>
      <c r="DZ22">
        <v>3739.00066666667</v>
      </c>
      <c r="EA22">
        <v>14882.58</v>
      </c>
      <c r="EB22">
        <v>38.2373333333333</v>
      </c>
      <c r="EC22">
        <v>39.5456</v>
      </c>
      <c r="ED22">
        <v>38.8330666666667</v>
      </c>
      <c r="EE22">
        <v>38.9706</v>
      </c>
      <c r="EF22">
        <v>39.7414</v>
      </c>
      <c r="EG22">
        <v>1454.62933333333</v>
      </c>
      <c r="EH22">
        <v>40.37</v>
      </c>
      <c r="EI22">
        <v>0</v>
      </c>
      <c r="EJ22">
        <v>1792382567.1</v>
      </c>
      <c r="EK22">
        <v>0</v>
      </c>
      <c r="EL22">
        <v>249.922961538462</v>
      </c>
      <c r="EM22">
        <v>2.73535041212314</v>
      </c>
      <c r="EN22">
        <v>-0.251282074425954</v>
      </c>
      <c r="EO22">
        <v>3739.05115384615</v>
      </c>
      <c r="EP22">
        <v>15</v>
      </c>
      <c r="EQ22">
        <v>1595347140</v>
      </c>
      <c r="ER22" t="s">
        <v>360</v>
      </c>
      <c r="ES22">
        <v>1595347140</v>
      </c>
      <c r="ET22">
        <v>1595347138</v>
      </c>
      <c r="EU22">
        <v>7</v>
      </c>
      <c r="EV22">
        <v>-0.165</v>
      </c>
      <c r="EW22">
        <v>0.001</v>
      </c>
      <c r="EX22">
        <v>0.302</v>
      </c>
      <c r="EY22">
        <v>-0.101</v>
      </c>
      <c r="EZ22">
        <v>400</v>
      </c>
      <c r="FA22">
        <v>16</v>
      </c>
      <c r="FB22">
        <v>0.13</v>
      </c>
      <c r="FC22">
        <v>0.04</v>
      </c>
      <c r="FD22">
        <v>16.9547417995174</v>
      </c>
      <c r="FE22">
        <v>0.426583668175739</v>
      </c>
      <c r="FF22">
        <v>0.0810235855158409</v>
      </c>
      <c r="FG22">
        <v>1</v>
      </c>
      <c r="FH22">
        <v>-7.1858015</v>
      </c>
      <c r="FI22">
        <v>-0.234865714285718</v>
      </c>
      <c r="FJ22">
        <v>0.0356939128248782</v>
      </c>
      <c r="FK22">
        <v>1</v>
      </c>
      <c r="FL22">
        <v>249.881441176471</v>
      </c>
      <c r="FM22">
        <v>1.61697478394202</v>
      </c>
      <c r="FN22">
        <v>0.481227669683699</v>
      </c>
      <c r="FO22">
        <v>0</v>
      </c>
      <c r="FP22">
        <v>2</v>
      </c>
      <c r="FQ22">
        <v>3</v>
      </c>
      <c r="FR22" t="s">
        <v>361</v>
      </c>
      <c r="FS22">
        <v>100</v>
      </c>
      <c r="FT22">
        <v>100</v>
      </c>
      <c r="FU22">
        <v>0.294</v>
      </c>
      <c r="FV22">
        <v>-0.101</v>
      </c>
      <c r="FW22">
        <v>-0.0969248758131731</v>
      </c>
      <c r="FX22">
        <v>0.000862124167288959</v>
      </c>
      <c r="FY22">
        <v>3.40327538556632e-07</v>
      </c>
      <c r="FZ22">
        <v>-2.02263791882896e-12</v>
      </c>
      <c r="GA22">
        <v>-0.101000000000003</v>
      </c>
      <c r="GB22">
        <v>0</v>
      </c>
      <c r="GC22">
        <v>0</v>
      </c>
      <c r="GD22">
        <v>0</v>
      </c>
      <c r="GE22">
        <v>4</v>
      </c>
      <c r="GF22">
        <v>2115</v>
      </c>
      <c r="GG22">
        <v>-1</v>
      </c>
      <c r="GH22">
        <v>-1</v>
      </c>
      <c r="GI22">
        <v>1.4</v>
      </c>
      <c r="GJ22">
        <v>1.4</v>
      </c>
      <c r="GK22">
        <v>1.03516</v>
      </c>
      <c r="GL22">
        <v>2.64282</v>
      </c>
      <c r="GM22">
        <v>1.65161</v>
      </c>
      <c r="GN22">
        <v>2.27173</v>
      </c>
      <c r="GO22">
        <v>1.5979</v>
      </c>
      <c r="GP22">
        <v>2.46338</v>
      </c>
      <c r="GQ22">
        <v>33.4906</v>
      </c>
      <c r="GR22">
        <v>15.2528</v>
      </c>
      <c r="GS22">
        <v>18</v>
      </c>
      <c r="GT22">
        <v>503.945</v>
      </c>
      <c r="GU22">
        <v>546.522</v>
      </c>
      <c r="GV22">
        <v>21.5227</v>
      </c>
      <c r="GW22">
        <v>29.0116</v>
      </c>
      <c r="GX22">
        <v>30</v>
      </c>
      <c r="GY22">
        <v>29.2556</v>
      </c>
      <c r="GZ22">
        <v>29.3223</v>
      </c>
      <c r="HA22">
        <v>20.7027</v>
      </c>
      <c r="HB22">
        <v>28.72</v>
      </c>
      <c r="HC22">
        <v>38.9263</v>
      </c>
      <c r="HD22">
        <v>21.5286</v>
      </c>
      <c r="HE22">
        <v>400</v>
      </c>
      <c r="HF22">
        <v>16.383</v>
      </c>
      <c r="HG22">
        <v>98.0503</v>
      </c>
      <c r="HH22">
        <v>95.4504</v>
      </c>
    </row>
    <row r="23" spans="1:216">
      <c r="A23">
        <v>7</v>
      </c>
      <c r="B23">
        <v>1595347346</v>
      </c>
      <c r="C23">
        <v>770</v>
      </c>
      <c r="D23" t="s">
        <v>362</v>
      </c>
      <c r="E23" t="s">
        <v>363</v>
      </c>
      <c r="F23">
        <v>5</v>
      </c>
      <c r="G23">
        <v>1595347337.5</v>
      </c>
      <c r="H23">
        <f>(I23)/1000</f>
        <v>0</v>
      </c>
      <c r="I23">
        <f>1000*DI23*AG23*(DE23-DF23)/(100*CX23*(1000-AG23*DE23))</f>
        <v>0</v>
      </c>
      <c r="J23">
        <f>DI23*AG23*(DD23-DC23*(1000-AG23*DF23)/(1000-AG23*DE23))/(100*CX23)</f>
        <v>0</v>
      </c>
      <c r="K23">
        <f>DC23 - IF(AG23&gt;1, J23*CX23*100.0/(AI23), 0)</f>
        <v>0</v>
      </c>
      <c r="L23">
        <f>((R23-H23/2)*K23-J23)/(R23+H23/2)</f>
        <v>0</v>
      </c>
      <c r="M23">
        <f>L23*(DJ23+DK23)/1000.0</f>
        <v>0</v>
      </c>
      <c r="N23">
        <f>(DC23 - IF(AG23&gt;1, J23*CX23*100.0/(AI23), 0))*(DJ23+DK23)/1000.0</f>
        <v>0</v>
      </c>
      <c r="O23">
        <f>2.0/((1/Q23-1/P23)+SIGN(Q23)*SQRT((1/Q23-1/P23)*(1/Q23-1/P23) + 4*CY23/((CY23+1)*(CY23+1))*(2*1/Q23*1/P23-1/P23*1/P23)))</f>
        <v>0</v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>0</v>
      </c>
      <c r="Q23">
        <f>H23*(1000-(1000*0.61365*exp(17.502*U23/(240.97+U23))/(DJ23+DK23)+DE23)/2)/(1000*0.61365*exp(17.502*U23/(240.97+U23))/(DJ23+DK23)-DE23)</f>
        <v>0</v>
      </c>
      <c r="R23">
        <f>1/((CY23+1)/(O23/1.6)+1/(P23/1.37)) + CY23/((CY23+1)/(O23/1.6) + CY23/(P23/1.37))</f>
        <v>0</v>
      </c>
      <c r="S23">
        <f>(CT23*CW23)</f>
        <v>0</v>
      </c>
      <c r="T23">
        <f>(DL23+(S23+2*0.95*5.67E-8*(((DL23+$B$7)+273)^4-(DL23+273)^4)-44100*H23)/(1.84*29.3*P23+8*0.95*5.67E-8*(DL23+273)^3))</f>
        <v>0</v>
      </c>
      <c r="U23">
        <f>($C$7*DM23+$D$7*DN23+$E$7*T23)</f>
        <v>0</v>
      </c>
      <c r="V23">
        <f>0.61365*exp(17.502*U23/(240.97+U23))</f>
        <v>0</v>
      </c>
      <c r="W23">
        <f>(X23/Y23*100)</f>
        <v>0</v>
      </c>
      <c r="X23">
        <f>DE23*(DJ23+DK23)/1000</f>
        <v>0</v>
      </c>
      <c r="Y23">
        <f>0.61365*exp(17.502*DL23/(240.97+DL23))</f>
        <v>0</v>
      </c>
      <c r="Z23">
        <f>(V23-DE23*(DJ23+DK23)/1000)</f>
        <v>0</v>
      </c>
      <c r="AA23">
        <f>(-H23*44100)</f>
        <v>0</v>
      </c>
      <c r="AB23">
        <f>2*29.3*P23*0.92*(DL23-U23)</f>
        <v>0</v>
      </c>
      <c r="AC23">
        <f>2*0.95*5.67E-8*(((DL23+$B$7)+273)^4-(U23+273)^4)</f>
        <v>0</v>
      </c>
      <c r="AD23">
        <f>S23+AC23+AA23+AB23</f>
        <v>0</v>
      </c>
      <c r="AE23">
        <v>0</v>
      </c>
      <c r="AF23">
        <v>0</v>
      </c>
      <c r="AG23">
        <f>IF(AE23*$H$13&gt;=AI23,1.0,(AI23/(AI23-AE23*$H$13)))</f>
        <v>0</v>
      </c>
      <c r="AH23">
        <f>(AG23-1)*100</f>
        <v>0</v>
      </c>
      <c r="AI23">
        <f>MAX(0,($B$13+$C$13*DQ23)/(1+$D$13*DQ23)*DJ23/(DL23+273)*$E$13)</f>
        <v>0</v>
      </c>
      <c r="AJ23" t="s">
        <v>342</v>
      </c>
      <c r="AK23" t="s">
        <v>342</v>
      </c>
      <c r="AL23">
        <v>0</v>
      </c>
      <c r="AM23">
        <v>0</v>
      </c>
      <c r="AN23">
        <f>1-AL23/AM23</f>
        <v>0</v>
      </c>
      <c r="AO23">
        <v>0</v>
      </c>
      <c r="AP23" t="s">
        <v>342</v>
      </c>
      <c r="AQ23" t="s">
        <v>342</v>
      </c>
      <c r="AR23">
        <v>0</v>
      </c>
      <c r="AS23">
        <v>0</v>
      </c>
      <c r="AT23">
        <f>1-AR23/AS23</f>
        <v>0</v>
      </c>
      <c r="AU23">
        <v>0.5</v>
      </c>
      <c r="AV23">
        <f>CU23</f>
        <v>0</v>
      </c>
      <c r="AW23">
        <f>J23</f>
        <v>0</v>
      </c>
      <c r="AX23">
        <f>AT23*AU23*AV23</f>
        <v>0</v>
      </c>
      <c r="AY23">
        <f>(AW23-AO23)/AV23</f>
        <v>0</v>
      </c>
      <c r="AZ23">
        <f>(AM23-AS23)/AS23</f>
        <v>0</v>
      </c>
      <c r="BA23">
        <f>AL23/(AN23+AL23/AS23)</f>
        <v>0</v>
      </c>
      <c r="BB23" t="s">
        <v>342</v>
      </c>
      <c r="BC23">
        <v>0</v>
      </c>
      <c r="BD23">
        <f>IF(BC23&lt;&gt;0, BC23, BA23)</f>
        <v>0</v>
      </c>
      <c r="BE23">
        <f>1-BD23/AS23</f>
        <v>0</v>
      </c>
      <c r="BF23">
        <f>(AS23-AR23)/(AS23-BD23)</f>
        <v>0</v>
      </c>
      <c r="BG23">
        <f>(AM23-AS23)/(AM23-BD23)</f>
        <v>0</v>
      </c>
      <c r="BH23">
        <f>(AS23-AR23)/(AS23-AL23)</f>
        <v>0</v>
      </c>
      <c r="BI23">
        <f>(AM23-AS23)/(AM23-AL23)</f>
        <v>0</v>
      </c>
      <c r="BJ23">
        <f>(BF23*BD23/AR23)</f>
        <v>0</v>
      </c>
      <c r="BK23">
        <f>(1-BJ23)</f>
        <v>0</v>
      </c>
      <c r="CT23">
        <f>$B$11*DR23+$C$11*DS23+$F$11*DT23*(1-DW23)</f>
        <v>0</v>
      </c>
      <c r="CU23">
        <f>CT23*CV23</f>
        <v>0</v>
      </c>
      <c r="CV23">
        <f>($B$11*$D$9+$C$11*$D$9+$F$11*((EG23+DY23)/MAX(EG23+DY23+EH23, 0.1)*$I$9+EH23/MAX(EG23+DY23+EH23, 0.1)*$J$9))/($B$11+$C$11+$F$11)</f>
        <v>0</v>
      </c>
      <c r="CW23">
        <f>($B$11*$K$9+$C$11*$K$9+$F$11*((EG23+DY23)/MAX(EG23+DY23+EH23, 0.1)*$P$9+EH23/MAX(EG23+DY23+EH23, 0.1)*$Q$9))/($B$11+$C$11+$F$11)</f>
        <v>0</v>
      </c>
      <c r="CX23">
        <v>2</v>
      </c>
      <c r="CY23">
        <v>0.5</v>
      </c>
      <c r="CZ23" t="s">
        <v>343</v>
      </c>
      <c r="DA23">
        <v>2</v>
      </c>
      <c r="DB23">
        <v>1595347337.5</v>
      </c>
      <c r="DC23">
        <v>392.5181875</v>
      </c>
      <c r="DD23">
        <v>399.9956875</v>
      </c>
      <c r="DE23">
        <v>17.3922375</v>
      </c>
      <c r="DF23">
        <v>16.32431875</v>
      </c>
      <c r="DG23">
        <v>392.182375</v>
      </c>
      <c r="DH23">
        <v>17.4928</v>
      </c>
      <c r="DI23">
        <v>500.002375</v>
      </c>
      <c r="DJ23">
        <v>101.3125</v>
      </c>
      <c r="DK23">
        <v>0.10002635625</v>
      </c>
      <c r="DL23">
        <v>25.1377625</v>
      </c>
      <c r="DM23">
        <v>24.98185625</v>
      </c>
      <c r="DN23">
        <v>999.9</v>
      </c>
      <c r="DO23">
        <v>0</v>
      </c>
      <c r="DP23">
        <v>0</v>
      </c>
      <c r="DQ23">
        <v>9996.646875</v>
      </c>
      <c r="DR23">
        <v>0</v>
      </c>
      <c r="DS23">
        <v>7.76559875</v>
      </c>
      <c r="DT23">
        <v>1500.029375</v>
      </c>
      <c r="DU23">
        <v>0.9729934375</v>
      </c>
      <c r="DV23">
        <v>0.0270067</v>
      </c>
      <c r="DW23">
        <v>0</v>
      </c>
      <c r="DX23">
        <v>250.39625</v>
      </c>
      <c r="DY23">
        <v>4.99999</v>
      </c>
      <c r="DZ23">
        <v>3734.48875</v>
      </c>
      <c r="EA23">
        <v>14882.825</v>
      </c>
      <c r="EB23">
        <v>37.57775</v>
      </c>
      <c r="EC23">
        <v>39</v>
      </c>
      <c r="ED23">
        <v>38.194875</v>
      </c>
      <c r="EE23">
        <v>38.292625</v>
      </c>
      <c r="EF23">
        <v>39.136625</v>
      </c>
      <c r="EG23">
        <v>1454.649375</v>
      </c>
      <c r="EH23">
        <v>40.38</v>
      </c>
      <c r="EI23">
        <v>0</v>
      </c>
      <c r="EJ23">
        <v>1792382691.9</v>
      </c>
      <c r="EK23">
        <v>0</v>
      </c>
      <c r="EL23">
        <v>250.378692307692</v>
      </c>
      <c r="EM23">
        <v>2.59111113303539</v>
      </c>
      <c r="EN23">
        <v>-1.39008546315586</v>
      </c>
      <c r="EO23">
        <v>3734.44230769231</v>
      </c>
      <c r="EP23">
        <v>15</v>
      </c>
      <c r="EQ23">
        <v>1595347274</v>
      </c>
      <c r="ER23" t="s">
        <v>364</v>
      </c>
      <c r="ES23">
        <v>1595347270</v>
      </c>
      <c r="ET23">
        <v>1595347274</v>
      </c>
      <c r="EU23">
        <v>8</v>
      </c>
      <c r="EV23">
        <v>0.043</v>
      </c>
      <c r="EW23">
        <v>0</v>
      </c>
      <c r="EX23">
        <v>0.344</v>
      </c>
      <c r="EY23">
        <v>-0.101</v>
      </c>
      <c r="EZ23">
        <v>400</v>
      </c>
      <c r="FA23">
        <v>16</v>
      </c>
      <c r="FB23">
        <v>0.21</v>
      </c>
      <c r="FC23">
        <v>0.1</v>
      </c>
      <c r="FD23">
        <v>17.6018603180725</v>
      </c>
      <c r="FE23">
        <v>0.549960642272626</v>
      </c>
      <c r="FF23">
        <v>0.0995597834030058</v>
      </c>
      <c r="FG23">
        <v>1</v>
      </c>
      <c r="FH23">
        <v>-7.46692428571429</v>
      </c>
      <c r="FI23">
        <v>-0.255530649350653</v>
      </c>
      <c r="FJ23">
        <v>0.0421293451139214</v>
      </c>
      <c r="FK23">
        <v>1</v>
      </c>
      <c r="FL23">
        <v>250.335088235294</v>
      </c>
      <c r="FM23">
        <v>0.5742246024665</v>
      </c>
      <c r="FN23">
        <v>0.524806315401331</v>
      </c>
      <c r="FO23">
        <v>1</v>
      </c>
      <c r="FP23">
        <v>3</v>
      </c>
      <c r="FQ23">
        <v>3</v>
      </c>
      <c r="FR23" t="s">
        <v>345</v>
      </c>
      <c r="FS23">
        <v>100</v>
      </c>
      <c r="FT23">
        <v>100</v>
      </c>
      <c r="FU23">
        <v>0.335</v>
      </c>
      <c r="FV23">
        <v>-0.1006</v>
      </c>
      <c r="FW23">
        <v>-0.0545785765975745</v>
      </c>
      <c r="FX23">
        <v>0.000862124167288959</v>
      </c>
      <c r="FY23">
        <v>3.40327538556632e-07</v>
      </c>
      <c r="FZ23">
        <v>-2.02263791882896e-12</v>
      </c>
      <c r="GA23">
        <v>-0.100570000000001</v>
      </c>
      <c r="GB23">
        <v>0</v>
      </c>
      <c r="GC23">
        <v>0</v>
      </c>
      <c r="GD23">
        <v>0</v>
      </c>
      <c r="GE23">
        <v>4</v>
      </c>
      <c r="GF23">
        <v>2115</v>
      </c>
      <c r="GG23">
        <v>-1</v>
      </c>
      <c r="GH23">
        <v>-1</v>
      </c>
      <c r="GI23">
        <v>1.3</v>
      </c>
      <c r="GJ23">
        <v>1.2</v>
      </c>
      <c r="GK23">
        <v>1.03516</v>
      </c>
      <c r="GL23">
        <v>2.6355</v>
      </c>
      <c r="GM23">
        <v>1.65161</v>
      </c>
      <c r="GN23">
        <v>2.27295</v>
      </c>
      <c r="GO23">
        <v>1.5979</v>
      </c>
      <c r="GP23">
        <v>2.54272</v>
      </c>
      <c r="GQ23">
        <v>33.4906</v>
      </c>
      <c r="GR23">
        <v>15.2353</v>
      </c>
      <c r="GS23">
        <v>18</v>
      </c>
      <c r="GT23">
        <v>504.315</v>
      </c>
      <c r="GU23">
        <v>546.159</v>
      </c>
      <c r="GV23">
        <v>21.6071</v>
      </c>
      <c r="GW23">
        <v>28.9865</v>
      </c>
      <c r="GX23">
        <v>30.0001</v>
      </c>
      <c r="GY23">
        <v>29.2258</v>
      </c>
      <c r="GZ23">
        <v>29.2926</v>
      </c>
      <c r="HA23">
        <v>20.7069</v>
      </c>
      <c r="HB23">
        <v>28.27</v>
      </c>
      <c r="HC23">
        <v>38.1824</v>
      </c>
      <c r="HD23">
        <v>21.6201</v>
      </c>
      <c r="HE23">
        <v>400</v>
      </c>
      <c r="HF23">
        <v>16.3832</v>
      </c>
      <c r="HG23">
        <v>98.0508</v>
      </c>
      <c r="HH23">
        <v>95.4556</v>
      </c>
    </row>
    <row r="24" spans="1:216">
      <c r="A24">
        <v>8</v>
      </c>
      <c r="B24">
        <v>1595347488.1</v>
      </c>
      <c r="C24">
        <v>912.099999904633</v>
      </c>
      <c r="D24" t="s">
        <v>365</v>
      </c>
      <c r="E24" t="s">
        <v>366</v>
      </c>
      <c r="F24">
        <v>5</v>
      </c>
      <c r="G24">
        <v>1595347479.6</v>
      </c>
      <c r="H24">
        <f>(I24)/1000</f>
        <v>0</v>
      </c>
      <c r="I24">
        <f>1000*DI24*AG24*(DE24-DF24)/(100*CX24*(1000-AG24*DE24))</f>
        <v>0</v>
      </c>
      <c r="J24">
        <f>DI24*AG24*(DD24-DC24*(1000-AG24*DF24)/(1000-AG24*DE24))/(100*CX24)</f>
        <v>0</v>
      </c>
      <c r="K24">
        <f>DC24 - IF(AG24&gt;1, J24*CX24*100.0/(AI24), 0)</f>
        <v>0</v>
      </c>
      <c r="L24">
        <f>((R24-H24/2)*K24-J24)/(R24+H24/2)</f>
        <v>0</v>
      </c>
      <c r="M24">
        <f>L24*(DJ24+DK24)/1000.0</f>
        <v>0</v>
      </c>
      <c r="N24">
        <f>(DC24 - IF(AG24&gt;1, J24*CX24*100.0/(AI24), 0))*(DJ24+DK24)/1000.0</f>
        <v>0</v>
      </c>
      <c r="O24">
        <f>2.0/((1/Q24-1/P24)+SIGN(Q24)*SQRT((1/Q24-1/P24)*(1/Q24-1/P24) + 4*CY24/((CY24+1)*(CY24+1))*(2*1/Q24*1/P24-1/P24*1/P24)))</f>
        <v>0</v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>0</v>
      </c>
      <c r="Q24">
        <f>H24*(1000-(1000*0.61365*exp(17.502*U24/(240.97+U24))/(DJ24+DK24)+DE24)/2)/(1000*0.61365*exp(17.502*U24/(240.97+U24))/(DJ24+DK24)-DE24)</f>
        <v>0</v>
      </c>
      <c r="R24">
        <f>1/((CY24+1)/(O24/1.6)+1/(P24/1.37)) + CY24/((CY24+1)/(O24/1.6) + CY24/(P24/1.37))</f>
        <v>0</v>
      </c>
      <c r="S24">
        <f>(CT24*CW24)</f>
        <v>0</v>
      </c>
      <c r="T24">
        <f>(DL24+(S24+2*0.95*5.67E-8*(((DL24+$B$7)+273)^4-(DL24+273)^4)-44100*H24)/(1.84*29.3*P24+8*0.95*5.67E-8*(DL24+273)^3))</f>
        <v>0</v>
      </c>
      <c r="U24">
        <f>($C$7*DM24+$D$7*DN24+$E$7*T24)</f>
        <v>0</v>
      </c>
      <c r="V24">
        <f>0.61365*exp(17.502*U24/(240.97+U24))</f>
        <v>0</v>
      </c>
      <c r="W24">
        <f>(X24/Y24*100)</f>
        <v>0</v>
      </c>
      <c r="X24">
        <f>DE24*(DJ24+DK24)/1000</f>
        <v>0</v>
      </c>
      <c r="Y24">
        <f>0.61365*exp(17.502*DL24/(240.97+DL24))</f>
        <v>0</v>
      </c>
      <c r="Z24">
        <f>(V24-DE24*(DJ24+DK24)/1000)</f>
        <v>0</v>
      </c>
      <c r="AA24">
        <f>(-H24*44100)</f>
        <v>0</v>
      </c>
      <c r="AB24">
        <f>2*29.3*P24*0.92*(DL24-U24)</f>
        <v>0</v>
      </c>
      <c r="AC24">
        <f>2*0.95*5.67E-8*(((DL24+$B$7)+273)^4-(U24+273)^4)</f>
        <v>0</v>
      </c>
      <c r="AD24">
        <f>S24+AC24+AA24+AB24</f>
        <v>0</v>
      </c>
      <c r="AE24">
        <v>0</v>
      </c>
      <c r="AF24">
        <v>0</v>
      </c>
      <c r="AG24">
        <f>IF(AE24*$H$13&gt;=AI24,1.0,(AI24/(AI24-AE24*$H$13)))</f>
        <v>0</v>
      </c>
      <c r="AH24">
        <f>(AG24-1)*100</f>
        <v>0</v>
      </c>
      <c r="AI24">
        <f>MAX(0,($B$13+$C$13*DQ24)/(1+$D$13*DQ24)*DJ24/(DL24+273)*$E$13)</f>
        <v>0</v>
      </c>
      <c r="AJ24" t="s">
        <v>342</v>
      </c>
      <c r="AK24" t="s">
        <v>342</v>
      </c>
      <c r="AL24">
        <v>0</v>
      </c>
      <c r="AM24">
        <v>0</v>
      </c>
      <c r="AN24">
        <f>1-AL24/AM24</f>
        <v>0</v>
      </c>
      <c r="AO24">
        <v>0</v>
      </c>
      <c r="AP24" t="s">
        <v>342</v>
      </c>
      <c r="AQ24" t="s">
        <v>342</v>
      </c>
      <c r="AR24">
        <v>0</v>
      </c>
      <c r="AS24">
        <v>0</v>
      </c>
      <c r="AT24">
        <f>1-AR24/AS24</f>
        <v>0</v>
      </c>
      <c r="AU24">
        <v>0.5</v>
      </c>
      <c r="AV24">
        <f>CU24</f>
        <v>0</v>
      </c>
      <c r="AW24">
        <f>J24</f>
        <v>0</v>
      </c>
      <c r="AX24">
        <f>AT24*AU24*AV24</f>
        <v>0</v>
      </c>
      <c r="AY24">
        <f>(AW24-AO24)/AV24</f>
        <v>0</v>
      </c>
      <c r="AZ24">
        <f>(AM24-AS24)/AS24</f>
        <v>0</v>
      </c>
      <c r="BA24">
        <f>AL24/(AN24+AL24/AS24)</f>
        <v>0</v>
      </c>
      <c r="BB24" t="s">
        <v>342</v>
      </c>
      <c r="BC24">
        <v>0</v>
      </c>
      <c r="BD24">
        <f>IF(BC24&lt;&gt;0, BC24, BA24)</f>
        <v>0</v>
      </c>
      <c r="BE24">
        <f>1-BD24/AS24</f>
        <v>0</v>
      </c>
      <c r="BF24">
        <f>(AS24-AR24)/(AS24-BD24)</f>
        <v>0</v>
      </c>
      <c r="BG24">
        <f>(AM24-AS24)/(AM24-BD24)</f>
        <v>0</v>
      </c>
      <c r="BH24">
        <f>(AS24-AR24)/(AS24-AL24)</f>
        <v>0</v>
      </c>
      <c r="BI24">
        <f>(AM24-AS24)/(AM24-AL24)</f>
        <v>0</v>
      </c>
      <c r="BJ24">
        <f>(BF24*BD24/AR24)</f>
        <v>0</v>
      </c>
      <c r="BK24">
        <f>(1-BJ24)</f>
        <v>0</v>
      </c>
      <c r="CT24">
        <f>$B$11*DR24+$C$11*DS24+$F$11*DT24*(1-DW24)</f>
        <v>0</v>
      </c>
      <c r="CU24">
        <f>CT24*CV24</f>
        <v>0</v>
      </c>
      <c r="CV24">
        <f>($B$11*$D$9+$C$11*$D$9+$F$11*((EG24+DY24)/MAX(EG24+DY24+EH24, 0.1)*$I$9+EH24/MAX(EG24+DY24+EH24, 0.1)*$J$9))/($B$11+$C$11+$F$11)</f>
        <v>0</v>
      </c>
      <c r="CW24">
        <f>($B$11*$K$9+$C$11*$K$9+$F$11*((EG24+DY24)/MAX(EG24+DY24+EH24, 0.1)*$P$9+EH24/MAX(EG24+DY24+EH24, 0.1)*$Q$9))/($B$11+$C$11+$F$11)</f>
        <v>0</v>
      </c>
      <c r="CX24">
        <v>2</v>
      </c>
      <c r="CY24">
        <v>0.5</v>
      </c>
      <c r="CZ24" t="s">
        <v>343</v>
      </c>
      <c r="DA24">
        <v>2</v>
      </c>
      <c r="DB24">
        <v>1595347479.6</v>
      </c>
      <c r="DC24">
        <v>687.912</v>
      </c>
      <c r="DD24">
        <v>700.010375</v>
      </c>
      <c r="DE24">
        <v>17.42188125</v>
      </c>
      <c r="DF24">
        <v>16.27006875</v>
      </c>
      <c r="DG24">
        <v>686.981</v>
      </c>
      <c r="DH24">
        <v>17.521175</v>
      </c>
      <c r="DI24">
        <v>500.0166875</v>
      </c>
      <c r="DJ24">
        <v>101.3236875</v>
      </c>
      <c r="DK24">
        <v>0.1000263375</v>
      </c>
      <c r="DL24">
        <v>25.1552125</v>
      </c>
      <c r="DM24">
        <v>24.98276875</v>
      </c>
      <c r="DN24">
        <v>999.9</v>
      </c>
      <c r="DO24">
        <v>0</v>
      </c>
      <c r="DP24">
        <v>0</v>
      </c>
      <c r="DQ24">
        <v>9990.158125</v>
      </c>
      <c r="DR24">
        <v>0</v>
      </c>
      <c r="DS24">
        <v>7.911795</v>
      </c>
      <c r="DT24">
        <v>1500.005</v>
      </c>
      <c r="DU24">
        <v>0.9730096875</v>
      </c>
      <c r="DV24">
        <v>0.026990425</v>
      </c>
      <c r="DW24">
        <v>0</v>
      </c>
      <c r="DX24">
        <v>249.750625</v>
      </c>
      <c r="DY24">
        <v>4.99999</v>
      </c>
      <c r="DZ24">
        <v>3721.45375</v>
      </c>
      <c r="EA24">
        <v>14882.675</v>
      </c>
      <c r="EB24">
        <v>37.069875</v>
      </c>
      <c r="EC24">
        <v>38.57775</v>
      </c>
      <c r="ED24">
        <v>37.687</v>
      </c>
      <c r="EE24">
        <v>37.9409375</v>
      </c>
      <c r="EF24">
        <v>38.687</v>
      </c>
      <c r="EG24">
        <v>1454.655</v>
      </c>
      <c r="EH24">
        <v>40.35</v>
      </c>
      <c r="EI24">
        <v>0</v>
      </c>
      <c r="EJ24">
        <v>1792382834.1</v>
      </c>
      <c r="EK24">
        <v>0</v>
      </c>
      <c r="EL24">
        <v>249.8186</v>
      </c>
      <c r="EM24">
        <v>0.7896153833613</v>
      </c>
      <c r="EN24">
        <v>19.406923111494</v>
      </c>
      <c r="EO24">
        <v>3721.9156</v>
      </c>
      <c r="EP24">
        <v>15</v>
      </c>
      <c r="EQ24">
        <v>1595347408.1</v>
      </c>
      <c r="ER24" t="s">
        <v>367</v>
      </c>
      <c r="ES24">
        <v>1595347408.1</v>
      </c>
      <c r="ET24">
        <v>1595347408.1</v>
      </c>
      <c r="EU24">
        <v>9</v>
      </c>
      <c r="EV24">
        <v>0.233</v>
      </c>
      <c r="EW24">
        <v>0.001</v>
      </c>
      <c r="EX24">
        <v>0.947</v>
      </c>
      <c r="EY24">
        <v>-0.099</v>
      </c>
      <c r="EZ24">
        <v>700</v>
      </c>
      <c r="FA24">
        <v>16</v>
      </c>
      <c r="FB24">
        <v>0.18</v>
      </c>
      <c r="FC24">
        <v>0.08</v>
      </c>
      <c r="FD24">
        <v>28.2025397444773</v>
      </c>
      <c r="FE24">
        <v>0.338664568217678</v>
      </c>
      <c r="FF24">
        <v>0.129194449574497</v>
      </c>
      <c r="FG24">
        <v>1</v>
      </c>
      <c r="FH24">
        <v>-12.07476</v>
      </c>
      <c r="FI24">
        <v>-0.423013533834608</v>
      </c>
      <c r="FJ24">
        <v>0.0749782861900698</v>
      </c>
      <c r="FK24">
        <v>1</v>
      </c>
      <c r="FL24">
        <v>249.752970588235</v>
      </c>
      <c r="FM24">
        <v>0.408113062525157</v>
      </c>
      <c r="FN24">
        <v>0.381363458357302</v>
      </c>
      <c r="FO24">
        <v>1</v>
      </c>
      <c r="FP24">
        <v>3</v>
      </c>
      <c r="FQ24">
        <v>3</v>
      </c>
      <c r="FR24" t="s">
        <v>345</v>
      </c>
      <c r="FS24">
        <v>100</v>
      </c>
      <c r="FT24">
        <v>100</v>
      </c>
      <c r="FU24">
        <v>0.93</v>
      </c>
      <c r="FV24">
        <v>-0.0993</v>
      </c>
      <c r="FW24">
        <v>0.178678712601553</v>
      </c>
      <c r="FX24">
        <v>0.000862124167288959</v>
      </c>
      <c r="FY24">
        <v>3.40327538556632e-07</v>
      </c>
      <c r="FZ24">
        <v>-2.02263791882896e-12</v>
      </c>
      <c r="GA24">
        <v>-0.0992899999999999</v>
      </c>
      <c r="GB24">
        <v>0</v>
      </c>
      <c r="GC24">
        <v>0</v>
      </c>
      <c r="GD24">
        <v>0</v>
      </c>
      <c r="GE24">
        <v>4</v>
      </c>
      <c r="GF24">
        <v>2115</v>
      </c>
      <c r="GG24">
        <v>-1</v>
      </c>
      <c r="GH24">
        <v>-1</v>
      </c>
      <c r="GI24">
        <v>1.3</v>
      </c>
      <c r="GJ24">
        <v>1.3</v>
      </c>
      <c r="GK24">
        <v>1.61987</v>
      </c>
      <c r="GL24">
        <v>2.63306</v>
      </c>
      <c r="GM24">
        <v>1.65161</v>
      </c>
      <c r="GN24">
        <v>2.27295</v>
      </c>
      <c r="GO24">
        <v>1.5979</v>
      </c>
      <c r="GP24">
        <v>2.46948</v>
      </c>
      <c r="GQ24">
        <v>33.513</v>
      </c>
      <c r="GR24">
        <v>15.209</v>
      </c>
      <c r="GS24">
        <v>18</v>
      </c>
      <c r="GT24">
        <v>504.198</v>
      </c>
      <c r="GU24">
        <v>546.961</v>
      </c>
      <c r="GV24">
        <v>21.7206</v>
      </c>
      <c r="GW24">
        <v>28.9617</v>
      </c>
      <c r="GX24">
        <v>30.0001</v>
      </c>
      <c r="GY24">
        <v>29.1982</v>
      </c>
      <c r="GZ24">
        <v>29.2648</v>
      </c>
      <c r="HA24">
        <v>32.3978</v>
      </c>
      <c r="HB24">
        <v>28.264</v>
      </c>
      <c r="HC24">
        <v>37.434</v>
      </c>
      <c r="HD24">
        <v>21.7295</v>
      </c>
      <c r="HE24">
        <v>700</v>
      </c>
      <c r="HF24">
        <v>16.3251</v>
      </c>
      <c r="HG24">
        <v>98.0535</v>
      </c>
      <c r="HH24">
        <v>95.4586</v>
      </c>
    </row>
    <row r="25" spans="1:216">
      <c r="A25">
        <v>9</v>
      </c>
      <c r="B25">
        <v>1595347609.1</v>
      </c>
      <c r="C25">
        <v>1033.09999990463</v>
      </c>
      <c r="D25" t="s">
        <v>368</v>
      </c>
      <c r="E25" t="s">
        <v>369</v>
      </c>
      <c r="F25">
        <v>5</v>
      </c>
      <c r="G25">
        <v>1595347601.1</v>
      </c>
      <c r="H25">
        <f>(I25)/1000</f>
        <v>0</v>
      </c>
      <c r="I25">
        <f>1000*DI25*AG25*(DE25-DF25)/(100*CX25*(1000-AG25*DE25))</f>
        <v>0</v>
      </c>
      <c r="J25">
        <f>DI25*AG25*(DD25-DC25*(1000-AG25*DF25)/(1000-AG25*DE25))/(100*CX25)</f>
        <v>0</v>
      </c>
      <c r="K25">
        <f>DC25 - IF(AG25&gt;1, J25*CX25*100.0/(AI25), 0)</f>
        <v>0</v>
      </c>
      <c r="L25">
        <f>((R25-H25/2)*K25-J25)/(R25+H25/2)</f>
        <v>0</v>
      </c>
      <c r="M25">
        <f>L25*(DJ25+DK25)/1000.0</f>
        <v>0</v>
      </c>
      <c r="N25">
        <f>(DC25 - IF(AG25&gt;1, J25*CX25*100.0/(AI25), 0))*(DJ25+DK25)/1000.0</f>
        <v>0</v>
      </c>
      <c r="O25">
        <f>2.0/((1/Q25-1/P25)+SIGN(Q25)*SQRT((1/Q25-1/P25)*(1/Q25-1/P25) + 4*CY25/((CY25+1)*(CY25+1))*(2*1/Q25*1/P25-1/P25*1/P25)))</f>
        <v>0</v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>0</v>
      </c>
      <c r="Q25">
        <f>H25*(1000-(1000*0.61365*exp(17.502*U25/(240.97+U25))/(DJ25+DK25)+DE25)/2)/(1000*0.61365*exp(17.502*U25/(240.97+U25))/(DJ25+DK25)-DE25)</f>
        <v>0</v>
      </c>
      <c r="R25">
        <f>1/((CY25+1)/(O25/1.6)+1/(P25/1.37)) + CY25/((CY25+1)/(O25/1.6) + CY25/(P25/1.37))</f>
        <v>0</v>
      </c>
      <c r="S25">
        <f>(CT25*CW25)</f>
        <v>0</v>
      </c>
      <c r="T25">
        <f>(DL25+(S25+2*0.95*5.67E-8*(((DL25+$B$7)+273)^4-(DL25+273)^4)-44100*H25)/(1.84*29.3*P25+8*0.95*5.67E-8*(DL25+273)^3))</f>
        <v>0</v>
      </c>
      <c r="U25">
        <f>($C$7*DM25+$D$7*DN25+$E$7*T25)</f>
        <v>0</v>
      </c>
      <c r="V25">
        <f>0.61365*exp(17.502*U25/(240.97+U25))</f>
        <v>0</v>
      </c>
      <c r="W25">
        <f>(X25/Y25*100)</f>
        <v>0</v>
      </c>
      <c r="X25">
        <f>DE25*(DJ25+DK25)/1000</f>
        <v>0</v>
      </c>
      <c r="Y25">
        <f>0.61365*exp(17.502*DL25/(240.97+DL25))</f>
        <v>0</v>
      </c>
      <c r="Z25">
        <f>(V25-DE25*(DJ25+DK25)/1000)</f>
        <v>0</v>
      </c>
      <c r="AA25">
        <f>(-H25*44100)</f>
        <v>0</v>
      </c>
      <c r="AB25">
        <f>2*29.3*P25*0.92*(DL25-U25)</f>
        <v>0</v>
      </c>
      <c r="AC25">
        <f>2*0.95*5.67E-8*(((DL25+$B$7)+273)^4-(U25+273)^4)</f>
        <v>0</v>
      </c>
      <c r="AD25">
        <f>S25+AC25+AA25+AB25</f>
        <v>0</v>
      </c>
      <c r="AE25">
        <v>0</v>
      </c>
      <c r="AF25">
        <v>0</v>
      </c>
      <c r="AG25">
        <f>IF(AE25*$H$13&gt;=AI25,1.0,(AI25/(AI25-AE25*$H$13)))</f>
        <v>0</v>
      </c>
      <c r="AH25">
        <f>(AG25-1)*100</f>
        <v>0</v>
      </c>
      <c r="AI25">
        <f>MAX(0,($B$13+$C$13*DQ25)/(1+$D$13*DQ25)*DJ25/(DL25+273)*$E$13)</f>
        <v>0</v>
      </c>
      <c r="AJ25" t="s">
        <v>342</v>
      </c>
      <c r="AK25" t="s">
        <v>342</v>
      </c>
      <c r="AL25">
        <v>0</v>
      </c>
      <c r="AM25">
        <v>0</v>
      </c>
      <c r="AN25">
        <f>1-AL25/AM25</f>
        <v>0</v>
      </c>
      <c r="AO25">
        <v>0</v>
      </c>
      <c r="AP25" t="s">
        <v>342</v>
      </c>
      <c r="AQ25" t="s">
        <v>342</v>
      </c>
      <c r="AR25">
        <v>0</v>
      </c>
      <c r="AS25">
        <v>0</v>
      </c>
      <c r="AT25">
        <f>1-AR25/AS25</f>
        <v>0</v>
      </c>
      <c r="AU25">
        <v>0.5</v>
      </c>
      <c r="AV25">
        <f>CU25</f>
        <v>0</v>
      </c>
      <c r="AW25">
        <f>J25</f>
        <v>0</v>
      </c>
      <c r="AX25">
        <f>AT25*AU25*AV25</f>
        <v>0</v>
      </c>
      <c r="AY25">
        <f>(AW25-AO25)/AV25</f>
        <v>0</v>
      </c>
      <c r="AZ25">
        <f>(AM25-AS25)/AS25</f>
        <v>0</v>
      </c>
      <c r="BA25">
        <f>AL25/(AN25+AL25/AS25)</f>
        <v>0</v>
      </c>
      <c r="BB25" t="s">
        <v>342</v>
      </c>
      <c r="BC25">
        <v>0</v>
      </c>
      <c r="BD25">
        <f>IF(BC25&lt;&gt;0, BC25, BA25)</f>
        <v>0</v>
      </c>
      <c r="BE25">
        <f>1-BD25/AS25</f>
        <v>0</v>
      </c>
      <c r="BF25">
        <f>(AS25-AR25)/(AS25-BD25)</f>
        <v>0</v>
      </c>
      <c r="BG25">
        <f>(AM25-AS25)/(AM25-BD25)</f>
        <v>0</v>
      </c>
      <c r="BH25">
        <f>(AS25-AR25)/(AS25-AL25)</f>
        <v>0</v>
      </c>
      <c r="BI25">
        <f>(AM25-AS25)/(AM25-AL25)</f>
        <v>0</v>
      </c>
      <c r="BJ25">
        <f>(BF25*BD25/AR25)</f>
        <v>0</v>
      </c>
      <c r="BK25">
        <f>(1-BJ25)</f>
        <v>0</v>
      </c>
      <c r="CT25">
        <f>$B$11*DR25+$C$11*DS25+$F$11*DT25*(1-DW25)</f>
        <v>0</v>
      </c>
      <c r="CU25">
        <f>CT25*CV25</f>
        <v>0</v>
      </c>
      <c r="CV25">
        <f>($B$11*$D$9+$C$11*$D$9+$F$11*((EG25+DY25)/MAX(EG25+DY25+EH25, 0.1)*$I$9+EH25/MAX(EG25+DY25+EH25, 0.1)*$J$9))/($B$11+$C$11+$F$11)</f>
        <v>0</v>
      </c>
      <c r="CW25">
        <f>($B$11*$K$9+$C$11*$K$9+$F$11*((EG25+DY25)/MAX(EG25+DY25+EH25, 0.1)*$P$9+EH25/MAX(EG25+DY25+EH25, 0.1)*$Q$9))/($B$11+$C$11+$F$11)</f>
        <v>0</v>
      </c>
      <c r="CX25">
        <v>2</v>
      </c>
      <c r="CY25">
        <v>0.5</v>
      </c>
      <c r="CZ25" t="s">
        <v>343</v>
      </c>
      <c r="DA25">
        <v>2</v>
      </c>
      <c r="DB25">
        <v>1595347601.1</v>
      </c>
      <c r="DC25">
        <v>985.341933333333</v>
      </c>
      <c r="DD25">
        <v>999.991133333333</v>
      </c>
      <c r="DE25">
        <v>17.4211533333333</v>
      </c>
      <c r="DF25">
        <v>16.3508933333333</v>
      </c>
      <c r="DG25">
        <v>984.0526</v>
      </c>
      <c r="DH25">
        <v>17.5227133333333</v>
      </c>
      <c r="DI25">
        <v>500.007866666667</v>
      </c>
      <c r="DJ25">
        <v>101.330466666667</v>
      </c>
      <c r="DK25">
        <v>0.0999893866666667</v>
      </c>
      <c r="DL25">
        <v>25.1662066666667</v>
      </c>
      <c r="DM25">
        <v>24.98818</v>
      </c>
      <c r="DN25">
        <v>999.9</v>
      </c>
      <c r="DO25">
        <v>0</v>
      </c>
      <c r="DP25">
        <v>0</v>
      </c>
      <c r="DQ25">
        <v>9991.74666666667</v>
      </c>
      <c r="DR25">
        <v>0</v>
      </c>
      <c r="DS25">
        <v>7.644</v>
      </c>
      <c r="DT25">
        <v>1499.962</v>
      </c>
      <c r="DU25">
        <v>0.973007</v>
      </c>
      <c r="DV25">
        <v>0.02699322</v>
      </c>
      <c r="DW25">
        <v>0</v>
      </c>
      <c r="DX25">
        <v>248.492733333333</v>
      </c>
      <c r="DY25">
        <v>4.99999</v>
      </c>
      <c r="DZ25">
        <v>3700.79866666667</v>
      </c>
      <c r="EA25">
        <v>14882.2333333333</v>
      </c>
      <c r="EB25">
        <v>36.7996</v>
      </c>
      <c r="EC25">
        <v>38.312</v>
      </c>
      <c r="ED25">
        <v>37.3832666666667</v>
      </c>
      <c r="EE25">
        <v>37.75</v>
      </c>
      <c r="EF25">
        <v>38.437</v>
      </c>
      <c r="EG25">
        <v>1454.612</v>
      </c>
      <c r="EH25">
        <v>40.35</v>
      </c>
      <c r="EI25">
        <v>0</v>
      </c>
      <c r="EJ25">
        <v>1792382955.3</v>
      </c>
      <c r="EK25">
        <v>0</v>
      </c>
      <c r="EL25">
        <v>248.64176</v>
      </c>
      <c r="EM25">
        <v>4.02092311185062</v>
      </c>
      <c r="EN25">
        <v>40.6230769847095</v>
      </c>
      <c r="EO25">
        <v>3701.3676</v>
      </c>
      <c r="EP25">
        <v>15</v>
      </c>
      <c r="EQ25">
        <v>1595347550.1</v>
      </c>
      <c r="ER25" t="s">
        <v>370</v>
      </c>
      <c r="ES25">
        <v>1595347548.1</v>
      </c>
      <c r="ET25">
        <v>1595347550.1</v>
      </c>
      <c r="EU25">
        <v>10</v>
      </c>
      <c r="EV25">
        <v>-0.067</v>
      </c>
      <c r="EW25">
        <v>-0.002</v>
      </c>
      <c r="EX25">
        <v>1.312</v>
      </c>
      <c r="EY25">
        <v>-0.102</v>
      </c>
      <c r="EZ25">
        <v>1000</v>
      </c>
      <c r="FA25">
        <v>16</v>
      </c>
      <c r="FB25">
        <v>0.13</v>
      </c>
      <c r="FC25">
        <v>0.05</v>
      </c>
      <c r="FD25">
        <v>33.9506398400143</v>
      </c>
      <c r="FE25">
        <v>0.393423412982534</v>
      </c>
      <c r="FF25">
        <v>0.154736416244111</v>
      </c>
      <c r="FG25">
        <v>1</v>
      </c>
      <c r="FH25">
        <v>-14.6531380952381</v>
      </c>
      <c r="FI25">
        <v>-0.0742909090909057</v>
      </c>
      <c r="FJ25">
        <v>0.0610476899932729</v>
      </c>
      <c r="FK25">
        <v>1</v>
      </c>
      <c r="FL25">
        <v>248.550882352941</v>
      </c>
      <c r="FM25">
        <v>0.078166552808072</v>
      </c>
      <c r="FN25">
        <v>0.495914767623836</v>
      </c>
      <c r="FO25">
        <v>1</v>
      </c>
      <c r="FP25">
        <v>3</v>
      </c>
      <c r="FQ25">
        <v>3</v>
      </c>
      <c r="FR25" t="s">
        <v>345</v>
      </c>
      <c r="FS25">
        <v>100</v>
      </c>
      <c r="FT25">
        <v>100</v>
      </c>
      <c r="FU25">
        <v>1.289</v>
      </c>
      <c r="FV25">
        <v>-0.1016</v>
      </c>
      <c r="FW25">
        <v>0.11332695642789</v>
      </c>
      <c r="FX25">
        <v>0.000862124167288959</v>
      </c>
      <c r="FY25">
        <v>3.40327538556632e-07</v>
      </c>
      <c r="FZ25">
        <v>-2.02263791882896e-12</v>
      </c>
      <c r="GA25">
        <v>-0.101560000000003</v>
      </c>
      <c r="GB25">
        <v>0</v>
      </c>
      <c r="GC25">
        <v>0</v>
      </c>
      <c r="GD25">
        <v>0</v>
      </c>
      <c r="GE25">
        <v>4</v>
      </c>
      <c r="GF25">
        <v>2115</v>
      </c>
      <c r="GG25">
        <v>-1</v>
      </c>
      <c r="GH25">
        <v>-1</v>
      </c>
      <c r="GI25">
        <v>1</v>
      </c>
      <c r="GJ25">
        <v>1</v>
      </c>
      <c r="GK25">
        <v>2.16431</v>
      </c>
      <c r="GL25">
        <v>2.62573</v>
      </c>
      <c r="GM25">
        <v>1.65161</v>
      </c>
      <c r="GN25">
        <v>2.27295</v>
      </c>
      <c r="GO25">
        <v>1.5979</v>
      </c>
      <c r="GP25">
        <v>2.46094</v>
      </c>
      <c r="GQ25">
        <v>33.5355</v>
      </c>
      <c r="GR25">
        <v>15.1827</v>
      </c>
      <c r="GS25">
        <v>18</v>
      </c>
      <c r="GT25">
        <v>504.125</v>
      </c>
      <c r="GU25">
        <v>547.597</v>
      </c>
      <c r="GV25">
        <v>21.734</v>
      </c>
      <c r="GW25">
        <v>28.9494</v>
      </c>
      <c r="GX25">
        <v>30</v>
      </c>
      <c r="GY25">
        <v>29.1833</v>
      </c>
      <c r="GZ25">
        <v>29.2473</v>
      </c>
      <c r="HA25">
        <v>43.2713</v>
      </c>
      <c r="HB25">
        <v>28.0015</v>
      </c>
      <c r="HC25">
        <v>37.0598</v>
      </c>
      <c r="HD25">
        <v>21.7383</v>
      </c>
      <c r="HE25">
        <v>1000</v>
      </c>
      <c r="HF25">
        <v>16.3689</v>
      </c>
      <c r="HG25">
        <v>98.0538</v>
      </c>
      <c r="HH25">
        <v>95.4584</v>
      </c>
    </row>
    <row r="26" spans="1:216">
      <c r="A26">
        <v>10</v>
      </c>
      <c r="B26">
        <v>1595347747.1</v>
      </c>
      <c r="C26">
        <v>1171.09999990463</v>
      </c>
      <c r="D26" t="s">
        <v>371</v>
      </c>
      <c r="E26" t="s">
        <v>372</v>
      </c>
      <c r="F26">
        <v>5</v>
      </c>
      <c r="G26">
        <v>1595347739.1</v>
      </c>
      <c r="H26">
        <f>(I26)/1000</f>
        <v>0</v>
      </c>
      <c r="I26">
        <f>1000*DI26*AG26*(DE26-DF26)/(100*CX26*(1000-AG26*DE26))</f>
        <v>0</v>
      </c>
      <c r="J26">
        <f>DI26*AG26*(DD26-DC26*(1000-AG26*DF26)/(1000-AG26*DE26))/(100*CX26)</f>
        <v>0</v>
      </c>
      <c r="K26">
        <f>DC26 - IF(AG26&gt;1, J26*CX26*100.0/(AI26), 0)</f>
        <v>0</v>
      </c>
      <c r="L26">
        <f>((R26-H26/2)*K26-J26)/(R26+H26/2)</f>
        <v>0</v>
      </c>
      <c r="M26">
        <f>L26*(DJ26+DK26)/1000.0</f>
        <v>0</v>
      </c>
      <c r="N26">
        <f>(DC26 - IF(AG26&gt;1, J26*CX26*100.0/(AI26), 0))*(DJ26+DK26)/1000.0</f>
        <v>0</v>
      </c>
      <c r="O26">
        <f>2.0/((1/Q26-1/P26)+SIGN(Q26)*SQRT((1/Q26-1/P26)*(1/Q26-1/P26) + 4*CY26/((CY26+1)*(CY26+1))*(2*1/Q26*1/P26-1/P26*1/P26)))</f>
        <v>0</v>
      </c>
      <c r="P26">
        <f>IF(LEFT(CZ26,1)&lt;&gt;"0",IF(LEFT(CZ26,1)="1",3.0,DA26),$D$5+$E$5*(DQ26*DJ26/($K$5*1000))+$F$5*(DQ26*DJ26/($K$5*1000))*MAX(MIN(CX26,$J$5),$I$5)*MAX(MIN(CX26,$J$5),$I$5)+$G$5*MAX(MIN(CX26,$J$5),$I$5)*(DQ26*DJ26/($K$5*1000))+$H$5*(DQ26*DJ26/($K$5*1000))*(DQ26*DJ26/($K$5*1000)))</f>
        <v>0</v>
      </c>
      <c r="Q26">
        <f>H26*(1000-(1000*0.61365*exp(17.502*U26/(240.97+U26))/(DJ26+DK26)+DE26)/2)/(1000*0.61365*exp(17.502*U26/(240.97+U26))/(DJ26+DK26)-DE26)</f>
        <v>0</v>
      </c>
      <c r="R26">
        <f>1/((CY26+1)/(O26/1.6)+1/(P26/1.37)) + CY26/((CY26+1)/(O26/1.6) + CY26/(P26/1.37))</f>
        <v>0</v>
      </c>
      <c r="S26">
        <f>(CT26*CW26)</f>
        <v>0</v>
      </c>
      <c r="T26">
        <f>(DL26+(S26+2*0.95*5.67E-8*(((DL26+$B$7)+273)^4-(DL26+273)^4)-44100*H26)/(1.84*29.3*P26+8*0.95*5.67E-8*(DL26+273)^3))</f>
        <v>0</v>
      </c>
      <c r="U26">
        <f>($C$7*DM26+$D$7*DN26+$E$7*T26)</f>
        <v>0</v>
      </c>
      <c r="V26">
        <f>0.61365*exp(17.502*U26/(240.97+U26))</f>
        <v>0</v>
      </c>
      <c r="W26">
        <f>(X26/Y26*100)</f>
        <v>0</v>
      </c>
      <c r="X26">
        <f>DE26*(DJ26+DK26)/1000</f>
        <v>0</v>
      </c>
      <c r="Y26">
        <f>0.61365*exp(17.502*DL26/(240.97+DL26))</f>
        <v>0</v>
      </c>
      <c r="Z26">
        <f>(V26-DE26*(DJ26+DK26)/1000)</f>
        <v>0</v>
      </c>
      <c r="AA26">
        <f>(-H26*44100)</f>
        <v>0</v>
      </c>
      <c r="AB26">
        <f>2*29.3*P26*0.92*(DL26-U26)</f>
        <v>0</v>
      </c>
      <c r="AC26">
        <f>2*0.95*5.67E-8*(((DL26+$B$7)+273)^4-(U26+273)^4)</f>
        <v>0</v>
      </c>
      <c r="AD26">
        <f>S26+AC26+AA26+AB26</f>
        <v>0</v>
      </c>
      <c r="AE26">
        <v>0</v>
      </c>
      <c r="AF26">
        <v>0</v>
      </c>
      <c r="AG26">
        <f>IF(AE26*$H$13&gt;=AI26,1.0,(AI26/(AI26-AE26*$H$13)))</f>
        <v>0</v>
      </c>
      <c r="AH26">
        <f>(AG26-1)*100</f>
        <v>0</v>
      </c>
      <c r="AI26">
        <f>MAX(0,($B$13+$C$13*DQ26)/(1+$D$13*DQ26)*DJ26/(DL26+273)*$E$13)</f>
        <v>0</v>
      </c>
      <c r="AJ26" t="s">
        <v>342</v>
      </c>
      <c r="AK26" t="s">
        <v>342</v>
      </c>
      <c r="AL26">
        <v>0</v>
      </c>
      <c r="AM26">
        <v>0</v>
      </c>
      <c r="AN26">
        <f>1-AL26/AM26</f>
        <v>0</v>
      </c>
      <c r="AO26">
        <v>0</v>
      </c>
      <c r="AP26" t="s">
        <v>342</v>
      </c>
      <c r="AQ26" t="s">
        <v>342</v>
      </c>
      <c r="AR26">
        <v>0</v>
      </c>
      <c r="AS26">
        <v>0</v>
      </c>
      <c r="AT26">
        <f>1-AR26/AS26</f>
        <v>0</v>
      </c>
      <c r="AU26">
        <v>0.5</v>
      </c>
      <c r="AV26">
        <f>CU26</f>
        <v>0</v>
      </c>
      <c r="AW26">
        <f>J26</f>
        <v>0</v>
      </c>
      <c r="AX26">
        <f>AT26*AU26*AV26</f>
        <v>0</v>
      </c>
      <c r="AY26">
        <f>(AW26-AO26)/AV26</f>
        <v>0</v>
      </c>
      <c r="AZ26">
        <f>(AM26-AS26)/AS26</f>
        <v>0</v>
      </c>
      <c r="BA26">
        <f>AL26/(AN26+AL26/AS26)</f>
        <v>0</v>
      </c>
      <c r="BB26" t="s">
        <v>342</v>
      </c>
      <c r="BC26">
        <v>0</v>
      </c>
      <c r="BD26">
        <f>IF(BC26&lt;&gt;0, BC26, BA26)</f>
        <v>0</v>
      </c>
      <c r="BE26">
        <f>1-BD26/AS26</f>
        <v>0</v>
      </c>
      <c r="BF26">
        <f>(AS26-AR26)/(AS26-BD26)</f>
        <v>0</v>
      </c>
      <c r="BG26">
        <f>(AM26-AS26)/(AM26-BD26)</f>
        <v>0</v>
      </c>
      <c r="BH26">
        <f>(AS26-AR26)/(AS26-AL26)</f>
        <v>0</v>
      </c>
      <c r="BI26">
        <f>(AM26-AS26)/(AM26-AL26)</f>
        <v>0</v>
      </c>
      <c r="BJ26">
        <f>(BF26*BD26/AR26)</f>
        <v>0</v>
      </c>
      <c r="BK26">
        <f>(1-BJ26)</f>
        <v>0</v>
      </c>
      <c r="CT26">
        <f>$B$11*DR26+$C$11*DS26+$F$11*DT26*(1-DW26)</f>
        <v>0</v>
      </c>
      <c r="CU26">
        <f>CT26*CV26</f>
        <v>0</v>
      </c>
      <c r="CV26">
        <f>($B$11*$D$9+$C$11*$D$9+$F$11*((EG26+DY26)/MAX(EG26+DY26+EH26, 0.1)*$I$9+EH26/MAX(EG26+DY26+EH26, 0.1)*$J$9))/($B$11+$C$11+$F$11)</f>
        <v>0</v>
      </c>
      <c r="CW26">
        <f>($B$11*$K$9+$C$11*$K$9+$F$11*((EG26+DY26)/MAX(EG26+DY26+EH26, 0.1)*$P$9+EH26/MAX(EG26+DY26+EH26, 0.1)*$Q$9))/($B$11+$C$11+$F$11)</f>
        <v>0</v>
      </c>
      <c r="CX26">
        <v>2</v>
      </c>
      <c r="CY26">
        <v>0.5</v>
      </c>
      <c r="CZ26" t="s">
        <v>343</v>
      </c>
      <c r="DA26">
        <v>2</v>
      </c>
      <c r="DB26">
        <v>1595347739.1</v>
      </c>
      <c r="DC26">
        <v>1184.02333333333</v>
      </c>
      <c r="DD26">
        <v>1200.01533333333</v>
      </c>
      <c r="DE26">
        <v>17.4434466666667</v>
      </c>
      <c r="DF26">
        <v>16.4360533333333</v>
      </c>
      <c r="DG26">
        <v>1182.41</v>
      </c>
      <c r="DH26">
        <v>17.5462666666667</v>
      </c>
      <c r="DI26">
        <v>499.977866666667</v>
      </c>
      <c r="DJ26">
        <v>101.324466666667</v>
      </c>
      <c r="DK26">
        <v>0.09991742</v>
      </c>
      <c r="DL26">
        <v>25.1696666666667</v>
      </c>
      <c r="DM26">
        <v>24.9858266666667</v>
      </c>
      <c r="DN26">
        <v>999.9</v>
      </c>
      <c r="DO26">
        <v>0</v>
      </c>
      <c r="DP26">
        <v>0</v>
      </c>
      <c r="DQ26">
        <v>10003.4233333333</v>
      </c>
      <c r="DR26">
        <v>0</v>
      </c>
      <c r="DS26">
        <v>7.75637066666667</v>
      </c>
      <c r="DT26">
        <v>1500.02266666667</v>
      </c>
      <c r="DU26">
        <v>0.973006333333334</v>
      </c>
      <c r="DV26">
        <v>0.0269939133333333</v>
      </c>
      <c r="DW26">
        <v>0</v>
      </c>
      <c r="DX26">
        <v>249.362333333333</v>
      </c>
      <c r="DY26">
        <v>4.99999</v>
      </c>
      <c r="DZ26">
        <v>3707.782</v>
      </c>
      <c r="EA26">
        <v>14882.8333333333</v>
      </c>
      <c r="EB26">
        <v>36.5662</v>
      </c>
      <c r="EC26">
        <v>38.125</v>
      </c>
      <c r="ED26">
        <v>37.1787333333333</v>
      </c>
      <c r="EE26">
        <v>37.562</v>
      </c>
      <c r="EF26">
        <v>38.2248</v>
      </c>
      <c r="EG26">
        <v>1454.66266666667</v>
      </c>
      <c r="EH26">
        <v>40.36</v>
      </c>
      <c r="EI26">
        <v>0</v>
      </c>
      <c r="EJ26">
        <v>1792383093.3</v>
      </c>
      <c r="EK26">
        <v>0</v>
      </c>
      <c r="EL26">
        <v>249.29684</v>
      </c>
      <c r="EM26">
        <v>-0.0222307857069446</v>
      </c>
      <c r="EN26">
        <v>3.27307691663299</v>
      </c>
      <c r="EO26">
        <v>3707.8088</v>
      </c>
      <c r="EP26">
        <v>15</v>
      </c>
      <c r="EQ26">
        <v>1595347684.1</v>
      </c>
      <c r="ER26" t="s">
        <v>373</v>
      </c>
      <c r="ES26">
        <v>1595347684.1</v>
      </c>
      <c r="ET26">
        <v>1595347664.1</v>
      </c>
      <c r="EU26">
        <v>11</v>
      </c>
      <c r="EV26">
        <v>0.01</v>
      </c>
      <c r="EW26">
        <v>-0.001</v>
      </c>
      <c r="EX26">
        <v>1.642</v>
      </c>
      <c r="EY26">
        <v>-0.103</v>
      </c>
      <c r="EZ26">
        <v>1200</v>
      </c>
      <c r="FA26">
        <v>16</v>
      </c>
      <c r="FB26">
        <v>0.08</v>
      </c>
      <c r="FC26">
        <v>0.05</v>
      </c>
      <c r="FD26">
        <v>36.8845037361997</v>
      </c>
      <c r="FE26">
        <v>0.476458573641143</v>
      </c>
      <c r="FF26">
        <v>0.193312009578632</v>
      </c>
      <c r="FG26">
        <v>1</v>
      </c>
      <c r="FH26">
        <v>-15.9682333333333</v>
      </c>
      <c r="FI26">
        <v>-0.143805194805201</v>
      </c>
      <c r="FJ26">
        <v>0.074939666737941</v>
      </c>
      <c r="FK26">
        <v>1</v>
      </c>
      <c r="FL26">
        <v>249.259205882353</v>
      </c>
      <c r="FM26">
        <v>0.0666310139843409</v>
      </c>
      <c r="FN26">
        <v>0.387062525684063</v>
      </c>
      <c r="FO26">
        <v>1</v>
      </c>
      <c r="FP26">
        <v>3</v>
      </c>
      <c r="FQ26">
        <v>3</v>
      </c>
      <c r="FR26" t="s">
        <v>345</v>
      </c>
      <c r="FS26">
        <v>100</v>
      </c>
      <c r="FT26">
        <v>100</v>
      </c>
      <c r="FU26">
        <v>1.61</v>
      </c>
      <c r="FV26">
        <v>-0.1028</v>
      </c>
      <c r="FW26">
        <v>0.123218727683454</v>
      </c>
      <c r="FX26">
        <v>0.000862124167288959</v>
      </c>
      <c r="FY26">
        <v>3.40327538556632e-07</v>
      </c>
      <c r="FZ26">
        <v>-2.02263791882896e-12</v>
      </c>
      <c r="GA26">
        <v>-0.102819999999998</v>
      </c>
      <c r="GB26">
        <v>0</v>
      </c>
      <c r="GC26">
        <v>0</v>
      </c>
      <c r="GD26">
        <v>0</v>
      </c>
      <c r="GE26">
        <v>4</v>
      </c>
      <c r="GF26">
        <v>2115</v>
      </c>
      <c r="GG26">
        <v>-1</v>
      </c>
      <c r="GH26">
        <v>-1</v>
      </c>
      <c r="GI26">
        <v>1.1</v>
      </c>
      <c r="GJ26">
        <v>1.4</v>
      </c>
      <c r="GK26">
        <v>2.51099</v>
      </c>
      <c r="GL26">
        <v>2.61963</v>
      </c>
      <c r="GM26">
        <v>1.65161</v>
      </c>
      <c r="GN26">
        <v>2.27295</v>
      </c>
      <c r="GO26">
        <v>1.5979</v>
      </c>
      <c r="GP26">
        <v>2.61475</v>
      </c>
      <c r="GQ26">
        <v>33.558</v>
      </c>
      <c r="GR26">
        <v>15.1652</v>
      </c>
      <c r="GS26">
        <v>18</v>
      </c>
      <c r="GT26">
        <v>504.151</v>
      </c>
      <c r="GU26">
        <v>547.731</v>
      </c>
      <c r="GV26">
        <v>21.7479</v>
      </c>
      <c r="GW26">
        <v>28.9493</v>
      </c>
      <c r="GX26">
        <v>30</v>
      </c>
      <c r="GY26">
        <v>29.1733</v>
      </c>
      <c r="GZ26">
        <v>29.2373</v>
      </c>
      <c r="HA26">
        <v>50.1905</v>
      </c>
      <c r="HB26">
        <v>27.53</v>
      </c>
      <c r="HC26">
        <v>36.3183</v>
      </c>
      <c r="HD26">
        <v>21.7589</v>
      </c>
      <c r="HE26">
        <v>1200</v>
      </c>
      <c r="HF26">
        <v>16.3969</v>
      </c>
      <c r="HG26">
        <v>98.0521</v>
      </c>
      <c r="HH26">
        <v>95.4585</v>
      </c>
    </row>
    <row r="27" spans="1:216">
      <c r="A27">
        <v>11</v>
      </c>
      <c r="B27">
        <v>1595347889.1</v>
      </c>
      <c r="C27">
        <v>1313.09999990463</v>
      </c>
      <c r="D27" t="s">
        <v>374</v>
      </c>
      <c r="E27" t="s">
        <v>375</v>
      </c>
      <c r="F27">
        <v>5</v>
      </c>
      <c r="G27">
        <v>1595347881.1</v>
      </c>
      <c r="H27">
        <f>(I27)/1000</f>
        <v>0</v>
      </c>
      <c r="I27">
        <f>1000*DI27*AG27*(DE27-DF27)/(100*CX27*(1000-AG27*DE27))</f>
        <v>0</v>
      </c>
      <c r="J27">
        <f>DI27*AG27*(DD27-DC27*(1000-AG27*DF27)/(1000-AG27*DE27))/(100*CX27)</f>
        <v>0</v>
      </c>
      <c r="K27">
        <f>DC27 - IF(AG27&gt;1, J27*CX27*100.0/(AI27), 0)</f>
        <v>0</v>
      </c>
      <c r="L27">
        <f>((R27-H27/2)*K27-J27)/(R27+H27/2)</f>
        <v>0</v>
      </c>
      <c r="M27">
        <f>L27*(DJ27+DK27)/1000.0</f>
        <v>0</v>
      </c>
      <c r="N27">
        <f>(DC27 - IF(AG27&gt;1, J27*CX27*100.0/(AI27), 0))*(DJ27+DK27)/1000.0</f>
        <v>0</v>
      </c>
      <c r="O27">
        <f>2.0/((1/Q27-1/P27)+SIGN(Q27)*SQRT((1/Q27-1/P27)*(1/Q27-1/P27) + 4*CY27/((CY27+1)*(CY27+1))*(2*1/Q27*1/P27-1/P27*1/P27)))</f>
        <v>0</v>
      </c>
      <c r="P27">
        <f>IF(LEFT(CZ27,1)&lt;&gt;"0",IF(LEFT(CZ27,1)="1",3.0,DA27),$D$5+$E$5*(DQ27*DJ27/($K$5*1000))+$F$5*(DQ27*DJ27/($K$5*1000))*MAX(MIN(CX27,$J$5),$I$5)*MAX(MIN(CX27,$J$5),$I$5)+$G$5*MAX(MIN(CX27,$J$5),$I$5)*(DQ27*DJ27/($K$5*1000))+$H$5*(DQ27*DJ27/($K$5*1000))*(DQ27*DJ27/($K$5*1000)))</f>
        <v>0</v>
      </c>
      <c r="Q27">
        <f>H27*(1000-(1000*0.61365*exp(17.502*U27/(240.97+U27))/(DJ27+DK27)+DE27)/2)/(1000*0.61365*exp(17.502*U27/(240.97+U27))/(DJ27+DK27)-DE27)</f>
        <v>0</v>
      </c>
      <c r="R27">
        <f>1/((CY27+1)/(O27/1.6)+1/(P27/1.37)) + CY27/((CY27+1)/(O27/1.6) + CY27/(P27/1.37))</f>
        <v>0</v>
      </c>
      <c r="S27">
        <f>(CT27*CW27)</f>
        <v>0</v>
      </c>
      <c r="T27">
        <f>(DL27+(S27+2*0.95*5.67E-8*(((DL27+$B$7)+273)^4-(DL27+273)^4)-44100*H27)/(1.84*29.3*P27+8*0.95*5.67E-8*(DL27+273)^3))</f>
        <v>0</v>
      </c>
      <c r="U27">
        <f>($C$7*DM27+$D$7*DN27+$E$7*T27)</f>
        <v>0</v>
      </c>
      <c r="V27">
        <f>0.61365*exp(17.502*U27/(240.97+U27))</f>
        <v>0</v>
      </c>
      <c r="W27">
        <f>(X27/Y27*100)</f>
        <v>0</v>
      </c>
      <c r="X27">
        <f>DE27*(DJ27+DK27)/1000</f>
        <v>0</v>
      </c>
      <c r="Y27">
        <f>0.61365*exp(17.502*DL27/(240.97+DL27))</f>
        <v>0</v>
      </c>
      <c r="Z27">
        <f>(V27-DE27*(DJ27+DK27)/1000)</f>
        <v>0</v>
      </c>
      <c r="AA27">
        <f>(-H27*44100)</f>
        <v>0</v>
      </c>
      <c r="AB27">
        <f>2*29.3*P27*0.92*(DL27-U27)</f>
        <v>0</v>
      </c>
      <c r="AC27">
        <f>2*0.95*5.67E-8*(((DL27+$B$7)+273)^4-(U27+273)^4)</f>
        <v>0</v>
      </c>
      <c r="AD27">
        <f>S27+AC27+AA27+AB27</f>
        <v>0</v>
      </c>
      <c r="AE27">
        <v>0</v>
      </c>
      <c r="AF27">
        <v>0</v>
      </c>
      <c r="AG27">
        <f>IF(AE27*$H$13&gt;=AI27,1.0,(AI27/(AI27-AE27*$H$13)))</f>
        <v>0</v>
      </c>
      <c r="AH27">
        <f>(AG27-1)*100</f>
        <v>0</v>
      </c>
      <c r="AI27">
        <f>MAX(0,($B$13+$C$13*DQ27)/(1+$D$13*DQ27)*DJ27/(DL27+273)*$E$13)</f>
        <v>0</v>
      </c>
      <c r="AJ27" t="s">
        <v>342</v>
      </c>
      <c r="AK27" t="s">
        <v>342</v>
      </c>
      <c r="AL27">
        <v>0</v>
      </c>
      <c r="AM27">
        <v>0</v>
      </c>
      <c r="AN27">
        <f>1-AL27/AM27</f>
        <v>0</v>
      </c>
      <c r="AO27">
        <v>0</v>
      </c>
      <c r="AP27" t="s">
        <v>342</v>
      </c>
      <c r="AQ27" t="s">
        <v>342</v>
      </c>
      <c r="AR27">
        <v>0</v>
      </c>
      <c r="AS27">
        <v>0</v>
      </c>
      <c r="AT27">
        <f>1-AR27/AS27</f>
        <v>0</v>
      </c>
      <c r="AU27">
        <v>0.5</v>
      </c>
      <c r="AV27">
        <f>CU27</f>
        <v>0</v>
      </c>
      <c r="AW27">
        <f>J27</f>
        <v>0</v>
      </c>
      <c r="AX27">
        <f>AT27*AU27*AV27</f>
        <v>0</v>
      </c>
      <c r="AY27">
        <f>(AW27-AO27)/AV27</f>
        <v>0</v>
      </c>
      <c r="AZ27">
        <f>(AM27-AS27)/AS27</f>
        <v>0</v>
      </c>
      <c r="BA27">
        <f>AL27/(AN27+AL27/AS27)</f>
        <v>0</v>
      </c>
      <c r="BB27" t="s">
        <v>342</v>
      </c>
      <c r="BC27">
        <v>0</v>
      </c>
      <c r="BD27">
        <f>IF(BC27&lt;&gt;0, BC27, BA27)</f>
        <v>0</v>
      </c>
      <c r="BE27">
        <f>1-BD27/AS27</f>
        <v>0</v>
      </c>
      <c r="BF27">
        <f>(AS27-AR27)/(AS27-BD27)</f>
        <v>0</v>
      </c>
      <c r="BG27">
        <f>(AM27-AS27)/(AM27-BD27)</f>
        <v>0</v>
      </c>
      <c r="BH27">
        <f>(AS27-AR27)/(AS27-AL27)</f>
        <v>0</v>
      </c>
      <c r="BI27">
        <f>(AM27-AS27)/(AM27-AL27)</f>
        <v>0</v>
      </c>
      <c r="BJ27">
        <f>(BF27*BD27/AR27)</f>
        <v>0</v>
      </c>
      <c r="BK27">
        <f>(1-BJ27)</f>
        <v>0</v>
      </c>
      <c r="CT27">
        <f>$B$11*DR27+$C$11*DS27+$F$11*DT27*(1-DW27)</f>
        <v>0</v>
      </c>
      <c r="CU27">
        <f>CT27*CV27</f>
        <v>0</v>
      </c>
      <c r="CV27">
        <f>($B$11*$D$9+$C$11*$D$9+$F$11*((EG27+DY27)/MAX(EG27+DY27+EH27, 0.1)*$I$9+EH27/MAX(EG27+DY27+EH27, 0.1)*$J$9))/($B$11+$C$11+$F$11)</f>
        <v>0</v>
      </c>
      <c r="CW27">
        <f>($B$11*$K$9+$C$11*$K$9+$F$11*((EG27+DY27)/MAX(EG27+DY27+EH27, 0.1)*$P$9+EH27/MAX(EG27+DY27+EH27, 0.1)*$Q$9))/($B$11+$C$11+$F$11)</f>
        <v>0</v>
      </c>
      <c r="CX27">
        <v>2</v>
      </c>
      <c r="CY27">
        <v>0.5</v>
      </c>
      <c r="CZ27" t="s">
        <v>343</v>
      </c>
      <c r="DA27">
        <v>2</v>
      </c>
      <c r="DB27">
        <v>1595347881.1</v>
      </c>
      <c r="DC27">
        <v>1483.03666666667</v>
      </c>
      <c r="DD27">
        <v>1499.996</v>
      </c>
      <c r="DE27">
        <v>17.4175133333333</v>
      </c>
      <c r="DF27">
        <v>16.4823133333333</v>
      </c>
      <c r="DG27">
        <v>1480.844</v>
      </c>
      <c r="DH27">
        <v>17.5198533333333</v>
      </c>
      <c r="DI27">
        <v>500.024666666667</v>
      </c>
      <c r="DJ27">
        <v>101.3296</v>
      </c>
      <c r="DK27">
        <v>0.10006874</v>
      </c>
      <c r="DL27">
        <v>25.1906133333333</v>
      </c>
      <c r="DM27">
        <v>24.9953466666667</v>
      </c>
      <c r="DN27">
        <v>999.9</v>
      </c>
      <c r="DO27">
        <v>0</v>
      </c>
      <c r="DP27">
        <v>0</v>
      </c>
      <c r="DQ27">
        <v>9995.70666666667</v>
      </c>
      <c r="DR27">
        <v>0</v>
      </c>
      <c r="DS27">
        <v>7.734722</v>
      </c>
      <c r="DT27">
        <v>1500.00266666667</v>
      </c>
      <c r="DU27">
        <v>0.973004666666667</v>
      </c>
      <c r="DV27">
        <v>0.02699564</v>
      </c>
      <c r="DW27">
        <v>0</v>
      </c>
      <c r="DX27">
        <v>248.598066666667</v>
      </c>
      <c r="DY27">
        <v>4.99999</v>
      </c>
      <c r="DZ27">
        <v>3699.178</v>
      </c>
      <c r="EA27">
        <v>14882.6266666667</v>
      </c>
      <c r="EB27">
        <v>36.4080666666667</v>
      </c>
      <c r="EC27">
        <v>37.9706</v>
      </c>
      <c r="ED27">
        <v>37</v>
      </c>
      <c r="EE27">
        <v>37.437</v>
      </c>
      <c r="EF27">
        <v>38.062</v>
      </c>
      <c r="EG27">
        <v>1454.64266666667</v>
      </c>
      <c r="EH27">
        <v>40.36</v>
      </c>
      <c r="EI27">
        <v>0</v>
      </c>
      <c r="EJ27">
        <v>1792383234.9</v>
      </c>
      <c r="EK27">
        <v>0</v>
      </c>
      <c r="EL27">
        <v>248.65148</v>
      </c>
      <c r="EM27">
        <v>-0.440615379031077</v>
      </c>
      <c r="EN27">
        <v>-15.4076922733756</v>
      </c>
      <c r="EO27">
        <v>3699.0084</v>
      </c>
      <c r="EP27">
        <v>15</v>
      </c>
      <c r="EQ27">
        <v>1595347812.1</v>
      </c>
      <c r="ER27" t="s">
        <v>376</v>
      </c>
      <c r="ES27">
        <v>1595347812.1</v>
      </c>
      <c r="ET27">
        <v>1595347803.1</v>
      </c>
      <c r="EU27">
        <v>12</v>
      </c>
      <c r="EV27">
        <v>0.052</v>
      </c>
      <c r="EW27">
        <v>0</v>
      </c>
      <c r="EX27">
        <v>2.225</v>
      </c>
      <c r="EY27">
        <v>-0.102</v>
      </c>
      <c r="EZ27">
        <v>1500</v>
      </c>
      <c r="FA27">
        <v>16</v>
      </c>
      <c r="FB27">
        <v>0.2</v>
      </c>
      <c r="FC27">
        <v>0.07</v>
      </c>
      <c r="FD27">
        <v>38.8782490595537</v>
      </c>
      <c r="FE27">
        <v>0.40262402417208</v>
      </c>
      <c r="FF27">
        <v>0.242007972792185</v>
      </c>
      <c r="FG27">
        <v>1</v>
      </c>
      <c r="FH27">
        <v>-16.9687666666667</v>
      </c>
      <c r="FI27">
        <v>0.0121168831168838</v>
      </c>
      <c r="FJ27">
        <v>0.0997326441916603</v>
      </c>
      <c r="FK27">
        <v>1</v>
      </c>
      <c r="FL27">
        <v>248.668205882353</v>
      </c>
      <c r="FM27">
        <v>-0.629992362913181</v>
      </c>
      <c r="FN27">
        <v>0.367817152417418</v>
      </c>
      <c r="FO27">
        <v>1</v>
      </c>
      <c r="FP27">
        <v>3</v>
      </c>
      <c r="FQ27">
        <v>3</v>
      </c>
      <c r="FR27" t="s">
        <v>345</v>
      </c>
      <c r="FS27">
        <v>100</v>
      </c>
      <c r="FT27">
        <v>100</v>
      </c>
      <c r="FU27">
        <v>2.19</v>
      </c>
      <c r="FV27">
        <v>-0.1023</v>
      </c>
      <c r="FW27">
        <v>0.176950961375019</v>
      </c>
      <c r="FX27">
        <v>0.000862124167288959</v>
      </c>
      <c r="FY27">
        <v>3.40327538556632e-07</v>
      </c>
      <c r="FZ27">
        <v>-2.02263791882896e-12</v>
      </c>
      <c r="GA27">
        <v>-0.102350000000001</v>
      </c>
      <c r="GB27">
        <v>0</v>
      </c>
      <c r="GC27">
        <v>0</v>
      </c>
      <c r="GD27">
        <v>0</v>
      </c>
      <c r="GE27">
        <v>4</v>
      </c>
      <c r="GF27">
        <v>2115</v>
      </c>
      <c r="GG27">
        <v>-1</v>
      </c>
      <c r="GH27">
        <v>-1</v>
      </c>
      <c r="GI27">
        <v>1.3</v>
      </c>
      <c r="GJ27">
        <v>1.4</v>
      </c>
      <c r="GK27">
        <v>3.01147</v>
      </c>
      <c r="GL27">
        <v>2.61719</v>
      </c>
      <c r="GM27">
        <v>1.65161</v>
      </c>
      <c r="GN27">
        <v>2.27295</v>
      </c>
      <c r="GO27">
        <v>1.5979</v>
      </c>
      <c r="GP27">
        <v>2.48779</v>
      </c>
      <c r="GQ27">
        <v>33.6029</v>
      </c>
      <c r="GR27">
        <v>15.1302</v>
      </c>
      <c r="GS27">
        <v>18</v>
      </c>
      <c r="GT27">
        <v>504.132</v>
      </c>
      <c r="GU27">
        <v>548.296</v>
      </c>
      <c r="GV27">
        <v>21.8444</v>
      </c>
      <c r="GW27">
        <v>28.9518</v>
      </c>
      <c r="GX27">
        <v>30</v>
      </c>
      <c r="GY27">
        <v>29.1691</v>
      </c>
      <c r="GZ27">
        <v>29.2323</v>
      </c>
      <c r="HA27">
        <v>60.1902</v>
      </c>
      <c r="HB27">
        <v>26.9015</v>
      </c>
      <c r="HC27">
        <v>35.9474</v>
      </c>
      <c r="HD27">
        <v>21.8494</v>
      </c>
      <c r="HE27">
        <v>1500</v>
      </c>
      <c r="HF27">
        <v>16.4785</v>
      </c>
      <c r="HG27">
        <v>98.0534</v>
      </c>
      <c r="HH27">
        <v>95.4565</v>
      </c>
    </row>
    <row r="28" spans="1:216">
      <c r="A28">
        <v>12</v>
      </c>
      <c r="B28">
        <v>1595348010.1</v>
      </c>
      <c r="C28">
        <v>1434.09999990463</v>
      </c>
      <c r="D28" t="s">
        <v>377</v>
      </c>
      <c r="E28" t="s">
        <v>378</v>
      </c>
      <c r="F28">
        <v>5</v>
      </c>
      <c r="G28">
        <v>1595348002.1</v>
      </c>
      <c r="H28">
        <f>(I28)/1000</f>
        <v>0</v>
      </c>
      <c r="I28">
        <f>1000*DI28*AG28*(DE28-DF28)/(100*CX28*(1000-AG28*DE28))</f>
        <v>0</v>
      </c>
      <c r="J28">
        <f>DI28*AG28*(DD28-DC28*(1000-AG28*DF28)/(1000-AG28*DE28))/(100*CX28)</f>
        <v>0</v>
      </c>
      <c r="K28">
        <f>DC28 - IF(AG28&gt;1, J28*CX28*100.0/(AI28), 0)</f>
        <v>0</v>
      </c>
      <c r="L28">
        <f>((R28-H28/2)*K28-J28)/(R28+H28/2)</f>
        <v>0</v>
      </c>
      <c r="M28">
        <f>L28*(DJ28+DK28)/1000.0</f>
        <v>0</v>
      </c>
      <c r="N28">
        <f>(DC28 - IF(AG28&gt;1, J28*CX28*100.0/(AI28), 0))*(DJ28+DK28)/1000.0</f>
        <v>0</v>
      </c>
      <c r="O28">
        <f>2.0/((1/Q28-1/P28)+SIGN(Q28)*SQRT((1/Q28-1/P28)*(1/Q28-1/P28) + 4*CY28/((CY28+1)*(CY28+1))*(2*1/Q28*1/P28-1/P28*1/P28)))</f>
        <v>0</v>
      </c>
      <c r="P28">
        <f>IF(LEFT(CZ28,1)&lt;&gt;"0",IF(LEFT(CZ28,1)="1",3.0,DA28),$D$5+$E$5*(DQ28*DJ28/($K$5*1000))+$F$5*(DQ28*DJ28/($K$5*1000))*MAX(MIN(CX28,$J$5),$I$5)*MAX(MIN(CX28,$J$5),$I$5)+$G$5*MAX(MIN(CX28,$J$5),$I$5)*(DQ28*DJ28/($K$5*1000))+$H$5*(DQ28*DJ28/($K$5*1000))*(DQ28*DJ28/($K$5*1000)))</f>
        <v>0</v>
      </c>
      <c r="Q28">
        <f>H28*(1000-(1000*0.61365*exp(17.502*U28/(240.97+U28))/(DJ28+DK28)+DE28)/2)/(1000*0.61365*exp(17.502*U28/(240.97+U28))/(DJ28+DK28)-DE28)</f>
        <v>0</v>
      </c>
      <c r="R28">
        <f>1/((CY28+1)/(O28/1.6)+1/(P28/1.37)) + CY28/((CY28+1)/(O28/1.6) + CY28/(P28/1.37))</f>
        <v>0</v>
      </c>
      <c r="S28">
        <f>(CT28*CW28)</f>
        <v>0</v>
      </c>
      <c r="T28">
        <f>(DL28+(S28+2*0.95*5.67E-8*(((DL28+$B$7)+273)^4-(DL28+273)^4)-44100*H28)/(1.84*29.3*P28+8*0.95*5.67E-8*(DL28+273)^3))</f>
        <v>0</v>
      </c>
      <c r="U28">
        <f>($C$7*DM28+$D$7*DN28+$E$7*T28)</f>
        <v>0</v>
      </c>
      <c r="V28">
        <f>0.61365*exp(17.502*U28/(240.97+U28))</f>
        <v>0</v>
      </c>
      <c r="W28">
        <f>(X28/Y28*100)</f>
        <v>0</v>
      </c>
      <c r="X28">
        <f>DE28*(DJ28+DK28)/1000</f>
        <v>0</v>
      </c>
      <c r="Y28">
        <f>0.61365*exp(17.502*DL28/(240.97+DL28))</f>
        <v>0</v>
      </c>
      <c r="Z28">
        <f>(V28-DE28*(DJ28+DK28)/1000)</f>
        <v>0</v>
      </c>
      <c r="AA28">
        <f>(-H28*44100)</f>
        <v>0</v>
      </c>
      <c r="AB28">
        <f>2*29.3*P28*0.92*(DL28-U28)</f>
        <v>0</v>
      </c>
      <c r="AC28">
        <f>2*0.95*5.67E-8*(((DL28+$B$7)+273)^4-(U28+273)^4)</f>
        <v>0</v>
      </c>
      <c r="AD28">
        <f>S28+AC28+AA28+AB28</f>
        <v>0</v>
      </c>
      <c r="AE28">
        <v>0</v>
      </c>
      <c r="AF28">
        <v>0</v>
      </c>
      <c r="AG28">
        <f>IF(AE28*$H$13&gt;=AI28,1.0,(AI28/(AI28-AE28*$H$13)))</f>
        <v>0</v>
      </c>
      <c r="AH28">
        <f>(AG28-1)*100</f>
        <v>0</v>
      </c>
      <c r="AI28">
        <f>MAX(0,($B$13+$C$13*DQ28)/(1+$D$13*DQ28)*DJ28/(DL28+273)*$E$13)</f>
        <v>0</v>
      </c>
      <c r="AJ28" t="s">
        <v>342</v>
      </c>
      <c r="AK28" t="s">
        <v>342</v>
      </c>
      <c r="AL28">
        <v>0</v>
      </c>
      <c r="AM28">
        <v>0</v>
      </c>
      <c r="AN28">
        <f>1-AL28/AM28</f>
        <v>0</v>
      </c>
      <c r="AO28">
        <v>0</v>
      </c>
      <c r="AP28" t="s">
        <v>342</v>
      </c>
      <c r="AQ28" t="s">
        <v>342</v>
      </c>
      <c r="AR28">
        <v>0</v>
      </c>
      <c r="AS28">
        <v>0</v>
      </c>
      <c r="AT28">
        <f>1-AR28/AS28</f>
        <v>0</v>
      </c>
      <c r="AU28">
        <v>0.5</v>
      </c>
      <c r="AV28">
        <f>CU28</f>
        <v>0</v>
      </c>
      <c r="AW28">
        <f>J28</f>
        <v>0</v>
      </c>
      <c r="AX28">
        <f>AT28*AU28*AV28</f>
        <v>0</v>
      </c>
      <c r="AY28">
        <f>(AW28-AO28)/AV28</f>
        <v>0</v>
      </c>
      <c r="AZ28">
        <f>(AM28-AS28)/AS28</f>
        <v>0</v>
      </c>
      <c r="BA28">
        <f>AL28/(AN28+AL28/AS28)</f>
        <v>0</v>
      </c>
      <c r="BB28" t="s">
        <v>342</v>
      </c>
      <c r="BC28">
        <v>0</v>
      </c>
      <c r="BD28">
        <f>IF(BC28&lt;&gt;0, BC28, BA28)</f>
        <v>0</v>
      </c>
      <c r="BE28">
        <f>1-BD28/AS28</f>
        <v>0</v>
      </c>
      <c r="BF28">
        <f>(AS28-AR28)/(AS28-BD28)</f>
        <v>0</v>
      </c>
      <c r="BG28">
        <f>(AM28-AS28)/(AM28-BD28)</f>
        <v>0</v>
      </c>
      <c r="BH28">
        <f>(AS28-AR28)/(AS28-AL28)</f>
        <v>0</v>
      </c>
      <c r="BI28">
        <f>(AM28-AS28)/(AM28-AL28)</f>
        <v>0</v>
      </c>
      <c r="BJ28">
        <f>(BF28*BD28/AR28)</f>
        <v>0</v>
      </c>
      <c r="BK28">
        <f>(1-BJ28)</f>
        <v>0</v>
      </c>
      <c r="CT28">
        <f>$B$11*DR28+$C$11*DS28+$F$11*DT28*(1-DW28)</f>
        <v>0</v>
      </c>
      <c r="CU28">
        <f>CT28*CV28</f>
        <v>0</v>
      </c>
      <c r="CV28">
        <f>($B$11*$D$9+$C$11*$D$9+$F$11*((EG28+DY28)/MAX(EG28+DY28+EH28, 0.1)*$I$9+EH28/MAX(EG28+DY28+EH28, 0.1)*$J$9))/($B$11+$C$11+$F$11)</f>
        <v>0</v>
      </c>
      <c r="CW28">
        <f>($B$11*$K$9+$C$11*$K$9+$F$11*((EG28+DY28)/MAX(EG28+DY28+EH28, 0.1)*$P$9+EH28/MAX(EG28+DY28+EH28, 0.1)*$Q$9))/($B$11+$C$11+$F$11)</f>
        <v>0</v>
      </c>
      <c r="CX28">
        <v>2</v>
      </c>
      <c r="CY28">
        <v>0.5</v>
      </c>
      <c r="CZ28" t="s">
        <v>343</v>
      </c>
      <c r="DA28">
        <v>2</v>
      </c>
      <c r="DB28">
        <v>1595348002.1</v>
      </c>
      <c r="DC28">
        <v>1782.49</v>
      </c>
      <c r="DD28">
        <v>1799.99466666667</v>
      </c>
      <c r="DE28">
        <v>17.4246666666667</v>
      </c>
      <c r="DF28">
        <v>16.6099733333333</v>
      </c>
      <c r="DG28">
        <v>1779.92733333333</v>
      </c>
      <c r="DH28">
        <v>17.52534</v>
      </c>
      <c r="DI28">
        <v>500.004066666667</v>
      </c>
      <c r="DJ28">
        <v>101.331</v>
      </c>
      <c r="DK28">
        <v>0.10000442</v>
      </c>
      <c r="DL28">
        <v>25.19868</v>
      </c>
      <c r="DM28">
        <v>25.0039</v>
      </c>
      <c r="DN28">
        <v>999.9</v>
      </c>
      <c r="DO28">
        <v>0</v>
      </c>
      <c r="DP28">
        <v>0</v>
      </c>
      <c r="DQ28">
        <v>10001.5813333333</v>
      </c>
      <c r="DR28">
        <v>0</v>
      </c>
      <c r="DS28">
        <v>7.74470066666666</v>
      </c>
      <c r="DT28">
        <v>1499.92333333333</v>
      </c>
      <c r="DU28">
        <v>0.972998666666667</v>
      </c>
      <c r="DV28">
        <v>0.02700128</v>
      </c>
      <c r="DW28">
        <v>0</v>
      </c>
      <c r="DX28">
        <v>248.268933333333</v>
      </c>
      <c r="DY28">
        <v>4.99999</v>
      </c>
      <c r="DZ28">
        <v>3692.37066666667</v>
      </c>
      <c r="EA28">
        <v>14881.8133333333</v>
      </c>
      <c r="EB28">
        <v>36.6081333333333</v>
      </c>
      <c r="EC28">
        <v>38.3914666666667</v>
      </c>
      <c r="ED28">
        <v>37.2248</v>
      </c>
      <c r="EE28">
        <v>37.9289333333333</v>
      </c>
      <c r="EF28">
        <v>38.4956</v>
      </c>
      <c r="EG28">
        <v>1454.55866666667</v>
      </c>
      <c r="EH28">
        <v>40.3646666666667</v>
      </c>
      <c r="EI28">
        <v>0</v>
      </c>
      <c r="EJ28">
        <v>1792383356.1</v>
      </c>
      <c r="EK28">
        <v>0</v>
      </c>
      <c r="EL28">
        <v>248.25816</v>
      </c>
      <c r="EM28">
        <v>0.248769252253694</v>
      </c>
      <c r="EN28">
        <v>22.5653846212605</v>
      </c>
      <c r="EO28">
        <v>3692.7016</v>
      </c>
      <c r="EP28">
        <v>15</v>
      </c>
      <c r="EQ28">
        <v>1595347949.1</v>
      </c>
      <c r="ER28" t="s">
        <v>379</v>
      </c>
      <c r="ES28">
        <v>1595347949.1</v>
      </c>
      <c r="ET28">
        <v>1595347941.1</v>
      </c>
      <c r="EU28">
        <v>13</v>
      </c>
      <c r="EV28">
        <v>-0.215</v>
      </c>
      <c r="EW28">
        <v>0.002</v>
      </c>
      <c r="EX28">
        <v>2.599</v>
      </c>
      <c r="EY28">
        <v>-0.101</v>
      </c>
      <c r="EZ28">
        <v>1800</v>
      </c>
      <c r="FA28">
        <v>16</v>
      </c>
      <c r="FB28">
        <v>0.05</v>
      </c>
      <c r="FC28">
        <v>0.09</v>
      </c>
      <c r="FD28">
        <v>40.0734245204392</v>
      </c>
      <c r="FE28">
        <v>-0.123753965059847</v>
      </c>
      <c r="FF28">
        <v>0.144006939576582</v>
      </c>
      <c r="FG28">
        <v>1</v>
      </c>
      <c r="FH28">
        <v>-17.5095857142857</v>
      </c>
      <c r="FI28">
        <v>0.147459740259729</v>
      </c>
      <c r="FJ28">
        <v>0.058699308714306</v>
      </c>
      <c r="FK28">
        <v>1</v>
      </c>
      <c r="FL28">
        <v>248.282352941176</v>
      </c>
      <c r="FM28">
        <v>-0.625423981215384</v>
      </c>
      <c r="FN28">
        <v>0.429171697599878</v>
      </c>
      <c r="FO28">
        <v>1</v>
      </c>
      <c r="FP28">
        <v>3</v>
      </c>
      <c r="FQ28">
        <v>3</v>
      </c>
      <c r="FR28" t="s">
        <v>345</v>
      </c>
      <c r="FS28">
        <v>100</v>
      </c>
      <c r="FT28">
        <v>100</v>
      </c>
      <c r="FU28">
        <v>2.56</v>
      </c>
      <c r="FV28">
        <v>-0.1006</v>
      </c>
      <c r="FW28">
        <v>-0.0384803325594756</v>
      </c>
      <c r="FX28">
        <v>0.000862124167288959</v>
      </c>
      <c r="FY28">
        <v>3.40327538556632e-07</v>
      </c>
      <c r="FZ28">
        <v>-2.02263791882896e-12</v>
      </c>
      <c r="GA28">
        <v>-0.100649999999998</v>
      </c>
      <c r="GB28">
        <v>0</v>
      </c>
      <c r="GC28">
        <v>0</v>
      </c>
      <c r="GD28">
        <v>0</v>
      </c>
      <c r="GE28">
        <v>4</v>
      </c>
      <c r="GF28">
        <v>2115</v>
      </c>
      <c r="GG28">
        <v>-1</v>
      </c>
      <c r="GH28">
        <v>-1</v>
      </c>
      <c r="GI28">
        <v>1</v>
      </c>
      <c r="GJ28">
        <v>1.1</v>
      </c>
      <c r="GK28">
        <v>3.48755</v>
      </c>
      <c r="GL28">
        <v>2.61475</v>
      </c>
      <c r="GM28">
        <v>1.65161</v>
      </c>
      <c r="GN28">
        <v>2.27295</v>
      </c>
      <c r="GO28">
        <v>1.5979</v>
      </c>
      <c r="GP28">
        <v>2.63428</v>
      </c>
      <c r="GQ28">
        <v>33.6254</v>
      </c>
      <c r="GR28">
        <v>15.1215</v>
      </c>
      <c r="GS28">
        <v>18</v>
      </c>
      <c r="GT28">
        <v>504.095</v>
      </c>
      <c r="GU28">
        <v>549.218</v>
      </c>
      <c r="GV28">
        <v>21.8746</v>
      </c>
      <c r="GW28">
        <v>28.9518</v>
      </c>
      <c r="GX28">
        <v>30</v>
      </c>
      <c r="GY28">
        <v>29.1683</v>
      </c>
      <c r="GZ28">
        <v>29.2323</v>
      </c>
      <c r="HA28">
        <v>69.7107</v>
      </c>
      <c r="HB28">
        <v>26.2694</v>
      </c>
      <c r="HC28">
        <v>35.9474</v>
      </c>
      <c r="HD28">
        <v>21.8759</v>
      </c>
      <c r="HE28">
        <v>1800</v>
      </c>
      <c r="HF28">
        <v>16.5924</v>
      </c>
      <c r="HG28">
        <v>98.0545</v>
      </c>
      <c r="HH28">
        <v>95.4535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2026-10-19T13:18:39Z</dcterms:created>
  <dcterms:modified xsi:type="dcterms:W3CDTF">2026-10-19T13:18:39Z</dcterms:modified>
</cp:coreProperties>
</file>