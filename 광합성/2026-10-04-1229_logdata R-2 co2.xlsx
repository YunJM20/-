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04 lettuce park/"/>
    </mc:Choice>
  </mc:AlternateContent>
  <xr:revisionPtr revIDLastSave="0" documentId="11_ACE071001A63D6C141CC79EA51E8DB9604E092AC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/>
  <c r="AH28" i="1" s="1"/>
  <c r="Y28" i="1"/>
  <c r="X28" i="1"/>
  <c r="W28" i="1"/>
  <c r="P28" i="1"/>
  <c r="N28" i="1"/>
  <c r="K28" i="1"/>
  <c r="J28" i="1"/>
  <c r="AW28" i="1" s="1"/>
  <c r="I28" i="1"/>
  <c r="H28" i="1" s="1"/>
  <c r="CW27" i="1"/>
  <c r="CV27" i="1"/>
  <c r="CT27" i="1"/>
  <c r="CU27" i="1" s="1"/>
  <c r="AV27" i="1" s="1"/>
  <c r="BI27" i="1"/>
  <c r="BH27" i="1"/>
  <c r="AZ27" i="1"/>
  <c r="AT27" i="1"/>
  <c r="AN27" i="1"/>
  <c r="BA27" i="1" s="1"/>
  <c r="BD27" i="1" s="1"/>
  <c r="AI27" i="1"/>
  <c r="AG27" i="1" s="1"/>
  <c r="Y27" i="1"/>
  <c r="X27" i="1"/>
  <c r="S27" i="1"/>
  <c r="P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/>
  <c r="AH26" i="1" s="1"/>
  <c r="Y26" i="1"/>
  <c r="X26" i="1"/>
  <c r="W26" i="1"/>
  <c r="P26" i="1"/>
  <c r="N26" i="1"/>
  <c r="K26" i="1"/>
  <c r="J26" i="1"/>
  <c r="AW26" i="1" s="1"/>
  <c r="I26" i="1"/>
  <c r="H26" i="1" s="1"/>
  <c r="CW25" i="1"/>
  <c r="CV25" i="1"/>
  <c r="CT25" i="1"/>
  <c r="CU25" i="1" s="1"/>
  <c r="AV25" i="1" s="1"/>
  <c r="BI25" i="1"/>
  <c r="BH25" i="1"/>
  <c r="AZ25" i="1"/>
  <c r="AT25" i="1"/>
  <c r="AN25" i="1"/>
  <c r="BA25" i="1" s="1"/>
  <c r="BD25" i="1" s="1"/>
  <c r="AI25" i="1"/>
  <c r="AG25" i="1" s="1"/>
  <c r="Y25" i="1"/>
  <c r="X25" i="1"/>
  <c r="S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W24" i="1" s="1"/>
  <c r="X24" i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/>
  <c r="Y23" i="1"/>
  <c r="X23" i="1"/>
  <c r="W23" i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/>
  <c r="P22" i="1"/>
  <c r="CW21" i="1"/>
  <c r="CV21" i="1"/>
  <c r="CT21" i="1"/>
  <c r="CU21" i="1" s="1"/>
  <c r="AV21" i="1" s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/>
  <c r="S21" i="1"/>
  <c r="P21" i="1"/>
  <c r="CW20" i="1"/>
  <c r="CV20" i="1"/>
  <c r="CT20" i="1"/>
  <c r="CU20" i="1" s="1"/>
  <c r="AV20" i="1" s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/>
  <c r="S20" i="1"/>
  <c r="P20" i="1"/>
  <c r="CW19" i="1"/>
  <c r="CV19" i="1"/>
  <c r="CT19" i="1"/>
  <c r="CU19" i="1" s="1"/>
  <c r="AV19" i="1" s="1"/>
  <c r="BI19" i="1"/>
  <c r="BH19" i="1"/>
  <c r="AZ19" i="1"/>
  <c r="AT19" i="1"/>
  <c r="AX19" i="1" s="1"/>
  <c r="AN19" i="1"/>
  <c r="BA19" i="1" s="1"/>
  <c r="BD19" i="1" s="1"/>
  <c r="AI19" i="1"/>
  <c r="AG19" i="1" s="1"/>
  <c r="Y19" i="1"/>
  <c r="X19" i="1"/>
  <c r="W19" i="1" s="1"/>
  <c r="S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X18" i="1"/>
  <c r="W18" i="1" s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/>
  <c r="S17" i="1"/>
  <c r="P17" i="1"/>
  <c r="W27" i="1" l="1"/>
  <c r="W25" i="1"/>
  <c r="AX27" i="1"/>
  <c r="AX25" i="1"/>
  <c r="CU17" i="1"/>
  <c r="AV17" i="1" s="1"/>
  <c r="AX17" i="1" s="1"/>
  <c r="I27" i="1"/>
  <c r="H27" i="1" s="1"/>
  <c r="J27" i="1"/>
  <c r="AW27" i="1" s="1"/>
  <c r="AY27" i="1" s="1"/>
  <c r="K27" i="1"/>
  <c r="N27" i="1"/>
  <c r="AH27" i="1"/>
  <c r="CU26" i="1"/>
  <c r="AV26" i="1" s="1"/>
  <c r="AX26" i="1" s="1"/>
  <c r="S26" i="1"/>
  <c r="AH23" i="1"/>
  <c r="N23" i="1"/>
  <c r="K23" i="1"/>
  <c r="J23" i="1"/>
  <c r="AW23" i="1" s="1"/>
  <c r="I23" i="1"/>
  <c r="H23" i="1" s="1"/>
  <c r="CU22" i="1"/>
  <c r="AV22" i="1" s="1"/>
  <c r="AX22" i="1" s="1"/>
  <c r="S22" i="1"/>
  <c r="CU28" i="1"/>
  <c r="AV28" i="1" s="1"/>
  <c r="S28" i="1"/>
  <c r="BE28" i="1"/>
  <c r="BF28" i="1"/>
  <c r="BJ28" i="1" s="1"/>
  <c r="BK28" i="1" s="1"/>
  <c r="BG28" i="1"/>
  <c r="AA28" i="1"/>
  <c r="BE27" i="1"/>
  <c r="BF27" i="1"/>
  <c r="BJ27" i="1" s="1"/>
  <c r="BK27" i="1" s="1"/>
  <c r="BG27" i="1"/>
  <c r="T27" i="1"/>
  <c r="U27" i="1" s="1"/>
  <c r="Q27" i="1" s="1"/>
  <c r="O27" i="1" s="1"/>
  <c r="R27" i="1" s="1"/>
  <c r="L27" i="1" s="1"/>
  <c r="M27" i="1" s="1"/>
  <c r="AA27" i="1"/>
  <c r="BE26" i="1"/>
  <c r="BG26" i="1"/>
  <c r="BF26" i="1"/>
  <c r="BJ26" i="1" s="1"/>
  <c r="BK26" i="1" s="1"/>
  <c r="T26" i="1"/>
  <c r="U26" i="1" s="1"/>
  <c r="Q26" i="1" s="1"/>
  <c r="O26" i="1" s="1"/>
  <c r="R26" i="1" s="1"/>
  <c r="L26" i="1" s="1"/>
  <c r="M26" i="1" s="1"/>
  <c r="AA26" i="1"/>
  <c r="BG25" i="1"/>
  <c r="BE25" i="1"/>
  <c r="BF25" i="1"/>
  <c r="BJ25" i="1" s="1"/>
  <c r="BK25" i="1" s="1"/>
  <c r="I25" i="1"/>
  <c r="H25" i="1" s="1"/>
  <c r="AH25" i="1"/>
  <c r="N25" i="1"/>
  <c r="J25" i="1"/>
  <c r="AW25" i="1" s="1"/>
  <c r="AY25" i="1" s="1"/>
  <c r="K25" i="1"/>
  <c r="T25" i="1"/>
  <c r="U25" i="1" s="1"/>
  <c r="S24" i="1"/>
  <c r="CU24" i="1"/>
  <c r="AV24" i="1" s="1"/>
  <c r="AX24" i="1" s="1"/>
  <c r="BF24" i="1"/>
  <c r="BJ24" i="1" s="1"/>
  <c r="BK24" i="1" s="1"/>
  <c r="BE24" i="1"/>
  <c r="BG24" i="1"/>
  <c r="AH24" i="1"/>
  <c r="I24" i="1"/>
  <c r="H24" i="1" s="1"/>
  <c r="J24" i="1"/>
  <c r="AW24" i="1" s="1"/>
  <c r="AY24" i="1" s="1"/>
  <c r="K24" i="1"/>
  <c r="N24" i="1"/>
  <c r="S23" i="1"/>
  <c r="CU23" i="1"/>
  <c r="AV23" i="1" s="1"/>
  <c r="BE23" i="1"/>
  <c r="BF23" i="1"/>
  <c r="BJ23" i="1" s="1"/>
  <c r="BK23" i="1" s="1"/>
  <c r="BG23" i="1"/>
  <c r="AA23" i="1"/>
  <c r="BF22" i="1"/>
  <c r="BJ22" i="1" s="1"/>
  <c r="BK22" i="1" s="1"/>
  <c r="BG22" i="1"/>
  <c r="BE22" i="1"/>
  <c r="AH22" i="1"/>
  <c r="I22" i="1"/>
  <c r="H22" i="1" s="1"/>
  <c r="J22" i="1"/>
  <c r="AW22" i="1" s="1"/>
  <c r="AY22" i="1" s="1"/>
  <c r="K22" i="1"/>
  <c r="N22" i="1"/>
  <c r="T22" i="1"/>
  <c r="U22" i="1" s="1"/>
  <c r="BF21" i="1"/>
  <c r="BJ21" i="1" s="1"/>
  <c r="BK21" i="1" s="1"/>
  <c r="BE21" i="1"/>
  <c r="BG21" i="1"/>
  <c r="AH21" i="1"/>
  <c r="I21" i="1"/>
  <c r="H21" i="1" s="1"/>
  <c r="J21" i="1"/>
  <c r="AW21" i="1" s="1"/>
  <c r="AY21" i="1" s="1"/>
  <c r="K21" i="1"/>
  <c r="N21" i="1"/>
  <c r="T21" i="1"/>
  <c r="U21" i="1" s="1"/>
  <c r="BF20" i="1"/>
  <c r="BJ20" i="1" s="1"/>
  <c r="BK20" i="1" s="1"/>
  <c r="BG20" i="1"/>
  <c r="BE20" i="1"/>
  <c r="AH20" i="1"/>
  <c r="I20" i="1"/>
  <c r="H20" i="1" s="1"/>
  <c r="J20" i="1"/>
  <c r="AW20" i="1" s="1"/>
  <c r="AY20" i="1" s="1"/>
  <c r="K20" i="1"/>
  <c r="N20" i="1"/>
  <c r="T20" i="1"/>
  <c r="U20" i="1" s="1"/>
  <c r="BG19" i="1"/>
  <c r="BE19" i="1"/>
  <c r="BF19" i="1"/>
  <c r="BJ19" i="1" s="1"/>
  <c r="BK19" i="1" s="1"/>
  <c r="AH19" i="1"/>
  <c r="I19" i="1"/>
  <c r="H19" i="1" s="1"/>
  <c r="K19" i="1"/>
  <c r="J19" i="1"/>
  <c r="AW19" i="1" s="1"/>
  <c r="AY19" i="1" s="1"/>
  <c r="N19" i="1"/>
  <c r="T19" i="1"/>
  <c r="U19" i="1" s="1"/>
  <c r="BF18" i="1"/>
  <c r="BJ18" i="1" s="1"/>
  <c r="BK18" i="1" s="1"/>
  <c r="BE18" i="1"/>
  <c r="BG18" i="1"/>
  <c r="AH18" i="1"/>
  <c r="I18" i="1"/>
  <c r="H18" i="1" s="1"/>
  <c r="J18" i="1"/>
  <c r="AW18" i="1" s="1"/>
  <c r="AY18" i="1" s="1"/>
  <c r="K18" i="1"/>
  <c r="N18" i="1"/>
  <c r="T18" i="1"/>
  <c r="U18" i="1" s="1"/>
  <c r="BF17" i="1"/>
  <c r="BJ17" i="1" s="1"/>
  <c r="BK17" i="1" s="1"/>
  <c r="BE17" i="1"/>
  <c r="BG17" i="1"/>
  <c r="I17" i="1"/>
  <c r="H17" i="1" s="1"/>
  <c r="T17" i="1" s="1"/>
  <c r="U17" i="1" s="1"/>
  <c r="J17" i="1"/>
  <c r="AW17" i="1" s="1"/>
  <c r="K17" i="1"/>
  <c r="N17" i="1"/>
  <c r="AH17" i="1"/>
  <c r="AY26" i="1"/>
  <c r="AX21" i="1"/>
  <c r="AX20" i="1"/>
  <c r="AY17" i="1" l="1"/>
  <c r="AX28" i="1"/>
  <c r="AY28" i="1"/>
  <c r="T28" i="1"/>
  <c r="U28" i="1" s="1"/>
  <c r="AB27" i="1"/>
  <c r="V27" i="1"/>
  <c r="Z27" i="1" s="1"/>
  <c r="AC27" i="1"/>
  <c r="AD27" i="1" s="1"/>
  <c r="AB26" i="1"/>
  <c r="AC26" i="1"/>
  <c r="AD26" i="1" s="1"/>
  <c r="V26" i="1"/>
  <c r="Z26" i="1" s="1"/>
  <c r="AA25" i="1"/>
  <c r="Q25" i="1"/>
  <c r="O25" i="1" s="1"/>
  <c r="R25" i="1" s="1"/>
  <c r="L25" i="1" s="1"/>
  <c r="M25" i="1" s="1"/>
  <c r="AB25" i="1"/>
  <c r="AC25" i="1"/>
  <c r="AD25" i="1" s="1"/>
  <c r="V25" i="1"/>
  <c r="Z25" i="1" s="1"/>
  <c r="T24" i="1"/>
  <c r="U24" i="1" s="1"/>
  <c r="Q24" i="1"/>
  <c r="O24" i="1" s="1"/>
  <c r="R24" i="1" s="1"/>
  <c r="L24" i="1" s="1"/>
  <c r="M24" i="1" s="1"/>
  <c r="AA24" i="1"/>
  <c r="T23" i="1"/>
  <c r="U23" i="1" s="1"/>
  <c r="AY23" i="1"/>
  <c r="AX23" i="1"/>
  <c r="Q22" i="1"/>
  <c r="O22" i="1" s="1"/>
  <c r="R22" i="1" s="1"/>
  <c r="L22" i="1" s="1"/>
  <c r="M22" i="1" s="1"/>
  <c r="AA22" i="1"/>
  <c r="AB22" i="1"/>
  <c r="V22" i="1"/>
  <c r="Z22" i="1" s="1"/>
  <c r="AC22" i="1"/>
  <c r="AD22" i="1" s="1"/>
  <c r="Q21" i="1"/>
  <c r="O21" i="1" s="1"/>
  <c r="R21" i="1" s="1"/>
  <c r="L21" i="1" s="1"/>
  <c r="M21" i="1" s="1"/>
  <c r="AA21" i="1"/>
  <c r="AB21" i="1"/>
  <c r="V21" i="1"/>
  <c r="Z21" i="1" s="1"/>
  <c r="AC21" i="1"/>
  <c r="AD21" i="1" s="1"/>
  <c r="Q20" i="1"/>
  <c r="O20" i="1" s="1"/>
  <c r="R20" i="1" s="1"/>
  <c r="L20" i="1" s="1"/>
  <c r="M20" i="1" s="1"/>
  <c r="AA20" i="1"/>
  <c r="AB20" i="1"/>
  <c r="V20" i="1"/>
  <c r="Z20" i="1" s="1"/>
  <c r="AC20" i="1"/>
  <c r="AD20" i="1" s="1"/>
  <c r="AA19" i="1"/>
  <c r="Q19" i="1"/>
  <c r="O19" i="1" s="1"/>
  <c r="R19" i="1" s="1"/>
  <c r="L19" i="1" s="1"/>
  <c r="M19" i="1" s="1"/>
  <c r="AB19" i="1"/>
  <c r="V19" i="1"/>
  <c r="Z19" i="1" s="1"/>
  <c r="AC19" i="1"/>
  <c r="AD19" i="1" s="1"/>
  <c r="Q18" i="1"/>
  <c r="O18" i="1" s="1"/>
  <c r="R18" i="1" s="1"/>
  <c r="L18" i="1" s="1"/>
  <c r="M18" i="1" s="1"/>
  <c r="AA18" i="1"/>
  <c r="AB18" i="1"/>
  <c r="V18" i="1"/>
  <c r="Z18" i="1" s="1"/>
  <c r="AC18" i="1"/>
  <c r="AD18" i="1" s="1"/>
  <c r="Q17" i="1"/>
  <c r="O17" i="1" s="1"/>
  <c r="R17" i="1" s="1"/>
  <c r="L17" i="1" s="1"/>
  <c r="M17" i="1" s="1"/>
  <c r="AA17" i="1"/>
  <c r="AB17" i="1"/>
  <c r="V17" i="1"/>
  <c r="Z17" i="1" s="1"/>
  <c r="AC17" i="1"/>
  <c r="AD17" i="1" s="1"/>
  <c r="Q28" i="1" l="1"/>
  <c r="O28" i="1" s="1"/>
  <c r="R28" i="1" s="1"/>
  <c r="L28" i="1" s="1"/>
  <c r="M28" i="1" s="1"/>
  <c r="AB28" i="1"/>
  <c r="V28" i="1"/>
  <c r="Z28" i="1" s="1"/>
  <c r="AC28" i="1"/>
  <c r="AD28" i="1" s="1"/>
  <c r="AB24" i="1"/>
  <c r="V24" i="1"/>
  <c r="Z24" i="1" s="1"/>
  <c r="AC24" i="1"/>
  <c r="AD24" i="1" s="1"/>
  <c r="Q23" i="1"/>
  <c r="O23" i="1" s="1"/>
  <c r="R23" i="1" s="1"/>
  <c r="L23" i="1" s="1"/>
  <c r="M23" i="1" s="1"/>
  <c r="AB23" i="1"/>
  <c r="V23" i="1"/>
  <c r="Z23" i="1" s="1"/>
  <c r="AC23" i="1"/>
  <c r="AD23" i="1" s="1"/>
</calcChain>
</file>

<file path=xl/sharedStrings.xml><?xml version="1.0" encoding="utf-8"?>
<sst xmlns="http://schemas.openxmlformats.org/spreadsheetml/2006/main" count="786" uniqueCount="382">
  <si>
    <t>File opened</t>
  </si>
  <si>
    <t>2026-10-04 12:29:24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</si>
  <si>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</si>
  <si>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</si>
  <si>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</si>
  <si>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</si>
  <si>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</si>
  <si>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</si>
  <si>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</si>
  <si>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</si>
  <si>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</si>
  <si>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</si>
  <si>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</si>
  <si>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{"chamberpressurezero": "2.71033", "co2aspan2a": "0.106022", "co2bzero": "0.953041", "flowmeterzero": "2.483", "co2aspan2b": "0.105998", "h2oazero": "1.03097", "flowazero": "0.276", "h2oaspan2a": "0.0964052", "h2oaspan1": "1.02308", "co2azero": "0.931334", "h2obspan2a": "0.0961931", "co2aspan2": "-0.00988168", "co2aspanconc1": "437.6", "h2obspan2b": "0.0971974", "co2bspan2b": "0.105618", "h2obspanconc2": "0", "tazero": "0.15448", "co2bspanconc1": "437.6", "co2bspanconc2": "1516", "h2obspanconc1": "17.96", "h2obspan2": "0", "h2oaspan2": "0", "co2bspan2": "-0.00857283", "co2aspanconc2": "1516", "flowbzero": "0.30473", "co2aspan1": "1.00082", "oxygen": "21", "tbzero": "0.143742", "h2oaspanconc2": "0", "h2oaspanconc1": "17.96", "h2obspan1": "1.01044", "co2bspan1": "1.00005", "co2bspan2a": "0.105708", "h2oaspan2b": "0.0986302", "ssb_ref": "36242.9", "ssa_ref": "37830.5", "h2obzero": "1.01897"}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</si>
  <si>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</si>
  <si>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</si>
  <si>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</si>
  <si>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</si>
  <si>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</si>
  <si>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</si>
  <si>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</si>
  <si>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</si>
  <si>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</si>
  <si>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</si>
  <si>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</si>
  <si>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</si>
  <si>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</si>
  <si>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</si>
  <si>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</si>
  <si>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12:29:24</t>
  </si>
  <si>
    <t>Stability Definition:	ΔCO2 (Meas2): Slp&lt;0.5 Per=20	F (FlrLS):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</si>
  <si>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</si>
  <si>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</si>
  <si>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</si>
  <si>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</si>
  <si>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</si>
  <si>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</si>
  <si>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</si>
  <si>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</si>
  <si>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</si>
  <si>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</si>
  <si>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</si>
  <si>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</si>
  <si>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</si>
  <si>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</si>
  <si>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</si>
  <si>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</si>
  <si>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</si>
  <si>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</si>
  <si>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</si>
  <si>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</si>
  <si>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</si>
  <si>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</si>
  <si>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</si>
  <si>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</si>
  <si>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</si>
  <si>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</si>
  <si>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</si>
  <si>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</si>
  <si>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</si>
  <si>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</si>
  <si>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</si>
  <si>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</si>
  <si>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</si>
  <si>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</si>
  <si>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</si>
  <si>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</si>
  <si>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</si>
  <si>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</si>
  <si>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</si>
  <si>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</si>
  <si>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</si>
  <si>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</si>
  <si>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</si>
  <si>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</si>
  <si>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</si>
  <si>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</si>
  <si>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</si>
  <si>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</si>
  <si>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</si>
  <si>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</si>
  <si>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</si>
  <si>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</si>
  <si>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4.72514 203.78 363.155 594.255 857.394 1066.3 1251.07 1380.19</t>
  </si>
  <si>
    <t>Fs_true</t>
  </si>
  <si>
    <t>0.127932 227.245 386.898 590.184 811.883 1001.42 1202.73 1400.77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</si>
  <si>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</si>
  <si>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</si>
  <si>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</si>
  <si>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</si>
  <si>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</si>
  <si>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</si>
  <si>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</si>
  <si>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</si>
  <si>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</si>
  <si>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</si>
  <si>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</si>
  <si>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</si>
  <si>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</si>
  <si>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</si>
  <si>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</si>
  <si>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</si>
  <si>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</si>
  <si>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</si>
  <si>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</si>
  <si>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</si>
  <si>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</si>
  <si>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</si>
  <si>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</si>
  <si>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</si>
  <si>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</si>
  <si>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</si>
  <si>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</si>
  <si>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</si>
  <si>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</si>
  <si>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</si>
  <si>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</si>
  <si>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</si>
  <si>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</si>
  <si>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</si>
  <si>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</si>
  <si>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</si>
  <si>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</si>
  <si>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</si>
  <si>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</si>
  <si>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</si>
  <si>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</si>
  <si>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</si>
  <si>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</si>
  <si>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</si>
  <si>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</si>
  <si>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</si>
  <si>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</si>
  <si>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</si>
  <si>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</si>
  <si>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</si>
  <si>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</si>
  <si>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</si>
  <si>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</si>
  <si>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</si>
  <si>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</si>
  <si>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</si>
  <si>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</si>
  <si>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</si>
  <si>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</si>
  <si>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</si>
  <si>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</si>
  <si>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</si>
  <si>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</si>
  <si>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</si>
  <si>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</si>
  <si>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</si>
  <si>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</si>
  <si>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</si>
  <si>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</si>
  <si>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</si>
  <si>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</si>
  <si>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</si>
  <si>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</si>
  <si>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</si>
  <si>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</si>
  <si>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</si>
  <si>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</si>
  <si>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</si>
  <si>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</si>
  <si>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</si>
  <si>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</si>
  <si>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</si>
  <si>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</si>
  <si>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</si>
  <si>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</si>
  <si>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</si>
  <si>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</si>
  <si>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</si>
  <si>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</si>
  <si>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</si>
  <si>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</si>
  <si>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</si>
  <si>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</si>
  <si>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</si>
  <si>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</si>
  <si>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</si>
  <si>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</si>
  <si>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</si>
  <si>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</si>
  <si>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</si>
  <si>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</si>
  <si>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</si>
  <si>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</si>
  <si>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</si>
  <si>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</si>
  <si>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</si>
  <si>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</si>
  <si>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</si>
  <si>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</si>
  <si>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</si>
  <si>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</si>
  <si>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</si>
  <si>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</si>
  <si>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</si>
  <si>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</si>
  <si>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</si>
  <si>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</si>
  <si>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</si>
  <si>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</si>
  <si>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</si>
  <si>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</si>
  <si>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</si>
  <si>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</si>
  <si>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</si>
  <si>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</si>
  <si>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</si>
  <si>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</si>
  <si>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</si>
  <si>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</si>
  <si>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</si>
  <si>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</si>
  <si>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</si>
  <si>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</si>
  <si>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</si>
  <si>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</si>
  <si>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</si>
  <si>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</si>
  <si>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</si>
  <si>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</si>
  <si>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</si>
  <si>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</si>
  <si>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</si>
  <si>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</si>
  <si>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</si>
  <si>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</si>
  <si>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</si>
  <si>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</si>
  <si>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</si>
  <si>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</si>
  <si>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</si>
  <si>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</si>
  <si>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</si>
  <si>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</si>
  <si>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</si>
  <si>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</si>
  <si>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</si>
  <si>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</si>
  <si>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</si>
  <si>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</si>
  <si>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</si>
  <si>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</si>
  <si>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</si>
  <si>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</si>
  <si>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</si>
  <si>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</si>
  <si>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</si>
  <si>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</si>
  <si>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</si>
  <si>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</si>
  <si>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</si>
  <si>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</si>
  <si>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</si>
  <si>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</si>
  <si>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</si>
  <si>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</si>
  <si>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</si>
  <si>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</si>
  <si>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</si>
  <si>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</si>
  <si>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</si>
  <si>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</si>
  <si>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</si>
  <si>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</si>
  <si>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</si>
  <si>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</si>
  <si>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</si>
  <si>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</si>
  <si>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</si>
  <si>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</si>
  <si>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</si>
  <si>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</si>
  <si>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</si>
  <si>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</si>
  <si>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</si>
  <si>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</si>
  <si>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</si>
  <si>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</si>
  <si>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</si>
  <si>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</si>
  <si>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</si>
  <si>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</si>
  <si>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</si>
  <si>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</si>
  <si>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</si>
  <si>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</si>
  <si>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</si>
  <si>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</si>
  <si>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</si>
  <si>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</si>
  <si>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</si>
  <si>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</si>
  <si>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</si>
  <si>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</si>
  <si>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</si>
  <si>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</si>
  <si>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</si>
  <si>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</si>
  <si>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</si>
  <si>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</si>
  <si>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</si>
  <si>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</si>
  <si>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</si>
  <si>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</si>
  <si>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</si>
  <si>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</si>
  <si>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</si>
  <si>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</si>
  <si>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</si>
  <si>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</si>
  <si>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</si>
  <si>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</si>
  <si>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</si>
  <si>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</si>
  <si>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</si>
  <si>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</si>
  <si>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</si>
  <si>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</si>
  <si>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</si>
  <si>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</si>
  <si>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</si>
  <si>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</si>
  <si>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</si>
  <si>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</si>
  <si>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</si>
  <si>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</si>
  <si>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</si>
  <si>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</si>
  <si>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</si>
  <si>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</si>
  <si>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</si>
  <si>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</si>
  <si>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</si>
  <si>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</si>
  <si>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</si>
  <si>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</si>
  <si>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20261004 13:11:12</t>
  </si>
  <si>
    <t>13:11:12</t>
  </si>
  <si>
    <t>-</t>
  </si>
  <si>
    <t>0: Broadleaf</t>
  </si>
  <si>
    <t>13:10:08</t>
  </si>
  <si>
    <t>2/2</t>
  </si>
  <si>
    <t>20261004 13:13:13</t>
  </si>
  <si>
    <t>13:13:13</t>
  </si>
  <si>
    <t>13:12:16</t>
  </si>
  <si>
    <t>20261004 13:15:14</t>
  </si>
  <si>
    <t>13:15:14</t>
  </si>
  <si>
    <t>13:14:19</t>
  </si>
  <si>
    <t>20261004 13:17:15</t>
  </si>
  <si>
    <t>13:17:15</t>
  </si>
  <si>
    <t>13:16:25</t>
  </si>
  <si>
    <t>20261004 13:19:16</t>
  </si>
  <si>
    <t>13:19:16</t>
  </si>
  <si>
    <t>13:18:18</t>
  </si>
  <si>
    <t>20261004 13:21:17</t>
  </si>
  <si>
    <t>13:21:17</t>
  </si>
  <si>
    <t>13:20:24</t>
  </si>
  <si>
    <t>20261004 13:23:18</t>
  </si>
  <si>
    <t>13:23:18</t>
  </si>
  <si>
    <t>13:22:13</t>
  </si>
  <si>
    <t>1/2</t>
  </si>
  <si>
    <t>20261004 13:25:19</t>
  </si>
  <si>
    <t>13:25:19</t>
  </si>
  <si>
    <t>13:24:25</t>
  </si>
  <si>
    <t>20261004 13:27:24</t>
  </si>
  <si>
    <t>13:27:24</t>
  </si>
  <si>
    <t>13:26:23</t>
  </si>
  <si>
    <t>20261004 13:29:30</t>
  </si>
  <si>
    <t>13:29:30</t>
  </si>
  <si>
    <t>13:28:26</t>
  </si>
  <si>
    <t>20261004 13:31:34</t>
  </si>
  <si>
    <t>13:31:34</t>
  </si>
  <si>
    <t>13:30:30</t>
  </si>
  <si>
    <t>20261004 13:33:35</t>
  </si>
  <si>
    <t>13:33:35</t>
  </si>
  <si>
    <t>13:32:47</t>
  </si>
  <si>
    <t>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</si>
</sst>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8"/>
  <sheetViews>
    <sheetView tabSelected="1" workbookViewId="0"/>
  </sheetViews>
  <sheetFormatPr defaultRowHeight="16.899999999999999" x14ac:dyDescent="0.6"/>
  <sheetData>
    <row r="2" spans="1:216" x14ac:dyDescent="0.6">
      <c r="A2" t="s">
        <v>31</v>
      </c>
      <c r="B2" t="s">
        <v>32</v>
      </c>
      <c r="C2" t="s">
        <v>34</v>
      </c>
    </row>
    <row r="3" spans="1:216" x14ac:dyDescent="0.6">
      <c r="B3" t="s">
        <v>33</v>
      </c>
      <c r="C3">
        <v>21</v>
      </c>
    </row>
    <row r="4" spans="1:216" x14ac:dyDescent="0.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6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6">
      <c r="B7">
        <v>0</v>
      </c>
      <c r="C7">
        <v>1</v>
      </c>
      <c r="D7">
        <v>0</v>
      </c>
      <c r="E7">
        <v>0</v>
      </c>
    </row>
    <row r="8" spans="1:216" x14ac:dyDescent="0.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6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6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6">
      <c r="A17">
        <v>1</v>
      </c>
      <c r="B17">
        <v>1791087072</v>
      </c>
      <c r="C17">
        <v>0</v>
      </c>
      <c r="D17" t="s">
        <v>341</v>
      </c>
      <c r="E17" t="s">
        <v>342</v>
      </c>
      <c r="F17">
        <v>5</v>
      </c>
      <c r="G17">
        <v>1791087068.5</v>
      </c>
      <c r="H17">
        <f t="shared" ref="H17:H28" si="0">(I17)/1000</f>
        <v>4.6616736059251424E-3</v>
      </c>
      <c r="I17">
        <f t="shared" ref="I17:I28" si="1">1000*DI17*AG17*(DE17-DF17)/(100*CX17*(1000-AG17*DE17))</f>
        <v>4.6616736059251425</v>
      </c>
      <c r="J17">
        <f t="shared" ref="J17:J28" si="2">DI17*AG17*(DD17-DC17*(1000-AG17*DF17)/(1000-AG17*DE17))/(100*CX17)</f>
        <v>21.722851811374127</v>
      </c>
      <c r="K17">
        <f t="shared" ref="K17:K28" si="3">DC17 - IF(AG17&gt;1, J17*CX17*100/(AI17), 0)</f>
        <v>390.57366666666701</v>
      </c>
      <c r="L17">
        <f t="shared" ref="L17:L28" si="4">((R17-H17/2)*K17-J17)/(R17+H17/2)</f>
        <v>279.51505083537592</v>
      </c>
      <c r="M17">
        <f t="shared" ref="M17:M28" si="5">L17*(DJ17+DK17)/1000</f>
        <v>28.242848260973147</v>
      </c>
      <c r="N17">
        <f t="shared" ref="N17:N28" si="6">(DC17 - IF(AG17&gt;1, J17*CX17*100/(AI17), 0))*(DJ17+DK17)/1000</f>
        <v>39.464468082956238</v>
      </c>
      <c r="O17">
        <f t="shared" ref="O17:O28" si="7">2/((1/Q17-1/P17)+SIGN(Q17)*SQRT((1/Q17-1/P17)*(1/Q17-1/P17) + 4*CY17/((CY17+1)*(CY17+1))*(2*1/Q17*1/P17-1/P17*1/P17)))</f>
        <v>0.35401109654654683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3.0319790022451949</v>
      </c>
      <c r="Q17">
        <f t="shared" ref="Q17:Q28" si="9">H17*(1000-(1000*0.61365*EXP(17.502*U17/(240.97+U17))/(DJ17+DK17)+DE17)/2)/(1000*0.61365*EXP(17.502*U17/(240.97+U17))/(DJ17+DK17)-DE17)</f>
        <v>0.33254649862528901</v>
      </c>
      <c r="R17">
        <f t="shared" ref="R17:R28" si="10">1/((CY17+1)/(O17/1.6)+1/(P17/1.37)) + CY17/((CY17+1)/(O17/1.6) + CY17/(P17/1.37))</f>
        <v>0.20966152946431132</v>
      </c>
      <c r="S17">
        <f t="shared" ref="S17:S28" si="11">(CT17*CW17)</f>
        <v>241.73876859841974</v>
      </c>
      <c r="T17">
        <f t="shared" ref="T17:T28" si="12">(DL17+(S17+2*0.95*0.0000000567*(((DL17+$B$7)+273)^4-(DL17+273)^4)-44100*H17)/(1.84*29.3*P17+8*0.95*0.0000000567*(DL17+273)^3))</f>
        <v>25.658255606532059</v>
      </c>
      <c r="U17">
        <f t="shared" ref="U17:U28" si="13">($C$7*DM17+$D$7*DN17+$E$7*T17)</f>
        <v>24.99925</v>
      </c>
      <c r="V17">
        <f t="shared" ref="V17:V28" si="14">0.61365*EXP(17.502*U17/(240.97+U17))</f>
        <v>3.1795354156402009</v>
      </c>
      <c r="W17">
        <f t="shared" ref="W17:W28" si="15">(X17/Y17*100)</f>
        <v>55.04722310944512</v>
      </c>
      <c r="X17">
        <f t="shared" ref="X17:X28" si="16">DE17*(DJ17+DK17)/1000</f>
        <v>1.7980008708159163</v>
      </c>
      <c r="Y17">
        <f t="shared" ref="Y17:Y28" si="17">0.61365*EXP(17.502*DL17/(240.97+DL17))</f>
        <v>3.2662880509723866</v>
      </c>
      <c r="Z17">
        <f t="shared" ref="Z17:Z28" si="18">(V17-DE17*(DJ17+DK17)/1000)</f>
        <v>1.3815345448242846</v>
      </c>
      <c r="AA17">
        <f t="shared" ref="AA17:AA28" si="19">(-H17*44100)</f>
        <v>-205.57980602129877</v>
      </c>
      <c r="AB17">
        <f t="shared" ref="AB17:AB28" si="20">2*29.3*P17*0.92*(DL17-U17)</f>
        <v>73.93025717139291</v>
      </c>
      <c r="AC17">
        <f t="shared" ref="AC17:AC28" si="21">2*0.95*0.0000000567*(((DL17+$B$7)+273)^4-(U17+273)^4)</f>
        <v>5.1694142782177215</v>
      </c>
      <c r="AD17">
        <f t="shared" ref="AD17:AD28" si="22">S17+AC17+AA17+AB17</f>
        <v>115.2586340267316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53818.090847834887</v>
      </c>
      <c r="AJ17" t="s">
        <v>343</v>
      </c>
      <c r="AK17" t="s">
        <v>343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1261.2181080820803</v>
      </c>
      <c r="AW17">
        <f t="shared" ref="AW17:AW28" si="29">J17</f>
        <v>21.722851811374127</v>
      </c>
      <c r="AX17" t="e">
        <f t="shared" ref="AX17:AX28" si="30">AT17*AU17*AV17</f>
        <v>#DIV/0!</v>
      </c>
      <c r="AY17">
        <f t="shared" ref="AY17:AY28" si="31">(AW17-AO17)/AV17</f>
        <v>1.7223707519080752E-2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343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BL17">
        <v>108</v>
      </c>
      <c r="BM17">
        <v>290</v>
      </c>
      <c r="BN17">
        <v>982.4</v>
      </c>
      <c r="BO17">
        <v>295</v>
      </c>
      <c r="BP17">
        <v>8129.77</v>
      </c>
      <c r="BQ17">
        <v>981.18</v>
      </c>
      <c r="BR17">
        <v>1.22</v>
      </c>
      <c r="BS17">
        <v>300</v>
      </c>
      <c r="BT17">
        <v>19.100000000000001</v>
      </c>
      <c r="BU17">
        <v>1007.16258349372</v>
      </c>
      <c r="BV17">
        <v>2.28379715037536</v>
      </c>
      <c r="BW17">
        <v>-21.126763639212701</v>
      </c>
      <c r="BX17">
        <v>1.6610954704837499</v>
      </c>
      <c r="BY17">
        <v>0.85244682187806697</v>
      </c>
      <c r="BZ17">
        <v>-5.3788734149054496E-3</v>
      </c>
      <c r="CA17">
        <v>290</v>
      </c>
      <c r="CB17">
        <v>973.25</v>
      </c>
      <c r="CC17">
        <v>615</v>
      </c>
      <c r="CD17">
        <v>8126.22</v>
      </c>
      <c r="CE17">
        <v>981.16</v>
      </c>
      <c r="CF17">
        <v>-7.91</v>
      </c>
      <c r="CT17">
        <f t="shared" ref="CT17:CT28" si="42">$B$11*DR17+$C$11*DS17+$F$11*DT17*(1-DW17)</f>
        <v>1500.00833333333</v>
      </c>
      <c r="CU17">
        <f t="shared" ref="CU17:CU28" si="43">CT17*CV17</f>
        <v>1261.2181080820803</v>
      </c>
      <c r="CV17">
        <f t="shared" ref="CV17:CV28" si="44">($B$11*$D$9+$C$11*$D$9+$F$11*((EG17+DY17)/MAX(EG17+DY17+EH17, 0.1)*$I$9+EH17/MAX(EG17+DY17+EH17, 0.1)*$J$9))/($B$11+$C$11+$F$11)</f>
        <v>0.84080740090249484</v>
      </c>
      <c r="CW17">
        <f t="shared" ref="CW17:CW28" si="45">($B$11*$K$9+$C$11*$K$9+$F$11*((EG17+DY17)/MAX(EG17+DY17+EH17, 0.1)*$P$9+EH17/MAX(EG17+DY17+EH17, 0.1)*$Q$9))/($B$11+$C$11+$F$11)</f>
        <v>0.16115828374181496</v>
      </c>
      <c r="CX17">
        <v>2</v>
      </c>
      <c r="CY17">
        <v>0.5</v>
      </c>
      <c r="CZ17" t="s">
        <v>344</v>
      </c>
      <c r="DA17">
        <v>2</v>
      </c>
      <c r="DB17">
        <v>1791087068.5</v>
      </c>
      <c r="DC17">
        <v>390.57366666666701</v>
      </c>
      <c r="DD17">
        <v>399.99149999999997</v>
      </c>
      <c r="DE17">
        <v>17.794533333333298</v>
      </c>
      <c r="DF17">
        <v>15.9629666666667</v>
      </c>
      <c r="DG17">
        <v>390.93666666666701</v>
      </c>
      <c r="DH17">
        <v>17.965533333333301</v>
      </c>
      <c r="DI17">
        <v>499.97866666666698</v>
      </c>
      <c r="DJ17">
        <v>100.9425</v>
      </c>
      <c r="DK17">
        <v>9.9816600000000005E-2</v>
      </c>
      <c r="DL17">
        <v>25.451533333333298</v>
      </c>
      <c r="DM17">
        <v>24.99925</v>
      </c>
      <c r="DN17">
        <v>999.9</v>
      </c>
      <c r="DO17">
        <v>0</v>
      </c>
      <c r="DP17">
        <v>0</v>
      </c>
      <c r="DQ17">
        <v>10032.200000000001</v>
      </c>
      <c r="DR17">
        <v>0</v>
      </c>
      <c r="DS17">
        <v>8.9218600000000006</v>
      </c>
      <c r="DT17">
        <v>1500.00833333333</v>
      </c>
      <c r="DU17">
        <v>0.97299316666666702</v>
      </c>
      <c r="DV17">
        <v>2.7006466666666701E-2</v>
      </c>
      <c r="DW17">
        <v>0</v>
      </c>
      <c r="DX17">
        <v>288.13400000000001</v>
      </c>
      <c r="DY17">
        <v>4.9999900000000004</v>
      </c>
      <c r="DZ17">
        <v>4283.88666666667</v>
      </c>
      <c r="EA17">
        <v>14882.6333333333</v>
      </c>
      <c r="EB17">
        <v>38.061999999999998</v>
      </c>
      <c r="EC17">
        <v>39.75</v>
      </c>
      <c r="ED17">
        <v>38.686999999999998</v>
      </c>
      <c r="EE17">
        <v>39.186999999999998</v>
      </c>
      <c r="EF17">
        <v>39.625</v>
      </c>
      <c r="EG17">
        <v>1454.6283333333299</v>
      </c>
      <c r="EH17">
        <v>40.369999999999997</v>
      </c>
      <c r="EI17">
        <v>0</v>
      </c>
      <c r="EJ17">
        <v>2987.2000000476801</v>
      </c>
      <c r="EK17">
        <v>0</v>
      </c>
      <c r="EL17">
        <v>288.48932000000002</v>
      </c>
      <c r="EM17">
        <v>0.22146152936559599</v>
      </c>
      <c r="EN17">
        <v>-0.85307692655897005</v>
      </c>
      <c r="EO17">
        <v>4283.7272000000003</v>
      </c>
      <c r="EP17">
        <v>15</v>
      </c>
      <c r="EQ17">
        <v>1791087008</v>
      </c>
      <c r="ER17" t="s">
        <v>345</v>
      </c>
      <c r="ES17">
        <v>1791087007</v>
      </c>
      <c r="ET17">
        <v>1791087008</v>
      </c>
      <c r="EU17">
        <v>21</v>
      </c>
      <c r="EV17">
        <v>-2.5000000000000001E-2</v>
      </c>
      <c r="EW17">
        <v>2E-3</v>
      </c>
      <c r="EX17">
        <v>-0.35099999999999998</v>
      </c>
      <c r="EY17">
        <v>-0.17699999999999999</v>
      </c>
      <c r="EZ17">
        <v>400</v>
      </c>
      <c r="FA17">
        <v>16</v>
      </c>
      <c r="FB17">
        <v>0.26</v>
      </c>
      <c r="FC17">
        <v>0.06</v>
      </c>
      <c r="FD17">
        <v>21.756350798419099</v>
      </c>
      <c r="FE17">
        <v>-0.149358728419062</v>
      </c>
      <c r="FF17">
        <v>6.6095121583793104E-2</v>
      </c>
      <c r="FG17">
        <v>1</v>
      </c>
      <c r="FH17">
        <v>-9.4305994999999996</v>
      </c>
      <c r="FI17">
        <v>2.41249624060179E-2</v>
      </c>
      <c r="FJ17">
        <v>2.5969713990531201E-2</v>
      </c>
      <c r="FK17">
        <v>1</v>
      </c>
      <c r="FL17">
        <v>288.41491176470601</v>
      </c>
      <c r="FM17">
        <v>1.9404167036711599E-3</v>
      </c>
      <c r="FN17">
        <v>0.44017211658002198</v>
      </c>
      <c r="FO17">
        <v>-1</v>
      </c>
      <c r="FP17">
        <v>2</v>
      </c>
      <c r="FQ17">
        <v>2</v>
      </c>
      <c r="FR17" t="s">
        <v>346</v>
      </c>
      <c r="FS17">
        <v>100</v>
      </c>
      <c r="FT17">
        <v>100</v>
      </c>
      <c r="FU17">
        <v>-0.36399999999999999</v>
      </c>
      <c r="FV17">
        <v>-0.1709</v>
      </c>
      <c r="FW17">
        <v>-0.77556780653646296</v>
      </c>
      <c r="FX17">
        <v>7.6835882421071803E-4</v>
      </c>
      <c r="FY17">
        <v>7.9312579872174805E-7</v>
      </c>
      <c r="FZ17">
        <v>-1.5433145656851401E-10</v>
      </c>
      <c r="GA17">
        <v>-2.2030641760508399E-2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1.1000000000000001</v>
      </c>
      <c r="GJ17">
        <v>1.1000000000000001</v>
      </c>
      <c r="GK17">
        <v>1.0351600000000001</v>
      </c>
      <c r="GL17">
        <v>2.63306</v>
      </c>
      <c r="GM17">
        <v>1.65161</v>
      </c>
      <c r="GN17">
        <v>2.2839399999999999</v>
      </c>
      <c r="GO17">
        <v>1.5979000000000001</v>
      </c>
      <c r="GP17">
        <v>2.65747</v>
      </c>
      <c r="GQ17">
        <v>37.843699999999998</v>
      </c>
      <c r="GR17">
        <v>23.780999999999999</v>
      </c>
      <c r="GS17">
        <v>18</v>
      </c>
      <c r="GT17">
        <v>507.64800000000002</v>
      </c>
      <c r="GU17">
        <v>512.26099999999997</v>
      </c>
      <c r="GV17">
        <v>21.200500000000002</v>
      </c>
      <c r="GW17">
        <v>30.749300000000002</v>
      </c>
      <c r="GX17">
        <v>30.0001</v>
      </c>
      <c r="GY17">
        <v>30.8748</v>
      </c>
      <c r="GZ17">
        <v>30.927800000000001</v>
      </c>
      <c r="HA17">
        <v>20.706</v>
      </c>
      <c r="HB17">
        <v>34.190300000000001</v>
      </c>
      <c r="HC17">
        <v>0</v>
      </c>
      <c r="HD17">
        <v>21.235800000000001</v>
      </c>
      <c r="HE17">
        <v>400</v>
      </c>
      <c r="HF17">
        <v>15.9575</v>
      </c>
      <c r="HG17">
        <v>97.826599999999999</v>
      </c>
      <c r="HH17">
        <v>94.408299999999997</v>
      </c>
    </row>
    <row r="18" spans="1:216" x14ac:dyDescent="0.6">
      <c r="A18">
        <v>2</v>
      </c>
      <c r="B18">
        <v>1791087193</v>
      </c>
      <c r="C18">
        <v>121</v>
      </c>
      <c r="D18" t="s">
        <v>347</v>
      </c>
      <c r="E18" t="s">
        <v>348</v>
      </c>
      <c r="F18">
        <v>5</v>
      </c>
      <c r="G18">
        <v>1791087190</v>
      </c>
      <c r="H18">
        <f t="shared" si="0"/>
        <v>4.7520446944321606E-3</v>
      </c>
      <c r="I18">
        <f t="shared" si="1"/>
        <v>4.7520446944321604</v>
      </c>
      <c r="J18">
        <f t="shared" si="2"/>
        <v>16.325274085193158</v>
      </c>
      <c r="K18">
        <f t="shared" si="3"/>
        <v>292.91359999999997</v>
      </c>
      <c r="L18">
        <f t="shared" si="4"/>
        <v>210.93667545950692</v>
      </c>
      <c r="M18">
        <f t="shared" si="5"/>
        <v>21.313295335562085</v>
      </c>
      <c r="N18">
        <f t="shared" si="6"/>
        <v>29.596342366745723</v>
      </c>
      <c r="O18">
        <f t="shared" si="7"/>
        <v>0.36133208153094604</v>
      </c>
      <c r="P18">
        <f t="shared" si="8"/>
        <v>3.027114379800568</v>
      </c>
      <c r="Q18">
        <f t="shared" si="9"/>
        <v>0.33896706385919367</v>
      </c>
      <c r="R18">
        <f t="shared" si="10"/>
        <v>0.21374836513512518</v>
      </c>
      <c r="S18">
        <f t="shared" si="11"/>
        <v>241.72850099908931</v>
      </c>
      <c r="T18">
        <f t="shared" si="12"/>
        <v>25.629775910477484</v>
      </c>
      <c r="U18">
        <f t="shared" si="13"/>
        <v>24.997219999999999</v>
      </c>
      <c r="V18">
        <f t="shared" si="14"/>
        <v>3.179150624965366</v>
      </c>
      <c r="W18">
        <f t="shared" si="15"/>
        <v>55.05180841671455</v>
      </c>
      <c r="X18">
        <f t="shared" si="16"/>
        <v>1.7975189504711009</v>
      </c>
      <c r="Y18">
        <f t="shared" si="17"/>
        <v>3.265140605127419</v>
      </c>
      <c r="Z18">
        <f t="shared" si="18"/>
        <v>1.3816316744942652</v>
      </c>
      <c r="AA18">
        <f t="shared" si="19"/>
        <v>-209.56517102445829</v>
      </c>
      <c r="AB18">
        <f t="shared" si="20"/>
        <v>73.177889235004102</v>
      </c>
      <c r="AC18">
        <f t="shared" si="21"/>
        <v>5.124824552063135</v>
      </c>
      <c r="AD18">
        <f t="shared" si="22"/>
        <v>110.46604376169824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53667.640267674484</v>
      </c>
      <c r="AJ18" t="s">
        <v>343</v>
      </c>
      <c r="AK18" t="s">
        <v>343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1261.1640680824298</v>
      </c>
      <c r="AW18">
        <f t="shared" si="29"/>
        <v>16.325274085193158</v>
      </c>
      <c r="AX18" t="e">
        <f t="shared" si="30"/>
        <v>#DIV/0!</v>
      </c>
      <c r="AY18">
        <f t="shared" si="31"/>
        <v>1.2944607682976055E-2</v>
      </c>
      <c r="AZ18" t="e">
        <f t="shared" si="32"/>
        <v>#DIV/0!</v>
      </c>
      <c r="BA18" t="e">
        <f t="shared" si="33"/>
        <v>#DIV/0!</v>
      </c>
      <c r="BB18" t="s">
        <v>343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BL18">
        <v>108</v>
      </c>
      <c r="BM18">
        <v>290</v>
      </c>
      <c r="BN18">
        <v>982.4</v>
      </c>
      <c r="BO18">
        <v>295</v>
      </c>
      <c r="BP18">
        <v>8129.77</v>
      </c>
      <c r="BQ18">
        <v>981.18</v>
      </c>
      <c r="BR18">
        <v>1.22</v>
      </c>
      <c r="BS18">
        <v>300</v>
      </c>
      <c r="BT18">
        <v>19.100000000000001</v>
      </c>
      <c r="BU18">
        <v>1007.16258349372</v>
      </c>
      <c r="BV18">
        <v>2.28379715037536</v>
      </c>
      <c r="BW18">
        <v>-21.126763639212701</v>
      </c>
      <c r="BX18">
        <v>1.6610954704837499</v>
      </c>
      <c r="BY18">
        <v>0.85244682187806697</v>
      </c>
      <c r="BZ18">
        <v>-5.3788734149054496E-3</v>
      </c>
      <c r="CA18">
        <v>290</v>
      </c>
      <c r="CB18">
        <v>973.25</v>
      </c>
      <c r="CC18">
        <v>615</v>
      </c>
      <c r="CD18">
        <v>8126.22</v>
      </c>
      <c r="CE18">
        <v>981.16</v>
      </c>
      <c r="CF18">
        <v>-7.91</v>
      </c>
      <c r="CT18">
        <f t="shared" si="42"/>
        <v>1499.944</v>
      </c>
      <c r="CU18">
        <f t="shared" si="43"/>
        <v>1261.1640680824298</v>
      </c>
      <c r="CV18">
        <f t="shared" si="44"/>
        <v>0.84080743553254644</v>
      </c>
      <c r="CW18">
        <f t="shared" si="45"/>
        <v>0.16115835057781444</v>
      </c>
      <c r="CX18">
        <v>2</v>
      </c>
      <c r="CY18">
        <v>0.5</v>
      </c>
      <c r="CZ18" t="s">
        <v>344</v>
      </c>
      <c r="DA18">
        <v>2</v>
      </c>
      <c r="DB18">
        <v>1791087190</v>
      </c>
      <c r="DC18">
        <v>292.91359999999997</v>
      </c>
      <c r="DD18">
        <v>300.00040000000001</v>
      </c>
      <c r="DE18">
        <v>17.789960000000001</v>
      </c>
      <c r="DF18">
        <v>15.922980000000001</v>
      </c>
      <c r="DG18">
        <v>293.2636</v>
      </c>
      <c r="DH18">
        <v>17.961880000000001</v>
      </c>
      <c r="DI18">
        <v>500.00599999999997</v>
      </c>
      <c r="DJ18">
        <v>100.94119999999999</v>
      </c>
      <c r="DK18">
        <v>0.10000248</v>
      </c>
      <c r="DL18">
        <v>25.445620000000002</v>
      </c>
      <c r="DM18">
        <v>24.997219999999999</v>
      </c>
      <c r="DN18">
        <v>999.9</v>
      </c>
      <c r="DO18">
        <v>0</v>
      </c>
      <c r="DP18">
        <v>0</v>
      </c>
      <c r="DQ18">
        <v>10002.876</v>
      </c>
      <c r="DR18">
        <v>0</v>
      </c>
      <c r="DS18">
        <v>8.9179060000000003</v>
      </c>
      <c r="DT18">
        <v>1499.944</v>
      </c>
      <c r="DU18">
        <v>0.97299199999999997</v>
      </c>
      <c r="DV18">
        <v>2.7007659999999999E-2</v>
      </c>
      <c r="DW18">
        <v>0</v>
      </c>
      <c r="DX18">
        <v>282.22399999999999</v>
      </c>
      <c r="DY18">
        <v>4.9999900000000004</v>
      </c>
      <c r="DZ18">
        <v>4198.5259999999998</v>
      </c>
      <c r="EA18">
        <v>14882</v>
      </c>
      <c r="EB18">
        <v>38.087200000000003</v>
      </c>
      <c r="EC18">
        <v>39.75</v>
      </c>
      <c r="ED18">
        <v>38.699599999999997</v>
      </c>
      <c r="EE18">
        <v>39.25</v>
      </c>
      <c r="EF18">
        <v>39.6374</v>
      </c>
      <c r="EG18">
        <v>1454.5640000000001</v>
      </c>
      <c r="EH18">
        <v>40.369999999999997</v>
      </c>
      <c r="EI18">
        <v>0</v>
      </c>
      <c r="EJ18">
        <v>3107.7999999523199</v>
      </c>
      <c r="EK18">
        <v>0</v>
      </c>
      <c r="EL18">
        <v>282.57957692307701</v>
      </c>
      <c r="EM18">
        <v>-1.4552820410201801</v>
      </c>
      <c r="EN18">
        <v>-15.5494017219615</v>
      </c>
      <c r="EO18">
        <v>4199.7576923076904</v>
      </c>
      <c r="EP18">
        <v>15</v>
      </c>
      <c r="EQ18">
        <v>1791087136</v>
      </c>
      <c r="ER18" t="s">
        <v>349</v>
      </c>
      <c r="ES18">
        <v>1791087133</v>
      </c>
      <c r="ET18">
        <v>1791087136</v>
      </c>
      <c r="EU18">
        <v>22</v>
      </c>
      <c r="EV18">
        <v>0.13600000000000001</v>
      </c>
      <c r="EW18">
        <v>-1E-3</v>
      </c>
      <c r="EX18">
        <v>-0.34100000000000003</v>
      </c>
      <c r="EY18">
        <v>-0.17799999999999999</v>
      </c>
      <c r="EZ18">
        <v>300</v>
      </c>
      <c r="FA18">
        <v>16</v>
      </c>
      <c r="FB18">
        <v>0.23</v>
      </c>
      <c r="FC18">
        <v>0.03</v>
      </c>
      <c r="FD18">
        <v>16.3003054092638</v>
      </c>
      <c r="FE18">
        <v>0.149936256529802</v>
      </c>
      <c r="FF18">
        <v>7.2287336560075993E-2</v>
      </c>
      <c r="FG18">
        <v>1</v>
      </c>
      <c r="FH18">
        <v>-7.0796819047619</v>
      </c>
      <c r="FI18">
        <v>-2.4344415584418602E-2</v>
      </c>
      <c r="FJ18">
        <v>2.7616551389657601E-2</v>
      </c>
      <c r="FK18">
        <v>1</v>
      </c>
      <c r="FL18">
        <v>282.667647058824</v>
      </c>
      <c r="FM18">
        <v>-1.9309396338542599</v>
      </c>
      <c r="FN18">
        <v>0.47564580756698999</v>
      </c>
      <c r="FO18">
        <v>-1</v>
      </c>
      <c r="FP18">
        <v>2</v>
      </c>
      <c r="FQ18">
        <v>2</v>
      </c>
      <c r="FR18" t="s">
        <v>346</v>
      </c>
      <c r="FS18">
        <v>100</v>
      </c>
      <c r="FT18">
        <v>100</v>
      </c>
      <c r="FU18">
        <v>-0.35</v>
      </c>
      <c r="FV18">
        <v>-0.1719</v>
      </c>
      <c r="FW18">
        <v>-0.63953608127850903</v>
      </c>
      <c r="FX18">
        <v>7.6835882421071803E-4</v>
      </c>
      <c r="FY18">
        <v>7.9312579872174805E-7</v>
      </c>
      <c r="FZ18">
        <v>-1.5433145656851401E-10</v>
      </c>
      <c r="GA18">
        <v>-2.2928354550840201E-2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1</v>
      </c>
      <c r="GJ18">
        <v>0.9</v>
      </c>
      <c r="GK18">
        <v>0.82519500000000001</v>
      </c>
      <c r="GL18">
        <v>2.6415999999999999</v>
      </c>
      <c r="GM18">
        <v>1.65161</v>
      </c>
      <c r="GN18">
        <v>2.2839399999999999</v>
      </c>
      <c r="GO18">
        <v>1.5979000000000001</v>
      </c>
      <c r="GP18">
        <v>2.63672</v>
      </c>
      <c r="GQ18">
        <v>37.9649</v>
      </c>
      <c r="GR18">
        <v>23.780999999999999</v>
      </c>
      <c r="GS18">
        <v>18</v>
      </c>
      <c r="GT18">
        <v>507.65300000000002</v>
      </c>
      <c r="GU18">
        <v>511.26600000000002</v>
      </c>
      <c r="GV18">
        <v>21.216999999999999</v>
      </c>
      <c r="GW18">
        <v>30.768000000000001</v>
      </c>
      <c r="GX18">
        <v>30.0002</v>
      </c>
      <c r="GY18">
        <v>30.893000000000001</v>
      </c>
      <c r="GZ18">
        <v>30.943899999999999</v>
      </c>
      <c r="HA18">
        <v>16.515899999999998</v>
      </c>
      <c r="HB18">
        <v>34.414499999999997</v>
      </c>
      <c r="HC18">
        <v>0</v>
      </c>
      <c r="HD18">
        <v>21.217199999999998</v>
      </c>
      <c r="HE18">
        <v>300</v>
      </c>
      <c r="HF18">
        <v>15.9368</v>
      </c>
      <c r="HG18">
        <v>97.824600000000004</v>
      </c>
      <c r="HH18">
        <v>94.406899999999993</v>
      </c>
    </row>
    <row r="19" spans="1:216" x14ac:dyDescent="0.6">
      <c r="A19">
        <v>3</v>
      </c>
      <c r="B19">
        <v>1791087314</v>
      </c>
      <c r="C19">
        <v>242</v>
      </c>
      <c r="D19" t="s">
        <v>350</v>
      </c>
      <c r="E19" t="s">
        <v>351</v>
      </c>
      <c r="F19">
        <v>5</v>
      </c>
      <c r="G19">
        <v>1791087311</v>
      </c>
      <c r="H19">
        <f t="shared" si="0"/>
        <v>4.8460855007127048E-3</v>
      </c>
      <c r="I19">
        <f t="shared" si="1"/>
        <v>4.8460855007127046</v>
      </c>
      <c r="J19">
        <f t="shared" si="2"/>
        <v>10.054285716757294</v>
      </c>
      <c r="K19">
        <f t="shared" si="3"/>
        <v>195.62459999999999</v>
      </c>
      <c r="L19">
        <f t="shared" si="4"/>
        <v>145.76316981686199</v>
      </c>
      <c r="M19">
        <f t="shared" si="5"/>
        <v>14.727930822765805</v>
      </c>
      <c r="N19">
        <f t="shared" si="6"/>
        <v>19.765936619319721</v>
      </c>
      <c r="O19">
        <f t="shared" si="7"/>
        <v>0.36934508213339118</v>
      </c>
      <c r="P19">
        <f t="shared" si="8"/>
        <v>3.0280891098764116</v>
      </c>
      <c r="Q19">
        <f t="shared" si="9"/>
        <v>0.34601848201337027</v>
      </c>
      <c r="R19">
        <f t="shared" si="10"/>
        <v>0.21823447176515676</v>
      </c>
      <c r="S19">
        <f t="shared" si="11"/>
        <v>241.73743859850691</v>
      </c>
      <c r="T19">
        <f t="shared" si="12"/>
        <v>25.59691437747831</v>
      </c>
      <c r="U19">
        <f t="shared" si="13"/>
        <v>24.983820000000001</v>
      </c>
      <c r="V19">
        <f t="shared" si="14"/>
        <v>3.176611648150832</v>
      </c>
      <c r="W19">
        <f t="shared" si="15"/>
        <v>55.045526150988024</v>
      </c>
      <c r="X19">
        <f t="shared" si="16"/>
        <v>1.7963400761859358</v>
      </c>
      <c r="Y19">
        <f t="shared" si="17"/>
        <v>3.2633716158124018</v>
      </c>
      <c r="Z19">
        <f t="shared" si="18"/>
        <v>1.3802715719648961</v>
      </c>
      <c r="AA19">
        <f t="shared" si="19"/>
        <v>-213.71237058143029</v>
      </c>
      <c r="AB19">
        <f t="shared" si="20"/>
        <v>73.900163952690903</v>
      </c>
      <c r="AC19">
        <f t="shared" si="21"/>
        <v>5.1731552946396979</v>
      </c>
      <c r="AD19">
        <f t="shared" si="22"/>
        <v>107.09838726440721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53699.589038504855</v>
      </c>
      <c r="AJ19" t="s">
        <v>343</v>
      </c>
      <c r="AK19" t="s">
        <v>343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1261.211108082128</v>
      </c>
      <c r="AW19">
        <f t="shared" si="29"/>
        <v>10.054285716757294</v>
      </c>
      <c r="AX19" t="e">
        <f t="shared" si="30"/>
        <v>#DIV/0!</v>
      </c>
      <c r="AY19">
        <f t="shared" si="31"/>
        <v>7.9719292450939738E-3</v>
      </c>
      <c r="AZ19" t="e">
        <f t="shared" si="32"/>
        <v>#DIV/0!</v>
      </c>
      <c r="BA19" t="e">
        <f t="shared" si="33"/>
        <v>#DIV/0!</v>
      </c>
      <c r="BB19" t="s">
        <v>343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BL19">
        <v>108</v>
      </c>
      <c r="BM19">
        <v>290</v>
      </c>
      <c r="BN19">
        <v>982.4</v>
      </c>
      <c r="BO19">
        <v>295</v>
      </c>
      <c r="BP19">
        <v>8129.77</v>
      </c>
      <c r="BQ19">
        <v>981.18</v>
      </c>
      <c r="BR19">
        <v>1.22</v>
      </c>
      <c r="BS19">
        <v>300</v>
      </c>
      <c r="BT19">
        <v>19.100000000000001</v>
      </c>
      <c r="BU19">
        <v>1007.16258349372</v>
      </c>
      <c r="BV19">
        <v>2.28379715037536</v>
      </c>
      <c r="BW19">
        <v>-21.126763639212701</v>
      </c>
      <c r="BX19">
        <v>1.6610954704837499</v>
      </c>
      <c r="BY19">
        <v>0.85244682187806697</v>
      </c>
      <c r="BZ19">
        <v>-5.3788734149054496E-3</v>
      </c>
      <c r="CA19">
        <v>290</v>
      </c>
      <c r="CB19">
        <v>973.25</v>
      </c>
      <c r="CC19">
        <v>615</v>
      </c>
      <c r="CD19">
        <v>8126.22</v>
      </c>
      <c r="CE19">
        <v>981.16</v>
      </c>
      <c r="CF19">
        <v>-7.91</v>
      </c>
      <c r="CT19">
        <f t="shared" si="42"/>
        <v>1500</v>
      </c>
      <c r="CU19">
        <f t="shared" si="43"/>
        <v>1261.211108082128</v>
      </c>
      <c r="CV19">
        <f t="shared" si="44"/>
        <v>0.84080740538808529</v>
      </c>
      <c r="CW19">
        <f t="shared" si="45"/>
        <v>0.16115829239900462</v>
      </c>
      <c r="CX19">
        <v>2</v>
      </c>
      <c r="CY19">
        <v>0.5</v>
      </c>
      <c r="CZ19" t="s">
        <v>344</v>
      </c>
      <c r="DA19">
        <v>2</v>
      </c>
      <c r="DB19">
        <v>1791087311</v>
      </c>
      <c r="DC19">
        <v>195.62459999999999</v>
      </c>
      <c r="DD19">
        <v>200.02539999999999</v>
      </c>
      <c r="DE19">
        <v>17.778479999999998</v>
      </c>
      <c r="DF19">
        <v>15.874560000000001</v>
      </c>
      <c r="DG19">
        <v>196.02359999999999</v>
      </c>
      <c r="DH19">
        <v>17.951820000000001</v>
      </c>
      <c r="DI19">
        <v>500.0136</v>
      </c>
      <c r="DJ19">
        <v>100.9402</v>
      </c>
      <c r="DK19">
        <v>9.9938200000000005E-2</v>
      </c>
      <c r="DL19">
        <v>25.436499999999999</v>
      </c>
      <c r="DM19">
        <v>24.983820000000001</v>
      </c>
      <c r="DN19">
        <v>999.9</v>
      </c>
      <c r="DO19">
        <v>0</v>
      </c>
      <c r="DP19">
        <v>0</v>
      </c>
      <c r="DQ19">
        <v>10008.870000000001</v>
      </c>
      <c r="DR19">
        <v>0</v>
      </c>
      <c r="DS19">
        <v>8.9198839999999997</v>
      </c>
      <c r="DT19">
        <v>1500</v>
      </c>
      <c r="DU19">
        <v>0.972993</v>
      </c>
      <c r="DV19">
        <v>2.7006619999999999E-2</v>
      </c>
      <c r="DW19">
        <v>0</v>
      </c>
      <c r="DX19">
        <v>280.97879999999998</v>
      </c>
      <c r="DY19">
        <v>4.9999900000000004</v>
      </c>
      <c r="DZ19">
        <v>4173.442</v>
      </c>
      <c r="EA19">
        <v>14882.58</v>
      </c>
      <c r="EB19">
        <v>38.087200000000003</v>
      </c>
      <c r="EC19">
        <v>39.75</v>
      </c>
      <c r="ED19">
        <v>38.686999999999998</v>
      </c>
      <c r="EE19">
        <v>39.224800000000002</v>
      </c>
      <c r="EF19">
        <v>39.625</v>
      </c>
      <c r="EG19">
        <v>1454.62</v>
      </c>
      <c r="EH19">
        <v>40.369999999999997</v>
      </c>
      <c r="EI19">
        <v>0</v>
      </c>
      <c r="EJ19">
        <v>3229</v>
      </c>
      <c r="EK19">
        <v>0</v>
      </c>
      <c r="EL19">
        <v>280.89496153846198</v>
      </c>
      <c r="EM19">
        <v>0.56365815131827501</v>
      </c>
      <c r="EN19">
        <v>-2.0239316374345999</v>
      </c>
      <c r="EO19">
        <v>4173.4184615384602</v>
      </c>
      <c r="EP19">
        <v>15</v>
      </c>
      <c r="EQ19">
        <v>1791087259</v>
      </c>
      <c r="ER19" t="s">
        <v>352</v>
      </c>
      <c r="ES19">
        <v>1791087252</v>
      </c>
      <c r="ET19">
        <v>1791087259</v>
      </c>
      <c r="EU19">
        <v>23</v>
      </c>
      <c r="EV19">
        <v>6.0999999999999999E-2</v>
      </c>
      <c r="EW19">
        <v>-1E-3</v>
      </c>
      <c r="EX19">
        <v>-0.39500000000000002</v>
      </c>
      <c r="EY19">
        <v>-0.17899999999999999</v>
      </c>
      <c r="EZ19">
        <v>200</v>
      </c>
      <c r="FA19">
        <v>16</v>
      </c>
      <c r="FB19">
        <v>0.28000000000000003</v>
      </c>
      <c r="FC19">
        <v>0.04</v>
      </c>
      <c r="FD19">
        <v>9.9869948978083407</v>
      </c>
      <c r="FE19">
        <v>8.1893291117787703E-2</v>
      </c>
      <c r="FF19">
        <v>7.8517269163671896E-2</v>
      </c>
      <c r="FG19">
        <v>1</v>
      </c>
      <c r="FH19">
        <v>-4.3781499999999998</v>
      </c>
      <c r="FI19">
        <v>3.4721503759397199E-2</v>
      </c>
      <c r="FJ19">
        <v>3.1997004234771698E-2</v>
      </c>
      <c r="FK19">
        <v>1</v>
      </c>
      <c r="FL19">
        <v>280.916</v>
      </c>
      <c r="FM19">
        <v>0.39654700071777998</v>
      </c>
      <c r="FN19">
        <v>0.62386249427634699</v>
      </c>
      <c r="FO19">
        <v>-1</v>
      </c>
      <c r="FP19">
        <v>2</v>
      </c>
      <c r="FQ19">
        <v>2</v>
      </c>
      <c r="FR19" t="s">
        <v>346</v>
      </c>
      <c r="FS19">
        <v>100</v>
      </c>
      <c r="FT19">
        <v>100</v>
      </c>
      <c r="FU19">
        <v>-0.39900000000000002</v>
      </c>
      <c r="FV19">
        <v>-0.17330000000000001</v>
      </c>
      <c r="FW19">
        <v>-0.57906253286625797</v>
      </c>
      <c r="FX19">
        <v>7.6835882421071803E-4</v>
      </c>
      <c r="FY19">
        <v>7.9312579872174805E-7</v>
      </c>
      <c r="FZ19">
        <v>-1.5433145656851401E-10</v>
      </c>
      <c r="GA19">
        <v>-2.4354670309018601E-2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1</v>
      </c>
      <c r="GJ19">
        <v>0.9</v>
      </c>
      <c r="GK19">
        <v>0.60668900000000003</v>
      </c>
      <c r="GL19">
        <v>2.66357</v>
      </c>
      <c r="GM19">
        <v>1.65161</v>
      </c>
      <c r="GN19">
        <v>2.2851599999999999</v>
      </c>
      <c r="GO19">
        <v>1.5979000000000001</v>
      </c>
      <c r="GP19">
        <v>2.5647000000000002</v>
      </c>
      <c r="GQ19">
        <v>38.086300000000001</v>
      </c>
      <c r="GR19">
        <v>23.772300000000001</v>
      </c>
      <c r="GS19">
        <v>18</v>
      </c>
      <c r="GT19">
        <v>507.61</v>
      </c>
      <c r="GU19">
        <v>510.43799999999999</v>
      </c>
      <c r="GV19">
        <v>21.168500000000002</v>
      </c>
      <c r="GW19">
        <v>30.784099999999999</v>
      </c>
      <c r="GX19">
        <v>29.999700000000001</v>
      </c>
      <c r="GY19">
        <v>30.909099999999999</v>
      </c>
      <c r="GZ19">
        <v>30.96</v>
      </c>
      <c r="HA19">
        <v>12.1294</v>
      </c>
      <c r="HB19">
        <v>34.618699999999997</v>
      </c>
      <c r="HC19">
        <v>0</v>
      </c>
      <c r="HD19">
        <v>21.181699999999999</v>
      </c>
      <c r="HE19">
        <v>200</v>
      </c>
      <c r="HF19">
        <v>15.914</v>
      </c>
      <c r="HG19">
        <v>97.817400000000006</v>
      </c>
      <c r="HH19">
        <v>94.401600000000002</v>
      </c>
    </row>
    <row r="20" spans="1:216" x14ac:dyDescent="0.6">
      <c r="A20">
        <v>4</v>
      </c>
      <c r="B20">
        <v>1791087435</v>
      </c>
      <c r="C20">
        <v>363</v>
      </c>
      <c r="D20" t="s">
        <v>353</v>
      </c>
      <c r="E20" t="s">
        <v>354</v>
      </c>
      <c r="F20">
        <v>5</v>
      </c>
      <c r="G20">
        <v>1791087431.5</v>
      </c>
      <c r="H20">
        <f t="shared" si="0"/>
        <v>4.9127332708552513E-3</v>
      </c>
      <c r="I20">
        <f t="shared" si="1"/>
        <v>4.9127332708552514</v>
      </c>
      <c r="J20">
        <f t="shared" si="2"/>
        <v>2.9344744142555599</v>
      </c>
      <c r="K20">
        <f t="shared" si="3"/>
        <v>98.633883333333301</v>
      </c>
      <c r="L20">
        <f t="shared" si="4"/>
        <v>83.337984575945342</v>
      </c>
      <c r="M20">
        <f t="shared" si="5"/>
        <v>8.4204638570461192</v>
      </c>
      <c r="N20">
        <f t="shared" si="6"/>
        <v>9.9659603470680107</v>
      </c>
      <c r="O20">
        <f t="shared" si="7"/>
        <v>0.3744466344447907</v>
      </c>
      <c r="P20">
        <f t="shared" si="8"/>
        <v>3.0249101747670117</v>
      </c>
      <c r="Q20">
        <f t="shared" si="9"/>
        <v>0.350470160363405</v>
      </c>
      <c r="R20">
        <f t="shared" si="10"/>
        <v>0.22106998044433954</v>
      </c>
      <c r="S20">
        <f t="shared" si="11"/>
        <v>241.73637200139569</v>
      </c>
      <c r="T20">
        <f t="shared" si="12"/>
        <v>25.589658030920244</v>
      </c>
      <c r="U20">
        <f t="shared" si="13"/>
        <v>25.005649999999999</v>
      </c>
      <c r="V20">
        <f t="shared" si="14"/>
        <v>3.1807488152380627</v>
      </c>
      <c r="W20">
        <f t="shared" si="15"/>
        <v>55.105963797108615</v>
      </c>
      <c r="X20">
        <f t="shared" si="16"/>
        <v>1.7993206995627766</v>
      </c>
      <c r="Y20">
        <f t="shared" si="17"/>
        <v>3.2652013966901823</v>
      </c>
      <c r="Z20">
        <f t="shared" si="18"/>
        <v>1.3814281156752861</v>
      </c>
      <c r="AA20">
        <f t="shared" si="19"/>
        <v>-216.65153724471659</v>
      </c>
      <c r="AB20">
        <f t="shared" si="20"/>
        <v>71.800946935072261</v>
      </c>
      <c r="AC20">
        <f t="shared" si="21"/>
        <v>5.0322792633246527</v>
      </c>
      <c r="AD20">
        <f t="shared" si="22"/>
        <v>101.91806095507602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53599.013060568206</v>
      </c>
      <c r="AJ20" t="s">
        <v>343</v>
      </c>
      <c r="AK20" t="s">
        <v>343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1261.205506736472</v>
      </c>
      <c r="AW20">
        <f t="shared" si="29"/>
        <v>2.9344744142555599</v>
      </c>
      <c r="AX20" t="e">
        <f t="shared" si="30"/>
        <v>#DIV/0!</v>
      </c>
      <c r="AY20">
        <f t="shared" si="31"/>
        <v>2.3267218534819768E-3</v>
      </c>
      <c r="AZ20" t="e">
        <f t="shared" si="32"/>
        <v>#DIV/0!</v>
      </c>
      <c r="BA20" t="e">
        <f t="shared" si="33"/>
        <v>#DIV/0!</v>
      </c>
      <c r="BB20" t="s">
        <v>343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BL20">
        <v>108</v>
      </c>
      <c r="BM20">
        <v>290</v>
      </c>
      <c r="BN20">
        <v>982.4</v>
      </c>
      <c r="BO20">
        <v>295</v>
      </c>
      <c r="BP20">
        <v>8129.77</v>
      </c>
      <c r="BQ20">
        <v>981.18</v>
      </c>
      <c r="BR20">
        <v>1.22</v>
      </c>
      <c r="BS20">
        <v>300</v>
      </c>
      <c r="BT20">
        <v>19.100000000000001</v>
      </c>
      <c r="BU20">
        <v>1007.16258349372</v>
      </c>
      <c r="BV20">
        <v>2.28379715037536</v>
      </c>
      <c r="BW20">
        <v>-21.126763639212701</v>
      </c>
      <c r="BX20">
        <v>1.6610954704837499</v>
      </c>
      <c r="BY20">
        <v>0.85244682187806697</v>
      </c>
      <c r="BZ20">
        <v>-5.3788734149054496E-3</v>
      </c>
      <c r="CA20">
        <v>290</v>
      </c>
      <c r="CB20">
        <v>973.25</v>
      </c>
      <c r="CC20">
        <v>615</v>
      </c>
      <c r="CD20">
        <v>8126.22</v>
      </c>
      <c r="CE20">
        <v>981.16</v>
      </c>
      <c r="CF20">
        <v>-7.91</v>
      </c>
      <c r="CT20">
        <f t="shared" si="42"/>
        <v>1499.9933333333299</v>
      </c>
      <c r="CU20">
        <f t="shared" si="43"/>
        <v>1261.205506736472</v>
      </c>
      <c r="CV20">
        <f t="shared" si="44"/>
        <v>0.84080740807946353</v>
      </c>
      <c r="CW20">
        <f t="shared" si="45"/>
        <v>0.16115829759336459</v>
      </c>
      <c r="CX20">
        <v>2</v>
      </c>
      <c r="CY20">
        <v>0.5</v>
      </c>
      <c r="CZ20" t="s">
        <v>344</v>
      </c>
      <c r="DA20">
        <v>2</v>
      </c>
      <c r="DB20">
        <v>1791087431.5</v>
      </c>
      <c r="DC20">
        <v>98.633883333333301</v>
      </c>
      <c r="DD20">
        <v>100.00133333333299</v>
      </c>
      <c r="DE20">
        <v>17.808016666666699</v>
      </c>
      <c r="DF20">
        <v>15.87815</v>
      </c>
      <c r="DG20">
        <v>98.972216666666696</v>
      </c>
      <c r="DH20">
        <v>17.982116666666698</v>
      </c>
      <c r="DI20">
        <v>500.06016666666699</v>
      </c>
      <c r="DJ20">
        <v>100.939833333333</v>
      </c>
      <c r="DK20">
        <v>0.100093416666667</v>
      </c>
      <c r="DL20">
        <v>25.445933333333301</v>
      </c>
      <c r="DM20">
        <v>25.005649999999999</v>
      </c>
      <c r="DN20">
        <v>999.9</v>
      </c>
      <c r="DO20">
        <v>0</v>
      </c>
      <c r="DP20">
        <v>0</v>
      </c>
      <c r="DQ20">
        <v>9989.6933333333309</v>
      </c>
      <c r="DR20">
        <v>0</v>
      </c>
      <c r="DS20">
        <v>8.9218600000000006</v>
      </c>
      <c r="DT20">
        <v>1499.9933333333299</v>
      </c>
      <c r="DU20">
        <v>0.97299316666666702</v>
      </c>
      <c r="DV20">
        <v>2.7006450000000001E-2</v>
      </c>
      <c r="DW20">
        <v>0</v>
      </c>
      <c r="DX20">
        <v>284.30416666666702</v>
      </c>
      <c r="DY20">
        <v>4.9999900000000004</v>
      </c>
      <c r="DZ20">
        <v>4218.9533333333302</v>
      </c>
      <c r="EA20">
        <v>14882.4666666667</v>
      </c>
      <c r="EB20">
        <v>38.1145</v>
      </c>
      <c r="EC20">
        <v>39.75</v>
      </c>
      <c r="ED20">
        <v>38.75</v>
      </c>
      <c r="EE20">
        <v>39.25</v>
      </c>
      <c r="EF20">
        <v>39.645666666666699</v>
      </c>
      <c r="EG20">
        <v>1454.615</v>
      </c>
      <c r="EH20">
        <v>40.369999999999997</v>
      </c>
      <c r="EI20">
        <v>0</v>
      </c>
      <c r="EJ20">
        <v>3350.2000000476801</v>
      </c>
      <c r="EK20">
        <v>0</v>
      </c>
      <c r="EL20">
        <v>284.19099999999997</v>
      </c>
      <c r="EM20">
        <v>1.2410940108366</v>
      </c>
      <c r="EN20">
        <v>12.467350428241399</v>
      </c>
      <c r="EO20">
        <v>4218.1826923076896</v>
      </c>
      <c r="EP20">
        <v>15</v>
      </c>
      <c r="EQ20">
        <v>1791087385</v>
      </c>
      <c r="ER20" t="s">
        <v>355</v>
      </c>
      <c r="ES20">
        <v>1791087385</v>
      </c>
      <c r="ET20">
        <v>1791087378</v>
      </c>
      <c r="EU20">
        <v>24</v>
      </c>
      <c r="EV20">
        <v>0.157</v>
      </c>
      <c r="EW20">
        <v>-1E-3</v>
      </c>
      <c r="EX20">
        <v>-0.33700000000000002</v>
      </c>
      <c r="EY20">
        <v>-0.18</v>
      </c>
      <c r="EZ20">
        <v>100</v>
      </c>
      <c r="FA20">
        <v>16</v>
      </c>
      <c r="FB20">
        <v>0.35</v>
      </c>
      <c r="FC20">
        <v>0.04</v>
      </c>
      <c r="FD20">
        <v>2.9822242041303202</v>
      </c>
      <c r="FE20">
        <v>-0.140013470338226</v>
      </c>
      <c r="FF20">
        <v>7.2400583180627906E-2</v>
      </c>
      <c r="FG20">
        <v>1</v>
      </c>
      <c r="FH20">
        <v>-1.38728428571429</v>
      </c>
      <c r="FI20">
        <v>8.5224935064933699E-2</v>
      </c>
      <c r="FJ20">
        <v>2.8834490684963101E-2</v>
      </c>
      <c r="FK20">
        <v>1</v>
      </c>
      <c r="FL20">
        <v>284.09920588235298</v>
      </c>
      <c r="FM20">
        <v>1.31353704699478</v>
      </c>
      <c r="FN20">
        <v>0.52541590133642502</v>
      </c>
      <c r="FO20">
        <v>-1</v>
      </c>
      <c r="FP20">
        <v>2</v>
      </c>
      <c r="FQ20">
        <v>2</v>
      </c>
      <c r="FR20" t="s">
        <v>346</v>
      </c>
      <c r="FS20">
        <v>100</v>
      </c>
      <c r="FT20">
        <v>100</v>
      </c>
      <c r="FU20">
        <v>-0.33800000000000002</v>
      </c>
      <c r="FV20">
        <v>-0.1741</v>
      </c>
      <c r="FW20">
        <v>-0.42202234764873497</v>
      </c>
      <c r="FX20">
        <v>7.6835882421071803E-4</v>
      </c>
      <c r="FY20">
        <v>7.9312579872174805E-7</v>
      </c>
      <c r="FZ20">
        <v>-1.5433145656851401E-10</v>
      </c>
      <c r="GA20">
        <v>-2.5225324368656099E-2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0.8</v>
      </c>
      <c r="GJ20">
        <v>0.9</v>
      </c>
      <c r="GK20">
        <v>0.379639</v>
      </c>
      <c r="GL20">
        <v>2.677</v>
      </c>
      <c r="GM20">
        <v>1.65161</v>
      </c>
      <c r="GN20">
        <v>2.2839399999999999</v>
      </c>
      <c r="GO20">
        <v>1.5979000000000001</v>
      </c>
      <c r="GP20">
        <v>2.64893</v>
      </c>
      <c r="GQ20">
        <v>38.207999999999998</v>
      </c>
      <c r="GR20">
        <v>23.772300000000001</v>
      </c>
      <c r="GS20">
        <v>18</v>
      </c>
      <c r="GT20">
        <v>507.53500000000003</v>
      </c>
      <c r="GU20">
        <v>509.68400000000003</v>
      </c>
      <c r="GV20">
        <v>21.1556</v>
      </c>
      <c r="GW20">
        <v>30.8001</v>
      </c>
      <c r="GX20">
        <v>30.0002</v>
      </c>
      <c r="GY20">
        <v>30.9252</v>
      </c>
      <c r="GZ20">
        <v>30.976099999999999</v>
      </c>
      <c r="HA20">
        <v>7.5873499999999998</v>
      </c>
      <c r="HB20">
        <v>34.675699999999999</v>
      </c>
      <c r="HC20">
        <v>0</v>
      </c>
      <c r="HD20">
        <v>21.155999999999999</v>
      </c>
      <c r="HE20">
        <v>100</v>
      </c>
      <c r="HF20">
        <v>15.863200000000001</v>
      </c>
      <c r="HG20">
        <v>97.816400000000002</v>
      </c>
      <c r="HH20">
        <v>94.402799999999999</v>
      </c>
    </row>
    <row r="21" spans="1:216" x14ac:dyDescent="0.6">
      <c r="A21">
        <v>5</v>
      </c>
      <c r="B21">
        <v>1791087556</v>
      </c>
      <c r="C21">
        <v>484</v>
      </c>
      <c r="D21" t="s">
        <v>356</v>
      </c>
      <c r="E21" t="s">
        <v>357</v>
      </c>
      <c r="F21">
        <v>5</v>
      </c>
      <c r="G21">
        <v>1791087552.5</v>
      </c>
      <c r="H21">
        <f t="shared" si="0"/>
        <v>5.0167483815261428E-3</v>
      </c>
      <c r="I21">
        <f t="shared" si="1"/>
        <v>5.0167483815261429</v>
      </c>
      <c r="J21">
        <f t="shared" si="2"/>
        <v>-0.5291088059668968</v>
      </c>
      <c r="K21">
        <f t="shared" si="3"/>
        <v>50.126816666666699</v>
      </c>
      <c r="L21">
        <f t="shared" si="4"/>
        <v>51.342590631821899</v>
      </c>
      <c r="M21">
        <f t="shared" si="5"/>
        <v>5.1877146683999831</v>
      </c>
      <c r="N21">
        <f t="shared" si="6"/>
        <v>5.0648714624986173</v>
      </c>
      <c r="O21">
        <f t="shared" si="7"/>
        <v>0.38302454680418052</v>
      </c>
      <c r="P21">
        <f t="shared" si="8"/>
        <v>3.025720458666016</v>
      </c>
      <c r="Q21">
        <f t="shared" si="9"/>
        <v>0.35798261787040336</v>
      </c>
      <c r="R21">
        <f t="shared" si="10"/>
        <v>0.22585247868199645</v>
      </c>
      <c r="S21">
        <f t="shared" si="11"/>
        <v>241.7390345984029</v>
      </c>
      <c r="T21">
        <f t="shared" si="12"/>
        <v>25.573028008419374</v>
      </c>
      <c r="U21">
        <f t="shared" si="13"/>
        <v>24.9974666666667</v>
      </c>
      <c r="V21">
        <f t="shared" si="14"/>
        <v>3.1791973789672454</v>
      </c>
      <c r="W21">
        <f t="shared" si="15"/>
        <v>55.036590184608123</v>
      </c>
      <c r="X21">
        <f t="shared" si="16"/>
        <v>1.7980879814771202</v>
      </c>
      <c r="Y21">
        <f t="shared" si="17"/>
        <v>3.2670773669768236</v>
      </c>
      <c r="Z21">
        <f t="shared" si="18"/>
        <v>1.3811093974901252</v>
      </c>
      <c r="AA21">
        <f t="shared" si="19"/>
        <v>-221.23860362530289</v>
      </c>
      <c r="AB21">
        <f t="shared" si="20"/>
        <v>74.731919431872186</v>
      </c>
      <c r="AC21">
        <f t="shared" si="21"/>
        <v>5.2363376105872339</v>
      </c>
      <c r="AD21">
        <f t="shared" si="22"/>
        <v>100.46868801555944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53622.490593948816</v>
      </c>
      <c r="AJ21" t="s">
        <v>343</v>
      </c>
      <c r="AK21" t="s">
        <v>343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1261.2195080820741</v>
      </c>
      <c r="AW21">
        <f t="shared" si="29"/>
        <v>-0.5291088059668968</v>
      </c>
      <c r="AX21" t="e">
        <f t="shared" si="30"/>
        <v>#DIV/0!</v>
      </c>
      <c r="AY21">
        <f t="shared" si="31"/>
        <v>-4.1952158413051198E-4</v>
      </c>
      <c r="AZ21" t="e">
        <f t="shared" si="32"/>
        <v>#DIV/0!</v>
      </c>
      <c r="BA21" t="e">
        <f t="shared" si="33"/>
        <v>#DIV/0!</v>
      </c>
      <c r="BB21" t="s">
        <v>343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BL21">
        <v>108</v>
      </c>
      <c r="BM21">
        <v>290</v>
      </c>
      <c r="BN21">
        <v>982.4</v>
      </c>
      <c r="BO21">
        <v>295</v>
      </c>
      <c r="BP21">
        <v>8129.77</v>
      </c>
      <c r="BQ21">
        <v>981.18</v>
      </c>
      <c r="BR21">
        <v>1.22</v>
      </c>
      <c r="BS21">
        <v>300</v>
      </c>
      <c r="BT21">
        <v>19.100000000000001</v>
      </c>
      <c r="BU21">
        <v>1007.16258349372</v>
      </c>
      <c r="BV21">
        <v>2.28379715037536</v>
      </c>
      <c r="BW21">
        <v>-21.126763639212701</v>
      </c>
      <c r="BX21">
        <v>1.6610954704837499</v>
      </c>
      <c r="BY21">
        <v>0.85244682187806697</v>
      </c>
      <c r="BZ21">
        <v>-5.3788734149054496E-3</v>
      </c>
      <c r="CA21">
        <v>290</v>
      </c>
      <c r="CB21">
        <v>973.25</v>
      </c>
      <c r="CC21">
        <v>615</v>
      </c>
      <c r="CD21">
        <v>8126.22</v>
      </c>
      <c r="CE21">
        <v>981.16</v>
      </c>
      <c r="CF21">
        <v>-7.91</v>
      </c>
      <c r="CT21">
        <f t="shared" si="42"/>
        <v>1500.01</v>
      </c>
      <c r="CU21">
        <f t="shared" si="43"/>
        <v>1261.2195080820741</v>
      </c>
      <c r="CV21">
        <f t="shared" si="44"/>
        <v>0.84080740000538268</v>
      </c>
      <c r="CW21">
        <f t="shared" si="45"/>
        <v>0.16115828201038854</v>
      </c>
      <c r="CX21">
        <v>2</v>
      </c>
      <c r="CY21">
        <v>0.5</v>
      </c>
      <c r="CZ21" t="s">
        <v>344</v>
      </c>
      <c r="DA21">
        <v>2</v>
      </c>
      <c r="DB21">
        <v>1791087552.5</v>
      </c>
      <c r="DC21">
        <v>50.126816666666699</v>
      </c>
      <c r="DD21">
        <v>50.0157666666667</v>
      </c>
      <c r="DE21">
        <v>17.7956</v>
      </c>
      <c r="DF21">
        <v>15.824683333333301</v>
      </c>
      <c r="DG21">
        <v>50.468783333333299</v>
      </c>
      <c r="DH21">
        <v>17.969550000000002</v>
      </c>
      <c r="DI21">
        <v>500.01833333333298</v>
      </c>
      <c r="DJ21">
        <v>100.941</v>
      </c>
      <c r="DK21">
        <v>0.1001552</v>
      </c>
      <c r="DL21">
        <v>25.4556</v>
      </c>
      <c r="DM21">
        <v>24.9974666666667</v>
      </c>
      <c r="DN21">
        <v>999.9</v>
      </c>
      <c r="DO21">
        <v>0</v>
      </c>
      <c r="DP21">
        <v>0</v>
      </c>
      <c r="DQ21">
        <v>9994.47166666667</v>
      </c>
      <c r="DR21">
        <v>0</v>
      </c>
      <c r="DS21">
        <v>8.8592733333333307</v>
      </c>
      <c r="DT21">
        <v>1500.01</v>
      </c>
      <c r="DU21">
        <v>0.97299316666666702</v>
      </c>
      <c r="DV21">
        <v>2.7006450000000001E-2</v>
      </c>
      <c r="DW21">
        <v>0</v>
      </c>
      <c r="DX21">
        <v>288.65533333333298</v>
      </c>
      <c r="DY21">
        <v>4.9999900000000004</v>
      </c>
      <c r="DZ21">
        <v>4278.6683333333303</v>
      </c>
      <c r="EA21">
        <v>14882.6333333333</v>
      </c>
      <c r="EB21">
        <v>38.125</v>
      </c>
      <c r="EC21">
        <v>39.801666666666698</v>
      </c>
      <c r="ED21">
        <v>38.75</v>
      </c>
      <c r="EE21">
        <v>39.25</v>
      </c>
      <c r="EF21">
        <v>39.686999999999998</v>
      </c>
      <c r="EG21">
        <v>1454.63</v>
      </c>
      <c r="EH21">
        <v>40.369999999999997</v>
      </c>
      <c r="EI21">
        <v>0</v>
      </c>
      <c r="EJ21">
        <v>3470.7999999523199</v>
      </c>
      <c r="EK21">
        <v>0</v>
      </c>
      <c r="EL21">
        <v>288.41860000000003</v>
      </c>
      <c r="EM21">
        <v>3.18330770459997</v>
      </c>
      <c r="EN21">
        <v>15.9292308087481</v>
      </c>
      <c r="EO21">
        <v>4277.5367999999999</v>
      </c>
      <c r="EP21">
        <v>15</v>
      </c>
      <c r="EQ21">
        <v>1791087498</v>
      </c>
      <c r="ER21" t="s">
        <v>358</v>
      </c>
      <c r="ES21">
        <v>1791087493</v>
      </c>
      <c r="ET21">
        <v>1791087498</v>
      </c>
      <c r="EU21">
        <v>25</v>
      </c>
      <c r="EV21">
        <v>3.9E-2</v>
      </c>
      <c r="EW21">
        <v>0</v>
      </c>
      <c r="EX21">
        <v>-0.34200000000000003</v>
      </c>
      <c r="EY21">
        <v>-0.18</v>
      </c>
      <c r="EZ21">
        <v>50</v>
      </c>
      <c r="FA21">
        <v>16</v>
      </c>
      <c r="FB21">
        <v>0.22</v>
      </c>
      <c r="FC21">
        <v>0.04</v>
      </c>
      <c r="FD21">
        <v>-0.61856894354404302</v>
      </c>
      <c r="FE21">
        <v>4.9178512941599299E-2</v>
      </c>
      <c r="FF21">
        <v>7.6393987812027095E-2</v>
      </c>
      <c r="FG21">
        <v>1</v>
      </c>
      <c r="FH21">
        <v>0.144666033333333</v>
      </c>
      <c r="FI21">
        <v>-4.1861353246753101E-2</v>
      </c>
      <c r="FJ21">
        <v>3.0990008154139801E-2</v>
      </c>
      <c r="FK21">
        <v>1</v>
      </c>
      <c r="FL21">
        <v>288.19388235294099</v>
      </c>
      <c r="FM21">
        <v>2.7349732634274901</v>
      </c>
      <c r="FN21">
        <v>0.45822719542794199</v>
      </c>
      <c r="FO21">
        <v>-1</v>
      </c>
      <c r="FP21">
        <v>2</v>
      </c>
      <c r="FQ21">
        <v>2</v>
      </c>
      <c r="FR21" t="s">
        <v>346</v>
      </c>
      <c r="FS21">
        <v>100</v>
      </c>
      <c r="FT21">
        <v>100</v>
      </c>
      <c r="FU21">
        <v>-0.34200000000000003</v>
      </c>
      <c r="FV21">
        <v>-0.17399999999999999</v>
      </c>
      <c r="FW21">
        <v>-0.38275630841624497</v>
      </c>
      <c r="FX21">
        <v>7.6835882421071803E-4</v>
      </c>
      <c r="FY21">
        <v>7.9312579872174805E-7</v>
      </c>
      <c r="FZ21">
        <v>-1.5433145656851401E-10</v>
      </c>
      <c r="GA21">
        <v>-2.5034942013750699E-2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1.1000000000000001</v>
      </c>
      <c r="GJ21">
        <v>1</v>
      </c>
      <c r="GK21">
        <v>0.26733400000000002</v>
      </c>
      <c r="GL21">
        <v>2.7038600000000002</v>
      </c>
      <c r="GM21">
        <v>1.65161</v>
      </c>
      <c r="GN21">
        <v>2.2851599999999999</v>
      </c>
      <c r="GO21">
        <v>1.5979000000000001</v>
      </c>
      <c r="GP21">
        <v>2.6025399999999999</v>
      </c>
      <c r="GQ21">
        <v>38.281199999999998</v>
      </c>
      <c r="GR21">
        <v>23.772300000000001</v>
      </c>
      <c r="GS21">
        <v>18</v>
      </c>
      <c r="GT21">
        <v>507.59899999999999</v>
      </c>
      <c r="GU21">
        <v>508.65699999999998</v>
      </c>
      <c r="GV21">
        <v>21.304400000000001</v>
      </c>
      <c r="GW21">
        <v>30.813600000000001</v>
      </c>
      <c r="GX21">
        <v>30.0001</v>
      </c>
      <c r="GY21">
        <v>30.941199999999998</v>
      </c>
      <c r="GZ21">
        <v>30.9922</v>
      </c>
      <c r="HA21">
        <v>5.3356000000000003</v>
      </c>
      <c r="HB21">
        <v>34.897799999999997</v>
      </c>
      <c r="HC21">
        <v>0</v>
      </c>
      <c r="HD21">
        <v>21.3033</v>
      </c>
      <c r="HE21">
        <v>50</v>
      </c>
      <c r="HF21">
        <v>15.8238</v>
      </c>
      <c r="HG21">
        <v>97.810900000000004</v>
      </c>
      <c r="HH21">
        <v>94.400300000000001</v>
      </c>
    </row>
    <row r="22" spans="1:216" x14ac:dyDescent="0.6">
      <c r="A22">
        <v>6</v>
      </c>
      <c r="B22">
        <v>1791087677</v>
      </c>
      <c r="C22">
        <v>605</v>
      </c>
      <c r="D22" t="s">
        <v>359</v>
      </c>
      <c r="E22" t="s">
        <v>360</v>
      </c>
      <c r="F22">
        <v>5</v>
      </c>
      <c r="G22">
        <v>1791087674</v>
      </c>
      <c r="H22">
        <f t="shared" si="0"/>
        <v>5.1229326288856885E-3</v>
      </c>
      <c r="I22">
        <f t="shared" si="1"/>
        <v>5.1229326288856889</v>
      </c>
      <c r="J22">
        <f t="shared" si="2"/>
        <v>20.855754762627779</v>
      </c>
      <c r="K22">
        <f t="shared" si="3"/>
        <v>390.83260000000001</v>
      </c>
      <c r="L22">
        <f t="shared" si="4"/>
        <v>293.02107309926299</v>
      </c>
      <c r="M22">
        <f t="shared" si="5"/>
        <v>29.606982966627715</v>
      </c>
      <c r="N22">
        <f t="shared" si="6"/>
        <v>39.489904287815293</v>
      </c>
      <c r="O22">
        <f t="shared" si="7"/>
        <v>0.39250986498311619</v>
      </c>
      <c r="P22">
        <f t="shared" si="8"/>
        <v>3.027806359419658</v>
      </c>
      <c r="Q22">
        <f t="shared" si="9"/>
        <v>0.36627465896081901</v>
      </c>
      <c r="R22">
        <f t="shared" si="10"/>
        <v>0.23113250172673877</v>
      </c>
      <c r="S22">
        <f t="shared" si="11"/>
        <v>241.73071981558326</v>
      </c>
      <c r="T22">
        <f t="shared" si="12"/>
        <v>25.601075802993439</v>
      </c>
      <c r="U22">
        <f t="shared" si="13"/>
        <v>24.988880000000002</v>
      </c>
      <c r="V22">
        <f t="shared" si="14"/>
        <v>3.177570187808747</v>
      </c>
      <c r="W22">
        <f t="shared" si="15"/>
        <v>54.889924262453086</v>
      </c>
      <c r="X22">
        <f t="shared" si="16"/>
        <v>1.7991627415788314</v>
      </c>
      <c r="Y22">
        <f t="shared" si="17"/>
        <v>3.2777650283797737</v>
      </c>
      <c r="Z22">
        <f t="shared" si="18"/>
        <v>1.3784074462299156</v>
      </c>
      <c r="AA22">
        <f t="shared" si="19"/>
        <v>-225.92132893385886</v>
      </c>
      <c r="AB22">
        <f t="shared" si="20"/>
        <v>85.159749817460181</v>
      </c>
      <c r="AC22">
        <f t="shared" si="21"/>
        <v>5.9642796420745681</v>
      </c>
      <c r="AD22">
        <f t="shared" si="22"/>
        <v>106.93342034125914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53677.474033891594</v>
      </c>
      <c r="AJ22" t="s">
        <v>343</v>
      </c>
      <c r="AK22" t="s">
        <v>343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1261.1758200080742</v>
      </c>
      <c r="AW22">
        <f t="shared" si="29"/>
        <v>20.855754762627779</v>
      </c>
      <c r="AX22" t="e">
        <f t="shared" si="30"/>
        <v>#DIV/0!</v>
      </c>
      <c r="AY22">
        <f t="shared" si="31"/>
        <v>1.6536754377747473E-2</v>
      </c>
      <c r="AZ22" t="e">
        <f t="shared" si="32"/>
        <v>#DIV/0!</v>
      </c>
      <c r="BA22" t="e">
        <f t="shared" si="33"/>
        <v>#DIV/0!</v>
      </c>
      <c r="BB22" t="s">
        <v>343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BL22">
        <v>108</v>
      </c>
      <c r="BM22">
        <v>290</v>
      </c>
      <c r="BN22">
        <v>982.4</v>
      </c>
      <c r="BO22">
        <v>295</v>
      </c>
      <c r="BP22">
        <v>8129.77</v>
      </c>
      <c r="BQ22">
        <v>981.18</v>
      </c>
      <c r="BR22">
        <v>1.22</v>
      </c>
      <c r="BS22">
        <v>300</v>
      </c>
      <c r="BT22">
        <v>19.100000000000001</v>
      </c>
      <c r="BU22">
        <v>1007.16258349372</v>
      </c>
      <c r="BV22">
        <v>2.28379715037536</v>
      </c>
      <c r="BW22">
        <v>-21.126763639212701</v>
      </c>
      <c r="BX22">
        <v>1.6610954704837499</v>
      </c>
      <c r="BY22">
        <v>0.85244682187806697</v>
      </c>
      <c r="BZ22">
        <v>-5.3788734149054496E-3</v>
      </c>
      <c r="CA22">
        <v>290</v>
      </c>
      <c r="CB22">
        <v>973.25</v>
      </c>
      <c r="CC22">
        <v>615</v>
      </c>
      <c r="CD22">
        <v>8126.22</v>
      </c>
      <c r="CE22">
        <v>981.16</v>
      </c>
      <c r="CF22">
        <v>-7.91</v>
      </c>
      <c r="CT22">
        <f t="shared" si="42"/>
        <v>1499.9580000000001</v>
      </c>
      <c r="CU22">
        <f t="shared" si="43"/>
        <v>1261.1758200080742</v>
      </c>
      <c r="CV22">
        <f t="shared" si="44"/>
        <v>0.84080742261321595</v>
      </c>
      <c r="CW22">
        <f t="shared" si="45"/>
        <v>0.16115832564350685</v>
      </c>
      <c r="CX22">
        <v>2</v>
      </c>
      <c r="CY22">
        <v>0.5</v>
      </c>
      <c r="CZ22" t="s">
        <v>344</v>
      </c>
      <c r="DA22">
        <v>2</v>
      </c>
      <c r="DB22">
        <v>1791087674</v>
      </c>
      <c r="DC22">
        <v>390.83260000000001</v>
      </c>
      <c r="DD22">
        <v>399.97640000000001</v>
      </c>
      <c r="DE22">
        <v>17.806360000000002</v>
      </c>
      <c r="DF22">
        <v>15.79354</v>
      </c>
      <c r="DG22">
        <v>391.10559999999998</v>
      </c>
      <c r="DH22">
        <v>17.97672</v>
      </c>
      <c r="DI22">
        <v>499.96640000000002</v>
      </c>
      <c r="DJ22">
        <v>100.9406</v>
      </c>
      <c r="DK22">
        <v>9.9856420000000001E-2</v>
      </c>
      <c r="DL22">
        <v>25.510580000000001</v>
      </c>
      <c r="DM22">
        <v>24.988880000000002</v>
      </c>
      <c r="DN22">
        <v>999.9</v>
      </c>
      <c r="DO22">
        <v>0</v>
      </c>
      <c r="DP22">
        <v>0</v>
      </c>
      <c r="DQ22">
        <v>10007.120000000001</v>
      </c>
      <c r="DR22">
        <v>0</v>
      </c>
      <c r="DS22">
        <v>8.9218600000000006</v>
      </c>
      <c r="DT22">
        <v>1499.9580000000001</v>
      </c>
      <c r="DU22">
        <v>0.972993</v>
      </c>
      <c r="DV22">
        <v>2.7006639999999998E-2</v>
      </c>
      <c r="DW22">
        <v>0</v>
      </c>
      <c r="DX22">
        <v>281.25760000000002</v>
      </c>
      <c r="DY22">
        <v>4.9999900000000004</v>
      </c>
      <c r="DZ22">
        <v>4179.1099999999997</v>
      </c>
      <c r="EA22">
        <v>14882.1</v>
      </c>
      <c r="EB22">
        <v>38.125</v>
      </c>
      <c r="EC22">
        <v>39.811999999999998</v>
      </c>
      <c r="ED22">
        <v>38.75</v>
      </c>
      <c r="EE22">
        <v>39.2624</v>
      </c>
      <c r="EF22">
        <v>39.686999999999998</v>
      </c>
      <c r="EG22">
        <v>1454.588</v>
      </c>
      <c r="EH22">
        <v>40.369999999999997</v>
      </c>
      <c r="EI22">
        <v>0</v>
      </c>
      <c r="EJ22">
        <v>3592</v>
      </c>
      <c r="EK22">
        <v>0</v>
      </c>
      <c r="EL22">
        <v>280.71908000000002</v>
      </c>
      <c r="EM22">
        <v>7.0941538438174199</v>
      </c>
      <c r="EN22">
        <v>47.867692228000799</v>
      </c>
      <c r="EO22">
        <v>4175.8836000000001</v>
      </c>
      <c r="EP22">
        <v>15</v>
      </c>
      <c r="EQ22">
        <v>1791087624</v>
      </c>
      <c r="ER22" t="s">
        <v>361</v>
      </c>
      <c r="ES22">
        <v>1791087624</v>
      </c>
      <c r="ET22">
        <v>1791087623</v>
      </c>
      <c r="EU22">
        <v>26</v>
      </c>
      <c r="EV22">
        <v>-0.30299999999999999</v>
      </c>
      <c r="EW22">
        <v>4.0000000000000001E-3</v>
      </c>
      <c r="EX22">
        <v>-0.26100000000000001</v>
      </c>
      <c r="EY22">
        <v>-0.17599999999999999</v>
      </c>
      <c r="EZ22">
        <v>400</v>
      </c>
      <c r="FA22">
        <v>16</v>
      </c>
      <c r="FB22">
        <v>0.13</v>
      </c>
      <c r="FC22">
        <v>0.05</v>
      </c>
      <c r="FD22">
        <v>20.853795235220201</v>
      </c>
      <c r="FE22">
        <v>0.451120140441363</v>
      </c>
      <c r="FF22">
        <v>0.102798887251532</v>
      </c>
      <c r="FG22">
        <v>1</v>
      </c>
      <c r="FH22">
        <v>-9.1515690476190503</v>
      </c>
      <c r="FI22">
        <v>-7.2700519480527401E-2</v>
      </c>
      <c r="FJ22">
        <v>3.58947367019525E-2</v>
      </c>
      <c r="FK22">
        <v>1</v>
      </c>
      <c r="FL22">
        <v>280.47929411764699</v>
      </c>
      <c r="FM22">
        <v>4.0369442229429797</v>
      </c>
      <c r="FN22">
        <v>0.64339922330823096</v>
      </c>
      <c r="FO22">
        <v>-1</v>
      </c>
      <c r="FP22">
        <v>2</v>
      </c>
      <c r="FQ22">
        <v>2</v>
      </c>
      <c r="FR22" t="s">
        <v>346</v>
      </c>
      <c r="FS22">
        <v>100</v>
      </c>
      <c r="FT22">
        <v>100</v>
      </c>
      <c r="FU22">
        <v>-0.27300000000000002</v>
      </c>
      <c r="FV22">
        <v>-0.1704</v>
      </c>
      <c r="FW22">
        <v>-0.685628095399894</v>
      </c>
      <c r="FX22">
        <v>7.6835882421071803E-4</v>
      </c>
      <c r="FY22">
        <v>7.9312579872174805E-7</v>
      </c>
      <c r="FZ22">
        <v>-1.5433145656851401E-10</v>
      </c>
      <c r="GA22">
        <v>-2.14285198962233E-2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0.9</v>
      </c>
      <c r="GJ22">
        <v>0.9</v>
      </c>
      <c r="GK22">
        <v>1.0351600000000001</v>
      </c>
      <c r="GL22">
        <v>2.6660200000000001</v>
      </c>
      <c r="GM22">
        <v>1.65161</v>
      </c>
      <c r="GN22">
        <v>2.2851599999999999</v>
      </c>
      <c r="GO22">
        <v>1.5979000000000001</v>
      </c>
      <c r="GP22">
        <v>2.5061</v>
      </c>
      <c r="GQ22">
        <v>38.403399999999998</v>
      </c>
      <c r="GR22">
        <v>23.763500000000001</v>
      </c>
      <c r="GS22">
        <v>18</v>
      </c>
      <c r="GT22">
        <v>507.84899999999999</v>
      </c>
      <c r="GU22">
        <v>508.68799999999999</v>
      </c>
      <c r="GV22">
        <v>21.3612</v>
      </c>
      <c r="GW22">
        <v>30.829699999999999</v>
      </c>
      <c r="GX22">
        <v>30</v>
      </c>
      <c r="GY22">
        <v>30.9573</v>
      </c>
      <c r="GZ22">
        <v>31.008299999999998</v>
      </c>
      <c r="HA22">
        <v>20.713799999999999</v>
      </c>
      <c r="HB22">
        <v>34.929099999999998</v>
      </c>
      <c r="HC22">
        <v>0</v>
      </c>
      <c r="HD22">
        <v>21.3703</v>
      </c>
      <c r="HE22">
        <v>400</v>
      </c>
      <c r="HF22">
        <v>15.8566</v>
      </c>
      <c r="HG22">
        <v>97.807299999999998</v>
      </c>
      <c r="HH22">
        <v>94.395499999999998</v>
      </c>
    </row>
    <row r="23" spans="1:216" x14ac:dyDescent="0.6">
      <c r="A23">
        <v>7</v>
      </c>
      <c r="B23">
        <v>1791087798.0999999</v>
      </c>
      <c r="C23">
        <v>726.09999990463302</v>
      </c>
      <c r="D23" t="s">
        <v>362</v>
      </c>
      <c r="E23" t="s">
        <v>363</v>
      </c>
      <c r="F23">
        <v>5</v>
      </c>
      <c r="G23">
        <v>1791087794.5999999</v>
      </c>
      <c r="H23">
        <f t="shared" si="0"/>
        <v>5.0896071834747349E-3</v>
      </c>
      <c r="I23">
        <f t="shared" si="1"/>
        <v>5.089607183474735</v>
      </c>
      <c r="J23">
        <f t="shared" si="2"/>
        <v>21.771855526262524</v>
      </c>
      <c r="K23">
        <f t="shared" si="3"/>
        <v>390.505</v>
      </c>
      <c r="L23">
        <f t="shared" si="4"/>
        <v>288.2684487733838</v>
      </c>
      <c r="M23">
        <f t="shared" si="5"/>
        <v>29.126558405093238</v>
      </c>
      <c r="N23">
        <f t="shared" si="6"/>
        <v>39.456509161439378</v>
      </c>
      <c r="O23">
        <f t="shared" si="7"/>
        <v>0.39020074624691337</v>
      </c>
      <c r="P23">
        <f t="shared" si="8"/>
        <v>3.0279585896108485</v>
      </c>
      <c r="Q23">
        <f t="shared" si="9"/>
        <v>0.36426358748813153</v>
      </c>
      <c r="R23">
        <f t="shared" si="10"/>
        <v>0.22985126507826903</v>
      </c>
      <c r="S23">
        <f t="shared" si="11"/>
        <v>241.73530280708886</v>
      </c>
      <c r="T23">
        <f t="shared" si="12"/>
        <v>25.620745876701125</v>
      </c>
      <c r="U23">
        <f t="shared" si="13"/>
        <v>25.00065</v>
      </c>
      <c r="V23">
        <f t="shared" si="14"/>
        <v>3.1798008122317887</v>
      </c>
      <c r="W23">
        <f t="shared" si="15"/>
        <v>54.965768205458076</v>
      </c>
      <c r="X23">
        <f t="shared" si="16"/>
        <v>1.8028514179525557</v>
      </c>
      <c r="Y23">
        <f t="shared" si="17"/>
        <v>3.2799530995612161</v>
      </c>
      <c r="Z23">
        <f t="shared" si="18"/>
        <v>1.376949394279233</v>
      </c>
      <c r="AA23">
        <f t="shared" si="19"/>
        <v>-224.4516767912358</v>
      </c>
      <c r="AB23">
        <f t="shared" si="20"/>
        <v>85.076968331947995</v>
      </c>
      <c r="AC23">
        <f t="shared" si="21"/>
        <v>5.9588717942817571</v>
      </c>
      <c r="AD23">
        <f t="shared" si="22"/>
        <v>108.3194661420828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53680.169289092482</v>
      </c>
      <c r="AJ23" t="s">
        <v>343</v>
      </c>
      <c r="AK23" t="s">
        <v>343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1261.1999040451262</v>
      </c>
      <c r="AW23">
        <f t="shared" si="29"/>
        <v>21.771855526262524</v>
      </c>
      <c r="AX23" t="e">
        <f t="shared" si="30"/>
        <v>#DIV/0!</v>
      </c>
      <c r="AY23">
        <f t="shared" si="31"/>
        <v>1.7262810959969371E-2</v>
      </c>
      <c r="AZ23" t="e">
        <f t="shared" si="32"/>
        <v>#DIV/0!</v>
      </c>
      <c r="BA23" t="e">
        <f t="shared" si="33"/>
        <v>#DIV/0!</v>
      </c>
      <c r="BB23" t="s">
        <v>343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BL23">
        <v>108</v>
      </c>
      <c r="BM23">
        <v>290</v>
      </c>
      <c r="BN23">
        <v>982.4</v>
      </c>
      <c r="BO23">
        <v>295</v>
      </c>
      <c r="BP23">
        <v>8129.77</v>
      </c>
      <c r="BQ23">
        <v>981.18</v>
      </c>
      <c r="BR23">
        <v>1.22</v>
      </c>
      <c r="BS23">
        <v>300</v>
      </c>
      <c r="BT23">
        <v>19.100000000000001</v>
      </c>
      <c r="BU23">
        <v>1007.16258349372</v>
      </c>
      <c r="BV23">
        <v>2.28379715037536</v>
      </c>
      <c r="BW23">
        <v>-21.126763639212701</v>
      </c>
      <c r="BX23">
        <v>1.6610954704837499</v>
      </c>
      <c r="BY23">
        <v>0.85244682187806697</v>
      </c>
      <c r="BZ23">
        <v>-5.3788734149054496E-3</v>
      </c>
      <c r="CA23">
        <v>290</v>
      </c>
      <c r="CB23">
        <v>973.25</v>
      </c>
      <c r="CC23">
        <v>615</v>
      </c>
      <c r="CD23">
        <v>8126.22</v>
      </c>
      <c r="CE23">
        <v>981.16</v>
      </c>
      <c r="CF23">
        <v>-7.91</v>
      </c>
      <c r="CT23">
        <f t="shared" si="42"/>
        <v>1499.9866666666701</v>
      </c>
      <c r="CU23">
        <f t="shared" si="43"/>
        <v>1261.1999040451262</v>
      </c>
      <c r="CV23">
        <f t="shared" si="44"/>
        <v>0.8408074098737256</v>
      </c>
      <c r="CW23">
        <f t="shared" si="45"/>
        <v>0.16115830105629048</v>
      </c>
      <c r="CX23">
        <v>2</v>
      </c>
      <c r="CY23">
        <v>0.5</v>
      </c>
      <c r="CZ23" t="s">
        <v>344</v>
      </c>
      <c r="DA23">
        <v>2</v>
      </c>
      <c r="DB23">
        <v>1791087794.5999999</v>
      </c>
      <c r="DC23">
        <v>390.505</v>
      </c>
      <c r="DD23">
        <v>400.00866666666701</v>
      </c>
      <c r="DE23">
        <v>17.843</v>
      </c>
      <c r="DF23">
        <v>15.843500000000001</v>
      </c>
      <c r="DG23">
        <v>390.78616666666699</v>
      </c>
      <c r="DH23">
        <v>18.012883333333299</v>
      </c>
      <c r="DI23">
        <v>500.00433333333302</v>
      </c>
      <c r="DJ23">
        <v>100.93966666666699</v>
      </c>
      <c r="DK23">
        <v>0.100036183333333</v>
      </c>
      <c r="DL23">
        <v>25.521816666666702</v>
      </c>
      <c r="DM23">
        <v>25.00065</v>
      </c>
      <c r="DN23">
        <v>999.9</v>
      </c>
      <c r="DO23">
        <v>0</v>
      </c>
      <c r="DP23">
        <v>0</v>
      </c>
      <c r="DQ23">
        <v>10008.1333333333</v>
      </c>
      <c r="DR23">
        <v>0</v>
      </c>
      <c r="DS23">
        <v>8.9218600000000006</v>
      </c>
      <c r="DT23">
        <v>1499.9866666666701</v>
      </c>
      <c r="DU23">
        <v>0.97299316666666702</v>
      </c>
      <c r="DV23">
        <v>2.70064833333333E-2</v>
      </c>
      <c r="DW23">
        <v>0</v>
      </c>
      <c r="DX23">
        <v>285.41283333333303</v>
      </c>
      <c r="DY23">
        <v>4.9999900000000004</v>
      </c>
      <c r="DZ23">
        <v>4237.2666666666701</v>
      </c>
      <c r="EA23">
        <v>14882.4333333333</v>
      </c>
      <c r="EB23">
        <v>38.125</v>
      </c>
      <c r="EC23">
        <v>39.811999999999998</v>
      </c>
      <c r="ED23">
        <v>38.75</v>
      </c>
      <c r="EE23">
        <v>39.301666666666698</v>
      </c>
      <c r="EF23">
        <v>39.697499999999998</v>
      </c>
      <c r="EG23">
        <v>1454.6116666666701</v>
      </c>
      <c r="EH23">
        <v>40.369999999999997</v>
      </c>
      <c r="EI23">
        <v>0</v>
      </c>
      <c r="EJ23">
        <v>3713.2000000476801</v>
      </c>
      <c r="EK23">
        <v>0</v>
      </c>
      <c r="EL23">
        <v>285.03160000000003</v>
      </c>
      <c r="EM23">
        <v>4.0866922955015204</v>
      </c>
      <c r="EN23">
        <v>10.9415384692964</v>
      </c>
      <c r="EO23">
        <v>4236.9160000000002</v>
      </c>
      <c r="EP23">
        <v>15</v>
      </c>
      <c r="EQ23">
        <v>1791087733</v>
      </c>
      <c r="ER23" t="s">
        <v>364</v>
      </c>
      <c r="ES23">
        <v>1791087728</v>
      </c>
      <c r="ET23">
        <v>1791087733</v>
      </c>
      <c r="EU23">
        <v>27</v>
      </c>
      <c r="EV23">
        <v>-8.0000000000000002E-3</v>
      </c>
      <c r="EW23">
        <v>0</v>
      </c>
      <c r="EX23">
        <v>-0.26900000000000002</v>
      </c>
      <c r="EY23">
        <v>-0.17599999999999999</v>
      </c>
      <c r="EZ23">
        <v>400</v>
      </c>
      <c r="FA23">
        <v>16</v>
      </c>
      <c r="FB23">
        <v>0.17</v>
      </c>
      <c r="FC23">
        <v>0.03</v>
      </c>
      <c r="FD23">
        <v>21.663127937566198</v>
      </c>
      <c r="FE23">
        <v>0.75965639787772499</v>
      </c>
      <c r="FF23">
        <v>9.3791000522116502E-2</v>
      </c>
      <c r="FG23">
        <v>0</v>
      </c>
      <c r="FH23">
        <v>-9.4658984999999998</v>
      </c>
      <c r="FI23">
        <v>-0.351331578947362</v>
      </c>
      <c r="FJ23">
        <v>3.8158574432884597E-2</v>
      </c>
      <c r="FK23">
        <v>1</v>
      </c>
      <c r="FL23">
        <v>284.92273529411801</v>
      </c>
      <c r="FM23">
        <v>2.8512910487451402</v>
      </c>
      <c r="FN23">
        <v>0.50570959515978897</v>
      </c>
      <c r="FO23">
        <v>-1</v>
      </c>
      <c r="FP23">
        <v>1</v>
      </c>
      <c r="FQ23">
        <v>2</v>
      </c>
      <c r="FR23" t="s">
        <v>365</v>
      </c>
      <c r="FS23">
        <v>100</v>
      </c>
      <c r="FT23">
        <v>100</v>
      </c>
      <c r="FU23">
        <v>-0.28199999999999997</v>
      </c>
      <c r="FV23">
        <v>-0.16980000000000001</v>
      </c>
      <c r="FW23">
        <v>-0.69359357706098501</v>
      </c>
      <c r="FX23">
        <v>7.6835882421071803E-4</v>
      </c>
      <c r="FY23">
        <v>7.9312579872174805E-7</v>
      </c>
      <c r="FZ23">
        <v>-1.5433145656851401E-10</v>
      </c>
      <c r="GA23">
        <v>-2.1111453181091901E-2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1.2</v>
      </c>
      <c r="GJ23">
        <v>1.1000000000000001</v>
      </c>
      <c r="GK23">
        <v>1.0351600000000001</v>
      </c>
      <c r="GL23">
        <v>2.65625</v>
      </c>
      <c r="GM23">
        <v>1.65161</v>
      </c>
      <c r="GN23">
        <v>2.2839399999999999</v>
      </c>
      <c r="GO23">
        <v>1.5979000000000001</v>
      </c>
      <c r="GP23">
        <v>2.67334</v>
      </c>
      <c r="GQ23">
        <v>38.501399999999997</v>
      </c>
      <c r="GR23">
        <v>23.772300000000001</v>
      </c>
      <c r="GS23">
        <v>18</v>
      </c>
      <c r="GT23">
        <v>507.96199999999999</v>
      </c>
      <c r="GU23">
        <v>508.02199999999999</v>
      </c>
      <c r="GV23">
        <v>21.357800000000001</v>
      </c>
      <c r="GW23">
        <v>30.845800000000001</v>
      </c>
      <c r="GX23">
        <v>30.0002</v>
      </c>
      <c r="GY23">
        <v>30.971800000000002</v>
      </c>
      <c r="GZ23">
        <v>31.024100000000001</v>
      </c>
      <c r="HA23">
        <v>20.710999999999999</v>
      </c>
      <c r="HB23">
        <v>34.648400000000002</v>
      </c>
      <c r="HC23">
        <v>0</v>
      </c>
      <c r="HD23">
        <v>21.357800000000001</v>
      </c>
      <c r="HE23">
        <v>400</v>
      </c>
      <c r="HF23">
        <v>15.8696</v>
      </c>
      <c r="HG23">
        <v>97.804299999999998</v>
      </c>
      <c r="HH23">
        <v>94.391999999999996</v>
      </c>
    </row>
    <row r="24" spans="1:216" x14ac:dyDescent="0.6">
      <c r="A24">
        <v>8</v>
      </c>
      <c r="B24">
        <v>1791087919.0999999</v>
      </c>
      <c r="C24">
        <v>847.09999990463302</v>
      </c>
      <c r="D24" t="s">
        <v>366</v>
      </c>
      <c r="E24" t="s">
        <v>367</v>
      </c>
      <c r="F24">
        <v>5</v>
      </c>
      <c r="G24">
        <v>1791087915.5999999</v>
      </c>
      <c r="H24">
        <f t="shared" si="0"/>
        <v>5.1239032078635414E-3</v>
      </c>
      <c r="I24">
        <f t="shared" si="1"/>
        <v>5.1239032078635418</v>
      </c>
      <c r="J24">
        <f t="shared" si="2"/>
        <v>29.795214519907109</v>
      </c>
      <c r="K24">
        <f t="shared" si="3"/>
        <v>686.68933333333302</v>
      </c>
      <c r="L24">
        <f t="shared" si="4"/>
        <v>544.61198725737233</v>
      </c>
      <c r="M24">
        <f t="shared" si="5"/>
        <v>55.025434290118916</v>
      </c>
      <c r="N24">
        <f t="shared" si="6"/>
        <v>69.380365605508231</v>
      </c>
      <c r="O24">
        <f t="shared" si="7"/>
        <v>0.39391958367982272</v>
      </c>
      <c r="P24">
        <f t="shared" si="8"/>
        <v>3.027690429498108</v>
      </c>
      <c r="Q24">
        <f t="shared" si="9"/>
        <v>0.36750145049491534</v>
      </c>
      <c r="R24">
        <f t="shared" si="10"/>
        <v>0.2319141638210318</v>
      </c>
      <c r="S24">
        <f t="shared" si="11"/>
        <v>241.73449701558354</v>
      </c>
      <c r="T24">
        <f t="shared" si="12"/>
        <v>25.627257406101585</v>
      </c>
      <c r="U24">
        <f t="shared" si="13"/>
        <v>25.0059</v>
      </c>
      <c r="V24">
        <f t="shared" si="14"/>
        <v>3.1807962218709673</v>
      </c>
      <c r="W24">
        <f t="shared" si="15"/>
        <v>55.038627987080481</v>
      </c>
      <c r="X24">
        <f t="shared" si="16"/>
        <v>1.806867778543543</v>
      </c>
      <c r="Y24">
        <f t="shared" si="17"/>
        <v>3.282908467427057</v>
      </c>
      <c r="Z24">
        <f t="shared" si="18"/>
        <v>1.3739284433274244</v>
      </c>
      <c r="AA24">
        <f t="shared" si="19"/>
        <v>-225.96413146678219</v>
      </c>
      <c r="AB24">
        <f t="shared" si="20"/>
        <v>86.6881198609032</v>
      </c>
      <c r="AC24">
        <f t="shared" si="21"/>
        <v>6.0728798361786582</v>
      </c>
      <c r="AD24">
        <f t="shared" si="22"/>
        <v>108.53136524588321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53669.023569879253</v>
      </c>
      <c r="AJ24" t="s">
        <v>343</v>
      </c>
      <c r="AK24" t="s">
        <v>343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1261.1957000080768</v>
      </c>
      <c r="AW24">
        <f t="shared" si="29"/>
        <v>29.795214519907109</v>
      </c>
      <c r="AX24" t="e">
        <f t="shared" si="30"/>
        <v>#DIV/0!</v>
      </c>
      <c r="AY24">
        <f t="shared" si="31"/>
        <v>2.3624576677288307E-2</v>
      </c>
      <c r="AZ24" t="e">
        <f t="shared" si="32"/>
        <v>#DIV/0!</v>
      </c>
      <c r="BA24" t="e">
        <f t="shared" si="33"/>
        <v>#DIV/0!</v>
      </c>
      <c r="BB24" t="s">
        <v>343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BL24">
        <v>108</v>
      </c>
      <c r="BM24">
        <v>290</v>
      </c>
      <c r="BN24">
        <v>982.4</v>
      </c>
      <c r="BO24">
        <v>295</v>
      </c>
      <c r="BP24">
        <v>8129.77</v>
      </c>
      <c r="BQ24">
        <v>981.18</v>
      </c>
      <c r="BR24">
        <v>1.22</v>
      </c>
      <c r="BS24">
        <v>300</v>
      </c>
      <c r="BT24">
        <v>19.100000000000001</v>
      </c>
      <c r="BU24">
        <v>1007.16258349372</v>
      </c>
      <c r="BV24">
        <v>2.28379715037536</v>
      </c>
      <c r="BW24">
        <v>-21.126763639212701</v>
      </c>
      <c r="BX24">
        <v>1.6610954704837499</v>
      </c>
      <c r="BY24">
        <v>0.85244682187806697</v>
      </c>
      <c r="BZ24">
        <v>-5.3788734149054496E-3</v>
      </c>
      <c r="CA24">
        <v>290</v>
      </c>
      <c r="CB24">
        <v>973.25</v>
      </c>
      <c r="CC24">
        <v>615</v>
      </c>
      <c r="CD24">
        <v>8126.22</v>
      </c>
      <c r="CE24">
        <v>981.16</v>
      </c>
      <c r="CF24">
        <v>-7.91</v>
      </c>
      <c r="CT24">
        <f t="shared" si="42"/>
        <v>1499.98166666667</v>
      </c>
      <c r="CU24">
        <f t="shared" si="43"/>
        <v>1261.1957000080768</v>
      </c>
      <c r="CV24">
        <f t="shared" si="44"/>
        <v>0.8408074098737256</v>
      </c>
      <c r="CW24">
        <f t="shared" si="45"/>
        <v>0.16115830105629048</v>
      </c>
      <c r="CX24">
        <v>2</v>
      </c>
      <c r="CY24">
        <v>0.5</v>
      </c>
      <c r="CZ24" t="s">
        <v>344</v>
      </c>
      <c r="DA24">
        <v>2</v>
      </c>
      <c r="DB24">
        <v>1791087915.5999999</v>
      </c>
      <c r="DC24">
        <v>686.68933333333302</v>
      </c>
      <c r="DD24">
        <v>700.01466666666704</v>
      </c>
      <c r="DE24">
        <v>17.883400000000002</v>
      </c>
      <c r="DF24">
        <v>15.870516666666701</v>
      </c>
      <c r="DG24">
        <v>686.51866666666695</v>
      </c>
      <c r="DH24">
        <v>18.0583833333333</v>
      </c>
      <c r="DI24">
        <v>500.00616666666701</v>
      </c>
      <c r="DJ24">
        <v>100.93616666666701</v>
      </c>
      <c r="DK24">
        <v>9.9865549999999997E-2</v>
      </c>
      <c r="DL24">
        <v>25.5369833333333</v>
      </c>
      <c r="DM24">
        <v>25.0059</v>
      </c>
      <c r="DN24">
        <v>999.9</v>
      </c>
      <c r="DO24">
        <v>0</v>
      </c>
      <c r="DP24">
        <v>0</v>
      </c>
      <c r="DQ24">
        <v>10006.858333333301</v>
      </c>
      <c r="DR24">
        <v>0</v>
      </c>
      <c r="DS24">
        <v>8.9218600000000006</v>
      </c>
      <c r="DT24">
        <v>1499.98166666667</v>
      </c>
      <c r="DU24">
        <v>0.97299316666666702</v>
      </c>
      <c r="DV24">
        <v>2.7006450000000001E-2</v>
      </c>
      <c r="DW24">
        <v>0</v>
      </c>
      <c r="DX24">
        <v>286.16116666666699</v>
      </c>
      <c r="DY24">
        <v>4.9999900000000004</v>
      </c>
      <c r="DZ24">
        <v>4252.8249999999998</v>
      </c>
      <c r="EA24">
        <v>14882.3833333333</v>
      </c>
      <c r="EB24">
        <v>38.125</v>
      </c>
      <c r="EC24">
        <v>39.811999999999998</v>
      </c>
      <c r="ED24">
        <v>38.75</v>
      </c>
      <c r="EE24">
        <v>39.2603333333333</v>
      </c>
      <c r="EF24">
        <v>39.686999999999998</v>
      </c>
      <c r="EG24">
        <v>1454.6116666666701</v>
      </c>
      <c r="EH24">
        <v>40.369999999999997</v>
      </c>
      <c r="EI24">
        <v>0</v>
      </c>
      <c r="EJ24">
        <v>3833.7999999523199</v>
      </c>
      <c r="EK24">
        <v>0</v>
      </c>
      <c r="EL24">
        <v>286.08238461538502</v>
      </c>
      <c r="EM24">
        <v>-0.84437609770880295</v>
      </c>
      <c r="EN24">
        <v>-13.7958974211437</v>
      </c>
      <c r="EO24">
        <v>4253.96653846154</v>
      </c>
      <c r="EP24">
        <v>15</v>
      </c>
      <c r="EQ24">
        <v>1791087865.0999999</v>
      </c>
      <c r="ER24" t="s">
        <v>368</v>
      </c>
      <c r="ES24">
        <v>1791087865.0999999</v>
      </c>
      <c r="ET24">
        <v>1791087860.0999999</v>
      </c>
      <c r="EU24">
        <v>28</v>
      </c>
      <c r="EV24">
        <v>1.2999999999999999E-2</v>
      </c>
      <c r="EW24">
        <v>-5.0000000000000001E-3</v>
      </c>
      <c r="EX24">
        <v>0.193</v>
      </c>
      <c r="EY24">
        <v>-0.18099999999999999</v>
      </c>
      <c r="EZ24">
        <v>700</v>
      </c>
      <c r="FA24">
        <v>16</v>
      </c>
      <c r="FB24">
        <v>0.19</v>
      </c>
      <c r="FC24">
        <v>0.03</v>
      </c>
      <c r="FD24">
        <v>29.839061905710899</v>
      </c>
      <c r="FE24">
        <v>-0.24310299797249699</v>
      </c>
      <c r="FF24">
        <v>7.6693713412999701E-2</v>
      </c>
      <c r="FG24">
        <v>1</v>
      </c>
      <c r="FH24">
        <v>-13.352625</v>
      </c>
      <c r="FI24">
        <v>0.20403157894737201</v>
      </c>
      <c r="FJ24">
        <v>3.4814951888520497E-2</v>
      </c>
      <c r="FK24">
        <v>1</v>
      </c>
      <c r="FL24">
        <v>286.167352941177</v>
      </c>
      <c r="FM24">
        <v>-1.27055768264691</v>
      </c>
      <c r="FN24">
        <v>0.42247999481721699</v>
      </c>
      <c r="FO24">
        <v>-1</v>
      </c>
      <c r="FP24">
        <v>2</v>
      </c>
      <c r="FQ24">
        <v>2</v>
      </c>
      <c r="FR24" t="s">
        <v>346</v>
      </c>
      <c r="FS24">
        <v>100</v>
      </c>
      <c r="FT24">
        <v>100</v>
      </c>
      <c r="FU24">
        <v>0.17100000000000001</v>
      </c>
      <c r="FV24">
        <v>-0.17499999999999999</v>
      </c>
      <c r="FW24">
        <v>-0.68060866338453496</v>
      </c>
      <c r="FX24">
        <v>7.6835882421071803E-4</v>
      </c>
      <c r="FY24">
        <v>7.9312579872174805E-7</v>
      </c>
      <c r="FZ24">
        <v>-1.5433145656851401E-10</v>
      </c>
      <c r="GA24">
        <v>-2.64405712425805E-2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0.9</v>
      </c>
      <c r="GJ24">
        <v>1</v>
      </c>
      <c r="GK24">
        <v>1.6186499999999999</v>
      </c>
      <c r="GL24">
        <v>2.65747</v>
      </c>
      <c r="GM24">
        <v>1.65161</v>
      </c>
      <c r="GN24">
        <v>2.2851599999999999</v>
      </c>
      <c r="GO24">
        <v>1.5979000000000001</v>
      </c>
      <c r="GP24">
        <v>2.4902299999999999</v>
      </c>
      <c r="GQ24">
        <v>38.575000000000003</v>
      </c>
      <c r="GR24">
        <v>23.763500000000001</v>
      </c>
      <c r="GS24">
        <v>18</v>
      </c>
      <c r="GT24">
        <v>507.911</v>
      </c>
      <c r="GU24">
        <v>508.125</v>
      </c>
      <c r="GV24">
        <v>21.302399999999999</v>
      </c>
      <c r="GW24">
        <v>30.861699999999999</v>
      </c>
      <c r="GX24">
        <v>30</v>
      </c>
      <c r="GY24">
        <v>30.986799999999999</v>
      </c>
      <c r="GZ24">
        <v>31.0379</v>
      </c>
      <c r="HA24">
        <v>32.366100000000003</v>
      </c>
      <c r="HB24">
        <v>34.874299999999998</v>
      </c>
      <c r="HC24">
        <v>0</v>
      </c>
      <c r="HD24">
        <v>21.301600000000001</v>
      </c>
      <c r="HE24">
        <v>700</v>
      </c>
      <c r="HF24">
        <v>15.8817</v>
      </c>
      <c r="HG24">
        <v>97.799499999999995</v>
      </c>
      <c r="HH24">
        <v>94.384100000000004</v>
      </c>
    </row>
    <row r="25" spans="1:216" x14ac:dyDescent="0.6">
      <c r="A25">
        <v>9</v>
      </c>
      <c r="B25">
        <v>1791088044.0999999</v>
      </c>
      <c r="C25">
        <v>972.09999990463302</v>
      </c>
      <c r="D25" t="s">
        <v>369</v>
      </c>
      <c r="E25" t="s">
        <v>370</v>
      </c>
      <c r="F25">
        <v>5</v>
      </c>
      <c r="G25">
        <v>1791088041.0999999</v>
      </c>
      <c r="H25">
        <f t="shared" si="0"/>
        <v>5.1031526040046377E-3</v>
      </c>
      <c r="I25">
        <f t="shared" si="1"/>
        <v>5.103152604004638</v>
      </c>
      <c r="J25">
        <f t="shared" si="2"/>
        <v>31.78926510295269</v>
      </c>
      <c r="K25">
        <f t="shared" si="3"/>
        <v>985.23919999999998</v>
      </c>
      <c r="L25">
        <f t="shared" si="4"/>
        <v>827.80906592478607</v>
      </c>
      <c r="M25">
        <f t="shared" si="5"/>
        <v>83.63896380167229</v>
      </c>
      <c r="N25">
        <f t="shared" si="6"/>
        <v>99.545159840368001</v>
      </c>
      <c r="O25">
        <f t="shared" si="7"/>
        <v>0.39285524303718045</v>
      </c>
      <c r="P25">
        <f t="shared" si="8"/>
        <v>3.0249258855238241</v>
      </c>
      <c r="Q25">
        <f t="shared" si="9"/>
        <v>0.36655227604028001</v>
      </c>
      <c r="R25">
        <f t="shared" si="10"/>
        <v>0.23131147227045445</v>
      </c>
      <c r="S25">
        <f t="shared" si="11"/>
        <v>241.74157261558256</v>
      </c>
      <c r="T25">
        <f t="shared" si="12"/>
        <v>25.617595418200544</v>
      </c>
      <c r="U25">
        <f t="shared" si="13"/>
        <v>24.996040000000001</v>
      </c>
      <c r="V25">
        <f t="shared" si="14"/>
        <v>3.1789269722415958</v>
      </c>
      <c r="W25">
        <f t="shared" si="15"/>
        <v>55.091786013609699</v>
      </c>
      <c r="X25">
        <f t="shared" si="16"/>
        <v>1.8070001240148001</v>
      </c>
      <c r="Y25">
        <f t="shared" si="17"/>
        <v>3.2799810185286145</v>
      </c>
      <c r="Z25">
        <f t="shared" si="18"/>
        <v>1.3719268482267957</v>
      </c>
      <c r="AA25">
        <f t="shared" si="19"/>
        <v>-225.04902983660452</v>
      </c>
      <c r="AB25">
        <f t="shared" si="20"/>
        <v>85.766930698682231</v>
      </c>
      <c r="AC25">
        <f t="shared" si="21"/>
        <v>6.0130850659758037</v>
      </c>
      <c r="AD25">
        <f t="shared" si="22"/>
        <v>108.47255854363608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53585.776763075359</v>
      </c>
      <c r="AJ25" t="s">
        <v>343</v>
      </c>
      <c r="AK25" t="s">
        <v>343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1261.2329400080739</v>
      </c>
      <c r="AW25">
        <f t="shared" si="29"/>
        <v>31.78926510295269</v>
      </c>
      <c r="AX25" t="e">
        <f t="shared" si="30"/>
        <v>#DIV/0!</v>
      </c>
      <c r="AY25">
        <f t="shared" si="31"/>
        <v>2.5204911871988683E-2</v>
      </c>
      <c r="AZ25" t="e">
        <f t="shared" si="32"/>
        <v>#DIV/0!</v>
      </c>
      <c r="BA25" t="e">
        <f t="shared" si="33"/>
        <v>#DIV/0!</v>
      </c>
      <c r="BB25" t="s">
        <v>343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BL25">
        <v>108</v>
      </c>
      <c r="BM25">
        <v>290</v>
      </c>
      <c r="BN25">
        <v>982.4</v>
      </c>
      <c r="BO25">
        <v>295</v>
      </c>
      <c r="BP25">
        <v>8129.77</v>
      </c>
      <c r="BQ25">
        <v>981.18</v>
      </c>
      <c r="BR25">
        <v>1.22</v>
      </c>
      <c r="BS25">
        <v>300</v>
      </c>
      <c r="BT25">
        <v>19.100000000000001</v>
      </c>
      <c r="BU25">
        <v>1007.16258349372</v>
      </c>
      <c r="BV25">
        <v>2.28379715037536</v>
      </c>
      <c r="BW25">
        <v>-21.126763639212701</v>
      </c>
      <c r="BX25">
        <v>1.6610954704837499</v>
      </c>
      <c r="BY25">
        <v>0.85244682187806697</v>
      </c>
      <c r="BZ25">
        <v>-5.3788734149054496E-3</v>
      </c>
      <c r="CA25">
        <v>290</v>
      </c>
      <c r="CB25">
        <v>973.25</v>
      </c>
      <c r="CC25">
        <v>615</v>
      </c>
      <c r="CD25">
        <v>8126.22</v>
      </c>
      <c r="CE25">
        <v>981.16</v>
      </c>
      <c r="CF25">
        <v>-7.91</v>
      </c>
      <c r="CT25">
        <f t="shared" si="42"/>
        <v>1500.0260000000001</v>
      </c>
      <c r="CU25">
        <f t="shared" si="43"/>
        <v>1261.2329400080739</v>
      </c>
      <c r="CV25">
        <f t="shared" si="44"/>
        <v>0.84080738601069172</v>
      </c>
      <c r="CW25">
        <f t="shared" si="45"/>
        <v>0.16115825500063502</v>
      </c>
      <c r="CX25">
        <v>2</v>
      </c>
      <c r="CY25">
        <v>0.5</v>
      </c>
      <c r="CZ25" t="s">
        <v>344</v>
      </c>
      <c r="DA25">
        <v>2</v>
      </c>
      <c r="DB25">
        <v>1791088041.0999999</v>
      </c>
      <c r="DC25">
        <v>985.23919999999998</v>
      </c>
      <c r="DD25">
        <v>999.96519999999998</v>
      </c>
      <c r="DE25">
        <v>17.884620000000002</v>
      </c>
      <c r="DF25">
        <v>15.87998</v>
      </c>
      <c r="DG25">
        <v>984.596</v>
      </c>
      <c r="DH25">
        <v>18.059100000000001</v>
      </c>
      <c r="DI25">
        <v>500.02839999999998</v>
      </c>
      <c r="DJ25">
        <v>100.93640000000001</v>
      </c>
      <c r="DK25">
        <v>0.10014000000000001</v>
      </c>
      <c r="DL25">
        <v>25.52196</v>
      </c>
      <c r="DM25">
        <v>24.996040000000001</v>
      </c>
      <c r="DN25">
        <v>999.9</v>
      </c>
      <c r="DO25">
        <v>0</v>
      </c>
      <c r="DP25">
        <v>0</v>
      </c>
      <c r="DQ25">
        <v>9990.1280000000006</v>
      </c>
      <c r="DR25">
        <v>0</v>
      </c>
      <c r="DS25">
        <v>8.9218600000000006</v>
      </c>
      <c r="DT25">
        <v>1500.0260000000001</v>
      </c>
      <c r="DU25">
        <v>0.97299519999999995</v>
      </c>
      <c r="DV25">
        <v>2.700458E-2</v>
      </c>
      <c r="DW25">
        <v>0</v>
      </c>
      <c r="DX25">
        <v>282.99079999999998</v>
      </c>
      <c r="DY25">
        <v>4.9999900000000004</v>
      </c>
      <c r="DZ25">
        <v>4212.55</v>
      </c>
      <c r="EA25">
        <v>14882.82</v>
      </c>
      <c r="EB25">
        <v>38.186999999999998</v>
      </c>
      <c r="EC25">
        <v>39.875</v>
      </c>
      <c r="ED25">
        <v>38.811999999999998</v>
      </c>
      <c r="EE25">
        <v>39.311999999999998</v>
      </c>
      <c r="EF25">
        <v>39.75</v>
      </c>
      <c r="EG25">
        <v>1454.6559999999999</v>
      </c>
      <c r="EH25">
        <v>40.369999999999997</v>
      </c>
      <c r="EI25">
        <v>0</v>
      </c>
      <c r="EJ25">
        <v>3959.2000000476801</v>
      </c>
      <c r="EK25">
        <v>0</v>
      </c>
      <c r="EL25">
        <v>282.93932000000001</v>
      </c>
      <c r="EM25">
        <v>1.4082307736081701</v>
      </c>
      <c r="EN25">
        <v>28.582307704901702</v>
      </c>
      <c r="EO25">
        <v>4210.6148000000003</v>
      </c>
      <c r="EP25">
        <v>15</v>
      </c>
      <c r="EQ25">
        <v>1791087983.0999999</v>
      </c>
      <c r="ER25" t="s">
        <v>371</v>
      </c>
      <c r="ES25">
        <v>1791087977.0999999</v>
      </c>
      <c r="ET25">
        <v>1791087983.0999999</v>
      </c>
      <c r="EU25">
        <v>29</v>
      </c>
      <c r="EV25">
        <v>-5.5E-2</v>
      </c>
      <c r="EW25">
        <v>1E-3</v>
      </c>
      <c r="EX25">
        <v>0.67100000000000004</v>
      </c>
      <c r="EY25">
        <v>-0.18099999999999999</v>
      </c>
      <c r="EZ25">
        <v>1000</v>
      </c>
      <c r="FA25">
        <v>16</v>
      </c>
      <c r="FB25">
        <v>7.0000000000000007E-2</v>
      </c>
      <c r="FC25">
        <v>0.02</v>
      </c>
      <c r="FD25">
        <v>31.795538216363699</v>
      </c>
      <c r="FE25">
        <v>0.45995542868954498</v>
      </c>
      <c r="FF25">
        <v>0.13328057947205399</v>
      </c>
      <c r="FG25">
        <v>1</v>
      </c>
      <c r="FH25">
        <v>-14.7370238095238</v>
      </c>
      <c r="FI25">
        <v>-0.10204675324677601</v>
      </c>
      <c r="FJ25">
        <v>4.9553452666810299E-2</v>
      </c>
      <c r="FK25">
        <v>1</v>
      </c>
      <c r="FL25">
        <v>282.92811764705903</v>
      </c>
      <c r="FM25">
        <v>-0.40519478852789098</v>
      </c>
      <c r="FN25">
        <v>0.48696543932844699</v>
      </c>
      <c r="FO25">
        <v>-1</v>
      </c>
      <c r="FP25">
        <v>2</v>
      </c>
      <c r="FQ25">
        <v>2</v>
      </c>
      <c r="FR25" t="s">
        <v>346</v>
      </c>
      <c r="FS25">
        <v>100</v>
      </c>
      <c r="FT25">
        <v>100</v>
      </c>
      <c r="FU25">
        <v>0.64300000000000002</v>
      </c>
      <c r="FV25">
        <v>-0.17449999999999999</v>
      </c>
      <c r="FW25">
        <v>-0.73486342323944598</v>
      </c>
      <c r="FX25">
        <v>7.6835882421071803E-4</v>
      </c>
      <c r="FY25">
        <v>7.9312579872174805E-7</v>
      </c>
      <c r="FZ25">
        <v>-1.5433145656851401E-10</v>
      </c>
      <c r="GA25">
        <v>-2.5929279959675498E-2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1.1000000000000001</v>
      </c>
      <c r="GJ25">
        <v>1</v>
      </c>
      <c r="GK25">
        <v>2.1606399999999999</v>
      </c>
      <c r="GL25">
        <v>2.6464799999999999</v>
      </c>
      <c r="GM25">
        <v>1.65161</v>
      </c>
      <c r="GN25">
        <v>2.2851599999999999</v>
      </c>
      <c r="GO25">
        <v>1.5979000000000001</v>
      </c>
      <c r="GP25">
        <v>2.52197</v>
      </c>
      <c r="GQ25">
        <v>38.673299999999998</v>
      </c>
      <c r="GR25">
        <v>23.763500000000001</v>
      </c>
      <c r="GS25">
        <v>18</v>
      </c>
      <c r="GT25">
        <v>508.27199999999999</v>
      </c>
      <c r="GU25">
        <v>507.88200000000001</v>
      </c>
      <c r="GV25">
        <v>21.1663</v>
      </c>
      <c r="GW25">
        <v>30.8781</v>
      </c>
      <c r="GX25">
        <v>29.9998</v>
      </c>
      <c r="GY25">
        <v>31.003399999999999</v>
      </c>
      <c r="GZ25">
        <v>31.054099999999998</v>
      </c>
      <c r="HA25">
        <v>43.194499999999998</v>
      </c>
      <c r="HB25">
        <v>34.759599999999999</v>
      </c>
      <c r="HC25">
        <v>0</v>
      </c>
      <c r="HD25">
        <v>21.240600000000001</v>
      </c>
      <c r="HE25">
        <v>1000</v>
      </c>
      <c r="HF25">
        <v>15.8942</v>
      </c>
      <c r="HG25">
        <v>97.793099999999995</v>
      </c>
      <c r="HH25">
        <v>94.382599999999996</v>
      </c>
    </row>
    <row r="26" spans="1:216" x14ac:dyDescent="0.6">
      <c r="A26">
        <v>10</v>
      </c>
      <c r="B26">
        <v>1791088170.0999999</v>
      </c>
      <c r="C26">
        <v>1098.0999999046301</v>
      </c>
      <c r="D26" t="s">
        <v>372</v>
      </c>
      <c r="E26" t="s">
        <v>373</v>
      </c>
      <c r="F26">
        <v>5</v>
      </c>
      <c r="G26">
        <v>1791088166.5999999</v>
      </c>
      <c r="H26">
        <f t="shared" si="0"/>
        <v>5.1046220493811724E-3</v>
      </c>
      <c r="I26">
        <f t="shared" si="1"/>
        <v>5.104622049381172</v>
      </c>
      <c r="J26">
        <f t="shared" si="2"/>
        <v>32.595304259117192</v>
      </c>
      <c r="K26">
        <f t="shared" si="3"/>
        <v>1184.54833333333</v>
      </c>
      <c r="L26">
        <f t="shared" si="4"/>
        <v>1018.7228408434499</v>
      </c>
      <c r="M26">
        <f t="shared" si="5"/>
        <v>102.93081385976834</v>
      </c>
      <c r="N26">
        <f t="shared" si="6"/>
        <v>119.68566828764037</v>
      </c>
      <c r="O26">
        <f t="shared" si="7"/>
        <v>0.39135607900756875</v>
      </c>
      <c r="P26">
        <f t="shared" si="8"/>
        <v>3.0240481321282116</v>
      </c>
      <c r="Q26">
        <f t="shared" si="9"/>
        <v>0.36523928741835415</v>
      </c>
      <c r="R26">
        <f t="shared" si="10"/>
        <v>0.23047564637677148</v>
      </c>
      <c r="S26">
        <f t="shared" si="11"/>
        <v>241.74593501558172</v>
      </c>
      <c r="T26">
        <f t="shared" si="12"/>
        <v>25.611482015313733</v>
      </c>
      <c r="U26">
        <f t="shared" si="13"/>
        <v>25.0025166666667</v>
      </c>
      <c r="V26">
        <f t="shared" si="14"/>
        <v>3.1801547044672249</v>
      </c>
      <c r="W26">
        <f t="shared" si="15"/>
        <v>54.983975588140957</v>
      </c>
      <c r="X26">
        <f t="shared" si="16"/>
        <v>1.8028435891418348</v>
      </c>
      <c r="Y26">
        <f t="shared" si="17"/>
        <v>3.2788527381979184</v>
      </c>
      <c r="Z26">
        <f t="shared" si="18"/>
        <v>1.3773111153253901</v>
      </c>
      <c r="AA26">
        <f t="shared" si="19"/>
        <v>-225.11383237770971</v>
      </c>
      <c r="AB26">
        <f t="shared" si="20"/>
        <v>83.741634841223203</v>
      </c>
      <c r="AC26">
        <f t="shared" si="21"/>
        <v>5.8728164888493515</v>
      </c>
      <c r="AD26">
        <f t="shared" si="22"/>
        <v>106.24655396794455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53559.598370339801</v>
      </c>
      <c r="AJ26" t="s">
        <v>343</v>
      </c>
      <c r="AK26" t="s">
        <v>343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1261.255900008071</v>
      </c>
      <c r="AW26">
        <f t="shared" si="29"/>
        <v>32.595304259117192</v>
      </c>
      <c r="AX26" t="e">
        <f t="shared" si="30"/>
        <v>#DIV/0!</v>
      </c>
      <c r="AY26">
        <f t="shared" si="31"/>
        <v>2.5843529658738255E-2</v>
      </c>
      <c r="AZ26" t="e">
        <f t="shared" si="32"/>
        <v>#DIV/0!</v>
      </c>
      <c r="BA26" t="e">
        <f t="shared" si="33"/>
        <v>#DIV/0!</v>
      </c>
      <c r="BB26" t="s">
        <v>343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BL26">
        <v>108</v>
      </c>
      <c r="BM26">
        <v>290</v>
      </c>
      <c r="BN26">
        <v>982.4</v>
      </c>
      <c r="BO26">
        <v>295</v>
      </c>
      <c r="BP26">
        <v>8129.77</v>
      </c>
      <c r="BQ26">
        <v>981.18</v>
      </c>
      <c r="BR26">
        <v>1.22</v>
      </c>
      <c r="BS26">
        <v>300</v>
      </c>
      <c r="BT26">
        <v>19.100000000000001</v>
      </c>
      <c r="BU26">
        <v>1007.16258349372</v>
      </c>
      <c r="BV26">
        <v>2.28379715037536</v>
      </c>
      <c r="BW26">
        <v>-21.126763639212701</v>
      </c>
      <c r="BX26">
        <v>1.6610954704837499</v>
      </c>
      <c r="BY26">
        <v>0.85244682187806697</v>
      </c>
      <c r="BZ26">
        <v>-5.3788734149054496E-3</v>
      </c>
      <c r="CA26">
        <v>290</v>
      </c>
      <c r="CB26">
        <v>973.25</v>
      </c>
      <c r="CC26">
        <v>615</v>
      </c>
      <c r="CD26">
        <v>8126.22</v>
      </c>
      <c r="CE26">
        <v>981.16</v>
      </c>
      <c r="CF26">
        <v>-7.91</v>
      </c>
      <c r="CT26">
        <f t="shared" si="42"/>
        <v>1500.0533333333301</v>
      </c>
      <c r="CU26">
        <f t="shared" si="43"/>
        <v>1261.255900008071</v>
      </c>
      <c r="CV26">
        <f t="shared" si="44"/>
        <v>0.84080737129884742</v>
      </c>
      <c r="CW26">
        <f t="shared" si="45"/>
        <v>0.16115822660677548</v>
      </c>
      <c r="CX26">
        <v>2</v>
      </c>
      <c r="CY26">
        <v>0.5</v>
      </c>
      <c r="CZ26" t="s">
        <v>344</v>
      </c>
      <c r="DA26">
        <v>2</v>
      </c>
      <c r="DB26">
        <v>1791088166.5999999</v>
      </c>
      <c r="DC26">
        <v>1184.54833333333</v>
      </c>
      <c r="DD26">
        <v>1200.0050000000001</v>
      </c>
      <c r="DE26">
        <v>17.843033333333299</v>
      </c>
      <c r="DF26">
        <v>15.837633333333301</v>
      </c>
      <c r="DG26">
        <v>1183.45333333333</v>
      </c>
      <c r="DH26">
        <v>18.0180333333333</v>
      </c>
      <c r="DI26">
        <v>500.00400000000002</v>
      </c>
      <c r="DJ26">
        <v>100.93883333333299</v>
      </c>
      <c r="DK26">
        <v>0.100242</v>
      </c>
      <c r="DL26">
        <v>25.516166666666699</v>
      </c>
      <c r="DM26">
        <v>25.0025166666667</v>
      </c>
      <c r="DN26">
        <v>999.9</v>
      </c>
      <c r="DO26">
        <v>0</v>
      </c>
      <c r="DP26">
        <v>0</v>
      </c>
      <c r="DQ26">
        <v>9984.5883333333295</v>
      </c>
      <c r="DR26">
        <v>0</v>
      </c>
      <c r="DS26">
        <v>8.9251533333333306</v>
      </c>
      <c r="DT26">
        <v>1500.0533333333301</v>
      </c>
      <c r="DU26">
        <v>0.97299666666666695</v>
      </c>
      <c r="DV26">
        <v>2.7003050000000001E-2</v>
      </c>
      <c r="DW26">
        <v>0</v>
      </c>
      <c r="DX26">
        <v>284.67683333333298</v>
      </c>
      <c r="DY26">
        <v>4.9999900000000004</v>
      </c>
      <c r="DZ26">
        <v>4235.3583333333299</v>
      </c>
      <c r="EA26">
        <v>14883.1166666667</v>
      </c>
      <c r="EB26">
        <v>38.311999999999998</v>
      </c>
      <c r="EC26">
        <v>39.978999999999999</v>
      </c>
      <c r="ED26">
        <v>38.905999999999999</v>
      </c>
      <c r="EE26">
        <v>39.426666666666698</v>
      </c>
      <c r="EF26">
        <v>39.811999999999998</v>
      </c>
      <c r="EG26">
        <v>1454.68333333333</v>
      </c>
      <c r="EH26">
        <v>40.369999999999997</v>
      </c>
      <c r="EI26">
        <v>0</v>
      </c>
      <c r="EJ26">
        <v>4085.2000000476801</v>
      </c>
      <c r="EK26">
        <v>0</v>
      </c>
      <c r="EL26">
        <v>284.53552000000002</v>
      </c>
      <c r="EM26">
        <v>0.86269227498573398</v>
      </c>
      <c r="EN26">
        <v>20.9746154308386</v>
      </c>
      <c r="EO26">
        <v>4234.03</v>
      </c>
      <c r="EP26">
        <v>15</v>
      </c>
      <c r="EQ26">
        <v>1791088106.0999999</v>
      </c>
      <c r="ER26" t="s">
        <v>374</v>
      </c>
      <c r="ES26">
        <v>1791088097.0999999</v>
      </c>
      <c r="ET26">
        <v>1791088106.0999999</v>
      </c>
      <c r="EU26">
        <v>30</v>
      </c>
      <c r="EV26">
        <v>6.6000000000000003E-2</v>
      </c>
      <c r="EW26">
        <v>0</v>
      </c>
      <c r="EX26">
        <v>1.125</v>
      </c>
      <c r="EY26">
        <v>-0.18099999999999999</v>
      </c>
      <c r="EZ26">
        <v>1200</v>
      </c>
      <c r="FA26">
        <v>16</v>
      </c>
      <c r="FB26">
        <v>0.18</v>
      </c>
      <c r="FC26">
        <v>7.0000000000000007E-2</v>
      </c>
      <c r="FD26">
        <v>32.472495816845402</v>
      </c>
      <c r="FE26">
        <v>0.59670809669395797</v>
      </c>
      <c r="FF26">
        <v>0.15307534945152801</v>
      </c>
      <c r="FG26">
        <v>1</v>
      </c>
      <c r="FH26">
        <v>-15.420500000000001</v>
      </c>
      <c r="FI26">
        <v>-0.22228051948052399</v>
      </c>
      <c r="FJ26">
        <v>6.1842087687300998E-2</v>
      </c>
      <c r="FK26">
        <v>1</v>
      </c>
      <c r="FL26">
        <v>284.41417647058802</v>
      </c>
      <c r="FM26">
        <v>1.5972192529734099</v>
      </c>
      <c r="FN26">
        <v>0.53198106283125202</v>
      </c>
      <c r="FO26">
        <v>-1</v>
      </c>
      <c r="FP26">
        <v>2</v>
      </c>
      <c r="FQ26">
        <v>2</v>
      </c>
      <c r="FR26" t="s">
        <v>346</v>
      </c>
      <c r="FS26">
        <v>100</v>
      </c>
      <c r="FT26">
        <v>100</v>
      </c>
      <c r="FU26">
        <v>1.0900000000000001</v>
      </c>
      <c r="FV26">
        <v>-0.17499999999999999</v>
      </c>
      <c r="FW26">
        <v>-0.67013332132710102</v>
      </c>
      <c r="FX26">
        <v>7.6835882421071803E-4</v>
      </c>
      <c r="FY26">
        <v>7.9312579872174805E-7</v>
      </c>
      <c r="FZ26">
        <v>-1.5433145656851401E-10</v>
      </c>
      <c r="GA26">
        <v>-2.6248051552787099E-2</v>
      </c>
      <c r="GB26">
        <v>-2.1578312386681502E-2</v>
      </c>
      <c r="GC26">
        <v>7.7134661959739901E-4</v>
      </c>
      <c r="GD26">
        <v>-1.7684492548540801E-6</v>
      </c>
      <c r="GE26">
        <v>4</v>
      </c>
      <c r="GF26">
        <v>2093</v>
      </c>
      <c r="GG26">
        <v>1</v>
      </c>
      <c r="GH26">
        <v>31</v>
      </c>
      <c r="GI26">
        <v>1.2</v>
      </c>
      <c r="GJ26">
        <v>1.1000000000000001</v>
      </c>
      <c r="GK26">
        <v>2.5061</v>
      </c>
      <c r="GL26">
        <v>2.6403799999999999</v>
      </c>
      <c r="GM26">
        <v>1.65161</v>
      </c>
      <c r="GN26">
        <v>2.2839399999999999</v>
      </c>
      <c r="GO26">
        <v>1.5979000000000001</v>
      </c>
      <c r="GP26">
        <v>2.63916</v>
      </c>
      <c r="GQ26">
        <v>38.747100000000003</v>
      </c>
      <c r="GR26">
        <v>23.772300000000001</v>
      </c>
      <c r="GS26">
        <v>18</v>
      </c>
      <c r="GT26">
        <v>508.22699999999998</v>
      </c>
      <c r="GU26">
        <v>507.72399999999999</v>
      </c>
      <c r="GV26">
        <v>21.178899999999999</v>
      </c>
      <c r="GW26">
        <v>30.906700000000001</v>
      </c>
      <c r="GX26">
        <v>30</v>
      </c>
      <c r="GY26">
        <v>31.027100000000001</v>
      </c>
      <c r="GZ26">
        <v>31.0779</v>
      </c>
      <c r="HA26">
        <v>50.091700000000003</v>
      </c>
      <c r="HB26">
        <v>34.925699999999999</v>
      </c>
      <c r="HC26">
        <v>0</v>
      </c>
      <c r="HD26">
        <v>21.178999999999998</v>
      </c>
      <c r="HE26">
        <v>1200</v>
      </c>
      <c r="HF26">
        <v>15.882899999999999</v>
      </c>
      <c r="HG26">
        <v>97.787899999999993</v>
      </c>
      <c r="HH26">
        <v>94.376099999999994</v>
      </c>
    </row>
    <row r="27" spans="1:216" x14ac:dyDescent="0.6">
      <c r="A27">
        <v>11</v>
      </c>
      <c r="B27">
        <v>1791088294.0999999</v>
      </c>
      <c r="C27">
        <v>1222.0999999046301</v>
      </c>
      <c r="D27" t="s">
        <v>375</v>
      </c>
      <c r="E27" t="s">
        <v>376</v>
      </c>
      <c r="F27">
        <v>5</v>
      </c>
      <c r="G27">
        <v>1791088290.5999999</v>
      </c>
      <c r="H27">
        <f t="shared" si="0"/>
        <v>5.0243333670132789E-3</v>
      </c>
      <c r="I27">
        <f t="shared" si="1"/>
        <v>5.0243333670132788</v>
      </c>
      <c r="J27">
        <f t="shared" si="2"/>
        <v>32.705464372262647</v>
      </c>
      <c r="K27">
        <f t="shared" si="3"/>
        <v>1483.8583333333299</v>
      </c>
      <c r="L27">
        <f t="shared" si="4"/>
        <v>1309.5222897181395</v>
      </c>
      <c r="M27">
        <f t="shared" si="5"/>
        <v>132.31704972513199</v>
      </c>
      <c r="N27">
        <f t="shared" si="6"/>
        <v>149.93235198690485</v>
      </c>
      <c r="O27">
        <f t="shared" si="7"/>
        <v>0.38663070950753753</v>
      </c>
      <c r="P27">
        <f t="shared" si="8"/>
        <v>3.0244117534814263</v>
      </c>
      <c r="Q27">
        <f t="shared" si="9"/>
        <v>0.36112160274908228</v>
      </c>
      <c r="R27">
        <f t="shared" si="10"/>
        <v>0.22785249271530691</v>
      </c>
      <c r="S27">
        <f t="shared" si="11"/>
        <v>241.73556101558242</v>
      </c>
      <c r="T27">
        <f t="shared" si="12"/>
        <v>25.620601671664929</v>
      </c>
      <c r="U27">
        <f t="shared" si="13"/>
        <v>24.9921333333333</v>
      </c>
      <c r="V27">
        <f t="shared" si="14"/>
        <v>3.1781866155722782</v>
      </c>
      <c r="W27">
        <f t="shared" si="15"/>
        <v>55.148690490300034</v>
      </c>
      <c r="X27">
        <f t="shared" si="16"/>
        <v>1.8070526772529314</v>
      </c>
      <c r="Y27">
        <f t="shared" si="17"/>
        <v>3.2766919054420147</v>
      </c>
      <c r="Z27">
        <f t="shared" si="18"/>
        <v>1.3711339383193468</v>
      </c>
      <c r="AA27">
        <f t="shared" si="19"/>
        <v>-221.5731014852856</v>
      </c>
      <c r="AB27">
        <f t="shared" si="20"/>
        <v>83.634850211657323</v>
      </c>
      <c r="AC27">
        <f t="shared" si="21"/>
        <v>5.8639888579519255</v>
      </c>
      <c r="AD27">
        <f t="shared" si="22"/>
        <v>109.66129859990608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53572.958289995397</v>
      </c>
      <c r="AJ27" t="s">
        <v>343</v>
      </c>
      <c r="AK27" t="s">
        <v>343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1261.2013000080715</v>
      </c>
      <c r="AW27">
        <f t="shared" si="29"/>
        <v>32.705464372262647</v>
      </c>
      <c r="AX27" t="e">
        <f t="shared" si="30"/>
        <v>#DIV/0!</v>
      </c>
      <c r="AY27">
        <f t="shared" si="31"/>
        <v>2.5931993863353407E-2</v>
      </c>
      <c r="AZ27" t="e">
        <f t="shared" si="32"/>
        <v>#DIV/0!</v>
      </c>
      <c r="BA27" t="e">
        <f t="shared" si="33"/>
        <v>#DIV/0!</v>
      </c>
      <c r="BB27" t="s">
        <v>343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BL27">
        <v>108</v>
      </c>
      <c r="BM27">
        <v>290</v>
      </c>
      <c r="BN27">
        <v>982.4</v>
      </c>
      <c r="BO27">
        <v>295</v>
      </c>
      <c r="BP27">
        <v>8129.77</v>
      </c>
      <c r="BQ27">
        <v>981.18</v>
      </c>
      <c r="BR27">
        <v>1.22</v>
      </c>
      <c r="BS27">
        <v>300</v>
      </c>
      <c r="BT27">
        <v>19.100000000000001</v>
      </c>
      <c r="BU27">
        <v>1007.16258349372</v>
      </c>
      <c r="BV27">
        <v>2.28379715037536</v>
      </c>
      <c r="BW27">
        <v>-21.126763639212701</v>
      </c>
      <c r="BX27">
        <v>1.6610954704837499</v>
      </c>
      <c r="BY27">
        <v>0.85244682187806697</v>
      </c>
      <c r="BZ27">
        <v>-5.3788734149054496E-3</v>
      </c>
      <c r="CA27">
        <v>290</v>
      </c>
      <c r="CB27">
        <v>973.25</v>
      </c>
      <c r="CC27">
        <v>615</v>
      </c>
      <c r="CD27">
        <v>8126.22</v>
      </c>
      <c r="CE27">
        <v>981.16</v>
      </c>
      <c r="CF27">
        <v>-7.91</v>
      </c>
      <c r="CT27">
        <f t="shared" si="42"/>
        <v>1499.98833333333</v>
      </c>
      <c r="CU27">
        <f t="shared" si="43"/>
        <v>1261.2013000080715</v>
      </c>
      <c r="CV27">
        <f t="shared" si="44"/>
        <v>0.84080740628520945</v>
      </c>
      <c r="CW27">
        <f t="shared" si="45"/>
        <v>0.1611582941304541</v>
      </c>
      <c r="CX27">
        <v>2</v>
      </c>
      <c r="CY27">
        <v>0.5</v>
      </c>
      <c r="CZ27" t="s">
        <v>344</v>
      </c>
      <c r="DA27">
        <v>2</v>
      </c>
      <c r="DB27">
        <v>1791088290.5999999</v>
      </c>
      <c r="DC27">
        <v>1483.8583333333299</v>
      </c>
      <c r="DD27">
        <v>1499.92166666667</v>
      </c>
      <c r="DE27">
        <v>17.884133333333299</v>
      </c>
      <c r="DF27">
        <v>15.9104666666667</v>
      </c>
      <c r="DG27">
        <v>1482.27</v>
      </c>
      <c r="DH27">
        <v>18.060983333333301</v>
      </c>
      <c r="DI27">
        <v>500.03149999999999</v>
      </c>
      <c r="DJ27">
        <v>100.94216666666701</v>
      </c>
      <c r="DK27">
        <v>0.10006130000000001</v>
      </c>
      <c r="DL27">
        <v>25.5050666666667</v>
      </c>
      <c r="DM27">
        <v>24.9921333333333</v>
      </c>
      <c r="DN27">
        <v>999.9</v>
      </c>
      <c r="DO27">
        <v>0</v>
      </c>
      <c r="DP27">
        <v>0</v>
      </c>
      <c r="DQ27">
        <v>9986.4533333333293</v>
      </c>
      <c r="DR27">
        <v>0</v>
      </c>
      <c r="DS27">
        <v>8.9312716666666692</v>
      </c>
      <c r="DT27">
        <v>1499.98833333333</v>
      </c>
      <c r="DU27">
        <v>0.97299500000000005</v>
      </c>
      <c r="DV27">
        <v>2.7004750000000001E-2</v>
      </c>
      <c r="DW27">
        <v>0</v>
      </c>
      <c r="DX27">
        <v>284.42733333333302</v>
      </c>
      <c r="DY27">
        <v>4.9999900000000004</v>
      </c>
      <c r="DZ27">
        <v>4233.4583333333303</v>
      </c>
      <c r="EA27">
        <v>14882.45</v>
      </c>
      <c r="EB27">
        <v>38.311999999999998</v>
      </c>
      <c r="EC27">
        <v>40</v>
      </c>
      <c r="ED27">
        <v>38.936999999999998</v>
      </c>
      <c r="EE27">
        <v>39.436999999999998</v>
      </c>
      <c r="EF27">
        <v>39.875</v>
      </c>
      <c r="EG27">
        <v>1454.6183333333299</v>
      </c>
      <c r="EH27">
        <v>40.369999999999997</v>
      </c>
      <c r="EI27">
        <v>0</v>
      </c>
      <c r="EJ27">
        <v>4208.7999999523199</v>
      </c>
      <c r="EK27">
        <v>0</v>
      </c>
      <c r="EL27">
        <v>284.39076</v>
      </c>
      <c r="EM27">
        <v>0.48861538594354598</v>
      </c>
      <c r="EN27">
        <v>8.5238461193099493</v>
      </c>
      <c r="EO27">
        <v>4232.9348</v>
      </c>
      <c r="EP27">
        <v>15</v>
      </c>
      <c r="EQ27">
        <v>1791088230.0999999</v>
      </c>
      <c r="ER27" t="s">
        <v>377</v>
      </c>
      <c r="ES27">
        <v>1791088230.0999999</v>
      </c>
      <c r="ET27">
        <v>1791088229.0999999</v>
      </c>
      <c r="EU27">
        <v>31</v>
      </c>
      <c r="EV27">
        <v>-0.125</v>
      </c>
      <c r="EW27">
        <v>-2E-3</v>
      </c>
      <c r="EX27">
        <v>1.62</v>
      </c>
      <c r="EY27">
        <v>-0.183</v>
      </c>
      <c r="EZ27">
        <v>1500</v>
      </c>
      <c r="FA27">
        <v>16</v>
      </c>
      <c r="FB27">
        <v>0.17</v>
      </c>
      <c r="FC27">
        <v>0.05</v>
      </c>
      <c r="FD27">
        <v>32.8990682598563</v>
      </c>
      <c r="FE27">
        <v>-0.33927158816602998</v>
      </c>
      <c r="FF27">
        <v>0.206752409539808</v>
      </c>
      <c r="FG27">
        <v>1</v>
      </c>
      <c r="FH27">
        <v>-16.143561904761899</v>
      </c>
      <c r="FI27">
        <v>0.24734025974024901</v>
      </c>
      <c r="FJ27">
        <v>8.4705880361403793E-2</v>
      </c>
      <c r="FK27">
        <v>1</v>
      </c>
      <c r="FL27">
        <v>284.45794117647102</v>
      </c>
      <c r="FM27">
        <v>-0.218151263485239</v>
      </c>
      <c r="FN27">
        <v>0.47280489329958197</v>
      </c>
      <c r="FO27">
        <v>-1</v>
      </c>
      <c r="FP27">
        <v>2</v>
      </c>
      <c r="FQ27">
        <v>2</v>
      </c>
      <c r="FR27" t="s">
        <v>346</v>
      </c>
      <c r="FS27">
        <v>100</v>
      </c>
      <c r="FT27">
        <v>100</v>
      </c>
      <c r="FU27">
        <v>1.59</v>
      </c>
      <c r="FV27">
        <v>-0.1769</v>
      </c>
      <c r="FW27">
        <v>-0.79344182285077403</v>
      </c>
      <c r="FX27">
        <v>7.6835882421071803E-4</v>
      </c>
      <c r="FY27">
        <v>7.9312579872174805E-7</v>
      </c>
      <c r="FZ27">
        <v>-1.5433145656851401E-10</v>
      </c>
      <c r="GA27">
        <v>-2.8325169669537902E-2</v>
      </c>
      <c r="GB27">
        <v>-2.1578312386681502E-2</v>
      </c>
      <c r="GC27">
        <v>7.7134661959739901E-4</v>
      </c>
      <c r="GD27">
        <v>-1.7684492548540801E-6</v>
      </c>
      <c r="GE27">
        <v>4</v>
      </c>
      <c r="GF27">
        <v>2093</v>
      </c>
      <c r="GG27">
        <v>1</v>
      </c>
      <c r="GH27">
        <v>31</v>
      </c>
      <c r="GI27">
        <v>1.1000000000000001</v>
      </c>
      <c r="GJ27">
        <v>1.1000000000000001</v>
      </c>
      <c r="GK27">
        <v>3.0041500000000001</v>
      </c>
      <c r="GL27">
        <v>2.63062</v>
      </c>
      <c r="GM27">
        <v>1.65161</v>
      </c>
      <c r="GN27">
        <v>2.2851599999999999</v>
      </c>
      <c r="GO27">
        <v>1.5979000000000001</v>
      </c>
      <c r="GP27">
        <v>2.6355</v>
      </c>
      <c r="GQ27">
        <v>38.821100000000001</v>
      </c>
      <c r="GR27">
        <v>23.763500000000001</v>
      </c>
      <c r="GS27">
        <v>18</v>
      </c>
      <c r="GT27">
        <v>508.30900000000003</v>
      </c>
      <c r="GU27">
        <v>507.66199999999998</v>
      </c>
      <c r="GV27">
        <v>21.180900000000001</v>
      </c>
      <c r="GW27">
        <v>30.9343</v>
      </c>
      <c r="GX27">
        <v>30.0001</v>
      </c>
      <c r="GY27">
        <v>31.051400000000001</v>
      </c>
      <c r="GZ27">
        <v>31.1022</v>
      </c>
      <c r="HA27">
        <v>60.049599999999998</v>
      </c>
      <c r="HB27">
        <v>34.862299999999998</v>
      </c>
      <c r="HC27">
        <v>0</v>
      </c>
      <c r="HD27">
        <v>21.183399999999999</v>
      </c>
      <c r="HE27">
        <v>1500</v>
      </c>
      <c r="HF27">
        <v>15.862</v>
      </c>
      <c r="HG27">
        <v>97.780100000000004</v>
      </c>
      <c r="HH27">
        <v>94.366699999999994</v>
      </c>
    </row>
    <row r="28" spans="1:216" x14ac:dyDescent="0.6">
      <c r="A28">
        <v>12</v>
      </c>
      <c r="B28">
        <v>1791088415.0999999</v>
      </c>
      <c r="C28">
        <v>1343.0999999046301</v>
      </c>
      <c r="D28" t="s">
        <v>378</v>
      </c>
      <c r="E28" t="s">
        <v>379</v>
      </c>
      <c r="F28">
        <v>5</v>
      </c>
      <c r="G28">
        <v>1791088411.5999999</v>
      </c>
      <c r="H28">
        <f t="shared" si="0"/>
        <v>5.1771873433904452E-3</v>
      </c>
      <c r="I28">
        <f t="shared" si="1"/>
        <v>5.177187343390445</v>
      </c>
      <c r="J28">
        <f t="shared" si="2"/>
        <v>33.030287324192038</v>
      </c>
      <c r="K28">
        <f t="shared" si="3"/>
        <v>1783.00166666667</v>
      </c>
      <c r="L28">
        <f t="shared" si="4"/>
        <v>1604.5891285661819</v>
      </c>
      <c r="M28">
        <f t="shared" si="5"/>
        <v>162.12996358551234</v>
      </c>
      <c r="N28">
        <f t="shared" si="6"/>
        <v>180.15701972746592</v>
      </c>
      <c r="O28">
        <f t="shared" si="7"/>
        <v>0.39821327605448109</v>
      </c>
      <c r="P28">
        <f t="shared" si="8"/>
        <v>3.0255893504857667</v>
      </c>
      <c r="Q28">
        <f t="shared" si="9"/>
        <v>0.37121986552165903</v>
      </c>
      <c r="R28">
        <f t="shared" si="10"/>
        <v>0.2342850108184773</v>
      </c>
      <c r="S28">
        <f t="shared" si="11"/>
        <v>241.73210301558373</v>
      </c>
      <c r="T28">
        <f t="shared" si="12"/>
        <v>25.578527563223489</v>
      </c>
      <c r="U28">
        <f t="shared" si="13"/>
        <v>24.9965333333333</v>
      </c>
      <c r="V28">
        <f t="shared" si="14"/>
        <v>3.1790204750975684</v>
      </c>
      <c r="W28">
        <f t="shared" si="15"/>
        <v>55.085159139927832</v>
      </c>
      <c r="X28">
        <f t="shared" si="16"/>
        <v>1.8046064919366442</v>
      </c>
      <c r="Y28">
        <f t="shared" si="17"/>
        <v>3.2760302776879815</v>
      </c>
      <c r="Z28">
        <f t="shared" si="18"/>
        <v>1.3744139831609241</v>
      </c>
      <c r="AA28">
        <f t="shared" si="19"/>
        <v>-228.31396184351863</v>
      </c>
      <c r="AB28">
        <f t="shared" si="20"/>
        <v>82.395113140097379</v>
      </c>
      <c r="AC28">
        <f t="shared" si="21"/>
        <v>5.7748461199811576</v>
      </c>
      <c r="AD28">
        <f t="shared" si="22"/>
        <v>101.58810043214365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53610.146893078054</v>
      </c>
      <c r="AJ28" t="s">
        <v>343</v>
      </c>
      <c r="AK28" t="s">
        <v>343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1261.183100008077</v>
      </c>
      <c r="AW28">
        <f t="shared" si="29"/>
        <v>33.030287324192038</v>
      </c>
      <c r="AX28" t="e">
        <f t="shared" si="30"/>
        <v>#DIV/0!</v>
      </c>
      <c r="AY28">
        <f t="shared" si="31"/>
        <v>2.6189922243630211E-2</v>
      </c>
      <c r="AZ28" t="e">
        <f t="shared" si="32"/>
        <v>#DIV/0!</v>
      </c>
      <c r="BA28" t="e">
        <f t="shared" si="33"/>
        <v>#DIV/0!</v>
      </c>
      <c r="BB28" t="s">
        <v>343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BL28">
        <v>108</v>
      </c>
      <c r="BM28">
        <v>290</v>
      </c>
      <c r="BN28">
        <v>982.4</v>
      </c>
      <c r="BO28">
        <v>295</v>
      </c>
      <c r="BP28">
        <v>8129.77</v>
      </c>
      <c r="BQ28">
        <v>981.18</v>
      </c>
      <c r="BR28">
        <v>1.22</v>
      </c>
      <c r="BS28">
        <v>300</v>
      </c>
      <c r="BT28">
        <v>19.100000000000001</v>
      </c>
      <c r="BU28">
        <v>1007.16258349372</v>
      </c>
      <c r="BV28">
        <v>2.28379715037536</v>
      </c>
      <c r="BW28">
        <v>-21.126763639212701</v>
      </c>
      <c r="BX28">
        <v>1.6610954704837499</v>
      </c>
      <c r="BY28">
        <v>0.85244682187806697</v>
      </c>
      <c r="BZ28">
        <v>-5.3788734149054496E-3</v>
      </c>
      <c r="CA28">
        <v>290</v>
      </c>
      <c r="CB28">
        <v>973.25</v>
      </c>
      <c r="CC28">
        <v>615</v>
      </c>
      <c r="CD28">
        <v>8126.22</v>
      </c>
      <c r="CE28">
        <v>981.16</v>
      </c>
      <c r="CF28">
        <v>-7.91</v>
      </c>
      <c r="CT28">
        <f t="shared" si="42"/>
        <v>1499.9666666666701</v>
      </c>
      <c r="CU28">
        <f t="shared" si="43"/>
        <v>1261.183100008077</v>
      </c>
      <c r="CV28">
        <f t="shared" si="44"/>
        <v>0.84080741794800384</v>
      </c>
      <c r="CW28">
        <f t="shared" si="45"/>
        <v>0.16115831663964744</v>
      </c>
      <c r="CX28">
        <v>2</v>
      </c>
      <c r="CY28">
        <v>0.5</v>
      </c>
      <c r="CZ28" t="s">
        <v>344</v>
      </c>
      <c r="DA28">
        <v>2</v>
      </c>
      <c r="DB28">
        <v>1791088411.5999999</v>
      </c>
      <c r="DC28">
        <v>1783.00166666667</v>
      </c>
      <c r="DD28">
        <v>1799.905</v>
      </c>
      <c r="DE28">
        <v>17.8600666666667</v>
      </c>
      <c r="DF28">
        <v>15.826316666666701</v>
      </c>
      <c r="DG28">
        <v>1781.0150000000001</v>
      </c>
      <c r="DH28">
        <v>18.036249999999999</v>
      </c>
      <c r="DI28">
        <v>500.03416666666698</v>
      </c>
      <c r="DJ28">
        <v>100.94133333333301</v>
      </c>
      <c r="DK28">
        <v>0.100086366666667</v>
      </c>
      <c r="DL28">
        <v>25.501666666666701</v>
      </c>
      <c r="DM28">
        <v>24.9965333333333</v>
      </c>
      <c r="DN28">
        <v>999.9</v>
      </c>
      <c r="DO28">
        <v>0</v>
      </c>
      <c r="DP28">
        <v>0</v>
      </c>
      <c r="DQ28">
        <v>9993.6466666666693</v>
      </c>
      <c r="DR28">
        <v>0</v>
      </c>
      <c r="DS28">
        <v>8.9783299999999997</v>
      </c>
      <c r="DT28">
        <v>1499.9666666666701</v>
      </c>
      <c r="DU28">
        <v>0.97299500000000005</v>
      </c>
      <c r="DV28">
        <v>2.7004750000000001E-2</v>
      </c>
      <c r="DW28">
        <v>0</v>
      </c>
      <c r="DX28">
        <v>284.99766666666699</v>
      </c>
      <c r="DY28">
        <v>4.9999900000000004</v>
      </c>
      <c r="DZ28">
        <v>4240.0433333333303</v>
      </c>
      <c r="EA28">
        <v>14882.2166666667</v>
      </c>
      <c r="EB28">
        <v>38.311999999999998</v>
      </c>
      <c r="EC28">
        <v>40</v>
      </c>
      <c r="ED28">
        <v>38.936999999999998</v>
      </c>
      <c r="EE28">
        <v>39.436999999999998</v>
      </c>
      <c r="EF28">
        <v>39.875</v>
      </c>
      <c r="EG28">
        <v>1454.59666666667</v>
      </c>
      <c r="EH28">
        <v>40.369999999999997</v>
      </c>
      <c r="EI28">
        <v>0</v>
      </c>
      <c r="EJ28">
        <v>4330</v>
      </c>
      <c r="EK28">
        <v>0</v>
      </c>
      <c r="EL28">
        <v>284.87276000000003</v>
      </c>
      <c r="EM28">
        <v>0.28207691663219903</v>
      </c>
      <c r="EN28">
        <v>10.6084615272341</v>
      </c>
      <c r="EO28">
        <v>4239.3864000000003</v>
      </c>
      <c r="EP28">
        <v>15</v>
      </c>
      <c r="EQ28">
        <v>1791088367.0999999</v>
      </c>
      <c r="ER28" t="s">
        <v>380</v>
      </c>
      <c r="ES28">
        <v>1791088367.0999999</v>
      </c>
      <c r="ET28">
        <v>1791088362.0999999</v>
      </c>
      <c r="EU28">
        <v>32</v>
      </c>
      <c r="EV28">
        <v>-0.23200000000000001</v>
      </c>
      <c r="EW28">
        <v>1E-3</v>
      </c>
      <c r="EX28">
        <v>2.0230000000000001</v>
      </c>
      <c r="EY28">
        <v>-0.183</v>
      </c>
      <c r="EZ28">
        <v>1800</v>
      </c>
      <c r="FA28">
        <v>16</v>
      </c>
      <c r="FB28">
        <v>0.27</v>
      </c>
      <c r="FC28">
        <v>0.05</v>
      </c>
      <c r="FD28">
        <v>33.4363309154201</v>
      </c>
      <c r="FE28">
        <v>-1.6668569462590399</v>
      </c>
      <c r="FF28">
        <v>0.34267771213481102</v>
      </c>
      <c r="FG28">
        <v>0</v>
      </c>
      <c r="FH28">
        <v>-17.017585714285701</v>
      </c>
      <c r="FI28">
        <v>0.55150129870124898</v>
      </c>
      <c r="FJ28">
        <v>0.12378065194495599</v>
      </c>
      <c r="FK28">
        <v>0</v>
      </c>
      <c r="FL28">
        <v>284.88708823529402</v>
      </c>
      <c r="FM28">
        <v>0.31087852933141302</v>
      </c>
      <c r="FN28">
        <v>0.39157640435785002</v>
      </c>
      <c r="FO28">
        <v>-1</v>
      </c>
      <c r="FP28">
        <v>0</v>
      </c>
      <c r="FQ28">
        <v>2</v>
      </c>
      <c r="FR28" t="s">
        <v>381</v>
      </c>
      <c r="FS28">
        <v>100</v>
      </c>
      <c r="FT28">
        <v>100</v>
      </c>
      <c r="FU28">
        <v>1.98</v>
      </c>
      <c r="FV28">
        <v>-0.17630000000000001</v>
      </c>
      <c r="FW28">
        <v>-1.0260816115470599</v>
      </c>
      <c r="FX28">
        <v>7.6835882421071803E-4</v>
      </c>
      <c r="FY28">
        <v>7.9312579872174805E-7</v>
      </c>
      <c r="FZ28">
        <v>-1.5433145656851401E-10</v>
      </c>
      <c r="GA28">
        <v>-2.7555584802366102E-2</v>
      </c>
      <c r="GB28">
        <v>-2.1578312386681502E-2</v>
      </c>
      <c r="GC28">
        <v>7.7134661959739901E-4</v>
      </c>
      <c r="GD28">
        <v>-1.7684492548540801E-6</v>
      </c>
      <c r="GE28">
        <v>4</v>
      </c>
      <c r="GF28">
        <v>2093</v>
      </c>
      <c r="GG28">
        <v>1</v>
      </c>
      <c r="GH28">
        <v>31</v>
      </c>
      <c r="GI28">
        <v>0.8</v>
      </c>
      <c r="GJ28">
        <v>0.9</v>
      </c>
      <c r="GK28">
        <v>3.4777800000000001</v>
      </c>
      <c r="GL28">
        <v>2.6452599999999999</v>
      </c>
      <c r="GM28">
        <v>1.65161</v>
      </c>
      <c r="GN28">
        <v>2.2851599999999999</v>
      </c>
      <c r="GO28">
        <v>1.5979000000000001</v>
      </c>
      <c r="GP28">
        <v>2.51831</v>
      </c>
      <c r="GQ28">
        <v>38.895099999999999</v>
      </c>
      <c r="GR28">
        <v>23.754799999999999</v>
      </c>
      <c r="GS28">
        <v>18</v>
      </c>
      <c r="GT28">
        <v>508.58699999999999</v>
      </c>
      <c r="GU28">
        <v>507.76400000000001</v>
      </c>
      <c r="GV28">
        <v>21.203099999999999</v>
      </c>
      <c r="GW28">
        <v>30.953499999999998</v>
      </c>
      <c r="GX28">
        <v>30.0001</v>
      </c>
      <c r="GY28">
        <v>31.072900000000001</v>
      </c>
      <c r="GZ28">
        <v>31.122399999999999</v>
      </c>
      <c r="HA28">
        <v>69.526700000000005</v>
      </c>
      <c r="HB28">
        <v>35.176499999999997</v>
      </c>
      <c r="HC28">
        <v>0</v>
      </c>
      <c r="HD28">
        <v>21.202400000000001</v>
      </c>
      <c r="HE28">
        <v>1800</v>
      </c>
      <c r="HF28">
        <v>15.872</v>
      </c>
      <c r="HG28">
        <v>97.778099999999995</v>
      </c>
      <c r="HH28">
        <v>94.363299999999995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25</v>
      </c>
    </row>
    <row r="15" spans="1:2" x14ac:dyDescent="0.6">
      <c r="A15" t="s">
        <v>27</v>
      </c>
      <c r="B15" t="s">
        <v>23</v>
      </c>
    </row>
    <row r="16" spans="1:2" x14ac:dyDescent="0.6">
      <c r="A16" t="s">
        <v>28</v>
      </c>
      <c r="B16" t="s">
        <v>11</v>
      </c>
    </row>
    <row r="17" spans="1:2" x14ac:dyDescent="0.6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2026-10-04T13:34:34Z</dcterms:created>
  <dcterms:modified xsi:type="dcterms:W3CDTF">2026-10-04T08:29:13Z</dcterms:modified>
</cp:coreProperties>
</file>