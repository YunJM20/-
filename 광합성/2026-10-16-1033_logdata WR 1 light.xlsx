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6 lettuce yun/"/>
    </mc:Choice>
  </mc:AlternateContent>
  <xr:revisionPtr revIDLastSave="0" documentId="11_ACE07100089B1CCAE9BE65A34D08D19604E373EC" xr6:coauthVersionLast="47" xr6:coauthVersionMax="47" xr10:uidLastSave="{00000000-0000-0000-0000-000000000000}"/>
  <bookViews>
    <workbookView xWindow="780" yWindow="780" windowWidth="21600" windowHeight="111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5" i="1" l="1"/>
  <c r="CV25" i="1"/>
  <c r="CT25" i="1"/>
  <c r="BI25" i="1"/>
  <c r="BH25" i="1"/>
  <c r="AZ25" i="1"/>
  <c r="AT25" i="1"/>
  <c r="AN25" i="1"/>
  <c r="BA25" i="1" s="1"/>
  <c r="BD25" i="1" s="1"/>
  <c r="AI25" i="1"/>
  <c r="AG25" i="1"/>
  <c r="Y25" i="1"/>
  <c r="X25" i="1"/>
  <c r="W25" i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 s="1"/>
  <c r="Y24" i="1"/>
  <c r="X24" i="1"/>
  <c r="W24" i="1"/>
  <c r="P24" i="1"/>
  <c r="CW23" i="1"/>
  <c r="CV23" i="1"/>
  <c r="CT23" i="1"/>
  <c r="CU23" i="1" s="1"/>
  <c r="AV23" i="1" s="1"/>
  <c r="BI23" i="1"/>
  <c r="BH23" i="1"/>
  <c r="AZ23" i="1"/>
  <c r="AT23" i="1"/>
  <c r="AX23" i="1" s="1"/>
  <c r="AN23" i="1"/>
  <c r="BA23" i="1" s="1"/>
  <c r="BD23" i="1" s="1"/>
  <c r="AI23" i="1"/>
  <c r="AG23" i="1" s="1"/>
  <c r="Y23" i="1"/>
  <c r="X23" i="1"/>
  <c r="S23" i="1"/>
  <c r="P23" i="1"/>
  <c r="CW22" i="1"/>
  <c r="CV22" i="1"/>
  <c r="CT22" i="1"/>
  <c r="CU22" i="1" s="1"/>
  <c r="AV22" i="1" s="1"/>
  <c r="BI22" i="1"/>
  <c r="BH22" i="1"/>
  <c r="AZ22" i="1"/>
  <c r="AT22" i="1"/>
  <c r="AN22" i="1"/>
  <c r="BA22" i="1" s="1"/>
  <c r="BD22" i="1" s="1"/>
  <c r="AI22" i="1"/>
  <c r="AG22" i="1"/>
  <c r="Y22" i="1"/>
  <c r="X22" i="1"/>
  <c r="W22" i="1"/>
  <c r="S22" i="1"/>
  <c r="P22" i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/>
  <c r="Y21" i="1"/>
  <c r="X21" i="1"/>
  <c r="W21" i="1"/>
  <c r="P21" i="1"/>
  <c r="CW20" i="1"/>
  <c r="CV20" i="1"/>
  <c r="CT20" i="1"/>
  <c r="BI20" i="1"/>
  <c r="BH20" i="1"/>
  <c r="AZ20" i="1"/>
  <c r="AT20" i="1"/>
  <c r="AN20" i="1"/>
  <c r="BA20" i="1" s="1"/>
  <c r="BD20" i="1" s="1"/>
  <c r="AI20" i="1"/>
  <c r="AG20" i="1"/>
  <c r="Y20" i="1"/>
  <c r="X20" i="1"/>
  <c r="W20" i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X19" i="1"/>
  <c r="W19" i="1"/>
  <c r="P19" i="1"/>
  <c r="CW18" i="1"/>
  <c r="CV18" i="1"/>
  <c r="CT18" i="1"/>
  <c r="CU18" i="1" s="1"/>
  <c r="AV18" i="1" s="1"/>
  <c r="BI18" i="1"/>
  <c r="BH18" i="1"/>
  <c r="AZ18" i="1"/>
  <c r="AT18" i="1"/>
  <c r="AX18" i="1" s="1"/>
  <c r="AN18" i="1"/>
  <c r="BA18" i="1" s="1"/>
  <c r="BD18" i="1" s="1"/>
  <c r="AI18" i="1"/>
  <c r="AG18" i="1"/>
  <c r="Y18" i="1"/>
  <c r="W18" i="1" s="1"/>
  <c r="X18" i="1"/>
  <c r="S18" i="1"/>
  <c r="P18" i="1"/>
  <c r="CW17" i="1"/>
  <c r="CV17" i="1"/>
  <c r="CT17" i="1"/>
  <c r="CU17" i="1" s="1"/>
  <c r="AV17" i="1" s="1"/>
  <c r="BI17" i="1"/>
  <c r="BH17" i="1"/>
  <c r="AZ17" i="1"/>
  <c r="AT17" i="1"/>
  <c r="AX17" i="1" s="1"/>
  <c r="AN17" i="1"/>
  <c r="BA17" i="1" s="1"/>
  <c r="BD17" i="1" s="1"/>
  <c r="AI17" i="1"/>
  <c r="AG17" i="1"/>
  <c r="Y17" i="1"/>
  <c r="X17" i="1"/>
  <c r="W17" i="1"/>
  <c r="S17" i="1"/>
  <c r="P17" i="1"/>
  <c r="W23" i="1" l="1"/>
  <c r="AX22" i="1"/>
  <c r="S20" i="1"/>
  <c r="CU20" i="1"/>
  <c r="AV20" i="1" s="1"/>
  <c r="AX20" i="1" s="1"/>
  <c r="S25" i="1"/>
  <c r="CU25" i="1"/>
  <c r="AV25" i="1" s="1"/>
  <c r="AX25" i="1" s="1"/>
  <c r="BF25" i="1"/>
  <c r="BJ25" i="1" s="1"/>
  <c r="BK25" i="1" s="1"/>
  <c r="BE25" i="1"/>
  <c r="BG25" i="1"/>
  <c r="I25" i="1"/>
  <c r="H25" i="1" s="1"/>
  <c r="N25" i="1"/>
  <c r="K25" i="1"/>
  <c r="J25" i="1"/>
  <c r="AW25" i="1" s="1"/>
  <c r="AY25" i="1" s="1"/>
  <c r="AH25" i="1"/>
  <c r="CU24" i="1"/>
  <c r="AV24" i="1" s="1"/>
  <c r="AX24" i="1" s="1"/>
  <c r="S24" i="1"/>
  <c r="BE24" i="1"/>
  <c r="BF24" i="1"/>
  <c r="BJ24" i="1" s="1"/>
  <c r="BK24" i="1" s="1"/>
  <c r="BG24" i="1"/>
  <c r="AH24" i="1"/>
  <c r="I24" i="1"/>
  <c r="H24" i="1" s="1"/>
  <c r="J24" i="1"/>
  <c r="AW24" i="1" s="1"/>
  <c r="AY24" i="1" s="1"/>
  <c r="K24" i="1"/>
  <c r="N24" i="1"/>
  <c r="BE23" i="1"/>
  <c r="BF23" i="1"/>
  <c r="BJ23" i="1" s="1"/>
  <c r="BK23" i="1" s="1"/>
  <c r="BG23" i="1"/>
  <c r="AH23" i="1"/>
  <c r="I23" i="1"/>
  <c r="H23" i="1" s="1"/>
  <c r="K23" i="1"/>
  <c r="J23" i="1"/>
  <c r="AW23" i="1" s="1"/>
  <c r="AY23" i="1" s="1"/>
  <c r="N23" i="1"/>
  <c r="T23" i="1"/>
  <c r="U23" i="1" s="1"/>
  <c r="BG22" i="1"/>
  <c r="BE22" i="1"/>
  <c r="BF22" i="1"/>
  <c r="BJ22" i="1" s="1"/>
  <c r="BK22" i="1" s="1"/>
  <c r="J22" i="1"/>
  <c r="AW22" i="1" s="1"/>
  <c r="AY22" i="1" s="1"/>
  <c r="I22" i="1"/>
  <c r="H22" i="1" s="1"/>
  <c r="N22" i="1"/>
  <c r="K22" i="1"/>
  <c r="AH22" i="1"/>
  <c r="T22" i="1"/>
  <c r="U22" i="1" s="1"/>
  <c r="CU21" i="1"/>
  <c r="AV21" i="1" s="1"/>
  <c r="AX21" i="1" s="1"/>
  <c r="S21" i="1"/>
  <c r="BE21" i="1"/>
  <c r="BF21" i="1"/>
  <c r="BJ21" i="1" s="1"/>
  <c r="BK21" i="1" s="1"/>
  <c r="BG21" i="1"/>
  <c r="N21" i="1"/>
  <c r="K21" i="1"/>
  <c r="AH21" i="1"/>
  <c r="J21" i="1"/>
  <c r="AW21" i="1" s="1"/>
  <c r="AY21" i="1" s="1"/>
  <c r="I21" i="1"/>
  <c r="H21" i="1" s="1"/>
  <c r="BE20" i="1"/>
  <c r="BF20" i="1"/>
  <c r="BJ20" i="1" s="1"/>
  <c r="BK20" i="1" s="1"/>
  <c r="BG20" i="1"/>
  <c r="N20" i="1"/>
  <c r="K20" i="1"/>
  <c r="J20" i="1"/>
  <c r="AW20" i="1" s="1"/>
  <c r="AY20" i="1" s="1"/>
  <c r="I20" i="1"/>
  <c r="H20" i="1" s="1"/>
  <c r="T20" i="1" s="1"/>
  <c r="U20" i="1" s="1"/>
  <c r="AH20" i="1"/>
  <c r="CU19" i="1"/>
  <c r="AV19" i="1" s="1"/>
  <c r="AX19" i="1" s="1"/>
  <c r="S19" i="1"/>
  <c r="BE19" i="1"/>
  <c r="BF19" i="1"/>
  <c r="BJ19" i="1" s="1"/>
  <c r="BK19" i="1" s="1"/>
  <c r="BG19" i="1"/>
  <c r="AH19" i="1"/>
  <c r="I19" i="1"/>
  <c r="H19" i="1" s="1"/>
  <c r="J19" i="1"/>
  <c r="AW19" i="1" s="1"/>
  <c r="K19" i="1"/>
  <c r="N19" i="1"/>
  <c r="BE18" i="1"/>
  <c r="BF18" i="1"/>
  <c r="BJ18" i="1" s="1"/>
  <c r="BK18" i="1" s="1"/>
  <c r="BG18" i="1"/>
  <c r="AH18" i="1"/>
  <c r="K18" i="1"/>
  <c r="J18" i="1"/>
  <c r="AW18" i="1" s="1"/>
  <c r="AY18" i="1" s="1"/>
  <c r="I18" i="1"/>
  <c r="H18" i="1" s="1"/>
  <c r="N18" i="1"/>
  <c r="T18" i="1"/>
  <c r="U18" i="1" s="1"/>
  <c r="BE17" i="1"/>
  <c r="BF17" i="1"/>
  <c r="BJ17" i="1" s="1"/>
  <c r="BK17" i="1" s="1"/>
  <c r="BG17" i="1"/>
  <c r="N17" i="1"/>
  <c r="K17" i="1"/>
  <c r="J17" i="1"/>
  <c r="AW17" i="1" s="1"/>
  <c r="AY17" i="1" s="1"/>
  <c r="I17" i="1"/>
  <c r="H17" i="1" s="1"/>
  <c r="AH17" i="1"/>
  <c r="T17" i="1"/>
  <c r="U17" i="1" s="1"/>
  <c r="T25" i="1" l="1"/>
  <c r="U25" i="1" s="1"/>
  <c r="Q25" i="1"/>
  <c r="O25" i="1" s="1"/>
  <c r="R25" i="1" s="1"/>
  <c r="L25" i="1" s="1"/>
  <c r="M25" i="1" s="1"/>
  <c r="AA25" i="1"/>
  <c r="T24" i="1"/>
  <c r="U24" i="1" s="1"/>
  <c r="Q24" i="1"/>
  <c r="O24" i="1" s="1"/>
  <c r="R24" i="1" s="1"/>
  <c r="L24" i="1" s="1"/>
  <c r="M24" i="1" s="1"/>
  <c r="AA24" i="1"/>
  <c r="AA23" i="1"/>
  <c r="Q23" i="1"/>
  <c r="O23" i="1" s="1"/>
  <c r="R23" i="1" s="1"/>
  <c r="L23" i="1" s="1"/>
  <c r="M23" i="1" s="1"/>
  <c r="AB23" i="1"/>
  <c r="V23" i="1"/>
  <c r="Z23" i="1" s="1"/>
  <c r="AC23" i="1"/>
  <c r="Q22" i="1"/>
  <c r="O22" i="1" s="1"/>
  <c r="R22" i="1" s="1"/>
  <c r="L22" i="1" s="1"/>
  <c r="M22" i="1" s="1"/>
  <c r="AA22" i="1"/>
  <c r="AB22" i="1"/>
  <c r="V22" i="1"/>
  <c r="Z22" i="1" s="1"/>
  <c r="AC22" i="1"/>
  <c r="AD22" i="1" s="1"/>
  <c r="T21" i="1"/>
  <c r="U21" i="1" s="1"/>
  <c r="Q21" i="1"/>
  <c r="O21" i="1" s="1"/>
  <c r="R21" i="1" s="1"/>
  <c r="L21" i="1" s="1"/>
  <c r="M21" i="1" s="1"/>
  <c r="AA21" i="1"/>
  <c r="V20" i="1"/>
  <c r="Z20" i="1" s="1"/>
  <c r="AB20" i="1"/>
  <c r="AC20" i="1"/>
  <c r="Q20" i="1"/>
  <c r="O20" i="1" s="1"/>
  <c r="R20" i="1" s="1"/>
  <c r="L20" i="1" s="1"/>
  <c r="M20" i="1" s="1"/>
  <c r="AA20" i="1"/>
  <c r="T19" i="1"/>
  <c r="U19" i="1" s="1"/>
  <c r="AA19" i="1"/>
  <c r="Q19" i="1"/>
  <c r="O19" i="1" s="1"/>
  <c r="R19" i="1" s="1"/>
  <c r="L19" i="1" s="1"/>
  <c r="M19" i="1" s="1"/>
  <c r="Q18" i="1"/>
  <c r="O18" i="1" s="1"/>
  <c r="R18" i="1" s="1"/>
  <c r="L18" i="1" s="1"/>
  <c r="M18" i="1" s="1"/>
  <c r="AA18" i="1"/>
  <c r="AB18" i="1"/>
  <c r="V18" i="1"/>
  <c r="Z18" i="1" s="1"/>
  <c r="AC18" i="1"/>
  <c r="AD18" i="1" s="1"/>
  <c r="Q17" i="1"/>
  <c r="O17" i="1" s="1"/>
  <c r="R17" i="1" s="1"/>
  <c r="L17" i="1" s="1"/>
  <c r="M17" i="1" s="1"/>
  <c r="AA17" i="1"/>
  <c r="AB17" i="1"/>
  <c r="V17" i="1"/>
  <c r="Z17" i="1" s="1"/>
  <c r="AC17" i="1"/>
  <c r="AY19" i="1"/>
  <c r="AB25" i="1" l="1"/>
  <c r="V25" i="1"/>
  <c r="Z25" i="1" s="1"/>
  <c r="AC25" i="1"/>
  <c r="AD25" i="1" s="1"/>
  <c r="V24" i="1"/>
  <c r="Z24" i="1" s="1"/>
  <c r="AB24" i="1"/>
  <c r="AC24" i="1"/>
  <c r="AD24" i="1" s="1"/>
  <c r="AB21" i="1"/>
  <c r="V21" i="1"/>
  <c r="Z21" i="1" s="1"/>
  <c r="AC21" i="1"/>
  <c r="AD21" i="1" s="1"/>
  <c r="AB19" i="1"/>
  <c r="V19" i="1"/>
  <c r="Z19" i="1" s="1"/>
  <c r="AC19" i="1"/>
  <c r="AD19" i="1" s="1"/>
  <c r="AD23" i="1"/>
  <c r="AD20" i="1"/>
  <c r="AD17" i="1"/>
</calcChain>
</file>

<file path=xl/sharedStrings.xml><?xml version="1.0" encoding="utf-8"?>
<sst xmlns="http://schemas.openxmlformats.org/spreadsheetml/2006/main" count="738" uniqueCount="377">
  <si>
    <t>File opened</t>
  </si>
  <si>
    <t>2026-10-16 10:33:10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</si>
  <si>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</si>
  <si>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</si>
  <si>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</si>
  <si>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</si>
  <si>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</si>
  <si>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</si>
  <si>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</si>
  <si>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</si>
  <si>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</si>
  <si>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</si>
  <si>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</si>
  <si>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{"flowmeterzero": "2.483", "co2bspan2": "-0.00857283", "h2oaspan2a": "0.0964052", "co2bspan2b": "0.105618", "co2aspanconc2": "1516", "co2aspan2a": "0.106022", "co2bspanconc1": "437.6", "tazero": "0.15448", "ssa_ref": "37830.5", "tbzero": "0.143742", "co2bzero": "0.953041", "co2bspanconc2": "1516", "h2oaspan2": "0", "h2obspanconc1": "17.96", "co2azero": "0.931334", "h2obspanconc2": "0", "h2oaspanconc2": "0", "h2obspan2": "0", "h2obspan2a": "0.0961931", "ssb_ref": "36242.9", "co2bspan1": "1.00005", "h2obzero": "1.01897", "h2oaspan1": "1.02308", "co2aspan2b": "0.105998", "co2aspan1": "1.00082", "flowazero": "0.276", "flowbzero": "0.30473", "chamberpressurezero": "2.71033", "h2oaspan2b": "0.0986302", "h2obspan1": "1.01044", "h2oaspanconc1": "17.96", "oxygen": "21", "co2aspan2": "-0.00988168", "h2obspan2b": "0.0971974", "co2bspan2a": "0.105708", "h2oazero": "1.03097", "co2aspanconc1": "437.6"}</t>
  </si>
  <si>
    <t>Factory cal date</t>
  </si>
  <si>
    <t>14 Dec 2023</t>
  </si>
  <si>
    <t>CO2 rangematch</t>
  </si>
  <si>
    <t>Fri Oct 16 09:42</t>
  </si>
  <si>
    <t>H2O rangematch</t>
  </si>
  <si>
    <t>Fri Oct 16 09:48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</si>
  <si>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</si>
  <si>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</si>
  <si>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</si>
  <si>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</si>
  <si>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</si>
  <si>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</si>
  <si>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</si>
  <si>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</si>
  <si>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</si>
  <si>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10:33:10</t>
  </si>
  <si>
    <t>Stability Definition:	A (GasEx): Slp&lt;0.6 Per=20	ΔCO2 (Meas2): Slp&lt;0.5 Per=20	F (FlrLS):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</si>
  <si>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</si>
  <si>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</si>
  <si>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</si>
  <si>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</si>
  <si>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</si>
  <si>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</si>
  <si>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</si>
  <si>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</si>
  <si>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</si>
  <si>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</si>
  <si>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</si>
  <si>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</si>
  <si>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</si>
  <si>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</si>
  <si>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</si>
  <si>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</si>
  <si>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</si>
  <si>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</si>
  <si>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</si>
  <si>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</si>
  <si>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</si>
  <si>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</si>
  <si>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</si>
  <si>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</si>
  <si>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</si>
  <si>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</si>
  <si>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</si>
  <si>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</si>
  <si>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</si>
  <si>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</si>
  <si>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</si>
  <si>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</si>
  <si>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</si>
  <si>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</si>
  <si>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</si>
  <si>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</si>
  <si>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</si>
  <si>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</si>
  <si>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</si>
  <si>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</si>
  <si>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</si>
  <si>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</si>
  <si>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</si>
  <si>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</si>
  <si>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</si>
  <si>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</si>
  <si>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</si>
  <si>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</si>
  <si>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</si>
  <si>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</si>
  <si>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</si>
  <si>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3.7566 197.14 345.085 569.364 835.095 1048.85 1238.94 1340.78</t>
  </si>
  <si>
    <t>Fs_true</t>
  </si>
  <si>
    <t>0.199903 229.678 383.692 585.549 812.233 1001.91 1203.48 1401.03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</si>
  <si>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</si>
  <si>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</si>
  <si>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</si>
  <si>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</si>
  <si>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</si>
  <si>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</si>
  <si>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</si>
  <si>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</si>
  <si>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</si>
  <si>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</si>
  <si>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</si>
  <si>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</si>
  <si>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</si>
  <si>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</si>
  <si>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</si>
  <si>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</si>
  <si>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</si>
  <si>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</si>
  <si>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</si>
  <si>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</si>
  <si>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</si>
  <si>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</si>
  <si>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</si>
  <si>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</si>
  <si>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</si>
  <si>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</si>
  <si>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</si>
  <si>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</si>
  <si>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</si>
  <si>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</si>
  <si>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</si>
  <si>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</si>
  <si>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</si>
  <si>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</si>
  <si>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</si>
  <si>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</si>
  <si>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</si>
  <si>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</si>
  <si>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</si>
  <si>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</si>
  <si>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</si>
  <si>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</si>
  <si>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</si>
  <si>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</si>
  <si>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</si>
  <si>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</si>
  <si>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</si>
  <si>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</si>
  <si>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</si>
  <si>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</si>
  <si>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</si>
  <si>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</si>
  <si>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</si>
  <si>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</si>
  <si>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</si>
  <si>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</si>
  <si>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</si>
  <si>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</si>
  <si>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</si>
  <si>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</si>
  <si>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</si>
  <si>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</si>
  <si>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</si>
  <si>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</si>
  <si>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</si>
  <si>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</si>
  <si>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</si>
  <si>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</si>
  <si>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</si>
  <si>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</si>
  <si>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</si>
  <si>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</si>
  <si>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</si>
  <si>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</si>
  <si>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</si>
  <si>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</si>
  <si>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</si>
  <si>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</si>
  <si>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</si>
  <si>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</si>
  <si>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</si>
  <si>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</si>
  <si>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</si>
  <si>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</si>
  <si>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</si>
  <si>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</si>
  <si>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</si>
  <si>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</si>
  <si>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</si>
  <si>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</si>
  <si>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</si>
  <si>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</si>
  <si>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</si>
  <si>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</si>
  <si>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</si>
  <si>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</si>
  <si>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</si>
  <si>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</si>
  <si>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</si>
  <si>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</si>
  <si>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</si>
  <si>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</si>
  <si>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</si>
  <si>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</si>
  <si>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</si>
  <si>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</si>
  <si>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</si>
  <si>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</si>
  <si>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</si>
  <si>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</si>
  <si>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</si>
  <si>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</si>
  <si>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</si>
  <si>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</si>
  <si>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</si>
  <si>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</si>
  <si>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</si>
  <si>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</si>
  <si>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</si>
  <si>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</si>
  <si>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</si>
  <si>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</si>
  <si>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</si>
  <si>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</si>
  <si>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</si>
  <si>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</si>
  <si>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</si>
  <si>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</si>
  <si>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</si>
  <si>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</si>
  <si>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</si>
  <si>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</si>
  <si>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</si>
  <si>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</si>
  <si>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</si>
  <si>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</si>
  <si>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</si>
  <si>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</si>
  <si>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</si>
  <si>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</si>
  <si>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</si>
  <si>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</si>
  <si>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</si>
  <si>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</si>
  <si>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</si>
  <si>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</si>
  <si>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</si>
  <si>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</si>
  <si>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</si>
  <si>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</si>
  <si>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</si>
  <si>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</si>
  <si>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</si>
  <si>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</si>
  <si>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</si>
  <si>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</si>
  <si>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</si>
  <si>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</si>
  <si>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</si>
  <si>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</si>
  <si>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</si>
  <si>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</si>
  <si>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</si>
  <si>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</si>
  <si>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</si>
  <si>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</si>
  <si>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</si>
  <si>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</si>
  <si>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</si>
  <si>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</si>
  <si>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</si>
  <si>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</si>
  <si>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</si>
  <si>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</si>
  <si>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</si>
  <si>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</si>
  <si>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</si>
  <si>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</si>
  <si>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</si>
  <si>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</si>
  <si>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</si>
  <si>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</si>
  <si>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</si>
  <si>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</si>
  <si>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</si>
  <si>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</si>
  <si>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</si>
  <si>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</si>
  <si>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</si>
  <si>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</si>
  <si>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</si>
  <si>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</si>
  <si>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</si>
  <si>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</si>
  <si>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</si>
  <si>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</si>
  <si>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</si>
  <si>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</si>
  <si>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</si>
  <si>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</si>
  <si>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</si>
  <si>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</si>
  <si>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</si>
  <si>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</si>
  <si>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</si>
  <si>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</si>
  <si>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</si>
  <si>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</si>
  <si>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</si>
  <si>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</si>
  <si>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</si>
  <si>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</si>
  <si>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</si>
  <si>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</si>
  <si>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</si>
  <si>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</si>
  <si>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</si>
  <si>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</si>
  <si>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</si>
  <si>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</si>
  <si>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</si>
  <si>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</si>
  <si>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</si>
  <si>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</si>
  <si>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</si>
  <si>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</si>
  <si>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</si>
  <si>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</si>
  <si>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</si>
  <si>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</si>
  <si>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</si>
  <si>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</si>
  <si>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</si>
  <si>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</si>
  <si>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</si>
  <si>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</si>
  <si>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</si>
  <si>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</si>
  <si>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</si>
  <si>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</si>
  <si>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</si>
  <si>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</si>
  <si>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</si>
  <si>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</si>
  <si>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</si>
  <si>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</si>
  <si>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</si>
  <si>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</si>
  <si>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</si>
  <si>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</si>
  <si>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</si>
  <si>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</si>
  <si>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</si>
  <si>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</si>
  <si>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</si>
  <si>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20261016 11:07:49</t>
  </si>
  <si>
    <t>11:07:49</t>
  </si>
  <si>
    <t>MPF-146-20261014-15_46_12</t>
  </si>
  <si>
    <t>MPF-148-20261016-11_07_53</t>
  </si>
  <si>
    <t>-</t>
  </si>
  <si>
    <t>0: Broadleaf</t>
  </si>
  <si>
    <t>11:04:04</t>
  </si>
  <si>
    <t>1/2</t>
  </si>
  <si>
    <t>20261016 11:09:52</t>
  </si>
  <si>
    <t>11:09:52</t>
  </si>
  <si>
    <t>MPF-149-20261016-11_09_56</t>
  </si>
  <si>
    <t>2/2</t>
  </si>
  <si>
    <t>20261016 11:11:55</t>
  </si>
  <si>
    <t>11:11:55</t>
  </si>
  <si>
    <t>MPF-150-20261016-11_11_59</t>
  </si>
  <si>
    <t>20261016 11:14:03</t>
  </si>
  <si>
    <t>11:14:03</t>
  </si>
  <si>
    <t>MPF-151-20261016-11_14_07</t>
  </si>
  <si>
    <t>20261016 11:16:16</t>
  </si>
  <si>
    <t>11:16:16</t>
  </si>
  <si>
    <t>MPF-152-20261016-11_16_20</t>
  </si>
  <si>
    <t>20261016 11:18:30</t>
  </si>
  <si>
    <t>11:18:30</t>
  </si>
  <si>
    <t>MPF-153-20261016-11_18_34</t>
  </si>
  <si>
    <t>11:17:25</t>
  </si>
  <si>
    <t>20261016 11:20:33</t>
  </si>
  <si>
    <t>11:20:33</t>
  </si>
  <si>
    <t>MPF-154-20261016-11_20_37</t>
  </si>
  <si>
    <t>11:19:35</t>
  </si>
  <si>
    <t>20261016 11:22:36</t>
  </si>
  <si>
    <t>11:22:36</t>
  </si>
  <si>
    <t>MPF-155-20261016-11_22_40</t>
  </si>
  <si>
    <t>11:21:38</t>
  </si>
  <si>
    <t>20261016 11:24:39</t>
  </si>
  <si>
    <t>11:24:39</t>
  </si>
  <si>
    <t>MPF-156-20261016-11_24_43</t>
  </si>
  <si>
    <t>11:23:44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</si>
</sst>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5"/>
  <sheetViews>
    <sheetView tabSelected="1" workbookViewId="0"/>
  </sheetViews>
  <sheetFormatPr defaultRowHeight="16.5" x14ac:dyDescent="0.3"/>
  <sheetData>
    <row r="2" spans="1:216" x14ac:dyDescent="0.3">
      <c r="A2" t="s">
        <v>31</v>
      </c>
      <c r="B2" t="s">
        <v>32</v>
      </c>
      <c r="C2" t="s">
        <v>33</v>
      </c>
    </row>
    <row r="3" spans="1:216" x14ac:dyDescent="0.3">
      <c r="B3">
        <v>4</v>
      </c>
      <c r="C3">
        <v>21</v>
      </c>
    </row>
    <row r="4" spans="1:216" x14ac:dyDescent="0.3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6" x14ac:dyDescent="0.3">
      <c r="B5" t="s">
        <v>21</v>
      </c>
      <c r="C5" t="s">
        <v>37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6" x14ac:dyDescent="0.3">
      <c r="B7">
        <v>0</v>
      </c>
      <c r="C7">
        <v>1</v>
      </c>
      <c r="D7">
        <v>0</v>
      </c>
      <c r="E7">
        <v>0</v>
      </c>
    </row>
    <row r="8" spans="1:216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6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6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0</v>
      </c>
    </row>
    <row r="14" spans="1:216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88</v>
      </c>
      <c r="AF14" t="s">
        <v>88</v>
      </c>
      <c r="AG14" t="s">
        <v>88</v>
      </c>
      <c r="AH14" t="s">
        <v>88</v>
      </c>
      <c r="AI14" t="s">
        <v>88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91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92</v>
      </c>
      <c r="CU14" t="s">
        <v>92</v>
      </c>
      <c r="CV14" t="s">
        <v>92</v>
      </c>
      <c r="CW14" t="s">
        <v>92</v>
      </c>
      <c r="CX14" t="s">
        <v>93</v>
      </c>
      <c r="CY14" t="s">
        <v>93</v>
      </c>
      <c r="CZ14" t="s">
        <v>93</v>
      </c>
      <c r="DA14" t="s">
        <v>93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98</v>
      </c>
      <c r="FR14" t="s">
        <v>98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99</v>
      </c>
      <c r="GF14" t="s">
        <v>99</v>
      </c>
      <c r="GG14" t="s">
        <v>99</v>
      </c>
      <c r="GH14" t="s">
        <v>99</v>
      </c>
      <c r="GI14" t="s">
        <v>99</v>
      </c>
      <c r="GJ14" t="s">
        <v>99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</row>
    <row r="15" spans="1:216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88</v>
      </c>
      <c r="AF15" t="s">
        <v>132</v>
      </c>
      <c r="AG15" t="s">
        <v>133</v>
      </c>
      <c r="AH15" t="s">
        <v>134</v>
      </c>
      <c r="AI15" t="s">
        <v>135</v>
      </c>
      <c r="AJ15" t="s">
        <v>136</v>
      </c>
      <c r="AK15" t="s">
        <v>137</v>
      </c>
      <c r="AL15" t="s">
        <v>138</v>
      </c>
      <c r="AM15" t="s">
        <v>139</v>
      </c>
      <c r="AN15" t="s">
        <v>140</v>
      </c>
      <c r="AO15" t="s">
        <v>141</v>
      </c>
      <c r="AP15" t="s">
        <v>142</v>
      </c>
      <c r="AQ15" t="s">
        <v>143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157</v>
      </c>
      <c r="BF15" t="s">
        <v>158</v>
      </c>
      <c r="BG15" t="s">
        <v>159</v>
      </c>
      <c r="BH15" t="s">
        <v>160</v>
      </c>
      <c r="BI15" t="s">
        <v>161</v>
      </c>
      <c r="BJ15" t="s">
        <v>162</v>
      </c>
      <c r="BK15" t="s">
        <v>163</v>
      </c>
      <c r="BL15" t="s">
        <v>164</v>
      </c>
      <c r="BM15" t="s">
        <v>165</v>
      </c>
      <c r="BN15" t="s">
        <v>166</v>
      </c>
      <c r="BO15" t="s">
        <v>167</v>
      </c>
      <c r="BP15" t="s">
        <v>168</v>
      </c>
      <c r="BQ15" t="s">
        <v>169</v>
      </c>
      <c r="BR15" t="s">
        <v>170</v>
      </c>
      <c r="BS15" t="s">
        <v>171</v>
      </c>
      <c r="BT15" t="s">
        <v>172</v>
      </c>
      <c r="BU15" t="s">
        <v>173</v>
      </c>
      <c r="BV15" t="s">
        <v>174</v>
      </c>
      <c r="BW15" t="s">
        <v>175</v>
      </c>
      <c r="BX15" t="s">
        <v>176</v>
      </c>
      <c r="BY15" t="s">
        <v>177</v>
      </c>
      <c r="BZ15" t="s">
        <v>178</v>
      </c>
      <c r="CA15" t="s">
        <v>179</v>
      </c>
      <c r="CB15" t="s">
        <v>180</v>
      </c>
      <c r="CC15" t="s">
        <v>181</v>
      </c>
      <c r="CD15" t="s">
        <v>182</v>
      </c>
      <c r="CE15" t="s">
        <v>183</v>
      </c>
      <c r="CF15" t="s">
        <v>184</v>
      </c>
      <c r="CG15" t="s">
        <v>164</v>
      </c>
      <c r="CH15" t="s">
        <v>185</v>
      </c>
      <c r="CI15" t="s">
        <v>186</v>
      </c>
      <c r="CJ15" t="s">
        <v>187</v>
      </c>
      <c r="CK15" t="s">
        <v>138</v>
      </c>
      <c r="CL15" t="s">
        <v>188</v>
      </c>
      <c r="CM15" t="s">
        <v>189</v>
      </c>
      <c r="CN15" t="s">
        <v>190</v>
      </c>
      <c r="CO15" t="s">
        <v>191</v>
      </c>
      <c r="CP15" t="s">
        <v>192</v>
      </c>
      <c r="CQ15" t="s">
        <v>193</v>
      </c>
      <c r="CR15" t="s">
        <v>194</v>
      </c>
      <c r="CS15" t="s">
        <v>195</v>
      </c>
      <c r="CT15" t="s">
        <v>196</v>
      </c>
      <c r="CU15" t="s">
        <v>197</v>
      </c>
      <c r="CV15" t="s">
        <v>198</v>
      </c>
      <c r="CW15" t="s">
        <v>199</v>
      </c>
      <c r="CX15" t="s">
        <v>200</v>
      </c>
      <c r="CY15" t="s">
        <v>201</v>
      </c>
      <c r="CZ15" t="s">
        <v>202</v>
      </c>
      <c r="DA15" t="s">
        <v>203</v>
      </c>
      <c r="DB15" t="s">
        <v>108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103</v>
      </c>
      <c r="ER15" t="s">
        <v>106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  <c r="HC15" t="s">
        <v>306</v>
      </c>
      <c r="HD15" t="s">
        <v>307</v>
      </c>
      <c r="HE15" t="s">
        <v>308</v>
      </c>
      <c r="HF15" t="s">
        <v>309</v>
      </c>
      <c r="HG15" t="s">
        <v>310</v>
      </c>
      <c r="HH15" t="s">
        <v>311</v>
      </c>
    </row>
    <row r="16" spans="1:216" x14ac:dyDescent="0.3">
      <c r="B16" t="s">
        <v>312</v>
      </c>
      <c r="C16" t="s">
        <v>312</v>
      </c>
      <c r="F16" t="s">
        <v>312</v>
      </c>
      <c r="G16" t="s">
        <v>312</v>
      </c>
      <c r="H16" t="s">
        <v>313</v>
      </c>
      <c r="I16" t="s">
        <v>314</v>
      </c>
      <c r="J16" t="s">
        <v>315</v>
      </c>
      <c r="K16" t="s">
        <v>316</v>
      </c>
      <c r="L16" t="s">
        <v>316</v>
      </c>
      <c r="M16" t="s">
        <v>211</v>
      </c>
      <c r="N16" t="s">
        <v>211</v>
      </c>
      <c r="O16" t="s">
        <v>313</v>
      </c>
      <c r="P16" t="s">
        <v>313</v>
      </c>
      <c r="Q16" t="s">
        <v>313</v>
      </c>
      <c r="R16" t="s">
        <v>313</v>
      </c>
      <c r="S16" t="s">
        <v>317</v>
      </c>
      <c r="T16" t="s">
        <v>318</v>
      </c>
      <c r="U16" t="s">
        <v>318</v>
      </c>
      <c r="V16" t="s">
        <v>319</v>
      </c>
      <c r="W16" t="s">
        <v>320</v>
      </c>
      <c r="X16" t="s">
        <v>319</v>
      </c>
      <c r="Y16" t="s">
        <v>319</v>
      </c>
      <c r="Z16" t="s">
        <v>319</v>
      </c>
      <c r="AA16" t="s">
        <v>317</v>
      </c>
      <c r="AB16" t="s">
        <v>317</v>
      </c>
      <c r="AC16" t="s">
        <v>317</v>
      </c>
      <c r="AD16" t="s">
        <v>317</v>
      </c>
      <c r="AE16" t="s">
        <v>321</v>
      </c>
      <c r="AF16" t="s">
        <v>320</v>
      </c>
      <c r="AH16" t="s">
        <v>320</v>
      </c>
      <c r="AI16" t="s">
        <v>321</v>
      </c>
      <c r="AO16" t="s">
        <v>315</v>
      </c>
      <c r="AV16" t="s">
        <v>315</v>
      </c>
      <c r="AW16" t="s">
        <v>315</v>
      </c>
      <c r="AX16" t="s">
        <v>315</v>
      </c>
      <c r="AY16" t="s">
        <v>322</v>
      </c>
      <c r="BM16" t="s">
        <v>323</v>
      </c>
      <c r="BO16" t="s">
        <v>323</v>
      </c>
      <c r="BP16" t="s">
        <v>315</v>
      </c>
      <c r="BS16" t="s">
        <v>323</v>
      </c>
      <c r="BT16" t="s">
        <v>320</v>
      </c>
      <c r="BW16" t="s">
        <v>324</v>
      </c>
      <c r="BX16" t="s">
        <v>324</v>
      </c>
      <c r="BZ16" t="s">
        <v>325</v>
      </c>
      <c r="CA16" t="s">
        <v>323</v>
      </c>
      <c r="CC16" t="s">
        <v>323</v>
      </c>
      <c r="CD16" t="s">
        <v>315</v>
      </c>
      <c r="CH16" t="s">
        <v>323</v>
      </c>
      <c r="CJ16" t="s">
        <v>326</v>
      </c>
      <c r="CM16" t="s">
        <v>323</v>
      </c>
      <c r="CN16" t="s">
        <v>323</v>
      </c>
      <c r="CP16" t="s">
        <v>323</v>
      </c>
      <c r="CR16" t="s">
        <v>323</v>
      </c>
      <c r="CT16" t="s">
        <v>315</v>
      </c>
      <c r="CU16" t="s">
        <v>315</v>
      </c>
      <c r="CW16" t="s">
        <v>327</v>
      </c>
      <c r="CX16" t="s">
        <v>328</v>
      </c>
      <c r="DA16" t="s">
        <v>313</v>
      </c>
      <c r="DB16" t="s">
        <v>312</v>
      </c>
      <c r="DC16" t="s">
        <v>316</v>
      </c>
      <c r="DD16" t="s">
        <v>316</v>
      </c>
      <c r="DE16" t="s">
        <v>329</v>
      </c>
      <c r="DF16" t="s">
        <v>329</v>
      </c>
      <c r="DG16" t="s">
        <v>316</v>
      </c>
      <c r="DH16" t="s">
        <v>329</v>
      </c>
      <c r="DI16" t="s">
        <v>321</v>
      </c>
      <c r="DJ16" t="s">
        <v>319</v>
      </c>
      <c r="DK16" t="s">
        <v>319</v>
      </c>
      <c r="DL16" t="s">
        <v>318</v>
      </c>
      <c r="DM16" t="s">
        <v>318</v>
      </c>
      <c r="DN16" t="s">
        <v>318</v>
      </c>
      <c r="DO16" t="s">
        <v>318</v>
      </c>
      <c r="DP16" t="s">
        <v>318</v>
      </c>
      <c r="DQ16" t="s">
        <v>330</v>
      </c>
      <c r="DR16" t="s">
        <v>315</v>
      </c>
      <c r="DS16" t="s">
        <v>315</v>
      </c>
      <c r="DT16" t="s">
        <v>315</v>
      </c>
      <c r="DY16" t="s">
        <v>315</v>
      </c>
      <c r="EB16" t="s">
        <v>318</v>
      </c>
      <c r="EC16" t="s">
        <v>318</v>
      </c>
      <c r="ED16" t="s">
        <v>318</v>
      </c>
      <c r="EE16" t="s">
        <v>318</v>
      </c>
      <c r="EF16" t="s">
        <v>318</v>
      </c>
      <c r="EG16" t="s">
        <v>315</v>
      </c>
      <c r="EH16" t="s">
        <v>315</v>
      </c>
      <c r="EI16" t="s">
        <v>315</v>
      </c>
      <c r="EJ16" t="s">
        <v>312</v>
      </c>
      <c r="EM16" t="s">
        <v>331</v>
      </c>
      <c r="EN16" t="s">
        <v>331</v>
      </c>
      <c r="EP16" t="s">
        <v>312</v>
      </c>
      <c r="EQ16" t="s">
        <v>332</v>
      </c>
      <c r="ES16" t="s">
        <v>312</v>
      </c>
      <c r="ET16" t="s">
        <v>312</v>
      </c>
      <c r="EV16" t="s">
        <v>333</v>
      </c>
      <c r="EW16" t="s">
        <v>334</v>
      </c>
      <c r="EX16" t="s">
        <v>333</v>
      </c>
      <c r="EY16" t="s">
        <v>334</v>
      </c>
      <c r="EZ16" t="s">
        <v>333</v>
      </c>
      <c r="FA16" t="s">
        <v>334</v>
      </c>
      <c r="FB16" t="s">
        <v>320</v>
      </c>
      <c r="FC16" t="s">
        <v>320</v>
      </c>
      <c r="FD16" t="s">
        <v>315</v>
      </c>
      <c r="FE16" t="s">
        <v>335</v>
      </c>
      <c r="FF16" t="s">
        <v>315</v>
      </c>
      <c r="FH16" t="s">
        <v>316</v>
      </c>
      <c r="FI16" t="s">
        <v>336</v>
      </c>
      <c r="FJ16" t="s">
        <v>316</v>
      </c>
      <c r="FM16" t="s">
        <v>337</v>
      </c>
      <c r="FS16" t="s">
        <v>320</v>
      </c>
      <c r="FT16" t="s">
        <v>320</v>
      </c>
      <c r="FU16" t="s">
        <v>333</v>
      </c>
      <c r="FV16" t="s">
        <v>334</v>
      </c>
      <c r="FW16" t="s">
        <v>333</v>
      </c>
      <c r="GA16" t="s">
        <v>334</v>
      </c>
      <c r="GE16" t="s">
        <v>316</v>
      </c>
      <c r="GF16" t="s">
        <v>316</v>
      </c>
      <c r="GG16" t="s">
        <v>329</v>
      </c>
      <c r="GH16" t="s">
        <v>329</v>
      </c>
      <c r="GI16" t="s">
        <v>338</v>
      </c>
      <c r="GJ16" t="s">
        <v>338</v>
      </c>
      <c r="GK16" t="s">
        <v>339</v>
      </c>
      <c r="GL16" t="s">
        <v>339</v>
      </c>
      <c r="GM16" t="s">
        <v>339</v>
      </c>
      <c r="GN16" t="s">
        <v>339</v>
      </c>
      <c r="GO16" t="s">
        <v>339</v>
      </c>
      <c r="GP16" t="s">
        <v>339</v>
      </c>
      <c r="GQ16" t="s">
        <v>318</v>
      </c>
      <c r="GR16" t="s">
        <v>339</v>
      </c>
      <c r="GT16" t="s">
        <v>321</v>
      </c>
      <c r="GU16" t="s">
        <v>321</v>
      </c>
      <c r="GV16" t="s">
        <v>318</v>
      </c>
      <c r="GW16" t="s">
        <v>318</v>
      </c>
      <c r="GX16" t="s">
        <v>318</v>
      </c>
      <c r="GY16" t="s">
        <v>318</v>
      </c>
      <c r="GZ16" t="s">
        <v>318</v>
      </c>
      <c r="HA16" t="s">
        <v>320</v>
      </c>
      <c r="HB16" t="s">
        <v>320</v>
      </c>
      <c r="HC16" t="s">
        <v>320</v>
      </c>
      <c r="HD16" t="s">
        <v>318</v>
      </c>
      <c r="HE16" t="s">
        <v>316</v>
      </c>
      <c r="HF16" t="s">
        <v>329</v>
      </c>
      <c r="HG16" t="s">
        <v>320</v>
      </c>
      <c r="HH16" t="s">
        <v>320</v>
      </c>
    </row>
    <row r="17" spans="1:216" x14ac:dyDescent="0.3">
      <c r="A17">
        <v>1</v>
      </c>
      <c r="B17">
        <v>1792116469</v>
      </c>
      <c r="C17">
        <v>0</v>
      </c>
      <c r="D17" t="s">
        <v>340</v>
      </c>
      <c r="E17" t="s">
        <v>341</v>
      </c>
      <c r="F17">
        <v>5</v>
      </c>
      <c r="G17">
        <v>1792116466</v>
      </c>
      <c r="H17">
        <f t="shared" ref="H17:H25" si="0">(I17)/1000</f>
        <v>4.8338740576145574E-3</v>
      </c>
      <c r="I17">
        <f t="shared" ref="I17:I25" si="1">1000*DI17*AG17*(DE17-DF17)/(100*CX17*(1000-AG17*DE17))</f>
        <v>4.8338740576145574</v>
      </c>
      <c r="J17">
        <f t="shared" ref="J17:J25" si="2">DI17*AG17*(DD17-DC17*(1000-AG17*DF17)/(1000-AG17*DE17))/(100*CX17)</f>
        <v>22.263759155783919</v>
      </c>
      <c r="K17">
        <f t="shared" ref="K17:K25" si="3">DC17 - IF(AG17&gt;1, J17*CX17*100/(AI17), 0)</f>
        <v>400.005</v>
      </c>
      <c r="L17">
        <f t="shared" ref="L17:L25" si="4">((R17-H17/2)*K17-J17)/(R17+H17/2)</f>
        <v>292.52696856398614</v>
      </c>
      <c r="M17">
        <f t="shared" ref="M17:M25" si="5">L17*(DJ17+DK17)/1000</f>
        <v>29.795675545587166</v>
      </c>
      <c r="N17">
        <f t="shared" ref="N17:N25" si="6">(DC17 - IF(AG17&gt;1, J17*CX17*100/(AI17), 0))*(DJ17+DK17)/1000</f>
        <v>40.742975784831295</v>
      </c>
      <c r="O17">
        <f t="shared" ref="O17:O25" si="7">2/((1/Q17-1/P17)+SIGN(Q17)*SQRT((1/Q17-1/P17)*(1/Q17-1/P17) + 4*CY17/((CY17+1)*(CY17+1))*(2*1/Q17*1/P17-1/P17*1/P17)))</f>
        <v>0.37729728684478225</v>
      </c>
      <c r="P17">
        <f t="shared" ref="P17:P25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3.0399081325273678</v>
      </c>
      <c r="Q17">
        <f t="shared" ref="Q17:Q25" si="9">H17*(1000-(1000*0.61365*EXP(17.502*U17/(240.97+U17))/(DJ17+DK17)+DE17)/2)/(1000*0.61365*EXP(17.502*U17/(240.97+U17))/(DJ17+DK17)-DE17)</f>
        <v>0.35307885317664656</v>
      </c>
      <c r="R17">
        <f t="shared" ref="R17:R25" si="10">1/((CY17+1)/(O17/1.6)+1/(P17/1.37)) + CY17/((CY17+1)/(O17/1.6) + CY17/(P17/1.37))</f>
        <v>0.22272054106694392</v>
      </c>
      <c r="S17">
        <f t="shared" ref="S17:S25" si="11">(CT17*CW17)</f>
        <v>241.73071669893611</v>
      </c>
      <c r="T17">
        <f t="shared" ref="T17:T25" si="12">(DL17+(S17+2*0.95*0.0000000567*(((DL17+$B$7)+273)^4-(DL17+273)^4)-44100*H17)/(1.84*29.3*P17+8*0.95*0.0000000567*(DL17+273)^3))</f>
        <v>25.833279356080492</v>
      </c>
      <c r="U17">
        <f t="shared" ref="U17:U25" si="13">($C$7*DM17+$D$7*DN17+$E$7*T17)</f>
        <v>25.015139999999999</v>
      </c>
      <c r="V17">
        <f t="shared" ref="V17:V25" si="14">0.61365*EXP(17.502*U17/(240.97+U17))</f>
        <v>3.1825488042145778</v>
      </c>
      <c r="W17">
        <f t="shared" ref="W17:W25" si="15">(X17/Y17*100)</f>
        <v>55.071782616554032</v>
      </c>
      <c r="X17">
        <f t="shared" ref="X17:X25" si="16">DE17*(DJ17+DK17)/1000</f>
        <v>1.8223331160375624</v>
      </c>
      <c r="Y17">
        <f t="shared" ref="Y17:Y25" si="17">0.61365*EXP(17.502*DL17/(240.97+DL17))</f>
        <v>3.3090142164560823</v>
      </c>
      <c r="Z17">
        <f t="shared" ref="Z17:Z25" si="18">(V17-DE17*(DJ17+DK17)/1000)</f>
        <v>1.3602156881770153</v>
      </c>
      <c r="AA17">
        <f t="shared" ref="AA17:AA25" si="19">(-H17*44100)</f>
        <v>-213.17384594080198</v>
      </c>
      <c r="AB17">
        <f t="shared" ref="AB17:AB25" si="20">2*29.3*P17*0.92*(DL17-U17)</f>
        <v>107.39549660090645</v>
      </c>
      <c r="AC17">
        <f t="shared" ref="AC17:AC25" si="21">2*0.95*0.0000000567*(((DL17+$B$7)+273)^4-(U17+273)^4)</f>
        <v>7.4986655387448975</v>
      </c>
      <c r="AD17">
        <f t="shared" ref="AD17:AD25" si="22">S17+AC17+AA17+AB17</f>
        <v>143.45103289778547</v>
      </c>
      <c r="AE17">
        <v>0</v>
      </c>
      <c r="AF17">
        <v>0</v>
      </c>
      <c r="AG17">
        <f t="shared" ref="AG17:AG25" si="23">IF(AE17*$H$13&gt;=AI17,1,(AI17/(AI17-AE17*$H$13)))</f>
        <v>1</v>
      </c>
      <c r="AH17">
        <f t="shared" ref="AH17:AH25" si="24">(AG17-1)*100</f>
        <v>0</v>
      </c>
      <c r="AI17">
        <f t="shared" ref="AI17:AI25" si="25">MAX(0,($B$13+$C$13*DQ17)/(1+$D$13*DQ17)*DJ17/(DL17+273)*$E$13)</f>
        <v>54044.184097790217</v>
      </c>
      <c r="AJ17" t="s">
        <v>342</v>
      </c>
      <c r="AK17">
        <v>8121.87</v>
      </c>
      <c r="AL17">
        <v>233.63300000000001</v>
      </c>
      <c r="AM17">
        <v>679.27681151417005</v>
      </c>
      <c r="AN17">
        <f t="shared" ref="AN17:AN25" si="26">1-AL17/AM17</f>
        <v>0.65605627037494374</v>
      </c>
      <c r="AO17">
        <v>-1.16761486295254</v>
      </c>
      <c r="AP17" t="s">
        <v>343</v>
      </c>
      <c r="AQ17">
        <v>8148.94</v>
      </c>
      <c r="AR17">
        <v>238.21639999999999</v>
      </c>
      <c r="AS17">
        <v>316.901311829728</v>
      </c>
      <c r="AT17">
        <f t="shared" ref="AT17:AT25" si="27">1-AR17/AS17</f>
        <v>0.24829468636597385</v>
      </c>
      <c r="AU17">
        <v>0.5</v>
      </c>
      <c r="AV17">
        <f t="shared" ref="AV17:AV25" si="28">CU17</f>
        <v>1261.1758183932313</v>
      </c>
      <c r="AW17">
        <f t="shared" ref="AW17:AW25" si="29">J17</f>
        <v>22.263759155783919</v>
      </c>
      <c r="AX17">
        <f t="shared" ref="AX17:AX25" si="30">AT17*AU17*AV17</f>
        <v>156.57162714014888</v>
      </c>
      <c r="AY17">
        <f t="shared" ref="AY17:AY25" si="31">(AW17-AO17)/AV17</f>
        <v>1.8578990872651364E-2</v>
      </c>
      <c r="AZ17">
        <f t="shared" ref="AZ17:AZ25" si="32">(AM17-AS17)/AS17</f>
        <v>1.1434963698703382</v>
      </c>
      <c r="BA17">
        <f t="shared" ref="BA17:BA25" si="33">AL17/(AN17+AL17/AS17)</f>
        <v>167.68338996822919</v>
      </c>
      <c r="BB17" t="s">
        <v>344</v>
      </c>
      <c r="BC17">
        <v>0</v>
      </c>
      <c r="BD17">
        <f t="shared" ref="BD17:BD25" si="34">IF(BC17&lt;&gt;0, BC17, BA17)</f>
        <v>167.68338996822919</v>
      </c>
      <c r="BE17">
        <f t="shared" ref="BE17:BE25" si="35">1-BD17/AS17</f>
        <v>0.47086558588206173</v>
      </c>
      <c r="BF17">
        <f t="shared" ref="BF17:BF25" si="36">(AS17-AR17)/(AS17-BD17)</f>
        <v>0.52731542463620307</v>
      </c>
      <c r="BG17">
        <f t="shared" ref="BG17:BG25" si="37">(AM17-AS17)/(AM17-BD17)</f>
        <v>0.70832712936262987</v>
      </c>
      <c r="BH17">
        <f t="shared" ref="BH17:BH25" si="38">(AS17-AR17)/(AS17-AL17)</f>
        <v>0.94495625167263642</v>
      </c>
      <c r="BI17">
        <f t="shared" ref="BI17:BI25" si="39">(AM17-AS17)/(AM17-AL17)</f>
        <v>0.81315052587220704</v>
      </c>
      <c r="BJ17">
        <f t="shared" ref="BJ17:BJ25" si="40">(BF17*BD17/AR17)</f>
        <v>0.37118367159244625</v>
      </c>
      <c r="BK17">
        <f t="shared" ref="BK17:BK25" si="41">(1-BJ17)</f>
        <v>0.62881632840755375</v>
      </c>
      <c r="BL17">
        <v>148</v>
      </c>
      <c r="BM17">
        <v>290</v>
      </c>
      <c r="BN17">
        <v>301.43</v>
      </c>
      <c r="BO17">
        <v>285</v>
      </c>
      <c r="BP17">
        <v>8148.94</v>
      </c>
      <c r="BQ17">
        <v>300.41000000000003</v>
      </c>
      <c r="BR17">
        <v>1.02</v>
      </c>
      <c r="BS17">
        <v>300</v>
      </c>
      <c r="BT17">
        <v>19.100000000000001</v>
      </c>
      <c r="BU17">
        <v>316.901311829728</v>
      </c>
      <c r="BV17">
        <v>2.8121650534517899</v>
      </c>
      <c r="BW17">
        <v>-13.4388908421375</v>
      </c>
      <c r="BX17">
        <v>2.0969818255985699</v>
      </c>
      <c r="BY17">
        <v>0.59462127337862902</v>
      </c>
      <c r="BZ17">
        <v>-4.3923098998887699E-3</v>
      </c>
      <c r="CA17">
        <v>290</v>
      </c>
      <c r="CB17">
        <v>300.89999999999998</v>
      </c>
      <c r="CC17">
        <v>615</v>
      </c>
      <c r="CD17">
        <v>8145.38</v>
      </c>
      <c r="CE17">
        <v>300.39999999999998</v>
      </c>
      <c r="CF17">
        <v>0.5</v>
      </c>
      <c r="CT17">
        <f t="shared" ref="CT17:CT25" si="42">$B$11*DR17+$C$11*DS17+$F$11*DT17*(1-DW17)</f>
        <v>1499.9580000000001</v>
      </c>
      <c r="CU17">
        <f t="shared" ref="CU17:CU25" si="43">CT17*CV17</f>
        <v>1261.1758183932313</v>
      </c>
      <c r="CV17">
        <f t="shared" ref="CV17:CV25" si="44">($B$11*$D$9+$C$11*$D$9+$F$11*((EG17+DY17)/MAX(EG17+DY17+EH17, 0.1)*$I$9+EH17/MAX(EG17+DY17+EH17, 0.1)*$J$9))/($B$11+$C$11+$F$11)</f>
        <v>0.8408074215366238</v>
      </c>
      <c r="CW17">
        <f t="shared" ref="CW17:CW25" si="45">($B$11*$K$9+$C$11*$K$9+$F$11*((EG17+DY17)/MAX(EG17+DY17+EH17, 0.1)*$P$9+EH17/MAX(EG17+DY17+EH17, 0.1)*$Q$9))/($B$11+$C$11+$F$11)</f>
        <v>0.16115832356568391</v>
      </c>
      <c r="CX17">
        <v>2</v>
      </c>
      <c r="CY17">
        <v>0.5</v>
      </c>
      <c r="CZ17" t="s">
        <v>345</v>
      </c>
      <c r="DA17">
        <v>2</v>
      </c>
      <c r="DB17">
        <v>1792116466</v>
      </c>
      <c r="DC17">
        <v>400.005</v>
      </c>
      <c r="DD17">
        <v>409.68639999999999</v>
      </c>
      <c r="DE17">
        <v>17.89124</v>
      </c>
      <c r="DF17">
        <v>15.9918</v>
      </c>
      <c r="DG17">
        <v>400.82440000000003</v>
      </c>
      <c r="DH17">
        <v>18.058520000000001</v>
      </c>
      <c r="DI17">
        <v>499.87259999999998</v>
      </c>
      <c r="DJ17">
        <v>101.7564</v>
      </c>
      <c r="DK17">
        <v>9.9766259999999996E-2</v>
      </c>
      <c r="DL17">
        <v>25.670439999999999</v>
      </c>
      <c r="DM17">
        <v>25.015139999999999</v>
      </c>
      <c r="DN17">
        <v>999.9</v>
      </c>
      <c r="DO17">
        <v>0</v>
      </c>
      <c r="DP17">
        <v>0</v>
      </c>
      <c r="DQ17">
        <v>9999.76</v>
      </c>
      <c r="DR17">
        <v>0</v>
      </c>
      <c r="DS17">
        <v>8.479438</v>
      </c>
      <c r="DT17">
        <v>1499.9580000000001</v>
      </c>
      <c r="DU17">
        <v>0.97299880000000005</v>
      </c>
      <c r="DV17">
        <v>2.7001520000000001E-2</v>
      </c>
      <c r="DW17">
        <v>0</v>
      </c>
      <c r="DX17">
        <v>237.9246</v>
      </c>
      <c r="DY17">
        <v>4.9999900000000004</v>
      </c>
      <c r="DZ17">
        <v>3556.46</v>
      </c>
      <c r="EA17">
        <v>14882.16</v>
      </c>
      <c r="EB17">
        <v>38.349800000000002</v>
      </c>
      <c r="EC17">
        <v>40.474800000000002</v>
      </c>
      <c r="ED17">
        <v>38.8748</v>
      </c>
      <c r="EE17">
        <v>40.862200000000001</v>
      </c>
      <c r="EF17">
        <v>40.412199999999999</v>
      </c>
      <c r="EG17">
        <v>1454.59</v>
      </c>
      <c r="EH17">
        <v>40.369999999999997</v>
      </c>
      <c r="EI17">
        <v>0</v>
      </c>
      <c r="EJ17">
        <v>1792116469.2</v>
      </c>
      <c r="EK17">
        <v>0</v>
      </c>
      <c r="EL17">
        <v>238.21639999999999</v>
      </c>
      <c r="EM17">
        <v>-3.5236923274017702</v>
      </c>
      <c r="EN17">
        <v>-2.2223077067943802</v>
      </c>
      <c r="EO17">
        <v>3556.8663999999999</v>
      </c>
      <c r="EP17">
        <v>15</v>
      </c>
      <c r="EQ17">
        <v>1792116244</v>
      </c>
      <c r="ER17" t="s">
        <v>346</v>
      </c>
      <c r="ES17">
        <v>1792116238</v>
      </c>
      <c r="ET17">
        <v>1792116244</v>
      </c>
      <c r="EU17">
        <v>14</v>
      </c>
      <c r="EV17">
        <v>5.0000000000000001E-3</v>
      </c>
      <c r="EW17">
        <v>5.0000000000000001E-3</v>
      </c>
      <c r="EX17">
        <v>-0.81499999999999995</v>
      </c>
      <c r="EY17">
        <v>-0.19400000000000001</v>
      </c>
      <c r="EZ17">
        <v>410</v>
      </c>
      <c r="FA17">
        <v>16</v>
      </c>
      <c r="FB17">
        <v>0.2</v>
      </c>
      <c r="FC17">
        <v>0.03</v>
      </c>
      <c r="FD17">
        <v>22.123129716237599</v>
      </c>
      <c r="FE17">
        <v>0.65564455396953902</v>
      </c>
      <c r="FF17">
        <v>8.3979337990730707E-2</v>
      </c>
      <c r="FG17">
        <v>0</v>
      </c>
      <c r="FH17">
        <v>-9.6425247619047596</v>
      </c>
      <c r="FI17">
        <v>-0.189476103896104</v>
      </c>
      <c r="FJ17">
        <v>2.8408494641576201E-2</v>
      </c>
      <c r="FK17">
        <v>1</v>
      </c>
      <c r="FL17">
        <v>238.22952941176499</v>
      </c>
      <c r="FM17">
        <v>-1.2529259028484201</v>
      </c>
      <c r="FN17">
        <v>0.40720815859835702</v>
      </c>
      <c r="FO17">
        <v>-1</v>
      </c>
      <c r="FP17">
        <v>1</v>
      </c>
      <c r="FQ17">
        <v>2</v>
      </c>
      <c r="FR17" t="s">
        <v>347</v>
      </c>
      <c r="FS17">
        <v>100</v>
      </c>
      <c r="FT17">
        <v>100</v>
      </c>
      <c r="FU17">
        <v>-0.81899999999999995</v>
      </c>
      <c r="FV17">
        <v>-0.1671</v>
      </c>
      <c r="FW17">
        <v>-0.89432906888737596</v>
      </c>
      <c r="FX17">
        <v>-6.1673298426602905E-5</v>
      </c>
      <c r="FY17">
        <v>6.1939807181674203E-7</v>
      </c>
      <c r="FZ17">
        <v>3.19222985850634E-12</v>
      </c>
      <c r="GA17">
        <v>-9.4127185813927497E-2</v>
      </c>
      <c r="GB17">
        <v>-2.57783215012692E-2</v>
      </c>
      <c r="GC17">
        <v>1.33723821780375E-3</v>
      </c>
      <c r="GD17">
        <v>-7.42160749481374E-6</v>
      </c>
      <c r="GE17">
        <v>7</v>
      </c>
      <c r="GF17">
        <v>2154</v>
      </c>
      <c r="GG17">
        <v>2</v>
      </c>
      <c r="GH17">
        <v>20</v>
      </c>
      <c r="GI17">
        <v>3.9</v>
      </c>
      <c r="GJ17">
        <v>3.8</v>
      </c>
      <c r="GK17">
        <v>1.0595699999999999</v>
      </c>
      <c r="GL17">
        <v>2.6086399999999998</v>
      </c>
      <c r="GM17">
        <v>1.65161</v>
      </c>
      <c r="GN17">
        <v>2.2814899999999998</v>
      </c>
      <c r="GO17">
        <v>1.5979000000000001</v>
      </c>
      <c r="GP17">
        <v>2.51709</v>
      </c>
      <c r="GQ17">
        <v>31.0853</v>
      </c>
      <c r="GR17">
        <v>15.1302</v>
      </c>
      <c r="GS17">
        <v>18</v>
      </c>
      <c r="GT17">
        <v>499.44499999999999</v>
      </c>
      <c r="GU17">
        <v>576.03</v>
      </c>
      <c r="GV17">
        <v>22.589700000000001</v>
      </c>
      <c r="GW17">
        <v>27.544699999999999</v>
      </c>
      <c r="GX17">
        <v>30.000299999999999</v>
      </c>
      <c r="GY17">
        <v>27.618400000000001</v>
      </c>
      <c r="GZ17">
        <v>27.666699999999999</v>
      </c>
      <c r="HA17">
        <v>21.191500000000001</v>
      </c>
      <c r="HB17">
        <v>33.132399999999997</v>
      </c>
      <c r="HC17">
        <v>88.870900000000006</v>
      </c>
      <c r="HD17">
        <v>22.584700000000002</v>
      </c>
      <c r="HE17">
        <v>409.65600000000001</v>
      </c>
      <c r="HF17">
        <v>15.988300000000001</v>
      </c>
      <c r="HG17">
        <v>98.466999999999999</v>
      </c>
      <c r="HH17">
        <v>94.956599999999995</v>
      </c>
    </row>
    <row r="18" spans="1:216" x14ac:dyDescent="0.3">
      <c r="A18">
        <v>2</v>
      </c>
      <c r="B18">
        <v>1792116592</v>
      </c>
      <c r="C18">
        <v>123</v>
      </c>
      <c r="D18" t="s">
        <v>348</v>
      </c>
      <c r="E18" t="s">
        <v>349</v>
      </c>
      <c r="F18">
        <v>5</v>
      </c>
      <c r="G18">
        <v>1792116588.5</v>
      </c>
      <c r="H18">
        <f t="shared" si="0"/>
        <v>4.1554194603201592E-3</v>
      </c>
      <c r="I18">
        <f t="shared" si="1"/>
        <v>4.1554194603201591</v>
      </c>
      <c r="J18">
        <f t="shared" si="2"/>
        <v>20.399263727046762</v>
      </c>
      <c r="K18">
        <f t="shared" si="3"/>
        <v>400.07666666666699</v>
      </c>
      <c r="L18">
        <f t="shared" si="4"/>
        <v>285.04056972533232</v>
      </c>
      <c r="M18">
        <f t="shared" si="5"/>
        <v>29.035521566204245</v>
      </c>
      <c r="N18">
        <f t="shared" si="6"/>
        <v>40.753618666735122</v>
      </c>
      <c r="O18">
        <f t="shared" si="7"/>
        <v>0.31862062049165718</v>
      </c>
      <c r="P18">
        <f t="shared" si="8"/>
        <v>3.0359002232109482</v>
      </c>
      <c r="Q18">
        <f t="shared" si="9"/>
        <v>0.30114054493659675</v>
      </c>
      <c r="R18">
        <f t="shared" si="10"/>
        <v>0.1897033979388906</v>
      </c>
      <c r="S18">
        <f t="shared" si="11"/>
        <v>193.80650201902895</v>
      </c>
      <c r="T18">
        <f t="shared" si="12"/>
        <v>25.763679618770798</v>
      </c>
      <c r="U18">
        <f t="shared" si="13"/>
        <v>25.025066666666699</v>
      </c>
      <c r="V18">
        <f t="shared" si="14"/>
        <v>3.1844325691587172</v>
      </c>
      <c r="W18">
        <f t="shared" si="15"/>
        <v>54.691426667913269</v>
      </c>
      <c r="X18">
        <f t="shared" si="16"/>
        <v>1.813292065138008</v>
      </c>
      <c r="Y18">
        <f t="shared" si="17"/>
        <v>3.3154960029628233</v>
      </c>
      <c r="Z18">
        <f t="shared" si="18"/>
        <v>1.3711405040207092</v>
      </c>
      <c r="AA18">
        <f t="shared" si="19"/>
        <v>-183.25399820011901</v>
      </c>
      <c r="AB18">
        <f t="shared" si="20"/>
        <v>111.02925788730995</v>
      </c>
      <c r="AC18">
        <f t="shared" si="21"/>
        <v>7.7642956878114013</v>
      </c>
      <c r="AD18">
        <f t="shared" si="22"/>
        <v>129.34605739403128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53912.956827038281</v>
      </c>
      <c r="AJ18" t="s">
        <v>342</v>
      </c>
      <c r="AK18">
        <v>8121.87</v>
      </c>
      <c r="AL18">
        <v>233.63300000000001</v>
      </c>
      <c r="AM18">
        <v>679.27681151417005</v>
      </c>
      <c r="AN18">
        <f t="shared" si="26"/>
        <v>0.65605627037494374</v>
      </c>
      <c r="AO18">
        <v>-1.16761486295254</v>
      </c>
      <c r="AP18" t="s">
        <v>350</v>
      </c>
      <c r="AQ18">
        <v>8160.98</v>
      </c>
      <c r="AR18">
        <v>236.616461538462</v>
      </c>
      <c r="AS18">
        <v>344.12792631877102</v>
      </c>
      <c r="AT18">
        <f t="shared" si="27"/>
        <v>0.31241714652567742</v>
      </c>
      <c r="AU18">
        <v>0.5</v>
      </c>
      <c r="AV18">
        <f t="shared" si="28"/>
        <v>1009.1986000098569</v>
      </c>
      <c r="AW18">
        <f t="shared" si="29"/>
        <v>20.399263727046762</v>
      </c>
      <c r="AX18">
        <f t="shared" si="30"/>
        <v>157.64547344639399</v>
      </c>
      <c r="AY18">
        <f t="shared" si="31"/>
        <v>2.1370301732274159E-2</v>
      </c>
      <c r="AZ18">
        <f t="shared" si="32"/>
        <v>0.97390783939152159</v>
      </c>
      <c r="BA18">
        <f t="shared" si="33"/>
        <v>175.00999157400898</v>
      </c>
      <c r="BB18" t="s">
        <v>344</v>
      </c>
      <c r="BC18">
        <v>0</v>
      </c>
      <c r="BD18">
        <f t="shared" si="34"/>
        <v>175.00999157400898</v>
      </c>
      <c r="BE18">
        <f t="shared" si="35"/>
        <v>0.49143914751081685</v>
      </c>
      <c r="BF18">
        <f t="shared" si="36"/>
        <v>0.63571888423642708</v>
      </c>
      <c r="BG18">
        <f t="shared" si="37"/>
        <v>0.66462609067788658</v>
      </c>
      <c r="BH18">
        <f t="shared" si="38"/>
        <v>0.97299910830425917</v>
      </c>
      <c r="BI18">
        <f t="shared" si="39"/>
        <v>0.75205551280216176</v>
      </c>
      <c r="BJ18">
        <f t="shared" si="40"/>
        <v>0.4702004072340108</v>
      </c>
      <c r="BK18">
        <f t="shared" si="41"/>
        <v>0.5297995927659892</v>
      </c>
      <c r="BL18">
        <v>149</v>
      </c>
      <c r="BM18">
        <v>290</v>
      </c>
      <c r="BN18">
        <v>321.32</v>
      </c>
      <c r="BO18">
        <v>105</v>
      </c>
      <c r="BP18">
        <v>8160.98</v>
      </c>
      <c r="BQ18">
        <v>321.13</v>
      </c>
      <c r="BR18">
        <v>0.19</v>
      </c>
      <c r="BS18">
        <v>300</v>
      </c>
      <c r="BT18">
        <v>19.100000000000001</v>
      </c>
      <c r="BU18">
        <v>344.12792631877102</v>
      </c>
      <c r="BV18">
        <v>2.5283019146039001</v>
      </c>
      <c r="BW18">
        <v>-18.764986030072802</v>
      </c>
      <c r="BX18">
        <v>1.87787514929759</v>
      </c>
      <c r="BY18">
        <v>0.780999256013023</v>
      </c>
      <c r="BZ18">
        <v>-4.5942171301446098E-3</v>
      </c>
      <c r="CA18">
        <v>290</v>
      </c>
      <c r="CB18">
        <v>319.79000000000002</v>
      </c>
      <c r="CC18">
        <v>705</v>
      </c>
      <c r="CD18">
        <v>8147.36</v>
      </c>
      <c r="CE18">
        <v>321.10000000000002</v>
      </c>
      <c r="CF18">
        <v>-1.31</v>
      </c>
      <c r="CT18">
        <f t="shared" si="42"/>
        <v>1200.01833333333</v>
      </c>
      <c r="CU18">
        <f t="shared" si="43"/>
        <v>1009.1986000098569</v>
      </c>
      <c r="CV18">
        <f t="shared" si="44"/>
        <v>0.84098598494455756</v>
      </c>
      <c r="CW18">
        <f t="shared" si="45"/>
        <v>0.16150295094299627</v>
      </c>
      <c r="CX18">
        <v>2</v>
      </c>
      <c r="CY18">
        <v>0.5</v>
      </c>
      <c r="CZ18" t="s">
        <v>345</v>
      </c>
      <c r="DA18">
        <v>2</v>
      </c>
      <c r="DB18">
        <v>1792116588.5</v>
      </c>
      <c r="DC18">
        <v>400.07666666666699</v>
      </c>
      <c r="DD18">
        <v>408.90066666666701</v>
      </c>
      <c r="DE18">
        <v>17.801016666666701</v>
      </c>
      <c r="DF18">
        <v>16.168566666666699</v>
      </c>
      <c r="DG18">
        <v>400.89600000000002</v>
      </c>
      <c r="DH18">
        <v>17.969650000000001</v>
      </c>
      <c r="DI18">
        <v>500.03966666666702</v>
      </c>
      <c r="DJ18">
        <v>101.764333333333</v>
      </c>
      <c r="DK18">
        <v>0.1001893</v>
      </c>
      <c r="DL18">
        <v>25.703433333333301</v>
      </c>
      <c r="DM18">
        <v>25.025066666666699</v>
      </c>
      <c r="DN18">
        <v>999.9</v>
      </c>
      <c r="DO18">
        <v>0</v>
      </c>
      <c r="DP18">
        <v>0</v>
      </c>
      <c r="DQ18">
        <v>9974.7916666666697</v>
      </c>
      <c r="DR18">
        <v>0</v>
      </c>
      <c r="DS18">
        <v>8.4136500000000005</v>
      </c>
      <c r="DT18">
        <v>1200.01833333333</v>
      </c>
      <c r="DU18">
        <v>0.96699800000000002</v>
      </c>
      <c r="DV18">
        <v>3.3001933333333303E-2</v>
      </c>
      <c r="DW18">
        <v>0</v>
      </c>
      <c r="DX18">
        <v>236.74516666666699</v>
      </c>
      <c r="DY18">
        <v>4.9999900000000004</v>
      </c>
      <c r="DZ18">
        <v>2827.8683333333302</v>
      </c>
      <c r="EA18">
        <v>11872.833333333299</v>
      </c>
      <c r="EB18">
        <v>38.197499999999998</v>
      </c>
      <c r="EC18">
        <v>39.697499999999998</v>
      </c>
      <c r="ED18">
        <v>38.947499999999998</v>
      </c>
      <c r="EE18">
        <v>39.426833333333299</v>
      </c>
      <c r="EF18">
        <v>39.957999999999998</v>
      </c>
      <c r="EG18">
        <v>1155.57833333333</v>
      </c>
      <c r="EH18">
        <v>39.44</v>
      </c>
      <c r="EI18">
        <v>0</v>
      </c>
      <c r="EJ18">
        <v>121.700000047684</v>
      </c>
      <c r="EK18">
        <v>0</v>
      </c>
      <c r="EL18">
        <v>236.616461538462</v>
      </c>
      <c r="EM18">
        <v>1.02577774260956</v>
      </c>
      <c r="EN18">
        <v>-3.84478631617637</v>
      </c>
      <c r="EO18">
        <v>2828.21769230769</v>
      </c>
      <c r="EP18">
        <v>15</v>
      </c>
      <c r="EQ18">
        <v>1792116244</v>
      </c>
      <c r="ER18" t="s">
        <v>346</v>
      </c>
      <c r="ES18">
        <v>1792116238</v>
      </c>
      <c r="ET18">
        <v>1792116244</v>
      </c>
      <c r="EU18">
        <v>14</v>
      </c>
      <c r="EV18">
        <v>5.0000000000000001E-3</v>
      </c>
      <c r="EW18">
        <v>5.0000000000000001E-3</v>
      </c>
      <c r="EX18">
        <v>-0.81499999999999995</v>
      </c>
      <c r="EY18">
        <v>-0.19400000000000001</v>
      </c>
      <c r="EZ18">
        <v>410</v>
      </c>
      <c r="FA18">
        <v>16</v>
      </c>
      <c r="FB18">
        <v>0.2</v>
      </c>
      <c r="FC18">
        <v>0.03</v>
      </c>
      <c r="FD18">
        <v>20.463405431658401</v>
      </c>
      <c r="FE18">
        <v>-0.37796665919545602</v>
      </c>
      <c r="FF18">
        <v>9.4327826302298107E-2</v>
      </c>
      <c r="FG18">
        <v>1</v>
      </c>
      <c r="FH18">
        <v>-8.8543185714285695</v>
      </c>
      <c r="FI18">
        <v>0.22931064935064299</v>
      </c>
      <c r="FJ18">
        <v>4.0934240794080298E-2</v>
      </c>
      <c r="FK18">
        <v>1</v>
      </c>
      <c r="FL18">
        <v>236.60208823529399</v>
      </c>
      <c r="FM18">
        <v>0.51912909043131805</v>
      </c>
      <c r="FN18">
        <v>0.36474667822113999</v>
      </c>
      <c r="FO18">
        <v>-1</v>
      </c>
      <c r="FP18">
        <v>2</v>
      </c>
      <c r="FQ18">
        <v>2</v>
      </c>
      <c r="FR18" t="s">
        <v>351</v>
      </c>
      <c r="FS18">
        <v>100</v>
      </c>
      <c r="FT18">
        <v>100</v>
      </c>
      <c r="FU18">
        <v>-0.82</v>
      </c>
      <c r="FV18">
        <v>-0.16869999999999999</v>
      </c>
      <c r="FW18">
        <v>-0.89432906888737596</v>
      </c>
      <c r="FX18">
        <v>-6.1673298426602905E-5</v>
      </c>
      <c r="FY18">
        <v>6.1939807181674203E-7</v>
      </c>
      <c r="FZ18">
        <v>3.19222985850634E-12</v>
      </c>
      <c r="GA18">
        <v>-9.4127185813927497E-2</v>
      </c>
      <c r="GB18">
        <v>-2.57783215012692E-2</v>
      </c>
      <c r="GC18">
        <v>1.33723821780375E-3</v>
      </c>
      <c r="GD18">
        <v>-7.42160749481374E-6</v>
      </c>
      <c r="GE18">
        <v>7</v>
      </c>
      <c r="GF18">
        <v>2154</v>
      </c>
      <c r="GG18">
        <v>2</v>
      </c>
      <c r="GH18">
        <v>20</v>
      </c>
      <c r="GI18">
        <v>5.9</v>
      </c>
      <c r="GJ18">
        <v>5.8</v>
      </c>
      <c r="GK18">
        <v>1.0583499999999999</v>
      </c>
      <c r="GL18">
        <v>2.6098599999999998</v>
      </c>
      <c r="GM18">
        <v>1.65161</v>
      </c>
      <c r="GN18">
        <v>2.2802699999999998</v>
      </c>
      <c r="GO18">
        <v>1.5979000000000001</v>
      </c>
      <c r="GP18">
        <v>2.6171899999999999</v>
      </c>
      <c r="GQ18">
        <v>31.150400000000001</v>
      </c>
      <c r="GR18">
        <v>15.121499999999999</v>
      </c>
      <c r="GS18">
        <v>18</v>
      </c>
      <c r="GT18">
        <v>499.62299999999999</v>
      </c>
      <c r="GU18">
        <v>575.46299999999997</v>
      </c>
      <c r="GV18">
        <v>22.8354</v>
      </c>
      <c r="GW18">
        <v>27.582999999999998</v>
      </c>
      <c r="GX18">
        <v>29.9998</v>
      </c>
      <c r="GY18">
        <v>27.656500000000001</v>
      </c>
      <c r="GZ18">
        <v>27.705300000000001</v>
      </c>
      <c r="HA18">
        <v>21.1568</v>
      </c>
      <c r="HB18">
        <v>31.4377</v>
      </c>
      <c r="HC18">
        <v>87.755300000000005</v>
      </c>
      <c r="HD18">
        <v>22.857800000000001</v>
      </c>
      <c r="HE18">
        <v>408.96300000000002</v>
      </c>
      <c r="HF18">
        <v>16.297799999999999</v>
      </c>
      <c r="HG18">
        <v>98.462299999999999</v>
      </c>
      <c r="HH18">
        <v>94.944900000000004</v>
      </c>
    </row>
    <row r="19" spans="1:216" x14ac:dyDescent="0.3">
      <c r="A19">
        <v>3</v>
      </c>
      <c r="B19">
        <v>1792116715.0999999</v>
      </c>
      <c r="C19">
        <v>246.09999990463299</v>
      </c>
      <c r="D19" t="s">
        <v>352</v>
      </c>
      <c r="E19" t="s">
        <v>353</v>
      </c>
      <c r="F19">
        <v>5</v>
      </c>
      <c r="G19">
        <v>1792116711.5999999</v>
      </c>
      <c r="H19">
        <f t="shared" si="0"/>
        <v>3.2156292692729275E-3</v>
      </c>
      <c r="I19">
        <f t="shared" si="1"/>
        <v>3.2156292692729274</v>
      </c>
      <c r="J19">
        <f t="shared" si="2"/>
        <v>18.061042652555642</v>
      </c>
      <c r="K19">
        <f t="shared" si="3"/>
        <v>400.08433333333301</v>
      </c>
      <c r="L19">
        <f t="shared" si="4"/>
        <v>269.90885303920135</v>
      </c>
      <c r="M19">
        <f t="shared" si="5"/>
        <v>27.494639610940194</v>
      </c>
      <c r="N19">
        <f t="shared" si="6"/>
        <v>40.755145431949209</v>
      </c>
      <c r="O19">
        <f t="shared" si="7"/>
        <v>0.24418583402711463</v>
      </c>
      <c r="P19">
        <f t="shared" si="8"/>
        <v>3.0420421299640803</v>
      </c>
      <c r="Q19">
        <f t="shared" si="9"/>
        <v>0.23379571105506891</v>
      </c>
      <c r="R19">
        <f t="shared" si="10"/>
        <v>0.14701898897910096</v>
      </c>
      <c r="S19">
        <f t="shared" si="11"/>
        <v>145.92254584746757</v>
      </c>
      <c r="T19">
        <f t="shared" si="12"/>
        <v>25.720022725436088</v>
      </c>
      <c r="U19">
        <f t="shared" si="13"/>
        <v>25.016783333333301</v>
      </c>
      <c r="V19">
        <f t="shared" si="14"/>
        <v>3.182860589226999</v>
      </c>
      <c r="W19">
        <f t="shared" si="15"/>
        <v>54.800406512330959</v>
      </c>
      <c r="X19">
        <f t="shared" si="16"/>
        <v>1.8161673205001907</v>
      </c>
      <c r="Y19">
        <f t="shared" si="17"/>
        <v>3.3141493577999728</v>
      </c>
      <c r="Z19">
        <f t="shared" si="18"/>
        <v>1.3666932687268083</v>
      </c>
      <c r="AA19">
        <f t="shared" si="19"/>
        <v>-141.80925077493612</v>
      </c>
      <c r="AB19">
        <f t="shared" si="20"/>
        <v>111.48895069616189</v>
      </c>
      <c r="AC19">
        <f t="shared" si="21"/>
        <v>7.7801091007804253</v>
      </c>
      <c r="AD19">
        <f t="shared" si="22"/>
        <v>123.38235486947379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54106.545302899831</v>
      </c>
      <c r="AJ19" t="s">
        <v>342</v>
      </c>
      <c r="AK19">
        <v>8121.87</v>
      </c>
      <c r="AL19">
        <v>233.63300000000001</v>
      </c>
      <c r="AM19">
        <v>679.27681151417005</v>
      </c>
      <c r="AN19">
        <f t="shared" si="26"/>
        <v>0.65605627037494374</v>
      </c>
      <c r="AO19">
        <v>-1.16761486295254</v>
      </c>
      <c r="AP19" t="s">
        <v>354</v>
      </c>
      <c r="AQ19">
        <v>8158.77</v>
      </c>
      <c r="AR19">
        <v>241.46307692307701</v>
      </c>
      <c r="AS19">
        <v>405.48401084138601</v>
      </c>
      <c r="AT19">
        <f t="shared" si="27"/>
        <v>0.40450653918008472</v>
      </c>
      <c r="AU19">
        <v>0.5</v>
      </c>
      <c r="AV19">
        <f t="shared" si="28"/>
        <v>757.19427826293634</v>
      </c>
      <c r="AW19">
        <f t="shared" si="29"/>
        <v>18.061042652555642</v>
      </c>
      <c r="AX19">
        <f t="shared" si="30"/>
        <v>153.14501849355122</v>
      </c>
      <c r="AY19">
        <f t="shared" si="31"/>
        <v>2.539461544746514E-2</v>
      </c>
      <c r="AZ19">
        <f t="shared" si="32"/>
        <v>0.6752246533831493</v>
      </c>
      <c r="BA19">
        <f t="shared" si="33"/>
        <v>189.60035013212888</v>
      </c>
      <c r="BB19" t="s">
        <v>344</v>
      </c>
      <c r="BC19">
        <v>0</v>
      </c>
      <c r="BD19">
        <f t="shared" si="34"/>
        <v>189.60035013212888</v>
      </c>
      <c r="BE19">
        <f t="shared" si="35"/>
        <v>0.53240979899871999</v>
      </c>
      <c r="BF19">
        <f t="shared" si="36"/>
        <v>0.75976539113446562</v>
      </c>
      <c r="BG19">
        <f t="shared" si="37"/>
        <v>0.5591300016750721</v>
      </c>
      <c r="BH19">
        <f t="shared" si="38"/>
        <v>0.95443682940972652</v>
      </c>
      <c r="BI19">
        <f t="shared" si="39"/>
        <v>0.61437586161583735</v>
      </c>
      <c r="BJ19">
        <f t="shared" si="40"/>
        <v>0.59657893046421817</v>
      </c>
      <c r="BK19">
        <f t="shared" si="41"/>
        <v>0.40342106953578183</v>
      </c>
      <c r="BL19">
        <v>150</v>
      </c>
      <c r="BM19">
        <v>290</v>
      </c>
      <c r="BN19">
        <v>367.7</v>
      </c>
      <c r="BO19">
        <v>275</v>
      </c>
      <c r="BP19">
        <v>8158.77</v>
      </c>
      <c r="BQ19">
        <v>366.61</v>
      </c>
      <c r="BR19">
        <v>1.0900000000000001</v>
      </c>
      <c r="BS19">
        <v>300</v>
      </c>
      <c r="BT19">
        <v>19.100000000000001</v>
      </c>
      <c r="BU19">
        <v>405.48401084138601</v>
      </c>
      <c r="BV19">
        <v>2.1840049224457898</v>
      </c>
      <c r="BW19">
        <v>-31.718813864772201</v>
      </c>
      <c r="BX19">
        <v>1.6160282661144301</v>
      </c>
      <c r="BY19">
        <v>0.93224343309840196</v>
      </c>
      <c r="BZ19">
        <v>-4.7978456062291496E-3</v>
      </c>
      <c r="CA19">
        <v>290</v>
      </c>
      <c r="CB19">
        <v>362.22</v>
      </c>
      <c r="CC19">
        <v>715</v>
      </c>
      <c r="CD19">
        <v>8152.92</v>
      </c>
      <c r="CE19">
        <v>366.58</v>
      </c>
      <c r="CF19">
        <v>-4.3600000000000003</v>
      </c>
      <c r="CT19">
        <f t="shared" si="42"/>
        <v>900.01533333333305</v>
      </c>
      <c r="CU19">
        <f t="shared" si="43"/>
        <v>757.19427826293634</v>
      </c>
      <c r="CV19">
        <f t="shared" si="44"/>
        <v>0.84131264237305947</v>
      </c>
      <c r="CW19">
        <f t="shared" si="45"/>
        <v>0.16213339978000479</v>
      </c>
      <c r="CX19">
        <v>2</v>
      </c>
      <c r="CY19">
        <v>0.5</v>
      </c>
      <c r="CZ19" t="s">
        <v>345</v>
      </c>
      <c r="DA19">
        <v>2</v>
      </c>
      <c r="DB19">
        <v>1792116711.5999999</v>
      </c>
      <c r="DC19">
        <v>400.08433333333301</v>
      </c>
      <c r="DD19">
        <v>407.82283333333299</v>
      </c>
      <c r="DE19">
        <v>17.8289166666667</v>
      </c>
      <c r="DF19">
        <v>16.5656833333333</v>
      </c>
      <c r="DG19">
        <v>400.90366666666699</v>
      </c>
      <c r="DH19">
        <v>17.997133333333299</v>
      </c>
      <c r="DI19">
        <v>500.03399999999999</v>
      </c>
      <c r="DJ19">
        <v>101.76649999999999</v>
      </c>
      <c r="DK19">
        <v>9.9886749999999996E-2</v>
      </c>
      <c r="DL19">
        <v>25.696583333333301</v>
      </c>
      <c r="DM19">
        <v>25.016783333333301</v>
      </c>
      <c r="DN19">
        <v>999.9</v>
      </c>
      <c r="DO19">
        <v>0</v>
      </c>
      <c r="DP19">
        <v>0</v>
      </c>
      <c r="DQ19">
        <v>10011.67</v>
      </c>
      <c r="DR19">
        <v>0</v>
      </c>
      <c r="DS19">
        <v>8.0183800000000005</v>
      </c>
      <c r="DT19">
        <v>900.01533333333305</v>
      </c>
      <c r="DU19">
        <v>0.95600200000000002</v>
      </c>
      <c r="DV19">
        <v>4.39984E-2</v>
      </c>
      <c r="DW19">
        <v>0</v>
      </c>
      <c r="DX19">
        <v>241.50266666666701</v>
      </c>
      <c r="DY19">
        <v>4.9999900000000004</v>
      </c>
      <c r="DZ19">
        <v>2148.8333333333298</v>
      </c>
      <c r="EA19">
        <v>8860.0349999999999</v>
      </c>
      <c r="EB19">
        <v>36.801666666666698</v>
      </c>
      <c r="EC19">
        <v>38.7395</v>
      </c>
      <c r="ED19">
        <v>37.853999999999999</v>
      </c>
      <c r="EE19">
        <v>38.061999999999998</v>
      </c>
      <c r="EF19">
        <v>38.697499999999998</v>
      </c>
      <c r="EG19">
        <v>855.636666666667</v>
      </c>
      <c r="EH19">
        <v>39.380000000000003</v>
      </c>
      <c r="EI19">
        <v>0</v>
      </c>
      <c r="EJ19">
        <v>121.700000047684</v>
      </c>
      <c r="EK19">
        <v>0</v>
      </c>
      <c r="EL19">
        <v>241.46307692307701</v>
      </c>
      <c r="EM19">
        <v>1.82646154581356</v>
      </c>
      <c r="EN19">
        <v>0.508376068249764</v>
      </c>
      <c r="EO19">
        <v>2148.8080769230801</v>
      </c>
      <c r="EP19">
        <v>15</v>
      </c>
      <c r="EQ19">
        <v>1792116244</v>
      </c>
      <c r="ER19" t="s">
        <v>346</v>
      </c>
      <c r="ES19">
        <v>1792116238</v>
      </c>
      <c r="ET19">
        <v>1792116244</v>
      </c>
      <c r="EU19">
        <v>14</v>
      </c>
      <c r="EV19">
        <v>5.0000000000000001E-3</v>
      </c>
      <c r="EW19">
        <v>5.0000000000000001E-3</v>
      </c>
      <c r="EX19">
        <v>-0.81499999999999995</v>
      </c>
      <c r="EY19">
        <v>-0.19400000000000001</v>
      </c>
      <c r="EZ19">
        <v>410</v>
      </c>
      <c r="FA19">
        <v>16</v>
      </c>
      <c r="FB19">
        <v>0.2</v>
      </c>
      <c r="FC19">
        <v>0.03</v>
      </c>
      <c r="FD19">
        <v>18.151321313397901</v>
      </c>
      <c r="FE19">
        <v>-0.43261907344053202</v>
      </c>
      <c r="FF19">
        <v>6.3547339474550504E-2</v>
      </c>
      <c r="FG19">
        <v>1</v>
      </c>
      <c r="FH19">
        <v>-7.7845985000000004</v>
      </c>
      <c r="FI19">
        <v>0.32497578947369099</v>
      </c>
      <c r="FJ19">
        <v>3.7278482302126999E-2</v>
      </c>
      <c r="FK19">
        <v>1</v>
      </c>
      <c r="FL19">
        <v>241.35376470588201</v>
      </c>
      <c r="FM19">
        <v>1.60763942197757</v>
      </c>
      <c r="FN19">
        <v>0.29703080240583501</v>
      </c>
      <c r="FO19">
        <v>-1</v>
      </c>
      <c r="FP19">
        <v>2</v>
      </c>
      <c r="FQ19">
        <v>2</v>
      </c>
      <c r="FR19" t="s">
        <v>351</v>
      </c>
      <c r="FS19">
        <v>100</v>
      </c>
      <c r="FT19">
        <v>100</v>
      </c>
      <c r="FU19">
        <v>-0.81899999999999995</v>
      </c>
      <c r="FV19">
        <v>-0.16800000000000001</v>
      </c>
      <c r="FW19">
        <v>-0.89432906888737596</v>
      </c>
      <c r="FX19">
        <v>-6.1673298426602905E-5</v>
      </c>
      <c r="FY19">
        <v>6.1939807181674203E-7</v>
      </c>
      <c r="FZ19">
        <v>3.19222985850634E-12</v>
      </c>
      <c r="GA19">
        <v>-9.4127185813927497E-2</v>
      </c>
      <c r="GB19">
        <v>-2.57783215012692E-2</v>
      </c>
      <c r="GC19">
        <v>1.33723821780375E-3</v>
      </c>
      <c r="GD19">
        <v>-7.42160749481374E-6</v>
      </c>
      <c r="GE19">
        <v>7</v>
      </c>
      <c r="GF19">
        <v>2154</v>
      </c>
      <c r="GG19">
        <v>2</v>
      </c>
      <c r="GH19">
        <v>20</v>
      </c>
      <c r="GI19">
        <v>8</v>
      </c>
      <c r="GJ19">
        <v>7.9</v>
      </c>
      <c r="GK19">
        <v>1.0559099999999999</v>
      </c>
      <c r="GL19">
        <v>2.6049799999999999</v>
      </c>
      <c r="GM19">
        <v>1.65161</v>
      </c>
      <c r="GN19">
        <v>2.2802699999999998</v>
      </c>
      <c r="GO19">
        <v>1.5979000000000001</v>
      </c>
      <c r="GP19">
        <v>2.5354000000000001</v>
      </c>
      <c r="GQ19">
        <v>31.215599999999998</v>
      </c>
      <c r="GR19">
        <v>15.0952</v>
      </c>
      <c r="GS19">
        <v>18</v>
      </c>
      <c r="GT19">
        <v>499.322</v>
      </c>
      <c r="GU19">
        <v>575.77200000000005</v>
      </c>
      <c r="GV19">
        <v>23.381399999999999</v>
      </c>
      <c r="GW19">
        <v>27.6111</v>
      </c>
      <c r="GX19">
        <v>30.002500000000001</v>
      </c>
      <c r="GY19">
        <v>27.689299999999999</v>
      </c>
      <c r="GZ19">
        <v>27.738499999999998</v>
      </c>
      <c r="HA19">
        <v>21.1204</v>
      </c>
      <c r="HB19">
        <v>29.725899999999999</v>
      </c>
      <c r="HC19">
        <v>87.013599999999997</v>
      </c>
      <c r="HD19">
        <v>23.1981</v>
      </c>
      <c r="HE19">
        <v>407.72899999999998</v>
      </c>
      <c r="HF19">
        <v>16.562000000000001</v>
      </c>
      <c r="HG19">
        <v>98.455299999999994</v>
      </c>
      <c r="HH19">
        <v>94.939800000000005</v>
      </c>
    </row>
    <row r="20" spans="1:216" x14ac:dyDescent="0.3">
      <c r="A20">
        <v>4</v>
      </c>
      <c r="B20">
        <v>1792116843.0999999</v>
      </c>
      <c r="C20">
        <v>374.09999990463302</v>
      </c>
      <c r="D20" t="s">
        <v>355</v>
      </c>
      <c r="E20" t="s">
        <v>356</v>
      </c>
      <c r="F20">
        <v>5</v>
      </c>
      <c r="G20">
        <v>1792116840.0999999</v>
      </c>
      <c r="H20">
        <f t="shared" si="0"/>
        <v>2.7154954477489174E-3</v>
      </c>
      <c r="I20">
        <f t="shared" si="1"/>
        <v>2.7154954477489173</v>
      </c>
      <c r="J20">
        <f t="shared" si="2"/>
        <v>15.077920110963436</v>
      </c>
      <c r="K20">
        <f t="shared" si="3"/>
        <v>400.03579999999999</v>
      </c>
      <c r="L20">
        <f t="shared" si="4"/>
        <v>271.89264234176665</v>
      </c>
      <c r="M20">
        <f t="shared" si="5"/>
        <v>27.697191566764474</v>
      </c>
      <c r="N20">
        <f t="shared" si="6"/>
        <v>40.750893774597195</v>
      </c>
      <c r="O20">
        <f t="shared" si="7"/>
        <v>0.20606735653886335</v>
      </c>
      <c r="P20">
        <f t="shared" si="8"/>
        <v>3.0442319755871687</v>
      </c>
      <c r="Q20">
        <f t="shared" si="9"/>
        <v>0.19861984272148564</v>
      </c>
      <c r="R20">
        <f t="shared" si="10"/>
        <v>0.12478410643513663</v>
      </c>
      <c r="S20">
        <f t="shared" si="11"/>
        <v>98.067286181008257</v>
      </c>
      <c r="T20">
        <f t="shared" si="12"/>
        <v>25.535063125733725</v>
      </c>
      <c r="U20">
        <f t="shared" si="13"/>
        <v>24.9602</v>
      </c>
      <c r="V20">
        <f t="shared" si="14"/>
        <v>3.1721405421543509</v>
      </c>
      <c r="W20">
        <f t="shared" si="15"/>
        <v>54.843448861691201</v>
      </c>
      <c r="X20">
        <f t="shared" si="16"/>
        <v>1.8134990077157211</v>
      </c>
      <c r="Y20">
        <f t="shared" si="17"/>
        <v>3.3066830138439225</v>
      </c>
      <c r="Z20">
        <f t="shared" si="18"/>
        <v>1.3586415344386298</v>
      </c>
      <c r="AA20">
        <f t="shared" si="19"/>
        <v>-119.75334924572726</v>
      </c>
      <c r="AB20">
        <f t="shared" si="20"/>
        <v>114.6152861472997</v>
      </c>
      <c r="AC20">
        <f t="shared" si="21"/>
        <v>7.9887224149909555</v>
      </c>
      <c r="AD20">
        <f t="shared" si="22"/>
        <v>100.91794549757165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54182.16903990315</v>
      </c>
      <c r="AJ20" t="s">
        <v>342</v>
      </c>
      <c r="AK20">
        <v>8121.87</v>
      </c>
      <c r="AL20">
        <v>233.63300000000001</v>
      </c>
      <c r="AM20">
        <v>679.27681151417005</v>
      </c>
      <c r="AN20">
        <f t="shared" si="26"/>
        <v>0.65605627037494374</v>
      </c>
      <c r="AO20">
        <v>-1.16761486295254</v>
      </c>
      <c r="AP20" t="s">
        <v>357</v>
      </c>
      <c r="AQ20">
        <v>8171.52</v>
      </c>
      <c r="AR20">
        <v>258.42599999999999</v>
      </c>
      <c r="AS20">
        <v>538.90725486390295</v>
      </c>
      <c r="AT20">
        <f t="shared" si="27"/>
        <v>0.52046294113211822</v>
      </c>
      <c r="AU20">
        <v>0.5</v>
      </c>
      <c r="AV20">
        <f t="shared" si="28"/>
        <v>505.19048685026331</v>
      </c>
      <c r="AW20">
        <f t="shared" si="29"/>
        <v>15.077920110963436</v>
      </c>
      <c r="AX20">
        <f t="shared" si="30"/>
        <v>131.46646330902738</v>
      </c>
      <c r="AY20">
        <f t="shared" si="31"/>
        <v>3.2157246418480355E-2</v>
      </c>
      <c r="AZ20">
        <f t="shared" si="32"/>
        <v>0.26047071250825227</v>
      </c>
      <c r="BA20">
        <f t="shared" si="33"/>
        <v>214.42339387887736</v>
      </c>
      <c r="BB20" t="s">
        <v>344</v>
      </c>
      <c r="BC20">
        <v>0</v>
      </c>
      <c r="BD20">
        <f t="shared" si="34"/>
        <v>214.42339387887736</v>
      </c>
      <c r="BE20">
        <f t="shared" si="35"/>
        <v>0.6021144789876165</v>
      </c>
      <c r="BF20">
        <f t="shared" si="36"/>
        <v>0.86439200400431238</v>
      </c>
      <c r="BG20">
        <f t="shared" si="37"/>
        <v>0.30196520306191665</v>
      </c>
      <c r="BH20">
        <f t="shared" si="38"/>
        <v>0.91878450408124612</v>
      </c>
      <c r="BI20">
        <f t="shared" si="39"/>
        <v>0.31498150097346028</v>
      </c>
      <c r="BJ20">
        <f t="shared" si="40"/>
        <v>0.71721060241759282</v>
      </c>
      <c r="BK20">
        <f t="shared" si="41"/>
        <v>0.28278939758240718</v>
      </c>
      <c r="BL20">
        <v>151</v>
      </c>
      <c r="BM20">
        <v>290</v>
      </c>
      <c r="BN20">
        <v>474.51</v>
      </c>
      <c r="BO20">
        <v>125</v>
      </c>
      <c r="BP20">
        <v>8171.52</v>
      </c>
      <c r="BQ20">
        <v>471.82</v>
      </c>
      <c r="BR20">
        <v>2.69</v>
      </c>
      <c r="BS20">
        <v>300</v>
      </c>
      <c r="BT20">
        <v>19.100000000000001</v>
      </c>
      <c r="BU20">
        <v>538.90725486390295</v>
      </c>
      <c r="BV20">
        <v>2.3025930765998299</v>
      </c>
      <c r="BW20">
        <v>-54.822722088996798</v>
      </c>
      <c r="BX20">
        <v>1.6973530572192901</v>
      </c>
      <c r="BY20">
        <v>0.97386163188481001</v>
      </c>
      <c r="BZ20">
        <v>-5.0027897664071197E-3</v>
      </c>
      <c r="CA20">
        <v>290</v>
      </c>
      <c r="CB20">
        <v>462.1</v>
      </c>
      <c r="CC20">
        <v>615</v>
      </c>
      <c r="CD20">
        <v>8161.07</v>
      </c>
      <c r="CE20">
        <v>471.73</v>
      </c>
      <c r="CF20">
        <v>-9.6300000000000008</v>
      </c>
      <c r="CT20">
        <f t="shared" si="42"/>
        <v>599.99339999999995</v>
      </c>
      <c r="CU20">
        <f t="shared" si="43"/>
        <v>505.19048685026331</v>
      </c>
      <c r="CV20">
        <f t="shared" si="44"/>
        <v>0.84199340667791234</v>
      </c>
      <c r="CW20">
        <f t="shared" si="45"/>
        <v>0.16344727488837088</v>
      </c>
      <c r="CX20">
        <v>2</v>
      </c>
      <c r="CY20">
        <v>0.5</v>
      </c>
      <c r="CZ20" t="s">
        <v>345</v>
      </c>
      <c r="DA20">
        <v>2</v>
      </c>
      <c r="DB20">
        <v>1792116840.0999999</v>
      </c>
      <c r="DC20">
        <v>400.03579999999999</v>
      </c>
      <c r="DD20">
        <v>406.5016</v>
      </c>
      <c r="DE20">
        <v>17.802420000000001</v>
      </c>
      <c r="DF20">
        <v>16.73554</v>
      </c>
      <c r="DG20">
        <v>400.85500000000002</v>
      </c>
      <c r="DH20">
        <v>17.971019999999999</v>
      </c>
      <c r="DI20">
        <v>499.99119999999999</v>
      </c>
      <c r="DJ20">
        <v>101.7684</v>
      </c>
      <c r="DK20">
        <v>9.9717239999999999E-2</v>
      </c>
      <c r="DL20">
        <v>25.658560000000001</v>
      </c>
      <c r="DM20">
        <v>24.9602</v>
      </c>
      <c r="DN20">
        <v>999.9</v>
      </c>
      <c r="DO20">
        <v>0</v>
      </c>
      <c r="DP20">
        <v>0</v>
      </c>
      <c r="DQ20">
        <v>10024.74</v>
      </c>
      <c r="DR20">
        <v>0</v>
      </c>
      <c r="DS20">
        <v>8.0135799999999993</v>
      </c>
      <c r="DT20">
        <v>599.99339999999995</v>
      </c>
      <c r="DU20">
        <v>0.93299900000000002</v>
      </c>
      <c r="DV20">
        <v>6.7001039999999998E-2</v>
      </c>
      <c r="DW20">
        <v>0</v>
      </c>
      <c r="DX20">
        <v>258.60019999999997</v>
      </c>
      <c r="DY20">
        <v>4.9999900000000004</v>
      </c>
      <c r="DZ20">
        <v>1514.9480000000001</v>
      </c>
      <c r="EA20">
        <v>5845.26</v>
      </c>
      <c r="EB20">
        <v>35.524799999999999</v>
      </c>
      <c r="EC20">
        <v>38</v>
      </c>
      <c r="ED20">
        <v>36.824599999999997</v>
      </c>
      <c r="EE20">
        <v>37.375</v>
      </c>
      <c r="EF20">
        <v>37.686999999999998</v>
      </c>
      <c r="EG20">
        <v>555.13</v>
      </c>
      <c r="EH20">
        <v>39.868000000000002</v>
      </c>
      <c r="EI20">
        <v>0</v>
      </c>
      <c r="EJ20">
        <v>126.69999980926499</v>
      </c>
      <c r="EK20">
        <v>0</v>
      </c>
      <c r="EL20">
        <v>258.42599999999999</v>
      </c>
      <c r="EM20">
        <v>1.47092305752237</v>
      </c>
      <c r="EN20">
        <v>1.07923079276449</v>
      </c>
      <c r="EO20">
        <v>1514.9584</v>
      </c>
      <c r="EP20">
        <v>15</v>
      </c>
      <c r="EQ20">
        <v>1792116244</v>
      </c>
      <c r="ER20" t="s">
        <v>346</v>
      </c>
      <c r="ES20">
        <v>1792116238</v>
      </c>
      <c r="ET20">
        <v>1792116244</v>
      </c>
      <c r="EU20">
        <v>14</v>
      </c>
      <c r="EV20">
        <v>5.0000000000000001E-3</v>
      </c>
      <c r="EW20">
        <v>5.0000000000000001E-3</v>
      </c>
      <c r="EX20">
        <v>-0.81499999999999995</v>
      </c>
      <c r="EY20">
        <v>-0.19400000000000001</v>
      </c>
      <c r="EZ20">
        <v>410</v>
      </c>
      <c r="FA20">
        <v>16</v>
      </c>
      <c r="FB20">
        <v>0.2</v>
      </c>
      <c r="FC20">
        <v>0.03</v>
      </c>
      <c r="FD20">
        <v>15.0699208030374</v>
      </c>
      <c r="FE20">
        <v>-0.373735523984006</v>
      </c>
      <c r="FF20">
        <v>0.111569140503689</v>
      </c>
      <c r="FG20">
        <v>1</v>
      </c>
      <c r="FH20">
        <v>-6.4708138095238104</v>
      </c>
      <c r="FI20">
        <v>0.14142857142857301</v>
      </c>
      <c r="FJ20">
        <v>4.3962925882545599E-2</v>
      </c>
      <c r="FK20">
        <v>1</v>
      </c>
      <c r="FL20">
        <v>258.35664705882402</v>
      </c>
      <c r="FM20">
        <v>0.812559200250626</v>
      </c>
      <c r="FN20">
        <v>0.294716901285138</v>
      </c>
      <c r="FO20">
        <v>-1</v>
      </c>
      <c r="FP20">
        <v>2</v>
      </c>
      <c r="FQ20">
        <v>2</v>
      </c>
      <c r="FR20" t="s">
        <v>351</v>
      </c>
      <c r="FS20">
        <v>100</v>
      </c>
      <c r="FT20">
        <v>100</v>
      </c>
      <c r="FU20">
        <v>-0.81899999999999995</v>
      </c>
      <c r="FV20">
        <v>-0.1686</v>
      </c>
      <c r="FW20">
        <v>-0.89432906888737596</v>
      </c>
      <c r="FX20">
        <v>-6.1673298426602905E-5</v>
      </c>
      <c r="FY20">
        <v>6.1939807181674203E-7</v>
      </c>
      <c r="FZ20">
        <v>3.19222985850634E-12</v>
      </c>
      <c r="GA20">
        <v>-9.4127185813927497E-2</v>
      </c>
      <c r="GB20">
        <v>-2.57783215012692E-2</v>
      </c>
      <c r="GC20">
        <v>1.33723821780375E-3</v>
      </c>
      <c r="GD20">
        <v>-7.42160749481374E-6</v>
      </c>
      <c r="GE20">
        <v>7</v>
      </c>
      <c r="GF20">
        <v>2154</v>
      </c>
      <c r="GG20">
        <v>2</v>
      </c>
      <c r="GH20">
        <v>20</v>
      </c>
      <c r="GI20">
        <v>10.1</v>
      </c>
      <c r="GJ20">
        <v>10</v>
      </c>
      <c r="GK20">
        <v>1.0534699999999999</v>
      </c>
      <c r="GL20">
        <v>2.6122999999999998</v>
      </c>
      <c r="GM20">
        <v>1.65161</v>
      </c>
      <c r="GN20">
        <v>2.2802699999999998</v>
      </c>
      <c r="GO20">
        <v>1.5979000000000001</v>
      </c>
      <c r="GP20">
        <v>2.5268600000000001</v>
      </c>
      <c r="GQ20">
        <v>31.2591</v>
      </c>
      <c r="GR20">
        <v>15.086399999999999</v>
      </c>
      <c r="GS20">
        <v>18</v>
      </c>
      <c r="GT20">
        <v>499.33600000000001</v>
      </c>
      <c r="GU20">
        <v>575.173</v>
      </c>
      <c r="GV20">
        <v>23.971499999999999</v>
      </c>
      <c r="GW20">
        <v>27.639299999999999</v>
      </c>
      <c r="GX20">
        <v>30</v>
      </c>
      <c r="GY20">
        <v>27.720300000000002</v>
      </c>
      <c r="GZ20">
        <v>27.770299999999999</v>
      </c>
      <c r="HA20">
        <v>21.067900000000002</v>
      </c>
      <c r="HB20">
        <v>28.868300000000001</v>
      </c>
      <c r="HC20">
        <v>86.641800000000003</v>
      </c>
      <c r="HD20">
        <v>23.9879</v>
      </c>
      <c r="HE20">
        <v>406.536</v>
      </c>
      <c r="HF20">
        <v>16.825700000000001</v>
      </c>
      <c r="HG20">
        <v>98.450299999999999</v>
      </c>
      <c r="HH20">
        <v>94.936400000000006</v>
      </c>
    </row>
    <row r="21" spans="1:216" x14ac:dyDescent="0.3">
      <c r="A21">
        <v>5</v>
      </c>
      <c r="B21">
        <v>1792116976.0999999</v>
      </c>
      <c r="C21">
        <v>507.09999990463302</v>
      </c>
      <c r="D21" t="s">
        <v>358</v>
      </c>
      <c r="E21" t="s">
        <v>359</v>
      </c>
      <c r="F21">
        <v>5</v>
      </c>
      <c r="G21">
        <v>1792116972.5999999</v>
      </c>
      <c r="H21">
        <f t="shared" si="0"/>
        <v>2.4386625705032487E-3</v>
      </c>
      <c r="I21">
        <f t="shared" si="1"/>
        <v>2.4386625705032485</v>
      </c>
      <c r="J21">
        <f t="shared" si="2"/>
        <v>12.115631897072921</v>
      </c>
      <c r="K21">
        <f t="shared" si="3"/>
        <v>400.01266666666697</v>
      </c>
      <c r="L21">
        <f t="shared" si="4"/>
        <v>283.75638324745358</v>
      </c>
      <c r="M21">
        <f t="shared" si="5"/>
        <v>28.90551634025196</v>
      </c>
      <c r="N21">
        <f t="shared" si="6"/>
        <v>40.748238120013696</v>
      </c>
      <c r="O21">
        <f t="shared" si="7"/>
        <v>0.1833131073824377</v>
      </c>
      <c r="P21">
        <f t="shared" si="8"/>
        <v>3.0434869895472545</v>
      </c>
      <c r="Q21">
        <f t="shared" si="9"/>
        <v>0.17739270044705893</v>
      </c>
      <c r="R21">
        <f t="shared" si="10"/>
        <v>0.1113864344417867</v>
      </c>
      <c r="S21">
        <f t="shared" si="11"/>
        <v>66.123491375138329</v>
      </c>
      <c r="T21">
        <f t="shared" si="12"/>
        <v>25.545829567458867</v>
      </c>
      <c r="U21">
        <f t="shared" si="13"/>
        <v>25.022016666666701</v>
      </c>
      <c r="V21">
        <f t="shared" si="14"/>
        <v>3.183853672702003</v>
      </c>
      <c r="W21">
        <f t="shared" si="15"/>
        <v>54.574512128759423</v>
      </c>
      <c r="X21">
        <f t="shared" si="16"/>
        <v>1.8178367910434299</v>
      </c>
      <c r="Y21">
        <f t="shared" si="17"/>
        <v>3.3309263246450072</v>
      </c>
      <c r="Z21">
        <f t="shared" si="18"/>
        <v>1.3660168816585732</v>
      </c>
      <c r="AA21">
        <f t="shared" si="19"/>
        <v>-107.54501935919326</v>
      </c>
      <c r="AB21">
        <f t="shared" si="20"/>
        <v>124.65740284899776</v>
      </c>
      <c r="AC21">
        <f t="shared" si="21"/>
        <v>8.6988775178099882</v>
      </c>
      <c r="AD21">
        <f t="shared" si="22"/>
        <v>91.934752382752819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54136.442470820104</v>
      </c>
      <c r="AJ21" t="s">
        <v>342</v>
      </c>
      <c r="AK21">
        <v>8121.87</v>
      </c>
      <c r="AL21">
        <v>233.63300000000001</v>
      </c>
      <c r="AM21">
        <v>679.27681151417005</v>
      </c>
      <c r="AN21">
        <f t="shared" si="26"/>
        <v>0.65605627037494374</v>
      </c>
      <c r="AO21">
        <v>-1.16761486295254</v>
      </c>
      <c r="AP21" t="s">
        <v>360</v>
      </c>
      <c r="AQ21">
        <v>8168.48</v>
      </c>
      <c r="AR21">
        <v>273.83457692307701</v>
      </c>
      <c r="AS21">
        <v>703.77097254280102</v>
      </c>
      <c r="AT21">
        <f t="shared" si="27"/>
        <v>0.61090384854367763</v>
      </c>
      <c r="AU21">
        <v>0.5</v>
      </c>
      <c r="AV21">
        <f t="shared" si="28"/>
        <v>337.16624299229989</v>
      </c>
      <c r="AW21">
        <f t="shared" si="29"/>
        <v>12.115631897072921</v>
      </c>
      <c r="AX21">
        <f t="shared" si="30"/>
        <v>102.98807772150438</v>
      </c>
      <c r="AY21">
        <f t="shared" si="31"/>
        <v>3.9396727982429783E-2</v>
      </c>
      <c r="AZ21">
        <f t="shared" si="32"/>
        <v>-3.4804164968797881E-2</v>
      </c>
      <c r="BA21">
        <f t="shared" si="33"/>
        <v>236.46362908900477</v>
      </c>
      <c r="BB21" t="s">
        <v>344</v>
      </c>
      <c r="BC21">
        <v>0</v>
      </c>
      <c r="BD21">
        <f t="shared" si="34"/>
        <v>236.46362908900477</v>
      </c>
      <c r="BE21">
        <f t="shared" si="35"/>
        <v>0.66400485624657701</v>
      </c>
      <c r="BF21">
        <f t="shared" si="36"/>
        <v>0.92002918773356024</v>
      </c>
      <c r="BG21">
        <f t="shared" si="37"/>
        <v>-5.5314886730524204E-2</v>
      </c>
      <c r="BH21">
        <f t="shared" si="38"/>
        <v>0.91448983219619207</v>
      </c>
      <c r="BI21">
        <f t="shared" si="39"/>
        <v>-5.4963539032230307E-2</v>
      </c>
      <c r="BJ21">
        <f t="shared" si="40"/>
        <v>0.79447030774495631</v>
      </c>
      <c r="BK21">
        <f t="shared" si="41"/>
        <v>0.20552969225504369</v>
      </c>
      <c r="BL21">
        <v>152</v>
      </c>
      <c r="BM21">
        <v>290</v>
      </c>
      <c r="BN21">
        <v>618.79999999999995</v>
      </c>
      <c r="BO21">
        <v>105</v>
      </c>
      <c r="BP21">
        <v>8168.48</v>
      </c>
      <c r="BQ21">
        <v>616.95000000000005</v>
      </c>
      <c r="BR21">
        <v>1.85</v>
      </c>
      <c r="BS21">
        <v>300</v>
      </c>
      <c r="BT21">
        <v>19.100000000000001</v>
      </c>
      <c r="BU21">
        <v>703.77097254280102</v>
      </c>
      <c r="BV21">
        <v>2.7443258824338499</v>
      </c>
      <c r="BW21">
        <v>-70.922727533429295</v>
      </c>
      <c r="BX21">
        <v>2.0155984461992098</v>
      </c>
      <c r="BY21">
        <v>0.97788519702418697</v>
      </c>
      <c r="BZ21">
        <v>-5.1353982202447203E-3</v>
      </c>
      <c r="CA21">
        <v>290</v>
      </c>
      <c r="CB21">
        <v>602.44000000000005</v>
      </c>
      <c r="CC21">
        <v>625</v>
      </c>
      <c r="CD21">
        <v>8155.88</v>
      </c>
      <c r="CE21">
        <v>616.80999999999995</v>
      </c>
      <c r="CF21">
        <v>-14.37</v>
      </c>
      <c r="CT21">
        <f t="shared" si="42"/>
        <v>399.97766666666701</v>
      </c>
      <c r="CU21">
        <f t="shared" si="43"/>
        <v>337.16624299229989</v>
      </c>
      <c r="CV21">
        <f t="shared" si="44"/>
        <v>0.84296267289665239</v>
      </c>
      <c r="CW21">
        <f t="shared" si="45"/>
        <v>0.16531795869053922</v>
      </c>
      <c r="CX21">
        <v>2</v>
      </c>
      <c r="CY21">
        <v>0.5</v>
      </c>
      <c r="CZ21" t="s">
        <v>345</v>
      </c>
      <c r="DA21">
        <v>2</v>
      </c>
      <c r="DB21">
        <v>1792116972.5999999</v>
      </c>
      <c r="DC21">
        <v>400.01266666666697</v>
      </c>
      <c r="DD21">
        <v>405.24916666666701</v>
      </c>
      <c r="DE21">
        <v>17.845133333333301</v>
      </c>
      <c r="DF21">
        <v>16.887066666666701</v>
      </c>
      <c r="DG21">
        <v>400.83183333333301</v>
      </c>
      <c r="DH21">
        <v>18.013083333333299</v>
      </c>
      <c r="DI21">
        <v>499.99533333333301</v>
      </c>
      <c r="DJ21">
        <v>101.7675</v>
      </c>
      <c r="DK21">
        <v>9.98695E-2</v>
      </c>
      <c r="DL21">
        <v>25.781749999999999</v>
      </c>
      <c r="DM21">
        <v>25.022016666666701</v>
      </c>
      <c r="DN21">
        <v>999.9</v>
      </c>
      <c r="DO21">
        <v>0</v>
      </c>
      <c r="DP21">
        <v>0</v>
      </c>
      <c r="DQ21">
        <v>10020.3166666667</v>
      </c>
      <c r="DR21">
        <v>0</v>
      </c>
      <c r="DS21">
        <v>7.9612049999999996</v>
      </c>
      <c r="DT21">
        <v>399.97766666666701</v>
      </c>
      <c r="DU21">
        <v>0.89999233333333295</v>
      </c>
      <c r="DV21">
        <v>0.10000761666666701</v>
      </c>
      <c r="DW21">
        <v>0</v>
      </c>
      <c r="DX21">
        <v>273.817833333333</v>
      </c>
      <c r="DY21">
        <v>4.9999900000000004</v>
      </c>
      <c r="DZ21">
        <v>1073.0350000000001</v>
      </c>
      <c r="EA21">
        <v>3837.6516666666698</v>
      </c>
      <c r="EB21">
        <v>36.686999999999998</v>
      </c>
      <c r="EC21">
        <v>40.780999999999999</v>
      </c>
      <c r="ED21">
        <v>38.5</v>
      </c>
      <c r="EE21">
        <v>41.260166666666699</v>
      </c>
      <c r="EF21">
        <v>39.561999999999998</v>
      </c>
      <c r="EG21">
        <v>355.47666666666697</v>
      </c>
      <c r="EH21">
        <v>39.5</v>
      </c>
      <c r="EI21">
        <v>0</v>
      </c>
      <c r="EJ21">
        <v>131.59999990463299</v>
      </c>
      <c r="EK21">
        <v>0</v>
      </c>
      <c r="EL21">
        <v>273.83457692307701</v>
      </c>
      <c r="EM21">
        <v>0.70820511370237105</v>
      </c>
      <c r="EN21">
        <v>7.2205128415984703</v>
      </c>
      <c r="EO21">
        <v>1072.64538461538</v>
      </c>
      <c r="EP21">
        <v>15</v>
      </c>
      <c r="EQ21">
        <v>1792116244</v>
      </c>
      <c r="ER21" t="s">
        <v>346</v>
      </c>
      <c r="ES21">
        <v>1792116238</v>
      </c>
      <c r="ET21">
        <v>1792116244</v>
      </c>
      <c r="EU21">
        <v>14</v>
      </c>
      <c r="EV21">
        <v>5.0000000000000001E-3</v>
      </c>
      <c r="EW21">
        <v>5.0000000000000001E-3</v>
      </c>
      <c r="EX21">
        <v>-0.81499999999999995</v>
      </c>
      <c r="EY21">
        <v>-0.19400000000000001</v>
      </c>
      <c r="EZ21">
        <v>410</v>
      </c>
      <c r="FA21">
        <v>16</v>
      </c>
      <c r="FB21">
        <v>0.2</v>
      </c>
      <c r="FC21">
        <v>0.03</v>
      </c>
      <c r="FD21">
        <v>12.1439223732883</v>
      </c>
      <c r="FE21">
        <v>-0.29562813795741699</v>
      </c>
      <c r="FF21">
        <v>7.2652124642319502E-2</v>
      </c>
      <c r="FG21">
        <v>1</v>
      </c>
      <c r="FH21">
        <v>-5.2471414999999997</v>
      </c>
      <c r="FI21">
        <v>5.44416541353464E-2</v>
      </c>
      <c r="FJ21">
        <v>2.37724721631975E-2</v>
      </c>
      <c r="FK21">
        <v>1</v>
      </c>
      <c r="FL21">
        <v>273.79088235294103</v>
      </c>
      <c r="FM21">
        <v>0.581482040670802</v>
      </c>
      <c r="FN21">
        <v>0.25489337617520202</v>
      </c>
      <c r="FO21">
        <v>-1</v>
      </c>
      <c r="FP21">
        <v>2</v>
      </c>
      <c r="FQ21">
        <v>2</v>
      </c>
      <c r="FR21" t="s">
        <v>351</v>
      </c>
      <c r="FS21">
        <v>100</v>
      </c>
      <c r="FT21">
        <v>100</v>
      </c>
      <c r="FU21">
        <v>-0.82</v>
      </c>
      <c r="FV21">
        <v>-0.16800000000000001</v>
      </c>
      <c r="FW21">
        <v>-0.89432906888737596</v>
      </c>
      <c r="FX21">
        <v>-6.1673298426602905E-5</v>
      </c>
      <c r="FY21">
        <v>6.1939807181674203E-7</v>
      </c>
      <c r="FZ21">
        <v>3.19222985850634E-12</v>
      </c>
      <c r="GA21">
        <v>-9.4127185813927497E-2</v>
      </c>
      <c r="GB21">
        <v>-2.57783215012692E-2</v>
      </c>
      <c r="GC21">
        <v>1.33723821780375E-3</v>
      </c>
      <c r="GD21">
        <v>-7.42160749481374E-6</v>
      </c>
      <c r="GE21">
        <v>7</v>
      </c>
      <c r="GF21">
        <v>2154</v>
      </c>
      <c r="GG21">
        <v>2</v>
      </c>
      <c r="GH21">
        <v>20</v>
      </c>
      <c r="GI21">
        <v>12.3</v>
      </c>
      <c r="GJ21">
        <v>12.2</v>
      </c>
      <c r="GK21">
        <v>1.0510299999999999</v>
      </c>
      <c r="GL21">
        <v>2.6147499999999999</v>
      </c>
      <c r="GM21">
        <v>1.65161</v>
      </c>
      <c r="GN21">
        <v>2.2790499999999998</v>
      </c>
      <c r="GO21">
        <v>1.5979000000000001</v>
      </c>
      <c r="GP21">
        <v>2.5781200000000002</v>
      </c>
      <c r="GQ21">
        <v>31.302600000000002</v>
      </c>
      <c r="GR21">
        <v>15.0777</v>
      </c>
      <c r="GS21">
        <v>18</v>
      </c>
      <c r="GT21">
        <v>499.464</v>
      </c>
      <c r="GU21">
        <v>574.69899999999996</v>
      </c>
      <c r="GV21">
        <v>24.194199999999999</v>
      </c>
      <c r="GW21">
        <v>27.6721</v>
      </c>
      <c r="GX21">
        <v>30.0001</v>
      </c>
      <c r="GY21">
        <v>27.752400000000002</v>
      </c>
      <c r="GZ21">
        <v>27.802600000000002</v>
      </c>
      <c r="HA21">
        <v>21.020099999999999</v>
      </c>
      <c r="HB21">
        <v>28.5932</v>
      </c>
      <c r="HC21">
        <v>86.271199999999993</v>
      </c>
      <c r="HD21">
        <v>24.200500000000002</v>
      </c>
      <c r="HE21">
        <v>405.29</v>
      </c>
      <c r="HF21">
        <v>17.019500000000001</v>
      </c>
      <c r="HG21">
        <v>98.441699999999997</v>
      </c>
      <c r="HH21">
        <v>94.9268</v>
      </c>
    </row>
    <row r="22" spans="1:216" x14ac:dyDescent="0.3">
      <c r="A22">
        <v>6</v>
      </c>
      <c r="B22">
        <v>1792117110.0999999</v>
      </c>
      <c r="C22">
        <v>641.09999990463302</v>
      </c>
      <c r="D22" t="s">
        <v>361</v>
      </c>
      <c r="E22" t="s">
        <v>362</v>
      </c>
      <c r="F22">
        <v>5</v>
      </c>
      <c r="G22">
        <v>1792117107.0999999</v>
      </c>
      <c r="H22">
        <f t="shared" si="0"/>
        <v>2.1610678223429208E-3</v>
      </c>
      <c r="I22">
        <f t="shared" si="1"/>
        <v>2.1610678223429209</v>
      </c>
      <c r="J22">
        <f t="shared" si="2"/>
        <v>7.3897350339037935</v>
      </c>
      <c r="K22">
        <f t="shared" si="3"/>
        <v>399.98759999999999</v>
      </c>
      <c r="L22">
        <f t="shared" si="4"/>
        <v>318.50382551155008</v>
      </c>
      <c r="M22">
        <f t="shared" si="5"/>
        <v>32.445245680435271</v>
      </c>
      <c r="N22">
        <f t="shared" si="6"/>
        <v>40.74580872077172</v>
      </c>
      <c r="O22">
        <f t="shared" si="7"/>
        <v>0.16446136798715388</v>
      </c>
      <c r="P22">
        <f t="shared" si="8"/>
        <v>3.0433999322507148</v>
      </c>
      <c r="Q22">
        <f t="shared" si="9"/>
        <v>0.15967881402809211</v>
      </c>
      <c r="R22">
        <f t="shared" si="10"/>
        <v>0.1002173676332638</v>
      </c>
      <c r="S22">
        <f t="shared" si="11"/>
        <v>33.059661040700952</v>
      </c>
      <c r="T22">
        <f t="shared" si="12"/>
        <v>25.463485325218674</v>
      </c>
      <c r="U22">
        <f t="shared" si="13"/>
        <v>25.001359999999998</v>
      </c>
      <c r="V22">
        <f t="shared" si="14"/>
        <v>3.1799354136156248</v>
      </c>
      <c r="W22">
        <f t="shared" si="15"/>
        <v>54.977895120230023</v>
      </c>
      <c r="X22">
        <f t="shared" si="16"/>
        <v>1.8352114451105082</v>
      </c>
      <c r="Y22">
        <f t="shared" si="17"/>
        <v>3.3380896833120333</v>
      </c>
      <c r="Z22">
        <f t="shared" si="18"/>
        <v>1.3447239685051167</v>
      </c>
      <c r="AA22">
        <f t="shared" si="19"/>
        <v>-95.303090965322809</v>
      </c>
      <c r="AB22">
        <f t="shared" si="20"/>
        <v>133.99084264973538</v>
      </c>
      <c r="AC22">
        <f t="shared" si="21"/>
        <v>9.351188973127579</v>
      </c>
      <c r="AD22">
        <f t="shared" si="22"/>
        <v>81.098601698241112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54127.151904086189</v>
      </c>
      <c r="AJ22" t="s">
        <v>342</v>
      </c>
      <c r="AK22">
        <v>8121.87</v>
      </c>
      <c r="AL22">
        <v>233.63300000000001</v>
      </c>
      <c r="AM22">
        <v>679.27681151417005</v>
      </c>
      <c r="AN22">
        <f t="shared" si="26"/>
        <v>0.65605627037494374</v>
      </c>
      <c r="AO22">
        <v>-1.16761486295254</v>
      </c>
      <c r="AP22" t="s">
        <v>363</v>
      </c>
      <c r="AQ22">
        <v>8150.38</v>
      </c>
      <c r="AR22">
        <v>264.96823999999998</v>
      </c>
      <c r="AS22">
        <v>824.79218279471104</v>
      </c>
      <c r="AT22">
        <f t="shared" si="27"/>
        <v>0.67874545185165758</v>
      </c>
      <c r="AU22">
        <v>0.5</v>
      </c>
      <c r="AV22">
        <f t="shared" si="28"/>
        <v>168.6407830469953</v>
      </c>
      <c r="AW22">
        <f t="shared" si="29"/>
        <v>7.3897350339037935</v>
      </c>
      <c r="AX22">
        <f t="shared" si="30"/>
        <v>57.232082244925088</v>
      </c>
      <c r="AY22">
        <f t="shared" si="31"/>
        <v>5.0743063108712252E-2</v>
      </c>
      <c r="AZ22">
        <f t="shared" si="32"/>
        <v>-0.17642671004407354</v>
      </c>
      <c r="BA22">
        <f t="shared" si="33"/>
        <v>248.72590178847079</v>
      </c>
      <c r="BB22" t="s">
        <v>344</v>
      </c>
      <c r="BC22">
        <v>0</v>
      </c>
      <c r="BD22">
        <f t="shared" si="34"/>
        <v>248.72590178847079</v>
      </c>
      <c r="BE22">
        <f t="shared" si="35"/>
        <v>0.69843809510209898</v>
      </c>
      <c r="BF22">
        <f t="shared" si="36"/>
        <v>0.97180474062262756</v>
      </c>
      <c r="BG22">
        <f t="shared" si="37"/>
        <v>-0.33797483176437304</v>
      </c>
      <c r="BH22">
        <f t="shared" si="38"/>
        <v>0.94699356634897836</v>
      </c>
      <c r="BI22">
        <f t="shared" si="39"/>
        <v>-0.32652842364425849</v>
      </c>
      <c r="BJ22">
        <f t="shared" si="40"/>
        <v>0.91223389819728584</v>
      </c>
      <c r="BK22">
        <f t="shared" si="41"/>
        <v>8.7766101802714158E-2</v>
      </c>
      <c r="BL22">
        <v>153</v>
      </c>
      <c r="BM22">
        <v>290</v>
      </c>
      <c r="BN22">
        <v>769.18</v>
      </c>
      <c r="BO22">
        <v>195</v>
      </c>
      <c r="BP22">
        <v>8150.38</v>
      </c>
      <c r="BQ22">
        <v>767.62</v>
      </c>
      <c r="BR22">
        <v>1.56</v>
      </c>
      <c r="BS22">
        <v>300</v>
      </c>
      <c r="BT22">
        <v>19.100000000000001</v>
      </c>
      <c r="BU22">
        <v>824.79218279471104</v>
      </c>
      <c r="BV22">
        <v>2.1204709924796901</v>
      </c>
      <c r="BW22">
        <v>-46.598050915156399</v>
      </c>
      <c r="BX22">
        <v>1.5502246453623301</v>
      </c>
      <c r="BY22">
        <v>0.96994216867047101</v>
      </c>
      <c r="BZ22">
        <v>-5.2594057842046699E-3</v>
      </c>
      <c r="CA22">
        <v>290</v>
      </c>
      <c r="CB22">
        <v>760.55</v>
      </c>
      <c r="CC22">
        <v>615</v>
      </c>
      <c r="CD22">
        <v>8143.28</v>
      </c>
      <c r="CE22">
        <v>767.57</v>
      </c>
      <c r="CF22">
        <v>-7.02</v>
      </c>
      <c r="CT22">
        <f t="shared" si="42"/>
        <v>200.06639999999999</v>
      </c>
      <c r="CU22">
        <f t="shared" si="43"/>
        <v>168.6407830469953</v>
      </c>
      <c r="CV22">
        <f t="shared" si="44"/>
        <v>0.84292406444558066</v>
      </c>
      <c r="CW22">
        <f t="shared" si="45"/>
        <v>0.16524344437997063</v>
      </c>
      <c r="CX22">
        <v>2</v>
      </c>
      <c r="CY22">
        <v>0.5</v>
      </c>
      <c r="CZ22" t="s">
        <v>345</v>
      </c>
      <c r="DA22">
        <v>2</v>
      </c>
      <c r="DB22">
        <v>1792117107.0999999</v>
      </c>
      <c r="DC22">
        <v>399.98759999999999</v>
      </c>
      <c r="DD22">
        <v>403.28919999999999</v>
      </c>
      <c r="DE22">
        <v>18.015640000000001</v>
      </c>
      <c r="DF22">
        <v>17.166799999999999</v>
      </c>
      <c r="DG22">
        <v>400.84980000000002</v>
      </c>
      <c r="DH22">
        <v>18.184979999999999</v>
      </c>
      <c r="DI22">
        <v>500.00819999999999</v>
      </c>
      <c r="DJ22">
        <v>101.76779999999999</v>
      </c>
      <c r="DK22">
        <v>9.9879700000000002E-2</v>
      </c>
      <c r="DL22">
        <v>25.818000000000001</v>
      </c>
      <c r="DM22">
        <v>25.001359999999998</v>
      </c>
      <c r="DN22">
        <v>999.9</v>
      </c>
      <c r="DO22">
        <v>0</v>
      </c>
      <c r="DP22">
        <v>0</v>
      </c>
      <c r="DQ22">
        <v>10019.76</v>
      </c>
      <c r="DR22">
        <v>0</v>
      </c>
      <c r="DS22">
        <v>8.2987420000000007</v>
      </c>
      <c r="DT22">
        <v>200.06639999999999</v>
      </c>
      <c r="DU22">
        <v>0.90003239999999995</v>
      </c>
      <c r="DV22">
        <v>9.9967840000000002E-2</v>
      </c>
      <c r="DW22">
        <v>0</v>
      </c>
      <c r="DX22">
        <v>264.93439999999998</v>
      </c>
      <c r="DY22">
        <v>4.9999900000000004</v>
      </c>
      <c r="DZ22">
        <v>518.19680000000005</v>
      </c>
      <c r="EA22">
        <v>1895.32</v>
      </c>
      <c r="EB22">
        <v>35.787199999999999</v>
      </c>
      <c r="EC22">
        <v>38.899799999999999</v>
      </c>
      <c r="ED22">
        <v>37.5124</v>
      </c>
      <c r="EE22">
        <v>38.599800000000002</v>
      </c>
      <c r="EF22">
        <v>38.186999999999998</v>
      </c>
      <c r="EG22">
        <v>175.56399999999999</v>
      </c>
      <c r="EH22">
        <v>19.5</v>
      </c>
      <c r="EI22">
        <v>0</v>
      </c>
      <c r="EJ22">
        <v>133.09999990463299</v>
      </c>
      <c r="EK22">
        <v>0</v>
      </c>
      <c r="EL22">
        <v>264.96823999999998</v>
      </c>
      <c r="EM22">
        <v>-0.89453847438159395</v>
      </c>
      <c r="EN22">
        <v>-5.1400769378003996</v>
      </c>
      <c r="EO22">
        <v>518.32799999999997</v>
      </c>
      <c r="EP22">
        <v>15</v>
      </c>
      <c r="EQ22">
        <v>1792117045.0999999</v>
      </c>
      <c r="ER22" t="s">
        <v>364</v>
      </c>
      <c r="ES22">
        <v>1792117045.0999999</v>
      </c>
      <c r="ET22">
        <v>1792117041.0999999</v>
      </c>
      <c r="EU22">
        <v>15</v>
      </c>
      <c r="EV22">
        <v>-4.2999999999999997E-2</v>
      </c>
      <c r="EW22">
        <v>-4.0000000000000001E-3</v>
      </c>
      <c r="EX22">
        <v>-0.86099999999999999</v>
      </c>
      <c r="EY22">
        <v>-0.182</v>
      </c>
      <c r="EZ22">
        <v>403</v>
      </c>
      <c r="FA22">
        <v>17</v>
      </c>
      <c r="FB22">
        <v>0.25</v>
      </c>
      <c r="FC22">
        <v>7.0000000000000007E-2</v>
      </c>
      <c r="FD22">
        <v>7.4328120133685296</v>
      </c>
      <c r="FE22">
        <v>0.43437516309838398</v>
      </c>
      <c r="FF22">
        <v>8.1336691976684597E-2</v>
      </c>
      <c r="FG22">
        <v>1</v>
      </c>
      <c r="FH22">
        <v>-3.3252220000000001</v>
      </c>
      <c r="FI22">
        <v>-6.0481804511283099E-2</v>
      </c>
      <c r="FJ22">
        <v>2.8617082940090102E-2</v>
      </c>
      <c r="FK22">
        <v>1</v>
      </c>
      <c r="FL22">
        <v>265.07323529411798</v>
      </c>
      <c r="FM22">
        <v>-1.9461268194844099</v>
      </c>
      <c r="FN22">
        <v>0.31907062272126502</v>
      </c>
      <c r="FO22">
        <v>-1</v>
      </c>
      <c r="FP22">
        <v>2</v>
      </c>
      <c r="FQ22">
        <v>2</v>
      </c>
      <c r="FR22" t="s">
        <v>351</v>
      </c>
      <c r="FS22">
        <v>100</v>
      </c>
      <c r="FT22">
        <v>100</v>
      </c>
      <c r="FU22">
        <v>-0.86299999999999999</v>
      </c>
      <c r="FV22">
        <v>-0.16930000000000001</v>
      </c>
      <c r="FW22">
        <v>-0.93722428832063898</v>
      </c>
      <c r="FX22">
        <v>-6.1673298426602905E-5</v>
      </c>
      <c r="FY22">
        <v>6.1939807181674203E-7</v>
      </c>
      <c r="FZ22">
        <v>3.19222985850634E-12</v>
      </c>
      <c r="GA22">
        <v>-9.8150047744837807E-2</v>
      </c>
      <c r="GB22">
        <v>-2.57783215012692E-2</v>
      </c>
      <c r="GC22">
        <v>1.33723821780375E-3</v>
      </c>
      <c r="GD22">
        <v>-7.42160749481374E-6</v>
      </c>
      <c r="GE22">
        <v>7</v>
      </c>
      <c r="GF22">
        <v>2154</v>
      </c>
      <c r="GG22">
        <v>2</v>
      </c>
      <c r="GH22">
        <v>20</v>
      </c>
      <c r="GI22">
        <v>1.1000000000000001</v>
      </c>
      <c r="GJ22">
        <v>1.1000000000000001</v>
      </c>
      <c r="GK22">
        <v>1.0473600000000001</v>
      </c>
      <c r="GL22">
        <v>2.6184099999999999</v>
      </c>
      <c r="GM22">
        <v>1.65161</v>
      </c>
      <c r="GN22">
        <v>2.2790499999999998</v>
      </c>
      <c r="GO22">
        <v>1.5979000000000001</v>
      </c>
      <c r="GP22">
        <v>2.4670399999999999</v>
      </c>
      <c r="GQ22">
        <v>31.367999999999999</v>
      </c>
      <c r="GR22">
        <v>15.051399999999999</v>
      </c>
      <c r="GS22">
        <v>18</v>
      </c>
      <c r="GT22">
        <v>499.38799999999998</v>
      </c>
      <c r="GU22">
        <v>574.50599999999997</v>
      </c>
      <c r="GV22">
        <v>24.282900000000001</v>
      </c>
      <c r="GW22">
        <v>27.709800000000001</v>
      </c>
      <c r="GX22">
        <v>30</v>
      </c>
      <c r="GY22">
        <v>27.786999999999999</v>
      </c>
      <c r="GZ22">
        <v>27.8371</v>
      </c>
      <c r="HA22">
        <v>20.9483</v>
      </c>
      <c r="HB22">
        <v>27.9099</v>
      </c>
      <c r="HC22">
        <v>86.271199999999993</v>
      </c>
      <c r="HD22">
        <v>24.285599999999999</v>
      </c>
      <c r="HE22">
        <v>403.38200000000001</v>
      </c>
      <c r="HF22">
        <v>17.127500000000001</v>
      </c>
      <c r="HG22">
        <v>98.436599999999999</v>
      </c>
      <c r="HH22">
        <v>94.922200000000004</v>
      </c>
    </row>
    <row r="23" spans="1:216" x14ac:dyDescent="0.3">
      <c r="A23">
        <v>7</v>
      </c>
      <c r="B23">
        <v>1792117233.0999999</v>
      </c>
      <c r="C23">
        <v>764.09999990463302</v>
      </c>
      <c r="D23" t="s">
        <v>365</v>
      </c>
      <c r="E23" t="s">
        <v>366</v>
      </c>
      <c r="F23">
        <v>5</v>
      </c>
      <c r="G23">
        <v>1792117229.5999999</v>
      </c>
      <c r="H23">
        <f t="shared" si="0"/>
        <v>1.8291428477909834E-3</v>
      </c>
      <c r="I23">
        <f t="shared" si="1"/>
        <v>1.8291428477909835</v>
      </c>
      <c r="J23">
        <f t="shared" si="2"/>
        <v>3.1199866867052872</v>
      </c>
      <c r="K23">
        <f t="shared" si="3"/>
        <v>400.017</v>
      </c>
      <c r="L23">
        <f t="shared" si="4"/>
        <v>354.997385703563</v>
      </c>
      <c r="M23">
        <f t="shared" si="5"/>
        <v>36.16289065572559</v>
      </c>
      <c r="N23">
        <f t="shared" si="6"/>
        <v>40.748950876812593</v>
      </c>
      <c r="O23">
        <f t="shared" si="7"/>
        <v>0.13835286090617327</v>
      </c>
      <c r="P23">
        <f t="shared" si="8"/>
        <v>3.0394457364870973</v>
      </c>
      <c r="Q23">
        <f t="shared" si="9"/>
        <v>0.13494703419237669</v>
      </c>
      <c r="R23">
        <f t="shared" si="10"/>
        <v>8.4640913256365941E-2</v>
      </c>
      <c r="S23">
        <f t="shared" si="11"/>
        <v>16.514803862037304</v>
      </c>
      <c r="T23">
        <f t="shared" si="12"/>
        <v>25.390865048505255</v>
      </c>
      <c r="U23">
        <f t="shared" si="13"/>
        <v>24.99765</v>
      </c>
      <c r="V23">
        <f t="shared" si="14"/>
        <v>3.1792321289524805</v>
      </c>
      <c r="W23">
        <f t="shared" si="15"/>
        <v>55.094206407831003</v>
      </c>
      <c r="X23">
        <f t="shared" si="16"/>
        <v>1.8324245152367598</v>
      </c>
      <c r="Y23">
        <f t="shared" si="17"/>
        <v>3.3259840457132017</v>
      </c>
      <c r="Z23">
        <f t="shared" si="18"/>
        <v>1.3468076137157208</v>
      </c>
      <c r="AA23">
        <f t="shared" si="19"/>
        <v>-80.665199587582364</v>
      </c>
      <c r="AB23">
        <f t="shared" si="20"/>
        <v>124.37990542595573</v>
      </c>
      <c r="AC23">
        <f t="shared" si="21"/>
        <v>8.6888946539983802</v>
      </c>
      <c r="AD23">
        <f t="shared" si="22"/>
        <v>68.918404354409049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54014.35230922552</v>
      </c>
      <c r="AJ23" t="s">
        <v>342</v>
      </c>
      <c r="AK23">
        <v>8121.87</v>
      </c>
      <c r="AL23">
        <v>233.63300000000001</v>
      </c>
      <c r="AM23">
        <v>679.27681151417005</v>
      </c>
      <c r="AN23">
        <f t="shared" si="26"/>
        <v>0.65605627037494374</v>
      </c>
      <c r="AO23">
        <v>-1.16761486295254</v>
      </c>
      <c r="AP23" t="s">
        <v>367</v>
      </c>
      <c r="AQ23">
        <v>8138.18</v>
      </c>
      <c r="AR23">
        <v>252.27500000000001</v>
      </c>
      <c r="AS23">
        <v>881.39202294110305</v>
      </c>
      <c r="AT23">
        <f t="shared" si="27"/>
        <v>0.71377662443757139</v>
      </c>
      <c r="AU23">
        <v>0.5</v>
      </c>
      <c r="AV23">
        <f t="shared" si="28"/>
        <v>84.312681420744724</v>
      </c>
      <c r="AW23">
        <f t="shared" si="29"/>
        <v>3.1199866867052872</v>
      </c>
      <c r="AX23">
        <f t="shared" si="30"/>
        <v>30.090210570889756</v>
      </c>
      <c r="AY23">
        <f t="shared" si="31"/>
        <v>5.0853578339674105E-2</v>
      </c>
      <c r="AZ23">
        <f t="shared" si="32"/>
        <v>-0.22931363816125538</v>
      </c>
      <c r="BA23">
        <f t="shared" si="33"/>
        <v>253.63765221481688</v>
      </c>
      <c r="BB23" t="s">
        <v>344</v>
      </c>
      <c r="BC23">
        <v>0</v>
      </c>
      <c r="BD23">
        <f t="shared" si="34"/>
        <v>253.63765221481688</v>
      </c>
      <c r="BE23">
        <f t="shared" si="35"/>
        <v>0.7122306015790143</v>
      </c>
      <c r="BF23">
        <f t="shared" si="36"/>
        <v>1.0021706773833217</v>
      </c>
      <c r="BG23">
        <f t="shared" si="37"/>
        <v>-0.47485107281866612</v>
      </c>
      <c r="BH23">
        <f t="shared" si="38"/>
        <v>0.97122077911727533</v>
      </c>
      <c r="BI23">
        <f t="shared" si="39"/>
        <v>-0.4535353262063786</v>
      </c>
      <c r="BJ23">
        <f t="shared" si="40"/>
        <v>1.0075838578140457</v>
      </c>
      <c r="BK23">
        <f t="shared" si="41"/>
        <v>-7.5838578140456914E-3</v>
      </c>
      <c r="BL23">
        <v>154</v>
      </c>
      <c r="BM23">
        <v>290</v>
      </c>
      <c r="BN23">
        <v>827.53</v>
      </c>
      <c r="BO23">
        <v>265</v>
      </c>
      <c r="BP23">
        <v>8138.18</v>
      </c>
      <c r="BQ23">
        <v>826.35</v>
      </c>
      <c r="BR23">
        <v>1.18</v>
      </c>
      <c r="BS23">
        <v>300</v>
      </c>
      <c r="BT23">
        <v>19.100000000000001</v>
      </c>
      <c r="BU23">
        <v>881.39202294110305</v>
      </c>
      <c r="BV23">
        <v>2.7798645047111998</v>
      </c>
      <c r="BW23">
        <v>-44.796689938516501</v>
      </c>
      <c r="BX23">
        <v>2.0267648285575701</v>
      </c>
      <c r="BY23">
        <v>0.94579139180528904</v>
      </c>
      <c r="BZ23">
        <v>-5.3213134593993296E-3</v>
      </c>
      <c r="CA23">
        <v>290</v>
      </c>
      <c r="CB23">
        <v>818.22</v>
      </c>
      <c r="CC23">
        <v>625</v>
      </c>
      <c r="CD23">
        <v>8133.66</v>
      </c>
      <c r="CE23">
        <v>826.32</v>
      </c>
      <c r="CF23">
        <v>-8.1</v>
      </c>
      <c r="CT23">
        <f t="shared" si="42"/>
        <v>100.0333</v>
      </c>
      <c r="CU23">
        <f t="shared" si="43"/>
        <v>84.312681420744724</v>
      </c>
      <c r="CV23">
        <f t="shared" si="44"/>
        <v>0.84284614644068245</v>
      </c>
      <c r="CW23">
        <f t="shared" si="45"/>
        <v>0.1650930626305171</v>
      </c>
      <c r="CX23">
        <v>2</v>
      </c>
      <c r="CY23">
        <v>0.5</v>
      </c>
      <c r="CZ23" t="s">
        <v>345</v>
      </c>
      <c r="DA23">
        <v>2</v>
      </c>
      <c r="DB23">
        <v>1792117229.5999999</v>
      </c>
      <c r="DC23">
        <v>400.017</v>
      </c>
      <c r="DD23">
        <v>401.5575</v>
      </c>
      <c r="DE23">
        <v>17.988216666666698</v>
      </c>
      <c r="DF23">
        <v>17.2698</v>
      </c>
      <c r="DG23">
        <v>400.85916666666702</v>
      </c>
      <c r="DH23">
        <v>18.15925</v>
      </c>
      <c r="DI23">
        <v>500.05516666666699</v>
      </c>
      <c r="DJ23">
        <v>101.768</v>
      </c>
      <c r="DK23">
        <v>0.10004780000000001</v>
      </c>
      <c r="DL23">
        <v>25.756699999999999</v>
      </c>
      <c r="DM23">
        <v>24.99765</v>
      </c>
      <c r="DN23">
        <v>999.9</v>
      </c>
      <c r="DO23">
        <v>0</v>
      </c>
      <c r="DP23">
        <v>0</v>
      </c>
      <c r="DQ23">
        <v>9995.8266666666696</v>
      </c>
      <c r="DR23">
        <v>0</v>
      </c>
      <c r="DS23">
        <v>8.3571799999999996</v>
      </c>
      <c r="DT23">
        <v>100.0333</v>
      </c>
      <c r="DU23">
        <v>0.90013350000000003</v>
      </c>
      <c r="DV23">
        <v>9.98666E-2</v>
      </c>
      <c r="DW23">
        <v>0</v>
      </c>
      <c r="DX23">
        <v>251.96483333333299</v>
      </c>
      <c r="DY23">
        <v>4.9999900000000004</v>
      </c>
      <c r="DZ23">
        <v>240.99033333333301</v>
      </c>
      <c r="EA23">
        <v>923.39949999999999</v>
      </c>
      <c r="EB23">
        <v>35.082999999999998</v>
      </c>
      <c r="EC23">
        <v>39.010166666666699</v>
      </c>
      <c r="ED23">
        <v>37.1145</v>
      </c>
      <c r="EE23">
        <v>38.718499999999999</v>
      </c>
      <c r="EF23">
        <v>37.978999999999999</v>
      </c>
      <c r="EG23">
        <v>85.54</v>
      </c>
      <c r="EH23">
        <v>9.49</v>
      </c>
      <c r="EI23">
        <v>0</v>
      </c>
      <c r="EJ23">
        <v>121.89999985694899</v>
      </c>
      <c r="EK23">
        <v>0</v>
      </c>
      <c r="EL23">
        <v>252.27500000000001</v>
      </c>
      <c r="EM23">
        <v>-2.4358974491791798</v>
      </c>
      <c r="EN23">
        <v>-1.3291282093340999</v>
      </c>
      <c r="EO23">
        <v>240.82734615384601</v>
      </c>
      <c r="EP23">
        <v>15</v>
      </c>
      <c r="EQ23">
        <v>1792117175.0999999</v>
      </c>
      <c r="ER23" t="s">
        <v>368</v>
      </c>
      <c r="ES23">
        <v>1792117173.0999999</v>
      </c>
      <c r="ET23">
        <v>1792117175.0999999</v>
      </c>
      <c r="EU23">
        <v>16</v>
      </c>
      <c r="EV23">
        <v>0.02</v>
      </c>
      <c r="EW23">
        <v>-1E-3</v>
      </c>
      <c r="EX23">
        <v>-0.84099999999999997</v>
      </c>
      <c r="EY23">
        <v>-0.182</v>
      </c>
      <c r="EZ23">
        <v>402</v>
      </c>
      <c r="FA23">
        <v>17</v>
      </c>
      <c r="FB23">
        <v>0.41</v>
      </c>
      <c r="FC23">
        <v>0.08</v>
      </c>
      <c r="FD23">
        <v>3.1222790240454001</v>
      </c>
      <c r="FE23">
        <v>-0.14631435518031399</v>
      </c>
      <c r="FF23">
        <v>0.112838720967653</v>
      </c>
      <c r="FG23">
        <v>1</v>
      </c>
      <c r="FH23">
        <v>-1.54695380952381</v>
      </c>
      <c r="FI23">
        <v>8.08924675324664E-2</v>
      </c>
      <c r="FJ23">
        <v>4.4360074335051999E-2</v>
      </c>
      <c r="FK23">
        <v>1</v>
      </c>
      <c r="FL23">
        <v>252.43938235294101</v>
      </c>
      <c r="FM23">
        <v>-1.81327732053544</v>
      </c>
      <c r="FN23">
        <v>0.38466272581283301</v>
      </c>
      <c r="FO23">
        <v>-1</v>
      </c>
      <c r="FP23">
        <v>2</v>
      </c>
      <c r="FQ23">
        <v>2</v>
      </c>
      <c r="FR23" t="s">
        <v>351</v>
      </c>
      <c r="FS23">
        <v>100</v>
      </c>
      <c r="FT23">
        <v>100</v>
      </c>
      <c r="FU23">
        <v>-0.84199999999999997</v>
      </c>
      <c r="FV23">
        <v>-0.1711</v>
      </c>
      <c r="FW23">
        <v>-0.91720453089222098</v>
      </c>
      <c r="FX23">
        <v>-6.1673298426602905E-5</v>
      </c>
      <c r="FY23">
        <v>6.1939807181674203E-7</v>
      </c>
      <c r="FZ23">
        <v>3.19222985850634E-12</v>
      </c>
      <c r="GA23">
        <v>-9.9448959949340401E-2</v>
      </c>
      <c r="GB23">
        <v>-2.57783215012692E-2</v>
      </c>
      <c r="GC23">
        <v>1.33723821780375E-3</v>
      </c>
      <c r="GD23">
        <v>-7.42160749481374E-6</v>
      </c>
      <c r="GE23">
        <v>7</v>
      </c>
      <c r="GF23">
        <v>2154</v>
      </c>
      <c r="GG23">
        <v>2</v>
      </c>
      <c r="GH23">
        <v>20</v>
      </c>
      <c r="GI23">
        <v>1</v>
      </c>
      <c r="GJ23">
        <v>1</v>
      </c>
      <c r="GK23">
        <v>1.0437000000000001</v>
      </c>
      <c r="GL23">
        <v>2.6171899999999999</v>
      </c>
      <c r="GM23">
        <v>1.65161</v>
      </c>
      <c r="GN23">
        <v>2.2790499999999998</v>
      </c>
      <c r="GO23">
        <v>1.5979000000000001</v>
      </c>
      <c r="GP23">
        <v>2.4706999999999999</v>
      </c>
      <c r="GQ23">
        <v>31.4115</v>
      </c>
      <c r="GR23">
        <v>15.033899999999999</v>
      </c>
      <c r="GS23">
        <v>18</v>
      </c>
      <c r="GT23">
        <v>499.44499999999999</v>
      </c>
      <c r="GU23">
        <v>574.17200000000003</v>
      </c>
      <c r="GV23">
        <v>24.427900000000001</v>
      </c>
      <c r="GW23">
        <v>27.742799999999999</v>
      </c>
      <c r="GX23">
        <v>30.0002</v>
      </c>
      <c r="GY23">
        <v>27.819600000000001</v>
      </c>
      <c r="GZ23">
        <v>27.867699999999999</v>
      </c>
      <c r="HA23">
        <v>20.876300000000001</v>
      </c>
      <c r="HB23">
        <v>27.645199999999999</v>
      </c>
      <c r="HC23">
        <v>86.271199999999993</v>
      </c>
      <c r="HD23">
        <v>24.427199999999999</v>
      </c>
      <c r="HE23">
        <v>401.53500000000003</v>
      </c>
      <c r="HF23">
        <v>17.232199999999999</v>
      </c>
      <c r="HG23">
        <v>98.430800000000005</v>
      </c>
      <c r="HH23">
        <v>94.919200000000004</v>
      </c>
    </row>
    <row r="24" spans="1:216" x14ac:dyDescent="0.3">
      <c r="A24">
        <v>8</v>
      </c>
      <c r="B24">
        <v>1792117356.0999999</v>
      </c>
      <c r="C24">
        <v>887.09999990463302</v>
      </c>
      <c r="D24" t="s">
        <v>369</v>
      </c>
      <c r="E24" t="s">
        <v>370</v>
      </c>
      <c r="F24">
        <v>5</v>
      </c>
      <c r="G24">
        <v>1792117352.5999999</v>
      </c>
      <c r="H24">
        <f t="shared" si="0"/>
        <v>1.4437937903687805E-3</v>
      </c>
      <c r="I24">
        <f t="shared" si="1"/>
        <v>1.4437937903687805</v>
      </c>
      <c r="J24">
        <f t="shared" si="2"/>
        <v>0.60671046329694667</v>
      </c>
      <c r="K24">
        <f t="shared" si="3"/>
        <v>399.98733333333303</v>
      </c>
      <c r="L24">
        <f t="shared" si="4"/>
        <v>382.28280672693336</v>
      </c>
      <c r="M24">
        <f t="shared" si="5"/>
        <v>38.941697604801377</v>
      </c>
      <c r="N24">
        <f t="shared" si="6"/>
        <v>40.745190488108179</v>
      </c>
      <c r="O24">
        <f t="shared" si="7"/>
        <v>0.10764782705835139</v>
      </c>
      <c r="P24">
        <f t="shared" si="8"/>
        <v>3.0363254119602439</v>
      </c>
      <c r="Q24">
        <f t="shared" si="9"/>
        <v>0.10557168214784161</v>
      </c>
      <c r="R24">
        <f t="shared" si="10"/>
        <v>6.6165499628692004E-2</v>
      </c>
      <c r="S24">
        <f t="shared" si="11"/>
        <v>8.2323737893054663</v>
      </c>
      <c r="T24">
        <f t="shared" si="12"/>
        <v>25.455244056176006</v>
      </c>
      <c r="U24">
        <f t="shared" si="13"/>
        <v>25.022366666666699</v>
      </c>
      <c r="V24">
        <f t="shared" si="14"/>
        <v>3.1839200987715475</v>
      </c>
      <c r="W24">
        <f t="shared" si="15"/>
        <v>54.823819495738789</v>
      </c>
      <c r="X24">
        <f t="shared" si="16"/>
        <v>1.8250535502037604</v>
      </c>
      <c r="Y24">
        <f t="shared" si="17"/>
        <v>3.3289427241486038</v>
      </c>
      <c r="Z24">
        <f t="shared" si="18"/>
        <v>1.3588665485677871</v>
      </c>
      <c r="AA24">
        <f t="shared" si="19"/>
        <v>-63.671306155263217</v>
      </c>
      <c r="AB24">
        <f t="shared" si="20"/>
        <v>122.6616521234554</v>
      </c>
      <c r="AC24">
        <f t="shared" si="21"/>
        <v>8.5793797447993843</v>
      </c>
      <c r="AD24">
        <f t="shared" si="22"/>
        <v>75.80209950229704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53913.96739151176</v>
      </c>
      <c r="AJ24" t="s">
        <v>342</v>
      </c>
      <c r="AK24">
        <v>8121.87</v>
      </c>
      <c r="AL24">
        <v>233.63300000000001</v>
      </c>
      <c r="AM24">
        <v>679.27681151417005</v>
      </c>
      <c r="AN24">
        <f t="shared" si="26"/>
        <v>0.65605627037494374</v>
      </c>
      <c r="AO24">
        <v>-1.16761486295254</v>
      </c>
      <c r="AP24" t="s">
        <v>371</v>
      </c>
      <c r="AQ24">
        <v>8134.3</v>
      </c>
      <c r="AR24">
        <v>248.31100000000001</v>
      </c>
      <c r="AS24">
        <v>918.39978905205101</v>
      </c>
      <c r="AT24">
        <f t="shared" si="27"/>
        <v>0.7296264622879538</v>
      </c>
      <c r="AU24">
        <v>0.5</v>
      </c>
      <c r="AV24">
        <f t="shared" si="28"/>
        <v>42.090626419329254</v>
      </c>
      <c r="AW24">
        <f t="shared" si="29"/>
        <v>0.60671046329694667</v>
      </c>
      <c r="AX24">
        <f t="shared" si="30"/>
        <v>15.355217424909544</v>
      </c>
      <c r="AY24">
        <f t="shared" si="31"/>
        <v>4.2154880485092146E-2</v>
      </c>
      <c r="AZ24">
        <f t="shared" si="32"/>
        <v>-0.26036915555555346</v>
      </c>
      <c r="BA24">
        <f t="shared" si="33"/>
        <v>256.61332316452587</v>
      </c>
      <c r="BB24" t="s">
        <v>344</v>
      </c>
      <c r="BC24">
        <v>0</v>
      </c>
      <c r="BD24">
        <f t="shared" si="34"/>
        <v>256.61332316452587</v>
      </c>
      <c r="BE24">
        <f t="shared" si="35"/>
        <v>0.7205864741874608</v>
      </c>
      <c r="BF24">
        <f t="shared" si="36"/>
        <v>1.012545320269419</v>
      </c>
      <c r="BG24">
        <f t="shared" si="37"/>
        <v>-0.56575262384639391</v>
      </c>
      <c r="BH24">
        <f t="shared" si="38"/>
        <v>0.97856496513167746</v>
      </c>
      <c r="BI24">
        <f t="shared" si="39"/>
        <v>-0.53657870110528316</v>
      </c>
      <c r="BJ24">
        <f t="shared" si="40"/>
        <v>1.0463999560592352</v>
      </c>
      <c r="BK24">
        <f t="shared" si="41"/>
        <v>-4.6399956059235192E-2</v>
      </c>
      <c r="BL24">
        <v>155</v>
      </c>
      <c r="BM24">
        <v>290</v>
      </c>
      <c r="BN24">
        <v>868.78</v>
      </c>
      <c r="BO24">
        <v>175</v>
      </c>
      <c r="BP24">
        <v>8134.3</v>
      </c>
      <c r="BQ24">
        <v>864.13</v>
      </c>
      <c r="BR24">
        <v>4.6500000000000004</v>
      </c>
      <c r="BS24">
        <v>300</v>
      </c>
      <c r="BT24">
        <v>19.2</v>
      </c>
      <c r="BU24">
        <v>918.39978905205101</v>
      </c>
      <c r="BV24">
        <v>2.3806681339234501</v>
      </c>
      <c r="BW24">
        <v>-44.145726062227901</v>
      </c>
      <c r="BX24">
        <v>1.73270697536907</v>
      </c>
      <c r="BY24">
        <v>0.95864858398718999</v>
      </c>
      <c r="BZ24">
        <v>-5.3502562847608497E-3</v>
      </c>
      <c r="CA24">
        <v>290</v>
      </c>
      <c r="CB24">
        <v>852.99</v>
      </c>
      <c r="CC24">
        <v>615</v>
      </c>
      <c r="CD24">
        <v>8126.09</v>
      </c>
      <c r="CE24">
        <v>864.07</v>
      </c>
      <c r="CF24">
        <v>-11.08</v>
      </c>
      <c r="CT24">
        <f t="shared" si="42"/>
        <v>49.947000000000003</v>
      </c>
      <c r="CU24">
        <f t="shared" si="43"/>
        <v>42.090626419329254</v>
      </c>
      <c r="CV24">
        <f t="shared" si="44"/>
        <v>0.84270579653090782</v>
      </c>
      <c r="CW24">
        <f t="shared" si="45"/>
        <v>0.16482218730465226</v>
      </c>
      <c r="CX24">
        <v>2</v>
      </c>
      <c r="CY24">
        <v>0.5</v>
      </c>
      <c r="CZ24" t="s">
        <v>345</v>
      </c>
      <c r="DA24">
        <v>2</v>
      </c>
      <c r="DB24">
        <v>1792117352.5999999</v>
      </c>
      <c r="DC24">
        <v>399.98733333333303</v>
      </c>
      <c r="DD24">
        <v>400.46100000000001</v>
      </c>
      <c r="DE24">
        <v>17.916183333333301</v>
      </c>
      <c r="DF24">
        <v>17.349033333333299</v>
      </c>
      <c r="DG24">
        <v>400.84333333333302</v>
      </c>
      <c r="DH24">
        <v>18.089300000000001</v>
      </c>
      <c r="DI24">
        <v>500.01816666666701</v>
      </c>
      <c r="DJ24">
        <v>101.76600000000001</v>
      </c>
      <c r="DK24">
        <v>0.10020198333333299</v>
      </c>
      <c r="DL24">
        <v>25.771699999999999</v>
      </c>
      <c r="DM24">
        <v>25.022366666666699</v>
      </c>
      <c r="DN24">
        <v>999.9</v>
      </c>
      <c r="DO24">
        <v>0</v>
      </c>
      <c r="DP24">
        <v>0</v>
      </c>
      <c r="DQ24">
        <v>9977.1916666666693</v>
      </c>
      <c r="DR24">
        <v>0</v>
      </c>
      <c r="DS24">
        <v>8.5830500000000001</v>
      </c>
      <c r="DT24">
        <v>49.947000000000003</v>
      </c>
      <c r="DU24">
        <v>0.89976916666666695</v>
      </c>
      <c r="DV24">
        <v>0.10023095</v>
      </c>
      <c r="DW24">
        <v>0</v>
      </c>
      <c r="DX24">
        <v>248.166666666667</v>
      </c>
      <c r="DY24">
        <v>4.9999900000000004</v>
      </c>
      <c r="DZ24">
        <v>113.5235</v>
      </c>
      <c r="EA24">
        <v>436.67849999999999</v>
      </c>
      <c r="EB24">
        <v>35.936999999999998</v>
      </c>
      <c r="EC24">
        <v>41.082999999999998</v>
      </c>
      <c r="ED24">
        <v>38.322499999999998</v>
      </c>
      <c r="EE24">
        <v>41.905999999999999</v>
      </c>
      <c r="EF24">
        <v>39.197499999999998</v>
      </c>
      <c r="EG24">
        <v>40.4433333333333</v>
      </c>
      <c r="EH24">
        <v>4.5049999999999999</v>
      </c>
      <c r="EI24">
        <v>0</v>
      </c>
      <c r="EJ24">
        <v>121.69999980926499</v>
      </c>
      <c r="EK24">
        <v>0</v>
      </c>
      <c r="EL24">
        <v>248.31100000000001</v>
      </c>
      <c r="EM24">
        <v>-2.4056752399166199</v>
      </c>
      <c r="EN24">
        <v>-1.1351794802361701</v>
      </c>
      <c r="EO24">
        <v>113.649923076923</v>
      </c>
      <c r="EP24">
        <v>15</v>
      </c>
      <c r="EQ24">
        <v>1792117298.0999999</v>
      </c>
      <c r="ER24" t="s">
        <v>372</v>
      </c>
      <c r="ES24">
        <v>1792117298.0999999</v>
      </c>
      <c r="ET24">
        <v>1792117295.0999999</v>
      </c>
      <c r="EU24">
        <v>17</v>
      </c>
      <c r="EV24">
        <v>-1.4E-2</v>
      </c>
      <c r="EW24">
        <v>-1E-3</v>
      </c>
      <c r="EX24">
        <v>-0.85599999999999998</v>
      </c>
      <c r="EY24">
        <v>-0.182</v>
      </c>
      <c r="EZ24">
        <v>401</v>
      </c>
      <c r="FA24">
        <v>17</v>
      </c>
      <c r="FB24">
        <v>0.38</v>
      </c>
      <c r="FC24">
        <v>0.15</v>
      </c>
      <c r="FD24">
        <v>0.52752098387971302</v>
      </c>
      <c r="FE24">
        <v>0.60147565042931295</v>
      </c>
      <c r="FF24">
        <v>8.4478912117838798E-2</v>
      </c>
      <c r="FG24">
        <v>0</v>
      </c>
      <c r="FH24">
        <v>-0.44871452380952398</v>
      </c>
      <c r="FI24">
        <v>-0.21882257142857101</v>
      </c>
      <c r="FJ24">
        <v>3.2753298699184599E-2</v>
      </c>
      <c r="FK24">
        <v>1</v>
      </c>
      <c r="FL24">
        <v>248.45173529411801</v>
      </c>
      <c r="FM24">
        <v>-2.8161803021304999</v>
      </c>
      <c r="FN24">
        <v>0.50598066161741395</v>
      </c>
      <c r="FO24">
        <v>-1</v>
      </c>
      <c r="FP24">
        <v>1</v>
      </c>
      <c r="FQ24">
        <v>2</v>
      </c>
      <c r="FR24" t="s">
        <v>347</v>
      </c>
      <c r="FS24">
        <v>100</v>
      </c>
      <c r="FT24">
        <v>100</v>
      </c>
      <c r="FU24">
        <v>-0.85599999999999998</v>
      </c>
      <c r="FV24">
        <v>-0.1731</v>
      </c>
      <c r="FW24">
        <v>-0.931082469472436</v>
      </c>
      <c r="FX24">
        <v>-6.1673298426602905E-5</v>
      </c>
      <c r="FY24">
        <v>6.1939807181674203E-7</v>
      </c>
      <c r="FZ24">
        <v>3.19222985850634E-12</v>
      </c>
      <c r="GA24">
        <v>-0.100435399626604</v>
      </c>
      <c r="GB24">
        <v>-2.57783215012692E-2</v>
      </c>
      <c r="GC24">
        <v>1.33723821780375E-3</v>
      </c>
      <c r="GD24">
        <v>-7.42160749481374E-6</v>
      </c>
      <c r="GE24">
        <v>7</v>
      </c>
      <c r="GF24">
        <v>2154</v>
      </c>
      <c r="GG24">
        <v>2</v>
      </c>
      <c r="GH24">
        <v>20</v>
      </c>
      <c r="GI24">
        <v>1</v>
      </c>
      <c r="GJ24">
        <v>1</v>
      </c>
      <c r="GK24">
        <v>1.0424800000000001</v>
      </c>
      <c r="GL24">
        <v>2.6147499999999999</v>
      </c>
      <c r="GM24">
        <v>1.65161</v>
      </c>
      <c r="GN24">
        <v>2.2790499999999998</v>
      </c>
      <c r="GO24">
        <v>1.5979000000000001</v>
      </c>
      <c r="GP24">
        <v>2.6135299999999999</v>
      </c>
      <c r="GQ24">
        <v>31.455200000000001</v>
      </c>
      <c r="GR24">
        <v>15.033899999999999</v>
      </c>
      <c r="GS24">
        <v>18</v>
      </c>
      <c r="GT24">
        <v>499.30900000000003</v>
      </c>
      <c r="GU24">
        <v>573.67200000000003</v>
      </c>
      <c r="GV24">
        <v>24.287500000000001</v>
      </c>
      <c r="GW24">
        <v>27.7761</v>
      </c>
      <c r="GX24">
        <v>30.0002</v>
      </c>
      <c r="GY24">
        <v>27.852499999999999</v>
      </c>
      <c r="GZ24">
        <v>27.901499999999999</v>
      </c>
      <c r="HA24">
        <v>20.8386</v>
      </c>
      <c r="HB24">
        <v>27.4604</v>
      </c>
      <c r="HC24">
        <v>86.271199999999993</v>
      </c>
      <c r="HD24">
        <v>24.268699999999999</v>
      </c>
      <c r="HE24">
        <v>400.55500000000001</v>
      </c>
      <c r="HF24">
        <v>17.366499999999998</v>
      </c>
      <c r="HG24">
        <v>98.426000000000002</v>
      </c>
      <c r="HH24">
        <v>94.906099999999995</v>
      </c>
    </row>
    <row r="25" spans="1:216" x14ac:dyDescent="0.3">
      <c r="A25">
        <v>9</v>
      </c>
      <c r="B25">
        <v>1792117479.0999999</v>
      </c>
      <c r="C25">
        <v>1010.09999990463</v>
      </c>
      <c r="D25" t="s">
        <v>373</v>
      </c>
      <c r="E25" t="s">
        <v>374</v>
      </c>
      <c r="F25">
        <v>5</v>
      </c>
      <c r="G25">
        <v>1792117476.0999999</v>
      </c>
      <c r="H25">
        <f t="shared" si="0"/>
        <v>1.1075288949593328E-3</v>
      </c>
      <c r="I25">
        <f t="shared" si="1"/>
        <v>1.1075288949593327</v>
      </c>
      <c r="J25">
        <f t="shared" si="2"/>
        <v>-2.6809788156176104</v>
      </c>
      <c r="K25">
        <f t="shared" si="3"/>
        <v>400.02539999999999</v>
      </c>
      <c r="L25">
        <f t="shared" si="4"/>
        <v>443.46105073599347</v>
      </c>
      <c r="M25">
        <f t="shared" si="5"/>
        <v>45.173210159620574</v>
      </c>
      <c r="N25">
        <f t="shared" si="6"/>
        <v>40.748632677876799</v>
      </c>
      <c r="O25">
        <f t="shared" si="7"/>
        <v>8.2603605192547142E-2</v>
      </c>
      <c r="P25">
        <f t="shared" si="8"/>
        <v>3.0409975346964999</v>
      </c>
      <c r="Q25">
        <f t="shared" si="9"/>
        <v>8.1377030759987132E-2</v>
      </c>
      <c r="R25">
        <f t="shared" si="10"/>
        <v>5.0969329796057117E-2</v>
      </c>
      <c r="S25">
        <f t="shared" si="11"/>
        <v>6.3839361601596015E-4</v>
      </c>
      <c r="T25">
        <f t="shared" si="12"/>
        <v>25.42003096743608</v>
      </c>
      <c r="U25">
        <f t="shared" si="13"/>
        <v>24.995339999999999</v>
      </c>
      <c r="V25">
        <f t="shared" si="14"/>
        <v>3.1787943033946133</v>
      </c>
      <c r="W25">
        <f t="shared" si="15"/>
        <v>55.105699615220693</v>
      </c>
      <c r="X25">
        <f t="shared" si="16"/>
        <v>1.8264863014016341</v>
      </c>
      <c r="Y25">
        <f t="shared" si="17"/>
        <v>3.3145143136829751</v>
      </c>
      <c r="Z25">
        <f t="shared" si="18"/>
        <v>1.3523080019929792</v>
      </c>
      <c r="AA25">
        <f t="shared" si="19"/>
        <v>-48.842024267706577</v>
      </c>
      <c r="AB25">
        <f t="shared" si="20"/>
        <v>115.27061476657157</v>
      </c>
      <c r="AC25">
        <f t="shared" si="21"/>
        <v>8.0459790480205235</v>
      </c>
      <c r="AD25">
        <f t="shared" si="22"/>
        <v>74.475207940501534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54073.439317321885</v>
      </c>
      <c r="AJ25" t="s">
        <v>375</v>
      </c>
      <c r="AK25">
        <v>8137.19</v>
      </c>
      <c r="AL25">
        <v>228.92500000000001</v>
      </c>
      <c r="AM25">
        <v>981.22610975358896</v>
      </c>
      <c r="AN25">
        <f t="shared" si="26"/>
        <v>0.76669495672359456</v>
      </c>
      <c r="AO25">
        <v>-2.68097881561761</v>
      </c>
      <c r="AP25" t="s">
        <v>344</v>
      </c>
      <c r="AQ25" t="s">
        <v>344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3.3599664000840005E-3</v>
      </c>
      <c r="AW25">
        <f t="shared" si="29"/>
        <v>-2.6809788156176104</v>
      </c>
      <c r="AX25" t="e">
        <f t="shared" si="30"/>
        <v>#DIV/0!</v>
      </c>
      <c r="AY25">
        <f t="shared" si="31"/>
        <v>-1.3217072939746071E-13</v>
      </c>
      <c r="AZ25" t="e">
        <f t="shared" si="32"/>
        <v>#DIV/0!</v>
      </c>
      <c r="BA25" t="e">
        <f t="shared" si="33"/>
        <v>#DIV/0!</v>
      </c>
      <c r="BB25" t="s">
        <v>344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>
        <f t="shared" si="38"/>
        <v>0</v>
      </c>
      <c r="BI25">
        <f t="shared" si="39"/>
        <v>1.3042996973312759</v>
      </c>
      <c r="BJ25" t="e">
        <f t="shared" si="40"/>
        <v>#DIV/0!</v>
      </c>
      <c r="BK25" t="e">
        <f t="shared" si="41"/>
        <v>#DIV/0!</v>
      </c>
      <c r="BL25">
        <v>156</v>
      </c>
      <c r="BM25">
        <v>290</v>
      </c>
      <c r="BN25">
        <v>950.79</v>
      </c>
      <c r="BO25">
        <v>165</v>
      </c>
      <c r="BP25">
        <v>8137.19</v>
      </c>
      <c r="BQ25">
        <v>947.54</v>
      </c>
      <c r="BR25">
        <v>3.25</v>
      </c>
      <c r="BS25">
        <v>300</v>
      </c>
      <c r="BT25">
        <v>19.100000000000001</v>
      </c>
      <c r="BU25">
        <v>981.22610975358896</v>
      </c>
      <c r="BV25">
        <v>2.9708335343949299</v>
      </c>
      <c r="BW25">
        <v>-27.410021446894</v>
      </c>
      <c r="BX25">
        <v>2.1615041329479201</v>
      </c>
      <c r="BY25">
        <v>0.85170089650814396</v>
      </c>
      <c r="BZ25">
        <v>-5.3803959955506103E-3</v>
      </c>
      <c r="CA25">
        <v>290</v>
      </c>
      <c r="CB25">
        <v>938.74</v>
      </c>
      <c r="CC25">
        <v>615</v>
      </c>
      <c r="CD25">
        <v>8128.8</v>
      </c>
      <c r="CE25">
        <v>947.51</v>
      </c>
      <c r="CF25">
        <v>-8.77</v>
      </c>
      <c r="CT25">
        <f t="shared" si="42"/>
        <v>1.9999900000000001E-2</v>
      </c>
      <c r="CU25">
        <f t="shared" si="43"/>
        <v>3.3599664000840005E-3</v>
      </c>
      <c r="CV25">
        <f t="shared" si="44"/>
        <v>0.16799916000000001</v>
      </c>
      <c r="CW25">
        <f t="shared" si="45"/>
        <v>3.1919840400000003E-2</v>
      </c>
      <c r="CX25">
        <v>2</v>
      </c>
      <c r="CY25">
        <v>0.5</v>
      </c>
      <c r="CZ25" t="s">
        <v>345</v>
      </c>
      <c r="DA25">
        <v>2</v>
      </c>
      <c r="DB25">
        <v>1792117476.0999999</v>
      </c>
      <c r="DC25">
        <v>400.02539999999999</v>
      </c>
      <c r="DD25">
        <v>399.1302</v>
      </c>
      <c r="DE25">
        <v>17.930440000000001</v>
      </c>
      <c r="DF25">
        <v>17.495360000000002</v>
      </c>
      <c r="DG25">
        <v>400.85840000000002</v>
      </c>
      <c r="DH25">
        <v>18.103899999999999</v>
      </c>
      <c r="DI25">
        <v>499.9864</v>
      </c>
      <c r="DJ25">
        <v>101.76519999999999</v>
      </c>
      <c r="DK25">
        <v>9.9913260000000004E-2</v>
      </c>
      <c r="DL25">
        <v>25.698440000000002</v>
      </c>
      <c r="DM25">
        <v>24.995339999999999</v>
      </c>
      <c r="DN25">
        <v>999.9</v>
      </c>
      <c r="DO25">
        <v>0</v>
      </c>
      <c r="DP25">
        <v>0</v>
      </c>
      <c r="DQ25">
        <v>10005.48</v>
      </c>
      <c r="DR25">
        <v>0</v>
      </c>
      <c r="DS25">
        <v>8.5830500000000001</v>
      </c>
      <c r="DT25">
        <v>1.9999900000000001E-2</v>
      </c>
      <c r="DU25">
        <v>0</v>
      </c>
      <c r="DV25">
        <v>0</v>
      </c>
      <c r="DW25">
        <v>0</v>
      </c>
      <c r="DX25">
        <v>228.72499999999999</v>
      </c>
      <c r="DY25">
        <v>1.9999900000000001E-2</v>
      </c>
      <c r="DZ25">
        <v>-14.19</v>
      </c>
      <c r="EA25">
        <v>3.0550000000000002</v>
      </c>
      <c r="EB25">
        <v>34.787199999999999</v>
      </c>
      <c r="EC25">
        <v>38.274799999999999</v>
      </c>
      <c r="ED25">
        <v>36.737400000000001</v>
      </c>
      <c r="EE25">
        <v>37.912199999999999</v>
      </c>
      <c r="EF25">
        <v>37.125</v>
      </c>
      <c r="EG25">
        <v>0</v>
      </c>
      <c r="EH25">
        <v>0</v>
      </c>
      <c r="EI25">
        <v>0</v>
      </c>
      <c r="EJ25">
        <v>121.69999980926499</v>
      </c>
      <c r="EK25">
        <v>0</v>
      </c>
      <c r="EL25">
        <v>228.92500000000001</v>
      </c>
      <c r="EM25">
        <v>10.131623353713501</v>
      </c>
      <c r="EN25">
        <v>-16.7717944862496</v>
      </c>
      <c r="EO25">
        <v>-12.5875</v>
      </c>
      <c r="EP25">
        <v>15</v>
      </c>
      <c r="EQ25">
        <v>1792117424.0999999</v>
      </c>
      <c r="ER25" t="s">
        <v>376</v>
      </c>
      <c r="ES25">
        <v>1792117424.0999999</v>
      </c>
      <c r="ET25">
        <v>1792117422.0999999</v>
      </c>
      <c r="EU25">
        <v>18</v>
      </c>
      <c r="EV25">
        <v>2.3E-2</v>
      </c>
      <c r="EW25">
        <v>-1E-3</v>
      </c>
      <c r="EX25">
        <v>-0.83299999999999996</v>
      </c>
      <c r="EY25">
        <v>-0.17899999999999999</v>
      </c>
      <c r="EZ25">
        <v>400</v>
      </c>
      <c r="FA25">
        <v>18</v>
      </c>
      <c r="FB25">
        <v>0.17</v>
      </c>
      <c r="FC25">
        <v>7.0000000000000007E-2</v>
      </c>
      <c r="FD25">
        <v>-2.6246806535843898</v>
      </c>
      <c r="FE25">
        <v>-3.18914857838647E-2</v>
      </c>
      <c r="FF25">
        <v>6.2469583639354703E-2</v>
      </c>
      <c r="FG25">
        <v>1</v>
      </c>
      <c r="FH25">
        <v>0.87021185000000001</v>
      </c>
      <c r="FI25">
        <v>5.9787834586466103E-2</v>
      </c>
      <c r="FJ25">
        <v>2.6069397306564299E-2</v>
      </c>
      <c r="FK25">
        <v>1</v>
      </c>
      <c r="FL25">
        <v>229.03823529411801</v>
      </c>
      <c r="FM25">
        <v>-6.8716579465943699</v>
      </c>
      <c r="FN25">
        <v>4.98502992532657</v>
      </c>
      <c r="FO25">
        <v>-1</v>
      </c>
      <c r="FP25">
        <v>2</v>
      </c>
      <c r="FQ25">
        <v>2</v>
      </c>
      <c r="FR25" t="s">
        <v>351</v>
      </c>
      <c r="FS25">
        <v>100</v>
      </c>
      <c r="FT25">
        <v>100</v>
      </c>
      <c r="FU25">
        <v>-0.83299999999999996</v>
      </c>
      <c r="FV25">
        <v>-0.17349999999999999</v>
      </c>
      <c r="FW25">
        <v>-0.90801013593860203</v>
      </c>
      <c r="FX25">
        <v>-6.1673298426602905E-5</v>
      </c>
      <c r="FY25">
        <v>6.1939807181674203E-7</v>
      </c>
      <c r="FZ25">
        <v>3.19222985850634E-12</v>
      </c>
      <c r="GA25">
        <v>-0.101034115112292</v>
      </c>
      <c r="GB25">
        <v>-2.57783215012692E-2</v>
      </c>
      <c r="GC25">
        <v>1.33723821780375E-3</v>
      </c>
      <c r="GD25">
        <v>-7.42160749481374E-6</v>
      </c>
      <c r="GE25">
        <v>7</v>
      </c>
      <c r="GF25">
        <v>2154</v>
      </c>
      <c r="GG25">
        <v>2</v>
      </c>
      <c r="GH25">
        <v>20</v>
      </c>
      <c r="GI25">
        <v>0.9</v>
      </c>
      <c r="GJ25">
        <v>0.9</v>
      </c>
      <c r="GK25">
        <v>1.0388200000000001</v>
      </c>
      <c r="GL25">
        <v>2.6159699999999999</v>
      </c>
      <c r="GM25">
        <v>1.65161</v>
      </c>
      <c r="GN25">
        <v>2.2790499999999998</v>
      </c>
      <c r="GO25">
        <v>1.5979000000000001</v>
      </c>
      <c r="GP25">
        <v>2.5793499999999998</v>
      </c>
      <c r="GQ25">
        <v>31.498799999999999</v>
      </c>
      <c r="GR25">
        <v>15.0076</v>
      </c>
      <c r="GS25">
        <v>18</v>
      </c>
      <c r="GT25">
        <v>499.41699999999997</v>
      </c>
      <c r="GU25">
        <v>573.05799999999999</v>
      </c>
      <c r="GV25">
        <v>24.241299999999999</v>
      </c>
      <c r="GW25">
        <v>27.813700000000001</v>
      </c>
      <c r="GX25">
        <v>30</v>
      </c>
      <c r="GY25">
        <v>27.887899999999998</v>
      </c>
      <c r="GZ25">
        <v>27.9375</v>
      </c>
      <c r="HA25">
        <v>20.785299999999999</v>
      </c>
      <c r="HB25">
        <v>27.0397</v>
      </c>
      <c r="HC25">
        <v>86.271199999999993</v>
      </c>
      <c r="HD25">
        <v>24.241</v>
      </c>
      <c r="HE25">
        <v>399.13</v>
      </c>
      <c r="HF25">
        <v>17.469200000000001</v>
      </c>
      <c r="HG25">
        <v>98.417500000000004</v>
      </c>
      <c r="HH25">
        <v>94.901200000000003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2026-10-16T11:26:04Z</dcterms:created>
  <dcterms:modified xsi:type="dcterms:W3CDTF">2026-10-17T10:04:03Z</dcterms:modified>
</cp:coreProperties>
</file>