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0 lettuce park/"/>
    </mc:Choice>
  </mc:AlternateContent>
  <xr:revisionPtr revIDLastSave="0" documentId="11_ACE071009CE39DC075FCE3CA9589D99604E0B2A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 s="1"/>
  <c r="P28" i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 s="1"/>
  <c r="Y27" i="1"/>
  <c r="X27" i="1"/>
  <c r="W27" i="1"/>
  <c r="P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/>
  <c r="AH26" i="1" s="1"/>
  <c r="Y26" i="1"/>
  <c r="W26" i="1" s="1"/>
  <c r="X26" i="1"/>
  <c r="P26" i="1"/>
  <c r="N26" i="1"/>
  <c r="K26" i="1"/>
  <c r="J26" i="1"/>
  <c r="AW26" i="1" s="1"/>
  <c r="I26" i="1"/>
  <c r="H26" i="1" s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 s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X24" i="1"/>
  <c r="W24" i="1"/>
  <c r="P24" i="1"/>
  <c r="CW23" i="1"/>
  <c r="CV23" i="1"/>
  <c r="CT23" i="1"/>
  <c r="CU23" i="1" s="1"/>
  <c r="AV23" i="1" s="1"/>
  <c r="BI23" i="1"/>
  <c r="BH23" i="1"/>
  <c r="AZ23" i="1"/>
  <c r="AT23" i="1"/>
  <c r="AN23" i="1"/>
  <c r="BA23" i="1" s="1"/>
  <c r="BD23" i="1" s="1"/>
  <c r="AI23" i="1"/>
  <c r="AG23" i="1" s="1"/>
  <c r="Y23" i="1"/>
  <c r="X23" i="1"/>
  <c r="S23" i="1"/>
  <c r="P23" i="1"/>
  <c r="CW22" i="1"/>
  <c r="CV22" i="1"/>
  <c r="CT22" i="1"/>
  <c r="CU22" i="1" s="1"/>
  <c r="AV22" i="1" s="1"/>
  <c r="BI22" i="1"/>
  <c r="BH22" i="1"/>
  <c r="AZ22" i="1"/>
  <c r="AT22" i="1"/>
  <c r="AX22" i="1" s="1"/>
  <c r="AN22" i="1"/>
  <c r="BA22" i="1" s="1"/>
  <c r="BD22" i="1" s="1"/>
  <c r="AI22" i="1"/>
  <c r="AG22" i="1" s="1"/>
  <c r="Y22" i="1"/>
  <c r="X22" i="1"/>
  <c r="W22" i="1" s="1"/>
  <c r="S22" i="1"/>
  <c r="P22" i="1"/>
  <c r="CW21" i="1"/>
  <c r="CV21" i="1"/>
  <c r="CT21" i="1"/>
  <c r="CU21" i="1" s="1"/>
  <c r="AV21" i="1" s="1"/>
  <c r="BI21" i="1"/>
  <c r="BH21" i="1"/>
  <c r="AZ21" i="1"/>
  <c r="AT21" i="1"/>
  <c r="AX21" i="1" s="1"/>
  <c r="AN21" i="1"/>
  <c r="BA21" i="1" s="1"/>
  <c r="BD21" i="1" s="1"/>
  <c r="AI21" i="1"/>
  <c r="AG21" i="1" s="1"/>
  <c r="Y21" i="1"/>
  <c r="X21" i="1"/>
  <c r="W21" i="1" s="1"/>
  <c r="S21" i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W20" i="1" s="1"/>
  <c r="S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 s="1"/>
  <c r="S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X18" i="1"/>
  <c r="W18" i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 s="1"/>
  <c r="S17" i="1"/>
  <c r="P17" i="1"/>
  <c r="CU17" i="1" l="1"/>
  <c r="AV17" i="1" s="1"/>
  <c r="AX17" i="1" s="1"/>
  <c r="CU19" i="1"/>
  <c r="AV19" i="1" s="1"/>
  <c r="AX19" i="1" s="1"/>
  <c r="W23" i="1"/>
  <c r="I27" i="1"/>
  <c r="H27" i="1" s="1"/>
  <c r="J27" i="1"/>
  <c r="AW27" i="1" s="1"/>
  <c r="K27" i="1"/>
  <c r="N27" i="1"/>
  <c r="AH27" i="1"/>
  <c r="CU28" i="1"/>
  <c r="AV28" i="1" s="1"/>
  <c r="AX28" i="1" s="1"/>
  <c r="S28" i="1"/>
  <c r="BE28" i="1"/>
  <c r="BF28" i="1"/>
  <c r="BJ28" i="1" s="1"/>
  <c r="BK28" i="1" s="1"/>
  <c r="BG28" i="1"/>
  <c r="AH28" i="1"/>
  <c r="N28" i="1"/>
  <c r="K28" i="1"/>
  <c r="J28" i="1"/>
  <c r="AW28" i="1" s="1"/>
  <c r="AY28" i="1" s="1"/>
  <c r="I28" i="1"/>
  <c r="H28" i="1" s="1"/>
  <c r="S27" i="1"/>
  <c r="CU27" i="1"/>
  <c r="AV27" i="1" s="1"/>
  <c r="BE27" i="1"/>
  <c r="BF27" i="1"/>
  <c r="BJ27" i="1" s="1"/>
  <c r="BK27" i="1" s="1"/>
  <c r="BG27" i="1"/>
  <c r="AA27" i="1"/>
  <c r="S26" i="1"/>
  <c r="CU26" i="1"/>
  <c r="AV26" i="1" s="1"/>
  <c r="BE26" i="1"/>
  <c r="BG26" i="1"/>
  <c r="BF26" i="1"/>
  <c r="BJ26" i="1" s="1"/>
  <c r="BK26" i="1" s="1"/>
  <c r="AA26" i="1"/>
  <c r="CU25" i="1"/>
  <c r="AV25" i="1" s="1"/>
  <c r="AX25" i="1" s="1"/>
  <c r="S25" i="1"/>
  <c r="BE25" i="1"/>
  <c r="BF25" i="1"/>
  <c r="BJ25" i="1" s="1"/>
  <c r="BK25" i="1" s="1"/>
  <c r="BG25" i="1"/>
  <c r="I25" i="1"/>
  <c r="H25" i="1" s="1"/>
  <c r="J25" i="1"/>
  <c r="AW25" i="1" s="1"/>
  <c r="K25" i="1"/>
  <c r="N25" i="1"/>
  <c r="AH25" i="1"/>
  <c r="CU24" i="1"/>
  <c r="AV24" i="1" s="1"/>
  <c r="AX24" i="1" s="1"/>
  <c r="S24" i="1"/>
  <c r="BE24" i="1"/>
  <c r="BF24" i="1"/>
  <c r="BJ24" i="1" s="1"/>
  <c r="BK24" i="1" s="1"/>
  <c r="BG24" i="1"/>
  <c r="AH24" i="1"/>
  <c r="J24" i="1"/>
  <c r="AW24" i="1" s="1"/>
  <c r="N24" i="1"/>
  <c r="I24" i="1"/>
  <c r="H24" i="1" s="1"/>
  <c r="K24" i="1"/>
  <c r="BF23" i="1"/>
  <c r="BJ23" i="1" s="1"/>
  <c r="BK23" i="1" s="1"/>
  <c r="BE23" i="1"/>
  <c r="BG23" i="1"/>
  <c r="AH23" i="1"/>
  <c r="J23" i="1"/>
  <c r="AW23" i="1" s="1"/>
  <c r="AY23" i="1" s="1"/>
  <c r="N23" i="1"/>
  <c r="I23" i="1"/>
  <c r="H23" i="1" s="1"/>
  <c r="T23" i="1" s="1"/>
  <c r="U23" i="1" s="1"/>
  <c r="K23" i="1"/>
  <c r="BF22" i="1"/>
  <c r="BJ22" i="1" s="1"/>
  <c r="BK22" i="1" s="1"/>
  <c r="BE22" i="1"/>
  <c r="BG22" i="1"/>
  <c r="AH22" i="1"/>
  <c r="K22" i="1"/>
  <c r="J22" i="1"/>
  <c r="AW22" i="1" s="1"/>
  <c r="AY22" i="1" s="1"/>
  <c r="I22" i="1"/>
  <c r="H22" i="1" s="1"/>
  <c r="N22" i="1"/>
  <c r="T22" i="1"/>
  <c r="U22" i="1" s="1"/>
  <c r="BF21" i="1"/>
  <c r="BJ21" i="1" s="1"/>
  <c r="BK21" i="1" s="1"/>
  <c r="BG21" i="1"/>
  <c r="BE21" i="1"/>
  <c r="I21" i="1"/>
  <c r="H21" i="1" s="1"/>
  <c r="AH21" i="1"/>
  <c r="K21" i="1"/>
  <c r="J21" i="1"/>
  <c r="AW21" i="1" s="1"/>
  <c r="AY21" i="1" s="1"/>
  <c r="N21" i="1"/>
  <c r="T21" i="1"/>
  <c r="U21" i="1" s="1"/>
  <c r="BE20" i="1"/>
  <c r="BF20" i="1"/>
  <c r="BJ20" i="1" s="1"/>
  <c r="BK20" i="1" s="1"/>
  <c r="BG20" i="1"/>
  <c r="AH20" i="1"/>
  <c r="I20" i="1"/>
  <c r="H20" i="1" s="1"/>
  <c r="K20" i="1"/>
  <c r="N20" i="1"/>
  <c r="J20" i="1"/>
  <c r="AW20" i="1" s="1"/>
  <c r="AY20" i="1" s="1"/>
  <c r="T20" i="1"/>
  <c r="U20" i="1" s="1"/>
  <c r="BF19" i="1"/>
  <c r="BJ19" i="1" s="1"/>
  <c r="BK19" i="1" s="1"/>
  <c r="BE19" i="1"/>
  <c r="BG19" i="1"/>
  <c r="I19" i="1"/>
  <c r="H19" i="1" s="1"/>
  <c r="T19" i="1" s="1"/>
  <c r="U19" i="1" s="1"/>
  <c r="K19" i="1"/>
  <c r="N19" i="1"/>
  <c r="J19" i="1"/>
  <c r="AW19" i="1" s="1"/>
  <c r="AY19" i="1" s="1"/>
  <c r="AH19" i="1"/>
  <c r="BF18" i="1"/>
  <c r="BJ18" i="1" s="1"/>
  <c r="BK18" i="1" s="1"/>
  <c r="BG18" i="1"/>
  <c r="BE18" i="1"/>
  <c r="J18" i="1"/>
  <c r="AW18" i="1" s="1"/>
  <c r="AY18" i="1" s="1"/>
  <c r="AH18" i="1"/>
  <c r="I18" i="1"/>
  <c r="H18" i="1" s="1"/>
  <c r="K18" i="1"/>
  <c r="N18" i="1"/>
  <c r="T18" i="1"/>
  <c r="U18" i="1" s="1"/>
  <c r="BF17" i="1"/>
  <c r="BJ17" i="1" s="1"/>
  <c r="BK17" i="1" s="1"/>
  <c r="BE17" i="1"/>
  <c r="BG17" i="1"/>
  <c r="J17" i="1"/>
  <c r="AW17" i="1" s="1"/>
  <c r="AH17" i="1"/>
  <c r="K17" i="1"/>
  <c r="N17" i="1"/>
  <c r="I17" i="1"/>
  <c r="H17" i="1" s="1"/>
  <c r="T17" i="1"/>
  <c r="U17" i="1" s="1"/>
  <c r="AX23" i="1"/>
  <c r="AY17" i="1" l="1"/>
  <c r="T28" i="1"/>
  <c r="U28" i="1" s="1"/>
  <c r="Q28" i="1"/>
  <c r="O28" i="1" s="1"/>
  <c r="R28" i="1" s="1"/>
  <c r="L28" i="1" s="1"/>
  <c r="M28" i="1" s="1"/>
  <c r="AA28" i="1"/>
  <c r="T27" i="1"/>
  <c r="U27" i="1" s="1"/>
  <c r="AY27" i="1"/>
  <c r="AX27" i="1"/>
  <c r="T26" i="1"/>
  <c r="U26" i="1" s="1"/>
  <c r="AY26" i="1"/>
  <c r="AX26" i="1"/>
  <c r="T25" i="1"/>
  <c r="U25" i="1" s="1"/>
  <c r="Q25" i="1"/>
  <c r="O25" i="1" s="1"/>
  <c r="R25" i="1" s="1"/>
  <c r="L25" i="1" s="1"/>
  <c r="M25" i="1" s="1"/>
  <c r="AA25" i="1"/>
  <c r="T24" i="1"/>
  <c r="U24" i="1" s="1"/>
  <c r="Q24" i="1" s="1"/>
  <c r="O24" i="1" s="1"/>
  <c r="R24" i="1" s="1"/>
  <c r="L24" i="1" s="1"/>
  <c r="M24" i="1" s="1"/>
  <c r="AA24" i="1"/>
  <c r="Q23" i="1"/>
  <c r="O23" i="1" s="1"/>
  <c r="R23" i="1" s="1"/>
  <c r="L23" i="1" s="1"/>
  <c r="M23" i="1" s="1"/>
  <c r="AA23" i="1"/>
  <c r="AB23" i="1"/>
  <c r="V23" i="1"/>
  <c r="Z23" i="1" s="1"/>
  <c r="AC23" i="1"/>
  <c r="AD23" i="1" s="1"/>
  <c r="AA22" i="1"/>
  <c r="Q22" i="1"/>
  <c r="O22" i="1" s="1"/>
  <c r="R22" i="1" s="1"/>
  <c r="L22" i="1" s="1"/>
  <c r="M22" i="1" s="1"/>
  <c r="AB22" i="1"/>
  <c r="V22" i="1"/>
  <c r="Z22" i="1" s="1"/>
  <c r="AC22" i="1"/>
  <c r="Q21" i="1"/>
  <c r="O21" i="1" s="1"/>
  <c r="R21" i="1" s="1"/>
  <c r="L21" i="1" s="1"/>
  <c r="M21" i="1" s="1"/>
  <c r="AA21" i="1"/>
  <c r="AB21" i="1"/>
  <c r="AC21" i="1"/>
  <c r="AD21" i="1" s="1"/>
  <c r="V21" i="1"/>
  <c r="Z21" i="1" s="1"/>
  <c r="Q20" i="1"/>
  <c r="O20" i="1" s="1"/>
  <c r="R20" i="1" s="1"/>
  <c r="L20" i="1" s="1"/>
  <c r="M20" i="1" s="1"/>
  <c r="AA20" i="1"/>
  <c r="AB20" i="1"/>
  <c r="AC20" i="1"/>
  <c r="AD20" i="1" s="1"/>
  <c r="V20" i="1"/>
  <c r="Z20" i="1" s="1"/>
  <c r="AA19" i="1"/>
  <c r="Q19" i="1"/>
  <c r="O19" i="1" s="1"/>
  <c r="R19" i="1" s="1"/>
  <c r="L19" i="1" s="1"/>
  <c r="M19" i="1" s="1"/>
  <c r="AB19" i="1"/>
  <c r="AC19" i="1"/>
  <c r="AD19" i="1" s="1"/>
  <c r="V19" i="1"/>
  <c r="Z19" i="1" s="1"/>
  <c r="AA18" i="1"/>
  <c r="Q18" i="1"/>
  <c r="O18" i="1" s="1"/>
  <c r="R18" i="1" s="1"/>
  <c r="L18" i="1" s="1"/>
  <c r="M18" i="1" s="1"/>
  <c r="AB18" i="1"/>
  <c r="AC18" i="1"/>
  <c r="AD18" i="1" s="1"/>
  <c r="V18" i="1"/>
  <c r="Z18" i="1" s="1"/>
  <c r="Q17" i="1"/>
  <c r="O17" i="1" s="1"/>
  <c r="R17" i="1" s="1"/>
  <c r="L17" i="1" s="1"/>
  <c r="M17" i="1" s="1"/>
  <c r="AA17" i="1"/>
  <c r="AB17" i="1"/>
  <c r="AC17" i="1"/>
  <c r="AD17" i="1" s="1"/>
  <c r="V17" i="1"/>
  <c r="Z17" i="1" s="1"/>
  <c r="AY25" i="1"/>
  <c r="AY24" i="1"/>
  <c r="V28" i="1" l="1"/>
  <c r="Z28" i="1" s="1"/>
  <c r="AB28" i="1"/>
  <c r="AC28" i="1"/>
  <c r="AD28" i="1" s="1"/>
  <c r="Q27" i="1"/>
  <c r="O27" i="1" s="1"/>
  <c r="R27" i="1" s="1"/>
  <c r="L27" i="1" s="1"/>
  <c r="M27" i="1" s="1"/>
  <c r="AB27" i="1"/>
  <c r="V27" i="1"/>
  <c r="Z27" i="1" s="1"/>
  <c r="AC27" i="1"/>
  <c r="AD27" i="1" s="1"/>
  <c r="Q26" i="1"/>
  <c r="O26" i="1" s="1"/>
  <c r="R26" i="1" s="1"/>
  <c r="L26" i="1" s="1"/>
  <c r="M26" i="1" s="1"/>
  <c r="AB26" i="1"/>
  <c r="V26" i="1"/>
  <c r="Z26" i="1" s="1"/>
  <c r="AC26" i="1"/>
  <c r="AD26" i="1" s="1"/>
  <c r="AB25" i="1"/>
  <c r="V25" i="1"/>
  <c r="Z25" i="1" s="1"/>
  <c r="AC25" i="1"/>
  <c r="AD25" i="1" s="1"/>
  <c r="AB24" i="1"/>
  <c r="V24" i="1"/>
  <c r="Z24" i="1" s="1"/>
  <c r="AC24" i="1"/>
  <c r="AD24" i="1" s="1"/>
  <c r="AD22" i="1"/>
</calcChain>
</file>

<file path=xl/sharedStrings.xml><?xml version="1.0" encoding="utf-8"?>
<sst xmlns="http://schemas.openxmlformats.org/spreadsheetml/2006/main" count="786" uniqueCount="380">
  <si>
    <t>File opened</t>
  </si>
  <si>
    <t>2026-10-10 11:28:22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</si>
  <si>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</si>
  <si>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</si>
  <si>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</si>
  <si>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</si>
  <si>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</si>
  <si>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</si>
  <si>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</si>
  <si>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</si>
  <si>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</si>
  <si>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</si>
  <si>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</si>
  <si>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{"co2bzero": "0.953041", "co2aspan2a": "0.106022", "h2oazero": "1.03097", "chamberpressurezero": "2.71033", "h2oaspan2a": "0.0964052", "oxygen": "21", "ssb_ref": "36242.9", "co2bspan2": "-0.00857283", "co2aspanconc1": "437.6", "co2aspan2b": "0.105998", "h2obspanconc2": "0", "flowazero": "0.276", "h2obspan1": "1.01044", "h2oaspan2b": "0.0986302", "h2oaspanconc2": "0", "tazero": "0.15448", "co2bspan2b": "0.105618", "h2oaspan2": "0", "ssa_ref": "37830.5", "co2bspanconc2": "1516", "co2bspanconc1": "437.6", "co2bspan1": "1.00005", "h2obspan2a": "0.0961931", "co2bspan2a": "0.105708", "flowmeterzero": "2.483", "co2aspan2": "-0.00988168", "h2oaspanconc1": "17.96", "tbzero": "0.143742", "co2azero": "0.931334", "h2obspanconc1": "17.96", "co2aspan1": "1.00082", "h2oaspan1": "1.02308", "h2obspan2b": "0.0971974", "h2obspan2": "0", "co2aspanconc2": "1516", "h2obzero": "1.01897", "flowbzero": "0.30473"}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</si>
  <si>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</si>
  <si>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</si>
  <si>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</si>
  <si>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</si>
  <si>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</si>
  <si>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</si>
  <si>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</si>
  <si>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</si>
  <si>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</si>
  <si>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</si>
  <si>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</si>
  <si>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</si>
  <si>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</si>
  <si>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</si>
  <si>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</si>
  <si>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11:28:22</t>
  </si>
  <si>
    <t>Stability Definition:	F (FlrLS):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</si>
  <si>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</si>
  <si>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</si>
  <si>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</si>
  <si>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</si>
  <si>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</si>
  <si>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</si>
  <si>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</si>
  <si>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</si>
  <si>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</si>
  <si>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</si>
  <si>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</si>
  <si>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</si>
  <si>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</si>
  <si>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</si>
  <si>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</si>
  <si>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</si>
  <si>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</si>
  <si>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</si>
  <si>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</si>
  <si>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</si>
  <si>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</si>
  <si>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</si>
  <si>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</si>
  <si>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</si>
  <si>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</si>
  <si>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</si>
  <si>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</si>
  <si>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</si>
  <si>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</si>
  <si>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</si>
  <si>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</si>
  <si>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</si>
  <si>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</si>
  <si>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</si>
  <si>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</si>
  <si>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</si>
  <si>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</si>
  <si>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</si>
  <si>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</si>
  <si>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</si>
  <si>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</si>
  <si>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</si>
  <si>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</si>
  <si>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</si>
  <si>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</si>
  <si>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</si>
  <si>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</si>
  <si>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</si>
  <si>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</si>
  <si>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</si>
  <si>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</si>
  <si>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</si>
  <si>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4.75784 201.711 358.252 588.927 851.19 1062.43 1252.37 1365.43</t>
  </si>
  <si>
    <t>Fs_true</t>
  </si>
  <si>
    <t>0.181028 227.625 384.88 589.265 811.095 1001.86 1203.08 1400.96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</si>
  <si>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</si>
  <si>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</si>
  <si>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</si>
  <si>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</si>
  <si>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</si>
  <si>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</si>
  <si>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</si>
  <si>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</si>
  <si>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</si>
  <si>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</si>
  <si>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</si>
  <si>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</si>
  <si>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</si>
  <si>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</si>
  <si>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</si>
  <si>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</si>
  <si>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</si>
  <si>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</si>
  <si>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</si>
  <si>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</si>
  <si>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</si>
  <si>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</si>
  <si>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</si>
  <si>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</si>
  <si>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</si>
  <si>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</si>
  <si>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</si>
  <si>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</si>
  <si>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</si>
  <si>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</si>
  <si>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</si>
  <si>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</si>
  <si>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</si>
  <si>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</si>
  <si>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</si>
  <si>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</si>
  <si>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</si>
  <si>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</si>
  <si>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</si>
  <si>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</si>
  <si>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</si>
  <si>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</si>
  <si>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</si>
  <si>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</si>
  <si>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</si>
  <si>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</si>
  <si>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</si>
  <si>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</si>
  <si>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</si>
  <si>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</si>
  <si>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</si>
  <si>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</si>
  <si>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</si>
  <si>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</si>
  <si>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</si>
  <si>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</si>
  <si>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</si>
  <si>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</si>
  <si>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</si>
  <si>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</si>
  <si>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</si>
  <si>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</si>
  <si>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</si>
  <si>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</si>
  <si>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</si>
  <si>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</si>
  <si>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</si>
  <si>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</si>
  <si>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</si>
  <si>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</si>
  <si>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</si>
  <si>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</si>
  <si>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</si>
  <si>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</si>
  <si>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</si>
  <si>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</si>
  <si>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</si>
  <si>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</si>
  <si>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</si>
  <si>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</si>
  <si>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</si>
  <si>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</si>
  <si>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</si>
  <si>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</si>
  <si>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</si>
  <si>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</si>
  <si>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</si>
  <si>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</si>
  <si>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</si>
  <si>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</si>
  <si>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</si>
  <si>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</si>
  <si>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</si>
  <si>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</si>
  <si>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</si>
  <si>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</si>
  <si>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</si>
  <si>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</si>
  <si>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</si>
  <si>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</si>
  <si>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</si>
  <si>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</si>
  <si>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</si>
  <si>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</si>
  <si>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</si>
  <si>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</si>
  <si>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</si>
  <si>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</si>
  <si>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</si>
  <si>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</si>
  <si>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</si>
  <si>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</si>
  <si>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</si>
  <si>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</si>
  <si>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</si>
  <si>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</si>
  <si>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</si>
  <si>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</si>
  <si>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</si>
  <si>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</si>
  <si>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</si>
  <si>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</si>
  <si>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</si>
  <si>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</si>
  <si>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</si>
  <si>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</si>
  <si>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</si>
  <si>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</si>
  <si>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</si>
  <si>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</si>
  <si>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</si>
  <si>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</si>
  <si>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</si>
  <si>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</si>
  <si>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</si>
  <si>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</si>
  <si>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</si>
  <si>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</si>
  <si>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</si>
  <si>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</si>
  <si>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</si>
  <si>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</si>
  <si>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</si>
  <si>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</si>
  <si>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</si>
  <si>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</si>
  <si>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</si>
  <si>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</si>
  <si>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</si>
  <si>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</si>
  <si>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</si>
  <si>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</si>
  <si>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</si>
  <si>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</si>
  <si>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</si>
  <si>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</si>
  <si>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</si>
  <si>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</si>
  <si>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</si>
  <si>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</si>
  <si>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</si>
  <si>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</si>
  <si>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</si>
  <si>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</si>
  <si>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</si>
  <si>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</si>
  <si>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</si>
  <si>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</si>
  <si>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</si>
  <si>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</si>
  <si>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</si>
  <si>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</si>
  <si>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</si>
  <si>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</si>
  <si>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</si>
  <si>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</si>
  <si>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</si>
  <si>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</si>
  <si>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</si>
  <si>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</si>
  <si>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</si>
  <si>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</si>
  <si>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</si>
  <si>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</si>
  <si>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</si>
  <si>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</si>
  <si>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</si>
  <si>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</si>
  <si>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</si>
  <si>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</si>
  <si>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</si>
  <si>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</si>
  <si>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</si>
  <si>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</si>
  <si>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</si>
  <si>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</si>
  <si>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</si>
  <si>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</si>
  <si>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</si>
  <si>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</si>
  <si>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</si>
  <si>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</si>
  <si>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</si>
  <si>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</si>
  <si>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</si>
  <si>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</si>
  <si>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</si>
  <si>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</si>
  <si>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</si>
  <si>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</si>
  <si>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</si>
  <si>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</si>
  <si>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</si>
  <si>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</si>
  <si>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</si>
  <si>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</si>
  <si>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</si>
  <si>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</si>
  <si>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</si>
  <si>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</si>
  <si>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</si>
  <si>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</si>
  <si>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</si>
  <si>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</si>
  <si>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</si>
  <si>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</si>
  <si>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</si>
  <si>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</si>
  <si>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</si>
  <si>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</si>
  <si>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</si>
  <si>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</si>
  <si>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</si>
  <si>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</si>
  <si>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</si>
  <si>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</si>
  <si>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</si>
  <si>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</si>
  <si>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</si>
  <si>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</si>
  <si>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</si>
  <si>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</si>
  <si>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</si>
  <si>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</si>
  <si>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</si>
  <si>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</si>
  <si>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</si>
  <si>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</si>
  <si>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</si>
  <si>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</si>
  <si>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</si>
  <si>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</si>
  <si>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</si>
  <si>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</si>
  <si>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</si>
  <si>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20261010 12:22:33</t>
  </si>
  <si>
    <t>12:22:33</t>
  </si>
  <si>
    <t>-</t>
  </si>
  <si>
    <t>0: Broadleaf</t>
  </si>
  <si>
    <t>12:21:27</t>
  </si>
  <si>
    <t>2/2</t>
  </si>
  <si>
    <t>20261010 12:24:34</t>
  </si>
  <si>
    <t>12:24:34</t>
  </si>
  <si>
    <t>12:23:37</t>
  </si>
  <si>
    <t>20261010 12:26:36</t>
  </si>
  <si>
    <t>12:26:36</t>
  </si>
  <si>
    <t>12:25:40</t>
  </si>
  <si>
    <t>20261010 12:28:37</t>
  </si>
  <si>
    <t>12:28:37</t>
  </si>
  <si>
    <t>12:27:46</t>
  </si>
  <si>
    <t>20261010 12:30:38</t>
  </si>
  <si>
    <t>12:30:38</t>
  </si>
  <si>
    <t>12:29:41</t>
  </si>
  <si>
    <t>20261010 12:32:50</t>
  </si>
  <si>
    <t>12:32:50</t>
  </si>
  <si>
    <t>12:31:47</t>
  </si>
  <si>
    <t>20261010 12:34:51</t>
  </si>
  <si>
    <t>12:34:51</t>
  </si>
  <si>
    <t>12:33:49</t>
  </si>
  <si>
    <t>20261010 12:36:52</t>
  </si>
  <si>
    <t>12:36:52</t>
  </si>
  <si>
    <t>12:35:53</t>
  </si>
  <si>
    <t>20261010 12:39:15</t>
  </si>
  <si>
    <t>12:39:15</t>
  </si>
  <si>
    <t>12:37:57</t>
  </si>
  <si>
    <t>20261010 12:41:16</t>
  </si>
  <si>
    <t>12:41:16</t>
  </si>
  <si>
    <t>12:40:15</t>
  </si>
  <si>
    <t>20261010 12:43:20</t>
  </si>
  <si>
    <t>12:43:20</t>
  </si>
  <si>
    <t>12:42:14</t>
  </si>
  <si>
    <t>20261010 12:45:24</t>
  </si>
  <si>
    <t>12:45:24</t>
  </si>
  <si>
    <t>12:44:25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</si>
</sst>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8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34</v>
      </c>
    </row>
    <row r="3" spans="1:216" x14ac:dyDescent="0.3">
      <c r="B3" t="s">
        <v>33</v>
      </c>
      <c r="C3">
        <v>21</v>
      </c>
    </row>
    <row r="4" spans="1:216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3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3">
      <c r="A17">
        <v>1</v>
      </c>
      <c r="B17">
        <v>1791602553.0999999</v>
      </c>
      <c r="C17">
        <v>0</v>
      </c>
      <c r="D17" t="s">
        <v>341</v>
      </c>
      <c r="E17" t="s">
        <v>342</v>
      </c>
      <c r="F17">
        <v>5</v>
      </c>
      <c r="G17">
        <v>1791602549.5999999</v>
      </c>
      <c r="H17">
        <f t="shared" ref="H17:H28" si="0">(I17)/1000</f>
        <v>5.5163667207658012E-3</v>
      </c>
      <c r="I17">
        <f t="shared" ref="I17:I28" si="1">1000*DI17*AG17*(DE17-DF17)/(100*CX17*(1000-AG17*DE17))</f>
        <v>5.5163667207658014</v>
      </c>
      <c r="J17">
        <f t="shared" ref="J17:J28" si="2">DI17*AG17*(DD17-DC17*(1000-AG17*DF17)/(1000-AG17*DE17))/(100*CX17)</f>
        <v>24.786517643804167</v>
      </c>
      <c r="K17">
        <f t="shared" ref="K17:K28" si="3">DC17 - IF(AG17&gt;1, J17*CX17*100/(AI17), 0)</f>
        <v>389.245833333333</v>
      </c>
      <c r="L17">
        <f t="shared" ref="L17:L28" si="4">((R17-H17/2)*K17-J17)/(R17+H17/2)</f>
        <v>282.099437833416</v>
      </c>
      <c r="M17">
        <f t="shared" ref="M17:M28" si="5">L17*(DJ17+DK17)/1000</f>
        <v>28.588280513463836</v>
      </c>
      <c r="N17">
        <f t="shared" ref="N17:N28" si="6">(DC17 - IF(AG17&gt;1, J17*CX17*100/(AI17), 0))*(DJ17+DK17)/1000</f>
        <v>39.446619098197182</v>
      </c>
      <c r="O17">
        <f t="shared" ref="O17:O28" si="7">2/((1/Q17-1/P17)+SIGN(Q17)*SQRT((1/Q17-1/P17)*(1/Q17-1/P17) + 4*CY17/((CY17+1)*(CY17+1))*(2*1/Q17*1/P17-1/P17*1/P17)))</f>
        <v>0.42413304815050423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3.0304943551254899</v>
      </c>
      <c r="Q17">
        <f t="shared" ref="Q17:Q28" si="9">H17*(1000-(1000*0.61365*EXP(17.502*U17/(240.97+U17))/(DJ17+DK17)+DE17)/2)/(1000*0.61365*EXP(17.502*U17/(240.97+U17))/(DJ17+DK17)-DE17)</f>
        <v>0.39370094970626118</v>
      </c>
      <c r="R17">
        <f t="shared" ref="R17:R28" si="10">1/((CY17+1)/(O17/1.6)+1/(P17/1.37)) + CY17/((CY17+1)/(O17/1.6) + CY17/(P17/1.37))</f>
        <v>0.24861509223451828</v>
      </c>
      <c r="S17">
        <f t="shared" ref="S17:S28" si="11">(CT17*CW17)</f>
        <v>241.7312580155793</v>
      </c>
      <c r="T17">
        <f t="shared" ref="T17:T28" si="12">(DL17+(S17+2*0.95*0.0000000567*(((DL17+$B$7)+273)^4-(DL17+273)^4)-44100*H17)/(1.84*29.3*P17+8*0.95*0.0000000567*(DL17+273)^3))</f>
        <v>25.399788535034531</v>
      </c>
      <c r="U17">
        <f t="shared" ref="U17:U28" si="13">($C$7*DM17+$D$7*DN17+$E$7*T17)</f>
        <v>24.9894</v>
      </c>
      <c r="V17">
        <f t="shared" ref="V17:V28" si="14">0.61365*EXP(17.502*U17/(240.97+U17))</f>
        <v>3.1776687081813542</v>
      </c>
      <c r="W17">
        <f t="shared" ref="W17:W28" si="15">(X17/Y17*100)</f>
        <v>55.020257289470479</v>
      </c>
      <c r="X17">
        <f t="shared" ref="X17:X28" si="16">DE17*(DJ17+DK17)/1000</f>
        <v>1.7925407820398309</v>
      </c>
      <c r="Y17">
        <f t="shared" ref="Y17:Y28" si="17">0.61365*EXP(17.502*DL17/(240.97+DL17))</f>
        <v>3.2579651029419652</v>
      </c>
      <c r="Z17">
        <f t="shared" ref="Z17:Z28" si="18">(V17-DE17*(DJ17+DK17)/1000)</f>
        <v>1.3851279261415232</v>
      </c>
      <c r="AA17">
        <f t="shared" ref="AA17:AA28" si="19">(-H17*44100)</f>
        <v>-243.27177238577184</v>
      </c>
      <c r="AB17">
        <f t="shared" ref="AB17:AB28" si="20">2*29.3*P17*0.92*(DL17-U17)</f>
        <v>68.488900893541853</v>
      </c>
      <c r="AC17">
        <f t="shared" ref="AC17:AC28" si="21">2*0.95*0.0000000567*(((DL17+$B$7)+273)^4-(U17+273)^4)</f>
        <v>4.7900129538222451</v>
      </c>
      <c r="AD17">
        <f t="shared" ref="AD17:AD28" si="22">S17+AC17+AA17+AB17</f>
        <v>71.738399477171555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53786.089561702727</v>
      </c>
      <c r="AJ17" t="s">
        <v>343</v>
      </c>
      <c r="AK17" t="s">
        <v>343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1261.1814000080722</v>
      </c>
      <c r="AW17">
        <f t="shared" ref="AW17:AW28" si="29">J17</f>
        <v>24.786517643804167</v>
      </c>
      <c r="AX17" t="e">
        <f t="shared" ref="AX17:AX28" si="30">AT17*AU17*AV17</f>
        <v>#DIV/0!</v>
      </c>
      <c r="AY17">
        <f t="shared" ref="AY17:AY28" si="31">(AW17-AO17)/AV17</f>
        <v>1.9653411986289619E-2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343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CT17">
        <f t="shared" ref="CT17:CT28" si="42">$B$11*DR17+$C$11*DS17+$F$11*DT17*(1-DW17)</f>
        <v>1499.9649999999999</v>
      </c>
      <c r="CU17">
        <f t="shared" ref="CU17:CU28" si="43">CT17*CV17</f>
        <v>1261.1814000080722</v>
      </c>
      <c r="CV17">
        <f t="shared" ref="CV17:CV28" si="44">($B$11*$D$9+$C$11*$D$9+$F$11*((EG17+DY17)/MAX(EG17+DY17+EH17, 0.1)*$I$9+EH17/MAX(EG17+DY17+EH17, 0.1)*$J$9))/($B$11+$C$11+$F$11)</f>
        <v>0.8408072188404877</v>
      </c>
      <c r="CW17">
        <f t="shared" ref="CW17:CW28" si="45">($B$11*$K$9+$C$11*$K$9+$F$11*((EG17+DY17)/MAX(EG17+DY17+EH17, 0.1)*$P$9+EH17/MAX(EG17+DY17+EH17, 0.1)*$Q$9))/($B$11+$C$11+$F$11)</f>
        <v>0.16115793236214132</v>
      </c>
      <c r="CX17">
        <v>2</v>
      </c>
      <c r="CY17">
        <v>0.5</v>
      </c>
      <c r="CZ17" t="s">
        <v>344</v>
      </c>
      <c r="DA17">
        <v>2</v>
      </c>
      <c r="DB17">
        <v>1791602549.5999999</v>
      </c>
      <c r="DC17">
        <v>389.245833333333</v>
      </c>
      <c r="DD17">
        <v>400.01850000000002</v>
      </c>
      <c r="DE17">
        <v>17.688183333333299</v>
      </c>
      <c r="DF17">
        <v>15.5208333333333</v>
      </c>
      <c r="DG17">
        <v>389.79199999999997</v>
      </c>
      <c r="DH17">
        <v>17.874833333333299</v>
      </c>
      <c r="DI17">
        <v>500.0385</v>
      </c>
      <c r="DJ17">
        <v>101.241166666667</v>
      </c>
      <c r="DK17">
        <v>9.9980033333333301E-2</v>
      </c>
      <c r="DL17">
        <v>25.4086</v>
      </c>
      <c r="DM17">
        <v>24.9894</v>
      </c>
      <c r="DN17">
        <v>999.9</v>
      </c>
      <c r="DO17">
        <v>0</v>
      </c>
      <c r="DP17">
        <v>0</v>
      </c>
      <c r="DQ17">
        <v>9993.6333333333296</v>
      </c>
      <c r="DR17">
        <v>0</v>
      </c>
      <c r="DS17">
        <v>8.7524599999999992</v>
      </c>
      <c r="DT17">
        <v>1499.9649999999999</v>
      </c>
      <c r="DU17">
        <v>0.97299983333333295</v>
      </c>
      <c r="DV17">
        <v>2.7000150000000001E-2</v>
      </c>
      <c r="DW17">
        <v>0</v>
      </c>
      <c r="DX17">
        <v>267.3365</v>
      </c>
      <c r="DY17">
        <v>4.9999900000000004</v>
      </c>
      <c r="DZ17">
        <v>3952.1750000000002</v>
      </c>
      <c r="EA17">
        <v>14882.25</v>
      </c>
      <c r="EB17">
        <v>36.572499999999998</v>
      </c>
      <c r="EC17">
        <v>38.1353333333333</v>
      </c>
      <c r="ED17">
        <v>37.125</v>
      </c>
      <c r="EE17">
        <v>37.686999999999998</v>
      </c>
      <c r="EF17">
        <v>38.25</v>
      </c>
      <c r="EG17">
        <v>1454.605</v>
      </c>
      <c r="EH17">
        <v>40.36</v>
      </c>
      <c r="EI17">
        <v>0</v>
      </c>
      <c r="EJ17">
        <v>1791602553.5</v>
      </c>
      <c r="EK17">
        <v>0</v>
      </c>
      <c r="EL17">
        <v>267.35476923076902</v>
      </c>
      <c r="EM17">
        <v>0.55343590382299102</v>
      </c>
      <c r="EN17">
        <v>-2.9517948722485601</v>
      </c>
      <c r="EO17">
        <v>3952.5361538461498</v>
      </c>
      <c r="EP17">
        <v>15</v>
      </c>
      <c r="EQ17">
        <v>1791602487.0999999</v>
      </c>
      <c r="ER17" t="s">
        <v>345</v>
      </c>
      <c r="ES17">
        <v>1791602485.0999999</v>
      </c>
      <c r="ET17">
        <v>1791602487.0999999</v>
      </c>
      <c r="EU17">
        <v>28</v>
      </c>
      <c r="EV17">
        <v>3.4000000000000002E-2</v>
      </c>
      <c r="EW17">
        <v>-1E-3</v>
      </c>
      <c r="EX17">
        <v>-0.53200000000000003</v>
      </c>
      <c r="EY17">
        <v>-0.193</v>
      </c>
      <c r="EZ17">
        <v>400</v>
      </c>
      <c r="FA17">
        <v>16</v>
      </c>
      <c r="FB17">
        <v>0.12</v>
      </c>
      <c r="FC17">
        <v>0.05</v>
      </c>
      <c r="FD17">
        <v>24.718663828564001</v>
      </c>
      <c r="FE17">
        <v>0.198716250766933</v>
      </c>
      <c r="FF17">
        <v>6.6365820476004603E-2</v>
      </c>
      <c r="FG17">
        <v>1</v>
      </c>
      <c r="FH17">
        <v>-10.747947619047601</v>
      </c>
      <c r="FI17">
        <v>-7.3355844155839997E-2</v>
      </c>
      <c r="FJ17">
        <v>2.56074509069159E-2</v>
      </c>
      <c r="FK17">
        <v>1</v>
      </c>
      <c r="FL17">
        <v>267.33997058823502</v>
      </c>
      <c r="FM17">
        <v>-0.53514131991272795</v>
      </c>
      <c r="FN17">
        <v>0.43840382172108799</v>
      </c>
      <c r="FO17">
        <v>-1</v>
      </c>
      <c r="FP17">
        <v>2</v>
      </c>
      <c r="FQ17">
        <v>2</v>
      </c>
      <c r="FR17" t="s">
        <v>346</v>
      </c>
      <c r="FS17">
        <v>100</v>
      </c>
      <c r="FT17">
        <v>100</v>
      </c>
      <c r="FU17">
        <v>-0.54600000000000004</v>
      </c>
      <c r="FV17">
        <v>-0.18659999999999999</v>
      </c>
      <c r="FW17">
        <v>-0.95703058758764803</v>
      </c>
      <c r="FX17">
        <v>7.6835882421071803E-4</v>
      </c>
      <c r="FY17">
        <v>7.9312579872174805E-7</v>
      </c>
      <c r="FZ17">
        <v>-1.5433145656851401E-10</v>
      </c>
      <c r="GA17">
        <v>-3.7287767353036301E-2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1.1000000000000001</v>
      </c>
      <c r="GJ17">
        <v>1.1000000000000001</v>
      </c>
      <c r="GK17">
        <v>1.0424800000000001</v>
      </c>
      <c r="GL17">
        <v>2.64771</v>
      </c>
      <c r="GM17">
        <v>1.65161</v>
      </c>
      <c r="GN17">
        <v>2.2766099999999998</v>
      </c>
      <c r="GO17">
        <v>1.5979000000000001</v>
      </c>
      <c r="GP17">
        <v>2.4890099999999999</v>
      </c>
      <c r="GQ17">
        <v>37.433799999999998</v>
      </c>
      <c r="GR17">
        <v>23.938700000000001</v>
      </c>
      <c r="GS17">
        <v>18</v>
      </c>
      <c r="GT17">
        <v>503.637</v>
      </c>
      <c r="GU17">
        <v>523.70699999999999</v>
      </c>
      <c r="GV17">
        <v>21.967400000000001</v>
      </c>
      <c r="GW17">
        <v>29.163499999999999</v>
      </c>
      <c r="GX17">
        <v>30.0001</v>
      </c>
      <c r="GY17">
        <v>29.292999999999999</v>
      </c>
      <c r="GZ17">
        <v>29.3474</v>
      </c>
      <c r="HA17">
        <v>20.836400000000001</v>
      </c>
      <c r="HB17">
        <v>20.640799999999999</v>
      </c>
      <c r="HC17">
        <v>21.520299999999999</v>
      </c>
      <c r="HD17">
        <v>21.972300000000001</v>
      </c>
      <c r="HE17">
        <v>400</v>
      </c>
      <c r="HF17">
        <v>15.5534</v>
      </c>
      <c r="HG17">
        <v>98.173000000000002</v>
      </c>
      <c r="HH17">
        <v>94.740799999999993</v>
      </c>
    </row>
    <row r="18" spans="1:216" x14ac:dyDescent="0.3">
      <c r="A18">
        <v>2</v>
      </c>
      <c r="B18">
        <v>1791602674.0999999</v>
      </c>
      <c r="C18">
        <v>121</v>
      </c>
      <c r="D18" t="s">
        <v>347</v>
      </c>
      <c r="E18" t="s">
        <v>348</v>
      </c>
      <c r="F18">
        <v>5</v>
      </c>
      <c r="G18">
        <v>1791602671.0999999</v>
      </c>
      <c r="H18">
        <f t="shared" si="0"/>
        <v>5.4951937149438322E-3</v>
      </c>
      <c r="I18">
        <f t="shared" si="1"/>
        <v>5.4951937149438326</v>
      </c>
      <c r="J18">
        <f t="shared" si="2"/>
        <v>18.274817761713813</v>
      </c>
      <c r="K18">
        <f t="shared" si="3"/>
        <v>292.0378</v>
      </c>
      <c r="L18">
        <f t="shared" si="4"/>
        <v>212.44078330704033</v>
      </c>
      <c r="M18">
        <f t="shared" si="5"/>
        <v>21.528136734495604</v>
      </c>
      <c r="N18">
        <f t="shared" si="6"/>
        <v>29.594269010741911</v>
      </c>
      <c r="O18">
        <f t="shared" si="7"/>
        <v>0.42121246725573969</v>
      </c>
      <c r="P18">
        <f t="shared" si="8"/>
        <v>3.0299892257665237</v>
      </c>
      <c r="Q18">
        <f t="shared" si="9"/>
        <v>0.39117751079835089</v>
      </c>
      <c r="R18">
        <f t="shared" si="10"/>
        <v>0.2470057591192249</v>
      </c>
      <c r="S18">
        <f t="shared" si="11"/>
        <v>241.73460961557913</v>
      </c>
      <c r="T18">
        <f t="shared" si="12"/>
        <v>25.38714789198281</v>
      </c>
      <c r="U18">
        <f t="shared" si="13"/>
        <v>25.012619999999998</v>
      </c>
      <c r="V18">
        <f t="shared" si="14"/>
        <v>3.1820707435444406</v>
      </c>
      <c r="W18">
        <f t="shared" si="15"/>
        <v>55.107160031700317</v>
      </c>
      <c r="X18">
        <f t="shared" si="16"/>
        <v>1.7934521546177553</v>
      </c>
      <c r="Y18">
        <f t="shared" si="17"/>
        <v>3.2544811846338559</v>
      </c>
      <c r="Z18">
        <f t="shared" si="18"/>
        <v>1.3886185889266853</v>
      </c>
      <c r="AA18">
        <f t="shared" si="19"/>
        <v>-242.33804282902301</v>
      </c>
      <c r="AB18">
        <f t="shared" si="20"/>
        <v>61.744083459157743</v>
      </c>
      <c r="AC18">
        <f t="shared" si="21"/>
        <v>4.3191232577102889</v>
      </c>
      <c r="AD18">
        <f t="shared" si="22"/>
        <v>65.459773503424145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53773.493033203435</v>
      </c>
      <c r="AJ18" t="s">
        <v>343</v>
      </c>
      <c r="AK18" t="s">
        <v>343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1261.1990400080722</v>
      </c>
      <c r="AW18">
        <f t="shared" si="29"/>
        <v>18.274817761713813</v>
      </c>
      <c r="AX18" t="e">
        <f t="shared" si="30"/>
        <v>#DIV/0!</v>
      </c>
      <c r="AY18">
        <f t="shared" si="31"/>
        <v>1.44900346273629E-2</v>
      </c>
      <c r="AZ18" t="e">
        <f t="shared" si="32"/>
        <v>#DIV/0!</v>
      </c>
      <c r="BA18" t="e">
        <f t="shared" si="33"/>
        <v>#DIV/0!</v>
      </c>
      <c r="BB18" t="s">
        <v>343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1499.9860000000001</v>
      </c>
      <c r="CU18">
        <f t="shared" si="43"/>
        <v>1261.1990400080722</v>
      </c>
      <c r="CV18">
        <f t="shared" si="44"/>
        <v>0.84080720753931848</v>
      </c>
      <c r="CW18">
        <f t="shared" si="45"/>
        <v>0.16115791055088455</v>
      </c>
      <c r="CX18">
        <v>2</v>
      </c>
      <c r="CY18">
        <v>0.5</v>
      </c>
      <c r="CZ18" t="s">
        <v>344</v>
      </c>
      <c r="DA18">
        <v>2</v>
      </c>
      <c r="DB18">
        <v>1791602671.0999999</v>
      </c>
      <c r="DC18">
        <v>292.0378</v>
      </c>
      <c r="DD18">
        <v>299.98899999999998</v>
      </c>
      <c r="DE18">
        <v>17.697880000000001</v>
      </c>
      <c r="DF18">
        <v>15.538880000000001</v>
      </c>
      <c r="DG18">
        <v>292.577</v>
      </c>
      <c r="DH18">
        <v>17.88252</v>
      </c>
      <c r="DI18">
        <v>500.04079999999999</v>
      </c>
      <c r="DJ18">
        <v>101.23699999999999</v>
      </c>
      <c r="DK18">
        <v>0.10011804000000001</v>
      </c>
      <c r="DL18">
        <v>25.390599999999999</v>
      </c>
      <c r="DM18">
        <v>25.012619999999998</v>
      </c>
      <c r="DN18">
        <v>999.9</v>
      </c>
      <c r="DO18">
        <v>0</v>
      </c>
      <c r="DP18">
        <v>0</v>
      </c>
      <c r="DQ18">
        <v>9990.9940000000006</v>
      </c>
      <c r="DR18">
        <v>0</v>
      </c>
      <c r="DS18">
        <v>8.7524599999999992</v>
      </c>
      <c r="DT18">
        <v>1499.9860000000001</v>
      </c>
      <c r="DU18">
        <v>0.97299999999999998</v>
      </c>
      <c r="DV18">
        <v>2.699998E-2</v>
      </c>
      <c r="DW18">
        <v>0</v>
      </c>
      <c r="DX18">
        <v>261.88279999999997</v>
      </c>
      <c r="DY18">
        <v>4.9999900000000004</v>
      </c>
      <c r="DZ18">
        <v>3871.5859999999998</v>
      </c>
      <c r="EA18">
        <v>14882.46</v>
      </c>
      <c r="EB18">
        <v>36.561999999999998</v>
      </c>
      <c r="EC18">
        <v>38.125</v>
      </c>
      <c r="ED18">
        <v>37.125</v>
      </c>
      <c r="EE18">
        <v>37.674599999999998</v>
      </c>
      <c r="EF18">
        <v>38.25</v>
      </c>
      <c r="EG18">
        <v>1454.626</v>
      </c>
      <c r="EH18">
        <v>40.36</v>
      </c>
      <c r="EI18">
        <v>0</v>
      </c>
      <c r="EJ18">
        <v>1791602674.7</v>
      </c>
      <c r="EK18">
        <v>0</v>
      </c>
      <c r="EL18">
        <v>262.03330769230797</v>
      </c>
      <c r="EM18">
        <v>-2.0092991410745</v>
      </c>
      <c r="EN18">
        <v>-24.557264979713</v>
      </c>
      <c r="EO18">
        <v>3873.4923076923101</v>
      </c>
      <c r="EP18">
        <v>15</v>
      </c>
      <c r="EQ18">
        <v>1791602617.0999999</v>
      </c>
      <c r="ER18" t="s">
        <v>349</v>
      </c>
      <c r="ES18">
        <v>1791602612.0999999</v>
      </c>
      <c r="ET18">
        <v>1791602617.0999999</v>
      </c>
      <c r="EU18">
        <v>29</v>
      </c>
      <c r="EV18">
        <v>0.129</v>
      </c>
      <c r="EW18">
        <v>2E-3</v>
      </c>
      <c r="EX18">
        <v>-0.53</v>
      </c>
      <c r="EY18">
        <v>-0.191</v>
      </c>
      <c r="EZ18">
        <v>300</v>
      </c>
      <c r="FA18">
        <v>16</v>
      </c>
      <c r="FB18">
        <v>0.23</v>
      </c>
      <c r="FC18">
        <v>0.03</v>
      </c>
      <c r="FD18">
        <v>18.354340483639699</v>
      </c>
      <c r="FE18">
        <v>-6.24975515610399E-2</v>
      </c>
      <c r="FF18">
        <v>9.7523371553623103E-2</v>
      </c>
      <c r="FG18">
        <v>1</v>
      </c>
      <c r="FH18">
        <v>-7.9843766666666696</v>
      </c>
      <c r="FI18">
        <v>6.0958441558439699E-2</v>
      </c>
      <c r="FJ18">
        <v>3.88070030907939E-2</v>
      </c>
      <c r="FK18">
        <v>1</v>
      </c>
      <c r="FL18">
        <v>262.203411764706</v>
      </c>
      <c r="FM18">
        <v>-2.1260504149069201</v>
      </c>
      <c r="FN18">
        <v>0.48618213227549101</v>
      </c>
      <c r="FO18">
        <v>-1</v>
      </c>
      <c r="FP18">
        <v>2</v>
      </c>
      <c r="FQ18">
        <v>2</v>
      </c>
      <c r="FR18" t="s">
        <v>346</v>
      </c>
      <c r="FS18">
        <v>100</v>
      </c>
      <c r="FT18">
        <v>100</v>
      </c>
      <c r="FU18">
        <v>-0.53900000000000003</v>
      </c>
      <c r="FV18">
        <v>-0.1847</v>
      </c>
      <c r="FW18">
        <v>-0.82800806859141995</v>
      </c>
      <c r="FX18">
        <v>7.6835882421071803E-4</v>
      </c>
      <c r="FY18">
        <v>7.9312579872174805E-7</v>
      </c>
      <c r="FZ18">
        <v>-1.5433145656851401E-10</v>
      </c>
      <c r="GA18">
        <v>-3.5354201085506701E-2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1</v>
      </c>
      <c r="GJ18">
        <v>0.9</v>
      </c>
      <c r="GK18">
        <v>0.83129900000000001</v>
      </c>
      <c r="GL18">
        <v>2.65137</v>
      </c>
      <c r="GM18">
        <v>1.65161</v>
      </c>
      <c r="GN18">
        <v>2.2766099999999998</v>
      </c>
      <c r="GO18">
        <v>1.5979000000000001</v>
      </c>
      <c r="GP18">
        <v>2.5537100000000001</v>
      </c>
      <c r="GQ18">
        <v>37.409799999999997</v>
      </c>
      <c r="GR18">
        <v>23.956199999999999</v>
      </c>
      <c r="GS18">
        <v>18</v>
      </c>
      <c r="GT18">
        <v>503.82900000000001</v>
      </c>
      <c r="GU18">
        <v>523.327</v>
      </c>
      <c r="GV18">
        <v>21.8431</v>
      </c>
      <c r="GW18">
        <v>29.178599999999999</v>
      </c>
      <c r="GX18">
        <v>30</v>
      </c>
      <c r="GY18">
        <v>29.305499999999999</v>
      </c>
      <c r="GZ18">
        <v>29.360399999999998</v>
      </c>
      <c r="HA18">
        <v>16.619399999999999</v>
      </c>
      <c r="HB18">
        <v>20.459</v>
      </c>
      <c r="HC18">
        <v>21.640899999999998</v>
      </c>
      <c r="HD18">
        <v>21.831800000000001</v>
      </c>
      <c r="HE18">
        <v>300</v>
      </c>
      <c r="HF18">
        <v>15.551500000000001</v>
      </c>
      <c r="HG18">
        <v>98.171700000000001</v>
      </c>
      <c r="HH18">
        <v>94.738</v>
      </c>
    </row>
    <row r="19" spans="1:216" x14ac:dyDescent="0.3">
      <c r="A19">
        <v>3</v>
      </c>
      <c r="B19">
        <v>1791602796</v>
      </c>
      <c r="C19">
        <v>242.90000009536701</v>
      </c>
      <c r="D19" t="s">
        <v>350</v>
      </c>
      <c r="E19" t="s">
        <v>351</v>
      </c>
      <c r="F19">
        <v>5</v>
      </c>
      <c r="G19">
        <v>1791602792.5</v>
      </c>
      <c r="H19">
        <f t="shared" si="0"/>
        <v>5.5333391494442798E-3</v>
      </c>
      <c r="I19">
        <f t="shared" si="1"/>
        <v>5.5333391494442798</v>
      </c>
      <c r="J19">
        <f t="shared" si="2"/>
        <v>11.039802532677625</v>
      </c>
      <c r="K19">
        <f t="shared" si="3"/>
        <v>195.16466666666699</v>
      </c>
      <c r="L19">
        <f t="shared" si="4"/>
        <v>147.03710945033509</v>
      </c>
      <c r="M19">
        <f t="shared" si="5"/>
        <v>14.89967590491954</v>
      </c>
      <c r="N19">
        <f t="shared" si="6"/>
        <v>19.776574038319175</v>
      </c>
      <c r="O19">
        <f t="shared" si="7"/>
        <v>0.42494379427903245</v>
      </c>
      <c r="P19">
        <f t="shared" si="8"/>
        <v>3.0299607970114883</v>
      </c>
      <c r="Q19">
        <f t="shared" si="9"/>
        <v>0.39439476602865331</v>
      </c>
      <c r="R19">
        <f t="shared" si="10"/>
        <v>0.24905817931288698</v>
      </c>
      <c r="S19">
        <f t="shared" si="11"/>
        <v>241.7323220155798</v>
      </c>
      <c r="T19">
        <f t="shared" si="12"/>
        <v>25.355977598969279</v>
      </c>
      <c r="U19">
        <f t="shared" si="13"/>
        <v>24.998633333333299</v>
      </c>
      <c r="V19">
        <f t="shared" si="14"/>
        <v>3.1794185209016761</v>
      </c>
      <c r="W19">
        <f t="shared" si="15"/>
        <v>55.151640743139232</v>
      </c>
      <c r="X19">
        <f t="shared" si="16"/>
        <v>1.7926035202287804</v>
      </c>
      <c r="Y19">
        <f t="shared" si="17"/>
        <v>3.2503176624927108</v>
      </c>
      <c r="Z19">
        <f t="shared" si="18"/>
        <v>1.3868150006728956</v>
      </c>
      <c r="AA19">
        <f t="shared" si="19"/>
        <v>-244.02025649049273</v>
      </c>
      <c r="AB19">
        <f t="shared" si="20"/>
        <v>60.51074674089508</v>
      </c>
      <c r="AC19">
        <f t="shared" si="21"/>
        <v>4.2321322632151439</v>
      </c>
      <c r="AD19">
        <f t="shared" si="22"/>
        <v>62.454944529197284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53776.393853339199</v>
      </c>
      <c r="AJ19" t="s">
        <v>343</v>
      </c>
      <c r="AK19" t="s">
        <v>343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1261.1870000080751</v>
      </c>
      <c r="AW19">
        <f t="shared" si="29"/>
        <v>11.039802532677625</v>
      </c>
      <c r="AX19" t="e">
        <f t="shared" si="30"/>
        <v>#DIV/0!</v>
      </c>
      <c r="AY19">
        <f t="shared" si="31"/>
        <v>8.7535016873841378E-3</v>
      </c>
      <c r="AZ19" t="e">
        <f t="shared" si="32"/>
        <v>#DIV/0!</v>
      </c>
      <c r="BA19" t="e">
        <f t="shared" si="33"/>
        <v>#DIV/0!</v>
      </c>
      <c r="BB19" t="s">
        <v>343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1499.97166666667</v>
      </c>
      <c r="CU19">
        <f t="shared" si="43"/>
        <v>1261.1870000080751</v>
      </c>
      <c r="CV19">
        <f t="shared" si="44"/>
        <v>0.84080721525278068</v>
      </c>
      <c r="CW19">
        <f t="shared" si="45"/>
        <v>0.16115792543786667</v>
      </c>
      <c r="CX19">
        <v>2</v>
      </c>
      <c r="CY19">
        <v>0.5</v>
      </c>
      <c r="CZ19" t="s">
        <v>344</v>
      </c>
      <c r="DA19">
        <v>2</v>
      </c>
      <c r="DB19">
        <v>1791602792.5</v>
      </c>
      <c r="DC19">
        <v>195.16466666666699</v>
      </c>
      <c r="DD19">
        <v>200.012</v>
      </c>
      <c r="DE19">
        <v>17.690266666666702</v>
      </c>
      <c r="DF19">
        <v>15.5163333333333</v>
      </c>
      <c r="DG19">
        <v>195.68966666666699</v>
      </c>
      <c r="DH19">
        <v>17.87565</v>
      </c>
      <c r="DI19">
        <v>500.05700000000002</v>
      </c>
      <c r="DJ19">
        <v>101.232666666667</v>
      </c>
      <c r="DK19">
        <v>0.10009185</v>
      </c>
      <c r="DL19">
        <v>25.369066666666701</v>
      </c>
      <c r="DM19">
        <v>24.998633333333299</v>
      </c>
      <c r="DN19">
        <v>999.9</v>
      </c>
      <c r="DO19">
        <v>0</v>
      </c>
      <c r="DP19">
        <v>0</v>
      </c>
      <c r="DQ19">
        <v>9991.25</v>
      </c>
      <c r="DR19">
        <v>0</v>
      </c>
      <c r="DS19">
        <v>8.7651616666666694</v>
      </c>
      <c r="DT19">
        <v>1499.97166666667</v>
      </c>
      <c r="DU19">
        <v>0.97299983333333295</v>
      </c>
      <c r="DV19">
        <v>2.7000150000000001E-2</v>
      </c>
      <c r="DW19">
        <v>0</v>
      </c>
      <c r="DX19">
        <v>259.09750000000003</v>
      </c>
      <c r="DY19">
        <v>4.9999900000000004</v>
      </c>
      <c r="DZ19">
        <v>3830.89</v>
      </c>
      <c r="EA19">
        <v>14882.2833333333</v>
      </c>
      <c r="EB19">
        <v>36.561999999999998</v>
      </c>
      <c r="EC19">
        <v>38.125</v>
      </c>
      <c r="ED19">
        <v>37.125</v>
      </c>
      <c r="EE19">
        <v>37.645666666666699</v>
      </c>
      <c r="EF19">
        <v>38.25</v>
      </c>
      <c r="EG19">
        <v>1454.6116666666701</v>
      </c>
      <c r="EH19">
        <v>40.36</v>
      </c>
      <c r="EI19">
        <v>0</v>
      </c>
      <c r="EJ19">
        <v>1791602796.5</v>
      </c>
      <c r="EK19">
        <v>0</v>
      </c>
      <c r="EL19">
        <v>259.13704000000001</v>
      </c>
      <c r="EM19">
        <v>-1.5864615395000801</v>
      </c>
      <c r="EN19">
        <v>-11.810769243905799</v>
      </c>
      <c r="EO19">
        <v>3831.8092000000001</v>
      </c>
      <c r="EP19">
        <v>15</v>
      </c>
      <c r="EQ19">
        <v>1791602740</v>
      </c>
      <c r="ER19" t="s">
        <v>352</v>
      </c>
      <c r="ES19">
        <v>1791602733</v>
      </c>
      <c r="ET19">
        <v>1791602740</v>
      </c>
      <c r="EU19">
        <v>30</v>
      </c>
      <c r="EV19">
        <v>0.123</v>
      </c>
      <c r="EW19">
        <v>-1E-3</v>
      </c>
      <c r="EX19">
        <v>-0.52</v>
      </c>
      <c r="EY19">
        <v>-0.191</v>
      </c>
      <c r="EZ19">
        <v>200</v>
      </c>
      <c r="FA19">
        <v>16</v>
      </c>
      <c r="FB19">
        <v>0.19</v>
      </c>
      <c r="FC19">
        <v>0.03</v>
      </c>
      <c r="FD19">
        <v>10.970605909503099</v>
      </c>
      <c r="FE19">
        <v>0.31128162388297698</v>
      </c>
      <c r="FF19">
        <v>8.0132010960556596E-2</v>
      </c>
      <c r="FG19">
        <v>1</v>
      </c>
      <c r="FH19">
        <v>-4.8196485714285702</v>
      </c>
      <c r="FI19">
        <v>-7.6979220779226504E-2</v>
      </c>
      <c r="FJ19">
        <v>3.1459980063220497E-2</v>
      </c>
      <c r="FK19">
        <v>1</v>
      </c>
      <c r="FL19">
        <v>259.30438235294099</v>
      </c>
      <c r="FM19">
        <v>-2.2442933547124402</v>
      </c>
      <c r="FN19">
        <v>0.36521226822911002</v>
      </c>
      <c r="FO19">
        <v>-1</v>
      </c>
      <c r="FP19">
        <v>2</v>
      </c>
      <c r="FQ19">
        <v>2</v>
      </c>
      <c r="FR19" t="s">
        <v>346</v>
      </c>
      <c r="FS19">
        <v>100</v>
      </c>
      <c r="FT19">
        <v>100</v>
      </c>
      <c r="FU19">
        <v>-0.52500000000000002</v>
      </c>
      <c r="FV19">
        <v>-0.18540000000000001</v>
      </c>
      <c r="FW19">
        <v>-0.70476287089982304</v>
      </c>
      <c r="FX19">
        <v>7.6835882421071803E-4</v>
      </c>
      <c r="FY19">
        <v>7.9312579872174805E-7</v>
      </c>
      <c r="FZ19">
        <v>-1.5433145656851401E-10</v>
      </c>
      <c r="GA19">
        <v>-3.6024508958442697E-2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1.1000000000000001</v>
      </c>
      <c r="GJ19">
        <v>0.9</v>
      </c>
      <c r="GK19">
        <v>0.61035200000000001</v>
      </c>
      <c r="GL19">
        <v>2.66113</v>
      </c>
      <c r="GM19">
        <v>1.65161</v>
      </c>
      <c r="GN19">
        <v>2.2766099999999998</v>
      </c>
      <c r="GO19">
        <v>1.5979000000000001</v>
      </c>
      <c r="GP19">
        <v>2.5</v>
      </c>
      <c r="GQ19">
        <v>37.361800000000002</v>
      </c>
      <c r="GR19">
        <v>23.956199999999999</v>
      </c>
      <c r="GS19">
        <v>18</v>
      </c>
      <c r="GT19">
        <v>503.721</v>
      </c>
      <c r="GU19">
        <v>523.27700000000004</v>
      </c>
      <c r="GV19">
        <v>21.8752</v>
      </c>
      <c r="GW19">
        <v>29.1936</v>
      </c>
      <c r="GX19">
        <v>30.0001</v>
      </c>
      <c r="GY19">
        <v>29.320599999999999</v>
      </c>
      <c r="GZ19">
        <v>29.375</v>
      </c>
      <c r="HA19">
        <v>12.204700000000001</v>
      </c>
      <c r="HB19">
        <v>20.494399999999999</v>
      </c>
      <c r="HC19">
        <v>21.618600000000001</v>
      </c>
      <c r="HD19">
        <v>21.8689</v>
      </c>
      <c r="HE19">
        <v>200</v>
      </c>
      <c r="HF19">
        <v>15.49</v>
      </c>
      <c r="HG19">
        <v>98.167100000000005</v>
      </c>
      <c r="HH19">
        <v>94.737099999999998</v>
      </c>
    </row>
    <row r="20" spans="1:216" x14ac:dyDescent="0.3">
      <c r="A20">
        <v>4</v>
      </c>
      <c r="B20">
        <v>1791602917</v>
      </c>
      <c r="C20">
        <v>363.90000009536698</v>
      </c>
      <c r="D20" t="s">
        <v>353</v>
      </c>
      <c r="E20" t="s">
        <v>354</v>
      </c>
      <c r="F20">
        <v>5</v>
      </c>
      <c r="G20">
        <v>1791602914</v>
      </c>
      <c r="H20">
        <f t="shared" si="0"/>
        <v>5.6054037891645212E-3</v>
      </c>
      <c r="I20">
        <f t="shared" si="1"/>
        <v>5.6054037891645212</v>
      </c>
      <c r="J20">
        <f t="shared" si="2"/>
        <v>3.3172740351932299</v>
      </c>
      <c r="K20">
        <f t="shared" si="3"/>
        <v>98.462540000000004</v>
      </c>
      <c r="L20">
        <f t="shared" si="4"/>
        <v>83.304152375751926</v>
      </c>
      <c r="M20">
        <f t="shared" si="5"/>
        <v>8.4411120194729605</v>
      </c>
      <c r="N20">
        <f t="shared" si="6"/>
        <v>9.9770936521018196</v>
      </c>
      <c r="O20">
        <f t="shared" si="7"/>
        <v>0.43108763869105604</v>
      </c>
      <c r="P20">
        <f t="shared" si="8"/>
        <v>3.0329220976678242</v>
      </c>
      <c r="Q20">
        <f t="shared" si="9"/>
        <v>0.39971211853056504</v>
      </c>
      <c r="R20">
        <f t="shared" si="10"/>
        <v>0.25244847823823346</v>
      </c>
      <c r="S20">
        <f t="shared" si="11"/>
        <v>241.73568301557978</v>
      </c>
      <c r="T20">
        <f t="shared" si="12"/>
        <v>25.33181721126234</v>
      </c>
      <c r="U20">
        <f t="shared" si="13"/>
        <v>24.994859999999999</v>
      </c>
      <c r="V20">
        <f t="shared" si="14"/>
        <v>3.1787033332674177</v>
      </c>
      <c r="W20">
        <f t="shared" si="15"/>
        <v>55.170242537403965</v>
      </c>
      <c r="X20">
        <f t="shared" si="16"/>
        <v>1.7925657150424861</v>
      </c>
      <c r="Y20">
        <f t="shared" si="17"/>
        <v>3.2491532257215905</v>
      </c>
      <c r="Z20">
        <f t="shared" si="18"/>
        <v>1.3861376182249316</v>
      </c>
      <c r="AA20">
        <f t="shared" si="19"/>
        <v>-247.19830710215538</v>
      </c>
      <c r="AB20">
        <f t="shared" si="20"/>
        <v>60.201441736947821</v>
      </c>
      <c r="AC20">
        <f t="shared" si="21"/>
        <v>4.2061809623651314</v>
      </c>
      <c r="AD20">
        <f t="shared" si="22"/>
        <v>58.944998612737344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53869.787772749194</v>
      </c>
      <c r="AJ20" t="s">
        <v>343</v>
      </c>
      <c r="AK20" t="s">
        <v>343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1261.2041400080723</v>
      </c>
      <c r="AW20">
        <f t="shared" si="29"/>
        <v>3.3172740351932299</v>
      </c>
      <c r="AX20" t="e">
        <f t="shared" si="30"/>
        <v>#DIV/0!</v>
      </c>
      <c r="AY20">
        <f t="shared" si="31"/>
        <v>2.6302435347000984E-3</v>
      </c>
      <c r="AZ20" t="e">
        <f t="shared" si="32"/>
        <v>#DIV/0!</v>
      </c>
      <c r="BA20" t="e">
        <f t="shared" si="33"/>
        <v>#DIV/0!</v>
      </c>
      <c r="BB20" t="s">
        <v>343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1499.992</v>
      </c>
      <c r="CU20">
        <f t="shared" si="43"/>
        <v>1261.2041400080723</v>
      </c>
      <c r="CV20">
        <f t="shared" si="44"/>
        <v>0.84080724431068454</v>
      </c>
      <c r="CW20">
        <f t="shared" si="45"/>
        <v>0.1611579815196213</v>
      </c>
      <c r="CX20">
        <v>2</v>
      </c>
      <c r="CY20">
        <v>0.5</v>
      </c>
      <c r="CZ20" t="s">
        <v>344</v>
      </c>
      <c r="DA20">
        <v>2</v>
      </c>
      <c r="DB20">
        <v>1791602914</v>
      </c>
      <c r="DC20">
        <v>98.462540000000004</v>
      </c>
      <c r="DD20">
        <v>100.00994</v>
      </c>
      <c r="DE20">
        <v>17.690580000000001</v>
      </c>
      <c r="DF20">
        <v>15.488479999999999</v>
      </c>
      <c r="DG20">
        <v>98.974540000000005</v>
      </c>
      <c r="DH20">
        <v>17.875900000000001</v>
      </c>
      <c r="DI20">
        <v>500.09</v>
      </c>
      <c r="DJ20">
        <v>101.22880000000001</v>
      </c>
      <c r="DK20">
        <v>0.1000267</v>
      </c>
      <c r="DL20">
        <v>25.363040000000002</v>
      </c>
      <c r="DM20">
        <v>24.994859999999999</v>
      </c>
      <c r="DN20">
        <v>999.9</v>
      </c>
      <c r="DO20">
        <v>0</v>
      </c>
      <c r="DP20">
        <v>0</v>
      </c>
      <c r="DQ20">
        <v>10009.530000000001</v>
      </c>
      <c r="DR20">
        <v>0</v>
      </c>
      <c r="DS20">
        <v>8.8653899999999997</v>
      </c>
      <c r="DT20">
        <v>1499.992</v>
      </c>
      <c r="DU20">
        <v>0.97299999999999998</v>
      </c>
      <c r="DV20">
        <v>2.699998E-2</v>
      </c>
      <c r="DW20">
        <v>0</v>
      </c>
      <c r="DX20">
        <v>262.161</v>
      </c>
      <c r="DY20">
        <v>4.9999900000000004</v>
      </c>
      <c r="DZ20">
        <v>3872.9560000000001</v>
      </c>
      <c r="EA20">
        <v>14882.52</v>
      </c>
      <c r="EB20">
        <v>36.561999999999998</v>
      </c>
      <c r="EC20">
        <v>38.125</v>
      </c>
      <c r="ED20">
        <v>37.125</v>
      </c>
      <c r="EE20">
        <v>37.674599999999998</v>
      </c>
      <c r="EF20">
        <v>38.237400000000001</v>
      </c>
      <c r="EG20">
        <v>1454.63</v>
      </c>
      <c r="EH20">
        <v>40.362000000000002</v>
      </c>
      <c r="EI20">
        <v>0</v>
      </c>
      <c r="EJ20">
        <v>1791602917.7</v>
      </c>
      <c r="EK20">
        <v>0</v>
      </c>
      <c r="EL20">
        <v>262.29216000000002</v>
      </c>
      <c r="EM20">
        <v>-1.7319230823037</v>
      </c>
      <c r="EN20">
        <v>4.6407692206161801</v>
      </c>
      <c r="EO20">
        <v>3872.5787999999998</v>
      </c>
      <c r="EP20">
        <v>15</v>
      </c>
      <c r="EQ20">
        <v>1791602866</v>
      </c>
      <c r="ER20" t="s">
        <v>355</v>
      </c>
      <c r="ES20">
        <v>1791602860</v>
      </c>
      <c r="ET20">
        <v>1791602866</v>
      </c>
      <c r="EU20">
        <v>31</v>
      </c>
      <c r="EV20">
        <v>0.109</v>
      </c>
      <c r="EW20">
        <v>0</v>
      </c>
      <c r="EX20">
        <v>-0.51100000000000001</v>
      </c>
      <c r="EY20">
        <v>-0.191</v>
      </c>
      <c r="EZ20">
        <v>100</v>
      </c>
      <c r="FA20">
        <v>16</v>
      </c>
      <c r="FB20">
        <v>0.18</v>
      </c>
      <c r="FC20">
        <v>0.03</v>
      </c>
      <c r="FD20">
        <v>3.2991764674021899</v>
      </c>
      <c r="FE20">
        <v>0.16092243038583101</v>
      </c>
      <c r="FF20">
        <v>3.92958373345225E-2</v>
      </c>
      <c r="FG20">
        <v>1</v>
      </c>
      <c r="FH20">
        <v>-1.54144476190476</v>
      </c>
      <c r="FI20">
        <v>-4.7671168831171E-2</v>
      </c>
      <c r="FJ20">
        <v>1.48123287192179E-2</v>
      </c>
      <c r="FK20">
        <v>1</v>
      </c>
      <c r="FL20">
        <v>262.31467647058798</v>
      </c>
      <c r="FM20">
        <v>3.4698246697741797E-2</v>
      </c>
      <c r="FN20">
        <v>0.50907890990021598</v>
      </c>
      <c r="FO20">
        <v>-1</v>
      </c>
      <c r="FP20">
        <v>2</v>
      </c>
      <c r="FQ20">
        <v>2</v>
      </c>
      <c r="FR20" t="s">
        <v>346</v>
      </c>
      <c r="FS20">
        <v>100</v>
      </c>
      <c r="FT20">
        <v>100</v>
      </c>
      <c r="FU20">
        <v>-0.51200000000000001</v>
      </c>
      <c r="FV20">
        <v>-0.18540000000000001</v>
      </c>
      <c r="FW20">
        <v>-0.595624728067217</v>
      </c>
      <c r="FX20">
        <v>7.6835882421071803E-4</v>
      </c>
      <c r="FY20">
        <v>7.9312579872174805E-7</v>
      </c>
      <c r="FZ20">
        <v>-1.5433145656851401E-10</v>
      </c>
      <c r="GA20">
        <v>-3.5979466515949701E-2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0.9</v>
      </c>
      <c r="GJ20">
        <v>0.8</v>
      </c>
      <c r="GK20">
        <v>0.38207999999999998</v>
      </c>
      <c r="GL20">
        <v>2.6855500000000001</v>
      </c>
      <c r="GM20">
        <v>1.65161</v>
      </c>
      <c r="GN20">
        <v>2.2766099999999998</v>
      </c>
      <c r="GO20">
        <v>1.5979000000000001</v>
      </c>
      <c r="GP20">
        <v>2.6098599999999998</v>
      </c>
      <c r="GQ20">
        <v>37.337800000000001</v>
      </c>
      <c r="GR20">
        <v>24.008700000000001</v>
      </c>
      <c r="GS20">
        <v>18</v>
      </c>
      <c r="GT20">
        <v>503.851</v>
      </c>
      <c r="GU20">
        <v>523.05499999999995</v>
      </c>
      <c r="GV20">
        <v>21.8828</v>
      </c>
      <c r="GW20">
        <v>29.213699999999999</v>
      </c>
      <c r="GX20">
        <v>30.0001</v>
      </c>
      <c r="GY20">
        <v>29.340599999999998</v>
      </c>
      <c r="GZ20">
        <v>29.395</v>
      </c>
      <c r="HA20">
        <v>7.6275899999999996</v>
      </c>
      <c r="HB20">
        <v>20.740200000000002</v>
      </c>
      <c r="HC20">
        <v>21.692699999999999</v>
      </c>
      <c r="HD20">
        <v>21.886299999999999</v>
      </c>
      <c r="HE20">
        <v>100</v>
      </c>
      <c r="HF20">
        <v>15.432399999999999</v>
      </c>
      <c r="HG20">
        <v>98.162700000000001</v>
      </c>
      <c r="HH20">
        <v>94.732799999999997</v>
      </c>
    </row>
    <row r="21" spans="1:216" x14ac:dyDescent="0.3">
      <c r="A21">
        <v>5</v>
      </c>
      <c r="B21">
        <v>1791603038</v>
      </c>
      <c r="C21">
        <v>484.90000009536698</v>
      </c>
      <c r="D21" t="s">
        <v>356</v>
      </c>
      <c r="E21" t="s">
        <v>357</v>
      </c>
      <c r="F21">
        <v>5</v>
      </c>
      <c r="G21">
        <v>1791603035</v>
      </c>
      <c r="H21">
        <f t="shared" si="0"/>
        <v>5.8121574649344331E-3</v>
      </c>
      <c r="I21">
        <f t="shared" si="1"/>
        <v>5.8121574649344332</v>
      </c>
      <c r="J21">
        <f t="shared" si="2"/>
        <v>-0.57164075306702922</v>
      </c>
      <c r="K21">
        <f t="shared" si="3"/>
        <v>50.09234</v>
      </c>
      <c r="L21">
        <f t="shared" si="4"/>
        <v>51.151064146737838</v>
      </c>
      <c r="M21">
        <f t="shared" si="5"/>
        <v>5.1828739265611006</v>
      </c>
      <c r="N21">
        <f t="shared" si="6"/>
        <v>5.0755988606933231</v>
      </c>
      <c r="O21">
        <f t="shared" si="7"/>
        <v>0.44860060624021775</v>
      </c>
      <c r="P21">
        <f t="shared" si="8"/>
        <v>3.032062064017464</v>
      </c>
      <c r="Q21">
        <f t="shared" si="9"/>
        <v>0.41472250985644854</v>
      </c>
      <c r="R21">
        <f t="shared" si="10"/>
        <v>0.26203185251644651</v>
      </c>
      <c r="S21">
        <f t="shared" si="11"/>
        <v>241.74450481557844</v>
      </c>
      <c r="T21">
        <f t="shared" si="12"/>
        <v>25.294331420734434</v>
      </c>
      <c r="U21">
        <f t="shared" si="13"/>
        <v>24.981780000000001</v>
      </c>
      <c r="V21">
        <f t="shared" si="14"/>
        <v>3.1762252728098082</v>
      </c>
      <c r="W21">
        <f t="shared" si="15"/>
        <v>55.074471548080041</v>
      </c>
      <c r="X21">
        <f t="shared" si="16"/>
        <v>1.7910079245994319</v>
      </c>
      <c r="Y21">
        <f t="shared" si="17"/>
        <v>3.2519747793419698</v>
      </c>
      <c r="Z21">
        <f t="shared" si="18"/>
        <v>1.3852173482103762</v>
      </c>
      <c r="AA21">
        <f t="shared" si="19"/>
        <v>-256.31614420360847</v>
      </c>
      <c r="AB21">
        <f t="shared" si="20"/>
        <v>64.709068843943072</v>
      </c>
      <c r="AC21">
        <f t="shared" si="21"/>
        <v>4.5224390964636818</v>
      </c>
      <c r="AD21">
        <f t="shared" si="22"/>
        <v>54.659868552376707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53840.221719427187</v>
      </c>
      <c r="AJ21" t="s">
        <v>343</v>
      </c>
      <c r="AK21" t="s">
        <v>343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1261.2511200080717</v>
      </c>
      <c r="AW21">
        <f t="shared" si="29"/>
        <v>-0.57164075306702922</v>
      </c>
      <c r="AX21" t="e">
        <f t="shared" si="30"/>
        <v>#DIV/0!</v>
      </c>
      <c r="AY21">
        <f t="shared" si="31"/>
        <v>-4.5323309846763177E-4</v>
      </c>
      <c r="AZ21" t="e">
        <f t="shared" si="32"/>
        <v>#DIV/0!</v>
      </c>
      <c r="BA21" t="e">
        <f t="shared" si="33"/>
        <v>#DIV/0!</v>
      </c>
      <c r="BB21" t="s">
        <v>343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1500.048</v>
      </c>
      <c r="CU21">
        <f t="shared" si="43"/>
        <v>1261.2511200080717</v>
      </c>
      <c r="CV21">
        <f t="shared" si="44"/>
        <v>0.84080717417580753</v>
      </c>
      <c r="CW21">
        <f t="shared" si="45"/>
        <v>0.16115784615930853</v>
      </c>
      <c r="CX21">
        <v>2</v>
      </c>
      <c r="CY21">
        <v>0.5</v>
      </c>
      <c r="CZ21" t="s">
        <v>344</v>
      </c>
      <c r="DA21">
        <v>2</v>
      </c>
      <c r="DB21">
        <v>1791603035</v>
      </c>
      <c r="DC21">
        <v>50.09234</v>
      </c>
      <c r="DD21">
        <v>49.980139999999999</v>
      </c>
      <c r="DE21">
        <v>17.675899999999999</v>
      </c>
      <c r="DF21">
        <v>15.392099999999999</v>
      </c>
      <c r="DG21">
        <v>50.620919999999998</v>
      </c>
      <c r="DH21">
        <v>17.86252</v>
      </c>
      <c r="DI21">
        <v>499.9932</v>
      </c>
      <c r="DJ21">
        <v>101.2248</v>
      </c>
      <c r="DK21">
        <v>0.10005048</v>
      </c>
      <c r="DL21">
        <v>25.37764</v>
      </c>
      <c r="DM21">
        <v>24.981780000000001</v>
      </c>
      <c r="DN21">
        <v>999.9</v>
      </c>
      <c r="DO21">
        <v>0</v>
      </c>
      <c r="DP21">
        <v>0</v>
      </c>
      <c r="DQ21">
        <v>10004.724</v>
      </c>
      <c r="DR21">
        <v>0</v>
      </c>
      <c r="DS21">
        <v>8.8653899999999997</v>
      </c>
      <c r="DT21">
        <v>1500.048</v>
      </c>
      <c r="DU21">
        <v>0.973001</v>
      </c>
      <c r="DV21">
        <v>2.6998959999999999E-2</v>
      </c>
      <c r="DW21">
        <v>0</v>
      </c>
      <c r="DX21">
        <v>267.14460000000003</v>
      </c>
      <c r="DY21">
        <v>4.9999900000000004</v>
      </c>
      <c r="DZ21">
        <v>3931.91</v>
      </c>
      <c r="EA21">
        <v>14883.04</v>
      </c>
      <c r="EB21">
        <v>36.561999999999998</v>
      </c>
      <c r="EC21">
        <v>38.125</v>
      </c>
      <c r="ED21">
        <v>37.125</v>
      </c>
      <c r="EE21">
        <v>37.662199999999999</v>
      </c>
      <c r="EF21">
        <v>38.25</v>
      </c>
      <c r="EG21">
        <v>1454.6880000000001</v>
      </c>
      <c r="EH21">
        <v>40.36</v>
      </c>
      <c r="EI21">
        <v>0</v>
      </c>
      <c r="EJ21">
        <v>1791603038.9000001</v>
      </c>
      <c r="EK21">
        <v>0</v>
      </c>
      <c r="EL21">
        <v>266.85296</v>
      </c>
      <c r="EM21">
        <v>2.45261535380414</v>
      </c>
      <c r="EN21">
        <v>8.2469230553947206</v>
      </c>
      <c r="EO21">
        <v>3931.2608</v>
      </c>
      <c r="EP21">
        <v>15</v>
      </c>
      <c r="EQ21">
        <v>1791602981</v>
      </c>
      <c r="ER21" t="s">
        <v>358</v>
      </c>
      <c r="ES21">
        <v>1791602975</v>
      </c>
      <c r="ET21">
        <v>1791602981</v>
      </c>
      <c r="EU21">
        <v>32</v>
      </c>
      <c r="EV21">
        <v>2.5999999999999999E-2</v>
      </c>
      <c r="EW21">
        <v>-1E-3</v>
      </c>
      <c r="EX21">
        <v>-0.52900000000000003</v>
      </c>
      <c r="EY21">
        <v>-0.193</v>
      </c>
      <c r="EZ21">
        <v>50</v>
      </c>
      <c r="FA21">
        <v>15</v>
      </c>
      <c r="FB21">
        <v>0.22</v>
      </c>
      <c r="FC21">
        <v>0.02</v>
      </c>
      <c r="FD21">
        <v>-0.54554593029753495</v>
      </c>
      <c r="FE21">
        <v>0.239378406272582</v>
      </c>
      <c r="FF21">
        <v>6.6633983728741103E-2</v>
      </c>
      <c r="FG21">
        <v>1</v>
      </c>
      <c r="FH21">
        <v>0.103843695238095</v>
      </c>
      <c r="FI21">
        <v>-7.6510480519480603E-2</v>
      </c>
      <c r="FJ21">
        <v>2.6426545179231799E-2</v>
      </c>
      <c r="FK21">
        <v>1</v>
      </c>
      <c r="FL21">
        <v>266.721</v>
      </c>
      <c r="FM21">
        <v>2.1918105269976</v>
      </c>
      <c r="FN21">
        <v>0.46519578421032598</v>
      </c>
      <c r="FO21">
        <v>-1</v>
      </c>
      <c r="FP21">
        <v>2</v>
      </c>
      <c r="FQ21">
        <v>2</v>
      </c>
      <c r="FR21" t="s">
        <v>346</v>
      </c>
      <c r="FS21">
        <v>100</v>
      </c>
      <c r="FT21">
        <v>100</v>
      </c>
      <c r="FU21">
        <v>-0.52900000000000003</v>
      </c>
      <c r="FV21">
        <v>-0.1867</v>
      </c>
      <c r="FW21">
        <v>-0.56947260526082999</v>
      </c>
      <c r="FX21">
        <v>7.6835882421071803E-4</v>
      </c>
      <c r="FY21">
        <v>7.9312579872174805E-7</v>
      </c>
      <c r="FZ21">
        <v>-1.5433145656851401E-10</v>
      </c>
      <c r="GA21">
        <v>-3.72336310613215E-2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1.1000000000000001</v>
      </c>
      <c r="GJ21">
        <v>0.9</v>
      </c>
      <c r="GK21">
        <v>0.26855499999999999</v>
      </c>
      <c r="GL21">
        <v>2.6892100000000001</v>
      </c>
      <c r="GM21">
        <v>1.65161</v>
      </c>
      <c r="GN21">
        <v>2.2766099999999998</v>
      </c>
      <c r="GO21">
        <v>1.5979000000000001</v>
      </c>
      <c r="GP21">
        <v>2.5939899999999998</v>
      </c>
      <c r="GQ21">
        <v>37.265900000000002</v>
      </c>
      <c r="GR21">
        <v>23.991199999999999</v>
      </c>
      <c r="GS21">
        <v>18</v>
      </c>
      <c r="GT21">
        <v>503.97699999999998</v>
      </c>
      <c r="GU21">
        <v>522.63</v>
      </c>
      <c r="GV21">
        <v>21.939499999999999</v>
      </c>
      <c r="GW21">
        <v>29.231200000000001</v>
      </c>
      <c r="GX21">
        <v>30.0001</v>
      </c>
      <c r="GY21">
        <v>29.3581</v>
      </c>
      <c r="GZ21">
        <v>29.411200000000001</v>
      </c>
      <c r="HA21">
        <v>5.3616200000000003</v>
      </c>
      <c r="HB21">
        <v>21.0198</v>
      </c>
      <c r="HC21">
        <v>21.769600000000001</v>
      </c>
      <c r="HD21">
        <v>21.952200000000001</v>
      </c>
      <c r="HE21">
        <v>50</v>
      </c>
      <c r="HF21">
        <v>15.411</v>
      </c>
      <c r="HG21">
        <v>98.158600000000007</v>
      </c>
      <c r="HH21">
        <v>94.728999999999999</v>
      </c>
    </row>
    <row r="22" spans="1:216" x14ac:dyDescent="0.3">
      <c r="A22">
        <v>6</v>
      </c>
      <c r="B22">
        <v>1791603170</v>
      </c>
      <c r="C22">
        <v>616.90000009536698</v>
      </c>
      <c r="D22" t="s">
        <v>359</v>
      </c>
      <c r="E22" t="s">
        <v>360</v>
      </c>
      <c r="F22">
        <v>5</v>
      </c>
      <c r="G22">
        <v>1791603167</v>
      </c>
      <c r="H22">
        <f t="shared" si="0"/>
        <v>5.7434182407553802E-3</v>
      </c>
      <c r="I22">
        <f t="shared" si="1"/>
        <v>5.7434182407553802</v>
      </c>
      <c r="J22">
        <f t="shared" si="2"/>
        <v>23.630663020391509</v>
      </c>
      <c r="K22">
        <f t="shared" si="3"/>
        <v>389.64879999999999</v>
      </c>
      <c r="L22">
        <f t="shared" si="4"/>
        <v>291.01862806595341</v>
      </c>
      <c r="M22">
        <f t="shared" si="5"/>
        <v>29.486647345605519</v>
      </c>
      <c r="N22">
        <f t="shared" si="6"/>
        <v>39.480073253711197</v>
      </c>
      <c r="O22">
        <f t="shared" si="7"/>
        <v>0.44377529274948735</v>
      </c>
      <c r="P22">
        <f t="shared" si="8"/>
        <v>3.0342177133014507</v>
      </c>
      <c r="Q22">
        <f t="shared" si="9"/>
        <v>0.41061489647055105</v>
      </c>
      <c r="R22">
        <f t="shared" si="10"/>
        <v>0.2594068466049243</v>
      </c>
      <c r="S22">
        <f t="shared" si="11"/>
        <v>241.73237521557925</v>
      </c>
      <c r="T22">
        <f t="shared" si="12"/>
        <v>25.386060194453883</v>
      </c>
      <c r="U22">
        <f t="shared" si="13"/>
        <v>24.994700000000002</v>
      </c>
      <c r="V22">
        <f t="shared" si="14"/>
        <v>3.1786730103972496</v>
      </c>
      <c r="W22">
        <f t="shared" si="15"/>
        <v>54.991465977626262</v>
      </c>
      <c r="X22">
        <f t="shared" si="16"/>
        <v>1.7962358909840399</v>
      </c>
      <c r="Y22">
        <f t="shared" si="17"/>
        <v>3.2663902644727698</v>
      </c>
      <c r="Z22">
        <f t="shared" si="18"/>
        <v>1.3824371194132097</v>
      </c>
      <c r="AA22">
        <f t="shared" si="19"/>
        <v>-253.28474441731225</v>
      </c>
      <c r="AB22">
        <f t="shared" si="20"/>
        <v>74.815289697624138</v>
      </c>
      <c r="AC22">
        <f t="shared" si="21"/>
        <v>5.2273327946345871</v>
      </c>
      <c r="AD22">
        <f t="shared" si="22"/>
        <v>68.490253290525715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53894.025195112619</v>
      </c>
      <c r="AJ22" t="s">
        <v>343</v>
      </c>
      <c r="AK22" t="s">
        <v>343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1261.1872800080721</v>
      </c>
      <c r="AW22">
        <f t="shared" si="29"/>
        <v>23.630663020391509</v>
      </c>
      <c r="AX22" t="e">
        <f t="shared" si="30"/>
        <v>#DIV/0!</v>
      </c>
      <c r="AY22">
        <f t="shared" si="31"/>
        <v>1.8736839004783068E-2</v>
      </c>
      <c r="AZ22" t="e">
        <f t="shared" si="32"/>
        <v>#DIV/0!</v>
      </c>
      <c r="BA22" t="e">
        <f t="shared" si="33"/>
        <v>#DIV/0!</v>
      </c>
      <c r="BB22" t="s">
        <v>343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1499.972</v>
      </c>
      <c r="CU22">
        <f t="shared" si="43"/>
        <v>1261.1872800080721</v>
      </c>
      <c r="CV22">
        <f t="shared" si="44"/>
        <v>0.84080721507339617</v>
      </c>
      <c r="CW22">
        <f t="shared" si="45"/>
        <v>0.16115792509165455</v>
      </c>
      <c r="CX22">
        <v>2</v>
      </c>
      <c r="CY22">
        <v>0.5</v>
      </c>
      <c r="CZ22" t="s">
        <v>344</v>
      </c>
      <c r="DA22">
        <v>2</v>
      </c>
      <c r="DB22">
        <v>1791603167</v>
      </c>
      <c r="DC22">
        <v>389.64879999999999</v>
      </c>
      <c r="DD22">
        <v>399.9966</v>
      </c>
      <c r="DE22">
        <v>17.727959999999999</v>
      </c>
      <c r="DF22">
        <v>15.47124</v>
      </c>
      <c r="DG22">
        <v>390.13659999999999</v>
      </c>
      <c r="DH22">
        <v>17.912680000000002</v>
      </c>
      <c r="DI22">
        <v>499.98219999999998</v>
      </c>
      <c r="DJ22">
        <v>101.22239999999999</v>
      </c>
      <c r="DK22">
        <v>9.9798999999999999E-2</v>
      </c>
      <c r="DL22">
        <v>25.452059999999999</v>
      </c>
      <c r="DM22">
        <v>24.994700000000002</v>
      </c>
      <c r="DN22">
        <v>999.9</v>
      </c>
      <c r="DO22">
        <v>0</v>
      </c>
      <c r="DP22">
        <v>0</v>
      </c>
      <c r="DQ22">
        <v>10018.004000000001</v>
      </c>
      <c r="DR22">
        <v>0</v>
      </c>
      <c r="DS22">
        <v>8.8653899999999997</v>
      </c>
      <c r="DT22">
        <v>1499.972</v>
      </c>
      <c r="DU22">
        <v>0.97299999999999998</v>
      </c>
      <c r="DV22">
        <v>2.699998E-2</v>
      </c>
      <c r="DW22">
        <v>0</v>
      </c>
      <c r="DX22">
        <v>258.51100000000002</v>
      </c>
      <c r="DY22">
        <v>4.9999900000000004</v>
      </c>
      <c r="DZ22">
        <v>3818.328</v>
      </c>
      <c r="EA22">
        <v>14882.32</v>
      </c>
      <c r="EB22">
        <v>36.561999999999998</v>
      </c>
      <c r="EC22">
        <v>38.125</v>
      </c>
      <c r="ED22">
        <v>37.125</v>
      </c>
      <c r="EE22">
        <v>37.686999999999998</v>
      </c>
      <c r="EF22">
        <v>38.25</v>
      </c>
      <c r="EG22">
        <v>1454.6120000000001</v>
      </c>
      <c r="EH22">
        <v>40.36</v>
      </c>
      <c r="EI22">
        <v>0</v>
      </c>
      <c r="EJ22">
        <v>1791603170.9000001</v>
      </c>
      <c r="EK22">
        <v>0</v>
      </c>
      <c r="EL22">
        <v>257.90012000000002</v>
      </c>
      <c r="EM22">
        <v>8.3103076761380095</v>
      </c>
      <c r="EN22">
        <v>82.933076799377005</v>
      </c>
      <c r="EO22">
        <v>3813.0616</v>
      </c>
      <c r="EP22">
        <v>15</v>
      </c>
      <c r="EQ22">
        <v>1791603107</v>
      </c>
      <c r="ER22" t="s">
        <v>361</v>
      </c>
      <c r="ES22">
        <v>1791603100</v>
      </c>
      <c r="ET22">
        <v>1791603107</v>
      </c>
      <c r="EU22">
        <v>33</v>
      </c>
      <c r="EV22">
        <v>-0.32900000000000001</v>
      </c>
      <c r="EW22">
        <v>2E-3</v>
      </c>
      <c r="EX22">
        <v>-0.47399999999999998</v>
      </c>
      <c r="EY22">
        <v>-0.191</v>
      </c>
      <c r="EZ22">
        <v>400</v>
      </c>
      <c r="FA22">
        <v>15</v>
      </c>
      <c r="FB22">
        <v>0.17</v>
      </c>
      <c r="FC22">
        <v>0.04</v>
      </c>
      <c r="FD22">
        <v>23.492215017501</v>
      </c>
      <c r="FE22">
        <v>0.50984091829091904</v>
      </c>
      <c r="FF22">
        <v>8.1107840399527495E-2</v>
      </c>
      <c r="FG22">
        <v>1</v>
      </c>
      <c r="FH22">
        <v>-10.304275000000001</v>
      </c>
      <c r="FI22">
        <v>-0.176774436090226</v>
      </c>
      <c r="FJ22">
        <v>3.0976505209593899E-2</v>
      </c>
      <c r="FK22">
        <v>1</v>
      </c>
      <c r="FL22">
        <v>257.23411764705901</v>
      </c>
      <c r="FM22">
        <v>7.9010847930527097</v>
      </c>
      <c r="FN22">
        <v>0.85541482075711595</v>
      </c>
      <c r="FO22">
        <v>-1</v>
      </c>
      <c r="FP22">
        <v>2</v>
      </c>
      <c r="FQ22">
        <v>2</v>
      </c>
      <c r="FR22" t="s">
        <v>346</v>
      </c>
      <c r="FS22">
        <v>100</v>
      </c>
      <c r="FT22">
        <v>100</v>
      </c>
      <c r="FU22">
        <v>-0.48799999999999999</v>
      </c>
      <c r="FV22">
        <v>-0.18479999999999999</v>
      </c>
      <c r="FW22">
        <v>-0.89877242333697804</v>
      </c>
      <c r="FX22">
        <v>7.6835882421071803E-4</v>
      </c>
      <c r="FY22">
        <v>7.9312579872174805E-7</v>
      </c>
      <c r="FZ22">
        <v>-1.5433145656851401E-10</v>
      </c>
      <c r="GA22">
        <v>-3.5555155961084502E-2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1.2</v>
      </c>
      <c r="GJ22">
        <v>1.1000000000000001</v>
      </c>
      <c r="GK22">
        <v>1.0424800000000001</v>
      </c>
      <c r="GL22">
        <v>2.6672400000000001</v>
      </c>
      <c r="GM22">
        <v>1.65161</v>
      </c>
      <c r="GN22">
        <v>2.2753899999999998</v>
      </c>
      <c r="GO22">
        <v>1.5979000000000001</v>
      </c>
      <c r="GP22">
        <v>2.6135299999999999</v>
      </c>
      <c r="GQ22">
        <v>37.241999999999997</v>
      </c>
      <c r="GR22">
        <v>23.991199999999999</v>
      </c>
      <c r="GS22">
        <v>18</v>
      </c>
      <c r="GT22">
        <v>504.12200000000001</v>
      </c>
      <c r="GU22">
        <v>523.67899999999997</v>
      </c>
      <c r="GV22">
        <v>22.0929</v>
      </c>
      <c r="GW22">
        <v>29.25</v>
      </c>
      <c r="GX22">
        <v>30</v>
      </c>
      <c r="GY22">
        <v>29.3781</v>
      </c>
      <c r="GZ22">
        <v>29.432600000000001</v>
      </c>
      <c r="HA22">
        <v>20.845099999999999</v>
      </c>
      <c r="HB22">
        <v>20.926200000000001</v>
      </c>
      <c r="HC22">
        <v>22.081099999999999</v>
      </c>
      <c r="HD22">
        <v>22.0976</v>
      </c>
      <c r="HE22">
        <v>400</v>
      </c>
      <c r="HF22">
        <v>15.4483</v>
      </c>
      <c r="HG22">
        <v>98.154700000000005</v>
      </c>
      <c r="HH22">
        <v>94.723799999999997</v>
      </c>
    </row>
    <row r="23" spans="1:216" x14ac:dyDescent="0.3">
      <c r="A23">
        <v>7</v>
      </c>
      <c r="B23">
        <v>1791603291</v>
      </c>
      <c r="C23">
        <v>737.90000009536698</v>
      </c>
      <c r="D23" t="s">
        <v>362</v>
      </c>
      <c r="E23" t="s">
        <v>363</v>
      </c>
      <c r="F23">
        <v>5</v>
      </c>
      <c r="G23">
        <v>1791603287.5</v>
      </c>
      <c r="H23">
        <f t="shared" si="0"/>
        <v>5.6577290054703588E-3</v>
      </c>
      <c r="I23">
        <f t="shared" si="1"/>
        <v>5.6577290054703591</v>
      </c>
      <c r="J23">
        <f t="shared" si="2"/>
        <v>24.47217090280607</v>
      </c>
      <c r="K23">
        <f t="shared" si="3"/>
        <v>389.34949999999998</v>
      </c>
      <c r="L23">
        <f t="shared" si="4"/>
        <v>285.91604615644309</v>
      </c>
      <c r="M23">
        <f t="shared" si="5"/>
        <v>28.969041563784067</v>
      </c>
      <c r="N23">
        <f t="shared" si="6"/>
        <v>39.448929152325469</v>
      </c>
      <c r="O23">
        <f t="shared" si="7"/>
        <v>0.43583783135118304</v>
      </c>
      <c r="P23">
        <f t="shared" si="8"/>
        <v>3.0352689151581154</v>
      </c>
      <c r="Q23">
        <f t="shared" si="9"/>
        <v>0.40381740521578857</v>
      </c>
      <c r="R23">
        <f t="shared" si="10"/>
        <v>0.25506646694938273</v>
      </c>
      <c r="S23">
        <f t="shared" si="11"/>
        <v>241.7384400155789</v>
      </c>
      <c r="T23">
        <f t="shared" si="12"/>
        <v>25.394004668771846</v>
      </c>
      <c r="U23">
        <f t="shared" si="13"/>
        <v>25.0216666666667</v>
      </c>
      <c r="V23">
        <f t="shared" si="14"/>
        <v>3.1837872478434992</v>
      </c>
      <c r="W23">
        <f t="shared" si="15"/>
        <v>55.125135682719197</v>
      </c>
      <c r="X23">
        <f t="shared" si="16"/>
        <v>1.7991375871640769</v>
      </c>
      <c r="Y23">
        <f t="shared" si="17"/>
        <v>3.2637336214812733</v>
      </c>
      <c r="Z23">
        <f t="shared" si="18"/>
        <v>1.3846496606794223</v>
      </c>
      <c r="AA23">
        <f t="shared" si="19"/>
        <v>-249.50584914124283</v>
      </c>
      <c r="AB23">
        <f t="shared" si="20"/>
        <v>68.187711978093404</v>
      </c>
      <c r="AC23">
        <f t="shared" si="21"/>
        <v>4.7629324473823953</v>
      </c>
      <c r="AD23">
        <f t="shared" si="22"/>
        <v>65.183235299811855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53929.285191050614</v>
      </c>
      <c r="AJ23" t="s">
        <v>343</v>
      </c>
      <c r="AK23" t="s">
        <v>343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1261.2192000080722</v>
      </c>
      <c r="AW23">
        <f t="shared" si="29"/>
        <v>24.47217090280607</v>
      </c>
      <c r="AX23" t="e">
        <f t="shared" si="30"/>
        <v>#DIV/0!</v>
      </c>
      <c r="AY23">
        <f t="shared" si="31"/>
        <v>1.9403582583146086E-2</v>
      </c>
      <c r="AZ23" t="e">
        <f t="shared" si="32"/>
        <v>#DIV/0!</v>
      </c>
      <c r="BA23" t="e">
        <f t="shared" si="33"/>
        <v>#DIV/0!</v>
      </c>
      <c r="BB23" t="s">
        <v>343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1500.01</v>
      </c>
      <c r="CU23">
        <f t="shared" si="43"/>
        <v>1261.2192000080722</v>
      </c>
      <c r="CV23">
        <f t="shared" si="44"/>
        <v>0.84080719462408393</v>
      </c>
      <c r="CW23">
        <f t="shared" si="45"/>
        <v>0.16115788562448177</v>
      </c>
      <c r="CX23">
        <v>2</v>
      </c>
      <c r="CY23">
        <v>0.5</v>
      </c>
      <c r="CZ23" t="s">
        <v>344</v>
      </c>
      <c r="DA23">
        <v>2</v>
      </c>
      <c r="DB23">
        <v>1791603287.5</v>
      </c>
      <c r="DC23">
        <v>389.34949999999998</v>
      </c>
      <c r="DD23">
        <v>400.01883333333302</v>
      </c>
      <c r="DE23">
        <v>17.756966666666699</v>
      </c>
      <c r="DF23">
        <v>15.5342</v>
      </c>
      <c r="DG23">
        <v>389.85183333333299</v>
      </c>
      <c r="DH23">
        <v>17.940483333333301</v>
      </c>
      <c r="DI23">
        <v>500.03133333333301</v>
      </c>
      <c r="DJ23">
        <v>101.220333333333</v>
      </c>
      <c r="DK23">
        <v>9.97637833333333E-2</v>
      </c>
      <c r="DL23">
        <v>25.438366666666699</v>
      </c>
      <c r="DM23">
        <v>25.0216666666667</v>
      </c>
      <c r="DN23">
        <v>999.9</v>
      </c>
      <c r="DO23">
        <v>0</v>
      </c>
      <c r="DP23">
        <v>0</v>
      </c>
      <c r="DQ23">
        <v>10024.575000000001</v>
      </c>
      <c r="DR23">
        <v>0</v>
      </c>
      <c r="DS23">
        <v>8.8653899999999997</v>
      </c>
      <c r="DT23">
        <v>1500.01</v>
      </c>
      <c r="DU23">
        <v>0.97300066666666696</v>
      </c>
      <c r="DV23">
        <v>2.69993E-2</v>
      </c>
      <c r="DW23">
        <v>0</v>
      </c>
      <c r="DX23">
        <v>263.12599999999998</v>
      </c>
      <c r="DY23">
        <v>4.9999900000000004</v>
      </c>
      <c r="DZ23">
        <v>3892.2666666666701</v>
      </c>
      <c r="EA23">
        <v>14882.6833333333</v>
      </c>
      <c r="EB23">
        <v>36.561999999999998</v>
      </c>
      <c r="EC23">
        <v>38.125</v>
      </c>
      <c r="ED23">
        <v>37.1353333333333</v>
      </c>
      <c r="EE23">
        <v>37.686999999999998</v>
      </c>
      <c r="EF23">
        <v>38.25</v>
      </c>
      <c r="EG23">
        <v>1454.65</v>
      </c>
      <c r="EH23">
        <v>40.36</v>
      </c>
      <c r="EI23">
        <v>0</v>
      </c>
      <c r="EJ23">
        <v>1791603291.5</v>
      </c>
      <c r="EK23">
        <v>0</v>
      </c>
      <c r="EL23">
        <v>263.23269230769199</v>
      </c>
      <c r="EM23">
        <v>0.123760659542432</v>
      </c>
      <c r="EN23">
        <v>8.1278632312705597</v>
      </c>
      <c r="EO23">
        <v>3891.62461538462</v>
      </c>
      <c r="EP23">
        <v>15</v>
      </c>
      <c r="EQ23">
        <v>1791603229</v>
      </c>
      <c r="ER23" t="s">
        <v>364</v>
      </c>
      <c r="ES23">
        <v>1791603225</v>
      </c>
      <c r="ET23">
        <v>1791603229</v>
      </c>
      <c r="EU23">
        <v>34</v>
      </c>
      <c r="EV23">
        <v>-1.4E-2</v>
      </c>
      <c r="EW23">
        <v>1E-3</v>
      </c>
      <c r="EX23">
        <v>-0.48799999999999999</v>
      </c>
      <c r="EY23">
        <v>-0.19</v>
      </c>
      <c r="EZ23">
        <v>400</v>
      </c>
      <c r="FA23">
        <v>15</v>
      </c>
      <c r="FB23">
        <v>0.18</v>
      </c>
      <c r="FC23">
        <v>0.03</v>
      </c>
      <c r="FD23">
        <v>24.462018738181399</v>
      </c>
      <c r="FE23">
        <v>-2.5543435290598101E-2</v>
      </c>
      <c r="FF23">
        <v>5.5200450664938498E-2</v>
      </c>
      <c r="FG23">
        <v>1</v>
      </c>
      <c r="FH23">
        <v>-10.668894999999999</v>
      </c>
      <c r="FI23">
        <v>2.4915789473691899E-2</v>
      </c>
      <c r="FJ23">
        <v>2.3168242812090799E-2</v>
      </c>
      <c r="FK23">
        <v>1</v>
      </c>
      <c r="FL23">
        <v>263.25394117647102</v>
      </c>
      <c r="FM23">
        <v>0.72452252779478399</v>
      </c>
      <c r="FN23">
        <v>0.47832028041621</v>
      </c>
      <c r="FO23">
        <v>-1</v>
      </c>
      <c r="FP23">
        <v>2</v>
      </c>
      <c r="FQ23">
        <v>2</v>
      </c>
      <c r="FR23" t="s">
        <v>346</v>
      </c>
      <c r="FS23">
        <v>100</v>
      </c>
      <c r="FT23">
        <v>100</v>
      </c>
      <c r="FU23">
        <v>-0.503</v>
      </c>
      <c r="FV23">
        <v>-0.1835</v>
      </c>
      <c r="FW23">
        <v>-0.91313962745297395</v>
      </c>
      <c r="FX23">
        <v>7.6835882421071803E-4</v>
      </c>
      <c r="FY23">
        <v>7.9312579872174805E-7</v>
      </c>
      <c r="FZ23">
        <v>-1.5433145656851401E-10</v>
      </c>
      <c r="GA23">
        <v>-3.4433872658814903E-2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1.1000000000000001</v>
      </c>
      <c r="GJ23">
        <v>1</v>
      </c>
      <c r="GK23">
        <v>1.0412600000000001</v>
      </c>
      <c r="GL23">
        <v>2.65869</v>
      </c>
      <c r="GM23">
        <v>1.65161</v>
      </c>
      <c r="GN23">
        <v>2.2766099999999998</v>
      </c>
      <c r="GO23">
        <v>1.5979000000000001</v>
      </c>
      <c r="GP23">
        <v>2.51831</v>
      </c>
      <c r="GQ23">
        <v>37.194099999999999</v>
      </c>
      <c r="GR23">
        <v>23.9999</v>
      </c>
      <c r="GS23">
        <v>18</v>
      </c>
      <c r="GT23">
        <v>503.923</v>
      </c>
      <c r="GU23">
        <v>523.83900000000006</v>
      </c>
      <c r="GV23">
        <v>21.814800000000002</v>
      </c>
      <c r="GW23">
        <v>29.266400000000001</v>
      </c>
      <c r="GX23">
        <v>30.000299999999999</v>
      </c>
      <c r="GY23">
        <v>29.3932</v>
      </c>
      <c r="GZ23">
        <v>29.447800000000001</v>
      </c>
      <c r="HA23">
        <v>20.843</v>
      </c>
      <c r="HB23">
        <v>20.370799999999999</v>
      </c>
      <c r="HC23">
        <v>21.928799999999999</v>
      </c>
      <c r="HD23">
        <v>21.812000000000001</v>
      </c>
      <c r="HE23">
        <v>400</v>
      </c>
      <c r="HF23">
        <v>15.524699999999999</v>
      </c>
      <c r="HG23">
        <v>98.152299999999997</v>
      </c>
      <c r="HH23">
        <v>94.717799999999997</v>
      </c>
    </row>
    <row r="24" spans="1:216" x14ac:dyDescent="0.3">
      <c r="A24">
        <v>8</v>
      </c>
      <c r="B24">
        <v>1791603412</v>
      </c>
      <c r="C24">
        <v>858.90000009536698</v>
      </c>
      <c r="D24" t="s">
        <v>365</v>
      </c>
      <c r="E24" t="s">
        <v>366</v>
      </c>
      <c r="F24">
        <v>5</v>
      </c>
      <c r="G24">
        <v>1791603409</v>
      </c>
      <c r="H24">
        <f t="shared" si="0"/>
        <v>5.4078813128466347E-3</v>
      </c>
      <c r="I24">
        <f t="shared" si="1"/>
        <v>5.4078813128466345</v>
      </c>
      <c r="J24">
        <f t="shared" si="2"/>
        <v>33.156763860510715</v>
      </c>
      <c r="K24">
        <f t="shared" si="3"/>
        <v>685.24779999999998</v>
      </c>
      <c r="L24">
        <f t="shared" si="4"/>
        <v>534.71681880423546</v>
      </c>
      <c r="M24">
        <f t="shared" si="5"/>
        <v>54.175990554913376</v>
      </c>
      <c r="N24">
        <f t="shared" si="6"/>
        <v>69.427362362743608</v>
      </c>
      <c r="O24">
        <f t="shared" si="7"/>
        <v>0.41242179485890978</v>
      </c>
      <c r="P24">
        <f t="shared" si="8"/>
        <v>3.0337157665981453</v>
      </c>
      <c r="Q24">
        <f t="shared" si="9"/>
        <v>0.38361418179473156</v>
      </c>
      <c r="R24">
        <f t="shared" si="10"/>
        <v>0.24217922120153709</v>
      </c>
      <c r="S24">
        <f t="shared" si="11"/>
        <v>241.74525901557917</v>
      </c>
      <c r="T24">
        <f t="shared" si="12"/>
        <v>25.388615399349639</v>
      </c>
      <c r="U24">
        <f t="shared" si="13"/>
        <v>25.018180000000001</v>
      </c>
      <c r="V24">
        <f t="shared" si="14"/>
        <v>3.1831255958488716</v>
      </c>
      <c r="W24">
        <f t="shared" si="15"/>
        <v>55.065139499458951</v>
      </c>
      <c r="X24">
        <f t="shared" si="16"/>
        <v>1.78989127366764</v>
      </c>
      <c r="Y24">
        <f t="shared" si="17"/>
        <v>3.2504980282220601</v>
      </c>
      <c r="Z24">
        <f t="shared" si="18"/>
        <v>1.3932343221812316</v>
      </c>
      <c r="AA24">
        <f t="shared" si="19"/>
        <v>-238.48756589653658</v>
      </c>
      <c r="AB24">
        <f t="shared" si="20"/>
        <v>57.541457248717819</v>
      </c>
      <c r="AC24">
        <f t="shared" si="21"/>
        <v>4.0198923390175105</v>
      </c>
      <c r="AD24">
        <f t="shared" si="22"/>
        <v>64.819042706777907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53893.057205283534</v>
      </c>
      <c r="AJ24" t="s">
        <v>343</v>
      </c>
      <c r="AK24" t="s">
        <v>343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1261.2545400080719</v>
      </c>
      <c r="AW24">
        <f t="shared" si="29"/>
        <v>33.156763860510715</v>
      </c>
      <c r="AX24" t="e">
        <f t="shared" si="30"/>
        <v>#DIV/0!</v>
      </c>
      <c r="AY24">
        <f t="shared" si="31"/>
        <v>2.6288717153238959E-2</v>
      </c>
      <c r="AZ24" t="e">
        <f t="shared" si="32"/>
        <v>#DIV/0!</v>
      </c>
      <c r="BA24" t="e">
        <f t="shared" si="33"/>
        <v>#DIV/0!</v>
      </c>
      <c r="BB24" t="s">
        <v>343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1500.0519999999999</v>
      </c>
      <c r="CU24">
        <f t="shared" si="43"/>
        <v>1261.2545400080719</v>
      </c>
      <c r="CV24">
        <f t="shared" si="44"/>
        <v>0.84080721202203124</v>
      </c>
      <c r="CW24">
        <f t="shared" si="45"/>
        <v>0.16115791920252043</v>
      </c>
      <c r="CX24">
        <v>2</v>
      </c>
      <c r="CY24">
        <v>0.5</v>
      </c>
      <c r="CZ24" t="s">
        <v>344</v>
      </c>
      <c r="DA24">
        <v>2</v>
      </c>
      <c r="DB24">
        <v>1791603409</v>
      </c>
      <c r="DC24">
        <v>685.24779999999998</v>
      </c>
      <c r="DD24">
        <v>699.99239999999998</v>
      </c>
      <c r="DE24">
        <v>17.666219999999999</v>
      </c>
      <c r="DF24">
        <v>15.54134</v>
      </c>
      <c r="DG24">
        <v>685.28240000000005</v>
      </c>
      <c r="DH24">
        <v>17.853539999999999</v>
      </c>
      <c r="DI24">
        <v>500.0136</v>
      </c>
      <c r="DJ24">
        <v>101.21720000000001</v>
      </c>
      <c r="DK24">
        <v>9.9961999999999995E-2</v>
      </c>
      <c r="DL24">
        <v>25.37</v>
      </c>
      <c r="DM24">
        <v>25.018180000000001</v>
      </c>
      <c r="DN24">
        <v>999.9</v>
      </c>
      <c r="DO24">
        <v>0</v>
      </c>
      <c r="DP24">
        <v>0</v>
      </c>
      <c r="DQ24">
        <v>10015.48</v>
      </c>
      <c r="DR24">
        <v>0</v>
      </c>
      <c r="DS24">
        <v>8.8230400000000007</v>
      </c>
      <c r="DT24">
        <v>1500.0519999999999</v>
      </c>
      <c r="DU24">
        <v>0.973001</v>
      </c>
      <c r="DV24">
        <v>2.6998959999999999E-2</v>
      </c>
      <c r="DW24">
        <v>0</v>
      </c>
      <c r="DX24">
        <v>264.31639999999999</v>
      </c>
      <c r="DY24">
        <v>4.9999900000000004</v>
      </c>
      <c r="DZ24">
        <v>3907.2139999999999</v>
      </c>
      <c r="EA24">
        <v>14883.1</v>
      </c>
      <c r="EB24">
        <v>36.561999999999998</v>
      </c>
      <c r="EC24">
        <v>38.125</v>
      </c>
      <c r="ED24">
        <v>37.125</v>
      </c>
      <c r="EE24">
        <v>37.625</v>
      </c>
      <c r="EF24">
        <v>38.25</v>
      </c>
      <c r="EG24">
        <v>1454.69</v>
      </c>
      <c r="EH24">
        <v>40.362000000000002</v>
      </c>
      <c r="EI24">
        <v>0</v>
      </c>
      <c r="EJ24">
        <v>1791603412.7</v>
      </c>
      <c r="EK24">
        <v>0</v>
      </c>
      <c r="EL24">
        <v>264.50669230769199</v>
      </c>
      <c r="EM24">
        <v>-2.3394871811318199</v>
      </c>
      <c r="EN24">
        <v>-45.611965823197302</v>
      </c>
      <c r="EO24">
        <v>3910.4234615384598</v>
      </c>
      <c r="EP24">
        <v>15</v>
      </c>
      <c r="EQ24">
        <v>1791603353</v>
      </c>
      <c r="ER24" t="s">
        <v>367</v>
      </c>
      <c r="ES24">
        <v>1791603347</v>
      </c>
      <c r="ET24">
        <v>1791603353</v>
      </c>
      <c r="EU24">
        <v>35</v>
      </c>
      <c r="EV24">
        <v>2.9000000000000001E-2</v>
      </c>
      <c r="EW24">
        <v>-3.0000000000000001E-3</v>
      </c>
      <c r="EX24">
        <v>-0.01</v>
      </c>
      <c r="EY24">
        <v>-0.193</v>
      </c>
      <c r="EZ24">
        <v>700</v>
      </c>
      <c r="FA24">
        <v>16</v>
      </c>
      <c r="FB24">
        <v>0.18</v>
      </c>
      <c r="FC24">
        <v>0.03</v>
      </c>
      <c r="FD24">
        <v>33.288204067945102</v>
      </c>
      <c r="FE24">
        <v>-0.52314112335402996</v>
      </c>
      <c r="FF24">
        <v>0.104693490722102</v>
      </c>
      <c r="FG24">
        <v>1</v>
      </c>
      <c r="FH24">
        <v>-14.807442857142901</v>
      </c>
      <c r="FI24">
        <v>0.23585454545454401</v>
      </c>
      <c r="FJ24">
        <v>4.4175974632076703E-2</v>
      </c>
      <c r="FK24">
        <v>1</v>
      </c>
      <c r="FL24">
        <v>264.70773529411798</v>
      </c>
      <c r="FM24">
        <v>-3.65370511819556</v>
      </c>
      <c r="FN24">
        <v>0.64165921451955499</v>
      </c>
      <c r="FO24">
        <v>-1</v>
      </c>
      <c r="FP24">
        <v>2</v>
      </c>
      <c r="FQ24">
        <v>2</v>
      </c>
      <c r="FR24" t="s">
        <v>346</v>
      </c>
      <c r="FS24">
        <v>100</v>
      </c>
      <c r="FT24">
        <v>100</v>
      </c>
      <c r="FU24">
        <v>-3.5000000000000003E-2</v>
      </c>
      <c r="FV24">
        <v>-0.18729999999999999</v>
      </c>
      <c r="FW24">
        <v>-0.88382939601686905</v>
      </c>
      <c r="FX24">
        <v>7.6835882421071803E-4</v>
      </c>
      <c r="FY24">
        <v>7.9312579872174805E-7</v>
      </c>
      <c r="FZ24">
        <v>-1.5433145656851401E-10</v>
      </c>
      <c r="GA24">
        <v>-3.7887366786805897E-2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1.1000000000000001</v>
      </c>
      <c r="GJ24">
        <v>1</v>
      </c>
      <c r="GK24">
        <v>1.62964</v>
      </c>
      <c r="GL24">
        <v>2.6428199999999999</v>
      </c>
      <c r="GM24">
        <v>1.65161</v>
      </c>
      <c r="GN24">
        <v>2.2766099999999998</v>
      </c>
      <c r="GO24">
        <v>1.5979000000000001</v>
      </c>
      <c r="GP24">
        <v>2.63794</v>
      </c>
      <c r="GQ24">
        <v>37.098599999999998</v>
      </c>
      <c r="GR24">
        <v>24.026199999999999</v>
      </c>
      <c r="GS24">
        <v>18</v>
      </c>
      <c r="GT24">
        <v>504.14</v>
      </c>
      <c r="GU24">
        <v>524.56200000000001</v>
      </c>
      <c r="GV24">
        <v>21.6098</v>
      </c>
      <c r="GW24">
        <v>29.276399999999999</v>
      </c>
      <c r="GX24">
        <v>30.0002</v>
      </c>
      <c r="GY24">
        <v>29.403300000000002</v>
      </c>
      <c r="GZ24">
        <v>29.457899999999999</v>
      </c>
      <c r="HA24">
        <v>32.571300000000001</v>
      </c>
      <c r="HB24">
        <v>20.258600000000001</v>
      </c>
      <c r="HC24">
        <v>22.099699999999999</v>
      </c>
      <c r="HD24">
        <v>21.5915</v>
      </c>
      <c r="HE24">
        <v>700</v>
      </c>
      <c r="HF24">
        <v>15.576000000000001</v>
      </c>
      <c r="HG24">
        <v>98.148899999999998</v>
      </c>
      <c r="HH24">
        <v>94.719899999999996</v>
      </c>
    </row>
    <row r="25" spans="1:216" x14ac:dyDescent="0.3">
      <c r="A25">
        <v>9</v>
      </c>
      <c r="B25">
        <v>1791603555</v>
      </c>
      <c r="C25">
        <v>1001.90000009537</v>
      </c>
      <c r="D25" t="s">
        <v>368</v>
      </c>
      <c r="E25" t="s">
        <v>369</v>
      </c>
      <c r="F25">
        <v>5</v>
      </c>
      <c r="G25">
        <v>1791603551.5</v>
      </c>
      <c r="H25">
        <f t="shared" si="0"/>
        <v>4.962606887041152E-3</v>
      </c>
      <c r="I25">
        <f t="shared" si="1"/>
        <v>4.9626068870411517</v>
      </c>
      <c r="J25">
        <f t="shared" si="2"/>
        <v>34.894859240430989</v>
      </c>
      <c r="K25">
        <f t="shared" si="3"/>
        <v>984.06833333333304</v>
      </c>
      <c r="L25">
        <f t="shared" si="4"/>
        <v>804.92372166711664</v>
      </c>
      <c r="M25">
        <f t="shared" si="5"/>
        <v>81.551281479267431</v>
      </c>
      <c r="N25">
        <f t="shared" si="6"/>
        <v>99.701414539363228</v>
      </c>
      <c r="O25">
        <f t="shared" si="7"/>
        <v>0.37170632790320501</v>
      </c>
      <c r="P25">
        <f t="shared" si="8"/>
        <v>3.0310395124438028</v>
      </c>
      <c r="Q25">
        <f t="shared" si="9"/>
        <v>0.34811216816844986</v>
      </c>
      <c r="R25">
        <f t="shared" si="10"/>
        <v>0.21956502638338776</v>
      </c>
      <c r="S25">
        <f t="shared" si="11"/>
        <v>241.73737601557838</v>
      </c>
      <c r="T25">
        <f t="shared" si="12"/>
        <v>25.292638747705222</v>
      </c>
      <c r="U25">
        <f t="shared" si="13"/>
        <v>25.006150000000002</v>
      </c>
      <c r="V25">
        <f t="shared" si="14"/>
        <v>3.1808436291213114</v>
      </c>
      <c r="W25">
        <f t="shared" si="15"/>
        <v>55.188691546581857</v>
      </c>
      <c r="X25">
        <f t="shared" si="16"/>
        <v>1.7718146056072592</v>
      </c>
      <c r="Y25">
        <f t="shared" si="17"/>
        <v>3.2104667749039932</v>
      </c>
      <c r="Z25">
        <f t="shared" si="18"/>
        <v>1.4090290235140521</v>
      </c>
      <c r="AA25">
        <f t="shared" si="19"/>
        <v>-218.85096371851481</v>
      </c>
      <c r="AB25">
        <f t="shared" si="20"/>
        <v>25.423779491479298</v>
      </c>
      <c r="AC25">
        <f t="shared" si="21"/>
        <v>1.7757241202618848</v>
      </c>
      <c r="AD25">
        <f t="shared" si="22"/>
        <v>50.085915908804751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53847.080989959795</v>
      </c>
      <c r="AJ25" t="s">
        <v>343</v>
      </c>
      <c r="AK25" t="s">
        <v>343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1261.2136000080691</v>
      </c>
      <c r="AW25">
        <f t="shared" si="29"/>
        <v>34.894859240430989</v>
      </c>
      <c r="AX25" t="e">
        <f t="shared" si="30"/>
        <v>#DIV/0!</v>
      </c>
      <c r="AY25">
        <f t="shared" si="31"/>
        <v>2.7667683919843346E-2</v>
      </c>
      <c r="AZ25" t="e">
        <f t="shared" si="32"/>
        <v>#DIV/0!</v>
      </c>
      <c r="BA25" t="e">
        <f t="shared" si="33"/>
        <v>#DIV/0!</v>
      </c>
      <c r="BB25" t="s">
        <v>343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1500.0033333333299</v>
      </c>
      <c r="CU25">
        <f t="shared" si="43"/>
        <v>1261.2136000080691</v>
      </c>
      <c r="CV25">
        <f t="shared" si="44"/>
        <v>0.84080719821160754</v>
      </c>
      <c r="CW25">
        <f t="shared" si="45"/>
        <v>0.16115789254840251</v>
      </c>
      <c r="CX25">
        <v>2</v>
      </c>
      <c r="CY25">
        <v>0.5</v>
      </c>
      <c r="CZ25" t="s">
        <v>344</v>
      </c>
      <c r="DA25">
        <v>2</v>
      </c>
      <c r="DB25">
        <v>1791603551.5</v>
      </c>
      <c r="DC25">
        <v>984.06833333333304</v>
      </c>
      <c r="DD25">
        <v>999.97783333333302</v>
      </c>
      <c r="DE25">
        <v>17.4880833333333</v>
      </c>
      <c r="DF25">
        <v>15.537983333333299</v>
      </c>
      <c r="DG25">
        <v>983.66716666666696</v>
      </c>
      <c r="DH25">
        <v>17.676766666666701</v>
      </c>
      <c r="DI25">
        <v>500.05849999999998</v>
      </c>
      <c r="DJ25">
        <v>101.21550000000001</v>
      </c>
      <c r="DK25">
        <v>0.10003995</v>
      </c>
      <c r="DL25">
        <v>25.161733333333299</v>
      </c>
      <c r="DM25">
        <v>25.006150000000002</v>
      </c>
      <c r="DN25">
        <v>999.9</v>
      </c>
      <c r="DO25">
        <v>0</v>
      </c>
      <c r="DP25">
        <v>0</v>
      </c>
      <c r="DQ25">
        <v>9999.4616666666698</v>
      </c>
      <c r="DR25">
        <v>0</v>
      </c>
      <c r="DS25">
        <v>8.8089200000000005</v>
      </c>
      <c r="DT25">
        <v>1500.0033333333299</v>
      </c>
      <c r="DU25">
        <v>0.97300066666666696</v>
      </c>
      <c r="DV25">
        <v>2.69993E-2</v>
      </c>
      <c r="DW25">
        <v>0</v>
      </c>
      <c r="DX25">
        <v>261.62150000000003</v>
      </c>
      <c r="DY25">
        <v>4.9999900000000004</v>
      </c>
      <c r="DZ25">
        <v>3870.7849999999999</v>
      </c>
      <c r="EA25">
        <v>14882.6166666667</v>
      </c>
      <c r="EB25">
        <v>36.551666666666698</v>
      </c>
      <c r="EC25">
        <v>38.125</v>
      </c>
      <c r="ED25">
        <v>37.125</v>
      </c>
      <c r="EE25">
        <v>37.625</v>
      </c>
      <c r="EF25">
        <v>38.186999999999998</v>
      </c>
      <c r="EG25">
        <v>1454.64333333333</v>
      </c>
      <c r="EH25">
        <v>40.36</v>
      </c>
      <c r="EI25">
        <v>0</v>
      </c>
      <c r="EJ25">
        <v>1791603555.5</v>
      </c>
      <c r="EK25">
        <v>0</v>
      </c>
      <c r="EL25">
        <v>261.26788461538501</v>
      </c>
      <c r="EM25">
        <v>2.70041031323874</v>
      </c>
      <c r="EN25">
        <v>31.515213612044899</v>
      </c>
      <c r="EO25">
        <v>3868.3961538461499</v>
      </c>
      <c r="EP25">
        <v>15</v>
      </c>
      <c r="EQ25">
        <v>1791603477</v>
      </c>
      <c r="ER25" t="s">
        <v>370</v>
      </c>
      <c r="ES25">
        <v>1791603477</v>
      </c>
      <c r="ET25">
        <v>1791603476</v>
      </c>
      <c r="EU25">
        <v>36</v>
      </c>
      <c r="EV25">
        <v>-0.09</v>
      </c>
      <c r="EW25">
        <v>-1E-3</v>
      </c>
      <c r="EX25">
        <v>0.43099999999999999</v>
      </c>
      <c r="EY25">
        <v>-0.19400000000000001</v>
      </c>
      <c r="EZ25">
        <v>1000</v>
      </c>
      <c r="FA25">
        <v>16</v>
      </c>
      <c r="FB25">
        <v>0.12</v>
      </c>
      <c r="FC25">
        <v>0.02</v>
      </c>
      <c r="FD25">
        <v>35.025126753837597</v>
      </c>
      <c r="FE25">
        <v>-0.464396082086665</v>
      </c>
      <c r="FF25">
        <v>0.13959572810829399</v>
      </c>
      <c r="FG25">
        <v>1</v>
      </c>
      <c r="FH25">
        <v>-15.946261904761901</v>
      </c>
      <c r="FI25">
        <v>0.11135064935062799</v>
      </c>
      <c r="FJ25">
        <v>5.0459049650285602E-2</v>
      </c>
      <c r="FK25">
        <v>1</v>
      </c>
      <c r="FL25">
        <v>261.13820588235302</v>
      </c>
      <c r="FM25">
        <v>1.7176929122448901</v>
      </c>
      <c r="FN25">
        <v>0.505071385718179</v>
      </c>
      <c r="FO25">
        <v>-1</v>
      </c>
      <c r="FP25">
        <v>2</v>
      </c>
      <c r="FQ25">
        <v>2</v>
      </c>
      <c r="FR25" t="s">
        <v>346</v>
      </c>
      <c r="FS25">
        <v>100</v>
      </c>
      <c r="FT25">
        <v>100</v>
      </c>
      <c r="FU25">
        <v>0.40100000000000002</v>
      </c>
      <c r="FV25">
        <v>-0.1888</v>
      </c>
      <c r="FW25">
        <v>-0.97520235237099295</v>
      </c>
      <c r="FX25">
        <v>7.6835882421071803E-4</v>
      </c>
      <c r="FY25">
        <v>7.9312579872174805E-7</v>
      </c>
      <c r="FZ25">
        <v>-1.5433145656851401E-10</v>
      </c>
      <c r="GA25">
        <v>-3.8502217044761498E-2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1.3</v>
      </c>
      <c r="GJ25">
        <v>1.3</v>
      </c>
      <c r="GK25">
        <v>2.1740699999999999</v>
      </c>
      <c r="GL25">
        <v>2.6452599999999999</v>
      </c>
      <c r="GM25">
        <v>1.65161</v>
      </c>
      <c r="GN25">
        <v>2.2753899999999998</v>
      </c>
      <c r="GO25">
        <v>1.5979000000000001</v>
      </c>
      <c r="GP25">
        <v>2.6000999999999999</v>
      </c>
      <c r="GQ25">
        <v>37.0032</v>
      </c>
      <c r="GR25">
        <v>24.008700000000001</v>
      </c>
      <c r="GS25">
        <v>18</v>
      </c>
      <c r="GT25">
        <v>504.084</v>
      </c>
      <c r="GU25">
        <v>525.24900000000002</v>
      </c>
      <c r="GV25">
        <v>21.074400000000001</v>
      </c>
      <c r="GW25">
        <v>29.289000000000001</v>
      </c>
      <c r="GX25">
        <v>30.0002</v>
      </c>
      <c r="GY25">
        <v>29.4133</v>
      </c>
      <c r="GZ25">
        <v>29.468</v>
      </c>
      <c r="HA25">
        <v>43.474400000000003</v>
      </c>
      <c r="HB25">
        <v>20.434200000000001</v>
      </c>
      <c r="HC25">
        <v>22.316500000000001</v>
      </c>
      <c r="HD25">
        <v>21.072700000000001</v>
      </c>
      <c r="HE25">
        <v>1000</v>
      </c>
      <c r="HF25">
        <v>15.554600000000001</v>
      </c>
      <c r="HG25">
        <v>98.146600000000007</v>
      </c>
      <c r="HH25">
        <v>94.712400000000002</v>
      </c>
    </row>
    <row r="26" spans="1:216" x14ac:dyDescent="0.3">
      <c r="A26">
        <v>10</v>
      </c>
      <c r="B26">
        <v>1791603676</v>
      </c>
      <c r="C26">
        <v>1122.9000000953699</v>
      </c>
      <c r="D26" t="s">
        <v>371</v>
      </c>
      <c r="E26" t="s">
        <v>372</v>
      </c>
      <c r="F26">
        <v>5</v>
      </c>
      <c r="G26">
        <v>1791603673</v>
      </c>
      <c r="H26">
        <f t="shared" si="0"/>
        <v>4.4646192819333391E-3</v>
      </c>
      <c r="I26">
        <f t="shared" si="1"/>
        <v>4.4646192819333388</v>
      </c>
      <c r="J26">
        <f t="shared" si="2"/>
        <v>35.036892931733419</v>
      </c>
      <c r="K26">
        <f t="shared" si="3"/>
        <v>1183.92</v>
      </c>
      <c r="L26">
        <f t="shared" si="4"/>
        <v>980.15228488181526</v>
      </c>
      <c r="M26">
        <f t="shared" si="5"/>
        <v>99.30372842900492</v>
      </c>
      <c r="N26">
        <f t="shared" si="6"/>
        <v>119.94837126339361</v>
      </c>
      <c r="O26">
        <f t="shared" si="7"/>
        <v>0.3291490530894825</v>
      </c>
      <c r="P26">
        <f t="shared" si="8"/>
        <v>3.0315281351579548</v>
      </c>
      <c r="Q26">
        <f t="shared" si="9"/>
        <v>0.31050569209995638</v>
      </c>
      <c r="R26">
        <f t="shared" si="10"/>
        <v>0.19565303725323044</v>
      </c>
      <c r="S26">
        <f t="shared" si="11"/>
        <v>241.7390784155788</v>
      </c>
      <c r="T26">
        <f t="shared" si="12"/>
        <v>25.284912676588942</v>
      </c>
      <c r="U26">
        <f t="shared" si="13"/>
        <v>25.0169</v>
      </c>
      <c r="V26">
        <f t="shared" si="14"/>
        <v>3.1828827250803267</v>
      </c>
      <c r="W26">
        <f t="shared" si="15"/>
        <v>55.310461048892797</v>
      </c>
      <c r="X26">
        <f t="shared" si="16"/>
        <v>1.7616743287276926</v>
      </c>
      <c r="Y26">
        <f t="shared" si="17"/>
        <v>3.1850653480729894</v>
      </c>
      <c r="Z26">
        <f t="shared" si="18"/>
        <v>1.4212083963526341</v>
      </c>
      <c r="AA26">
        <f t="shared" si="19"/>
        <v>-196.88971033326024</v>
      </c>
      <c r="AB26">
        <f t="shared" si="20"/>
        <v>1.8795110654605751</v>
      </c>
      <c r="AC26">
        <f t="shared" si="21"/>
        <v>0.1311723526829473</v>
      </c>
      <c r="AD26">
        <f t="shared" si="22"/>
        <v>46.860051500462077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53886.412077073175</v>
      </c>
      <c r="AJ26" t="s">
        <v>343</v>
      </c>
      <c r="AK26" t="s">
        <v>343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1261.2225600080719</v>
      </c>
      <c r="AW26">
        <f t="shared" si="29"/>
        <v>35.036892931733419</v>
      </c>
      <c r="AX26" t="e">
        <f t="shared" si="30"/>
        <v>#DIV/0!</v>
      </c>
      <c r="AY26">
        <f t="shared" si="31"/>
        <v>2.7780103244830302E-2</v>
      </c>
      <c r="AZ26" t="e">
        <f t="shared" si="32"/>
        <v>#DIV/0!</v>
      </c>
      <c r="BA26" t="e">
        <f t="shared" si="33"/>
        <v>#DIV/0!</v>
      </c>
      <c r="BB26" t="s">
        <v>343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1500.0139999999999</v>
      </c>
      <c r="CU26">
        <f t="shared" si="43"/>
        <v>1261.2225600080719</v>
      </c>
      <c r="CV26">
        <f t="shared" si="44"/>
        <v>0.84080719247158486</v>
      </c>
      <c r="CW26">
        <f t="shared" si="45"/>
        <v>0.16115788147015883</v>
      </c>
      <c r="CX26">
        <v>2</v>
      </c>
      <c r="CY26">
        <v>0.5</v>
      </c>
      <c r="CZ26" t="s">
        <v>344</v>
      </c>
      <c r="DA26">
        <v>2</v>
      </c>
      <c r="DB26">
        <v>1791603673</v>
      </c>
      <c r="DC26">
        <v>1183.92</v>
      </c>
      <c r="DD26">
        <v>1200.048</v>
      </c>
      <c r="DE26">
        <v>17.388159999999999</v>
      </c>
      <c r="DF26">
        <v>15.63348</v>
      </c>
      <c r="DG26">
        <v>1183.114</v>
      </c>
      <c r="DH26">
        <v>17.579360000000001</v>
      </c>
      <c r="DI26">
        <v>500.03280000000001</v>
      </c>
      <c r="DJ26">
        <v>101.2146</v>
      </c>
      <c r="DK26">
        <v>9.9991579999999997E-2</v>
      </c>
      <c r="DL26">
        <v>25.028400000000001</v>
      </c>
      <c r="DM26">
        <v>25.0169</v>
      </c>
      <c r="DN26">
        <v>999.9</v>
      </c>
      <c r="DO26">
        <v>0</v>
      </c>
      <c r="DP26">
        <v>0</v>
      </c>
      <c r="DQ26">
        <v>10002.504000000001</v>
      </c>
      <c r="DR26">
        <v>0</v>
      </c>
      <c r="DS26">
        <v>8.8447800000000001</v>
      </c>
      <c r="DT26">
        <v>1500.0139999999999</v>
      </c>
      <c r="DU26">
        <v>0.973001</v>
      </c>
      <c r="DV26">
        <v>2.6998959999999999E-2</v>
      </c>
      <c r="DW26">
        <v>0</v>
      </c>
      <c r="DX26">
        <v>261.14120000000003</v>
      </c>
      <c r="DY26">
        <v>4.9999900000000004</v>
      </c>
      <c r="DZ26">
        <v>3860.3040000000001</v>
      </c>
      <c r="EA26">
        <v>14882.72</v>
      </c>
      <c r="EB26">
        <v>36.5</v>
      </c>
      <c r="EC26">
        <v>38.125</v>
      </c>
      <c r="ED26">
        <v>37.125</v>
      </c>
      <c r="EE26">
        <v>37.625</v>
      </c>
      <c r="EF26">
        <v>38.186999999999998</v>
      </c>
      <c r="EG26">
        <v>1454.654</v>
      </c>
      <c r="EH26">
        <v>40.36</v>
      </c>
      <c r="EI26">
        <v>0</v>
      </c>
      <c r="EJ26">
        <v>1791603676.7</v>
      </c>
      <c r="EK26">
        <v>0</v>
      </c>
      <c r="EL26">
        <v>261.07876923076901</v>
      </c>
      <c r="EM26">
        <v>1.2849914566296501</v>
      </c>
      <c r="EN26">
        <v>0.56820511297839704</v>
      </c>
      <c r="EO26">
        <v>3860.3930769230801</v>
      </c>
      <c r="EP26">
        <v>15</v>
      </c>
      <c r="EQ26">
        <v>1791603615</v>
      </c>
      <c r="ER26" t="s">
        <v>373</v>
      </c>
      <c r="ES26">
        <v>1791603615</v>
      </c>
      <c r="ET26">
        <v>1791603611</v>
      </c>
      <c r="EU26">
        <v>37</v>
      </c>
      <c r="EV26">
        <v>1.6E-2</v>
      </c>
      <c r="EW26">
        <v>-2E-3</v>
      </c>
      <c r="EX26">
        <v>0.83799999999999997</v>
      </c>
      <c r="EY26">
        <v>-0.19600000000000001</v>
      </c>
      <c r="EZ26">
        <v>1200</v>
      </c>
      <c r="FA26">
        <v>16</v>
      </c>
      <c r="FB26">
        <v>0.06</v>
      </c>
      <c r="FC26">
        <v>0.04</v>
      </c>
      <c r="FD26">
        <v>35.002127950334298</v>
      </c>
      <c r="FE26">
        <v>0.12633042706148501</v>
      </c>
      <c r="FF26">
        <v>0.14629166902707699</v>
      </c>
      <c r="FG26">
        <v>1</v>
      </c>
      <c r="FH26">
        <v>-16.092076190476199</v>
      </c>
      <c r="FI26">
        <v>-0.12825194805198101</v>
      </c>
      <c r="FJ26">
        <v>5.9533255250537299E-2</v>
      </c>
      <c r="FK26">
        <v>1</v>
      </c>
      <c r="FL26">
        <v>261.09741176470601</v>
      </c>
      <c r="FM26">
        <v>0.64993123498501604</v>
      </c>
      <c r="FN26">
        <v>0.424994748593649</v>
      </c>
      <c r="FO26">
        <v>-1</v>
      </c>
      <c r="FP26">
        <v>2</v>
      </c>
      <c r="FQ26">
        <v>2</v>
      </c>
      <c r="FR26" t="s">
        <v>346</v>
      </c>
      <c r="FS26">
        <v>100</v>
      </c>
      <c r="FT26">
        <v>100</v>
      </c>
      <c r="FU26">
        <v>0.8</v>
      </c>
      <c r="FV26">
        <v>-0.19120000000000001</v>
      </c>
      <c r="FW26">
        <v>-0.95825801255522502</v>
      </c>
      <c r="FX26">
        <v>7.6835882421071803E-4</v>
      </c>
      <c r="FY26">
        <v>7.9312579872174805E-7</v>
      </c>
      <c r="FZ26">
        <v>-1.5433145656851401E-10</v>
      </c>
      <c r="GA26">
        <v>-4.0644517129994201E-2</v>
      </c>
      <c r="GB26">
        <v>-2.1578312386681502E-2</v>
      </c>
      <c r="GC26">
        <v>7.7134661959739901E-4</v>
      </c>
      <c r="GD26">
        <v>-1.7684492548540801E-6</v>
      </c>
      <c r="GE26">
        <v>4</v>
      </c>
      <c r="GF26">
        <v>2093</v>
      </c>
      <c r="GG26">
        <v>1</v>
      </c>
      <c r="GH26">
        <v>31</v>
      </c>
      <c r="GI26">
        <v>1</v>
      </c>
      <c r="GJ26">
        <v>1.1000000000000001</v>
      </c>
      <c r="GK26">
        <v>2.52197</v>
      </c>
      <c r="GL26">
        <v>2.6440399999999999</v>
      </c>
      <c r="GM26">
        <v>1.65161</v>
      </c>
      <c r="GN26">
        <v>2.2766099999999998</v>
      </c>
      <c r="GO26">
        <v>1.5979000000000001</v>
      </c>
      <c r="GP26">
        <v>2.63794</v>
      </c>
      <c r="GQ26">
        <v>36.908000000000001</v>
      </c>
      <c r="GR26">
        <v>24.017499999999998</v>
      </c>
      <c r="GS26">
        <v>18</v>
      </c>
      <c r="GT26">
        <v>504.108</v>
      </c>
      <c r="GU26">
        <v>525.923</v>
      </c>
      <c r="GV26">
        <v>20.820599999999999</v>
      </c>
      <c r="GW26">
        <v>29.301600000000001</v>
      </c>
      <c r="GX26">
        <v>30</v>
      </c>
      <c r="GY26">
        <v>29.425899999999999</v>
      </c>
      <c r="GZ26">
        <v>29.480599999999999</v>
      </c>
      <c r="HA26">
        <v>50.417999999999999</v>
      </c>
      <c r="HB26">
        <v>20.0609</v>
      </c>
      <c r="HC26">
        <v>22.279399999999999</v>
      </c>
      <c r="HD26">
        <v>20.822700000000001</v>
      </c>
      <c r="HE26">
        <v>1200</v>
      </c>
      <c r="HF26">
        <v>15.601900000000001</v>
      </c>
      <c r="HG26">
        <v>98.144900000000007</v>
      </c>
      <c r="HH26">
        <v>94.709299999999999</v>
      </c>
    </row>
    <row r="27" spans="1:216" x14ac:dyDescent="0.3">
      <c r="A27">
        <v>11</v>
      </c>
      <c r="B27">
        <v>1791603800</v>
      </c>
      <c r="C27">
        <v>1246.9000000953699</v>
      </c>
      <c r="D27" t="s">
        <v>374</v>
      </c>
      <c r="E27" t="s">
        <v>375</v>
      </c>
      <c r="F27">
        <v>5</v>
      </c>
      <c r="G27">
        <v>1791603796.5</v>
      </c>
      <c r="H27">
        <f t="shared" si="0"/>
        <v>3.9854777494328928E-3</v>
      </c>
      <c r="I27">
        <f t="shared" si="1"/>
        <v>3.985477749432893</v>
      </c>
      <c r="J27">
        <f t="shared" si="2"/>
        <v>35.168658092357838</v>
      </c>
      <c r="K27">
        <f t="shared" si="3"/>
        <v>1483.5516666666699</v>
      </c>
      <c r="L27">
        <f t="shared" si="4"/>
        <v>1249.212179828186</v>
      </c>
      <c r="M27">
        <f t="shared" si="5"/>
        <v>126.57016821223579</v>
      </c>
      <c r="N27">
        <f t="shared" si="6"/>
        <v>150.31344317133468</v>
      </c>
      <c r="O27">
        <f t="shared" si="7"/>
        <v>0.28987845546467739</v>
      </c>
      <c r="P27">
        <f t="shared" si="8"/>
        <v>3.0299259742955065</v>
      </c>
      <c r="Q27">
        <f t="shared" si="9"/>
        <v>0.27530538186014208</v>
      </c>
      <c r="R27">
        <f t="shared" si="10"/>
        <v>0.17331412384922071</v>
      </c>
      <c r="S27">
        <f t="shared" si="11"/>
        <v>241.73498201557854</v>
      </c>
      <c r="T27">
        <f t="shared" si="12"/>
        <v>25.308218954840537</v>
      </c>
      <c r="U27">
        <f t="shared" si="13"/>
        <v>24.996233333333301</v>
      </c>
      <c r="V27">
        <f t="shared" si="14"/>
        <v>3.1789636149663458</v>
      </c>
      <c r="W27">
        <f t="shared" si="15"/>
        <v>55.197456124449232</v>
      </c>
      <c r="X27">
        <f t="shared" si="16"/>
        <v>1.7478593633388662</v>
      </c>
      <c r="Y27">
        <f t="shared" si="17"/>
        <v>3.1665578199801625</v>
      </c>
      <c r="Z27">
        <f t="shared" si="18"/>
        <v>1.4311042516274797</v>
      </c>
      <c r="AA27">
        <f t="shared" si="19"/>
        <v>-175.75956874999056</v>
      </c>
      <c r="AB27">
        <f t="shared" si="20"/>
        <v>-10.710273635698469</v>
      </c>
      <c r="AC27">
        <f t="shared" si="21"/>
        <v>-0.74742693438126384</v>
      </c>
      <c r="AD27">
        <f t="shared" si="22"/>
        <v>54.517712695508251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53854.163463143763</v>
      </c>
      <c r="AJ27" t="s">
        <v>343</v>
      </c>
      <c r="AK27" t="s">
        <v>343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1261.2010000080693</v>
      </c>
      <c r="AW27">
        <f t="shared" si="29"/>
        <v>35.168658092357838</v>
      </c>
      <c r="AX27" t="e">
        <f t="shared" si="30"/>
        <v>#DIV/0!</v>
      </c>
      <c r="AY27">
        <f t="shared" si="31"/>
        <v>2.7885054081096372E-2</v>
      </c>
      <c r="AZ27" t="e">
        <f t="shared" si="32"/>
        <v>#DIV/0!</v>
      </c>
      <c r="BA27" t="e">
        <f t="shared" si="33"/>
        <v>#DIV/0!</v>
      </c>
      <c r="BB27" t="s">
        <v>343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1499.98833333333</v>
      </c>
      <c r="CU27">
        <f t="shared" si="43"/>
        <v>1261.2010000080693</v>
      </c>
      <c r="CV27">
        <f t="shared" si="44"/>
        <v>0.84080720628365246</v>
      </c>
      <c r="CW27">
        <f t="shared" si="45"/>
        <v>0.16115790812744926</v>
      </c>
      <c r="CX27">
        <v>2</v>
      </c>
      <c r="CY27">
        <v>0.5</v>
      </c>
      <c r="CZ27" t="s">
        <v>344</v>
      </c>
      <c r="DA27">
        <v>2</v>
      </c>
      <c r="DB27">
        <v>1791603796.5</v>
      </c>
      <c r="DC27">
        <v>1483.5516666666699</v>
      </c>
      <c r="DD27">
        <v>1499.9849999999999</v>
      </c>
      <c r="DE27">
        <v>17.250883333333299</v>
      </c>
      <c r="DF27">
        <v>15.6841166666667</v>
      </c>
      <c r="DG27">
        <v>1482.16333333333</v>
      </c>
      <c r="DH27">
        <v>17.438866666666701</v>
      </c>
      <c r="DI27">
        <v>499.97550000000001</v>
      </c>
      <c r="DJ27">
        <v>101.22</v>
      </c>
      <c r="DK27">
        <v>9.99921166666667E-2</v>
      </c>
      <c r="DL27">
        <v>24.930666666666699</v>
      </c>
      <c r="DM27">
        <v>24.996233333333301</v>
      </c>
      <c r="DN27">
        <v>999.9</v>
      </c>
      <c r="DO27">
        <v>0</v>
      </c>
      <c r="DP27">
        <v>0</v>
      </c>
      <c r="DQ27">
        <v>9992.2900000000009</v>
      </c>
      <c r="DR27">
        <v>0</v>
      </c>
      <c r="DS27">
        <v>8.8324533333333299</v>
      </c>
      <c r="DT27">
        <v>1499.98833333333</v>
      </c>
      <c r="DU27">
        <v>0.97300066666666696</v>
      </c>
      <c r="DV27">
        <v>2.69993E-2</v>
      </c>
      <c r="DW27">
        <v>0</v>
      </c>
      <c r="DX27">
        <v>260.225666666667</v>
      </c>
      <c r="DY27">
        <v>4.9999900000000004</v>
      </c>
      <c r="DZ27">
        <v>3850.9416666666698</v>
      </c>
      <c r="EA27">
        <v>14882.4666666667</v>
      </c>
      <c r="EB27">
        <v>36.5103333333333</v>
      </c>
      <c r="EC27">
        <v>38.125</v>
      </c>
      <c r="ED27">
        <v>37.103999999999999</v>
      </c>
      <c r="EE27">
        <v>37.603999999999999</v>
      </c>
      <c r="EF27">
        <v>38.186999999999998</v>
      </c>
      <c r="EG27">
        <v>1454.6283333333299</v>
      </c>
      <c r="EH27">
        <v>40.36</v>
      </c>
      <c r="EI27">
        <v>0</v>
      </c>
      <c r="EJ27">
        <v>1791603800.9000001</v>
      </c>
      <c r="EK27">
        <v>0</v>
      </c>
      <c r="EL27">
        <v>260.4228</v>
      </c>
      <c r="EM27">
        <v>-1.84676924675847</v>
      </c>
      <c r="EN27">
        <v>2.2138461252703401</v>
      </c>
      <c r="EO27">
        <v>3850.8216000000002</v>
      </c>
      <c r="EP27">
        <v>15</v>
      </c>
      <c r="EQ27">
        <v>1791603734</v>
      </c>
      <c r="ER27" t="s">
        <v>376</v>
      </c>
      <c r="ES27">
        <v>1791603728</v>
      </c>
      <c r="ET27">
        <v>1791603734</v>
      </c>
      <c r="EU27">
        <v>38</v>
      </c>
      <c r="EV27">
        <v>-3.3000000000000002E-2</v>
      </c>
      <c r="EW27">
        <v>4.0000000000000001E-3</v>
      </c>
      <c r="EX27">
        <v>1.4219999999999999</v>
      </c>
      <c r="EY27">
        <v>-0.192</v>
      </c>
      <c r="EZ27">
        <v>1500</v>
      </c>
      <c r="FA27">
        <v>16</v>
      </c>
      <c r="FB27">
        <v>0.26</v>
      </c>
      <c r="FC27">
        <v>0.04</v>
      </c>
      <c r="FD27">
        <v>35.1157919185925</v>
      </c>
      <c r="FE27">
        <v>0.56322732554801003</v>
      </c>
      <c r="FF27">
        <v>0.17467258301987501</v>
      </c>
      <c r="FG27">
        <v>1</v>
      </c>
      <c r="FH27">
        <v>-16.437760000000001</v>
      </c>
      <c r="FI27">
        <v>0.162135338345852</v>
      </c>
      <c r="FJ27">
        <v>5.7136953016414499E-2</v>
      </c>
      <c r="FK27">
        <v>1</v>
      </c>
      <c r="FL27">
        <v>260.41685294117701</v>
      </c>
      <c r="FM27">
        <v>-0.33520245447548802</v>
      </c>
      <c r="FN27">
        <v>0.35428985577223998</v>
      </c>
      <c r="FO27">
        <v>-1</v>
      </c>
      <c r="FP27">
        <v>2</v>
      </c>
      <c r="FQ27">
        <v>2</v>
      </c>
      <c r="FR27" t="s">
        <v>346</v>
      </c>
      <c r="FS27">
        <v>100</v>
      </c>
      <c r="FT27">
        <v>100</v>
      </c>
      <c r="FU27">
        <v>1.39</v>
      </c>
      <c r="FV27">
        <v>-0.188</v>
      </c>
      <c r="FW27">
        <v>-0.99121861558190405</v>
      </c>
      <c r="FX27">
        <v>7.6835882421071803E-4</v>
      </c>
      <c r="FY27">
        <v>7.9312579872174805E-7</v>
      </c>
      <c r="FZ27">
        <v>-1.5433145656851401E-10</v>
      </c>
      <c r="GA27">
        <v>-3.6875263228795897E-2</v>
      </c>
      <c r="GB27">
        <v>-2.1578312386681502E-2</v>
      </c>
      <c r="GC27">
        <v>7.7134661959739901E-4</v>
      </c>
      <c r="GD27">
        <v>-1.7684492548540801E-6</v>
      </c>
      <c r="GE27">
        <v>4</v>
      </c>
      <c r="GF27">
        <v>2093</v>
      </c>
      <c r="GG27">
        <v>1</v>
      </c>
      <c r="GH27">
        <v>31</v>
      </c>
      <c r="GI27">
        <v>1.2</v>
      </c>
      <c r="GJ27">
        <v>1.1000000000000001</v>
      </c>
      <c r="GK27">
        <v>3.0236800000000001</v>
      </c>
      <c r="GL27">
        <v>2.6355</v>
      </c>
      <c r="GM27">
        <v>1.65161</v>
      </c>
      <c r="GN27">
        <v>2.2753899999999998</v>
      </c>
      <c r="GO27">
        <v>1.5979000000000001</v>
      </c>
      <c r="GP27">
        <v>2.4902299999999999</v>
      </c>
      <c r="GQ27">
        <v>36.860399999999998</v>
      </c>
      <c r="GR27">
        <v>24.008700000000001</v>
      </c>
      <c r="GS27">
        <v>18</v>
      </c>
      <c r="GT27">
        <v>504.214</v>
      </c>
      <c r="GU27">
        <v>526.67499999999995</v>
      </c>
      <c r="GV27">
        <v>20.995799999999999</v>
      </c>
      <c r="GW27">
        <v>29.3142</v>
      </c>
      <c r="GX27">
        <v>29.999700000000001</v>
      </c>
      <c r="GY27">
        <v>29.440899999999999</v>
      </c>
      <c r="GZ27">
        <v>29.4955</v>
      </c>
      <c r="HA27">
        <v>60.437399999999997</v>
      </c>
      <c r="HB27">
        <v>19.695499999999999</v>
      </c>
      <c r="HC27">
        <v>22.346</v>
      </c>
      <c r="HD27">
        <v>21.003499999999999</v>
      </c>
      <c r="HE27">
        <v>1500</v>
      </c>
      <c r="HF27">
        <v>15.6518</v>
      </c>
      <c r="HG27">
        <v>98.140500000000003</v>
      </c>
      <c r="HH27">
        <v>94.703299999999999</v>
      </c>
    </row>
    <row r="28" spans="1:216" x14ac:dyDescent="0.3">
      <c r="A28">
        <v>12</v>
      </c>
      <c r="B28">
        <v>1791603924</v>
      </c>
      <c r="C28">
        <v>1370.9000000953699</v>
      </c>
      <c r="D28" t="s">
        <v>377</v>
      </c>
      <c r="E28" t="s">
        <v>378</v>
      </c>
      <c r="F28">
        <v>5</v>
      </c>
      <c r="G28">
        <v>1791603921</v>
      </c>
      <c r="H28">
        <f t="shared" si="0"/>
        <v>3.6379058315539883E-3</v>
      </c>
      <c r="I28">
        <f t="shared" si="1"/>
        <v>3.6379058315539883</v>
      </c>
      <c r="J28">
        <f t="shared" si="2"/>
        <v>35.578373217549718</v>
      </c>
      <c r="K28">
        <f t="shared" si="3"/>
        <v>1783.204</v>
      </c>
      <c r="L28">
        <f t="shared" si="4"/>
        <v>1517.3505882290369</v>
      </c>
      <c r="M28">
        <f t="shared" si="5"/>
        <v>153.73259039071274</v>
      </c>
      <c r="N28">
        <f t="shared" si="6"/>
        <v>180.66791698748855</v>
      </c>
      <c r="O28">
        <f t="shared" si="7"/>
        <v>0.26045868923354554</v>
      </c>
      <c r="P28">
        <f t="shared" si="8"/>
        <v>3.0290307236080438</v>
      </c>
      <c r="Q28">
        <f t="shared" si="9"/>
        <v>0.24862537141947524</v>
      </c>
      <c r="R28">
        <f t="shared" si="10"/>
        <v>0.15640922692131393</v>
      </c>
      <c r="S28">
        <f t="shared" si="11"/>
        <v>241.73939761557878</v>
      </c>
      <c r="T28">
        <f t="shared" si="12"/>
        <v>25.344737694646589</v>
      </c>
      <c r="U28">
        <f t="shared" si="13"/>
        <v>25.015499999999999</v>
      </c>
      <c r="V28">
        <f t="shared" si="14"/>
        <v>3.1826171037192377</v>
      </c>
      <c r="W28">
        <f t="shared" si="15"/>
        <v>54.995404187308715</v>
      </c>
      <c r="X28">
        <f t="shared" si="16"/>
        <v>1.7361325186794034</v>
      </c>
      <c r="Y28">
        <f t="shared" si="17"/>
        <v>3.156868368066382</v>
      </c>
      <c r="Z28">
        <f t="shared" si="18"/>
        <v>1.4464845850398342</v>
      </c>
      <c r="AA28">
        <f t="shared" si="19"/>
        <v>-160.4316471715309</v>
      </c>
      <c r="AB28">
        <f t="shared" si="20"/>
        <v>-22.241610415351364</v>
      </c>
      <c r="AC28">
        <f t="shared" si="21"/>
        <v>-1.5523604921044141</v>
      </c>
      <c r="AD28">
        <f t="shared" si="22"/>
        <v>57.513779536592111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53835.418983357486</v>
      </c>
      <c r="AJ28" t="s">
        <v>343</v>
      </c>
      <c r="AK28" t="s">
        <v>343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1261.2242400080718</v>
      </c>
      <c r="AW28">
        <f t="shared" si="29"/>
        <v>35.578373217549718</v>
      </c>
      <c r="AX28" t="e">
        <f t="shared" si="30"/>
        <v>#DIV/0!</v>
      </c>
      <c r="AY28">
        <f t="shared" si="31"/>
        <v>2.8209395354883138E-2</v>
      </c>
      <c r="AZ28" t="e">
        <f t="shared" si="32"/>
        <v>#DIV/0!</v>
      </c>
      <c r="BA28" t="e">
        <f t="shared" si="33"/>
        <v>#DIV/0!</v>
      </c>
      <c r="BB28" t="s">
        <v>343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1500.0160000000001</v>
      </c>
      <c r="CU28">
        <f t="shared" si="43"/>
        <v>1261.2242400080718</v>
      </c>
      <c r="CV28">
        <f t="shared" si="44"/>
        <v>0.84080719139533966</v>
      </c>
      <c r="CW28">
        <f t="shared" si="45"/>
        <v>0.16115787939300566</v>
      </c>
      <c r="CX28">
        <v>2</v>
      </c>
      <c r="CY28">
        <v>0.5</v>
      </c>
      <c r="CZ28" t="s">
        <v>344</v>
      </c>
      <c r="DA28">
        <v>2</v>
      </c>
      <c r="DB28">
        <v>1791603921</v>
      </c>
      <c r="DC28">
        <v>1783.204</v>
      </c>
      <c r="DD28">
        <v>1800.028</v>
      </c>
      <c r="DE28">
        <v>17.135739999999998</v>
      </c>
      <c r="DF28">
        <v>15.7057</v>
      </c>
      <c r="DG28">
        <v>1781.42</v>
      </c>
      <c r="DH28">
        <v>17.320440000000001</v>
      </c>
      <c r="DI28">
        <v>500.06540000000001</v>
      </c>
      <c r="DJ28">
        <v>101.21639999999999</v>
      </c>
      <c r="DK28">
        <v>0.10006014000000001</v>
      </c>
      <c r="DL28">
        <v>24.879300000000001</v>
      </c>
      <c r="DM28">
        <v>25.015499999999999</v>
      </c>
      <c r="DN28">
        <v>999.9</v>
      </c>
      <c r="DO28">
        <v>0</v>
      </c>
      <c r="DP28">
        <v>0</v>
      </c>
      <c r="DQ28">
        <v>9987.24</v>
      </c>
      <c r="DR28">
        <v>0</v>
      </c>
      <c r="DS28">
        <v>8.8653899999999997</v>
      </c>
      <c r="DT28">
        <v>1500.0160000000001</v>
      </c>
      <c r="DU28">
        <v>0.973001</v>
      </c>
      <c r="DV28">
        <v>2.6998959999999999E-2</v>
      </c>
      <c r="DW28">
        <v>0</v>
      </c>
      <c r="DX28">
        <v>260.41340000000002</v>
      </c>
      <c r="DY28">
        <v>4.9999900000000004</v>
      </c>
      <c r="DZ28">
        <v>3854.7280000000001</v>
      </c>
      <c r="EA28">
        <v>14882.76</v>
      </c>
      <c r="EB28">
        <v>36.5</v>
      </c>
      <c r="EC28">
        <v>38.125</v>
      </c>
      <c r="ED28">
        <v>37.125</v>
      </c>
      <c r="EE28">
        <v>37.625</v>
      </c>
      <c r="EF28">
        <v>38.186999999999998</v>
      </c>
      <c r="EG28">
        <v>1454.6559999999999</v>
      </c>
      <c r="EH28">
        <v>40.36</v>
      </c>
      <c r="EI28">
        <v>0</v>
      </c>
      <c r="EJ28">
        <v>1791603924.5</v>
      </c>
      <c r="EK28">
        <v>0</v>
      </c>
      <c r="EL28">
        <v>260.62884000000003</v>
      </c>
      <c r="EM28">
        <v>-1.4134615491568401</v>
      </c>
      <c r="EN28">
        <v>-3.3253846108549401</v>
      </c>
      <c r="EO28">
        <v>3854.6651999999999</v>
      </c>
      <c r="EP28">
        <v>15</v>
      </c>
      <c r="EQ28">
        <v>1791603865</v>
      </c>
      <c r="ER28" t="s">
        <v>379</v>
      </c>
      <c r="ES28">
        <v>1791603865</v>
      </c>
      <c r="ET28">
        <v>1791603860</v>
      </c>
      <c r="EU28">
        <v>39</v>
      </c>
      <c r="EV28">
        <v>-0.23899999999999999</v>
      </c>
      <c r="EW28">
        <v>4.0000000000000001E-3</v>
      </c>
      <c r="EX28">
        <v>1.82</v>
      </c>
      <c r="EY28">
        <v>-0.188</v>
      </c>
      <c r="EZ28">
        <v>1800</v>
      </c>
      <c r="FA28">
        <v>16</v>
      </c>
      <c r="FB28">
        <v>0.19</v>
      </c>
      <c r="FC28">
        <v>0.05</v>
      </c>
      <c r="FD28">
        <v>35.624687430967001</v>
      </c>
      <c r="FE28">
        <v>0.49461743791641899</v>
      </c>
      <c r="FF28">
        <v>0.20097828398952899</v>
      </c>
      <c r="FG28">
        <v>1</v>
      </c>
      <c r="FH28">
        <v>-16.859559999999998</v>
      </c>
      <c r="FI28">
        <v>-3.5873684210529201E-2</v>
      </c>
      <c r="FJ28">
        <v>8.1127044812441998E-2</v>
      </c>
      <c r="FK28">
        <v>1</v>
      </c>
      <c r="FL28">
        <v>260.58014705882402</v>
      </c>
      <c r="FM28">
        <v>-1.21456073400914</v>
      </c>
      <c r="FN28">
        <v>0.41147211558392899</v>
      </c>
      <c r="FO28">
        <v>-1</v>
      </c>
      <c r="FP28">
        <v>2</v>
      </c>
      <c r="FQ28">
        <v>2</v>
      </c>
      <c r="FR28" t="s">
        <v>346</v>
      </c>
      <c r="FS28">
        <v>100</v>
      </c>
      <c r="FT28">
        <v>100</v>
      </c>
      <c r="FU28">
        <v>1.78</v>
      </c>
      <c r="FV28">
        <v>-0.1847</v>
      </c>
      <c r="FW28">
        <v>-1.22939964382037</v>
      </c>
      <c r="FX28">
        <v>7.6835882421071803E-4</v>
      </c>
      <c r="FY28">
        <v>7.9312579872174805E-7</v>
      </c>
      <c r="FZ28">
        <v>-1.5433145656851401E-10</v>
      </c>
      <c r="GA28">
        <v>-3.31768741394265E-2</v>
      </c>
      <c r="GB28">
        <v>-2.1578312386681502E-2</v>
      </c>
      <c r="GC28">
        <v>7.7134661959739901E-4</v>
      </c>
      <c r="GD28">
        <v>-1.7684492548540801E-6</v>
      </c>
      <c r="GE28">
        <v>4</v>
      </c>
      <c r="GF28">
        <v>2093</v>
      </c>
      <c r="GG28">
        <v>1</v>
      </c>
      <c r="GH28">
        <v>31</v>
      </c>
      <c r="GI28">
        <v>1</v>
      </c>
      <c r="GJ28">
        <v>1.1000000000000001</v>
      </c>
      <c r="GK28">
        <v>3.4997600000000002</v>
      </c>
      <c r="GL28">
        <v>2.63794</v>
      </c>
      <c r="GM28">
        <v>1.65161</v>
      </c>
      <c r="GN28">
        <v>2.2753899999999998</v>
      </c>
      <c r="GO28">
        <v>1.5979000000000001</v>
      </c>
      <c r="GP28">
        <v>2.52319</v>
      </c>
      <c r="GQ28">
        <v>36.812899999999999</v>
      </c>
      <c r="GR28">
        <v>24.008700000000001</v>
      </c>
      <c r="GS28">
        <v>18</v>
      </c>
      <c r="GT28">
        <v>504.39600000000002</v>
      </c>
      <c r="GU28">
        <v>527.41300000000001</v>
      </c>
      <c r="GV28">
        <v>20.918700000000001</v>
      </c>
      <c r="GW28">
        <v>29.3292</v>
      </c>
      <c r="GX28">
        <v>30.0001</v>
      </c>
      <c r="GY28">
        <v>29.456099999999999</v>
      </c>
      <c r="GZ28">
        <v>29.510899999999999</v>
      </c>
      <c r="HA28">
        <v>69.968800000000002</v>
      </c>
      <c r="HB28">
        <v>19.706600000000002</v>
      </c>
      <c r="HC28">
        <v>22.442699999999999</v>
      </c>
      <c r="HD28">
        <v>20.9071</v>
      </c>
      <c r="HE28">
        <v>1800</v>
      </c>
      <c r="HF28">
        <v>15.726800000000001</v>
      </c>
      <c r="HG28">
        <v>98.137299999999996</v>
      </c>
      <c r="HH28">
        <v>94.697699999999998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2026-10-10T12:47:26Z</dcterms:created>
  <dcterms:modified xsi:type="dcterms:W3CDTF">2026-10-11T05:57:49Z</dcterms:modified>
</cp:coreProperties>
</file>