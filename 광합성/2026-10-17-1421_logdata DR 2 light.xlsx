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7 lettuce park/"/>
    </mc:Choice>
  </mc:AlternateContent>
  <xr:revisionPtr revIDLastSave="0" documentId="11_ACE0710006A358C2659EE19D8D8BDD9604E3733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/>
  <c r="Y23" i="1"/>
  <c r="X23" i="1"/>
  <c r="W23" i="1" s="1"/>
  <c r="S23" i="1"/>
  <c r="P23" i="1"/>
  <c r="CW22" i="1"/>
  <c r="CV22" i="1"/>
  <c r="CT22" i="1"/>
  <c r="S22" i="1" s="1"/>
  <c r="BI22" i="1"/>
  <c r="BH22" i="1"/>
  <c r="AZ22" i="1"/>
  <c r="AT22" i="1"/>
  <c r="AN22" i="1"/>
  <c r="BA22" i="1" s="1"/>
  <c r="BD22" i="1" s="1"/>
  <c r="AI22" i="1"/>
  <c r="AG22" i="1"/>
  <c r="Y22" i="1"/>
  <c r="X22" i="1"/>
  <c r="W22" i="1" s="1"/>
  <c r="P22" i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/>
  <c r="Y21" i="1"/>
  <c r="X21" i="1"/>
  <c r="W21" i="1"/>
  <c r="S21" i="1"/>
  <c r="P21" i="1"/>
  <c r="CW20" i="1"/>
  <c r="S20" i="1" s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 s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CU22" i="1" l="1"/>
  <c r="AV22" i="1" s="1"/>
  <c r="AX22" i="1" s="1"/>
  <c r="CU20" i="1"/>
  <c r="AV20" i="1" s="1"/>
  <c r="AX20" i="1" s="1"/>
  <c r="CU17" i="1"/>
  <c r="AV17" i="1" s="1"/>
  <c r="AX17" i="1" s="1"/>
  <c r="K20" i="1"/>
  <c r="J20" i="1"/>
  <c r="AW20" i="1" s="1"/>
  <c r="AY20" i="1" s="1"/>
  <c r="I20" i="1"/>
  <c r="H20" i="1" s="1"/>
  <c r="N20" i="1"/>
  <c r="AH20" i="1"/>
  <c r="J18" i="1"/>
  <c r="AW18" i="1" s="1"/>
  <c r="N18" i="1"/>
  <c r="K18" i="1"/>
  <c r="I18" i="1"/>
  <c r="H18" i="1" s="1"/>
  <c r="AA18" i="1" s="1"/>
  <c r="AH18" i="1"/>
  <c r="CU25" i="1"/>
  <c r="AV25" i="1" s="1"/>
  <c r="AX25" i="1" s="1"/>
  <c r="S25" i="1"/>
  <c r="BE25" i="1"/>
  <c r="BF25" i="1"/>
  <c r="BJ25" i="1" s="1"/>
  <c r="BK25" i="1" s="1"/>
  <c r="BG25" i="1"/>
  <c r="AH25" i="1"/>
  <c r="N25" i="1"/>
  <c r="K25" i="1"/>
  <c r="J25" i="1"/>
  <c r="AW25" i="1" s="1"/>
  <c r="AY25" i="1" s="1"/>
  <c r="I25" i="1"/>
  <c r="H25" i="1" s="1"/>
  <c r="CU24" i="1"/>
  <c r="AV24" i="1" s="1"/>
  <c r="AX24" i="1" s="1"/>
  <c r="S24" i="1"/>
  <c r="BE24" i="1"/>
  <c r="BF24" i="1"/>
  <c r="BJ24" i="1" s="1"/>
  <c r="BK24" i="1" s="1"/>
  <c r="BG24" i="1"/>
  <c r="AH24" i="1"/>
  <c r="N24" i="1"/>
  <c r="K24" i="1"/>
  <c r="J24" i="1"/>
  <c r="AW24" i="1" s="1"/>
  <c r="I24" i="1"/>
  <c r="H24" i="1" s="1"/>
  <c r="BF23" i="1"/>
  <c r="BJ23" i="1" s="1"/>
  <c r="BK23" i="1" s="1"/>
  <c r="BG23" i="1"/>
  <c r="BE23" i="1"/>
  <c r="AH23" i="1"/>
  <c r="N23" i="1"/>
  <c r="K23" i="1"/>
  <c r="J23" i="1"/>
  <c r="AW23" i="1" s="1"/>
  <c r="AY23" i="1" s="1"/>
  <c r="I23" i="1"/>
  <c r="H23" i="1" s="1"/>
  <c r="T23" i="1"/>
  <c r="U23" i="1" s="1"/>
  <c r="BE22" i="1"/>
  <c r="BF22" i="1"/>
  <c r="BJ22" i="1" s="1"/>
  <c r="BK22" i="1" s="1"/>
  <c r="BG22" i="1"/>
  <c r="K22" i="1"/>
  <c r="N22" i="1"/>
  <c r="I22" i="1"/>
  <c r="H22" i="1" s="1"/>
  <c r="T22" i="1" s="1"/>
  <c r="U22" i="1" s="1"/>
  <c r="J22" i="1"/>
  <c r="AW22" i="1" s="1"/>
  <c r="AH22" i="1"/>
  <c r="BE21" i="1"/>
  <c r="BF21" i="1"/>
  <c r="BJ21" i="1" s="1"/>
  <c r="BK21" i="1" s="1"/>
  <c r="BG21" i="1"/>
  <c r="J21" i="1"/>
  <c r="AW21" i="1" s="1"/>
  <c r="AY21" i="1" s="1"/>
  <c r="I21" i="1"/>
  <c r="H21" i="1" s="1"/>
  <c r="K21" i="1"/>
  <c r="AH21" i="1"/>
  <c r="N21" i="1"/>
  <c r="T21" i="1"/>
  <c r="U21" i="1" s="1"/>
  <c r="BE20" i="1"/>
  <c r="BF20" i="1"/>
  <c r="BJ20" i="1" s="1"/>
  <c r="BK20" i="1" s="1"/>
  <c r="BG20" i="1"/>
  <c r="CU19" i="1"/>
  <c r="AV19" i="1" s="1"/>
  <c r="AX19" i="1" s="1"/>
  <c r="S19" i="1"/>
  <c r="BE19" i="1"/>
  <c r="BF19" i="1"/>
  <c r="BJ19" i="1" s="1"/>
  <c r="BK19" i="1" s="1"/>
  <c r="BG19" i="1"/>
  <c r="I19" i="1"/>
  <c r="H19" i="1" s="1"/>
  <c r="AH19" i="1"/>
  <c r="N19" i="1"/>
  <c r="K19" i="1"/>
  <c r="J19" i="1"/>
  <c r="AW19" i="1" s="1"/>
  <c r="CU18" i="1"/>
  <c r="AV18" i="1" s="1"/>
  <c r="S18" i="1"/>
  <c r="BG18" i="1"/>
  <c r="BF18" i="1"/>
  <c r="BJ18" i="1" s="1"/>
  <c r="BK18" i="1" s="1"/>
  <c r="BE18" i="1"/>
  <c r="BF17" i="1"/>
  <c r="BJ17" i="1" s="1"/>
  <c r="BK17" i="1" s="1"/>
  <c r="BE17" i="1"/>
  <c r="BG17" i="1"/>
  <c r="I17" i="1"/>
  <c r="H17" i="1" s="1"/>
  <c r="K17" i="1"/>
  <c r="J17" i="1"/>
  <c r="AW17" i="1" s="1"/>
  <c r="N17" i="1"/>
  <c r="AH17" i="1"/>
  <c r="T17" i="1"/>
  <c r="U17" i="1" s="1"/>
  <c r="AY24" i="1" l="1"/>
  <c r="AY22" i="1"/>
  <c r="AY19" i="1"/>
  <c r="AY17" i="1"/>
  <c r="T20" i="1"/>
  <c r="U20" i="1" s="1"/>
  <c r="AA20" i="1"/>
  <c r="T25" i="1"/>
  <c r="U25" i="1" s="1"/>
  <c r="Q25" i="1"/>
  <c r="O25" i="1" s="1"/>
  <c r="R25" i="1" s="1"/>
  <c r="L25" i="1" s="1"/>
  <c r="M25" i="1" s="1"/>
  <c r="AA25" i="1"/>
  <c r="T24" i="1"/>
  <c r="U24" i="1" s="1"/>
  <c r="Q24" i="1" s="1"/>
  <c r="O24" i="1" s="1"/>
  <c r="R24" i="1" s="1"/>
  <c r="L24" i="1" s="1"/>
  <c r="M24" i="1" s="1"/>
  <c r="AA24" i="1"/>
  <c r="AA23" i="1"/>
  <c r="Q23" i="1"/>
  <c r="O23" i="1" s="1"/>
  <c r="R23" i="1" s="1"/>
  <c r="L23" i="1" s="1"/>
  <c r="M23" i="1" s="1"/>
  <c r="AC23" i="1"/>
  <c r="V23" i="1"/>
  <c r="Z23" i="1" s="1"/>
  <c r="AB23" i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T19" i="1"/>
  <c r="U19" i="1" s="1"/>
  <c r="AA19" i="1"/>
  <c r="Q19" i="1"/>
  <c r="O19" i="1" s="1"/>
  <c r="R19" i="1" s="1"/>
  <c r="L19" i="1" s="1"/>
  <c r="M19" i="1" s="1"/>
  <c r="AY18" i="1"/>
  <c r="AX18" i="1"/>
  <c r="T18" i="1"/>
  <c r="U18" i="1" s="1"/>
  <c r="AA17" i="1"/>
  <c r="Q17" i="1"/>
  <c r="O17" i="1" s="1"/>
  <c r="R17" i="1" s="1"/>
  <c r="L17" i="1" s="1"/>
  <c r="M17" i="1" s="1"/>
  <c r="AB17" i="1"/>
  <c r="V17" i="1"/>
  <c r="Z17" i="1" s="1"/>
  <c r="AC17" i="1"/>
  <c r="AD17" i="1" s="1"/>
  <c r="AB20" i="1" l="1"/>
  <c r="V20" i="1"/>
  <c r="Z20" i="1" s="1"/>
  <c r="AC20" i="1"/>
  <c r="Q20" i="1"/>
  <c r="O20" i="1" s="1"/>
  <c r="R20" i="1" s="1"/>
  <c r="L20" i="1" s="1"/>
  <c r="M20" i="1" s="1"/>
  <c r="AB25" i="1"/>
  <c r="V25" i="1"/>
  <c r="Z25" i="1" s="1"/>
  <c r="AC25" i="1"/>
  <c r="AD25" i="1" s="1"/>
  <c r="V24" i="1"/>
  <c r="Z24" i="1" s="1"/>
  <c r="AB24" i="1"/>
  <c r="AC24" i="1"/>
  <c r="AD24" i="1" s="1"/>
  <c r="AC19" i="1"/>
  <c r="AB19" i="1"/>
  <c r="V19" i="1"/>
  <c r="Z19" i="1" s="1"/>
  <c r="AB18" i="1"/>
  <c r="V18" i="1"/>
  <c r="Z18" i="1" s="1"/>
  <c r="AC18" i="1"/>
  <c r="AD18" i="1" s="1"/>
  <c r="Q18" i="1"/>
  <c r="O18" i="1" s="1"/>
  <c r="R18" i="1" s="1"/>
  <c r="L18" i="1" s="1"/>
  <c r="M18" i="1" s="1"/>
  <c r="AD23" i="1"/>
  <c r="AD20" i="1" l="1"/>
  <c r="AD19" i="1"/>
</calcChain>
</file>

<file path=xl/sharedStrings.xml><?xml version="1.0" encoding="utf-8"?>
<sst xmlns="http://schemas.openxmlformats.org/spreadsheetml/2006/main" count="739" uniqueCount="379">
  <si>
    <t>File opened</t>
  </si>
  <si>
    <t>2026-10-17 14:21:34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</si>
  <si>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</si>
  <si>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</si>
  <si>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</si>
  <si>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</si>
  <si>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</si>
  <si>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</si>
  <si>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</si>
  <si>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</si>
  <si>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</si>
  <si>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</si>
  <si>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</si>
  <si>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{"co2bspanconc1": "437.6", "h2oaspan2a": "0.0964052", "co2bspan1": "1.00005", "h2oaspan1": "1.02308", "h2obspanconc1": "17.96", "flowbzero": "0.30473", "co2bspan2b": "0.105618", "co2aspan1": "1.00082", "tazero": "0.15448", "co2aspan2a": "0.106022", "h2oaspan2b": "0.0986302", "h2obspanconc2": "0", "co2azero": "0.931334", "flowazero": "0.276", "co2aspan2b": "0.105998", "co2aspanconc2": "1516", "co2aspanconc1": "437.6", "h2obzero": "1.01897", "h2obspan2b": "0.0971974", "co2bspan2a": "0.105708", "h2obspan2a": "0.0961931", "ssb_ref": "36242.9", "oxygen": "21", "flowmeterzero": "2.483", "co2bspanconc2": "1516", "h2obspan1": "1.01044", "ssa_ref": "37830.5", "h2oaspanconc1": "17.96", "tbzero": "0.143742", "h2oazero": "1.03097", "co2bspan2": "-0.00857283", "co2bzero": "0.953041", "h2obspan2": "0", "h2oaspanconc2": "0", "co2aspan2": "-0.00988168", "h2oaspan2": "0", "chamberpressurezero": "2.71033"}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</si>
  <si>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</si>
  <si>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</si>
  <si>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</si>
  <si>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</si>
  <si>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</si>
  <si>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</si>
  <si>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</si>
  <si>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</si>
  <si>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</si>
  <si>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</si>
  <si>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</si>
  <si>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</si>
  <si>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</si>
  <si>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</si>
  <si>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</si>
  <si>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14:21:34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</si>
  <si>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</si>
  <si>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</si>
  <si>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</si>
  <si>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</si>
  <si>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</si>
  <si>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</si>
  <si>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</si>
  <si>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</si>
  <si>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</si>
  <si>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</si>
  <si>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</si>
  <si>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</si>
  <si>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</si>
  <si>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</si>
  <si>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</si>
  <si>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</si>
  <si>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</si>
  <si>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</si>
  <si>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</si>
  <si>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</si>
  <si>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</si>
  <si>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</si>
  <si>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</si>
  <si>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</si>
  <si>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</si>
  <si>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</si>
  <si>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</si>
  <si>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</si>
  <si>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</si>
  <si>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</si>
  <si>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</si>
  <si>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</si>
  <si>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</si>
  <si>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</si>
  <si>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</si>
  <si>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</si>
  <si>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</si>
  <si>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</si>
  <si>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</si>
  <si>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</si>
  <si>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</si>
  <si>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</si>
  <si>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</si>
  <si>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</si>
  <si>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</si>
  <si>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</si>
  <si>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</si>
  <si>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</si>
  <si>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</si>
  <si>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</si>
  <si>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</si>
  <si>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</si>
  <si>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</si>
  <si>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</si>
  <si>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</si>
  <si>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</si>
  <si>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</si>
  <si>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</si>
  <si>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</si>
  <si>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</si>
  <si>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</si>
  <si>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</si>
  <si>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</si>
  <si>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</si>
  <si>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</si>
  <si>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</si>
  <si>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</si>
  <si>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</si>
  <si>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</si>
  <si>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</si>
  <si>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</si>
  <si>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</si>
  <si>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</si>
  <si>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</si>
  <si>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</si>
  <si>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</si>
  <si>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</si>
  <si>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</si>
  <si>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</si>
  <si>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</si>
  <si>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</si>
  <si>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</si>
  <si>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</si>
  <si>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</si>
  <si>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</si>
  <si>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</si>
  <si>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</si>
  <si>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</si>
  <si>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</si>
  <si>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</si>
  <si>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</si>
  <si>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</si>
  <si>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</si>
  <si>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</si>
  <si>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</si>
  <si>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</si>
  <si>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</si>
  <si>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</si>
  <si>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</si>
  <si>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</si>
  <si>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</si>
  <si>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</si>
  <si>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</si>
  <si>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</si>
  <si>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</si>
  <si>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</si>
  <si>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</si>
  <si>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</si>
  <si>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</si>
  <si>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</si>
  <si>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</si>
  <si>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</si>
  <si>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</si>
  <si>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</si>
  <si>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</si>
  <si>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</si>
  <si>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</si>
  <si>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</si>
  <si>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</si>
  <si>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</si>
  <si>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</si>
  <si>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</si>
  <si>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</si>
  <si>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</si>
  <si>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</si>
  <si>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</si>
  <si>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</si>
  <si>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</si>
  <si>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</si>
  <si>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</si>
  <si>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</si>
  <si>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</si>
  <si>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</si>
  <si>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</si>
  <si>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</si>
  <si>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</si>
  <si>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</si>
  <si>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</si>
  <si>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</si>
  <si>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</si>
  <si>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</si>
  <si>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</si>
  <si>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</si>
  <si>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</si>
  <si>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</si>
  <si>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</si>
  <si>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</si>
  <si>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</si>
  <si>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</si>
  <si>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</si>
  <si>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</si>
  <si>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</si>
  <si>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</si>
  <si>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</si>
  <si>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</si>
  <si>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</si>
  <si>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</si>
  <si>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</si>
  <si>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</si>
  <si>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</si>
  <si>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</si>
  <si>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</si>
  <si>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</si>
  <si>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</si>
  <si>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</si>
  <si>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</si>
  <si>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</si>
  <si>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</si>
  <si>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</si>
  <si>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</si>
  <si>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</si>
  <si>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</si>
  <si>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</si>
  <si>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</si>
  <si>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</si>
  <si>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</si>
  <si>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</si>
  <si>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</si>
  <si>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</si>
  <si>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</si>
  <si>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</si>
  <si>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</si>
  <si>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</si>
  <si>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</si>
  <si>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</si>
  <si>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</si>
  <si>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</si>
  <si>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</si>
  <si>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</si>
  <si>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</si>
  <si>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</si>
  <si>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</si>
  <si>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</si>
  <si>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</si>
  <si>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</si>
  <si>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</si>
  <si>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</si>
  <si>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</si>
  <si>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</si>
  <si>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</si>
  <si>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</si>
  <si>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</si>
  <si>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</si>
  <si>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</si>
  <si>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</si>
  <si>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</si>
  <si>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</si>
  <si>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</si>
  <si>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</si>
  <si>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</si>
  <si>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</si>
  <si>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</si>
  <si>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</si>
  <si>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</si>
  <si>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</si>
  <si>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</si>
  <si>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</si>
  <si>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</si>
  <si>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</si>
  <si>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</si>
  <si>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</si>
  <si>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</si>
  <si>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</si>
  <si>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</si>
  <si>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</si>
  <si>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</si>
  <si>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</si>
  <si>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</si>
  <si>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</si>
  <si>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</si>
  <si>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</si>
  <si>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</si>
  <si>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</si>
  <si>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</si>
  <si>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</si>
  <si>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</si>
  <si>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</si>
  <si>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</si>
  <si>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</si>
  <si>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</si>
  <si>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</si>
  <si>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</si>
  <si>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</si>
  <si>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</si>
  <si>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</si>
  <si>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</si>
  <si>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</si>
  <si>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</si>
  <si>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</si>
  <si>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</si>
  <si>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</si>
  <si>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</si>
  <si>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</si>
  <si>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</si>
  <si>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</si>
  <si>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</si>
  <si>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</si>
  <si>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</si>
  <si>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</si>
  <si>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</si>
  <si>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</si>
  <si>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</si>
  <si>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</si>
  <si>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</si>
  <si>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</si>
  <si>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</si>
  <si>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</si>
  <si>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</si>
  <si>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</si>
  <si>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</si>
  <si>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</si>
  <si>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</si>
  <si>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</si>
  <si>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</si>
  <si>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</si>
  <si>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</si>
  <si>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</si>
  <si>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</si>
  <si>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</si>
  <si>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</si>
  <si>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</si>
  <si>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</si>
  <si>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</si>
  <si>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</si>
  <si>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</si>
  <si>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</si>
  <si>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</si>
  <si>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</si>
  <si>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</si>
  <si>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</si>
  <si>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</si>
  <si>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</si>
  <si>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</si>
  <si>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</si>
  <si>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</si>
  <si>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</si>
  <si>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</si>
  <si>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</si>
  <si>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</si>
  <si>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</si>
  <si>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</si>
  <si>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</si>
  <si>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</si>
  <si>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</si>
  <si>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</si>
  <si>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</si>
  <si>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</si>
  <si>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</si>
  <si>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</si>
  <si>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</si>
  <si>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</si>
  <si>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20261017 15:26:57</t>
  </si>
  <si>
    <t>15:26:57</t>
  </si>
  <si>
    <t>MPF-201-20261017-13_31_19</t>
  </si>
  <si>
    <t>MPF-202-20261017-15_27_02</t>
  </si>
  <si>
    <t>-</t>
  </si>
  <si>
    <t>0: Broadleaf</t>
  </si>
  <si>
    <t>15:14:18</t>
  </si>
  <si>
    <t>3/3</t>
  </si>
  <si>
    <t>20261017 15:29:00</t>
  </si>
  <si>
    <t>15:29:00</t>
  </si>
  <si>
    <t>MPF-203-20261017-15_29_05</t>
  </si>
  <si>
    <t>20261017 15:31:03</t>
  </si>
  <si>
    <t>15:31:03</t>
  </si>
  <si>
    <t>MPF-204-20261017-15_31_09</t>
  </si>
  <si>
    <t>2/3</t>
  </si>
  <si>
    <t>20261017 15:33:06</t>
  </si>
  <si>
    <t>15:33:06</t>
  </si>
  <si>
    <t>MPF-205-20261017-15_33_12</t>
  </si>
  <si>
    <t>20261017 15:35:09</t>
  </si>
  <si>
    <t>15:35:09</t>
  </si>
  <si>
    <t>MPF-206-20261017-15_35_15</t>
  </si>
  <si>
    <t>20261017 15:37:54</t>
  </si>
  <si>
    <t>15:37:54</t>
  </si>
  <si>
    <t>MPF-207-20261017-15_38_00</t>
  </si>
  <si>
    <t>15:36:33</t>
  </si>
  <si>
    <t>20261017 15:40:03</t>
  </si>
  <si>
    <t>15:40:03</t>
  </si>
  <si>
    <t>MPF-208-20261017-15_40_09</t>
  </si>
  <si>
    <t>15:39:15</t>
  </si>
  <si>
    <t>20261017 15:42:35</t>
  </si>
  <si>
    <t>15:42:35</t>
  </si>
  <si>
    <t>MPF-209-20261017-15_42_41</t>
  </si>
  <si>
    <t>15:41:13</t>
  </si>
  <si>
    <t>20261017 15:45:38</t>
  </si>
  <si>
    <t>15:45:38</t>
  </si>
  <si>
    <t>MPF-210-20261017-15_45_44</t>
  </si>
  <si>
    <t>15:43:42</t>
  </si>
  <si>
    <t>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</si>
</sst>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5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1792218417</v>
      </c>
      <c r="C17">
        <v>0</v>
      </c>
      <c r="D17" t="s">
        <v>341</v>
      </c>
      <c r="E17" t="s">
        <v>342</v>
      </c>
      <c r="F17">
        <v>5</v>
      </c>
      <c r="G17">
        <v>1792218414</v>
      </c>
      <c r="H17">
        <f t="shared" ref="H17:H25" si="0">(I17)/1000</f>
        <v>3.644145722662574E-3</v>
      </c>
      <c r="I17">
        <f t="shared" ref="I17:I25" si="1">1000*DI17*AG17*(DE17-DF17)/(100*CX17*(1000-AG17*DE17))</f>
        <v>3.6441457226625742</v>
      </c>
      <c r="J17">
        <f t="shared" ref="J17:J25" si="2">DI17*AG17*(DD17-DC17*(1000-AG17*DF17)/(1000-AG17*DE17))/(100*CX17)</f>
        <v>19.346482868913828</v>
      </c>
      <c r="K17">
        <f t="shared" ref="K17:K25" si="3">DC17 - IF(AG17&gt;1, J17*CX17*100/(AI17), 0)</f>
        <v>399.99740000000003</v>
      </c>
      <c r="L17">
        <f t="shared" ref="L17:L25" si="4">((R17-H17/2)*K17-J17)/(R17+H17/2)</f>
        <v>268.47515977322553</v>
      </c>
      <c r="M17">
        <f t="shared" ref="M17:M25" si="5">L17*(DJ17+DK17)/1000</f>
        <v>27.3263392340208</v>
      </c>
      <c r="N17">
        <f t="shared" ref="N17:N25" si="6">(DC17 - IF(AG17&gt;1, J17*CX17*100/(AI17), 0))*(DJ17+DK17)/1000</f>
        <v>40.713132098921228</v>
      </c>
      <c r="O17">
        <f t="shared" ref="O17:O25" si="7">2/((1/Q17-1/P17)+SIGN(Q17)*SQRT((1/Q17-1/P17)*(1/Q17-1/P17) + 4*CY17/((CY17+1)*(CY17+1))*(2*1/Q17*1/P17-1/P17*1/P17)))</f>
        <v>0.2603374038371723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3.0381204242042714</v>
      </c>
      <c r="Q17">
        <f t="shared" ref="Q17:Q25" si="9">H17*(1000-(1000*0.61365*EXP(17.502*U17/(240.97+U17))/(DJ17+DK17)+DE17)/2)/(1000*0.61365*EXP(17.502*U17/(240.97+U17))/(DJ17+DK17)-DE17)</f>
        <v>0.24854848547827882</v>
      </c>
      <c r="R17">
        <f t="shared" ref="R17:R25" si="10">1/((CY17+1)/(O17/1.6)+1/(P17/1.37)) + CY17/((CY17+1)/(O17/1.6) + CY17/(P17/1.37))</f>
        <v>0.15635749925764186</v>
      </c>
      <c r="S17">
        <f t="shared" ref="S17:S25" si="11">(CT17*CW17)</f>
        <v>241.73556721557904</v>
      </c>
      <c r="T17">
        <f t="shared" ref="T17:T25" si="12">(DL17+(S17+2*0.95*0.0000000567*(((DL17+$B$7)+273)^4-(DL17+273)^4)-44100*H17)/(1.84*29.3*P17+8*0.95*0.0000000567*(DL17+273)^3))</f>
        <v>25.311192290808375</v>
      </c>
      <c r="U17">
        <f t="shared" ref="U17:U25" si="13">($C$7*DM17+$D$7*DN17+$E$7*T17)</f>
        <v>25.0075</v>
      </c>
      <c r="V17">
        <f t="shared" ref="V17:V25" si="14">0.61365*EXP(17.502*U17/(240.97+U17))</f>
        <v>3.1810996389428148</v>
      </c>
      <c r="W17">
        <f t="shared" ref="W17:W25" si="15">(X17/Y17*100)</f>
        <v>54.734701366749285</v>
      </c>
      <c r="X17">
        <f t="shared" ref="X17:X25" si="16">DE17*(DJ17+DK17)/1000</f>
        <v>1.7247436615970049</v>
      </c>
      <c r="Y17">
        <f t="shared" ref="Y17:Y25" si="17">0.61365*EXP(17.502*DL17/(240.97+DL17))</f>
        <v>3.1510972354455329</v>
      </c>
      <c r="Z17">
        <f t="shared" ref="Z17:Z25" si="18">(V17-DE17*(DJ17+DK17)/1000)</f>
        <v>1.4563559773458099</v>
      </c>
      <c r="AA17">
        <f t="shared" ref="AA17:AA25" si="19">(-H17*44100)</f>
        <v>-160.7068263694195</v>
      </c>
      <c r="AB17">
        <f t="shared" ref="AB17:AB25" si="20">2*29.3*P17*0.92*(DL17-U17)</f>
        <v>-26.019861820479164</v>
      </c>
      <c r="AC17">
        <f t="shared" ref="AC17:AC25" si="21">2*0.95*0.0000000567*(((DL17+$B$7)+273)^4-(U17+273)^4)</f>
        <v>-1.8102789853890049</v>
      </c>
      <c r="AD17">
        <f t="shared" ref="AD17:AD25" si="22">S17+AC17+AA17+AB17</f>
        <v>53.198600040291367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54135.584849047103</v>
      </c>
      <c r="AJ17" t="s">
        <v>343</v>
      </c>
      <c r="AK17">
        <v>8116.66</v>
      </c>
      <c r="AL17">
        <v>203.59399999999999</v>
      </c>
      <c r="AM17">
        <v>714.04193576744501</v>
      </c>
      <c r="AN17">
        <f t="shared" ref="AN17:AN25" si="26">1-AL17/AM17</f>
        <v>0.7148710883749716</v>
      </c>
      <c r="AO17">
        <v>-1.56088773586827</v>
      </c>
      <c r="AP17" t="s">
        <v>344</v>
      </c>
      <c r="AQ17">
        <v>8153.96</v>
      </c>
      <c r="AR17">
        <v>248.661230769231</v>
      </c>
      <c r="AS17">
        <v>323.53021314711202</v>
      </c>
      <c r="AT17">
        <f t="shared" ref="AT17:AT25" si="27">1-AR17/AS17</f>
        <v>0.23141264504974512</v>
      </c>
      <c r="AU17">
        <v>0.5</v>
      </c>
      <c r="AV17">
        <f t="shared" ref="AV17:AV25" si="28">CU17</f>
        <v>1261.2040800080722</v>
      </c>
      <c r="AW17">
        <f t="shared" ref="AW17:AW25" si="29">J17</f>
        <v>19.346482868913828</v>
      </c>
      <c r="AX17">
        <f t="shared" ref="AX17:AX25" si="30">AT17*AU17*AV17</f>
        <v>145.92928605109918</v>
      </c>
      <c r="AY17">
        <f t="shared" ref="AY17:AY25" si="31">(AW17-AO17)/AV17</f>
        <v>1.6577309680641281E-2</v>
      </c>
      <c r="AZ17">
        <f t="shared" ref="AZ17:AZ25" si="32">(AM17-AS17)/AS17</f>
        <v>1.2070332437322133</v>
      </c>
      <c r="BA17">
        <f t="shared" ref="BA17:BA25" si="33">AL17/(AN17+AL17/AS17)</f>
        <v>151.46559087301625</v>
      </c>
      <c r="BB17" t="s">
        <v>345</v>
      </c>
      <c r="BC17">
        <v>0</v>
      </c>
      <c r="BD17">
        <f t="shared" ref="BD17:BD25" si="34">IF(BC17&lt;&gt;0, BC17, BA17)</f>
        <v>151.46559087301625</v>
      </c>
      <c r="BE17">
        <f t="shared" ref="BE17:BE25" si="35">1-BD17/AS17</f>
        <v>0.53183478785598448</v>
      </c>
      <c r="BF17">
        <f t="shared" ref="BF17:BF25" si="36">(AS17-AR17)/(AS17-BD17)</f>
        <v>0.43512130145275368</v>
      </c>
      <c r="BG17">
        <f t="shared" ref="BG17:BG25" si="37">(AM17-AS17)/(AM17-BD17)</f>
        <v>0.69414884959945333</v>
      </c>
      <c r="BH17">
        <f t="shared" ref="BH17:BH25" si="38">(AS17-AR17)/(AS17-AL17)</f>
        <v>0.62424000569409188</v>
      </c>
      <c r="BI17">
        <f t="shared" ref="BI17:BI25" si="39">(AM17-AS17)/(AM17-AL17)</f>
        <v>0.76503732360717436</v>
      </c>
      <c r="BJ17">
        <f t="shared" ref="BJ17:BJ25" si="40">(BF17*BD17/AR17)</f>
        <v>0.26504294546479124</v>
      </c>
      <c r="BK17">
        <f t="shared" ref="BK17:BK25" si="41">(1-BJ17)</f>
        <v>0.73495705453520876</v>
      </c>
      <c r="BL17">
        <v>202</v>
      </c>
      <c r="BM17">
        <v>290</v>
      </c>
      <c r="BN17">
        <v>307.24</v>
      </c>
      <c r="BO17">
        <v>225</v>
      </c>
      <c r="BP17">
        <v>8153.96</v>
      </c>
      <c r="BQ17">
        <v>306.67</v>
      </c>
      <c r="BR17">
        <v>0.56999999999999995</v>
      </c>
      <c r="BS17">
        <v>300</v>
      </c>
      <c r="BT17">
        <v>19.100000000000001</v>
      </c>
      <c r="BU17">
        <v>323.53021314711202</v>
      </c>
      <c r="BV17">
        <v>3.8704918595607398</v>
      </c>
      <c r="BW17">
        <v>-13.7455472450645</v>
      </c>
      <c r="BX17">
        <v>2.8873318782975699</v>
      </c>
      <c r="BY17">
        <v>0.44733597308461198</v>
      </c>
      <c r="BZ17">
        <v>-4.3929833147942302E-3</v>
      </c>
      <c r="CA17">
        <v>290</v>
      </c>
      <c r="CB17">
        <v>306.89</v>
      </c>
      <c r="CC17">
        <v>725</v>
      </c>
      <c r="CD17">
        <v>8146.65</v>
      </c>
      <c r="CE17">
        <v>306.66000000000003</v>
      </c>
      <c r="CF17">
        <v>0.23</v>
      </c>
      <c r="CT17">
        <f t="shared" ref="CT17:CT25" si="42">$B$11*DR17+$C$11*DS17+$F$11*DT17*(1-DW17)</f>
        <v>1499.992</v>
      </c>
      <c r="CU17">
        <f t="shared" ref="CU17:CU25" si="43">CT17*CV17</f>
        <v>1261.2040800080722</v>
      </c>
      <c r="CV17">
        <f t="shared" ref="CV17:CV25" si="44">($B$11*$D$9+$C$11*$D$9+$F$11*((EG17+DY17)/MAX(EG17+DY17+EH17, 0.1)*$I$9+EH17/MAX(EG17+DY17+EH17, 0.1)*$J$9))/($B$11+$C$11+$F$11)</f>
        <v>0.84080720431047107</v>
      </c>
      <c r="CW17">
        <f t="shared" ref="CW17:CW25" si="45">($B$11*$K$9+$C$11*$K$9+$F$11*((EG17+DY17)/MAX(EG17+DY17+EH17, 0.1)*$P$9+EH17/MAX(EG17+DY17+EH17, 0.1)*$Q$9))/($B$11+$C$11+$F$11)</f>
        <v>0.16115790431920907</v>
      </c>
      <c r="CX17">
        <v>2</v>
      </c>
      <c r="CY17">
        <v>0.5</v>
      </c>
      <c r="CZ17" t="s">
        <v>346</v>
      </c>
      <c r="DA17">
        <v>2</v>
      </c>
      <c r="DB17">
        <v>1792218414</v>
      </c>
      <c r="DC17">
        <v>399.99740000000003</v>
      </c>
      <c r="DD17">
        <v>408.3186</v>
      </c>
      <c r="DE17">
        <v>16.945219999999999</v>
      </c>
      <c r="DF17">
        <v>15.51234</v>
      </c>
      <c r="DG17">
        <v>400.1884</v>
      </c>
      <c r="DH17">
        <v>17.091139999999999</v>
      </c>
      <c r="DI17">
        <v>500.02719999999999</v>
      </c>
      <c r="DJ17">
        <v>101.68340000000001</v>
      </c>
      <c r="DK17">
        <v>0.10009184</v>
      </c>
      <c r="DL17">
        <v>24.84864</v>
      </c>
      <c r="DM17">
        <v>25.0075</v>
      </c>
      <c r="DN17">
        <v>999.9</v>
      </c>
      <c r="DO17">
        <v>0</v>
      </c>
      <c r="DP17">
        <v>0</v>
      </c>
      <c r="DQ17">
        <v>9996.134</v>
      </c>
      <c r="DR17">
        <v>0</v>
      </c>
      <c r="DS17">
        <v>7.8941499999999998</v>
      </c>
      <c r="DT17">
        <v>1499.992</v>
      </c>
      <c r="DU17">
        <v>0.973001</v>
      </c>
      <c r="DV17">
        <v>2.6998939999999999E-2</v>
      </c>
      <c r="DW17">
        <v>0</v>
      </c>
      <c r="DX17">
        <v>248.57919999999999</v>
      </c>
      <c r="DY17">
        <v>4.9999900000000004</v>
      </c>
      <c r="DZ17">
        <v>3686.9720000000002</v>
      </c>
      <c r="EA17">
        <v>14882.48</v>
      </c>
      <c r="EB17">
        <v>37.099800000000002</v>
      </c>
      <c r="EC17">
        <v>38.75</v>
      </c>
      <c r="ED17">
        <v>37.686999999999998</v>
      </c>
      <c r="EE17">
        <v>38.199599999999997</v>
      </c>
      <c r="EF17">
        <v>38.674599999999998</v>
      </c>
      <c r="EG17">
        <v>1454.6320000000001</v>
      </c>
      <c r="EH17">
        <v>40.36</v>
      </c>
      <c r="EI17">
        <v>0</v>
      </c>
      <c r="EJ17">
        <v>6941.0999999046298</v>
      </c>
      <c r="EK17">
        <v>0</v>
      </c>
      <c r="EL17">
        <v>248.661230769231</v>
      </c>
      <c r="EM17">
        <v>0.69141883422614403</v>
      </c>
      <c r="EN17">
        <v>-1.6328205506804101</v>
      </c>
      <c r="EO17">
        <v>3686.92153846154</v>
      </c>
      <c r="EP17">
        <v>15</v>
      </c>
      <c r="EQ17">
        <v>1792217658</v>
      </c>
      <c r="ER17" t="s">
        <v>347</v>
      </c>
      <c r="ES17">
        <v>1792217658</v>
      </c>
      <c r="ET17">
        <v>1792217652</v>
      </c>
      <c r="EU17">
        <v>52</v>
      </c>
      <c r="EV17">
        <v>-0.57999999999999996</v>
      </c>
      <c r="EW17">
        <v>7.0000000000000001E-3</v>
      </c>
      <c r="EX17">
        <v>-0.188</v>
      </c>
      <c r="EY17">
        <v>-0.161</v>
      </c>
      <c r="EZ17">
        <v>407</v>
      </c>
      <c r="FA17">
        <v>16</v>
      </c>
      <c r="FB17">
        <v>0.28000000000000003</v>
      </c>
      <c r="FC17">
        <v>0.06</v>
      </c>
      <c r="FD17">
        <v>19.3574202935757</v>
      </c>
      <c r="FE17">
        <v>-0.20418356774749699</v>
      </c>
      <c r="FF17">
        <v>4.6092659875962103E-2</v>
      </c>
      <c r="FG17">
        <v>1</v>
      </c>
      <c r="FH17">
        <v>-8.3252524999999995</v>
      </c>
      <c r="FI17">
        <v>8.5639849624049497E-2</v>
      </c>
      <c r="FJ17">
        <v>1.8775843489707799E-2</v>
      </c>
      <c r="FK17">
        <v>1</v>
      </c>
      <c r="FL17">
        <v>248.703411764706</v>
      </c>
      <c r="FM17">
        <v>-0.61246751573525005</v>
      </c>
      <c r="FN17">
        <v>0.55812117162362895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-0.191</v>
      </c>
      <c r="FV17">
        <v>-0.1459</v>
      </c>
      <c r="FW17">
        <v>-0.26560134709838001</v>
      </c>
      <c r="FX17">
        <v>-6.1673298426602905E-5</v>
      </c>
      <c r="FY17">
        <v>6.1939807181674203E-7</v>
      </c>
      <c r="FZ17">
        <v>3.19222985850634E-12</v>
      </c>
      <c r="GA17">
        <v>-5.8902728726689897E-2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12.7</v>
      </c>
      <c r="GJ17">
        <v>12.8</v>
      </c>
      <c r="GK17">
        <v>1.0559099999999999</v>
      </c>
      <c r="GL17">
        <v>2.64771</v>
      </c>
      <c r="GM17">
        <v>1.65161</v>
      </c>
      <c r="GN17">
        <v>2.2692899999999998</v>
      </c>
      <c r="GO17">
        <v>1.5979000000000001</v>
      </c>
      <c r="GP17">
        <v>2.6684600000000001</v>
      </c>
      <c r="GQ17">
        <v>38.403399999999998</v>
      </c>
      <c r="GR17">
        <v>23.772300000000001</v>
      </c>
      <c r="GS17">
        <v>18</v>
      </c>
      <c r="GT17">
        <v>505.44299999999998</v>
      </c>
      <c r="GU17">
        <v>525.58600000000001</v>
      </c>
      <c r="GV17">
        <v>20.665700000000001</v>
      </c>
      <c r="GW17">
        <v>30.040800000000001</v>
      </c>
      <c r="GX17">
        <v>30.0002</v>
      </c>
      <c r="GY17">
        <v>30.172599999999999</v>
      </c>
      <c r="GZ17">
        <v>30.2257</v>
      </c>
      <c r="HA17">
        <v>21.113299999999999</v>
      </c>
      <c r="HB17">
        <v>21.9937</v>
      </c>
      <c r="HC17">
        <v>29.697700000000001</v>
      </c>
      <c r="HD17">
        <v>20.659500000000001</v>
      </c>
      <c r="HE17">
        <v>408.255</v>
      </c>
      <c r="HF17">
        <v>15.513500000000001</v>
      </c>
      <c r="HG17">
        <v>97.935699999999997</v>
      </c>
      <c r="HH17">
        <v>94.451499999999996</v>
      </c>
    </row>
    <row r="18" spans="1:216" x14ac:dyDescent="0.3">
      <c r="A18">
        <v>2</v>
      </c>
      <c r="B18">
        <v>1792218540</v>
      </c>
      <c r="C18">
        <v>123</v>
      </c>
      <c r="D18" t="s">
        <v>349</v>
      </c>
      <c r="E18" t="s">
        <v>350</v>
      </c>
      <c r="F18">
        <v>5</v>
      </c>
      <c r="G18">
        <v>1792218536.5</v>
      </c>
      <c r="H18">
        <f t="shared" si="0"/>
        <v>3.4022293518617104E-3</v>
      </c>
      <c r="I18">
        <f t="shared" si="1"/>
        <v>3.4022293518617106</v>
      </c>
      <c r="J18">
        <f t="shared" si="2"/>
        <v>18.705100754213507</v>
      </c>
      <c r="K18">
        <f t="shared" si="3"/>
        <v>400.03833333333301</v>
      </c>
      <c r="L18">
        <f t="shared" si="4"/>
        <v>265.73616652976511</v>
      </c>
      <c r="M18">
        <f t="shared" si="5"/>
        <v>27.048015456580337</v>
      </c>
      <c r="N18">
        <f t="shared" si="6"/>
        <v>40.717991700285381</v>
      </c>
      <c r="O18">
        <f t="shared" si="7"/>
        <v>0.24539962824476638</v>
      </c>
      <c r="P18">
        <f t="shared" si="8"/>
        <v>3.0343370681785946</v>
      </c>
      <c r="Q18">
        <f t="shared" si="9"/>
        <v>0.23488292707355504</v>
      </c>
      <c r="R18">
        <f t="shared" si="10"/>
        <v>0.14770915465426529</v>
      </c>
      <c r="S18">
        <f t="shared" si="11"/>
        <v>193.81820601902885</v>
      </c>
      <c r="T18">
        <f t="shared" si="12"/>
        <v>25.406124916757364</v>
      </c>
      <c r="U18">
        <f t="shared" si="13"/>
        <v>25.0412833333333</v>
      </c>
      <c r="V18">
        <f t="shared" si="14"/>
        <v>3.1875120717313128</v>
      </c>
      <c r="W18">
        <f t="shared" si="15"/>
        <v>54.494474392038036</v>
      </c>
      <c r="X18">
        <f t="shared" si="16"/>
        <v>1.7489263221191731</v>
      </c>
      <c r="Y18">
        <f t="shared" si="17"/>
        <v>3.2093645119636229</v>
      </c>
      <c r="Z18">
        <f t="shared" si="18"/>
        <v>1.4385857496121397</v>
      </c>
      <c r="AA18">
        <f t="shared" si="19"/>
        <v>-150.03831441710142</v>
      </c>
      <c r="AB18">
        <f t="shared" si="20"/>
        <v>18.760723095263696</v>
      </c>
      <c r="AC18">
        <f t="shared" si="21"/>
        <v>1.3091122692805994</v>
      </c>
      <c r="AD18">
        <f t="shared" si="22"/>
        <v>63.849726966471735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53961.31213938872</v>
      </c>
      <c r="AJ18" t="s">
        <v>343</v>
      </c>
      <c r="AK18">
        <v>8116.66</v>
      </c>
      <c r="AL18">
        <v>203.59399999999999</v>
      </c>
      <c r="AM18">
        <v>714.04193576744501</v>
      </c>
      <c r="AN18">
        <f t="shared" si="26"/>
        <v>0.7148710883749716</v>
      </c>
      <c r="AO18">
        <v>-1.56088773586827</v>
      </c>
      <c r="AP18" t="s">
        <v>351</v>
      </c>
      <c r="AQ18">
        <v>8153.84</v>
      </c>
      <c r="AR18">
        <v>246.24639999999999</v>
      </c>
      <c r="AS18">
        <v>347.41251202453901</v>
      </c>
      <c r="AT18">
        <f t="shared" si="27"/>
        <v>0.29119881559531535</v>
      </c>
      <c r="AU18">
        <v>0.5</v>
      </c>
      <c r="AV18">
        <f t="shared" si="28"/>
        <v>1009.2602000098619</v>
      </c>
      <c r="AW18">
        <f t="shared" si="29"/>
        <v>18.705100754213507</v>
      </c>
      <c r="AX18">
        <f t="shared" si="30"/>
        <v>146.94768743518145</v>
      </c>
      <c r="AY18">
        <f t="shared" si="31"/>
        <v>2.0080043273165583E-2</v>
      </c>
      <c r="AZ18">
        <f t="shared" si="32"/>
        <v>1.0553143915467547</v>
      </c>
      <c r="BA18">
        <f t="shared" si="33"/>
        <v>156.50234393931265</v>
      </c>
      <c r="BB18" t="s">
        <v>345</v>
      </c>
      <c r="BC18">
        <v>0</v>
      </c>
      <c r="BD18">
        <f t="shared" si="34"/>
        <v>156.50234393931265</v>
      </c>
      <c r="BE18">
        <f t="shared" si="35"/>
        <v>0.54952012802504269</v>
      </c>
      <c r="BF18">
        <f t="shared" si="36"/>
        <v>0.52991473968728742</v>
      </c>
      <c r="BG18">
        <f t="shared" si="37"/>
        <v>0.65758455384442627</v>
      </c>
      <c r="BH18">
        <f t="shared" si="38"/>
        <v>0.7034289995106997</v>
      </c>
      <c r="BI18">
        <f t="shared" si="39"/>
        <v>0.71825037981922357</v>
      </c>
      <c r="BJ18">
        <f t="shared" si="40"/>
        <v>0.33678826918505689</v>
      </c>
      <c r="BK18">
        <f t="shared" si="41"/>
        <v>0.66321173081494311</v>
      </c>
      <c r="BL18">
        <v>203</v>
      </c>
      <c r="BM18">
        <v>290</v>
      </c>
      <c r="BN18">
        <v>325.54000000000002</v>
      </c>
      <c r="BO18">
        <v>265</v>
      </c>
      <c r="BP18">
        <v>8153.84</v>
      </c>
      <c r="BQ18">
        <v>325.35000000000002</v>
      </c>
      <c r="BR18">
        <v>0.19</v>
      </c>
      <c r="BS18">
        <v>300</v>
      </c>
      <c r="BT18">
        <v>19.100000000000001</v>
      </c>
      <c r="BU18">
        <v>347.41251202453901</v>
      </c>
      <c r="BV18">
        <v>2.0216322733658898</v>
      </c>
      <c r="BW18">
        <v>-17.992951631220599</v>
      </c>
      <c r="BX18">
        <v>1.5016367238956501</v>
      </c>
      <c r="BY18">
        <v>0.83680487866624897</v>
      </c>
      <c r="BZ18">
        <v>-4.5945221357063396E-3</v>
      </c>
      <c r="CA18">
        <v>290</v>
      </c>
      <c r="CB18">
        <v>324.08</v>
      </c>
      <c r="CC18">
        <v>795</v>
      </c>
      <c r="CD18">
        <v>8146.85</v>
      </c>
      <c r="CE18">
        <v>325.33</v>
      </c>
      <c r="CF18">
        <v>-1.25</v>
      </c>
      <c r="CT18">
        <f t="shared" si="42"/>
        <v>1200.0916666666701</v>
      </c>
      <c r="CU18">
        <f t="shared" si="43"/>
        <v>1009.2602000098619</v>
      </c>
      <c r="CV18">
        <f t="shared" si="44"/>
        <v>0.84098592469452393</v>
      </c>
      <c r="CW18">
        <f t="shared" si="45"/>
        <v>0.16150283466043147</v>
      </c>
      <c r="CX18">
        <v>2</v>
      </c>
      <c r="CY18">
        <v>0.5</v>
      </c>
      <c r="CZ18" t="s">
        <v>346</v>
      </c>
      <c r="DA18">
        <v>2</v>
      </c>
      <c r="DB18">
        <v>1792218536.5</v>
      </c>
      <c r="DC18">
        <v>400.03833333333301</v>
      </c>
      <c r="DD18">
        <v>408.06483333333301</v>
      </c>
      <c r="DE18">
        <v>17.1825166666667</v>
      </c>
      <c r="DF18">
        <v>15.845000000000001</v>
      </c>
      <c r="DG18">
        <v>400.22933333333299</v>
      </c>
      <c r="DH18">
        <v>17.32525</v>
      </c>
      <c r="DI18">
        <v>499.99683333333297</v>
      </c>
      <c r="DJ18">
        <v>101.685166666667</v>
      </c>
      <c r="DK18">
        <v>0.100058166666667</v>
      </c>
      <c r="DL18">
        <v>25.1559666666667</v>
      </c>
      <c r="DM18">
        <v>25.0412833333333</v>
      </c>
      <c r="DN18">
        <v>999.9</v>
      </c>
      <c r="DO18">
        <v>0</v>
      </c>
      <c r="DP18">
        <v>0</v>
      </c>
      <c r="DQ18">
        <v>9973.1316666666698</v>
      </c>
      <c r="DR18">
        <v>0</v>
      </c>
      <c r="DS18">
        <v>7.8866199999999997</v>
      </c>
      <c r="DT18">
        <v>1200.0916666666701</v>
      </c>
      <c r="DU18">
        <v>0.96699766666666698</v>
      </c>
      <c r="DV18">
        <v>3.3002450000000003E-2</v>
      </c>
      <c r="DW18">
        <v>0</v>
      </c>
      <c r="DX18">
        <v>246.126</v>
      </c>
      <c r="DY18">
        <v>4.9999900000000004</v>
      </c>
      <c r="DZ18">
        <v>2920.1766666666699</v>
      </c>
      <c r="EA18">
        <v>11873.55</v>
      </c>
      <c r="EB18">
        <v>36.811999999999998</v>
      </c>
      <c r="EC18">
        <v>38.75</v>
      </c>
      <c r="ED18">
        <v>37.625</v>
      </c>
      <c r="EE18">
        <v>38.197499999999998</v>
      </c>
      <c r="EF18">
        <v>38.561999999999998</v>
      </c>
      <c r="EG18">
        <v>1155.6516666666701</v>
      </c>
      <c r="EH18">
        <v>39.44</v>
      </c>
      <c r="EI18">
        <v>0</v>
      </c>
      <c r="EJ18">
        <v>121.59999990463299</v>
      </c>
      <c r="EK18">
        <v>0</v>
      </c>
      <c r="EL18">
        <v>246.24639999999999</v>
      </c>
      <c r="EM18">
        <v>0.43023076292603502</v>
      </c>
      <c r="EN18">
        <v>12.1876923025174</v>
      </c>
      <c r="EO18">
        <v>2919.1048000000001</v>
      </c>
      <c r="EP18">
        <v>15</v>
      </c>
      <c r="EQ18">
        <v>1792217658</v>
      </c>
      <c r="ER18" t="s">
        <v>347</v>
      </c>
      <c r="ES18">
        <v>1792217658</v>
      </c>
      <c r="ET18">
        <v>1792217652</v>
      </c>
      <c r="EU18">
        <v>52</v>
      </c>
      <c r="EV18">
        <v>-0.57999999999999996</v>
      </c>
      <c r="EW18">
        <v>7.0000000000000001E-3</v>
      </c>
      <c r="EX18">
        <v>-0.188</v>
      </c>
      <c r="EY18">
        <v>-0.161</v>
      </c>
      <c r="EZ18">
        <v>407</v>
      </c>
      <c r="FA18">
        <v>16</v>
      </c>
      <c r="FB18">
        <v>0.28000000000000003</v>
      </c>
      <c r="FC18">
        <v>0.06</v>
      </c>
      <c r="FD18">
        <v>18.764267620627699</v>
      </c>
      <c r="FE18">
        <v>5.7894946890803697E-2</v>
      </c>
      <c r="FF18">
        <v>7.6324734864481103E-2</v>
      </c>
      <c r="FG18">
        <v>1</v>
      </c>
      <c r="FH18">
        <v>-8.046443</v>
      </c>
      <c r="FI18">
        <v>0.104842105263158</v>
      </c>
      <c r="FJ18">
        <v>2.7109557373738099E-2</v>
      </c>
      <c r="FK18">
        <v>1</v>
      </c>
      <c r="FL18">
        <v>246.15199999999999</v>
      </c>
      <c r="FM18">
        <v>0.21827348560551099</v>
      </c>
      <c r="FN18">
        <v>0.42495909837785201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-0.19</v>
      </c>
      <c r="FV18">
        <v>-0.14269999999999999</v>
      </c>
      <c r="FW18">
        <v>-0.26560134709838001</v>
      </c>
      <c r="FX18">
        <v>-6.1673298426602905E-5</v>
      </c>
      <c r="FY18">
        <v>6.1939807181674203E-7</v>
      </c>
      <c r="FZ18">
        <v>3.19222985850634E-12</v>
      </c>
      <c r="GA18">
        <v>-5.8902728726689897E-2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14.7</v>
      </c>
      <c r="GJ18">
        <v>14.8</v>
      </c>
      <c r="GK18">
        <v>1.0559099999999999</v>
      </c>
      <c r="GL18">
        <v>2.65869</v>
      </c>
      <c r="GM18">
        <v>1.65161</v>
      </c>
      <c r="GN18">
        <v>2.2705099999999998</v>
      </c>
      <c r="GO18">
        <v>1.5979000000000001</v>
      </c>
      <c r="GP18">
        <v>2.5634800000000002</v>
      </c>
      <c r="GQ18">
        <v>38.452399999999997</v>
      </c>
      <c r="GR18">
        <v>23.745999999999999</v>
      </c>
      <c r="GS18">
        <v>18</v>
      </c>
      <c r="GT18">
        <v>504.82400000000001</v>
      </c>
      <c r="GU18">
        <v>525.62599999999998</v>
      </c>
      <c r="GV18">
        <v>21.849599999999999</v>
      </c>
      <c r="GW18">
        <v>30.074200000000001</v>
      </c>
      <c r="GX18">
        <v>30.009899999999998</v>
      </c>
      <c r="GY18">
        <v>30.2104</v>
      </c>
      <c r="GZ18">
        <v>30.264700000000001</v>
      </c>
      <c r="HA18">
        <v>21.102900000000002</v>
      </c>
      <c r="HB18">
        <v>20.2346</v>
      </c>
      <c r="HC18">
        <v>29.697700000000001</v>
      </c>
      <c r="HD18">
        <v>21.671700000000001</v>
      </c>
      <c r="HE18">
        <v>408.00400000000002</v>
      </c>
      <c r="HF18">
        <v>15.9617</v>
      </c>
      <c r="HG18">
        <v>97.926900000000003</v>
      </c>
      <c r="HH18">
        <v>94.436999999999998</v>
      </c>
    </row>
    <row r="19" spans="1:216" x14ac:dyDescent="0.3">
      <c r="A19">
        <v>3</v>
      </c>
      <c r="B19">
        <v>1792218663.0999999</v>
      </c>
      <c r="C19">
        <v>246.09999990463299</v>
      </c>
      <c r="D19" t="s">
        <v>352</v>
      </c>
      <c r="E19" t="s">
        <v>353</v>
      </c>
      <c r="F19">
        <v>5</v>
      </c>
      <c r="G19">
        <v>1792218660.0999999</v>
      </c>
      <c r="H19">
        <f t="shared" si="0"/>
        <v>2.9783409309490014E-3</v>
      </c>
      <c r="I19">
        <f t="shared" si="1"/>
        <v>2.9783409309490012</v>
      </c>
      <c r="J19">
        <f t="shared" si="2"/>
        <v>17.58956534646962</v>
      </c>
      <c r="K19">
        <f t="shared" si="3"/>
        <v>400.03739999999999</v>
      </c>
      <c r="L19">
        <f t="shared" si="4"/>
        <v>258.34774838102021</v>
      </c>
      <c r="M19">
        <f t="shared" si="5"/>
        <v>26.296576708627164</v>
      </c>
      <c r="N19">
        <f t="shared" si="6"/>
        <v>40.718815013262962</v>
      </c>
      <c r="O19">
        <f t="shared" si="7"/>
        <v>0.21680413025073825</v>
      </c>
      <c r="P19">
        <f t="shared" si="8"/>
        <v>3.0352814959128924</v>
      </c>
      <c r="Q19">
        <f t="shared" si="9"/>
        <v>0.20855371766171638</v>
      </c>
      <c r="R19">
        <f t="shared" si="10"/>
        <v>0.13106118091307506</v>
      </c>
      <c r="S19">
        <f t="shared" si="11"/>
        <v>145.92473841297164</v>
      </c>
      <c r="T19">
        <f t="shared" si="12"/>
        <v>25.452913631160104</v>
      </c>
      <c r="U19">
        <f t="shared" si="13"/>
        <v>25.051439999999999</v>
      </c>
      <c r="V19">
        <f t="shared" si="14"/>
        <v>3.189442121227815</v>
      </c>
      <c r="W19">
        <f t="shared" si="15"/>
        <v>54.492610585698074</v>
      </c>
      <c r="X19">
        <f t="shared" si="16"/>
        <v>1.771243321738152</v>
      </c>
      <c r="Y19">
        <f t="shared" si="17"/>
        <v>3.2504284575476476</v>
      </c>
      <c r="Z19">
        <f t="shared" si="18"/>
        <v>1.418198799489663</v>
      </c>
      <c r="AA19">
        <f t="shared" si="19"/>
        <v>-131.34483505485096</v>
      </c>
      <c r="AB19">
        <f t="shared" si="20"/>
        <v>52.069642149636245</v>
      </c>
      <c r="AC19">
        <f t="shared" si="21"/>
        <v>3.6363520096906661</v>
      </c>
      <c r="AD19">
        <f t="shared" si="22"/>
        <v>70.28589751744758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53952.256807973579</v>
      </c>
      <c r="AJ19" t="s">
        <v>343</v>
      </c>
      <c r="AK19">
        <v>8116.66</v>
      </c>
      <c r="AL19">
        <v>203.59399999999999</v>
      </c>
      <c r="AM19">
        <v>714.04193576744501</v>
      </c>
      <c r="AN19">
        <f t="shared" si="26"/>
        <v>0.7148710883749716</v>
      </c>
      <c r="AO19">
        <v>-1.56088773586827</v>
      </c>
      <c r="AP19" t="s">
        <v>354</v>
      </c>
      <c r="AQ19">
        <v>8157.96</v>
      </c>
      <c r="AR19">
        <v>249.441038461538</v>
      </c>
      <c r="AS19">
        <v>405.06136950848799</v>
      </c>
      <c r="AT19">
        <f t="shared" si="27"/>
        <v>0.38418951487717468</v>
      </c>
      <c r="AU19">
        <v>0.5</v>
      </c>
      <c r="AV19">
        <f t="shared" si="28"/>
        <v>757.20303785128067</v>
      </c>
      <c r="AW19">
        <f t="shared" si="29"/>
        <v>17.58956534646962</v>
      </c>
      <c r="AX19">
        <f t="shared" si="30"/>
        <v>145.45473388780323</v>
      </c>
      <c r="AY19">
        <f t="shared" si="31"/>
        <v>2.5291041008870273E-2</v>
      </c>
      <c r="AZ19">
        <f t="shared" si="32"/>
        <v>0.76279939169188637</v>
      </c>
      <c r="BA19">
        <f t="shared" si="33"/>
        <v>167.22352532341432</v>
      </c>
      <c r="BB19" t="s">
        <v>345</v>
      </c>
      <c r="BC19">
        <v>0</v>
      </c>
      <c r="BD19">
        <f t="shared" si="34"/>
        <v>167.22352532341432</v>
      </c>
      <c r="BE19">
        <f t="shared" si="35"/>
        <v>0.58716496335770629</v>
      </c>
      <c r="BF19">
        <f t="shared" si="36"/>
        <v>0.65431273807651036</v>
      </c>
      <c r="BG19">
        <f t="shared" si="37"/>
        <v>0.56505150587021535</v>
      </c>
      <c r="BH19">
        <f t="shared" si="38"/>
        <v>0.77243442164659604</v>
      </c>
      <c r="BI19">
        <f t="shared" si="39"/>
        <v>0.60531259822691397</v>
      </c>
      <c r="BJ19">
        <f t="shared" si="40"/>
        <v>0.43864667738721397</v>
      </c>
      <c r="BK19">
        <f t="shared" si="41"/>
        <v>0.56135332261278603</v>
      </c>
      <c r="BL19">
        <v>204</v>
      </c>
      <c r="BM19">
        <v>290</v>
      </c>
      <c r="BN19">
        <v>368.82</v>
      </c>
      <c r="BO19">
        <v>225</v>
      </c>
      <c r="BP19">
        <v>8157.96</v>
      </c>
      <c r="BQ19">
        <v>367.78</v>
      </c>
      <c r="BR19">
        <v>1.04</v>
      </c>
      <c r="BS19">
        <v>300</v>
      </c>
      <c r="BT19">
        <v>19.100000000000001</v>
      </c>
      <c r="BU19">
        <v>405.06136950848799</v>
      </c>
      <c r="BV19">
        <v>2.78377395999641</v>
      </c>
      <c r="BW19">
        <v>-30.4131171479446</v>
      </c>
      <c r="BX19">
        <v>2.0591709270625702</v>
      </c>
      <c r="BY19">
        <v>0.88624401092392602</v>
      </c>
      <c r="BZ19">
        <v>-4.7965296996662996E-3</v>
      </c>
      <c r="CA19">
        <v>290</v>
      </c>
      <c r="CB19">
        <v>363.75</v>
      </c>
      <c r="CC19">
        <v>695</v>
      </c>
      <c r="CD19">
        <v>8150.75</v>
      </c>
      <c r="CE19">
        <v>367.75</v>
      </c>
      <c r="CF19">
        <v>-4</v>
      </c>
      <c r="CT19">
        <f t="shared" si="42"/>
        <v>900.02539999999999</v>
      </c>
      <c r="CU19">
        <f t="shared" si="43"/>
        <v>757.20303785128067</v>
      </c>
      <c r="CV19">
        <f t="shared" si="44"/>
        <v>0.84131296500218844</v>
      </c>
      <c r="CW19">
        <f t="shared" si="45"/>
        <v>0.16213402245422368</v>
      </c>
      <c r="CX19">
        <v>2</v>
      </c>
      <c r="CY19">
        <v>0.5</v>
      </c>
      <c r="CZ19" t="s">
        <v>346</v>
      </c>
      <c r="DA19">
        <v>2</v>
      </c>
      <c r="DB19">
        <v>1792218660.0999999</v>
      </c>
      <c r="DC19">
        <v>400.03739999999999</v>
      </c>
      <c r="DD19">
        <v>407.54899999999998</v>
      </c>
      <c r="DE19">
        <v>17.40138</v>
      </c>
      <c r="DF19">
        <v>16.230899999999998</v>
      </c>
      <c r="DG19">
        <v>400.22820000000002</v>
      </c>
      <c r="DH19">
        <v>17.541060000000002</v>
      </c>
      <c r="DI19">
        <v>500.05360000000002</v>
      </c>
      <c r="DJ19">
        <v>101.6872</v>
      </c>
      <c r="DK19">
        <v>0.1003204</v>
      </c>
      <c r="DL19">
        <v>25.36964</v>
      </c>
      <c r="DM19">
        <v>25.051439999999999</v>
      </c>
      <c r="DN19">
        <v>999.9</v>
      </c>
      <c r="DO19">
        <v>0</v>
      </c>
      <c r="DP19">
        <v>0</v>
      </c>
      <c r="DQ19">
        <v>9978.6260000000002</v>
      </c>
      <c r="DR19">
        <v>0</v>
      </c>
      <c r="DS19">
        <v>7.8489800000000001</v>
      </c>
      <c r="DT19">
        <v>900.02539999999999</v>
      </c>
      <c r="DU19">
        <v>0.95598839999999996</v>
      </c>
      <c r="DV19">
        <v>4.401182E-2</v>
      </c>
      <c r="DW19">
        <v>0</v>
      </c>
      <c r="DX19">
        <v>249.511</v>
      </c>
      <c r="DY19">
        <v>4.9999900000000004</v>
      </c>
      <c r="DZ19">
        <v>2211.7800000000002</v>
      </c>
      <c r="EA19">
        <v>8860.0959999999995</v>
      </c>
      <c r="EB19">
        <v>36.3874</v>
      </c>
      <c r="EC19">
        <v>38.625</v>
      </c>
      <c r="ED19">
        <v>37.436999999999998</v>
      </c>
      <c r="EE19">
        <v>38.174599999999998</v>
      </c>
      <c r="EF19">
        <v>38.274799999999999</v>
      </c>
      <c r="EG19">
        <v>855.63400000000001</v>
      </c>
      <c r="EH19">
        <v>39.39</v>
      </c>
      <c r="EI19">
        <v>0</v>
      </c>
      <c r="EJ19">
        <v>121.700000047684</v>
      </c>
      <c r="EK19">
        <v>0</v>
      </c>
      <c r="EL19">
        <v>249.441038461538</v>
      </c>
      <c r="EM19">
        <v>1.76386324992217</v>
      </c>
      <c r="EN19">
        <v>8.0741880161518296</v>
      </c>
      <c r="EO19">
        <v>2211.0650000000001</v>
      </c>
      <c r="EP19">
        <v>15</v>
      </c>
      <c r="EQ19">
        <v>1792217658</v>
      </c>
      <c r="ER19" t="s">
        <v>347</v>
      </c>
      <c r="ES19">
        <v>1792217658</v>
      </c>
      <c r="ET19">
        <v>1792217652</v>
      </c>
      <c r="EU19">
        <v>52</v>
      </c>
      <c r="EV19">
        <v>-0.57999999999999996</v>
      </c>
      <c r="EW19">
        <v>7.0000000000000001E-3</v>
      </c>
      <c r="EX19">
        <v>-0.188</v>
      </c>
      <c r="EY19">
        <v>-0.161</v>
      </c>
      <c r="EZ19">
        <v>407</v>
      </c>
      <c r="FA19">
        <v>16</v>
      </c>
      <c r="FB19">
        <v>0.28000000000000003</v>
      </c>
      <c r="FC19">
        <v>0.06</v>
      </c>
      <c r="FD19">
        <v>17.5786247523105</v>
      </c>
      <c r="FE19">
        <v>0.17628255478146199</v>
      </c>
      <c r="FF19">
        <v>0.15029043426838001</v>
      </c>
      <c r="FG19">
        <v>1</v>
      </c>
      <c r="FH19">
        <v>-7.5267480952380996</v>
      </c>
      <c r="FI19">
        <v>0.103567792207783</v>
      </c>
      <c r="FJ19">
        <v>5.6976241131850201E-2</v>
      </c>
      <c r="FK19">
        <v>1</v>
      </c>
      <c r="FL19">
        <v>249.39935294117601</v>
      </c>
      <c r="FM19">
        <v>1.13225363327381</v>
      </c>
      <c r="FN19">
        <v>0.38938850117111801</v>
      </c>
      <c r="FO19">
        <v>0</v>
      </c>
      <c r="FP19">
        <v>2</v>
      </c>
      <c r="FQ19">
        <v>3</v>
      </c>
      <c r="FR19" t="s">
        <v>355</v>
      </c>
      <c r="FS19">
        <v>100</v>
      </c>
      <c r="FT19">
        <v>100</v>
      </c>
      <c r="FU19">
        <v>-0.191</v>
      </c>
      <c r="FV19">
        <v>-0.13950000000000001</v>
      </c>
      <c r="FW19">
        <v>-0.26560134709838001</v>
      </c>
      <c r="FX19">
        <v>-6.1673298426602905E-5</v>
      </c>
      <c r="FY19">
        <v>6.1939807181674203E-7</v>
      </c>
      <c r="FZ19">
        <v>3.19222985850634E-12</v>
      </c>
      <c r="GA19">
        <v>-5.8902728726689897E-2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16.8</v>
      </c>
      <c r="GJ19">
        <v>16.899999999999999</v>
      </c>
      <c r="GK19">
        <v>1.0546899999999999</v>
      </c>
      <c r="GL19">
        <v>2.6440399999999999</v>
      </c>
      <c r="GM19">
        <v>1.65161</v>
      </c>
      <c r="GN19">
        <v>2.2705099999999998</v>
      </c>
      <c r="GO19">
        <v>1.5979000000000001</v>
      </c>
      <c r="GP19">
        <v>2.63306</v>
      </c>
      <c r="GQ19">
        <v>38.501399999999997</v>
      </c>
      <c r="GR19">
        <v>23.780999999999999</v>
      </c>
      <c r="GS19">
        <v>18</v>
      </c>
      <c r="GT19">
        <v>505.37700000000001</v>
      </c>
      <c r="GU19">
        <v>525.70600000000002</v>
      </c>
      <c r="GV19">
        <v>22.366299999999999</v>
      </c>
      <c r="GW19">
        <v>30.100200000000001</v>
      </c>
      <c r="GX19">
        <v>29.998899999999999</v>
      </c>
      <c r="GY19">
        <v>30.241700000000002</v>
      </c>
      <c r="GZ19">
        <v>30.295999999999999</v>
      </c>
      <c r="HA19">
        <v>21.0931</v>
      </c>
      <c r="HB19">
        <v>18.261500000000002</v>
      </c>
      <c r="HC19">
        <v>29.697700000000001</v>
      </c>
      <c r="HD19">
        <v>22.436599999999999</v>
      </c>
      <c r="HE19">
        <v>407.56700000000001</v>
      </c>
      <c r="HF19">
        <v>16.338699999999999</v>
      </c>
      <c r="HG19">
        <v>97.922399999999996</v>
      </c>
      <c r="HH19">
        <v>94.433099999999996</v>
      </c>
    </row>
    <row r="20" spans="1:216" x14ac:dyDescent="0.3">
      <c r="A20">
        <v>4</v>
      </c>
      <c r="B20">
        <v>1792218786.0999999</v>
      </c>
      <c r="C20">
        <v>369.09999990463302</v>
      </c>
      <c r="D20" t="s">
        <v>356</v>
      </c>
      <c r="E20" t="s">
        <v>357</v>
      </c>
      <c r="F20">
        <v>5</v>
      </c>
      <c r="G20">
        <v>1792218782.5999999</v>
      </c>
      <c r="H20">
        <f t="shared" si="0"/>
        <v>2.8070429863382299E-3</v>
      </c>
      <c r="I20">
        <f t="shared" si="1"/>
        <v>2.8070429863382298</v>
      </c>
      <c r="J20">
        <f t="shared" si="2"/>
        <v>15.618469880016805</v>
      </c>
      <c r="K20">
        <f t="shared" si="3"/>
        <v>400.00266666666698</v>
      </c>
      <c r="L20">
        <f t="shared" si="4"/>
        <v>268.07477197690673</v>
      </c>
      <c r="M20">
        <f t="shared" si="5"/>
        <v>27.28669601060583</v>
      </c>
      <c r="N20">
        <f t="shared" si="6"/>
        <v>40.715323893683234</v>
      </c>
      <c r="O20">
        <f t="shared" si="7"/>
        <v>0.20728883627800909</v>
      </c>
      <c r="P20">
        <f t="shared" si="8"/>
        <v>3.038884320831885</v>
      </c>
      <c r="Q20">
        <f t="shared" si="9"/>
        <v>0.19974176668495428</v>
      </c>
      <c r="R20">
        <f t="shared" si="10"/>
        <v>0.12549378554995963</v>
      </c>
      <c r="S20">
        <f t="shared" si="11"/>
        <v>98.0606020036616</v>
      </c>
      <c r="T20">
        <f t="shared" si="12"/>
        <v>25.452243876035205</v>
      </c>
      <c r="U20">
        <f t="shared" si="13"/>
        <v>25.0399833333333</v>
      </c>
      <c r="V20">
        <f t="shared" si="14"/>
        <v>3.1872651092223556</v>
      </c>
      <c r="W20">
        <f t="shared" si="15"/>
        <v>54.378815870056329</v>
      </c>
      <c r="X20">
        <f t="shared" si="16"/>
        <v>1.7917931180412434</v>
      </c>
      <c r="Y20">
        <f t="shared" si="17"/>
        <v>3.2950204769499103</v>
      </c>
      <c r="Z20">
        <f t="shared" si="18"/>
        <v>1.3954719911811122</v>
      </c>
      <c r="AA20">
        <f t="shared" si="19"/>
        <v>-123.79059569751594</v>
      </c>
      <c r="AB20">
        <f t="shared" si="20"/>
        <v>91.587734388848574</v>
      </c>
      <c r="AC20">
        <f t="shared" si="21"/>
        <v>6.3955759986476428</v>
      </c>
      <c r="AD20">
        <f t="shared" si="22"/>
        <v>72.253316693641878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54023.550645896852</v>
      </c>
      <c r="AJ20" t="s">
        <v>343</v>
      </c>
      <c r="AK20">
        <v>8116.66</v>
      </c>
      <c r="AL20">
        <v>203.59399999999999</v>
      </c>
      <c r="AM20">
        <v>714.04193576744501</v>
      </c>
      <c r="AN20">
        <f t="shared" si="26"/>
        <v>0.7148710883749716</v>
      </c>
      <c r="AO20">
        <v>-1.56088773586827</v>
      </c>
      <c r="AP20" t="s">
        <v>358</v>
      </c>
      <c r="AQ20">
        <v>8166.88</v>
      </c>
      <c r="AR20">
        <v>263.69828000000001</v>
      </c>
      <c r="AS20">
        <v>543.558917412455</v>
      </c>
      <c r="AT20">
        <f t="shared" si="27"/>
        <v>0.51486716241304054</v>
      </c>
      <c r="AU20">
        <v>0.5</v>
      </c>
      <c r="AV20">
        <f t="shared" si="28"/>
        <v>505.15466134904767</v>
      </c>
      <c r="AW20">
        <f t="shared" si="29"/>
        <v>15.618469880016805</v>
      </c>
      <c r="AX20">
        <f t="shared" si="30"/>
        <v>130.0437735342523</v>
      </c>
      <c r="AY20">
        <f t="shared" si="31"/>
        <v>3.4008114603964072E-2</v>
      </c>
      <c r="AZ20">
        <f t="shared" si="32"/>
        <v>0.31364220674835641</v>
      </c>
      <c r="BA20">
        <f t="shared" si="33"/>
        <v>186.88147710388071</v>
      </c>
      <c r="BB20" t="s">
        <v>345</v>
      </c>
      <c r="BC20">
        <v>0</v>
      </c>
      <c r="BD20">
        <f t="shared" si="34"/>
        <v>186.88147710388071</v>
      </c>
      <c r="BE20">
        <f t="shared" si="35"/>
        <v>0.6561891064293327</v>
      </c>
      <c r="BF20">
        <f t="shared" si="36"/>
        <v>0.78463229177134841</v>
      </c>
      <c r="BG20">
        <f t="shared" si="37"/>
        <v>0.32339872149590204</v>
      </c>
      <c r="BH20">
        <f t="shared" si="38"/>
        <v>0.82320446339738107</v>
      </c>
      <c r="BI20">
        <f t="shared" si="39"/>
        <v>0.33398708547752926</v>
      </c>
      <c r="BJ20">
        <f t="shared" si="40"/>
        <v>0.55606445999432641</v>
      </c>
      <c r="BK20">
        <f t="shared" si="41"/>
        <v>0.44393554000567359</v>
      </c>
      <c r="BL20">
        <v>205</v>
      </c>
      <c r="BM20">
        <v>290</v>
      </c>
      <c r="BN20">
        <v>471.1</v>
      </c>
      <c r="BO20">
        <v>125</v>
      </c>
      <c r="BP20">
        <v>8166.88</v>
      </c>
      <c r="BQ20">
        <v>468.92</v>
      </c>
      <c r="BR20">
        <v>2.1800000000000002</v>
      </c>
      <c r="BS20">
        <v>300</v>
      </c>
      <c r="BT20">
        <v>19.100000000000001</v>
      </c>
      <c r="BU20">
        <v>543.558917412455</v>
      </c>
      <c r="BV20">
        <v>2.5401096842483799</v>
      </c>
      <c r="BW20">
        <v>-60.9542802407992</v>
      </c>
      <c r="BX20">
        <v>1.87135618708518</v>
      </c>
      <c r="BY20">
        <v>0.97428719097691796</v>
      </c>
      <c r="BZ20">
        <v>-5.00022224694104E-3</v>
      </c>
      <c r="CA20">
        <v>290</v>
      </c>
      <c r="CB20">
        <v>456.42</v>
      </c>
      <c r="CC20">
        <v>635</v>
      </c>
      <c r="CD20">
        <v>8155.87</v>
      </c>
      <c r="CE20">
        <v>468.82</v>
      </c>
      <c r="CF20">
        <v>-12.4</v>
      </c>
      <c r="CT20">
        <f t="shared" si="42"/>
        <v>599.95066666666696</v>
      </c>
      <c r="CU20">
        <f t="shared" si="43"/>
        <v>505.15466134904767</v>
      </c>
      <c r="CV20">
        <f t="shared" si="44"/>
        <v>0.84199366617207538</v>
      </c>
      <c r="CW20">
        <f t="shared" si="45"/>
        <v>0.16344777571210559</v>
      </c>
      <c r="CX20">
        <v>2</v>
      </c>
      <c r="CY20">
        <v>0.5</v>
      </c>
      <c r="CZ20" t="s">
        <v>346</v>
      </c>
      <c r="DA20">
        <v>2</v>
      </c>
      <c r="DB20">
        <v>1792218782.5999999</v>
      </c>
      <c r="DC20">
        <v>400.00266666666698</v>
      </c>
      <c r="DD20">
        <v>406.69866666666701</v>
      </c>
      <c r="DE20">
        <v>17.603249999999999</v>
      </c>
      <c r="DF20">
        <v>16.5002833333333</v>
      </c>
      <c r="DG20">
        <v>400.19333333333299</v>
      </c>
      <c r="DH20">
        <v>17.74005</v>
      </c>
      <c r="DI20">
        <v>500.03866666666698</v>
      </c>
      <c r="DJ20">
        <v>101.687666666667</v>
      </c>
      <c r="DK20">
        <v>9.9964483333333298E-2</v>
      </c>
      <c r="DL20">
        <v>25.599016666666699</v>
      </c>
      <c r="DM20">
        <v>25.0399833333333</v>
      </c>
      <c r="DN20">
        <v>999.9</v>
      </c>
      <c r="DO20">
        <v>0</v>
      </c>
      <c r="DP20">
        <v>0</v>
      </c>
      <c r="DQ20">
        <v>10000.33</v>
      </c>
      <c r="DR20">
        <v>0</v>
      </c>
      <c r="DS20">
        <v>7.8489800000000001</v>
      </c>
      <c r="DT20">
        <v>599.95066666666696</v>
      </c>
      <c r="DU20">
        <v>0.932985333333333</v>
      </c>
      <c r="DV20">
        <v>6.7014749999999998E-2</v>
      </c>
      <c r="DW20">
        <v>0</v>
      </c>
      <c r="DX20">
        <v>263.71216666666697</v>
      </c>
      <c r="DY20">
        <v>4.9999900000000004</v>
      </c>
      <c r="DZ20">
        <v>1545.9566666666699</v>
      </c>
      <c r="EA20">
        <v>5844.81833333333</v>
      </c>
      <c r="EB20">
        <v>35.822499999999998</v>
      </c>
      <c r="EC20">
        <v>38.436999999999998</v>
      </c>
      <c r="ED20">
        <v>37.125</v>
      </c>
      <c r="EE20">
        <v>38</v>
      </c>
      <c r="EF20">
        <v>37.916333333333299</v>
      </c>
      <c r="EG20">
        <v>555.08000000000004</v>
      </c>
      <c r="EH20">
        <v>39.869999999999997</v>
      </c>
      <c r="EI20">
        <v>0</v>
      </c>
      <c r="EJ20">
        <v>121.90000009536701</v>
      </c>
      <c r="EK20">
        <v>0</v>
      </c>
      <c r="EL20">
        <v>263.69828000000001</v>
      </c>
      <c r="EM20">
        <v>-0.72915382791816397</v>
      </c>
      <c r="EN20">
        <v>2.25153844050923</v>
      </c>
      <c r="EO20">
        <v>1545.9712</v>
      </c>
      <c r="EP20">
        <v>15</v>
      </c>
      <c r="EQ20">
        <v>1792217658</v>
      </c>
      <c r="ER20" t="s">
        <v>347</v>
      </c>
      <c r="ES20">
        <v>1792217658</v>
      </c>
      <c r="ET20">
        <v>1792217652</v>
      </c>
      <c r="EU20">
        <v>52</v>
      </c>
      <c r="EV20">
        <v>-0.57999999999999996</v>
      </c>
      <c r="EW20">
        <v>7.0000000000000001E-3</v>
      </c>
      <c r="EX20">
        <v>-0.188</v>
      </c>
      <c r="EY20">
        <v>-0.161</v>
      </c>
      <c r="EZ20">
        <v>407</v>
      </c>
      <c r="FA20">
        <v>16</v>
      </c>
      <c r="FB20">
        <v>0.28000000000000003</v>
      </c>
      <c r="FC20">
        <v>0.06</v>
      </c>
      <c r="FD20">
        <v>15.6007856329084</v>
      </c>
      <c r="FE20">
        <v>-0.107671696756324</v>
      </c>
      <c r="FF20">
        <v>7.1428559607647199E-2</v>
      </c>
      <c r="FG20">
        <v>1</v>
      </c>
      <c r="FH20">
        <v>-6.7051804761904803</v>
      </c>
      <c r="FI20">
        <v>0.113368831168824</v>
      </c>
      <c r="FJ20">
        <v>3.0175294289990402E-2</v>
      </c>
      <c r="FK20">
        <v>1</v>
      </c>
      <c r="FL20">
        <v>263.71238235294101</v>
      </c>
      <c r="FM20">
        <v>-3.4025967394484997E-2</v>
      </c>
      <c r="FN20">
        <v>0.26837923285857801</v>
      </c>
      <c r="FO20">
        <v>1</v>
      </c>
      <c r="FP20">
        <v>3</v>
      </c>
      <c r="FQ20">
        <v>3</v>
      </c>
      <c r="FR20" t="s">
        <v>348</v>
      </c>
      <c r="FS20">
        <v>100</v>
      </c>
      <c r="FT20">
        <v>100</v>
      </c>
      <c r="FU20">
        <v>-0.19</v>
      </c>
      <c r="FV20">
        <v>-0.13689999999999999</v>
      </c>
      <c r="FW20">
        <v>-0.26560134709838001</v>
      </c>
      <c r="FX20">
        <v>-6.1673298426602905E-5</v>
      </c>
      <c r="FY20">
        <v>6.1939807181674203E-7</v>
      </c>
      <c r="FZ20">
        <v>3.19222985850634E-12</v>
      </c>
      <c r="GA20">
        <v>-5.8902728726689897E-2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18.8</v>
      </c>
      <c r="GJ20">
        <v>18.899999999999999</v>
      </c>
      <c r="GK20">
        <v>1.0534699999999999</v>
      </c>
      <c r="GL20">
        <v>2.65381</v>
      </c>
      <c r="GM20">
        <v>1.65161</v>
      </c>
      <c r="GN20">
        <v>2.2705099999999998</v>
      </c>
      <c r="GO20">
        <v>1.5979000000000001</v>
      </c>
      <c r="GP20">
        <v>2.6171899999999999</v>
      </c>
      <c r="GQ20">
        <v>38.5259</v>
      </c>
      <c r="GR20">
        <v>23.780999999999999</v>
      </c>
      <c r="GS20">
        <v>18</v>
      </c>
      <c r="GT20">
        <v>505.62900000000002</v>
      </c>
      <c r="GU20">
        <v>525.85</v>
      </c>
      <c r="GV20">
        <v>23.070499999999999</v>
      </c>
      <c r="GW20">
        <v>30.1221</v>
      </c>
      <c r="GX20">
        <v>29.9999</v>
      </c>
      <c r="GY20">
        <v>30.267700000000001</v>
      </c>
      <c r="GZ20">
        <v>30.322099999999999</v>
      </c>
      <c r="HA20">
        <v>21.063300000000002</v>
      </c>
      <c r="HB20">
        <v>17.681999999999999</v>
      </c>
      <c r="HC20">
        <v>30.854099999999999</v>
      </c>
      <c r="HD20">
        <v>23.104299999999999</v>
      </c>
      <c r="HE20">
        <v>406.66899999999998</v>
      </c>
      <c r="HF20">
        <v>16.6389</v>
      </c>
      <c r="HG20">
        <v>97.915400000000005</v>
      </c>
      <c r="HH20">
        <v>94.427599999999998</v>
      </c>
    </row>
    <row r="21" spans="1:216" x14ac:dyDescent="0.3">
      <c r="A21">
        <v>5</v>
      </c>
      <c r="B21">
        <v>1792218909.0999999</v>
      </c>
      <c r="C21">
        <v>492.09999990463302</v>
      </c>
      <c r="D21" t="s">
        <v>359</v>
      </c>
      <c r="E21" t="s">
        <v>360</v>
      </c>
      <c r="F21">
        <v>5</v>
      </c>
      <c r="G21">
        <v>1792218905.5999999</v>
      </c>
      <c r="H21">
        <f t="shared" si="0"/>
        <v>2.4259289431700459E-3</v>
      </c>
      <c r="I21">
        <f t="shared" si="1"/>
        <v>2.4259289431700459</v>
      </c>
      <c r="J21">
        <f t="shared" si="2"/>
        <v>12.617805364263974</v>
      </c>
      <c r="K21">
        <f t="shared" si="3"/>
        <v>400.029</v>
      </c>
      <c r="L21">
        <f t="shared" si="4"/>
        <v>277.49405240085542</v>
      </c>
      <c r="M21">
        <f t="shared" si="5"/>
        <v>28.244943060724907</v>
      </c>
      <c r="N21">
        <f t="shared" si="6"/>
        <v>40.717255847044214</v>
      </c>
      <c r="O21">
        <f t="shared" si="7"/>
        <v>0.18043071852750375</v>
      </c>
      <c r="P21">
        <f t="shared" si="8"/>
        <v>3.0404698219647281</v>
      </c>
      <c r="Q21">
        <f t="shared" si="9"/>
        <v>0.17468639465821753</v>
      </c>
      <c r="R21">
        <f t="shared" si="10"/>
        <v>0.10967986699983598</v>
      </c>
      <c r="S21">
        <f t="shared" si="11"/>
        <v>66.127335504008272</v>
      </c>
      <c r="T21">
        <f t="shared" si="12"/>
        <v>25.407562420027308</v>
      </c>
      <c r="U21">
        <f t="shared" si="13"/>
        <v>25.0215</v>
      </c>
      <c r="V21">
        <f t="shared" si="14"/>
        <v>3.1837556173841346</v>
      </c>
      <c r="W21">
        <f t="shared" si="15"/>
        <v>54.640756615088783</v>
      </c>
      <c r="X21">
        <f t="shared" si="16"/>
        <v>1.8048617061211258</v>
      </c>
      <c r="Y21">
        <f t="shared" si="17"/>
        <v>3.3031418631979963</v>
      </c>
      <c r="Z21">
        <f t="shared" si="18"/>
        <v>1.3788939112630088</v>
      </c>
      <c r="AA21">
        <f t="shared" si="19"/>
        <v>-106.98346639379902</v>
      </c>
      <c r="AB21">
        <f t="shared" si="20"/>
        <v>101.46512379685092</v>
      </c>
      <c r="AC21">
        <f t="shared" si="21"/>
        <v>7.0824402478796049</v>
      </c>
      <c r="AD21">
        <f t="shared" si="22"/>
        <v>67.691433154939773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54065.661715499926</v>
      </c>
      <c r="AJ21" t="s">
        <v>343</v>
      </c>
      <c r="AK21">
        <v>8116.66</v>
      </c>
      <c r="AL21">
        <v>203.59399999999999</v>
      </c>
      <c r="AM21">
        <v>714.04193576744501</v>
      </c>
      <c r="AN21">
        <f t="shared" si="26"/>
        <v>0.7148710883749716</v>
      </c>
      <c r="AO21">
        <v>-1.56088773586827</v>
      </c>
      <c r="AP21" t="s">
        <v>361</v>
      </c>
      <c r="AQ21">
        <v>8164.24</v>
      </c>
      <c r="AR21">
        <v>273.97465384615401</v>
      </c>
      <c r="AS21">
        <v>681.16344291016799</v>
      </c>
      <c r="AT21">
        <f t="shared" si="27"/>
        <v>0.5977842664667401</v>
      </c>
      <c r="AU21">
        <v>0.5</v>
      </c>
      <c r="AV21">
        <f t="shared" si="28"/>
        <v>337.18375953575583</v>
      </c>
      <c r="AW21">
        <f t="shared" si="29"/>
        <v>12.617805364263974</v>
      </c>
      <c r="AX21">
        <f t="shared" si="30"/>
        <v>100.78157317928974</v>
      </c>
      <c r="AY21">
        <f t="shared" si="31"/>
        <v>4.2050344060621046E-2</v>
      </c>
      <c r="AZ21">
        <f t="shared" si="32"/>
        <v>4.8268140634219338E-2</v>
      </c>
      <c r="BA21">
        <f t="shared" si="33"/>
        <v>200.83004786698771</v>
      </c>
      <c r="BB21" t="s">
        <v>345</v>
      </c>
      <c r="BC21">
        <v>0</v>
      </c>
      <c r="BD21">
        <f t="shared" si="34"/>
        <v>200.83004786698771</v>
      </c>
      <c r="BE21">
        <f t="shared" si="35"/>
        <v>0.70516613896809899</v>
      </c>
      <c r="BF21">
        <f t="shared" si="36"/>
        <v>0.8477211729728038</v>
      </c>
      <c r="BG21">
        <f t="shared" si="37"/>
        <v>6.4064168489515086E-2</v>
      </c>
      <c r="BH21">
        <f t="shared" si="38"/>
        <v>0.85262739295614276</v>
      </c>
      <c r="BI21">
        <f t="shared" si="39"/>
        <v>6.4411060469556164E-2</v>
      </c>
      <c r="BJ21">
        <f t="shared" si="40"/>
        <v>0.62140012353692797</v>
      </c>
      <c r="BK21">
        <f t="shared" si="41"/>
        <v>0.37859987646307203</v>
      </c>
      <c r="BL21">
        <v>206</v>
      </c>
      <c r="BM21">
        <v>290</v>
      </c>
      <c r="BN21">
        <v>595.71</v>
      </c>
      <c r="BO21">
        <v>245</v>
      </c>
      <c r="BP21">
        <v>8164.24</v>
      </c>
      <c r="BQ21">
        <v>594.26</v>
      </c>
      <c r="BR21">
        <v>1.45</v>
      </c>
      <c r="BS21">
        <v>300</v>
      </c>
      <c r="BT21">
        <v>19.100000000000001</v>
      </c>
      <c r="BU21">
        <v>681.16344291016799</v>
      </c>
      <c r="BV21">
        <v>2.9044924206584199</v>
      </c>
      <c r="BW21">
        <v>-70.950120070278501</v>
      </c>
      <c r="BX21">
        <v>2.1340657359537998</v>
      </c>
      <c r="BY21">
        <v>0.97529397430852804</v>
      </c>
      <c r="BZ21">
        <v>-5.1363236929922304E-3</v>
      </c>
      <c r="CA21">
        <v>290</v>
      </c>
      <c r="CB21">
        <v>580.75</v>
      </c>
      <c r="CC21">
        <v>625</v>
      </c>
      <c r="CD21">
        <v>8159.05</v>
      </c>
      <c r="CE21">
        <v>594.20000000000005</v>
      </c>
      <c r="CF21">
        <v>-13.45</v>
      </c>
      <c r="CT21">
        <f t="shared" si="42"/>
        <v>399.99816666666698</v>
      </c>
      <c r="CU21">
        <f t="shared" si="43"/>
        <v>337.18375953575583</v>
      </c>
      <c r="CV21">
        <f t="shared" si="44"/>
        <v>0.84296326242100827</v>
      </c>
      <c r="CW21">
        <f t="shared" si="45"/>
        <v>0.16531909647254606</v>
      </c>
      <c r="CX21">
        <v>2</v>
      </c>
      <c r="CY21">
        <v>0.5</v>
      </c>
      <c r="CZ21" t="s">
        <v>346</v>
      </c>
      <c r="DA21">
        <v>2</v>
      </c>
      <c r="DB21">
        <v>1792218905.5999999</v>
      </c>
      <c r="DC21">
        <v>400.029</v>
      </c>
      <c r="DD21">
        <v>405.46383333333301</v>
      </c>
      <c r="DE21">
        <v>17.7319666666667</v>
      </c>
      <c r="DF21">
        <v>16.778883333333301</v>
      </c>
      <c r="DG21">
        <v>400.21983333333299</v>
      </c>
      <c r="DH21">
        <v>17.866866666666699</v>
      </c>
      <c r="DI21">
        <v>500.04283333333302</v>
      </c>
      <c r="DJ21">
        <v>101.68583333333299</v>
      </c>
      <c r="DK21">
        <v>9.9926816666666696E-2</v>
      </c>
      <c r="DL21">
        <v>25.640499999999999</v>
      </c>
      <c r="DM21">
        <v>25.0215</v>
      </c>
      <c r="DN21">
        <v>999.9</v>
      </c>
      <c r="DO21">
        <v>0</v>
      </c>
      <c r="DP21">
        <v>0</v>
      </c>
      <c r="DQ21">
        <v>10010.096666666699</v>
      </c>
      <c r="DR21">
        <v>0</v>
      </c>
      <c r="DS21">
        <v>7.79251</v>
      </c>
      <c r="DT21">
        <v>399.99816666666698</v>
      </c>
      <c r="DU21">
        <v>0.89997799999999994</v>
      </c>
      <c r="DV21">
        <v>0.100022</v>
      </c>
      <c r="DW21">
        <v>0</v>
      </c>
      <c r="DX21">
        <v>273.93099999999998</v>
      </c>
      <c r="DY21">
        <v>4.9999900000000004</v>
      </c>
      <c r="DZ21">
        <v>1062.2233333333299</v>
      </c>
      <c r="EA21">
        <v>3837.8333333333298</v>
      </c>
      <c r="EB21">
        <v>35.25</v>
      </c>
      <c r="EC21">
        <v>38.186999999999998</v>
      </c>
      <c r="ED21">
        <v>36.686999999999998</v>
      </c>
      <c r="EE21">
        <v>37.7603333333333</v>
      </c>
      <c r="EF21">
        <v>37.4895</v>
      </c>
      <c r="EG21">
        <v>355.488333333333</v>
      </c>
      <c r="EH21">
        <v>39.51</v>
      </c>
      <c r="EI21">
        <v>0</v>
      </c>
      <c r="EJ21">
        <v>121.69999980926499</v>
      </c>
      <c r="EK21">
        <v>0</v>
      </c>
      <c r="EL21">
        <v>273.97465384615401</v>
      </c>
      <c r="EM21">
        <v>-1.3592136708161799</v>
      </c>
      <c r="EN21">
        <v>-1.6502564105881601</v>
      </c>
      <c r="EO21">
        <v>1062.31961538462</v>
      </c>
      <c r="EP21">
        <v>15</v>
      </c>
      <c r="EQ21">
        <v>1792217658</v>
      </c>
      <c r="ER21" t="s">
        <v>347</v>
      </c>
      <c r="ES21">
        <v>1792217658</v>
      </c>
      <c r="ET21">
        <v>1792217652</v>
      </c>
      <c r="EU21">
        <v>52</v>
      </c>
      <c r="EV21">
        <v>-0.57999999999999996</v>
      </c>
      <c r="EW21">
        <v>7.0000000000000001E-3</v>
      </c>
      <c r="EX21">
        <v>-0.188</v>
      </c>
      <c r="EY21">
        <v>-0.161</v>
      </c>
      <c r="EZ21">
        <v>407</v>
      </c>
      <c r="FA21">
        <v>16</v>
      </c>
      <c r="FB21">
        <v>0.28000000000000003</v>
      </c>
      <c r="FC21">
        <v>0.06</v>
      </c>
      <c r="FD21">
        <v>12.7088722788884</v>
      </c>
      <c r="FE21">
        <v>-0.32467810508064299</v>
      </c>
      <c r="FF21">
        <v>5.8960313096308302E-2</v>
      </c>
      <c r="FG21">
        <v>1</v>
      </c>
      <c r="FH21">
        <v>-5.4870134999999998</v>
      </c>
      <c r="FI21">
        <v>0.30274150375940201</v>
      </c>
      <c r="FJ21">
        <v>3.5515046849891797E-2</v>
      </c>
      <c r="FK21">
        <v>1</v>
      </c>
      <c r="FL21">
        <v>274.05755882352901</v>
      </c>
      <c r="FM21">
        <v>-0.42100839735344198</v>
      </c>
      <c r="FN21">
        <v>0.24001717967635999</v>
      </c>
      <c r="FO21">
        <v>1</v>
      </c>
      <c r="FP21">
        <v>3</v>
      </c>
      <c r="FQ21">
        <v>3</v>
      </c>
      <c r="FR21" t="s">
        <v>348</v>
      </c>
      <c r="FS21">
        <v>100</v>
      </c>
      <c r="FT21">
        <v>100</v>
      </c>
      <c r="FU21">
        <v>-0.191</v>
      </c>
      <c r="FV21">
        <v>-0.1348</v>
      </c>
      <c r="FW21">
        <v>-0.26560134709838001</v>
      </c>
      <c r="FX21">
        <v>-6.1673298426602905E-5</v>
      </c>
      <c r="FY21">
        <v>6.1939807181674203E-7</v>
      </c>
      <c r="FZ21">
        <v>3.19222985850634E-12</v>
      </c>
      <c r="GA21">
        <v>-5.8902728726689897E-2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20.9</v>
      </c>
      <c r="GJ21">
        <v>21</v>
      </c>
      <c r="GK21">
        <v>1.0510299999999999</v>
      </c>
      <c r="GL21">
        <v>2.65747</v>
      </c>
      <c r="GM21">
        <v>1.65161</v>
      </c>
      <c r="GN21">
        <v>2.2705099999999998</v>
      </c>
      <c r="GO21">
        <v>1.5979000000000001</v>
      </c>
      <c r="GP21">
        <v>2.5158700000000001</v>
      </c>
      <c r="GQ21">
        <v>38.550400000000003</v>
      </c>
      <c r="GR21">
        <v>23.7898</v>
      </c>
      <c r="GS21">
        <v>18</v>
      </c>
      <c r="GT21">
        <v>505.54599999999999</v>
      </c>
      <c r="GU21">
        <v>525.94799999999998</v>
      </c>
      <c r="GV21">
        <v>23.322199999999999</v>
      </c>
      <c r="GW21">
        <v>30.144500000000001</v>
      </c>
      <c r="GX21">
        <v>29.999600000000001</v>
      </c>
      <c r="GY21">
        <v>30.2883</v>
      </c>
      <c r="GZ21">
        <v>30.343</v>
      </c>
      <c r="HA21">
        <v>21.021999999999998</v>
      </c>
      <c r="HB21">
        <v>18.509</v>
      </c>
      <c r="HC21">
        <v>32.786000000000001</v>
      </c>
      <c r="HD21">
        <v>23.333400000000001</v>
      </c>
      <c r="HE21">
        <v>405.49</v>
      </c>
      <c r="HF21">
        <v>16.8689</v>
      </c>
      <c r="HG21">
        <v>97.915599999999998</v>
      </c>
      <c r="HH21">
        <v>94.426199999999994</v>
      </c>
    </row>
    <row r="22" spans="1:216" x14ac:dyDescent="0.3">
      <c r="A22">
        <v>6</v>
      </c>
      <c r="B22">
        <v>1792219074.0999999</v>
      </c>
      <c r="C22">
        <v>657.09999990463302</v>
      </c>
      <c r="D22" t="s">
        <v>362</v>
      </c>
      <c r="E22" t="s">
        <v>363</v>
      </c>
      <c r="F22">
        <v>5</v>
      </c>
      <c r="G22">
        <v>1792219071.0999999</v>
      </c>
      <c r="H22">
        <f t="shared" si="0"/>
        <v>1.7351439441207312E-3</v>
      </c>
      <c r="I22">
        <f t="shared" si="1"/>
        <v>1.7351439441207313</v>
      </c>
      <c r="J22">
        <f t="shared" si="2"/>
        <v>7.3986044151229633</v>
      </c>
      <c r="K22">
        <f t="shared" si="3"/>
        <v>399.97379999999998</v>
      </c>
      <c r="L22">
        <f t="shared" si="4"/>
        <v>298.17073157553</v>
      </c>
      <c r="M22">
        <f t="shared" si="5"/>
        <v>30.349147026451977</v>
      </c>
      <c r="N22">
        <f t="shared" si="6"/>
        <v>40.711117415136989</v>
      </c>
      <c r="O22">
        <f t="shared" si="7"/>
        <v>0.1283251972764379</v>
      </c>
      <c r="P22">
        <f t="shared" si="8"/>
        <v>3.0368046264398574</v>
      </c>
      <c r="Q22">
        <f t="shared" si="9"/>
        <v>0.12538704757585348</v>
      </c>
      <c r="R22">
        <f t="shared" si="10"/>
        <v>7.8625282784120329E-2</v>
      </c>
      <c r="S22">
        <f t="shared" si="11"/>
        <v>33.049391837680012</v>
      </c>
      <c r="T22">
        <f t="shared" si="12"/>
        <v>25.425502955352268</v>
      </c>
      <c r="U22">
        <f t="shared" si="13"/>
        <v>25.057320000000001</v>
      </c>
      <c r="V22">
        <f t="shared" si="14"/>
        <v>3.1905599516466281</v>
      </c>
      <c r="W22">
        <f t="shared" si="15"/>
        <v>54.890636477305563</v>
      </c>
      <c r="X22">
        <f t="shared" si="16"/>
        <v>1.8166816206034946</v>
      </c>
      <c r="Y22">
        <f t="shared" si="17"/>
        <v>3.3096384687661589</v>
      </c>
      <c r="Z22">
        <f t="shared" si="18"/>
        <v>1.3738783310431335</v>
      </c>
      <c r="AA22">
        <f t="shared" si="19"/>
        <v>-76.519847935724243</v>
      </c>
      <c r="AB22">
        <f t="shared" si="20"/>
        <v>100.90076605201139</v>
      </c>
      <c r="AC22">
        <f t="shared" si="21"/>
        <v>7.0539920172837345</v>
      </c>
      <c r="AD22">
        <f t="shared" si="22"/>
        <v>64.484301971250886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53944.906056010906</v>
      </c>
      <c r="AJ22" t="s">
        <v>343</v>
      </c>
      <c r="AK22">
        <v>8116.66</v>
      </c>
      <c r="AL22">
        <v>203.59399999999999</v>
      </c>
      <c r="AM22">
        <v>714.04193576744501</v>
      </c>
      <c r="AN22">
        <f t="shared" si="26"/>
        <v>0.7148710883749716</v>
      </c>
      <c r="AO22">
        <v>-1.56088773586827</v>
      </c>
      <c r="AP22" t="s">
        <v>364</v>
      </c>
      <c r="AQ22">
        <v>8144.51</v>
      </c>
      <c r="AR22">
        <v>264.98480000000001</v>
      </c>
      <c r="AS22">
        <v>785.88597125825504</v>
      </c>
      <c r="AT22">
        <f t="shared" si="27"/>
        <v>0.66282029493955474</v>
      </c>
      <c r="AU22">
        <v>0.5</v>
      </c>
      <c r="AV22">
        <f t="shared" si="28"/>
        <v>168.58669172936789</v>
      </c>
      <c r="AW22">
        <f t="shared" si="29"/>
        <v>7.3986044151229633</v>
      </c>
      <c r="AX22">
        <f t="shared" si="30"/>
        <v>55.87134036747171</v>
      </c>
      <c r="AY22">
        <f t="shared" si="31"/>
        <v>5.3144717765586741E-2</v>
      </c>
      <c r="AZ22">
        <f t="shared" si="32"/>
        <v>-9.1417887732215153E-2</v>
      </c>
      <c r="BA22">
        <f t="shared" si="33"/>
        <v>209.04288741012573</v>
      </c>
      <c r="BB22" t="s">
        <v>345</v>
      </c>
      <c r="BC22">
        <v>0</v>
      </c>
      <c r="BD22">
        <f t="shared" si="34"/>
        <v>209.04288741012573</v>
      </c>
      <c r="BE22">
        <f t="shared" si="35"/>
        <v>0.73400353861078049</v>
      </c>
      <c r="BF22">
        <f t="shared" si="36"/>
        <v>0.9030205715275551</v>
      </c>
      <c r="BG22">
        <f t="shared" si="37"/>
        <v>-0.1422656849047679</v>
      </c>
      <c r="BH22">
        <f t="shared" si="38"/>
        <v>0.89457041650884761</v>
      </c>
      <c r="BI22">
        <f t="shared" si="39"/>
        <v>-0.14074703893707477</v>
      </c>
      <c r="BJ22">
        <f t="shared" si="40"/>
        <v>0.71238058810491045</v>
      </c>
      <c r="BK22">
        <f t="shared" si="41"/>
        <v>0.28761941189508955</v>
      </c>
      <c r="BL22">
        <v>207</v>
      </c>
      <c r="BM22">
        <v>290</v>
      </c>
      <c r="BN22">
        <v>721.94</v>
      </c>
      <c r="BO22">
        <v>215</v>
      </c>
      <c r="BP22">
        <v>8144.51</v>
      </c>
      <c r="BQ22">
        <v>722.73</v>
      </c>
      <c r="BR22">
        <v>-0.79</v>
      </c>
      <c r="BS22">
        <v>300</v>
      </c>
      <c r="BT22">
        <v>19.100000000000001</v>
      </c>
      <c r="BU22">
        <v>785.88597125825504</v>
      </c>
      <c r="BV22">
        <v>2.5286216391153</v>
      </c>
      <c r="BW22">
        <v>-51.434718101629301</v>
      </c>
      <c r="BX22">
        <v>1.8474442505011699</v>
      </c>
      <c r="BY22">
        <v>0.96513605505840505</v>
      </c>
      <c r="BZ22">
        <v>-5.2571695216907703E-3</v>
      </c>
      <c r="CA22">
        <v>290</v>
      </c>
      <c r="CB22">
        <v>714.48</v>
      </c>
      <c r="CC22">
        <v>615</v>
      </c>
      <c r="CD22">
        <v>8138.32</v>
      </c>
      <c r="CE22">
        <v>722.69</v>
      </c>
      <c r="CF22">
        <v>-8.2100000000000009</v>
      </c>
      <c r="CT22">
        <f t="shared" si="42"/>
        <v>200.00200000000001</v>
      </c>
      <c r="CU22">
        <f t="shared" si="43"/>
        <v>168.58669172936789</v>
      </c>
      <c r="CV22">
        <f t="shared" si="44"/>
        <v>0.84292502939654546</v>
      </c>
      <c r="CW22">
        <f t="shared" si="45"/>
        <v>0.16524530673533269</v>
      </c>
      <c r="CX22">
        <v>2</v>
      </c>
      <c r="CY22">
        <v>0.5</v>
      </c>
      <c r="CZ22" t="s">
        <v>346</v>
      </c>
      <c r="DA22">
        <v>2</v>
      </c>
      <c r="DB22">
        <v>1792219071.0999999</v>
      </c>
      <c r="DC22">
        <v>399.97379999999998</v>
      </c>
      <c r="DD22">
        <v>403.21080000000001</v>
      </c>
      <c r="DE22">
        <v>17.848320000000001</v>
      </c>
      <c r="DF22">
        <v>17.16666</v>
      </c>
      <c r="DG22">
        <v>400.15620000000001</v>
      </c>
      <c r="DH22">
        <v>17.991900000000001</v>
      </c>
      <c r="DI22">
        <v>500.00720000000001</v>
      </c>
      <c r="DJ22">
        <v>101.6842</v>
      </c>
      <c r="DK22">
        <v>0.10026042</v>
      </c>
      <c r="DL22">
        <v>25.67362</v>
      </c>
      <c r="DM22">
        <v>25.057320000000001</v>
      </c>
      <c r="DN22">
        <v>999.9</v>
      </c>
      <c r="DO22">
        <v>0</v>
      </c>
      <c r="DP22">
        <v>0</v>
      </c>
      <c r="DQ22">
        <v>9988.11</v>
      </c>
      <c r="DR22">
        <v>0</v>
      </c>
      <c r="DS22">
        <v>7.8190480000000004</v>
      </c>
      <c r="DT22">
        <v>200.00200000000001</v>
      </c>
      <c r="DU22">
        <v>0.89997819999999995</v>
      </c>
      <c r="DV22">
        <v>0.10002170000000001</v>
      </c>
      <c r="DW22">
        <v>0</v>
      </c>
      <c r="DX22">
        <v>264.59739999999999</v>
      </c>
      <c r="DY22">
        <v>4.9999900000000004</v>
      </c>
      <c r="DZ22">
        <v>515.04480000000001</v>
      </c>
      <c r="EA22">
        <v>1894.66</v>
      </c>
      <c r="EB22">
        <v>35.5</v>
      </c>
      <c r="EC22">
        <v>40.087200000000003</v>
      </c>
      <c r="ED22">
        <v>37.574599999999997</v>
      </c>
      <c r="EE22">
        <v>40.274799999999999</v>
      </c>
      <c r="EF22">
        <v>38.549599999999998</v>
      </c>
      <c r="EG22">
        <v>175.49799999999999</v>
      </c>
      <c r="EH22">
        <v>19.5</v>
      </c>
      <c r="EI22">
        <v>0</v>
      </c>
      <c r="EJ22">
        <v>163.59999990463299</v>
      </c>
      <c r="EK22">
        <v>0</v>
      </c>
      <c r="EL22">
        <v>264.98480000000001</v>
      </c>
      <c r="EM22">
        <v>-1.8921538474869499</v>
      </c>
      <c r="EN22">
        <v>9.8692329089397707E-2</v>
      </c>
      <c r="EO22">
        <v>514.90315999999996</v>
      </c>
      <c r="EP22">
        <v>15</v>
      </c>
      <c r="EQ22">
        <v>1792218993.0999999</v>
      </c>
      <c r="ER22" t="s">
        <v>365</v>
      </c>
      <c r="ES22">
        <v>1792218991.0999999</v>
      </c>
      <c r="ET22">
        <v>1792218993.0999999</v>
      </c>
      <c r="EU22">
        <v>53</v>
      </c>
      <c r="EV22">
        <v>8.9999999999999993E-3</v>
      </c>
      <c r="EW22">
        <v>-1.0999999999999999E-2</v>
      </c>
      <c r="EX22">
        <v>-0.18099999999999999</v>
      </c>
      <c r="EY22">
        <v>-0.156</v>
      </c>
      <c r="EZ22">
        <v>403</v>
      </c>
      <c r="FA22">
        <v>17</v>
      </c>
      <c r="FB22">
        <v>0.27</v>
      </c>
      <c r="FC22">
        <v>0.1</v>
      </c>
      <c r="FD22">
        <v>7.3154239038091404</v>
      </c>
      <c r="FE22">
        <v>-0.39985008826177199</v>
      </c>
      <c r="FF22">
        <v>7.6600715544981393E-2</v>
      </c>
      <c r="FG22">
        <v>1</v>
      </c>
      <c r="FH22">
        <v>-3.2142328571428598</v>
      </c>
      <c r="FI22">
        <v>0.14749168831168899</v>
      </c>
      <c r="FJ22">
        <v>3.7413052871559001E-2</v>
      </c>
      <c r="FK22">
        <v>1</v>
      </c>
      <c r="FL22">
        <v>265.04194117647103</v>
      </c>
      <c r="FM22">
        <v>-0.78053475968660102</v>
      </c>
      <c r="FN22">
        <v>0.45893943860219799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-0.182</v>
      </c>
      <c r="FV22">
        <v>-0.14360000000000001</v>
      </c>
      <c r="FW22">
        <v>-0.256797748662069</v>
      </c>
      <c r="FX22">
        <v>-6.1673298426602905E-5</v>
      </c>
      <c r="FY22">
        <v>6.1939807181674203E-7</v>
      </c>
      <c r="FZ22">
        <v>3.19222985850634E-12</v>
      </c>
      <c r="GA22">
        <v>-6.9430755338490302E-2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1.4</v>
      </c>
      <c r="GJ22">
        <v>1.4</v>
      </c>
      <c r="GK22">
        <v>1.0473600000000001</v>
      </c>
      <c r="GL22">
        <v>2.65015</v>
      </c>
      <c r="GM22">
        <v>1.65161</v>
      </c>
      <c r="GN22">
        <v>2.2705099999999998</v>
      </c>
      <c r="GO22">
        <v>1.5979000000000001</v>
      </c>
      <c r="GP22">
        <v>2.6684600000000001</v>
      </c>
      <c r="GQ22">
        <v>38.575000000000003</v>
      </c>
      <c r="GR22">
        <v>23.7986</v>
      </c>
      <c r="GS22">
        <v>18</v>
      </c>
      <c r="GT22">
        <v>505.49900000000002</v>
      </c>
      <c r="GU22">
        <v>525.73199999999997</v>
      </c>
      <c r="GV22">
        <v>23.150400000000001</v>
      </c>
      <c r="GW22">
        <v>30.175799999999999</v>
      </c>
      <c r="GX22">
        <v>30.000299999999999</v>
      </c>
      <c r="GY22">
        <v>30.3172</v>
      </c>
      <c r="GZ22">
        <v>30.372699999999998</v>
      </c>
      <c r="HA22">
        <v>20.937799999999999</v>
      </c>
      <c r="HB22">
        <v>19.036300000000001</v>
      </c>
      <c r="HC22">
        <v>35.0884</v>
      </c>
      <c r="HD22">
        <v>23.1111</v>
      </c>
      <c r="HE22">
        <v>403.17</v>
      </c>
      <c r="HF22">
        <v>17.173999999999999</v>
      </c>
      <c r="HG22">
        <v>97.916499999999999</v>
      </c>
      <c r="HH22">
        <v>94.420500000000004</v>
      </c>
    </row>
    <row r="23" spans="1:216" x14ac:dyDescent="0.3">
      <c r="A23">
        <v>7</v>
      </c>
      <c r="B23">
        <v>1792219203.0999999</v>
      </c>
      <c r="C23">
        <v>786.09999990463302</v>
      </c>
      <c r="D23" t="s">
        <v>366</v>
      </c>
      <c r="E23" t="s">
        <v>367</v>
      </c>
      <c r="F23">
        <v>5</v>
      </c>
      <c r="G23">
        <v>1792219199.5999999</v>
      </c>
      <c r="H23">
        <f t="shared" si="0"/>
        <v>1.2412921599713705E-3</v>
      </c>
      <c r="I23">
        <f t="shared" si="1"/>
        <v>1.2412921599713704</v>
      </c>
      <c r="J23">
        <f t="shared" si="2"/>
        <v>3.4090521547829469</v>
      </c>
      <c r="K23">
        <f t="shared" si="3"/>
        <v>399.98633333333299</v>
      </c>
      <c r="L23">
        <f t="shared" si="4"/>
        <v>331.36089261254256</v>
      </c>
      <c r="M23">
        <f t="shared" si="5"/>
        <v>33.725731969660565</v>
      </c>
      <c r="N23">
        <f t="shared" si="6"/>
        <v>40.710392114077379</v>
      </c>
      <c r="O23">
        <f t="shared" si="7"/>
        <v>9.1351169868363738E-2</v>
      </c>
      <c r="P23">
        <f t="shared" si="8"/>
        <v>3.0390409692976701</v>
      </c>
      <c r="Q23">
        <f t="shared" si="9"/>
        <v>8.9852648278136396E-2</v>
      </c>
      <c r="R23">
        <f t="shared" si="10"/>
        <v>5.6290493774626589E-2</v>
      </c>
      <c r="S23">
        <f t="shared" si="11"/>
        <v>16.516847461581253</v>
      </c>
      <c r="T23">
        <f t="shared" si="12"/>
        <v>25.370065230974575</v>
      </c>
      <c r="U23">
        <f t="shared" si="13"/>
        <v>25.013716666666699</v>
      </c>
      <c r="V23">
        <f t="shared" si="14"/>
        <v>3.1822787807528199</v>
      </c>
      <c r="W23">
        <f t="shared" si="15"/>
        <v>54.988512968076208</v>
      </c>
      <c r="X23">
        <f t="shared" si="16"/>
        <v>1.8107091394256745</v>
      </c>
      <c r="Y23">
        <f t="shared" si="17"/>
        <v>3.2928861714752835</v>
      </c>
      <c r="Z23">
        <f t="shared" si="18"/>
        <v>1.3715696413271454</v>
      </c>
      <c r="AA23">
        <f t="shared" si="19"/>
        <v>-54.740984254737441</v>
      </c>
      <c r="AB23">
        <f t="shared" si="20"/>
        <v>94.107411477986645</v>
      </c>
      <c r="AC23">
        <f t="shared" si="21"/>
        <v>6.5699582653865019</v>
      </c>
      <c r="AD23">
        <f t="shared" si="22"/>
        <v>62.453232950216957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54030.253642550168</v>
      </c>
      <c r="AJ23" t="s">
        <v>343</v>
      </c>
      <c r="AK23">
        <v>8116.66</v>
      </c>
      <c r="AL23">
        <v>203.59399999999999</v>
      </c>
      <c r="AM23">
        <v>714.04193576744501</v>
      </c>
      <c r="AN23">
        <f t="shared" si="26"/>
        <v>0.7148710883749716</v>
      </c>
      <c r="AO23">
        <v>-1.56088773586827</v>
      </c>
      <c r="AP23" t="s">
        <v>368</v>
      </c>
      <c r="AQ23">
        <v>8134.62</v>
      </c>
      <c r="AR23">
        <v>255.20016000000001</v>
      </c>
      <c r="AS23">
        <v>835.470108341681</v>
      </c>
      <c r="AT23">
        <f t="shared" si="27"/>
        <v>0.69454303935954687</v>
      </c>
      <c r="AU23">
        <v>0.5</v>
      </c>
      <c r="AV23">
        <f t="shared" si="28"/>
        <v>84.323408550042373</v>
      </c>
      <c r="AW23">
        <f t="shared" si="29"/>
        <v>3.4090521547829469</v>
      </c>
      <c r="AX23">
        <f t="shared" si="30"/>
        <v>29.283118231751615</v>
      </c>
      <c r="AY23">
        <f t="shared" si="31"/>
        <v>5.893902981521161E-2</v>
      </c>
      <c r="AZ23">
        <f t="shared" si="32"/>
        <v>-0.14534113352691691</v>
      </c>
      <c r="BA23">
        <f t="shared" si="33"/>
        <v>212.39588939004537</v>
      </c>
      <c r="BB23" t="s">
        <v>345</v>
      </c>
      <c r="BC23">
        <v>0</v>
      </c>
      <c r="BD23">
        <f t="shared" si="34"/>
        <v>212.39588939004537</v>
      </c>
      <c r="BE23">
        <f t="shared" si="35"/>
        <v>0.74577679408347897</v>
      </c>
      <c r="BF23">
        <f t="shared" si="36"/>
        <v>0.93130148976156368</v>
      </c>
      <c r="BG23">
        <f t="shared" si="37"/>
        <v>-0.24205946294428249</v>
      </c>
      <c r="BH23">
        <f t="shared" si="38"/>
        <v>0.91832867342391367</v>
      </c>
      <c r="BI23">
        <f t="shared" si="39"/>
        <v>-0.23788551988494563</v>
      </c>
      <c r="BJ23">
        <f t="shared" si="40"/>
        <v>0.77509594119447867</v>
      </c>
      <c r="BK23">
        <f t="shared" si="41"/>
        <v>0.22490405880552133</v>
      </c>
      <c r="BL23">
        <v>208</v>
      </c>
      <c r="BM23">
        <v>290</v>
      </c>
      <c r="BN23">
        <v>775.67</v>
      </c>
      <c r="BO23">
        <v>245</v>
      </c>
      <c r="BP23">
        <v>8134.62</v>
      </c>
      <c r="BQ23">
        <v>776.29</v>
      </c>
      <c r="BR23">
        <v>-0.62</v>
      </c>
      <c r="BS23">
        <v>300</v>
      </c>
      <c r="BT23">
        <v>19.100000000000001</v>
      </c>
      <c r="BU23">
        <v>835.470108341681</v>
      </c>
      <c r="BV23">
        <v>3.2397052549494201</v>
      </c>
      <c r="BW23">
        <v>-48.140286859764402</v>
      </c>
      <c r="BX23">
        <v>2.3607927153580301</v>
      </c>
      <c r="BY23">
        <v>0.93691085154336895</v>
      </c>
      <c r="BZ23">
        <v>-5.3181343715239301E-3</v>
      </c>
      <c r="CA23">
        <v>290</v>
      </c>
      <c r="CB23">
        <v>767.25</v>
      </c>
      <c r="CC23">
        <v>615</v>
      </c>
      <c r="CD23">
        <v>8129.54</v>
      </c>
      <c r="CE23">
        <v>776.25</v>
      </c>
      <c r="CF23">
        <v>-9</v>
      </c>
      <c r="CT23">
        <f t="shared" si="42"/>
        <v>100.046066666667</v>
      </c>
      <c r="CU23">
        <f t="shared" si="43"/>
        <v>84.323408550042373</v>
      </c>
      <c r="CV23">
        <f t="shared" si="44"/>
        <v>0.84284581452852803</v>
      </c>
      <c r="CW23">
        <f t="shared" si="45"/>
        <v>0.16509242204005886</v>
      </c>
      <c r="CX23">
        <v>2</v>
      </c>
      <c r="CY23">
        <v>0.5</v>
      </c>
      <c r="CZ23" t="s">
        <v>346</v>
      </c>
      <c r="DA23">
        <v>2</v>
      </c>
      <c r="DB23">
        <v>1792219199.5999999</v>
      </c>
      <c r="DC23">
        <v>399.98633333333299</v>
      </c>
      <c r="DD23">
        <v>401.54849999999999</v>
      </c>
      <c r="DE23">
        <v>17.790516666666701</v>
      </c>
      <c r="DF23">
        <v>17.302849999999999</v>
      </c>
      <c r="DG23">
        <v>400.214</v>
      </c>
      <c r="DH23">
        <v>17.9373166666667</v>
      </c>
      <c r="DI23">
        <v>500.017333333333</v>
      </c>
      <c r="DJ23">
        <v>101.6795</v>
      </c>
      <c r="DK23">
        <v>9.9957749999999998E-2</v>
      </c>
      <c r="DL23">
        <v>25.588100000000001</v>
      </c>
      <c r="DM23">
        <v>25.013716666666699</v>
      </c>
      <c r="DN23">
        <v>999.9</v>
      </c>
      <c r="DO23">
        <v>0</v>
      </c>
      <c r="DP23">
        <v>0</v>
      </c>
      <c r="DQ23">
        <v>10002.08</v>
      </c>
      <c r="DR23">
        <v>0</v>
      </c>
      <c r="DS23">
        <v>7.73604</v>
      </c>
      <c r="DT23">
        <v>100.046066666667</v>
      </c>
      <c r="DU23">
        <v>0.90013116666666704</v>
      </c>
      <c r="DV23">
        <v>9.9868849999999995E-2</v>
      </c>
      <c r="DW23">
        <v>0</v>
      </c>
      <c r="DX23">
        <v>255.36633333333299</v>
      </c>
      <c r="DY23">
        <v>4.9999900000000004</v>
      </c>
      <c r="DZ23">
        <v>244.81233333333299</v>
      </c>
      <c r="EA23">
        <v>923.52449999999999</v>
      </c>
      <c r="EB23">
        <v>35.791333333333299</v>
      </c>
      <c r="EC23">
        <v>39.655999999999999</v>
      </c>
      <c r="ED23">
        <v>37.707999999999998</v>
      </c>
      <c r="EE23">
        <v>39.801833333333299</v>
      </c>
      <c r="EF23">
        <v>38.301666666666698</v>
      </c>
      <c r="EG23">
        <v>85.551666666666705</v>
      </c>
      <c r="EH23">
        <v>9.49</v>
      </c>
      <c r="EI23">
        <v>0</v>
      </c>
      <c r="EJ23">
        <v>128</v>
      </c>
      <c r="EK23">
        <v>0</v>
      </c>
      <c r="EL23">
        <v>255.20016000000001</v>
      </c>
      <c r="EM23">
        <v>1.4218461370045199</v>
      </c>
      <c r="EN23">
        <v>-0.66161537004781501</v>
      </c>
      <c r="EO23">
        <v>244.7954</v>
      </c>
      <c r="EP23">
        <v>15</v>
      </c>
      <c r="EQ23">
        <v>1792219155.0999999</v>
      </c>
      <c r="ER23" t="s">
        <v>369</v>
      </c>
      <c r="ES23">
        <v>1792219155.0999999</v>
      </c>
      <c r="ET23">
        <v>1792219146.0999999</v>
      </c>
      <c r="EU23">
        <v>54</v>
      </c>
      <c r="EV23">
        <v>-4.5999999999999999E-2</v>
      </c>
      <c r="EW23">
        <v>-2E-3</v>
      </c>
      <c r="EX23">
        <v>-0.22700000000000001</v>
      </c>
      <c r="EY23">
        <v>-0.154</v>
      </c>
      <c r="EZ23">
        <v>402</v>
      </c>
      <c r="FA23">
        <v>17</v>
      </c>
      <c r="FB23">
        <v>0.34</v>
      </c>
      <c r="FC23">
        <v>7.0000000000000007E-2</v>
      </c>
      <c r="FD23">
        <v>3.3619587635634001</v>
      </c>
      <c r="FE23">
        <v>-0.474894355647274</v>
      </c>
      <c r="FF23">
        <v>9.6756664687586105E-2</v>
      </c>
      <c r="FG23">
        <v>1</v>
      </c>
      <c r="FH23">
        <v>-1.5509010000000001</v>
      </c>
      <c r="FI23">
        <v>0.18442827067669099</v>
      </c>
      <c r="FJ23">
        <v>3.9822898802071197E-2</v>
      </c>
      <c r="FK23">
        <v>1</v>
      </c>
      <c r="FL23">
        <v>255.112588235294</v>
      </c>
      <c r="FM23">
        <v>0.53298700693993495</v>
      </c>
      <c r="FN23">
        <v>0.36246136651308403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-0.22700000000000001</v>
      </c>
      <c r="FV23">
        <v>-0.14680000000000001</v>
      </c>
      <c r="FW23">
        <v>-0.302328610853627</v>
      </c>
      <c r="FX23">
        <v>-6.1673298426602905E-5</v>
      </c>
      <c r="FY23">
        <v>6.1939807181674203E-7</v>
      </c>
      <c r="FZ23">
        <v>3.19222985850634E-12</v>
      </c>
      <c r="GA23">
        <v>-7.1809522277575893E-2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0.8</v>
      </c>
      <c r="GJ23">
        <v>0.9</v>
      </c>
      <c r="GK23">
        <v>1.0437000000000001</v>
      </c>
      <c r="GL23">
        <v>2.65991</v>
      </c>
      <c r="GM23">
        <v>1.65161</v>
      </c>
      <c r="GN23">
        <v>2.2692899999999998</v>
      </c>
      <c r="GO23">
        <v>1.5979000000000001</v>
      </c>
      <c r="GP23">
        <v>2.6440399999999999</v>
      </c>
      <c r="GQ23">
        <v>38.599499999999999</v>
      </c>
      <c r="GR23">
        <v>23.7898</v>
      </c>
      <c r="GS23">
        <v>18</v>
      </c>
      <c r="GT23">
        <v>505.26100000000002</v>
      </c>
      <c r="GU23">
        <v>525.62800000000004</v>
      </c>
      <c r="GV23">
        <v>23.019600000000001</v>
      </c>
      <c r="GW23">
        <v>30.212299999999999</v>
      </c>
      <c r="GX23">
        <v>30.0002</v>
      </c>
      <c r="GY23">
        <v>30.343299999999999</v>
      </c>
      <c r="GZ23">
        <v>30.398</v>
      </c>
      <c r="HA23">
        <v>20.876200000000001</v>
      </c>
      <c r="HB23">
        <v>19.5671</v>
      </c>
      <c r="HC23">
        <v>36.583799999999997</v>
      </c>
      <c r="HD23">
        <v>23.017800000000001</v>
      </c>
      <c r="HE23">
        <v>401.67</v>
      </c>
      <c r="HF23">
        <v>17.251100000000001</v>
      </c>
      <c r="HG23">
        <v>97.909700000000001</v>
      </c>
      <c r="HH23">
        <v>94.414299999999997</v>
      </c>
    </row>
    <row r="24" spans="1:216" x14ac:dyDescent="0.3">
      <c r="A24">
        <v>8</v>
      </c>
      <c r="B24">
        <v>1792219355.0999999</v>
      </c>
      <c r="C24">
        <v>938.09999990463302</v>
      </c>
      <c r="D24" t="s">
        <v>370</v>
      </c>
      <c r="E24" t="s">
        <v>371</v>
      </c>
      <c r="F24">
        <v>5</v>
      </c>
      <c r="G24">
        <v>1792219351.5999999</v>
      </c>
      <c r="H24">
        <f t="shared" si="0"/>
        <v>8.552699092763546E-4</v>
      </c>
      <c r="I24">
        <f t="shared" si="1"/>
        <v>0.8552699092763546</v>
      </c>
      <c r="J24">
        <f t="shared" si="2"/>
        <v>1.0501321049358223</v>
      </c>
      <c r="K24">
        <f t="shared" si="3"/>
        <v>399.97516666666701</v>
      </c>
      <c r="L24">
        <f t="shared" si="4"/>
        <v>364.1789912863058</v>
      </c>
      <c r="M24">
        <f t="shared" si="5"/>
        <v>37.065465185568165</v>
      </c>
      <c r="N24">
        <f t="shared" si="6"/>
        <v>40.708733809194456</v>
      </c>
      <c r="O24">
        <f t="shared" si="7"/>
        <v>6.2142414644317336E-2</v>
      </c>
      <c r="P24">
        <f t="shared" si="8"/>
        <v>3.0404155845798293</v>
      </c>
      <c r="Q24">
        <f t="shared" si="9"/>
        <v>6.1445338093060325E-2</v>
      </c>
      <c r="R24">
        <f t="shared" si="10"/>
        <v>3.8465314212423649E-2</v>
      </c>
      <c r="S24">
        <f t="shared" si="11"/>
        <v>8.2404560645405702</v>
      </c>
      <c r="T24">
        <f t="shared" si="12"/>
        <v>25.305568593838871</v>
      </c>
      <c r="U24">
        <f t="shared" si="13"/>
        <v>24.999183333333299</v>
      </c>
      <c r="V24">
        <f t="shared" si="14"/>
        <v>3.1795227781901048</v>
      </c>
      <c r="W24">
        <f t="shared" si="15"/>
        <v>54.959330389070161</v>
      </c>
      <c r="X24">
        <f t="shared" si="16"/>
        <v>1.7974903941278257</v>
      </c>
      <c r="Y24">
        <f t="shared" si="17"/>
        <v>3.2705827771244009</v>
      </c>
      <c r="Z24">
        <f t="shared" si="18"/>
        <v>1.382032384062279</v>
      </c>
      <c r="AA24">
        <f t="shared" si="19"/>
        <v>-37.717402999087234</v>
      </c>
      <c r="AB24">
        <f t="shared" si="20"/>
        <v>77.772149101044874</v>
      </c>
      <c r="AC24">
        <f t="shared" si="21"/>
        <v>5.4235625171656698</v>
      </c>
      <c r="AD24">
        <f t="shared" si="22"/>
        <v>53.718764683663878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54094.017192088031</v>
      </c>
      <c r="AJ24" t="s">
        <v>343</v>
      </c>
      <c r="AK24">
        <v>8116.66</v>
      </c>
      <c r="AL24">
        <v>203.59399999999999</v>
      </c>
      <c r="AM24">
        <v>714.04193576744501</v>
      </c>
      <c r="AN24">
        <f t="shared" si="26"/>
        <v>0.7148710883749716</v>
      </c>
      <c r="AO24">
        <v>-1.56088773586827</v>
      </c>
      <c r="AP24" t="s">
        <v>372</v>
      </c>
      <c r="AQ24">
        <v>8132.19</v>
      </c>
      <c r="AR24">
        <v>249.23869230769199</v>
      </c>
      <c r="AS24">
        <v>873.26384963552903</v>
      </c>
      <c r="AT24">
        <f t="shared" si="27"/>
        <v>0.71458947669514106</v>
      </c>
      <c r="AU24">
        <v>0.5</v>
      </c>
      <c r="AV24">
        <f t="shared" si="28"/>
        <v>42.131619183699783</v>
      </c>
      <c r="AW24">
        <f t="shared" si="29"/>
        <v>1.0501321049358223</v>
      </c>
      <c r="AX24">
        <f t="shared" si="30"/>
        <v>15.053405852399496</v>
      </c>
      <c r="AY24">
        <f t="shared" si="31"/>
        <v>6.197292891639599E-2</v>
      </c>
      <c r="AZ24">
        <f t="shared" si="32"/>
        <v>-0.18232967497113031</v>
      </c>
      <c r="BA24">
        <f t="shared" si="33"/>
        <v>214.75876298280286</v>
      </c>
      <c r="BB24" t="s">
        <v>345</v>
      </c>
      <c r="BC24">
        <v>0</v>
      </c>
      <c r="BD24">
        <f t="shared" si="34"/>
        <v>214.75876298280286</v>
      </c>
      <c r="BE24">
        <f t="shared" si="35"/>
        <v>0.75407345320382158</v>
      </c>
      <c r="BF24">
        <f t="shared" si="36"/>
        <v>0.94763908430813282</v>
      </c>
      <c r="BG24">
        <f t="shared" si="37"/>
        <v>-0.31890102159874284</v>
      </c>
      <c r="BH24">
        <f t="shared" si="38"/>
        <v>0.93184000693396252</v>
      </c>
      <c r="BI24">
        <f t="shared" si="39"/>
        <v>-0.31192586493409569</v>
      </c>
      <c r="BJ24">
        <f t="shared" si="40"/>
        <v>0.81654174805622581</v>
      </c>
      <c r="BK24">
        <f t="shared" si="41"/>
        <v>0.18345825194377419</v>
      </c>
      <c r="BL24">
        <v>209</v>
      </c>
      <c r="BM24">
        <v>290</v>
      </c>
      <c r="BN24">
        <v>822.44</v>
      </c>
      <c r="BO24">
        <v>265</v>
      </c>
      <c r="BP24">
        <v>8132.19</v>
      </c>
      <c r="BQ24">
        <v>822.35</v>
      </c>
      <c r="BR24">
        <v>0.09</v>
      </c>
      <c r="BS24">
        <v>300</v>
      </c>
      <c r="BT24">
        <v>19.100000000000001</v>
      </c>
      <c r="BU24">
        <v>873.26384963552903</v>
      </c>
      <c r="BV24">
        <v>2.6573714121398599</v>
      </c>
      <c r="BW24">
        <v>-41.405842498076403</v>
      </c>
      <c r="BX24">
        <v>1.9345575617079001</v>
      </c>
      <c r="BY24">
        <v>0.94239863926666301</v>
      </c>
      <c r="BZ24">
        <v>-5.3506349276974501E-3</v>
      </c>
      <c r="CA24">
        <v>290</v>
      </c>
      <c r="CB24">
        <v>814.6</v>
      </c>
      <c r="CC24">
        <v>635</v>
      </c>
      <c r="CD24">
        <v>8127.49</v>
      </c>
      <c r="CE24">
        <v>822.32</v>
      </c>
      <c r="CF24">
        <v>-7.72</v>
      </c>
      <c r="CT24">
        <f t="shared" si="42"/>
        <v>49.995600000000003</v>
      </c>
      <c r="CU24">
        <f t="shared" si="43"/>
        <v>42.131619183699783</v>
      </c>
      <c r="CV24">
        <f t="shared" si="44"/>
        <v>0.84270654184967841</v>
      </c>
      <c r="CW24">
        <f t="shared" si="45"/>
        <v>0.16482362576987913</v>
      </c>
      <c r="CX24">
        <v>2</v>
      </c>
      <c r="CY24">
        <v>0.5</v>
      </c>
      <c r="CZ24" t="s">
        <v>346</v>
      </c>
      <c r="DA24">
        <v>2</v>
      </c>
      <c r="DB24">
        <v>1792219351.5999999</v>
      </c>
      <c r="DC24">
        <v>399.97516666666701</v>
      </c>
      <c r="DD24">
        <v>400.53199999999998</v>
      </c>
      <c r="DE24">
        <v>17.660866666666699</v>
      </c>
      <c r="DF24">
        <v>17.324833333333299</v>
      </c>
      <c r="DG24">
        <v>400.20266666666703</v>
      </c>
      <c r="DH24">
        <v>17.809000000000001</v>
      </c>
      <c r="DI24">
        <v>500.04866666666697</v>
      </c>
      <c r="DJ24">
        <v>101.678166666667</v>
      </c>
      <c r="DK24">
        <v>9.9986583333333295E-2</v>
      </c>
      <c r="DL24">
        <v>25.473649999999999</v>
      </c>
      <c r="DM24">
        <v>24.999183333333299</v>
      </c>
      <c r="DN24">
        <v>999.9</v>
      </c>
      <c r="DO24">
        <v>0</v>
      </c>
      <c r="DP24">
        <v>0</v>
      </c>
      <c r="DQ24">
        <v>10010.5233333333</v>
      </c>
      <c r="DR24">
        <v>0</v>
      </c>
      <c r="DS24">
        <v>7.7002783333333298</v>
      </c>
      <c r="DT24">
        <v>49.995600000000003</v>
      </c>
      <c r="DU24">
        <v>0.89966166666666703</v>
      </c>
      <c r="DV24">
        <v>0.10033839999999999</v>
      </c>
      <c r="DW24">
        <v>0</v>
      </c>
      <c r="DX24">
        <v>249.186833333333</v>
      </c>
      <c r="DY24">
        <v>4.9999900000000004</v>
      </c>
      <c r="DZ24">
        <v>109.375166666667</v>
      </c>
      <c r="EA24">
        <v>437.13499999999999</v>
      </c>
      <c r="EB24">
        <v>34.811999999999998</v>
      </c>
      <c r="EC24">
        <v>38.25</v>
      </c>
      <c r="ED24">
        <v>36.6353333333333</v>
      </c>
      <c r="EE24">
        <v>37.9895</v>
      </c>
      <c r="EF24">
        <v>37.2603333333333</v>
      </c>
      <c r="EG24">
        <v>40.479999999999997</v>
      </c>
      <c r="EH24">
        <v>4.51</v>
      </c>
      <c r="EI24">
        <v>0</v>
      </c>
      <c r="EJ24">
        <v>150.69999980926499</v>
      </c>
      <c r="EK24">
        <v>0</v>
      </c>
      <c r="EL24">
        <v>249.23869230769199</v>
      </c>
      <c r="EM24">
        <v>-0.38338460231902299</v>
      </c>
      <c r="EN24">
        <v>-0.879829067063016</v>
      </c>
      <c r="EO24">
        <v>109.476423076923</v>
      </c>
      <c r="EP24">
        <v>15</v>
      </c>
      <c r="EQ24">
        <v>1792219273.0999999</v>
      </c>
      <c r="ER24" t="s">
        <v>373</v>
      </c>
      <c r="ES24">
        <v>1792219272.0999999</v>
      </c>
      <c r="ET24">
        <v>1792219273.0999999</v>
      </c>
      <c r="EU24">
        <v>55</v>
      </c>
      <c r="EV24">
        <v>0</v>
      </c>
      <c r="EW24">
        <v>1E-3</v>
      </c>
      <c r="EX24">
        <v>-0.22700000000000001</v>
      </c>
      <c r="EY24">
        <v>-0.153</v>
      </c>
      <c r="EZ24">
        <v>401</v>
      </c>
      <c r="FA24">
        <v>17</v>
      </c>
      <c r="FB24">
        <v>0.28999999999999998</v>
      </c>
      <c r="FC24">
        <v>0.09</v>
      </c>
      <c r="FD24">
        <v>0.99993964706884397</v>
      </c>
      <c r="FE24">
        <v>-2.4135926556037E-2</v>
      </c>
      <c r="FF24">
        <v>7.97731532649643E-2</v>
      </c>
      <c r="FG24">
        <v>1</v>
      </c>
      <c r="FH24">
        <v>-0.54284054999999998</v>
      </c>
      <c r="FI24">
        <v>2.9236105263157699E-2</v>
      </c>
      <c r="FJ24">
        <v>3.2961080703573703E-2</v>
      </c>
      <c r="FK24">
        <v>1</v>
      </c>
      <c r="FL24">
        <v>249.177588235294</v>
      </c>
      <c r="FM24">
        <v>0.85136745403101399</v>
      </c>
      <c r="FN24">
        <v>0.30016780773888302</v>
      </c>
      <c r="FO24">
        <v>1</v>
      </c>
      <c r="FP24">
        <v>3</v>
      </c>
      <c r="FQ24">
        <v>3</v>
      </c>
      <c r="FR24" t="s">
        <v>348</v>
      </c>
      <c r="FS24">
        <v>100</v>
      </c>
      <c r="FT24">
        <v>100</v>
      </c>
      <c r="FU24">
        <v>-0.22800000000000001</v>
      </c>
      <c r="FV24">
        <v>-0.1482</v>
      </c>
      <c r="FW24">
        <v>-0.30223260030567101</v>
      </c>
      <c r="FX24">
        <v>-6.1673298426602905E-5</v>
      </c>
      <c r="FY24">
        <v>6.1939807181674203E-7</v>
      </c>
      <c r="FZ24">
        <v>3.19222985850634E-12</v>
      </c>
      <c r="GA24">
        <v>-7.1267523431195398E-2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1.4</v>
      </c>
      <c r="GJ24">
        <v>1.4</v>
      </c>
      <c r="GK24">
        <v>1.0412600000000001</v>
      </c>
      <c r="GL24">
        <v>2.6440399999999999</v>
      </c>
      <c r="GM24">
        <v>1.65161</v>
      </c>
      <c r="GN24">
        <v>2.2705099999999998</v>
      </c>
      <c r="GO24">
        <v>1.5979000000000001</v>
      </c>
      <c r="GP24">
        <v>2.6721200000000001</v>
      </c>
      <c r="GQ24">
        <v>38.648699999999998</v>
      </c>
      <c r="GR24">
        <v>23.7898</v>
      </c>
      <c r="GS24">
        <v>18</v>
      </c>
      <c r="GT24">
        <v>505.178</v>
      </c>
      <c r="GU24">
        <v>525.53200000000004</v>
      </c>
      <c r="GV24">
        <v>23.020700000000001</v>
      </c>
      <c r="GW24">
        <v>30.235900000000001</v>
      </c>
      <c r="GX24">
        <v>30.0001</v>
      </c>
      <c r="GY24">
        <v>30.367899999999999</v>
      </c>
      <c r="GZ24">
        <v>30.422499999999999</v>
      </c>
      <c r="HA24">
        <v>20.838799999999999</v>
      </c>
      <c r="HB24">
        <v>20.3047</v>
      </c>
      <c r="HC24">
        <v>37.4925</v>
      </c>
      <c r="HD24">
        <v>23.0244</v>
      </c>
      <c r="HE24">
        <v>400.52800000000002</v>
      </c>
      <c r="HF24">
        <v>17.360399999999998</v>
      </c>
      <c r="HG24">
        <v>97.903599999999997</v>
      </c>
      <c r="HH24">
        <v>94.407899999999998</v>
      </c>
    </row>
    <row r="25" spans="1:216" x14ac:dyDescent="0.3">
      <c r="A25">
        <v>9</v>
      </c>
      <c r="B25">
        <v>1792219538.0999999</v>
      </c>
      <c r="C25">
        <v>1121.0999999046301</v>
      </c>
      <c r="D25" t="s">
        <v>374</v>
      </c>
      <c r="E25" t="s">
        <v>375</v>
      </c>
      <c r="F25">
        <v>5</v>
      </c>
      <c r="G25">
        <v>1792219534.5999999</v>
      </c>
      <c r="H25">
        <f t="shared" si="0"/>
        <v>4.2614797563781726E-4</v>
      </c>
      <c r="I25">
        <f t="shared" si="1"/>
        <v>0.42614797563781726</v>
      </c>
      <c r="J25">
        <f t="shared" si="2"/>
        <v>-2.0774665605766249</v>
      </c>
      <c r="K25">
        <f t="shared" si="3"/>
        <v>399.95600000000002</v>
      </c>
      <c r="L25">
        <f t="shared" si="4"/>
        <v>498.94688043608244</v>
      </c>
      <c r="M25">
        <f t="shared" si="5"/>
        <v>50.781997928845271</v>
      </c>
      <c r="N25">
        <f t="shared" si="6"/>
        <v>40.706867925254272</v>
      </c>
      <c r="O25">
        <f t="shared" si="7"/>
        <v>3.0628624761018821E-2</v>
      </c>
      <c r="P25">
        <f t="shared" si="8"/>
        <v>3.0391438097892101</v>
      </c>
      <c r="Q25">
        <f t="shared" si="9"/>
        <v>3.0458168161917581E-2</v>
      </c>
      <c r="R25">
        <f t="shared" si="10"/>
        <v>1.9051590721005228E-2</v>
      </c>
      <c r="S25">
        <f t="shared" si="11"/>
        <v>6.3839361601596015E-4</v>
      </c>
      <c r="T25">
        <f t="shared" si="12"/>
        <v>25.325047953814437</v>
      </c>
      <c r="U25">
        <f t="shared" si="13"/>
        <v>24.996600000000001</v>
      </c>
      <c r="V25">
        <f t="shared" si="14"/>
        <v>3.1790331108029855</v>
      </c>
      <c r="W25">
        <f t="shared" si="15"/>
        <v>54.858545541905087</v>
      </c>
      <c r="X25">
        <f t="shared" si="16"/>
        <v>1.7897861265938877</v>
      </c>
      <c r="Y25">
        <f t="shared" si="17"/>
        <v>3.2625475373325643</v>
      </c>
      <c r="Z25">
        <f t="shared" si="18"/>
        <v>1.3892469842090978</v>
      </c>
      <c r="AA25">
        <f t="shared" si="19"/>
        <v>-18.793125725627743</v>
      </c>
      <c r="AB25">
        <f t="shared" si="20"/>
        <v>71.379649775607319</v>
      </c>
      <c r="AC25">
        <f t="shared" si="21"/>
        <v>4.9787525540817397</v>
      </c>
      <c r="AD25">
        <f t="shared" si="22"/>
        <v>57.565914997677332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54061.670234287725</v>
      </c>
      <c r="AJ25" t="s">
        <v>376</v>
      </c>
      <c r="AK25">
        <v>8129.35</v>
      </c>
      <c r="AL25">
        <v>216.74199999999999</v>
      </c>
      <c r="AM25">
        <v>971.77600251490696</v>
      </c>
      <c r="AN25">
        <f t="shared" si="26"/>
        <v>0.77696300439701882</v>
      </c>
      <c r="AO25">
        <v>-2.0774665605774798</v>
      </c>
      <c r="AP25" t="s">
        <v>345</v>
      </c>
      <c r="AQ25" t="s">
        <v>345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-2.0774665605766249</v>
      </c>
      <c r="AX25" t="e">
        <f t="shared" si="30"/>
        <v>#DIV/0!</v>
      </c>
      <c r="AY25">
        <f t="shared" si="31"/>
        <v>2.5442865409011185E-10</v>
      </c>
      <c r="AZ25" t="e">
        <f t="shared" si="32"/>
        <v>#DIV/0!</v>
      </c>
      <c r="BA25" t="e">
        <f t="shared" si="33"/>
        <v>#DIV/0!</v>
      </c>
      <c r="BB25" t="s">
        <v>345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1.287062568411574</v>
      </c>
      <c r="BJ25" t="e">
        <f t="shared" si="40"/>
        <v>#DIV/0!</v>
      </c>
      <c r="BK25" t="e">
        <f t="shared" si="41"/>
        <v>#DIV/0!</v>
      </c>
      <c r="BL25">
        <v>210</v>
      </c>
      <c r="BM25">
        <v>290</v>
      </c>
      <c r="BN25">
        <v>928.47</v>
      </c>
      <c r="BO25">
        <v>195</v>
      </c>
      <c r="BP25">
        <v>8129.35</v>
      </c>
      <c r="BQ25">
        <v>924.4</v>
      </c>
      <c r="BR25">
        <v>4.07</v>
      </c>
      <c r="BS25">
        <v>300</v>
      </c>
      <c r="BT25">
        <v>19.100000000000001</v>
      </c>
      <c r="BU25">
        <v>971.77600251490696</v>
      </c>
      <c r="BV25">
        <v>2.3644786115222498</v>
      </c>
      <c r="BW25">
        <v>-38.516174137813799</v>
      </c>
      <c r="BX25">
        <v>1.7189219942173399</v>
      </c>
      <c r="BY25">
        <v>0.94717790245990996</v>
      </c>
      <c r="BZ25">
        <v>-5.3772482758620696E-3</v>
      </c>
      <c r="CA25">
        <v>290</v>
      </c>
      <c r="CB25">
        <v>912.78</v>
      </c>
      <c r="CC25">
        <v>625</v>
      </c>
      <c r="CD25">
        <v>8121.97</v>
      </c>
      <c r="CE25">
        <v>924.35</v>
      </c>
      <c r="CF25">
        <v>-11.57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346</v>
      </c>
      <c r="DA25">
        <v>2</v>
      </c>
      <c r="DB25">
        <v>1792219534.5999999</v>
      </c>
      <c r="DC25">
        <v>399.95600000000002</v>
      </c>
      <c r="DD25">
        <v>399.19316666666703</v>
      </c>
      <c r="DE25">
        <v>17.5851333333333</v>
      </c>
      <c r="DF25">
        <v>17.417666666666701</v>
      </c>
      <c r="DG25">
        <v>400.14733333333299</v>
      </c>
      <c r="DH25">
        <v>17.734666666666701</v>
      </c>
      <c r="DI25">
        <v>499.98500000000001</v>
      </c>
      <c r="DJ25">
        <v>101.6785</v>
      </c>
      <c r="DK25">
        <v>9.9865433333333406E-2</v>
      </c>
      <c r="DL25">
        <v>25.43225</v>
      </c>
      <c r="DM25">
        <v>24.996600000000001</v>
      </c>
      <c r="DN25">
        <v>999.9</v>
      </c>
      <c r="DO25">
        <v>0</v>
      </c>
      <c r="DP25">
        <v>0</v>
      </c>
      <c r="DQ25">
        <v>10002.799999999999</v>
      </c>
      <c r="DR25">
        <v>0</v>
      </c>
      <c r="DS25">
        <v>7.67957</v>
      </c>
      <c r="DT25">
        <v>1.9999900000000001E-2</v>
      </c>
      <c r="DU25">
        <v>0</v>
      </c>
      <c r="DV25">
        <v>0</v>
      </c>
      <c r="DW25">
        <v>0</v>
      </c>
      <c r="DX25">
        <v>212.11250000000001</v>
      </c>
      <c r="DY25">
        <v>1.9999900000000001E-2</v>
      </c>
      <c r="DZ25">
        <v>-11.4166666666667</v>
      </c>
      <c r="EA25">
        <v>3.0874999999999999</v>
      </c>
      <c r="EB25">
        <v>35.125</v>
      </c>
      <c r="EC25">
        <v>40.666333333333299</v>
      </c>
      <c r="ED25">
        <v>37.676666666666698</v>
      </c>
      <c r="EE25">
        <v>40.905999999999999</v>
      </c>
      <c r="EF25">
        <v>38.207999999999998</v>
      </c>
      <c r="EG25">
        <v>0</v>
      </c>
      <c r="EH25">
        <v>0</v>
      </c>
      <c r="EI25">
        <v>0</v>
      </c>
      <c r="EJ25">
        <v>181.59999990463299</v>
      </c>
      <c r="EK25">
        <v>0</v>
      </c>
      <c r="EL25">
        <v>216.74199999999999</v>
      </c>
      <c r="EM25">
        <v>6.7538455843800804</v>
      </c>
      <c r="EN25">
        <v>19.575000098958999</v>
      </c>
      <c r="EO25">
        <v>-14.552</v>
      </c>
      <c r="EP25">
        <v>15</v>
      </c>
      <c r="EQ25">
        <v>1792219422.0999999</v>
      </c>
      <c r="ER25" t="s">
        <v>377</v>
      </c>
      <c r="ES25">
        <v>1792219422.0999999</v>
      </c>
      <c r="ET25">
        <v>1792219421.0999999</v>
      </c>
      <c r="EU25">
        <v>56</v>
      </c>
      <c r="EV25">
        <v>3.5999999999999997E-2</v>
      </c>
      <c r="EW25">
        <v>0</v>
      </c>
      <c r="EX25">
        <v>-0.191</v>
      </c>
      <c r="EY25">
        <v>-0.152</v>
      </c>
      <c r="EZ25">
        <v>400</v>
      </c>
      <c r="FA25">
        <v>17</v>
      </c>
      <c r="FB25">
        <v>0.34</v>
      </c>
      <c r="FC25">
        <v>0.16</v>
      </c>
      <c r="FD25">
        <v>-2.2092907992284401</v>
      </c>
      <c r="FE25">
        <v>0.70743693201802205</v>
      </c>
      <c r="FF25">
        <v>0.103755790785552</v>
      </c>
      <c r="FG25">
        <v>0</v>
      </c>
      <c r="FH25">
        <v>0.80061990476190503</v>
      </c>
      <c r="FI25">
        <v>-0.19893397402597399</v>
      </c>
      <c r="FJ25">
        <v>3.8112485277018202E-2</v>
      </c>
      <c r="FK25">
        <v>1</v>
      </c>
      <c r="FL25">
        <v>216.94191176470599</v>
      </c>
      <c r="FM25">
        <v>-7.3945763654620897</v>
      </c>
      <c r="FN25">
        <v>8.7609715260608994</v>
      </c>
      <c r="FO25">
        <v>0</v>
      </c>
      <c r="FP25">
        <v>1</v>
      </c>
      <c r="FQ25">
        <v>3</v>
      </c>
      <c r="FR25" t="s">
        <v>378</v>
      </c>
      <c r="FS25">
        <v>100</v>
      </c>
      <c r="FT25">
        <v>100</v>
      </c>
      <c r="FU25">
        <v>-0.192</v>
      </c>
      <c r="FV25">
        <v>-0.14929999999999999</v>
      </c>
      <c r="FW25">
        <v>-0.26602693862772298</v>
      </c>
      <c r="FX25">
        <v>-6.1673298426602905E-5</v>
      </c>
      <c r="FY25">
        <v>6.1939807181674203E-7</v>
      </c>
      <c r="FZ25">
        <v>3.19222985850634E-12</v>
      </c>
      <c r="GA25">
        <v>-7.15437496289415E-2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1.9</v>
      </c>
      <c r="GJ25">
        <v>1.9</v>
      </c>
      <c r="GK25">
        <v>1.0388200000000001</v>
      </c>
      <c r="GL25">
        <v>2.65869</v>
      </c>
      <c r="GM25">
        <v>1.65161</v>
      </c>
      <c r="GN25">
        <v>2.2705099999999998</v>
      </c>
      <c r="GO25">
        <v>1.5979000000000001</v>
      </c>
      <c r="GP25">
        <v>2.48169</v>
      </c>
      <c r="GQ25">
        <v>38.697899999999997</v>
      </c>
      <c r="GR25">
        <v>23.7898</v>
      </c>
      <c r="GS25">
        <v>18</v>
      </c>
      <c r="GT25">
        <v>505.28</v>
      </c>
      <c r="GU25">
        <v>525.18499999999995</v>
      </c>
      <c r="GV25">
        <v>23.174499999999998</v>
      </c>
      <c r="GW25">
        <v>30.254300000000001</v>
      </c>
      <c r="GX25">
        <v>30.0001</v>
      </c>
      <c r="GY25">
        <v>30.3904</v>
      </c>
      <c r="GZ25">
        <v>30.447800000000001</v>
      </c>
      <c r="HA25">
        <v>20.7852</v>
      </c>
      <c r="HB25">
        <v>20.517099999999999</v>
      </c>
      <c r="HC25">
        <v>38.264699999999998</v>
      </c>
      <c r="HD25">
        <v>23.177499999999998</v>
      </c>
      <c r="HE25">
        <v>399.24200000000002</v>
      </c>
      <c r="HF25">
        <v>17.411200000000001</v>
      </c>
      <c r="HG25">
        <v>97.901799999999994</v>
      </c>
      <c r="HH25">
        <v>94.403199999999998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2026-10-17T15:47:10Z</dcterms:created>
  <dcterms:modified xsi:type="dcterms:W3CDTF">2026-10-17T10:10:46Z</dcterms:modified>
</cp:coreProperties>
</file>