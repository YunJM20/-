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6 lettuce yun/"/>
    </mc:Choice>
  </mc:AlternateContent>
  <xr:revisionPtr revIDLastSave="0" documentId="11_ACE0710001DB50D435FFF5EC9529DB9604E008C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X28" i="1" s="1"/>
  <c r="AN28" i="1"/>
  <c r="BA28" i="1" s="1"/>
  <c r="BD28" i="1" s="1"/>
  <c r="AI28" i="1"/>
  <c r="AG28" i="1"/>
  <c r="AH28" i="1" s="1"/>
  <c r="Y28" i="1"/>
  <c r="X28" i="1"/>
  <c r="W28" i="1"/>
  <c r="P28" i="1"/>
  <c r="N28" i="1"/>
  <c r="K28" i="1"/>
  <c r="J28" i="1"/>
  <c r="AW28" i="1" s="1"/>
  <c r="AY28" i="1" s="1"/>
  <c r="I28" i="1"/>
  <c r="H28" i="1" s="1"/>
  <c r="CW27" i="1"/>
  <c r="CV27" i="1"/>
  <c r="CT27" i="1"/>
  <c r="BI27" i="1"/>
  <c r="BH27" i="1"/>
  <c r="AZ27" i="1"/>
  <c r="AT27" i="1"/>
  <c r="AN27" i="1"/>
  <c r="BA27" i="1" s="1"/>
  <c r="BD27" i="1" s="1"/>
  <c r="AI27" i="1"/>
  <c r="AG27" i="1" s="1"/>
  <c r="Y27" i="1"/>
  <c r="X27" i="1"/>
  <c r="W27" i="1"/>
  <c r="P27" i="1"/>
  <c r="CW26" i="1"/>
  <c r="CV26" i="1"/>
  <c r="CT26" i="1"/>
  <c r="CU26" i="1" s="1"/>
  <c r="AV26" i="1" s="1"/>
  <c r="BI26" i="1"/>
  <c r="BH26" i="1"/>
  <c r="AZ26" i="1"/>
  <c r="AT26" i="1"/>
  <c r="AX26" i="1" s="1"/>
  <c r="AN26" i="1"/>
  <c r="BA26" i="1" s="1"/>
  <c r="BD26" i="1" s="1"/>
  <c r="AI26" i="1"/>
  <c r="AG26" i="1"/>
  <c r="AH26" i="1" s="1"/>
  <c r="Y26" i="1"/>
  <c r="W26" i="1" s="1"/>
  <c r="X26" i="1"/>
  <c r="S26" i="1"/>
  <c r="P26" i="1"/>
  <c r="N26" i="1"/>
  <c r="K26" i="1"/>
  <c r="J26" i="1"/>
  <c r="AW26" i="1" s="1"/>
  <c r="AY26" i="1" s="1"/>
  <c r="I26" i="1"/>
  <c r="H26" i="1" s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 s="1"/>
  <c r="S25" i="1"/>
  <c r="P25" i="1"/>
  <c r="CW24" i="1"/>
  <c r="CV24" i="1"/>
  <c r="CT24" i="1"/>
  <c r="CU24" i="1" s="1"/>
  <c r="AV24" i="1" s="1"/>
  <c r="BI24" i="1"/>
  <c r="BH24" i="1"/>
  <c r="AZ24" i="1"/>
  <c r="AT24" i="1"/>
  <c r="AX24" i="1" s="1"/>
  <c r="AN24" i="1"/>
  <c r="BA24" i="1" s="1"/>
  <c r="BD24" i="1" s="1"/>
  <c r="AI24" i="1"/>
  <c r="AG24" i="1" s="1"/>
  <c r="Y24" i="1"/>
  <c r="X24" i="1"/>
  <c r="W24" i="1" s="1"/>
  <c r="S24" i="1"/>
  <c r="P24" i="1"/>
  <c r="CW23" i="1"/>
  <c r="CV23" i="1"/>
  <c r="CT23" i="1"/>
  <c r="CU23" i="1" s="1"/>
  <c r="AV23" i="1" s="1"/>
  <c r="BI23" i="1"/>
  <c r="BH23" i="1"/>
  <c r="AZ23" i="1"/>
  <c r="AT23" i="1"/>
  <c r="AX23" i="1" s="1"/>
  <c r="AN23" i="1"/>
  <c r="BA23" i="1" s="1"/>
  <c r="BD23" i="1" s="1"/>
  <c r="AI23" i="1"/>
  <c r="AG23" i="1" s="1"/>
  <c r="Y23" i="1"/>
  <c r="X23" i="1"/>
  <c r="W23" i="1" s="1"/>
  <c r="S23" i="1"/>
  <c r="P23" i="1"/>
  <c r="CW22" i="1"/>
  <c r="CV22" i="1"/>
  <c r="CT22" i="1"/>
  <c r="CU22" i="1" s="1"/>
  <c r="AV22" i="1" s="1"/>
  <c r="BI22" i="1"/>
  <c r="BH22" i="1"/>
  <c r="AZ22" i="1"/>
  <c r="AT22" i="1"/>
  <c r="AX22" i="1" s="1"/>
  <c r="AN22" i="1"/>
  <c r="BA22" i="1" s="1"/>
  <c r="BD22" i="1" s="1"/>
  <c r="AI22" i="1"/>
  <c r="AG22" i="1" s="1"/>
  <c r="Y22" i="1"/>
  <c r="X22" i="1"/>
  <c r="W22" i="1" s="1"/>
  <c r="S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X21" i="1"/>
  <c r="W21" i="1" s="1"/>
  <c r="S21" i="1"/>
  <c r="P21" i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 s="1"/>
  <c r="Y20" i="1"/>
  <c r="X20" i="1"/>
  <c r="S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 s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 s="1"/>
  <c r="Y18" i="1"/>
  <c r="X18" i="1"/>
  <c r="S18" i="1"/>
  <c r="P18" i="1"/>
  <c r="CW17" i="1"/>
  <c r="CV17" i="1"/>
  <c r="CT17" i="1"/>
  <c r="CU17" i="1" s="1"/>
  <c r="AV17" i="1" s="1"/>
  <c r="BI17" i="1"/>
  <c r="BH17" i="1"/>
  <c r="AZ17" i="1"/>
  <c r="AT17" i="1"/>
  <c r="AX17" i="1" s="1"/>
  <c r="AN17" i="1"/>
  <c r="BA17" i="1" s="1"/>
  <c r="BD17" i="1" s="1"/>
  <c r="AI17" i="1"/>
  <c r="AG17" i="1" s="1"/>
  <c r="Y17" i="1"/>
  <c r="X17" i="1"/>
  <c r="S17" i="1"/>
  <c r="P17" i="1"/>
  <c r="CU25" i="1" l="1"/>
  <c r="AV25" i="1" s="1"/>
  <c r="AX25" i="1" s="1"/>
  <c r="W20" i="1"/>
  <c r="CU21" i="1"/>
  <c r="AV21" i="1" s="1"/>
  <c r="AX21" i="1" s="1"/>
  <c r="W18" i="1"/>
  <c r="W17" i="1"/>
  <c r="CU28" i="1"/>
  <c r="AV28" i="1" s="1"/>
  <c r="S28" i="1"/>
  <c r="I20" i="1"/>
  <c r="H20" i="1" s="1"/>
  <c r="J20" i="1"/>
  <c r="AW20" i="1" s="1"/>
  <c r="AY20" i="1" s="1"/>
  <c r="N20" i="1"/>
  <c r="K20" i="1"/>
  <c r="AH20" i="1"/>
  <c r="BE28" i="1"/>
  <c r="BF28" i="1"/>
  <c r="BJ28" i="1" s="1"/>
  <c r="BK28" i="1" s="1"/>
  <c r="BG28" i="1"/>
  <c r="T28" i="1"/>
  <c r="U28" i="1" s="1"/>
  <c r="AA28" i="1"/>
  <c r="Q28" i="1"/>
  <c r="O28" i="1" s="1"/>
  <c r="R28" i="1" s="1"/>
  <c r="L28" i="1" s="1"/>
  <c r="M28" i="1" s="1"/>
  <c r="CU27" i="1"/>
  <c r="AV27" i="1" s="1"/>
  <c r="AX27" i="1" s="1"/>
  <c r="S27" i="1"/>
  <c r="BE27" i="1"/>
  <c r="BF27" i="1"/>
  <c r="BJ27" i="1" s="1"/>
  <c r="BK27" i="1" s="1"/>
  <c r="BG27" i="1"/>
  <c r="AH27" i="1"/>
  <c r="I27" i="1"/>
  <c r="H27" i="1" s="1"/>
  <c r="J27" i="1"/>
  <c r="AW27" i="1" s="1"/>
  <c r="K27" i="1"/>
  <c r="N27" i="1"/>
  <c r="BE26" i="1"/>
  <c r="BF26" i="1"/>
  <c r="BJ26" i="1" s="1"/>
  <c r="BK26" i="1" s="1"/>
  <c r="BG26" i="1"/>
  <c r="T26" i="1"/>
  <c r="U26" i="1" s="1"/>
  <c r="Q26" i="1"/>
  <c r="O26" i="1" s="1"/>
  <c r="R26" i="1" s="1"/>
  <c r="L26" i="1" s="1"/>
  <c r="M26" i="1" s="1"/>
  <c r="AA26" i="1"/>
  <c r="BF25" i="1"/>
  <c r="BJ25" i="1" s="1"/>
  <c r="BK25" i="1" s="1"/>
  <c r="BG25" i="1"/>
  <c r="BE25" i="1"/>
  <c r="I25" i="1"/>
  <c r="H25" i="1" s="1"/>
  <c r="J25" i="1"/>
  <c r="AW25" i="1" s="1"/>
  <c r="AY25" i="1" s="1"/>
  <c r="N25" i="1"/>
  <c r="AH25" i="1"/>
  <c r="K25" i="1"/>
  <c r="T25" i="1"/>
  <c r="U25" i="1" s="1"/>
  <c r="BG24" i="1"/>
  <c r="BF24" i="1"/>
  <c r="BJ24" i="1" s="1"/>
  <c r="BK24" i="1" s="1"/>
  <c r="BE24" i="1"/>
  <c r="AH24" i="1"/>
  <c r="I24" i="1"/>
  <c r="H24" i="1" s="1"/>
  <c r="K24" i="1"/>
  <c r="J24" i="1"/>
  <c r="AW24" i="1" s="1"/>
  <c r="AY24" i="1" s="1"/>
  <c r="N24" i="1"/>
  <c r="T24" i="1"/>
  <c r="U24" i="1" s="1"/>
  <c r="BF23" i="1"/>
  <c r="BJ23" i="1" s="1"/>
  <c r="BK23" i="1" s="1"/>
  <c r="BG23" i="1"/>
  <c r="BE23" i="1"/>
  <c r="I23" i="1"/>
  <c r="H23" i="1" s="1"/>
  <c r="J23" i="1"/>
  <c r="AW23" i="1" s="1"/>
  <c r="AY23" i="1" s="1"/>
  <c r="K23" i="1"/>
  <c r="N23" i="1"/>
  <c r="AH23" i="1"/>
  <c r="T23" i="1"/>
  <c r="U23" i="1" s="1"/>
  <c r="BF22" i="1"/>
  <c r="BJ22" i="1" s="1"/>
  <c r="BK22" i="1" s="1"/>
  <c r="BG22" i="1"/>
  <c r="BE22" i="1"/>
  <c r="K22" i="1"/>
  <c r="J22" i="1"/>
  <c r="AW22" i="1" s="1"/>
  <c r="AY22" i="1" s="1"/>
  <c r="N22" i="1"/>
  <c r="I22" i="1"/>
  <c r="H22" i="1" s="1"/>
  <c r="AH22" i="1"/>
  <c r="T22" i="1"/>
  <c r="U22" i="1" s="1"/>
  <c r="BF21" i="1"/>
  <c r="BJ21" i="1" s="1"/>
  <c r="BK21" i="1" s="1"/>
  <c r="BG21" i="1"/>
  <c r="BE21" i="1"/>
  <c r="I21" i="1"/>
  <c r="H21" i="1" s="1"/>
  <c r="K21" i="1"/>
  <c r="AH21" i="1"/>
  <c r="J21" i="1"/>
  <c r="AW21" i="1" s="1"/>
  <c r="AY21" i="1" s="1"/>
  <c r="N21" i="1"/>
  <c r="T21" i="1"/>
  <c r="U21" i="1" s="1"/>
  <c r="BG20" i="1"/>
  <c r="BE20" i="1"/>
  <c r="BF20" i="1"/>
  <c r="BJ20" i="1" s="1"/>
  <c r="BK20" i="1" s="1"/>
  <c r="T20" i="1"/>
  <c r="U20" i="1" s="1"/>
  <c r="Q20" i="1" s="1"/>
  <c r="O20" i="1" s="1"/>
  <c r="R20" i="1" s="1"/>
  <c r="L20" i="1" s="1"/>
  <c r="M20" i="1" s="1"/>
  <c r="AA20" i="1"/>
  <c r="CU19" i="1"/>
  <c r="AV19" i="1" s="1"/>
  <c r="AX19" i="1" s="1"/>
  <c r="S19" i="1"/>
  <c r="BF19" i="1"/>
  <c r="BJ19" i="1" s="1"/>
  <c r="BK19" i="1" s="1"/>
  <c r="BG19" i="1"/>
  <c r="BE19" i="1"/>
  <c r="AH19" i="1"/>
  <c r="J19" i="1"/>
  <c r="AW19" i="1" s="1"/>
  <c r="AY19" i="1" s="1"/>
  <c r="I19" i="1"/>
  <c r="H19" i="1" s="1"/>
  <c r="K19" i="1"/>
  <c r="N19" i="1"/>
  <c r="BG18" i="1"/>
  <c r="BF18" i="1"/>
  <c r="BJ18" i="1" s="1"/>
  <c r="BK18" i="1" s="1"/>
  <c r="BE18" i="1"/>
  <c r="J18" i="1"/>
  <c r="AW18" i="1" s="1"/>
  <c r="AY18" i="1" s="1"/>
  <c r="I18" i="1"/>
  <c r="H18" i="1" s="1"/>
  <c r="K18" i="1"/>
  <c r="N18" i="1"/>
  <c r="AH18" i="1"/>
  <c r="T18" i="1"/>
  <c r="U18" i="1" s="1"/>
  <c r="BF17" i="1"/>
  <c r="BJ17" i="1" s="1"/>
  <c r="BK17" i="1" s="1"/>
  <c r="BG17" i="1"/>
  <c r="BE17" i="1"/>
  <c r="AH17" i="1"/>
  <c r="I17" i="1"/>
  <c r="H17" i="1" s="1"/>
  <c r="K17" i="1"/>
  <c r="J17" i="1"/>
  <c r="AW17" i="1" s="1"/>
  <c r="AY17" i="1" s="1"/>
  <c r="N17" i="1"/>
  <c r="T17" i="1"/>
  <c r="U17" i="1" s="1"/>
  <c r="AY27" i="1" l="1"/>
  <c r="AB28" i="1"/>
  <c r="V28" i="1"/>
  <c r="Z28" i="1" s="1"/>
  <c r="AC28" i="1"/>
  <c r="AD28" i="1" s="1"/>
  <c r="T27" i="1"/>
  <c r="U27" i="1" s="1"/>
  <c r="Q27" i="1"/>
  <c r="O27" i="1" s="1"/>
  <c r="R27" i="1" s="1"/>
  <c r="L27" i="1" s="1"/>
  <c r="M27" i="1" s="1"/>
  <c r="AA27" i="1"/>
  <c r="AB26" i="1"/>
  <c r="V26" i="1"/>
  <c r="Z26" i="1" s="1"/>
  <c r="AC26" i="1"/>
  <c r="AD26" i="1" s="1"/>
  <c r="AA25" i="1"/>
  <c r="Q25" i="1"/>
  <c r="O25" i="1" s="1"/>
  <c r="R25" i="1" s="1"/>
  <c r="L25" i="1" s="1"/>
  <c r="M25" i="1" s="1"/>
  <c r="AB25" i="1"/>
  <c r="V25" i="1"/>
  <c r="Z25" i="1" s="1"/>
  <c r="AC25" i="1"/>
  <c r="AD25" i="1" s="1"/>
  <c r="Q24" i="1"/>
  <c r="O24" i="1" s="1"/>
  <c r="R24" i="1" s="1"/>
  <c r="L24" i="1" s="1"/>
  <c r="M24" i="1" s="1"/>
  <c r="AA24" i="1"/>
  <c r="AB24" i="1"/>
  <c r="V24" i="1"/>
  <c r="Z24" i="1" s="1"/>
  <c r="AC24" i="1"/>
  <c r="AD24" i="1" s="1"/>
  <c r="Q23" i="1"/>
  <c r="O23" i="1" s="1"/>
  <c r="R23" i="1" s="1"/>
  <c r="L23" i="1" s="1"/>
  <c r="M23" i="1" s="1"/>
  <c r="AA23" i="1"/>
  <c r="AB23" i="1"/>
  <c r="V23" i="1"/>
  <c r="Z23" i="1" s="1"/>
  <c r="AC23" i="1"/>
  <c r="AD23" i="1" s="1"/>
  <c r="Q22" i="1"/>
  <c r="O22" i="1" s="1"/>
  <c r="R22" i="1" s="1"/>
  <c r="L22" i="1" s="1"/>
  <c r="M22" i="1" s="1"/>
  <c r="AA22" i="1"/>
  <c r="AB22" i="1"/>
  <c r="AC22" i="1"/>
  <c r="AD22" i="1" s="1"/>
  <c r="V22" i="1"/>
  <c r="Z22" i="1" s="1"/>
  <c r="AA21" i="1"/>
  <c r="Q21" i="1"/>
  <c r="O21" i="1" s="1"/>
  <c r="R21" i="1" s="1"/>
  <c r="L21" i="1" s="1"/>
  <c r="M21" i="1" s="1"/>
  <c r="AB21" i="1"/>
  <c r="AC21" i="1"/>
  <c r="V21" i="1"/>
  <c r="Z21" i="1" s="1"/>
  <c r="AB20" i="1"/>
  <c r="V20" i="1"/>
  <c r="Z20" i="1" s="1"/>
  <c r="AC20" i="1"/>
  <c r="AD20" i="1" s="1"/>
  <c r="T19" i="1"/>
  <c r="U19" i="1" s="1"/>
  <c r="Q19" i="1" s="1"/>
  <c r="O19" i="1" s="1"/>
  <c r="R19" i="1" s="1"/>
  <c r="L19" i="1" s="1"/>
  <c r="M19" i="1" s="1"/>
  <c r="AA19" i="1"/>
  <c r="Q18" i="1"/>
  <c r="O18" i="1" s="1"/>
  <c r="R18" i="1" s="1"/>
  <c r="L18" i="1" s="1"/>
  <c r="M18" i="1" s="1"/>
  <c r="AA18" i="1"/>
  <c r="AB18" i="1"/>
  <c r="V18" i="1"/>
  <c r="Z18" i="1" s="1"/>
  <c r="AC18" i="1"/>
  <c r="AD18" i="1" s="1"/>
  <c r="AA17" i="1"/>
  <c r="Q17" i="1"/>
  <c r="O17" i="1" s="1"/>
  <c r="R17" i="1" s="1"/>
  <c r="L17" i="1" s="1"/>
  <c r="M17" i="1" s="1"/>
  <c r="AB17" i="1"/>
  <c r="AC17" i="1"/>
  <c r="V17" i="1"/>
  <c r="Z17" i="1" s="1"/>
  <c r="AD17" i="1" l="1"/>
  <c r="AB27" i="1"/>
  <c r="V27" i="1"/>
  <c r="Z27" i="1" s="1"/>
  <c r="AC27" i="1"/>
  <c r="AB19" i="1"/>
  <c r="V19" i="1"/>
  <c r="Z19" i="1" s="1"/>
  <c r="AC19" i="1"/>
  <c r="AD21" i="1"/>
  <c r="AD27" i="1" l="1"/>
  <c r="AD19" i="1"/>
</calcChain>
</file>

<file path=xl/sharedStrings.xml><?xml version="1.0" encoding="utf-8"?>
<sst xmlns="http://schemas.openxmlformats.org/spreadsheetml/2006/main" count="1036" uniqueCount="456">
  <si>
    <t>File opened</t>
  </si>
  <si>
    <t>2026-10-16 14:54:34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</si>
  <si>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</si>
  <si>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</si>
  <si>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</si>
  <si>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</si>
  <si>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</si>
  <si>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</si>
  <si>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</si>
  <si>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</si>
  <si>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</si>
  <si>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</si>
  <si>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</si>
  <si>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{"h2obspan2": "0", "h2obspan2b": "0.111633", "co2bspan1": "0.993892", "flowbzero": "0.27399", "h2oaspan1": "1.0301", "co2aspan2b": "0.0924399", "co2bspan2a": "0.0952815", "flowazero": "0.316", "co2aspan2a": "0.0929659", "h2obspanconc2": "0", "co2aspanconc2": "1516", "flowmeterzero": "2.5072", "oxygen": "21", "h2obzero": "1.13925", "co2bspanconc2": "1516", "tazero": "0.0951138", "h2obspanconc1": "21.96", "co2aspanconc1": "437.6", "h2obspan1": "0.995823", "h2oaspan2b": "0.111609", "co2bspan2b": "0.0947811", "h2oaspan2": "0", "co2bzero": "1.02053", "ssb_ref": "37478.9", "co2azero": "1.16194", "tbzero": "0.145187", "co2bspanconc1": "437.6", "h2oaspanconc2": "0", "h2obspan2a": "0.112101", "co2aspan1": "0.99333", "ssa_ref": "32366.8", "co2aspan2": "0.0108874", "h2oaspanconc1": "21.96", "chamberpressurezero": "2.61687", "h2oaspan2a": "0.108347", "co2bspan2": "0.00898303", "h2oazero": "1.14957"}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</si>
  <si>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</si>
  <si>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</si>
  <si>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</si>
  <si>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</si>
  <si>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</si>
  <si>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</si>
  <si>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</si>
  <si>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</si>
  <si>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</si>
  <si>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</si>
  <si>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</si>
  <si>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</si>
  <si>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</si>
  <si>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</si>
  <si>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</si>
  <si>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14:54:34</t>
  </si>
  <si>
    <t>Stability Definition:	F (FlrLS): Slp&lt;1 Per=20	A (GasEx): Slp&lt;0.6 Per=20	ΔCO2 (Meas2): Slp&lt;0.5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</si>
  <si>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</si>
  <si>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</si>
  <si>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</si>
  <si>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</si>
  <si>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</si>
  <si>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</si>
  <si>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</si>
  <si>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</si>
  <si>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</si>
  <si>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</si>
  <si>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</si>
  <si>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</si>
  <si>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</si>
  <si>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</si>
  <si>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</si>
  <si>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</si>
  <si>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</si>
  <si>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</si>
  <si>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</si>
  <si>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</si>
  <si>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</si>
  <si>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</si>
  <si>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</si>
  <si>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</si>
  <si>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</si>
  <si>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</si>
  <si>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</si>
  <si>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</si>
  <si>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</si>
  <si>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</si>
  <si>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</si>
  <si>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</si>
  <si>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</si>
  <si>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</si>
  <si>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</si>
  <si>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</si>
  <si>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</si>
  <si>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</si>
  <si>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</si>
  <si>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</si>
  <si>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</si>
  <si>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</si>
  <si>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</si>
  <si>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</si>
  <si>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</si>
  <si>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</si>
  <si>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</si>
  <si>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</si>
  <si>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</si>
  <si>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</si>
  <si>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</si>
  <si>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3.7403 210.264 340.143 564.427 861.476 1067.11 1236.59 1344.05</t>
  </si>
  <si>
    <t>Fs_true</t>
  </si>
  <si>
    <t>-1.38018 242.716 375.819 575.847 815.073 1001.33 1204.46 1400.84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</si>
  <si>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</si>
  <si>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</si>
  <si>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</si>
  <si>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</si>
  <si>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</si>
  <si>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</si>
  <si>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</si>
  <si>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</si>
  <si>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</si>
  <si>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</si>
  <si>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</si>
  <si>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</si>
  <si>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</si>
  <si>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</si>
  <si>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</si>
  <si>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</si>
  <si>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</si>
  <si>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</si>
  <si>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</si>
  <si>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</si>
  <si>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</si>
  <si>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</si>
  <si>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</si>
  <si>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</si>
  <si>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</si>
  <si>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</si>
  <si>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</si>
  <si>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</si>
  <si>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</si>
  <si>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</si>
  <si>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</si>
  <si>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</si>
  <si>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</si>
  <si>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</si>
  <si>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</si>
  <si>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</si>
  <si>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</si>
  <si>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</si>
  <si>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</si>
  <si>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</si>
  <si>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</si>
  <si>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</si>
  <si>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</si>
  <si>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</si>
  <si>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</si>
  <si>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</si>
  <si>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</si>
  <si>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</si>
  <si>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</si>
  <si>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</si>
  <si>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</si>
  <si>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</si>
  <si>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</si>
  <si>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</si>
  <si>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</si>
  <si>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</si>
  <si>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</si>
  <si>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</si>
  <si>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</si>
  <si>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</si>
  <si>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</si>
  <si>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</si>
  <si>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</si>
  <si>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</si>
  <si>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</si>
  <si>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</si>
  <si>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</si>
  <si>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</si>
  <si>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</si>
  <si>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</si>
  <si>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</si>
  <si>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</si>
  <si>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</si>
  <si>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</si>
  <si>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</si>
  <si>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</si>
  <si>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</si>
  <si>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</si>
  <si>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</si>
  <si>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</si>
  <si>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</si>
  <si>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</si>
  <si>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</si>
  <si>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</si>
  <si>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</si>
  <si>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</si>
  <si>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</si>
  <si>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</si>
  <si>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</si>
  <si>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</si>
  <si>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</si>
  <si>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</si>
  <si>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</si>
  <si>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</si>
  <si>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</si>
  <si>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</si>
  <si>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</si>
  <si>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</si>
  <si>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</si>
  <si>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</si>
  <si>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</si>
  <si>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</si>
  <si>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</si>
  <si>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</si>
  <si>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</si>
  <si>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</si>
  <si>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</si>
  <si>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</si>
  <si>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</si>
  <si>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</si>
  <si>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</si>
  <si>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</si>
  <si>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</si>
  <si>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</si>
  <si>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</si>
  <si>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</si>
  <si>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</si>
  <si>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</si>
  <si>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</si>
  <si>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</si>
  <si>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</si>
  <si>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</si>
  <si>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</si>
  <si>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</si>
  <si>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</si>
  <si>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</si>
  <si>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</si>
  <si>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</si>
  <si>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</si>
  <si>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</si>
  <si>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</si>
  <si>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</si>
  <si>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</si>
  <si>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</si>
  <si>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</si>
  <si>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</si>
  <si>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</si>
  <si>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</si>
  <si>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</si>
  <si>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</si>
  <si>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</si>
  <si>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</si>
  <si>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</si>
  <si>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</si>
  <si>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</si>
  <si>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</si>
  <si>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</si>
  <si>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</si>
  <si>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</si>
  <si>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</si>
  <si>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</si>
  <si>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</si>
  <si>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</si>
  <si>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</si>
  <si>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</si>
  <si>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</si>
  <si>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</si>
  <si>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</si>
  <si>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</si>
  <si>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</si>
  <si>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</si>
  <si>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</si>
  <si>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</si>
  <si>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</si>
  <si>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</si>
  <si>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</si>
  <si>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</si>
  <si>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</si>
  <si>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</si>
  <si>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</si>
  <si>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</si>
  <si>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</si>
  <si>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</si>
  <si>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</si>
  <si>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</si>
  <si>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</si>
  <si>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</si>
  <si>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</si>
  <si>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</si>
  <si>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</si>
  <si>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</si>
  <si>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</si>
  <si>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</si>
  <si>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</si>
  <si>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</si>
  <si>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</si>
  <si>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</si>
  <si>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</si>
  <si>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</si>
  <si>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</si>
  <si>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</si>
  <si>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</si>
  <si>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</si>
  <si>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</si>
  <si>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</si>
  <si>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</si>
  <si>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</si>
  <si>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</si>
  <si>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</si>
  <si>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</si>
  <si>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</si>
  <si>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</si>
  <si>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</si>
  <si>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</si>
  <si>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</si>
  <si>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</si>
  <si>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</si>
  <si>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</si>
  <si>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</si>
  <si>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</si>
  <si>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</si>
  <si>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</si>
  <si>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</si>
  <si>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</si>
  <si>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</si>
  <si>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</si>
  <si>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</si>
  <si>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</si>
  <si>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</si>
  <si>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</si>
  <si>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</si>
  <si>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</si>
  <si>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</si>
  <si>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</si>
  <si>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</si>
  <si>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</si>
  <si>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</si>
  <si>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</si>
  <si>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</si>
  <si>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</si>
  <si>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</si>
  <si>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</si>
  <si>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</si>
  <si>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CO2_hrs</t>
  </si>
  <si>
    <t>AccH2O_hum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</si>
  <si>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</si>
  <si>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</si>
  <si>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</si>
  <si>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</si>
  <si>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</si>
  <si>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</si>
  <si>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</si>
  <si>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</si>
  <si>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</si>
  <si>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</si>
  <si>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</si>
  <si>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</si>
  <si>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</si>
  <si>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</si>
  <si>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</si>
  <si>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</si>
  <si>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</si>
  <si>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</si>
  <si>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</si>
  <si>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</si>
  <si>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</si>
  <si>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</si>
  <si>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</si>
  <si>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</si>
  <si>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</si>
  <si>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</si>
  <si>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</si>
  <si>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</si>
  <si>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</si>
  <si>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</si>
  <si>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</si>
  <si>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</si>
  <si>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</si>
  <si>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</si>
  <si>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</si>
  <si>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</si>
  <si>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</si>
  <si>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</si>
  <si>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</si>
  <si>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</si>
  <si>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</si>
  <si>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</si>
  <si>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</si>
  <si>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</si>
  <si>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</si>
  <si>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</si>
  <si>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</si>
  <si>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</si>
  <si>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</si>
  <si>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</si>
  <si>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</si>
  <si>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</si>
  <si>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</si>
  <si>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</si>
  <si>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</si>
  <si>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</si>
  <si>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</si>
  <si>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</si>
  <si>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</si>
  <si>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</si>
  <si>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</si>
  <si>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</si>
  <si>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</si>
  <si>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</si>
  <si>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</si>
  <si>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</si>
  <si>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</si>
  <si>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</si>
  <si>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</si>
  <si>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</si>
  <si>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</si>
  <si>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</si>
  <si>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</si>
  <si>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</si>
  <si>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</si>
  <si>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</si>
  <si>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</si>
  <si>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</si>
  <si>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</si>
  <si>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</si>
  <si>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</si>
  <si>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</si>
  <si>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</si>
  <si>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</si>
  <si>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</si>
  <si>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</si>
  <si>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</si>
  <si>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</si>
  <si>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</si>
  <si>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</si>
  <si>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</si>
  <si>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</si>
  <si>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</si>
  <si>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20261016 15:48:56</t>
  </si>
  <si>
    <t>15:48:56</t>
  </si>
  <si>
    <t>-</t>
  </si>
  <si>
    <t>0: Broadleaf</t>
  </si>
  <si>
    <t>15:47:58</t>
  </si>
  <si>
    <t>3/3</t>
  </si>
  <si>
    <t>11111111</t>
  </si>
  <si>
    <t>oooooooo</t>
  </si>
  <si>
    <t>on</t>
  </si>
  <si>
    <t>20261016 15:50:57</t>
  </si>
  <si>
    <t>15:50:57</t>
  </si>
  <si>
    <t>15:50:14</t>
  </si>
  <si>
    <t>20261016 15:52:58</t>
  </si>
  <si>
    <t>15:52:58</t>
  </si>
  <si>
    <t>15:52:07</t>
  </si>
  <si>
    <t>20261016 15:54:59</t>
  </si>
  <si>
    <t>15:54:59</t>
  </si>
  <si>
    <t>15:54:12</t>
  </si>
  <si>
    <t>20261016 15:57:00</t>
  </si>
  <si>
    <t>15:57:00</t>
  </si>
  <si>
    <t>15:56:08</t>
  </si>
  <si>
    <t>20261016 15:59:31</t>
  </si>
  <si>
    <t>15:59:31</t>
  </si>
  <si>
    <t>15:58:07</t>
  </si>
  <si>
    <t>1/3</t>
  </si>
  <si>
    <t>20261016 16:01:32</t>
  </si>
  <si>
    <t>16:01:32</t>
  </si>
  <si>
    <t>16:00:28</t>
  </si>
  <si>
    <t>20261016 16:03:33</t>
  </si>
  <si>
    <t>16:03:33</t>
  </si>
  <si>
    <t>16:02:35</t>
  </si>
  <si>
    <t>20261016 16:05:44</t>
  </si>
  <si>
    <t>16:05:44</t>
  </si>
  <si>
    <t>16:04:31</t>
  </si>
  <si>
    <t>20261016 16:07:52</t>
  </si>
  <si>
    <t>16:07:52</t>
  </si>
  <si>
    <t>16:06:47</t>
  </si>
  <si>
    <t>20261016 16:10:02</t>
  </si>
  <si>
    <t>16:10:02</t>
  </si>
  <si>
    <t>16:09:12</t>
  </si>
  <si>
    <t>20261016 16:12:18</t>
  </si>
  <si>
    <t>16:12:18</t>
  </si>
  <si>
    <t>16:11:20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</si>
</sst>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V28"/>
  <sheetViews>
    <sheetView tabSelected="1" workbookViewId="0"/>
  </sheetViews>
  <sheetFormatPr defaultRowHeight="16.5" x14ac:dyDescent="0.3"/>
  <sheetData>
    <row r="2" spans="1:282" x14ac:dyDescent="0.3">
      <c r="A2" t="s">
        <v>31</v>
      </c>
      <c r="B2" t="s">
        <v>32</v>
      </c>
      <c r="C2" t="s">
        <v>33</v>
      </c>
    </row>
    <row r="3" spans="1:282" x14ac:dyDescent="0.3">
      <c r="B3">
        <v>4</v>
      </c>
      <c r="C3">
        <v>21</v>
      </c>
    </row>
    <row r="4" spans="1:282" x14ac:dyDescent="0.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82" x14ac:dyDescent="0.3">
      <c r="B5" t="s">
        <v>21</v>
      </c>
      <c r="C5" t="s">
        <v>37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2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82" x14ac:dyDescent="0.3">
      <c r="B7">
        <v>0</v>
      </c>
      <c r="C7">
        <v>1</v>
      </c>
      <c r="D7">
        <v>0</v>
      </c>
      <c r="E7">
        <v>0</v>
      </c>
    </row>
    <row r="8" spans="1:282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82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82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82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0</v>
      </c>
    </row>
    <row r="14" spans="1:282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91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92</v>
      </c>
      <c r="CU14" t="s">
        <v>92</v>
      </c>
      <c r="CV14" t="s">
        <v>92</v>
      </c>
      <c r="CW14" t="s">
        <v>92</v>
      </c>
      <c r="CX14" t="s">
        <v>93</v>
      </c>
      <c r="CY14" t="s">
        <v>93</v>
      </c>
      <c r="CZ14" t="s">
        <v>93</v>
      </c>
      <c r="DA14" t="s">
        <v>93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101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102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103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104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  <c r="JV14" t="s">
        <v>105</v>
      </c>
    </row>
    <row r="15" spans="1:282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88</v>
      </c>
      <c r="AF15" t="s">
        <v>136</v>
      </c>
      <c r="AG15" t="s">
        <v>137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168</v>
      </c>
      <c r="CH15" t="s">
        <v>189</v>
      </c>
      <c r="CI15" t="s">
        <v>190</v>
      </c>
      <c r="CJ15" t="s">
        <v>191</v>
      </c>
      <c r="CK15" t="s">
        <v>142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112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107</v>
      </c>
      <c r="FB15" t="s">
        <v>110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  <c r="JV15" t="s">
        <v>381</v>
      </c>
    </row>
    <row r="16" spans="1:282" x14ac:dyDescent="0.3">
      <c r="B16" t="s">
        <v>382</v>
      </c>
      <c r="C16" t="s">
        <v>382</v>
      </c>
      <c r="F16" t="s">
        <v>382</v>
      </c>
      <c r="G16" t="s">
        <v>382</v>
      </c>
      <c r="H16" t="s">
        <v>383</v>
      </c>
      <c r="I16" t="s">
        <v>384</v>
      </c>
      <c r="J16" t="s">
        <v>385</v>
      </c>
      <c r="K16" t="s">
        <v>386</v>
      </c>
      <c r="L16" t="s">
        <v>386</v>
      </c>
      <c r="M16" t="s">
        <v>215</v>
      </c>
      <c r="N16" t="s">
        <v>215</v>
      </c>
      <c r="O16" t="s">
        <v>383</v>
      </c>
      <c r="P16" t="s">
        <v>383</v>
      </c>
      <c r="Q16" t="s">
        <v>383</v>
      </c>
      <c r="R16" t="s">
        <v>383</v>
      </c>
      <c r="S16" t="s">
        <v>387</v>
      </c>
      <c r="T16" t="s">
        <v>388</v>
      </c>
      <c r="U16" t="s">
        <v>388</v>
      </c>
      <c r="V16" t="s">
        <v>389</v>
      </c>
      <c r="W16" t="s">
        <v>390</v>
      </c>
      <c r="X16" t="s">
        <v>389</v>
      </c>
      <c r="Y16" t="s">
        <v>389</v>
      </c>
      <c r="Z16" t="s">
        <v>389</v>
      </c>
      <c r="AA16" t="s">
        <v>387</v>
      </c>
      <c r="AB16" t="s">
        <v>387</v>
      </c>
      <c r="AC16" t="s">
        <v>387</v>
      </c>
      <c r="AD16" t="s">
        <v>387</v>
      </c>
      <c r="AE16" t="s">
        <v>391</v>
      </c>
      <c r="AF16" t="s">
        <v>390</v>
      </c>
      <c r="AH16" t="s">
        <v>390</v>
      </c>
      <c r="AI16" t="s">
        <v>391</v>
      </c>
      <c r="AO16" t="s">
        <v>385</v>
      </c>
      <c r="AV16" t="s">
        <v>385</v>
      </c>
      <c r="AW16" t="s">
        <v>385</v>
      </c>
      <c r="AX16" t="s">
        <v>385</v>
      </c>
      <c r="AY16" t="s">
        <v>392</v>
      </c>
      <c r="BM16" t="s">
        <v>393</v>
      </c>
      <c r="BO16" t="s">
        <v>393</v>
      </c>
      <c r="BP16" t="s">
        <v>385</v>
      </c>
      <c r="BS16" t="s">
        <v>393</v>
      </c>
      <c r="BT16" t="s">
        <v>390</v>
      </c>
      <c r="BW16" t="s">
        <v>394</v>
      </c>
      <c r="BX16" t="s">
        <v>394</v>
      </c>
      <c r="BZ16" t="s">
        <v>395</v>
      </c>
      <c r="CA16" t="s">
        <v>393</v>
      </c>
      <c r="CC16" t="s">
        <v>393</v>
      </c>
      <c r="CD16" t="s">
        <v>385</v>
      </c>
      <c r="CH16" t="s">
        <v>393</v>
      </c>
      <c r="CJ16" t="s">
        <v>396</v>
      </c>
      <c r="CM16" t="s">
        <v>393</v>
      </c>
      <c r="CN16" t="s">
        <v>393</v>
      </c>
      <c r="CP16" t="s">
        <v>393</v>
      </c>
      <c r="CR16" t="s">
        <v>393</v>
      </c>
      <c r="CT16" t="s">
        <v>385</v>
      </c>
      <c r="CU16" t="s">
        <v>385</v>
      </c>
      <c r="CW16" t="s">
        <v>397</v>
      </c>
      <c r="CX16" t="s">
        <v>398</v>
      </c>
      <c r="DA16" t="s">
        <v>383</v>
      </c>
      <c r="DB16" t="s">
        <v>382</v>
      </c>
      <c r="DC16" t="s">
        <v>386</v>
      </c>
      <c r="DD16" t="s">
        <v>386</v>
      </c>
      <c r="DE16" t="s">
        <v>399</v>
      </c>
      <c r="DF16" t="s">
        <v>399</v>
      </c>
      <c r="DG16" t="s">
        <v>386</v>
      </c>
      <c r="DH16" t="s">
        <v>399</v>
      </c>
      <c r="DI16" t="s">
        <v>391</v>
      </c>
      <c r="DJ16" t="s">
        <v>389</v>
      </c>
      <c r="DK16" t="s">
        <v>389</v>
      </c>
      <c r="DL16" t="s">
        <v>388</v>
      </c>
      <c r="DM16" t="s">
        <v>388</v>
      </c>
      <c r="DN16" t="s">
        <v>388</v>
      </c>
      <c r="DO16" t="s">
        <v>388</v>
      </c>
      <c r="DP16" t="s">
        <v>388</v>
      </c>
      <c r="DQ16" t="s">
        <v>400</v>
      </c>
      <c r="DR16" t="s">
        <v>385</v>
      </c>
      <c r="DS16" t="s">
        <v>385</v>
      </c>
      <c r="DT16" t="s">
        <v>386</v>
      </c>
      <c r="DU16" t="s">
        <v>386</v>
      </c>
      <c r="DV16" t="s">
        <v>386</v>
      </c>
      <c r="DW16" t="s">
        <v>399</v>
      </c>
      <c r="DX16" t="s">
        <v>386</v>
      </c>
      <c r="DY16" t="s">
        <v>399</v>
      </c>
      <c r="DZ16" t="s">
        <v>389</v>
      </c>
      <c r="EA16" t="s">
        <v>389</v>
      </c>
      <c r="EB16" t="s">
        <v>388</v>
      </c>
      <c r="EC16" t="s">
        <v>388</v>
      </c>
      <c r="ED16" t="s">
        <v>385</v>
      </c>
      <c r="EI16" t="s">
        <v>385</v>
      </c>
      <c r="EL16" t="s">
        <v>388</v>
      </c>
      <c r="EM16" t="s">
        <v>388</v>
      </c>
      <c r="EN16" t="s">
        <v>388</v>
      </c>
      <c r="EO16" t="s">
        <v>388</v>
      </c>
      <c r="EP16" t="s">
        <v>388</v>
      </c>
      <c r="EQ16" t="s">
        <v>385</v>
      </c>
      <c r="ER16" t="s">
        <v>385</v>
      </c>
      <c r="ES16" t="s">
        <v>385</v>
      </c>
      <c r="ET16" t="s">
        <v>382</v>
      </c>
      <c r="EW16" t="s">
        <v>401</v>
      </c>
      <c r="EX16" t="s">
        <v>401</v>
      </c>
      <c r="EZ16" t="s">
        <v>382</v>
      </c>
      <c r="FA16" t="s">
        <v>402</v>
      </c>
      <c r="FC16" t="s">
        <v>382</v>
      </c>
      <c r="FD16" t="s">
        <v>382</v>
      </c>
      <c r="FF16" t="s">
        <v>403</v>
      </c>
      <c r="FG16" t="s">
        <v>404</v>
      </c>
      <c r="FH16" t="s">
        <v>403</v>
      </c>
      <c r="FI16" t="s">
        <v>404</v>
      </c>
      <c r="FJ16" t="s">
        <v>403</v>
      </c>
      <c r="FK16" t="s">
        <v>404</v>
      </c>
      <c r="FL16" t="s">
        <v>390</v>
      </c>
      <c r="FM16" t="s">
        <v>390</v>
      </c>
      <c r="FN16" t="s">
        <v>385</v>
      </c>
      <c r="FO16" t="s">
        <v>405</v>
      </c>
      <c r="FP16" t="s">
        <v>385</v>
      </c>
      <c r="FR16" t="s">
        <v>386</v>
      </c>
      <c r="FS16" t="s">
        <v>406</v>
      </c>
      <c r="FT16" t="s">
        <v>386</v>
      </c>
      <c r="FW16" t="s">
        <v>407</v>
      </c>
      <c r="GC16" t="s">
        <v>408</v>
      </c>
      <c r="GD16" t="s">
        <v>408</v>
      </c>
      <c r="GQ16" t="s">
        <v>408</v>
      </c>
      <c r="GR16" t="s">
        <v>408</v>
      </c>
      <c r="GS16" t="s">
        <v>409</v>
      </c>
      <c r="GT16" t="s">
        <v>409</v>
      </c>
      <c r="GU16" t="s">
        <v>388</v>
      </c>
      <c r="GV16" t="s">
        <v>388</v>
      </c>
      <c r="GW16" t="s">
        <v>390</v>
      </c>
      <c r="GX16" t="s">
        <v>388</v>
      </c>
      <c r="GY16" t="s">
        <v>399</v>
      </c>
      <c r="GZ16" t="s">
        <v>390</v>
      </c>
      <c r="HA16" t="s">
        <v>390</v>
      </c>
      <c r="HC16" t="s">
        <v>408</v>
      </c>
      <c r="HD16" t="s">
        <v>408</v>
      </c>
      <c r="HE16" t="s">
        <v>408</v>
      </c>
      <c r="HF16" t="s">
        <v>408</v>
      </c>
      <c r="HG16" t="s">
        <v>408</v>
      </c>
      <c r="HH16" t="s">
        <v>408</v>
      </c>
      <c r="HI16" t="s">
        <v>408</v>
      </c>
      <c r="HJ16" t="s">
        <v>410</v>
      </c>
      <c r="HK16" t="s">
        <v>411</v>
      </c>
      <c r="HL16" t="s">
        <v>410</v>
      </c>
      <c r="HM16" t="s">
        <v>410</v>
      </c>
      <c r="HN16" t="s">
        <v>408</v>
      </c>
      <c r="HO16" t="s">
        <v>408</v>
      </c>
      <c r="HP16" t="s">
        <v>408</v>
      </c>
      <c r="HQ16" t="s">
        <v>408</v>
      </c>
      <c r="HR16" t="s">
        <v>408</v>
      </c>
      <c r="HS16" t="s">
        <v>408</v>
      </c>
      <c r="HT16" t="s">
        <v>408</v>
      </c>
      <c r="HU16" t="s">
        <v>408</v>
      </c>
      <c r="HV16" t="s">
        <v>408</v>
      </c>
      <c r="HW16" t="s">
        <v>408</v>
      </c>
      <c r="HX16" t="s">
        <v>408</v>
      </c>
      <c r="HY16" t="s">
        <v>408</v>
      </c>
      <c r="IF16" t="s">
        <v>408</v>
      </c>
      <c r="IG16" t="s">
        <v>390</v>
      </c>
      <c r="IH16" t="s">
        <v>390</v>
      </c>
      <c r="II16" t="s">
        <v>403</v>
      </c>
      <c r="IJ16" t="s">
        <v>404</v>
      </c>
      <c r="IK16" t="s">
        <v>403</v>
      </c>
      <c r="IO16" t="s">
        <v>404</v>
      </c>
      <c r="IS16" t="s">
        <v>386</v>
      </c>
      <c r="IT16" t="s">
        <v>386</v>
      </c>
      <c r="IU16" t="s">
        <v>399</v>
      </c>
      <c r="IV16" t="s">
        <v>399</v>
      </c>
      <c r="IW16" t="s">
        <v>412</v>
      </c>
      <c r="IX16" t="s">
        <v>412</v>
      </c>
      <c r="IY16" t="s">
        <v>408</v>
      </c>
      <c r="IZ16" t="s">
        <v>408</v>
      </c>
      <c r="JA16" t="s">
        <v>408</v>
      </c>
      <c r="JB16" t="s">
        <v>408</v>
      </c>
      <c r="JC16" t="s">
        <v>408</v>
      </c>
      <c r="JD16" t="s">
        <v>408</v>
      </c>
      <c r="JE16" t="s">
        <v>388</v>
      </c>
      <c r="JF16" t="s">
        <v>408</v>
      </c>
      <c r="JH16" t="s">
        <v>391</v>
      </c>
      <c r="JI16" t="s">
        <v>391</v>
      </c>
      <c r="JJ16" t="s">
        <v>388</v>
      </c>
      <c r="JK16" t="s">
        <v>388</v>
      </c>
      <c r="JL16" t="s">
        <v>388</v>
      </c>
      <c r="JM16" t="s">
        <v>388</v>
      </c>
      <c r="JN16" t="s">
        <v>388</v>
      </c>
      <c r="JO16" t="s">
        <v>390</v>
      </c>
      <c r="JP16" t="s">
        <v>390</v>
      </c>
      <c r="JQ16" t="s">
        <v>390</v>
      </c>
      <c r="JR16" t="s">
        <v>388</v>
      </c>
      <c r="JS16" t="s">
        <v>386</v>
      </c>
      <c r="JT16" t="s">
        <v>399</v>
      </c>
      <c r="JU16" t="s">
        <v>390</v>
      </c>
      <c r="JV16" t="s">
        <v>390</v>
      </c>
    </row>
    <row r="17" spans="1:282" x14ac:dyDescent="0.3">
      <c r="A17">
        <v>1</v>
      </c>
      <c r="B17">
        <v>1792133336.0999999</v>
      </c>
      <c r="C17">
        <v>0</v>
      </c>
      <c r="D17" t="s">
        <v>413</v>
      </c>
      <c r="E17" t="s">
        <v>414</v>
      </c>
      <c r="F17">
        <v>5</v>
      </c>
      <c r="G17">
        <v>1792133332.5999999</v>
      </c>
      <c r="H17">
        <f t="shared" ref="H17:H28" si="0">(I17)/1000</f>
        <v>4.3248305578408204E-3</v>
      </c>
      <c r="I17">
        <f t="shared" ref="I17:I28" si="1">1000*DI17*AG17*(DE17-DF17)/(100*CX17*(1000-AG17*DE17))</f>
        <v>4.3248305578408202</v>
      </c>
      <c r="J17">
        <f t="shared" ref="J17:J28" si="2">DI17*AG17*(DD17-DC17*(1000-AG17*DF17)/(1000-AG17*DE17))/(100*CX17)</f>
        <v>21.216753962230026</v>
      </c>
      <c r="K17">
        <f t="shared" ref="K17:K28" si="3">DC17 - IF(AG17&gt;1, J17*CX17*100/(AI17), 0)</f>
        <v>390.86433333333298</v>
      </c>
      <c r="L17">
        <f t="shared" ref="L17:L28" si="4">((R17-H17/2)*K17-J17)/(R17+H17/2)</f>
        <v>274.59233499706625</v>
      </c>
      <c r="M17">
        <f t="shared" ref="M17:M28" si="5">L17*(DJ17+DK17)/1000</f>
        <v>27.937301034052986</v>
      </c>
      <c r="N17">
        <f t="shared" ref="N17:N28" si="6">(DC17 - IF(AG17&gt;1, J17*CX17*100/(AI17), 0))*(DJ17+DK17)/1000</f>
        <v>39.766931381840728</v>
      </c>
      <c r="O17">
        <f t="shared" ref="O17:O28" si="7">2/((1/Q17-1/P17)+SIGN(Q17)*SQRT((1/Q17-1/P17)*(1/Q17-1/P17) + 4*CY17/((CY17+1)*(CY17+1))*(2*1/Q17*1/P17-1/P17*1/P17)))</f>
        <v>0.3276799347664931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3.0408959820428576</v>
      </c>
      <c r="Q17">
        <f t="shared" ref="Q17:Q28" si="9">H17*(1000-(1000*0.61365*EXP(17.502*U17/(240.97+U17))/(DJ17+DK17)+DE17)/2)/(1000*0.61365*EXP(17.502*U17/(240.97+U17))/(DJ17+DK17)-DE17)</f>
        <v>0.30925111082493439</v>
      </c>
      <c r="R17">
        <f t="shared" ref="R17:R28" si="10">1/((CY17+1)/(O17/1.6)+1/(P17/1.37)) + CY17/((CY17+1)/(O17/1.6) + CY17/(P17/1.37))</f>
        <v>0.19485127935760732</v>
      </c>
      <c r="S17">
        <f t="shared" ref="S17:S28" si="11">(CT17*CW17)</f>
        <v>241.74088000271487</v>
      </c>
      <c r="T17">
        <f t="shared" ref="T17:T28" si="12">(DL17+(S17+2*0.95*0.0000000567*(((DL17+$B$7)+273)^4-(DL17+273)^4)-44100*H17)/(1.84*29.3*P17+8*0.95*0.0000000567*(DL17+273)^3))</f>
        <v>25.521452504127964</v>
      </c>
      <c r="U17">
        <f t="shared" ref="U17:U28" si="13">($C$7*DM17+$D$7*DN17+$E$7*T17)</f>
        <v>24.920566666666701</v>
      </c>
      <c r="V17">
        <f t="shared" ref="V17:V28" si="14">0.61365*EXP(17.502*U17/(240.97+U17))</f>
        <v>3.164650575901669</v>
      </c>
      <c r="W17">
        <f t="shared" ref="W17:W28" si="15">(X17/Y17*100)</f>
        <v>55.104293942912385</v>
      </c>
      <c r="X17">
        <f t="shared" ref="X17:X28" si="16">DE17*(DJ17+DK17)/1000</f>
        <v>1.7763674826155158</v>
      </c>
      <c r="Y17">
        <f t="shared" ref="Y17:Y28" si="17">0.61365*EXP(17.502*DL17/(240.97+DL17))</f>
        <v>3.2236462088704352</v>
      </c>
      <c r="Z17">
        <f t="shared" ref="Z17:Z28" si="18">(V17-DE17*(DJ17+DK17)/1000)</f>
        <v>1.3882830932861532</v>
      </c>
      <c r="AA17">
        <f t="shared" ref="AA17:AA28" si="19">(-H17*44100)</f>
        <v>-190.72502760078018</v>
      </c>
      <c r="AB17">
        <f t="shared" ref="AB17:AB28" si="20">2*29.3*P17*0.92*(DL17-U17)</f>
        <v>50.818910750598704</v>
      </c>
      <c r="AC17">
        <f t="shared" ref="AC17:AC28" si="21">2*0.95*0.0000000567*(((DL17+$B$7)+273)^4-(U17+273)^4)</f>
        <v>3.5376446851408687</v>
      </c>
      <c r="AD17">
        <f t="shared" ref="AD17:AD28" si="22">S17+AC17+AA17+AB17</f>
        <v>105.37240783767426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54152.370365532304</v>
      </c>
      <c r="AJ17" t="s">
        <v>415</v>
      </c>
      <c r="AK17" t="s">
        <v>415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415</v>
      </c>
      <c r="AQ17" t="s">
        <v>415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1261.2292994832746</v>
      </c>
      <c r="AW17">
        <f t="shared" ref="AW17:AW28" si="29">J17</f>
        <v>21.216753962230026</v>
      </c>
      <c r="AX17" t="e">
        <f t="shared" ref="AX17:AX28" si="30">AT17*AU17*AV17</f>
        <v>#DIV/0!</v>
      </c>
      <c r="AY17">
        <f t="shared" ref="AY17:AY28" si="31">(AW17-AO17)/AV17</f>
        <v>1.6822281222710671E-2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415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BL17">
        <v>1111</v>
      </c>
      <c r="BM17">
        <v>290</v>
      </c>
      <c r="BN17">
        <v>927.93</v>
      </c>
      <c r="BO17">
        <v>225</v>
      </c>
      <c r="BP17">
        <v>8123.51</v>
      </c>
      <c r="BQ17">
        <v>924.3</v>
      </c>
      <c r="BR17">
        <v>3.63</v>
      </c>
      <c r="BS17">
        <v>300</v>
      </c>
      <c r="BT17">
        <v>19.3</v>
      </c>
      <c r="BU17">
        <v>955.27281112415801</v>
      </c>
      <c r="BV17">
        <v>1.6167142888188699</v>
      </c>
      <c r="BW17">
        <v>-25.163037676813001</v>
      </c>
      <c r="BX17">
        <v>1.1737689531451101</v>
      </c>
      <c r="BY17">
        <v>0.942573498846068</v>
      </c>
      <c r="BZ17">
        <v>-5.3880809788654001E-3</v>
      </c>
      <c r="CA17">
        <v>290</v>
      </c>
      <c r="CB17">
        <v>915.78</v>
      </c>
      <c r="CC17">
        <v>615</v>
      </c>
      <c r="CD17">
        <v>8112.29</v>
      </c>
      <c r="CE17">
        <v>924.25</v>
      </c>
      <c r="CF17">
        <v>-8.4700000000000006</v>
      </c>
      <c r="CT17">
        <f t="shared" ref="CT17:CT28" si="42">$B$11*DR17+$C$11*DS17+$F$11*ED17*(1-EG17)</f>
        <v>1500.0216666666699</v>
      </c>
      <c r="CU17">
        <f t="shared" ref="CU17:CU28" si="43">CT17*CV17</f>
        <v>1261.2292994832746</v>
      </c>
      <c r="CV17">
        <f t="shared" ref="CV17:CV28" si="44">($B$11*$D$9+$C$11*$D$9+$F$11*((EQ17+EI17)/MAX(EQ17+EI17+ER17, 0.1)*$I$9+ER17/MAX(EQ17+EI17+ER17, 0.1)*$J$9))/($B$11+$C$11+$F$11)</f>
        <v>0.8408073879932435</v>
      </c>
      <c r="CW17">
        <f t="shared" ref="CW17:CW28" si="45">($B$11*$K$9+$C$11*$K$9+$F$11*((EQ17+EI17)/MAX(EQ17+EI17+ER17, 0.1)*$P$9+ER17/MAX(EQ17+EI17+ER17, 0.1)*$Q$9))/($B$11+$C$11+$F$11)</f>
        <v>0.16115825882695983</v>
      </c>
      <c r="CX17">
        <v>2</v>
      </c>
      <c r="CY17">
        <v>0.5</v>
      </c>
      <c r="CZ17" t="s">
        <v>416</v>
      </c>
      <c r="DA17">
        <v>2</v>
      </c>
      <c r="DB17">
        <v>1792133332.5999999</v>
      </c>
      <c r="DC17">
        <v>390.86433333333298</v>
      </c>
      <c r="DD17">
        <v>400.02633333333301</v>
      </c>
      <c r="DE17">
        <v>17.459700000000002</v>
      </c>
      <c r="DF17">
        <v>15.7601333333333</v>
      </c>
      <c r="DG17">
        <v>389.97916666666703</v>
      </c>
      <c r="DH17">
        <v>17.5688666666667</v>
      </c>
      <c r="DI17">
        <v>500.04750000000001</v>
      </c>
      <c r="DJ17">
        <v>101.641166666667</v>
      </c>
      <c r="DK17">
        <v>9.9841633333333304E-2</v>
      </c>
      <c r="DL17">
        <v>25.230550000000001</v>
      </c>
      <c r="DM17">
        <v>24.920566666666701</v>
      </c>
      <c r="DN17">
        <v>999.9</v>
      </c>
      <c r="DO17">
        <v>0</v>
      </c>
      <c r="DP17">
        <v>0</v>
      </c>
      <c r="DQ17">
        <v>10017.075000000001</v>
      </c>
      <c r="DR17">
        <v>0</v>
      </c>
      <c r="DS17">
        <v>7.07849166666667</v>
      </c>
      <c r="DT17">
        <v>-9.1617650000000008</v>
      </c>
      <c r="DU17">
        <v>397.81</v>
      </c>
      <c r="DV17">
        <v>406.43166666666701</v>
      </c>
      <c r="DW17">
        <v>1.6995450000000001</v>
      </c>
      <c r="DX17">
        <v>400.02633333333301</v>
      </c>
      <c r="DY17">
        <v>15.7601333333333</v>
      </c>
      <c r="DZ17">
        <v>1.7746200000000001</v>
      </c>
      <c r="EA17">
        <v>1.60187833333333</v>
      </c>
      <c r="EB17">
        <v>15.5650166666667</v>
      </c>
      <c r="EC17">
        <v>13.9768666666667</v>
      </c>
      <c r="ED17">
        <v>1500.0216666666699</v>
      </c>
      <c r="EE17">
        <v>0.97299533333333299</v>
      </c>
      <c r="EF17">
        <v>2.7004500000000001E-2</v>
      </c>
      <c r="EG17">
        <v>0</v>
      </c>
      <c r="EH17">
        <v>335.846833333333</v>
      </c>
      <c r="EI17">
        <v>5.0006399999999998</v>
      </c>
      <c r="EJ17">
        <v>5199.6083333333299</v>
      </c>
      <c r="EK17">
        <v>15439.4</v>
      </c>
      <c r="EL17">
        <v>40.25</v>
      </c>
      <c r="EM17">
        <v>40.947499999999998</v>
      </c>
      <c r="EN17">
        <v>40.6145</v>
      </c>
      <c r="EO17">
        <v>40.6145</v>
      </c>
      <c r="EP17">
        <v>41.822499999999998</v>
      </c>
      <c r="EQ17">
        <v>1454.6516666666701</v>
      </c>
      <c r="ER17">
        <v>40.369999999999997</v>
      </c>
      <c r="ES17">
        <v>0</v>
      </c>
      <c r="ET17">
        <v>3392.6999998092701</v>
      </c>
      <c r="EU17">
        <v>0</v>
      </c>
      <c r="EV17">
        <v>335.92169230769201</v>
      </c>
      <c r="EW17">
        <v>-1.2328888748290201</v>
      </c>
      <c r="EX17">
        <v>-9.8352136865449094</v>
      </c>
      <c r="EY17">
        <v>5200.1823076923101</v>
      </c>
      <c r="EZ17">
        <v>15</v>
      </c>
      <c r="FA17">
        <v>1792133278.0999999</v>
      </c>
      <c r="FB17" t="s">
        <v>417</v>
      </c>
      <c r="FC17">
        <v>1792133278.0999999</v>
      </c>
      <c r="FD17">
        <v>1792133269.0999999</v>
      </c>
      <c r="FE17">
        <v>59</v>
      </c>
      <c r="FF17">
        <v>8.0000000000000002E-3</v>
      </c>
      <c r="FG17">
        <v>-1E-3</v>
      </c>
      <c r="FH17">
        <v>0.88900000000000001</v>
      </c>
      <c r="FI17">
        <v>-0.16900000000000001</v>
      </c>
      <c r="FJ17">
        <v>400</v>
      </c>
      <c r="FK17">
        <v>16</v>
      </c>
      <c r="FL17">
        <v>0.21</v>
      </c>
      <c r="FM17">
        <v>0.06</v>
      </c>
      <c r="FN17">
        <v>21.293053856940301</v>
      </c>
      <c r="FO17">
        <v>-0.449924137579016</v>
      </c>
      <c r="FP17">
        <v>7.4095240214545499E-2</v>
      </c>
      <c r="FQ17">
        <v>1</v>
      </c>
      <c r="FR17">
        <v>-9.1877623809523801</v>
      </c>
      <c r="FS17">
        <v>0.12588701298701799</v>
      </c>
      <c r="FT17">
        <v>2.69580670680475E-2</v>
      </c>
      <c r="FU17">
        <v>1</v>
      </c>
      <c r="FV17">
        <v>335.96073529411802</v>
      </c>
      <c r="FW17">
        <v>-0.76991596223367598</v>
      </c>
      <c r="FX17">
        <v>0.20852074361806999</v>
      </c>
      <c r="FY17">
        <v>1</v>
      </c>
      <c r="FZ17">
        <v>3</v>
      </c>
      <c r="GA17">
        <v>3</v>
      </c>
      <c r="GB17" t="s">
        <v>418</v>
      </c>
      <c r="GC17">
        <v>3.12338</v>
      </c>
      <c r="GD17">
        <v>2.7654200000000002</v>
      </c>
      <c r="GE17">
        <v>8.6668800000000004E-2</v>
      </c>
      <c r="GF17">
        <v>9.0553300000000003E-2</v>
      </c>
      <c r="GG17">
        <v>9.3716800000000003E-2</v>
      </c>
      <c r="GH17">
        <v>9.0089000000000002E-2</v>
      </c>
      <c r="GI17">
        <v>17809.8</v>
      </c>
      <c r="GJ17">
        <v>26731.5</v>
      </c>
      <c r="GK17">
        <v>22784.3</v>
      </c>
      <c r="GL17">
        <v>30117.7</v>
      </c>
      <c r="GM17">
        <v>33868.9</v>
      </c>
      <c r="GN17">
        <v>34137.5</v>
      </c>
      <c r="GO17">
        <v>43110.1</v>
      </c>
      <c r="GP17">
        <v>42892.2</v>
      </c>
      <c r="GQ17">
        <v>1.9554800000000001</v>
      </c>
      <c r="GR17">
        <v>1.8211299999999999</v>
      </c>
      <c r="GS17">
        <v>6.9215899999999997E-2</v>
      </c>
      <c r="GT17">
        <v>0</v>
      </c>
      <c r="GU17">
        <v>23.7773</v>
      </c>
      <c r="GV17">
        <v>999.9</v>
      </c>
      <c r="GW17">
        <v>39.768999999999998</v>
      </c>
      <c r="GX17">
        <v>32.981999999999999</v>
      </c>
      <c r="GY17">
        <v>19.747599999999998</v>
      </c>
      <c r="GZ17">
        <v>63.598599999999998</v>
      </c>
      <c r="HA17">
        <v>36.5184</v>
      </c>
      <c r="HB17">
        <v>1</v>
      </c>
      <c r="HC17">
        <v>4.6493899999999998E-2</v>
      </c>
      <c r="HD17">
        <v>1.51393</v>
      </c>
      <c r="HE17">
        <v>20.153300000000002</v>
      </c>
      <c r="HF17">
        <v>5.2340600000000004</v>
      </c>
      <c r="HG17">
        <v>11.962</v>
      </c>
      <c r="HH17">
        <v>4.9691000000000001</v>
      </c>
      <c r="HI17">
        <v>3.2952300000000001</v>
      </c>
      <c r="HJ17">
        <v>9999</v>
      </c>
      <c r="HK17">
        <v>999.9</v>
      </c>
      <c r="HL17">
        <v>9999</v>
      </c>
      <c r="HM17">
        <v>9999</v>
      </c>
      <c r="HN17">
        <v>4.9698099999999998</v>
      </c>
      <c r="HO17">
        <v>1.8640099999999999</v>
      </c>
      <c r="HP17">
        <v>1.86554</v>
      </c>
      <c r="HQ17">
        <v>1.86737</v>
      </c>
      <c r="HR17">
        <v>1.86435</v>
      </c>
      <c r="HS17">
        <v>1.8681099999999999</v>
      </c>
      <c r="HT17">
        <v>1.86487</v>
      </c>
      <c r="HU17">
        <v>1.86676</v>
      </c>
      <c r="HV17">
        <v>0</v>
      </c>
      <c r="HW17">
        <v>0</v>
      </c>
      <c r="HX17">
        <v>0</v>
      </c>
      <c r="HY17">
        <v>0</v>
      </c>
      <c r="HZ17" t="s">
        <v>419</v>
      </c>
      <c r="IA17" t="s">
        <v>420</v>
      </c>
      <c r="IB17" t="s">
        <v>421</v>
      </c>
      <c r="IC17" t="s">
        <v>421</v>
      </c>
      <c r="ID17" t="s">
        <v>421</v>
      </c>
      <c r="IE17" t="s">
        <v>421</v>
      </c>
      <c r="IF17">
        <v>0</v>
      </c>
      <c r="IG17">
        <v>100</v>
      </c>
      <c r="IH17">
        <v>100</v>
      </c>
      <c r="II17">
        <v>0.88500000000000001</v>
      </c>
      <c r="IJ17">
        <v>-0.1096</v>
      </c>
      <c r="IK17">
        <v>0.76241753176040306</v>
      </c>
      <c r="IL17">
        <v>2.16929631606078E-4</v>
      </c>
      <c r="IM17">
        <v>2.7226302473163502E-7</v>
      </c>
      <c r="IN17">
        <v>-5.4379205123515401E-11</v>
      </c>
      <c r="IO17">
        <v>-2.23200634219273E-2</v>
      </c>
      <c r="IP17">
        <v>-5.8443384954566899E-2</v>
      </c>
      <c r="IQ17">
        <v>3.41568706061026E-3</v>
      </c>
      <c r="IR17">
        <v>-2.10952612506686E-5</v>
      </c>
      <c r="IS17">
        <v>0</v>
      </c>
      <c r="IT17">
        <v>1734</v>
      </c>
      <c r="IU17">
        <v>2</v>
      </c>
      <c r="IV17">
        <v>19</v>
      </c>
      <c r="IW17">
        <v>1</v>
      </c>
      <c r="IX17">
        <v>1.1000000000000001</v>
      </c>
      <c r="IY17">
        <v>1.0522499999999999</v>
      </c>
      <c r="IZ17">
        <v>2.5585900000000001</v>
      </c>
      <c r="JA17">
        <v>1.3464400000000001</v>
      </c>
      <c r="JB17">
        <v>2.2558600000000002</v>
      </c>
      <c r="JC17">
        <v>1.5502899999999999</v>
      </c>
      <c r="JD17">
        <v>2.66357</v>
      </c>
      <c r="JE17">
        <v>39.142800000000001</v>
      </c>
      <c r="JF17">
        <v>23.7986</v>
      </c>
      <c r="JG17">
        <v>18</v>
      </c>
      <c r="JH17">
        <v>487.38099999999997</v>
      </c>
      <c r="JI17">
        <v>478.23899999999998</v>
      </c>
      <c r="JJ17">
        <v>22.0932</v>
      </c>
      <c r="JK17">
        <v>27.7685</v>
      </c>
      <c r="JL17">
        <v>30</v>
      </c>
      <c r="JM17">
        <v>27.7288</v>
      </c>
      <c r="JN17">
        <v>27.735399999999998</v>
      </c>
      <c r="JO17">
        <v>21.057200000000002</v>
      </c>
      <c r="JP17">
        <v>28.249199999999998</v>
      </c>
      <c r="JQ17">
        <v>47.197600000000001</v>
      </c>
      <c r="JR17">
        <v>22.1509</v>
      </c>
      <c r="JS17">
        <v>400</v>
      </c>
      <c r="JT17">
        <v>15.773999999999999</v>
      </c>
      <c r="JU17">
        <v>101.79300000000001</v>
      </c>
      <c r="JV17">
        <v>97.401399999999995</v>
      </c>
    </row>
    <row r="18" spans="1:282" x14ac:dyDescent="0.3">
      <c r="A18">
        <v>2</v>
      </c>
      <c r="B18">
        <v>1792133457.0999999</v>
      </c>
      <c r="C18">
        <v>121</v>
      </c>
      <c r="D18" t="s">
        <v>422</v>
      </c>
      <c r="E18" t="s">
        <v>423</v>
      </c>
      <c r="F18">
        <v>5</v>
      </c>
      <c r="G18">
        <v>1792133454.0999999</v>
      </c>
      <c r="H18">
        <f t="shared" si="0"/>
        <v>4.1279691581282002E-3</v>
      </c>
      <c r="I18">
        <f t="shared" si="1"/>
        <v>4.1279691581282005</v>
      </c>
      <c r="J18">
        <f t="shared" si="2"/>
        <v>15.459294171751191</v>
      </c>
      <c r="K18">
        <f t="shared" si="3"/>
        <v>293.33339999999998</v>
      </c>
      <c r="L18">
        <f t="shared" si="4"/>
        <v>203.46899834333396</v>
      </c>
      <c r="M18">
        <f t="shared" si="5"/>
        <v>20.701358964539054</v>
      </c>
      <c r="N18">
        <f t="shared" si="6"/>
        <v>29.844350044138618</v>
      </c>
      <c r="O18">
        <f t="shared" si="7"/>
        <v>0.30758646174743398</v>
      </c>
      <c r="P18">
        <f t="shared" si="8"/>
        <v>3.0380433875123316</v>
      </c>
      <c r="Q18">
        <f t="shared" si="9"/>
        <v>0.2912736856674113</v>
      </c>
      <c r="R18">
        <f t="shared" si="10"/>
        <v>0.18343956401952052</v>
      </c>
      <c r="S18">
        <f t="shared" si="11"/>
        <v>241.74731720274116</v>
      </c>
      <c r="T18">
        <f t="shared" si="12"/>
        <v>25.539209328326606</v>
      </c>
      <c r="U18">
        <f t="shared" si="13"/>
        <v>25.0214</v>
      </c>
      <c r="V18">
        <f t="shared" si="14"/>
        <v>3.1837366392403297</v>
      </c>
      <c r="W18">
        <f t="shared" si="15"/>
        <v>55.228886809218302</v>
      </c>
      <c r="X18">
        <f t="shared" si="16"/>
        <v>1.7769864602220797</v>
      </c>
      <c r="Y18">
        <f t="shared" si="17"/>
        <v>3.2174946171927576</v>
      </c>
      <c r="Z18">
        <f t="shared" si="18"/>
        <v>1.4067501790182499</v>
      </c>
      <c r="AA18">
        <f t="shared" si="19"/>
        <v>-182.04343987345362</v>
      </c>
      <c r="AB18">
        <f t="shared" si="20"/>
        <v>29.000125353745577</v>
      </c>
      <c r="AC18">
        <f t="shared" si="21"/>
        <v>2.0213730773749528</v>
      </c>
      <c r="AD18">
        <f t="shared" si="22"/>
        <v>90.72537576040807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54068.764429561525</v>
      </c>
      <c r="AJ18" t="s">
        <v>415</v>
      </c>
      <c r="AK18" t="s">
        <v>415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415</v>
      </c>
      <c r="AQ18" t="s">
        <v>415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1261.2631794832855</v>
      </c>
      <c r="AW18">
        <f t="shared" si="29"/>
        <v>15.459294171751191</v>
      </c>
      <c r="AX18" t="e">
        <f t="shared" si="30"/>
        <v>#DIV/0!</v>
      </c>
      <c r="AY18">
        <f t="shared" si="31"/>
        <v>1.225699316623558E-2</v>
      </c>
      <c r="AZ18" t="e">
        <f t="shared" si="32"/>
        <v>#DIV/0!</v>
      </c>
      <c r="BA18" t="e">
        <f t="shared" si="33"/>
        <v>#DIV/0!</v>
      </c>
      <c r="BB18" t="s">
        <v>415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BL18">
        <v>1111</v>
      </c>
      <c r="BM18">
        <v>290</v>
      </c>
      <c r="BN18">
        <v>927.93</v>
      </c>
      <c r="BO18">
        <v>225</v>
      </c>
      <c r="BP18">
        <v>8123.51</v>
      </c>
      <c r="BQ18">
        <v>924.3</v>
      </c>
      <c r="BR18">
        <v>3.63</v>
      </c>
      <c r="BS18">
        <v>300</v>
      </c>
      <c r="BT18">
        <v>19.3</v>
      </c>
      <c r="BU18">
        <v>955.27281112415801</v>
      </c>
      <c r="BV18">
        <v>1.6167142888188699</v>
      </c>
      <c r="BW18">
        <v>-25.163037676813001</v>
      </c>
      <c r="BX18">
        <v>1.1737689531451101</v>
      </c>
      <c r="BY18">
        <v>0.942573498846068</v>
      </c>
      <c r="BZ18">
        <v>-5.3880809788654001E-3</v>
      </c>
      <c r="CA18">
        <v>290</v>
      </c>
      <c r="CB18">
        <v>915.78</v>
      </c>
      <c r="CC18">
        <v>615</v>
      </c>
      <c r="CD18">
        <v>8112.29</v>
      </c>
      <c r="CE18">
        <v>924.25</v>
      </c>
      <c r="CF18">
        <v>-8.4700000000000006</v>
      </c>
      <c r="CT18">
        <f t="shared" si="42"/>
        <v>1500.0619999999999</v>
      </c>
      <c r="CU18">
        <f t="shared" si="43"/>
        <v>1261.2631794832855</v>
      </c>
      <c r="CV18">
        <f t="shared" si="44"/>
        <v>0.84080736628438402</v>
      </c>
      <c r="CW18">
        <f t="shared" si="45"/>
        <v>0.16115821692886106</v>
      </c>
      <c r="CX18">
        <v>2</v>
      </c>
      <c r="CY18">
        <v>0.5</v>
      </c>
      <c r="CZ18" t="s">
        <v>416</v>
      </c>
      <c r="DA18">
        <v>2</v>
      </c>
      <c r="DB18">
        <v>1792133454.0999999</v>
      </c>
      <c r="DC18">
        <v>293.33339999999998</v>
      </c>
      <c r="DD18">
        <v>299.99880000000002</v>
      </c>
      <c r="DE18">
        <v>17.465599999999998</v>
      </c>
      <c r="DF18">
        <v>15.8439</v>
      </c>
      <c r="DG18">
        <v>292.62479999999999</v>
      </c>
      <c r="DH18">
        <v>17.5745</v>
      </c>
      <c r="DI18">
        <v>500.2</v>
      </c>
      <c r="DJ18">
        <v>101.642</v>
      </c>
      <c r="DK18">
        <v>0.1000793</v>
      </c>
      <c r="DL18">
        <v>25.198460000000001</v>
      </c>
      <c r="DM18">
        <v>25.0214</v>
      </c>
      <c r="DN18">
        <v>999.9</v>
      </c>
      <c r="DO18">
        <v>0</v>
      </c>
      <c r="DP18">
        <v>0</v>
      </c>
      <c r="DQ18">
        <v>9999.74</v>
      </c>
      <c r="DR18">
        <v>0</v>
      </c>
      <c r="DS18">
        <v>7.0928100000000001</v>
      </c>
      <c r="DT18">
        <v>-6.6653979999999997</v>
      </c>
      <c r="DU18">
        <v>298.54759999999999</v>
      </c>
      <c r="DV18">
        <v>304.82859999999999</v>
      </c>
      <c r="DW18">
        <v>1.6216699999999999</v>
      </c>
      <c r="DX18">
        <v>299.99880000000002</v>
      </c>
      <c r="DY18">
        <v>15.8439</v>
      </c>
      <c r="DZ18">
        <v>1.7752380000000001</v>
      </c>
      <c r="EA18">
        <v>1.6104099999999999</v>
      </c>
      <c r="EB18">
        <v>15.570460000000001</v>
      </c>
      <c r="EC18">
        <v>14.05878</v>
      </c>
      <c r="ED18">
        <v>1500.0619999999999</v>
      </c>
      <c r="EE18">
        <v>0.97299639999999998</v>
      </c>
      <c r="EF18">
        <v>2.700346E-2</v>
      </c>
      <c r="EG18">
        <v>0</v>
      </c>
      <c r="EH18">
        <v>334.05360000000002</v>
      </c>
      <c r="EI18">
        <v>5.0006399999999998</v>
      </c>
      <c r="EJ18">
        <v>5170.2520000000004</v>
      </c>
      <c r="EK18">
        <v>15439.84</v>
      </c>
      <c r="EL18">
        <v>40.311999999999998</v>
      </c>
      <c r="EM18">
        <v>41</v>
      </c>
      <c r="EN18">
        <v>40.686999999999998</v>
      </c>
      <c r="EO18">
        <v>40.625</v>
      </c>
      <c r="EP18">
        <v>41.875</v>
      </c>
      <c r="EQ18">
        <v>1454.692</v>
      </c>
      <c r="ER18">
        <v>40.369999999999997</v>
      </c>
      <c r="ES18">
        <v>0</v>
      </c>
      <c r="ET18">
        <v>3513.8999998569502</v>
      </c>
      <c r="EU18">
        <v>0</v>
      </c>
      <c r="EV18">
        <v>334.02846153846201</v>
      </c>
      <c r="EW18">
        <v>-0.37955556022646197</v>
      </c>
      <c r="EX18">
        <v>-4.1138461804491104</v>
      </c>
      <c r="EY18">
        <v>5170.4057692307697</v>
      </c>
      <c r="EZ18">
        <v>15</v>
      </c>
      <c r="FA18">
        <v>1792133414.0999999</v>
      </c>
      <c r="FB18" t="s">
        <v>424</v>
      </c>
      <c r="FC18">
        <v>1792133414.0999999</v>
      </c>
      <c r="FD18">
        <v>1792133410.0999999</v>
      </c>
      <c r="FE18">
        <v>60</v>
      </c>
      <c r="FF18">
        <v>-0.13900000000000001</v>
      </c>
      <c r="FG18">
        <v>0</v>
      </c>
      <c r="FH18">
        <v>0.71099999999999997</v>
      </c>
      <c r="FI18">
        <v>-0.17</v>
      </c>
      <c r="FJ18">
        <v>300</v>
      </c>
      <c r="FK18">
        <v>16</v>
      </c>
      <c r="FL18">
        <v>0.33</v>
      </c>
      <c r="FM18">
        <v>0.04</v>
      </c>
      <c r="FN18">
        <v>15.515913481436099</v>
      </c>
      <c r="FO18">
        <v>-2.4631820145724601E-2</v>
      </c>
      <c r="FP18">
        <v>9.6291316505348307E-2</v>
      </c>
      <c r="FQ18">
        <v>1</v>
      </c>
      <c r="FR18">
        <v>-6.6912105000000004</v>
      </c>
      <c r="FS18">
        <v>-9.4497744360939502E-3</v>
      </c>
      <c r="FT18">
        <v>3.8429226439651402E-2</v>
      </c>
      <c r="FU18">
        <v>1</v>
      </c>
      <c r="FV18">
        <v>334.02320588235301</v>
      </c>
      <c r="FW18">
        <v>0.165423987359061</v>
      </c>
      <c r="FX18">
        <v>0.16347652816082101</v>
      </c>
      <c r="FY18">
        <v>1</v>
      </c>
      <c r="FZ18">
        <v>3</v>
      </c>
      <c r="GA18">
        <v>3</v>
      </c>
      <c r="GB18" t="s">
        <v>418</v>
      </c>
      <c r="GC18">
        <v>3.12344</v>
      </c>
      <c r="GD18">
        <v>2.7653599999999998</v>
      </c>
      <c r="GE18">
        <v>6.9084300000000001E-2</v>
      </c>
      <c r="GF18">
        <v>7.2222099999999997E-2</v>
      </c>
      <c r="GG18">
        <v>9.3735100000000002E-2</v>
      </c>
      <c r="GH18">
        <v>9.0425400000000003E-2</v>
      </c>
      <c r="GI18">
        <v>18151.5</v>
      </c>
      <c r="GJ18">
        <v>27267.200000000001</v>
      </c>
      <c r="GK18">
        <v>22782.9</v>
      </c>
      <c r="GL18">
        <v>30114.3</v>
      </c>
      <c r="GM18">
        <v>33864.699999999997</v>
      </c>
      <c r="GN18">
        <v>34120.300000000003</v>
      </c>
      <c r="GO18">
        <v>43106.8</v>
      </c>
      <c r="GP18">
        <v>42888.1</v>
      </c>
      <c r="GQ18">
        <v>1.9549700000000001</v>
      </c>
      <c r="GR18">
        <v>1.8199799999999999</v>
      </c>
      <c r="GS18">
        <v>7.5306700000000004E-2</v>
      </c>
      <c r="GT18">
        <v>0</v>
      </c>
      <c r="GU18">
        <v>23.756599999999999</v>
      </c>
      <c r="GV18">
        <v>999.9</v>
      </c>
      <c r="GW18">
        <v>39.567999999999998</v>
      </c>
      <c r="GX18">
        <v>33.021999999999998</v>
      </c>
      <c r="GY18">
        <v>19.692399999999999</v>
      </c>
      <c r="GZ18">
        <v>63.348599999999998</v>
      </c>
      <c r="HA18">
        <v>36.314100000000003</v>
      </c>
      <c r="HB18">
        <v>1</v>
      </c>
      <c r="HC18">
        <v>5.1880099999999998E-2</v>
      </c>
      <c r="HD18">
        <v>2.0974400000000002</v>
      </c>
      <c r="HE18">
        <v>20.147099999999998</v>
      </c>
      <c r="HF18">
        <v>5.2324099999999998</v>
      </c>
      <c r="HG18">
        <v>11.962</v>
      </c>
      <c r="HH18">
        <v>4.9688499999999998</v>
      </c>
      <c r="HI18">
        <v>3.29515</v>
      </c>
      <c r="HJ18">
        <v>9999</v>
      </c>
      <c r="HK18">
        <v>999.9</v>
      </c>
      <c r="HL18">
        <v>9999</v>
      </c>
      <c r="HM18">
        <v>9999</v>
      </c>
      <c r="HN18">
        <v>4.96983</v>
      </c>
      <c r="HO18">
        <v>1.8640099999999999</v>
      </c>
      <c r="HP18">
        <v>1.86554</v>
      </c>
      <c r="HQ18">
        <v>1.86737</v>
      </c>
      <c r="HR18">
        <v>1.8643400000000001</v>
      </c>
      <c r="HS18">
        <v>1.8681300000000001</v>
      </c>
      <c r="HT18">
        <v>1.8648400000000001</v>
      </c>
      <c r="HU18">
        <v>1.86676</v>
      </c>
      <c r="HV18">
        <v>0</v>
      </c>
      <c r="HW18">
        <v>0</v>
      </c>
      <c r="HX18">
        <v>0</v>
      </c>
      <c r="HY18">
        <v>0</v>
      </c>
      <c r="HZ18" t="s">
        <v>419</v>
      </c>
      <c r="IA18" t="s">
        <v>420</v>
      </c>
      <c r="IB18" t="s">
        <v>421</v>
      </c>
      <c r="IC18" t="s">
        <v>421</v>
      </c>
      <c r="ID18" t="s">
        <v>421</v>
      </c>
      <c r="IE18" t="s">
        <v>421</v>
      </c>
      <c r="IF18">
        <v>0</v>
      </c>
      <c r="IG18">
        <v>100</v>
      </c>
      <c r="IH18">
        <v>100</v>
      </c>
      <c r="II18">
        <v>0.70899999999999996</v>
      </c>
      <c r="IJ18">
        <v>-0.10920000000000001</v>
      </c>
      <c r="IK18">
        <v>0.62324426713589798</v>
      </c>
      <c r="IL18">
        <v>2.16929631606078E-4</v>
      </c>
      <c r="IM18">
        <v>2.7226302473163502E-7</v>
      </c>
      <c r="IN18">
        <v>-5.4379205123515401E-11</v>
      </c>
      <c r="IO18">
        <v>-2.2255644740333501E-2</v>
      </c>
      <c r="IP18">
        <v>-5.8443384954566899E-2</v>
      </c>
      <c r="IQ18">
        <v>3.41568706061026E-3</v>
      </c>
      <c r="IR18">
        <v>-2.10952612506686E-5</v>
      </c>
      <c r="IS18">
        <v>0</v>
      </c>
      <c r="IT18">
        <v>1734</v>
      </c>
      <c r="IU18">
        <v>2</v>
      </c>
      <c r="IV18">
        <v>19</v>
      </c>
      <c r="IW18">
        <v>0.7</v>
      </c>
      <c r="IX18">
        <v>0.8</v>
      </c>
      <c r="IY18">
        <v>0.84472700000000001</v>
      </c>
      <c r="IZ18">
        <v>2.5573700000000001</v>
      </c>
      <c r="JA18">
        <v>1.3464400000000001</v>
      </c>
      <c r="JB18">
        <v>2.2558600000000002</v>
      </c>
      <c r="JC18">
        <v>1.5502899999999999</v>
      </c>
      <c r="JD18">
        <v>2.6940900000000001</v>
      </c>
      <c r="JE18">
        <v>39.192399999999999</v>
      </c>
      <c r="JF18">
        <v>23.807300000000001</v>
      </c>
      <c r="JG18">
        <v>18</v>
      </c>
      <c r="JH18">
        <v>487.50400000000002</v>
      </c>
      <c r="JI18">
        <v>477.90199999999999</v>
      </c>
      <c r="JJ18">
        <v>21.7834</v>
      </c>
      <c r="JK18">
        <v>27.8157</v>
      </c>
      <c r="JL18">
        <v>30.000299999999999</v>
      </c>
      <c r="JM18">
        <v>27.779299999999999</v>
      </c>
      <c r="JN18">
        <v>27.786799999999999</v>
      </c>
      <c r="JO18">
        <v>16.930900000000001</v>
      </c>
      <c r="JP18">
        <v>27.7944</v>
      </c>
      <c r="JQ18">
        <v>46.825800000000001</v>
      </c>
      <c r="JR18">
        <v>21.765699999999999</v>
      </c>
      <c r="JS18">
        <v>300</v>
      </c>
      <c r="JT18">
        <v>15.7988</v>
      </c>
      <c r="JU18">
        <v>101.786</v>
      </c>
      <c r="JV18">
        <v>97.391400000000004</v>
      </c>
    </row>
    <row r="19" spans="1:282" x14ac:dyDescent="0.3">
      <c r="A19">
        <v>3</v>
      </c>
      <c r="B19">
        <v>1792133578.0999999</v>
      </c>
      <c r="C19">
        <v>242</v>
      </c>
      <c r="D19" t="s">
        <v>425</v>
      </c>
      <c r="E19" t="s">
        <v>426</v>
      </c>
      <c r="F19">
        <v>5</v>
      </c>
      <c r="G19">
        <v>1792133575.0999999</v>
      </c>
      <c r="H19">
        <f t="shared" si="0"/>
        <v>4.2128998345635806E-3</v>
      </c>
      <c r="I19">
        <f t="shared" si="1"/>
        <v>4.2128998345635802</v>
      </c>
      <c r="J19">
        <f t="shared" si="2"/>
        <v>9.2264065802849995</v>
      </c>
      <c r="K19">
        <f t="shared" si="3"/>
        <v>195.9966</v>
      </c>
      <c r="L19">
        <f t="shared" si="4"/>
        <v>142.71800847979569</v>
      </c>
      <c r="M19">
        <f t="shared" si="5"/>
        <v>14.520771337678788</v>
      </c>
      <c r="N19">
        <f t="shared" si="6"/>
        <v>19.941574590885637</v>
      </c>
      <c r="O19">
        <f t="shared" si="7"/>
        <v>0.31308987587757092</v>
      </c>
      <c r="P19">
        <f t="shared" si="8"/>
        <v>3.0363026086896112</v>
      </c>
      <c r="Q19">
        <f t="shared" si="9"/>
        <v>0.29619621860115108</v>
      </c>
      <c r="R19">
        <f t="shared" si="10"/>
        <v>0.18656446530742077</v>
      </c>
      <c r="S19">
        <f t="shared" si="11"/>
        <v>241.72178120263482</v>
      </c>
      <c r="T19">
        <f t="shared" si="12"/>
        <v>25.498822202849635</v>
      </c>
      <c r="U19">
        <f t="shared" si="13"/>
        <v>25.013179999999998</v>
      </c>
      <c r="V19">
        <f t="shared" si="14"/>
        <v>3.1821769738254537</v>
      </c>
      <c r="W19">
        <f t="shared" si="15"/>
        <v>55.081931171038889</v>
      </c>
      <c r="X19">
        <f t="shared" si="16"/>
        <v>1.7702503894216912</v>
      </c>
      <c r="Y19">
        <f t="shared" si="17"/>
        <v>3.2138495361115038</v>
      </c>
      <c r="Z19">
        <f t="shared" si="18"/>
        <v>1.4119265844037625</v>
      </c>
      <c r="AA19">
        <f t="shared" si="19"/>
        <v>-185.78888270425389</v>
      </c>
      <c r="AB19">
        <f t="shared" si="20"/>
        <v>27.212348630883781</v>
      </c>
      <c r="AC19">
        <f t="shared" si="21"/>
        <v>1.8975882033609719</v>
      </c>
      <c r="AD19">
        <f t="shared" si="22"/>
        <v>85.042835332625685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54017.73003611865</v>
      </c>
      <c r="AJ19" t="s">
        <v>415</v>
      </c>
      <c r="AK19" t="s">
        <v>415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415</v>
      </c>
      <c r="AQ19" t="s">
        <v>415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1261.1287794832306</v>
      </c>
      <c r="AW19">
        <f t="shared" si="29"/>
        <v>9.2264065802849995</v>
      </c>
      <c r="AX19" t="e">
        <f t="shared" si="30"/>
        <v>#DIV/0!</v>
      </c>
      <c r="AY19">
        <f t="shared" si="31"/>
        <v>7.3159908253506668E-3</v>
      </c>
      <c r="AZ19" t="e">
        <f t="shared" si="32"/>
        <v>#DIV/0!</v>
      </c>
      <c r="BA19" t="e">
        <f t="shared" si="33"/>
        <v>#DIV/0!</v>
      </c>
      <c r="BB19" t="s">
        <v>415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BL19">
        <v>1111</v>
      </c>
      <c r="BM19">
        <v>290</v>
      </c>
      <c r="BN19">
        <v>927.93</v>
      </c>
      <c r="BO19">
        <v>225</v>
      </c>
      <c r="BP19">
        <v>8123.51</v>
      </c>
      <c r="BQ19">
        <v>924.3</v>
      </c>
      <c r="BR19">
        <v>3.63</v>
      </c>
      <c r="BS19">
        <v>300</v>
      </c>
      <c r="BT19">
        <v>19.3</v>
      </c>
      <c r="BU19">
        <v>955.27281112415801</v>
      </c>
      <c r="BV19">
        <v>1.6167142888188699</v>
      </c>
      <c r="BW19">
        <v>-25.163037676813001</v>
      </c>
      <c r="BX19">
        <v>1.1737689531451101</v>
      </c>
      <c r="BY19">
        <v>0.942573498846068</v>
      </c>
      <c r="BZ19">
        <v>-5.3880809788654001E-3</v>
      </c>
      <c r="CA19">
        <v>290</v>
      </c>
      <c r="CB19">
        <v>915.78</v>
      </c>
      <c r="CC19">
        <v>615</v>
      </c>
      <c r="CD19">
        <v>8112.29</v>
      </c>
      <c r="CE19">
        <v>924.25</v>
      </c>
      <c r="CF19">
        <v>-8.4700000000000006</v>
      </c>
      <c r="CT19">
        <f t="shared" si="42"/>
        <v>1499.902</v>
      </c>
      <c r="CU19">
        <f t="shared" si="43"/>
        <v>1261.1287794832306</v>
      </c>
      <c r="CV19">
        <f t="shared" si="44"/>
        <v>0.84080745240904442</v>
      </c>
      <c r="CW19">
        <f t="shared" si="45"/>
        <v>0.16115838314945563</v>
      </c>
      <c r="CX19">
        <v>2</v>
      </c>
      <c r="CY19">
        <v>0.5</v>
      </c>
      <c r="CZ19" t="s">
        <v>416</v>
      </c>
      <c r="DA19">
        <v>2</v>
      </c>
      <c r="DB19">
        <v>1792133575.0999999</v>
      </c>
      <c r="DC19">
        <v>195.9966</v>
      </c>
      <c r="DD19">
        <v>200.01740000000001</v>
      </c>
      <c r="DE19">
        <v>17.398980000000002</v>
      </c>
      <c r="DF19">
        <v>15.74316</v>
      </c>
      <c r="DG19">
        <v>195.49879999999999</v>
      </c>
      <c r="DH19">
        <v>17.5136</v>
      </c>
      <c r="DI19">
        <v>500.00599999999997</v>
      </c>
      <c r="DJ19">
        <v>101.6444</v>
      </c>
      <c r="DK19">
        <v>0.10009245999999999</v>
      </c>
      <c r="DL19">
        <v>25.17942</v>
      </c>
      <c r="DM19">
        <v>25.013179999999998</v>
      </c>
      <c r="DN19">
        <v>999.9</v>
      </c>
      <c r="DO19">
        <v>0</v>
      </c>
      <c r="DP19">
        <v>0</v>
      </c>
      <c r="DQ19">
        <v>9988.99</v>
      </c>
      <c r="DR19">
        <v>0</v>
      </c>
      <c r="DS19">
        <v>7.0928100000000001</v>
      </c>
      <c r="DT19">
        <v>-4.0206239999999998</v>
      </c>
      <c r="DU19">
        <v>199.46700000000001</v>
      </c>
      <c r="DV19">
        <v>203.2166</v>
      </c>
      <c r="DW19">
        <v>1.655818</v>
      </c>
      <c r="DX19">
        <v>200.01740000000001</v>
      </c>
      <c r="DY19">
        <v>15.74316</v>
      </c>
      <c r="DZ19">
        <v>1.76851</v>
      </c>
      <c r="EA19">
        <v>1.600206</v>
      </c>
      <c r="EB19">
        <v>15.511200000000001</v>
      </c>
      <c r="EC19">
        <v>13.960800000000001</v>
      </c>
      <c r="ED19">
        <v>1499.902</v>
      </c>
      <c r="EE19">
        <v>0.97299400000000003</v>
      </c>
      <c r="EF19">
        <v>2.70058E-2</v>
      </c>
      <c r="EG19">
        <v>0</v>
      </c>
      <c r="EH19">
        <v>333.70859999999999</v>
      </c>
      <c r="EI19">
        <v>5.0006399999999998</v>
      </c>
      <c r="EJ19">
        <v>5166.0739999999996</v>
      </c>
      <c r="EK19">
        <v>15438.2</v>
      </c>
      <c r="EL19">
        <v>40.375</v>
      </c>
      <c r="EM19">
        <v>41.061999999999998</v>
      </c>
      <c r="EN19">
        <v>40.75</v>
      </c>
      <c r="EO19">
        <v>40.686999999999998</v>
      </c>
      <c r="EP19">
        <v>41.936999999999998</v>
      </c>
      <c r="EQ19">
        <v>1454.5319999999999</v>
      </c>
      <c r="ER19">
        <v>40.369999999999997</v>
      </c>
      <c r="ES19">
        <v>0</v>
      </c>
      <c r="ET19">
        <v>3635.0999999046298</v>
      </c>
      <c r="EU19">
        <v>0</v>
      </c>
      <c r="EV19">
        <v>333.75626923076902</v>
      </c>
      <c r="EW19">
        <v>-9.1316237185806101E-2</v>
      </c>
      <c r="EX19">
        <v>0.72923078611780701</v>
      </c>
      <c r="EY19">
        <v>5166.3865384615401</v>
      </c>
      <c r="EZ19">
        <v>15</v>
      </c>
      <c r="FA19">
        <v>1792133527.0999999</v>
      </c>
      <c r="FB19" t="s">
        <v>427</v>
      </c>
      <c r="FC19">
        <v>1792133527.0999999</v>
      </c>
      <c r="FD19">
        <v>1792133521.0999999</v>
      </c>
      <c r="FE19">
        <v>61</v>
      </c>
      <c r="FF19">
        <v>-0.17799999999999999</v>
      </c>
      <c r="FG19">
        <v>-3.0000000000000001E-3</v>
      </c>
      <c r="FH19">
        <v>0.499</v>
      </c>
      <c r="FI19">
        <v>-0.17299999999999999</v>
      </c>
      <c r="FJ19">
        <v>200</v>
      </c>
      <c r="FK19">
        <v>16</v>
      </c>
      <c r="FL19">
        <v>0.37</v>
      </c>
      <c r="FM19">
        <v>0.04</v>
      </c>
      <c r="FN19">
        <v>9.1917537343995495</v>
      </c>
      <c r="FO19">
        <v>0.111948227545136</v>
      </c>
      <c r="FP19">
        <v>5.3039926369346901E-2</v>
      </c>
      <c r="FQ19">
        <v>1</v>
      </c>
      <c r="FR19">
        <v>-4.0081366666666698</v>
      </c>
      <c r="FS19">
        <v>-3.1941038961042903E-2</v>
      </c>
      <c r="FT19">
        <v>2.09939874234626E-2</v>
      </c>
      <c r="FU19">
        <v>1</v>
      </c>
      <c r="FV19">
        <v>333.75614705882401</v>
      </c>
      <c r="FW19">
        <v>-0.391673030820816</v>
      </c>
      <c r="FX19">
        <v>0.18179256639706801</v>
      </c>
      <c r="FY19">
        <v>1</v>
      </c>
      <c r="FZ19">
        <v>3</v>
      </c>
      <c r="GA19">
        <v>3</v>
      </c>
      <c r="GB19" t="s">
        <v>418</v>
      </c>
      <c r="GC19">
        <v>3.1235499999999998</v>
      </c>
      <c r="GD19">
        <v>2.76545</v>
      </c>
      <c r="GE19">
        <v>4.9157300000000001E-2</v>
      </c>
      <c r="GF19">
        <v>5.13867E-2</v>
      </c>
      <c r="GG19">
        <v>9.3498499999999998E-2</v>
      </c>
      <c r="GH19">
        <v>9.0016100000000002E-2</v>
      </c>
      <c r="GI19">
        <v>18538.599999999999</v>
      </c>
      <c r="GJ19">
        <v>27877.200000000001</v>
      </c>
      <c r="GK19">
        <v>22781.200000000001</v>
      </c>
      <c r="GL19">
        <v>30111.7</v>
      </c>
      <c r="GM19">
        <v>33870.1</v>
      </c>
      <c r="GN19">
        <v>34132</v>
      </c>
      <c r="GO19">
        <v>43103.4</v>
      </c>
      <c r="GP19">
        <v>42885.1</v>
      </c>
      <c r="GQ19">
        <v>1.95495</v>
      </c>
      <c r="GR19">
        <v>1.8181700000000001</v>
      </c>
      <c r="GS19">
        <v>7.8286999999999995E-2</v>
      </c>
      <c r="GT19">
        <v>0</v>
      </c>
      <c r="GU19">
        <v>23.731999999999999</v>
      </c>
      <c r="GV19">
        <v>999.9</v>
      </c>
      <c r="GW19">
        <v>39.433999999999997</v>
      </c>
      <c r="GX19">
        <v>33.082999999999998</v>
      </c>
      <c r="GY19">
        <v>19.692</v>
      </c>
      <c r="GZ19">
        <v>63.128599999999999</v>
      </c>
      <c r="HA19">
        <v>36.642600000000002</v>
      </c>
      <c r="HB19">
        <v>1</v>
      </c>
      <c r="HC19">
        <v>5.4806899999999999E-2</v>
      </c>
      <c r="HD19">
        <v>1.9065300000000001</v>
      </c>
      <c r="HE19">
        <v>20.1492</v>
      </c>
      <c r="HF19">
        <v>5.2301700000000002</v>
      </c>
      <c r="HG19">
        <v>11.962</v>
      </c>
      <c r="HH19">
        <v>4.9688499999999998</v>
      </c>
      <c r="HI19">
        <v>3.2952499999999998</v>
      </c>
      <c r="HJ19">
        <v>9999</v>
      </c>
      <c r="HK19">
        <v>999.9</v>
      </c>
      <c r="HL19">
        <v>9999</v>
      </c>
      <c r="HM19">
        <v>9999</v>
      </c>
      <c r="HN19">
        <v>4.96983</v>
      </c>
      <c r="HO19">
        <v>1.8640099999999999</v>
      </c>
      <c r="HP19">
        <v>1.86554</v>
      </c>
      <c r="HQ19">
        <v>1.86737</v>
      </c>
      <c r="HR19">
        <v>1.86436</v>
      </c>
      <c r="HS19">
        <v>1.86812</v>
      </c>
      <c r="HT19">
        <v>1.8648800000000001</v>
      </c>
      <c r="HU19">
        <v>1.86676</v>
      </c>
      <c r="HV19">
        <v>0</v>
      </c>
      <c r="HW19">
        <v>0</v>
      </c>
      <c r="HX19">
        <v>0</v>
      </c>
      <c r="HY19">
        <v>0</v>
      </c>
      <c r="HZ19" t="s">
        <v>419</v>
      </c>
      <c r="IA19" t="s">
        <v>420</v>
      </c>
      <c r="IB19" t="s">
        <v>421</v>
      </c>
      <c r="IC19" t="s">
        <v>421</v>
      </c>
      <c r="ID19" t="s">
        <v>421</v>
      </c>
      <c r="IE19" t="s">
        <v>421</v>
      </c>
      <c r="IF19">
        <v>0</v>
      </c>
      <c r="IG19">
        <v>100</v>
      </c>
      <c r="IH19">
        <v>100</v>
      </c>
      <c r="II19">
        <v>0.497</v>
      </c>
      <c r="IJ19">
        <v>-0.1149</v>
      </c>
      <c r="IK19">
        <v>0.44534782058581202</v>
      </c>
      <c r="IL19">
        <v>2.16929631606078E-4</v>
      </c>
      <c r="IM19">
        <v>2.7226302473163502E-7</v>
      </c>
      <c r="IN19">
        <v>-5.4379205123515401E-11</v>
      </c>
      <c r="IO19">
        <v>-2.5460904175769499E-2</v>
      </c>
      <c r="IP19">
        <v>-5.8443384954566899E-2</v>
      </c>
      <c r="IQ19">
        <v>3.41568706061026E-3</v>
      </c>
      <c r="IR19">
        <v>-2.10952612506686E-5</v>
      </c>
      <c r="IS19">
        <v>0</v>
      </c>
      <c r="IT19">
        <v>1734</v>
      </c>
      <c r="IU19">
        <v>2</v>
      </c>
      <c r="IV19">
        <v>19</v>
      </c>
      <c r="IW19">
        <v>0.8</v>
      </c>
      <c r="IX19">
        <v>0.9</v>
      </c>
      <c r="IY19">
        <v>0.631104</v>
      </c>
      <c r="IZ19">
        <v>2.5830099999999998</v>
      </c>
      <c r="JA19">
        <v>1.3476600000000001</v>
      </c>
      <c r="JB19">
        <v>2.2558600000000002</v>
      </c>
      <c r="JC19">
        <v>1.5502899999999999</v>
      </c>
      <c r="JD19">
        <v>2.4694799999999999</v>
      </c>
      <c r="JE19">
        <v>39.267099999999999</v>
      </c>
      <c r="JF19">
        <v>23.7986</v>
      </c>
      <c r="JG19">
        <v>18</v>
      </c>
      <c r="JH19">
        <v>487.91300000000001</v>
      </c>
      <c r="JI19">
        <v>477.10700000000003</v>
      </c>
      <c r="JJ19">
        <v>21.982700000000001</v>
      </c>
      <c r="JK19">
        <v>27.8642</v>
      </c>
      <c r="JL19">
        <v>30.000499999999999</v>
      </c>
      <c r="JM19">
        <v>27.8294</v>
      </c>
      <c r="JN19">
        <v>27.837499999999999</v>
      </c>
      <c r="JO19">
        <v>12.638400000000001</v>
      </c>
      <c r="JP19">
        <v>28.043299999999999</v>
      </c>
      <c r="JQ19">
        <v>46.765599999999999</v>
      </c>
      <c r="JR19">
        <v>21.969100000000001</v>
      </c>
      <c r="JS19">
        <v>200</v>
      </c>
      <c r="JT19">
        <v>15.7416</v>
      </c>
      <c r="JU19">
        <v>101.77800000000001</v>
      </c>
      <c r="JV19">
        <v>97.383899999999997</v>
      </c>
    </row>
    <row r="20" spans="1:282" x14ac:dyDescent="0.3">
      <c r="A20">
        <v>4</v>
      </c>
      <c r="B20">
        <v>1792133699.0999999</v>
      </c>
      <c r="C20">
        <v>363</v>
      </c>
      <c r="D20" t="s">
        <v>428</v>
      </c>
      <c r="E20" t="s">
        <v>429</v>
      </c>
      <c r="F20">
        <v>5</v>
      </c>
      <c r="G20">
        <v>1792133696.0999999</v>
      </c>
      <c r="H20">
        <f t="shared" si="0"/>
        <v>4.3026329161235327E-3</v>
      </c>
      <c r="I20">
        <f t="shared" si="1"/>
        <v>4.3026329161235326</v>
      </c>
      <c r="J20">
        <f t="shared" si="2"/>
        <v>2.5075684303376091</v>
      </c>
      <c r="K20">
        <f t="shared" si="3"/>
        <v>98.801500000000004</v>
      </c>
      <c r="L20">
        <f t="shared" si="4"/>
        <v>83.644581537126967</v>
      </c>
      <c r="M20">
        <f t="shared" si="5"/>
        <v>8.5102829444674892</v>
      </c>
      <c r="N20">
        <f t="shared" si="6"/>
        <v>10.052399149902971</v>
      </c>
      <c r="O20">
        <f t="shared" si="7"/>
        <v>0.32149113593189477</v>
      </c>
      <c r="P20">
        <f t="shared" si="8"/>
        <v>3.0376077916045428</v>
      </c>
      <c r="Q20">
        <f t="shared" si="9"/>
        <v>0.30371352293844739</v>
      </c>
      <c r="R20">
        <f t="shared" si="10"/>
        <v>0.19133623337494654</v>
      </c>
      <c r="S20">
        <f t="shared" si="11"/>
        <v>241.73167640267602</v>
      </c>
      <c r="T20">
        <f t="shared" si="12"/>
        <v>25.503336610441597</v>
      </c>
      <c r="U20">
        <f t="shared" si="13"/>
        <v>25.006540000000001</v>
      </c>
      <c r="V20">
        <f t="shared" si="14"/>
        <v>3.1809175856647691</v>
      </c>
      <c r="W20">
        <f t="shared" si="15"/>
        <v>55.129449935222119</v>
      </c>
      <c r="X20">
        <f t="shared" si="16"/>
        <v>1.7746468007498324</v>
      </c>
      <c r="Y20">
        <f t="shared" si="17"/>
        <v>3.219054067898496</v>
      </c>
      <c r="Z20">
        <f t="shared" si="18"/>
        <v>1.4062707849149367</v>
      </c>
      <c r="AA20">
        <f t="shared" si="19"/>
        <v>-189.7461116010478</v>
      </c>
      <c r="AB20">
        <f t="shared" si="20"/>
        <v>32.762528062872576</v>
      </c>
      <c r="AC20">
        <f t="shared" si="21"/>
        <v>2.2838711963805158</v>
      </c>
      <c r="AD20">
        <f t="shared" si="22"/>
        <v>87.031964060881307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54053.664874189242</v>
      </c>
      <c r="AJ20" t="s">
        <v>415</v>
      </c>
      <c r="AK20" t="s">
        <v>415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415</v>
      </c>
      <c r="AQ20" t="s">
        <v>415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1261.1808594832519</v>
      </c>
      <c r="AW20">
        <f t="shared" si="29"/>
        <v>2.5075684303376091</v>
      </c>
      <c r="AX20" t="e">
        <f t="shared" si="30"/>
        <v>#DIV/0!</v>
      </c>
      <c r="AY20">
        <f t="shared" si="31"/>
        <v>1.9882702877088098E-3</v>
      </c>
      <c r="AZ20" t="e">
        <f t="shared" si="32"/>
        <v>#DIV/0!</v>
      </c>
      <c r="BA20" t="e">
        <f t="shared" si="33"/>
        <v>#DIV/0!</v>
      </c>
      <c r="BB20" t="s">
        <v>415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BL20">
        <v>1111</v>
      </c>
      <c r="BM20">
        <v>290</v>
      </c>
      <c r="BN20">
        <v>927.93</v>
      </c>
      <c r="BO20">
        <v>225</v>
      </c>
      <c r="BP20">
        <v>8123.51</v>
      </c>
      <c r="BQ20">
        <v>924.3</v>
      </c>
      <c r="BR20">
        <v>3.63</v>
      </c>
      <c r="BS20">
        <v>300</v>
      </c>
      <c r="BT20">
        <v>19.3</v>
      </c>
      <c r="BU20">
        <v>955.27281112415801</v>
      </c>
      <c r="BV20">
        <v>1.6167142888188699</v>
      </c>
      <c r="BW20">
        <v>-25.163037676813001</v>
      </c>
      <c r="BX20">
        <v>1.1737689531451101</v>
      </c>
      <c r="BY20">
        <v>0.942573498846068</v>
      </c>
      <c r="BZ20">
        <v>-5.3880809788654001E-3</v>
      </c>
      <c r="CA20">
        <v>290</v>
      </c>
      <c r="CB20">
        <v>915.78</v>
      </c>
      <c r="CC20">
        <v>615</v>
      </c>
      <c r="CD20">
        <v>8112.29</v>
      </c>
      <c r="CE20">
        <v>924.25</v>
      </c>
      <c r="CF20">
        <v>-8.4700000000000006</v>
      </c>
      <c r="CT20">
        <f t="shared" si="42"/>
        <v>1499.9639999999999</v>
      </c>
      <c r="CU20">
        <f t="shared" si="43"/>
        <v>1261.1808594832519</v>
      </c>
      <c r="CV20">
        <f t="shared" si="44"/>
        <v>0.84080741903355805</v>
      </c>
      <c r="CW20">
        <f t="shared" si="45"/>
        <v>0.16115831873476699</v>
      </c>
      <c r="CX20">
        <v>2</v>
      </c>
      <c r="CY20">
        <v>0.5</v>
      </c>
      <c r="CZ20" t="s">
        <v>416</v>
      </c>
      <c r="DA20">
        <v>2</v>
      </c>
      <c r="DB20">
        <v>1792133696.0999999</v>
      </c>
      <c r="DC20">
        <v>98.801500000000004</v>
      </c>
      <c r="DD20">
        <v>99.974379999999996</v>
      </c>
      <c r="DE20">
        <v>17.44238</v>
      </c>
      <c r="DF20">
        <v>15.751620000000001</v>
      </c>
      <c r="DG20">
        <v>98.660399999999996</v>
      </c>
      <c r="DH20">
        <v>17.556560000000001</v>
      </c>
      <c r="DI20">
        <v>500.08100000000002</v>
      </c>
      <c r="DJ20">
        <v>101.64319999999999</v>
      </c>
      <c r="DK20">
        <v>0.10018597999999999</v>
      </c>
      <c r="DL20">
        <v>25.206600000000002</v>
      </c>
      <c r="DM20">
        <v>25.006540000000001</v>
      </c>
      <c r="DN20">
        <v>999.9</v>
      </c>
      <c r="DO20">
        <v>0</v>
      </c>
      <c r="DP20">
        <v>0</v>
      </c>
      <c r="DQ20">
        <v>9996.99</v>
      </c>
      <c r="DR20">
        <v>0</v>
      </c>
      <c r="DS20">
        <v>6.6909780000000003</v>
      </c>
      <c r="DT20">
        <v>-1.1729320000000001</v>
      </c>
      <c r="DU20">
        <v>100.55540000000001</v>
      </c>
      <c r="DV20">
        <v>101.5744</v>
      </c>
      <c r="DW20">
        <v>1.6907719999999999</v>
      </c>
      <c r="DX20">
        <v>99.974379999999996</v>
      </c>
      <c r="DY20">
        <v>15.751620000000001</v>
      </c>
      <c r="DZ20">
        <v>1.7728980000000001</v>
      </c>
      <c r="EA20">
        <v>1.6010420000000001</v>
      </c>
      <c r="EB20">
        <v>15.549860000000001</v>
      </c>
      <c r="EC20">
        <v>13.96884</v>
      </c>
      <c r="ED20">
        <v>1499.9639999999999</v>
      </c>
      <c r="EE20">
        <v>0.97299559999999996</v>
      </c>
      <c r="EF20">
        <v>2.7004239999999999E-2</v>
      </c>
      <c r="EG20">
        <v>0</v>
      </c>
      <c r="EH20">
        <v>335.05419999999998</v>
      </c>
      <c r="EI20">
        <v>5.0006399999999998</v>
      </c>
      <c r="EJ20">
        <v>5188.3040000000001</v>
      </c>
      <c r="EK20">
        <v>15438.84</v>
      </c>
      <c r="EL20">
        <v>40.436999999999998</v>
      </c>
      <c r="EM20">
        <v>41.149799999999999</v>
      </c>
      <c r="EN20">
        <v>40.811999999999998</v>
      </c>
      <c r="EO20">
        <v>40.75</v>
      </c>
      <c r="EP20">
        <v>42</v>
      </c>
      <c r="EQ20">
        <v>1454.5940000000001</v>
      </c>
      <c r="ER20">
        <v>40.369999999999997</v>
      </c>
      <c r="ES20">
        <v>0</v>
      </c>
      <c r="ET20">
        <v>3755.6999998092701</v>
      </c>
      <c r="EU20">
        <v>0</v>
      </c>
      <c r="EV20">
        <v>335.10512</v>
      </c>
      <c r="EW20">
        <v>-0.46276923042238</v>
      </c>
      <c r="EX20">
        <v>-3.3592307373670902</v>
      </c>
      <c r="EY20">
        <v>5188.5959999999995</v>
      </c>
      <c r="EZ20">
        <v>15</v>
      </c>
      <c r="FA20">
        <v>1792133652.0999999</v>
      </c>
      <c r="FB20" t="s">
        <v>430</v>
      </c>
      <c r="FC20">
        <v>1792133652.0999999</v>
      </c>
      <c r="FD20">
        <v>1792133640.0999999</v>
      </c>
      <c r="FE20">
        <v>62</v>
      </c>
      <c r="FF20">
        <v>-0.32800000000000001</v>
      </c>
      <c r="FG20">
        <v>-1E-3</v>
      </c>
      <c r="FH20">
        <v>0.14099999999999999</v>
      </c>
      <c r="FI20">
        <v>-0.17799999999999999</v>
      </c>
      <c r="FJ20">
        <v>100</v>
      </c>
      <c r="FK20">
        <v>16</v>
      </c>
      <c r="FL20">
        <v>0.19</v>
      </c>
      <c r="FM20">
        <v>0.06</v>
      </c>
      <c r="FN20">
        <v>2.5813748330824802</v>
      </c>
      <c r="FO20">
        <v>-0.156133730688998</v>
      </c>
      <c r="FP20">
        <v>6.4770927624611896E-2</v>
      </c>
      <c r="FQ20">
        <v>1</v>
      </c>
      <c r="FR20">
        <v>-1.2003634999999999</v>
      </c>
      <c r="FS20">
        <v>7.6402556390977594E-2</v>
      </c>
      <c r="FT20">
        <v>2.6699039734604701E-2</v>
      </c>
      <c r="FU20">
        <v>1</v>
      </c>
      <c r="FV20">
        <v>335.12652941176498</v>
      </c>
      <c r="FW20">
        <v>-0.34734912005249602</v>
      </c>
      <c r="FX20">
        <v>0.19824616831755601</v>
      </c>
      <c r="FY20">
        <v>1</v>
      </c>
      <c r="FZ20">
        <v>3</v>
      </c>
      <c r="GA20">
        <v>3</v>
      </c>
      <c r="GB20" t="s">
        <v>418</v>
      </c>
      <c r="GC20">
        <v>3.12324</v>
      </c>
      <c r="GD20">
        <v>2.7650100000000002</v>
      </c>
      <c r="GE20">
        <v>2.6355E-2</v>
      </c>
      <c r="GF20">
        <v>2.7393799999999999E-2</v>
      </c>
      <c r="GG20">
        <v>9.3660800000000002E-2</v>
      </c>
      <c r="GH20">
        <v>9.00363E-2</v>
      </c>
      <c r="GI20">
        <v>18980.900000000001</v>
      </c>
      <c r="GJ20">
        <v>28579.5</v>
      </c>
      <c r="GK20">
        <v>22778.400000000001</v>
      </c>
      <c r="GL20">
        <v>30108.7</v>
      </c>
      <c r="GM20">
        <v>33859</v>
      </c>
      <c r="GN20">
        <v>34126.9</v>
      </c>
      <c r="GO20">
        <v>43099</v>
      </c>
      <c r="GP20">
        <v>42881.7</v>
      </c>
      <c r="GQ20">
        <v>1.9540299999999999</v>
      </c>
      <c r="GR20">
        <v>1.8169</v>
      </c>
      <c r="GS20">
        <v>7.7020400000000003E-2</v>
      </c>
      <c r="GT20">
        <v>0</v>
      </c>
      <c r="GU20">
        <v>23.7393</v>
      </c>
      <c r="GV20">
        <v>999.9</v>
      </c>
      <c r="GW20">
        <v>39.189</v>
      </c>
      <c r="GX20">
        <v>33.152999999999999</v>
      </c>
      <c r="GY20">
        <v>19.647400000000001</v>
      </c>
      <c r="GZ20">
        <v>63.538600000000002</v>
      </c>
      <c r="HA20">
        <v>36.694699999999997</v>
      </c>
      <c r="HB20">
        <v>1</v>
      </c>
      <c r="HC20">
        <v>5.85595E-2</v>
      </c>
      <c r="HD20">
        <v>1.92239</v>
      </c>
      <c r="HE20">
        <v>20.148900000000001</v>
      </c>
      <c r="HF20">
        <v>5.2336099999999997</v>
      </c>
      <c r="HG20">
        <v>11.962</v>
      </c>
      <c r="HH20">
        <v>4.9682000000000004</v>
      </c>
      <c r="HI20">
        <v>3.29515</v>
      </c>
      <c r="HJ20">
        <v>9999</v>
      </c>
      <c r="HK20">
        <v>999.9</v>
      </c>
      <c r="HL20">
        <v>9999</v>
      </c>
      <c r="HM20">
        <v>9999</v>
      </c>
      <c r="HN20">
        <v>4.96983</v>
      </c>
      <c r="HO20">
        <v>1.8640099999999999</v>
      </c>
      <c r="HP20">
        <v>1.86554</v>
      </c>
      <c r="HQ20">
        <v>1.86737</v>
      </c>
      <c r="HR20">
        <v>1.86435</v>
      </c>
      <c r="HS20">
        <v>1.8681300000000001</v>
      </c>
      <c r="HT20">
        <v>1.8648499999999999</v>
      </c>
      <c r="HU20">
        <v>1.86676</v>
      </c>
      <c r="HV20">
        <v>0</v>
      </c>
      <c r="HW20">
        <v>0</v>
      </c>
      <c r="HX20">
        <v>0</v>
      </c>
      <c r="HY20">
        <v>0</v>
      </c>
      <c r="HZ20" t="s">
        <v>419</v>
      </c>
      <c r="IA20" t="s">
        <v>420</v>
      </c>
      <c r="IB20" t="s">
        <v>421</v>
      </c>
      <c r="IC20" t="s">
        <v>421</v>
      </c>
      <c r="ID20" t="s">
        <v>421</v>
      </c>
      <c r="IE20" t="s">
        <v>421</v>
      </c>
      <c r="IF20">
        <v>0</v>
      </c>
      <c r="IG20">
        <v>100</v>
      </c>
      <c r="IH20">
        <v>100</v>
      </c>
      <c r="II20">
        <v>0.14099999999999999</v>
      </c>
      <c r="IJ20">
        <v>-0.1144</v>
      </c>
      <c r="IK20">
        <v>0.11704358136352699</v>
      </c>
      <c r="IL20">
        <v>2.16929631606078E-4</v>
      </c>
      <c r="IM20">
        <v>2.7226302473163502E-7</v>
      </c>
      <c r="IN20">
        <v>-5.4379205123515401E-11</v>
      </c>
      <c r="IO20">
        <v>-2.68101580829186E-2</v>
      </c>
      <c r="IP20">
        <v>-5.8443384954566899E-2</v>
      </c>
      <c r="IQ20">
        <v>3.41568706061026E-3</v>
      </c>
      <c r="IR20">
        <v>-2.10952612506686E-5</v>
      </c>
      <c r="IS20">
        <v>0</v>
      </c>
      <c r="IT20">
        <v>1734</v>
      </c>
      <c r="IU20">
        <v>2</v>
      </c>
      <c r="IV20">
        <v>19</v>
      </c>
      <c r="IW20">
        <v>0.8</v>
      </c>
      <c r="IX20">
        <v>1</v>
      </c>
      <c r="IY20">
        <v>0.41015600000000002</v>
      </c>
      <c r="IZ20">
        <v>2.5939899999999998</v>
      </c>
      <c r="JA20">
        <v>1.3464400000000001</v>
      </c>
      <c r="JB20">
        <v>2.2558600000000002</v>
      </c>
      <c r="JC20">
        <v>1.5502899999999999</v>
      </c>
      <c r="JD20">
        <v>2.4658199999999999</v>
      </c>
      <c r="JE20">
        <v>39.316899999999997</v>
      </c>
      <c r="JF20">
        <v>23.7898</v>
      </c>
      <c r="JG20">
        <v>18</v>
      </c>
      <c r="JH20">
        <v>487.78</v>
      </c>
      <c r="JI20">
        <v>476.68099999999998</v>
      </c>
      <c r="JJ20">
        <v>22.028700000000001</v>
      </c>
      <c r="JK20">
        <v>27.912299999999998</v>
      </c>
      <c r="JL20">
        <v>30.000499999999999</v>
      </c>
      <c r="JM20">
        <v>27.880400000000002</v>
      </c>
      <c r="JN20">
        <v>27.8888</v>
      </c>
      <c r="JO20">
        <v>8.2238100000000003</v>
      </c>
      <c r="JP20">
        <v>27.8611</v>
      </c>
      <c r="JQ20">
        <v>46.366999999999997</v>
      </c>
      <c r="JR20">
        <v>22.008400000000002</v>
      </c>
      <c r="JS20">
        <v>100</v>
      </c>
      <c r="JT20">
        <v>15.716200000000001</v>
      </c>
      <c r="JU20">
        <v>101.767</v>
      </c>
      <c r="JV20">
        <v>97.375299999999996</v>
      </c>
    </row>
    <row r="21" spans="1:282" x14ac:dyDescent="0.3">
      <c r="A21">
        <v>5</v>
      </c>
      <c r="B21">
        <v>1792133820.0999999</v>
      </c>
      <c r="C21">
        <v>484</v>
      </c>
      <c r="D21" t="s">
        <v>431</v>
      </c>
      <c r="E21" t="s">
        <v>432</v>
      </c>
      <c r="F21">
        <v>5</v>
      </c>
      <c r="G21">
        <v>1792133816.5999999</v>
      </c>
      <c r="H21">
        <f t="shared" si="0"/>
        <v>4.4970157767061951E-3</v>
      </c>
      <c r="I21">
        <f t="shared" si="1"/>
        <v>4.4970157767061947</v>
      </c>
      <c r="J21">
        <f t="shared" si="2"/>
        <v>-0.91760077417425834</v>
      </c>
      <c r="K21">
        <f t="shared" si="3"/>
        <v>50.262349999999998</v>
      </c>
      <c r="L21">
        <f t="shared" si="4"/>
        <v>53.645897263359203</v>
      </c>
      <c r="M21">
        <f t="shared" si="5"/>
        <v>5.4583897252271214</v>
      </c>
      <c r="N21">
        <f t="shared" si="6"/>
        <v>5.1141188571964618</v>
      </c>
      <c r="O21">
        <f t="shared" si="7"/>
        <v>0.34060418172538626</v>
      </c>
      <c r="P21">
        <f t="shared" si="8"/>
        <v>3.0387395920269906</v>
      </c>
      <c r="Q21">
        <f t="shared" si="9"/>
        <v>0.32072704516344847</v>
      </c>
      <c r="R21">
        <f t="shared" si="10"/>
        <v>0.20214355151599389</v>
      </c>
      <c r="S21">
        <f t="shared" si="11"/>
        <v>241.74540200273319</v>
      </c>
      <c r="T21">
        <f t="shared" si="12"/>
        <v>25.466495590393677</v>
      </c>
      <c r="U21">
        <f t="shared" si="13"/>
        <v>24.940816666666699</v>
      </c>
      <c r="V21">
        <f t="shared" si="14"/>
        <v>3.1684755177585333</v>
      </c>
      <c r="W21">
        <f t="shared" si="15"/>
        <v>55.147129075994251</v>
      </c>
      <c r="X21">
        <f t="shared" si="16"/>
        <v>1.7764949418474201</v>
      </c>
      <c r="Y21">
        <f t="shared" si="17"/>
        <v>3.2213733908058231</v>
      </c>
      <c r="Z21">
        <f t="shared" si="18"/>
        <v>1.3919805759111132</v>
      </c>
      <c r="AA21">
        <f t="shared" si="19"/>
        <v>-198.31839575274321</v>
      </c>
      <c r="AB21">
        <f t="shared" si="20"/>
        <v>45.524106168421042</v>
      </c>
      <c r="AC21">
        <f t="shared" si="21"/>
        <v>3.1714414766599939</v>
      </c>
      <c r="AD21">
        <f t="shared" si="22"/>
        <v>92.122553895071007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54087.056784569009</v>
      </c>
      <c r="AJ21" t="s">
        <v>415</v>
      </c>
      <c r="AK21" t="s">
        <v>415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415</v>
      </c>
      <c r="AQ21" t="s">
        <v>415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1261.2530994832814</v>
      </c>
      <c r="AW21">
        <f t="shared" si="29"/>
        <v>-0.91760077417425834</v>
      </c>
      <c r="AX21" t="e">
        <f t="shared" si="30"/>
        <v>#DIV/0!</v>
      </c>
      <c r="AY21">
        <f t="shared" si="31"/>
        <v>-7.2753103603883089E-4</v>
      </c>
      <c r="AZ21" t="e">
        <f t="shared" si="32"/>
        <v>#DIV/0!</v>
      </c>
      <c r="BA21" t="e">
        <f t="shared" si="33"/>
        <v>#DIV/0!</v>
      </c>
      <c r="BB21" t="s">
        <v>415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BL21">
        <v>1111</v>
      </c>
      <c r="BM21">
        <v>290</v>
      </c>
      <c r="BN21">
        <v>927.93</v>
      </c>
      <c r="BO21">
        <v>225</v>
      </c>
      <c r="BP21">
        <v>8123.51</v>
      </c>
      <c r="BQ21">
        <v>924.3</v>
      </c>
      <c r="BR21">
        <v>3.63</v>
      </c>
      <c r="BS21">
        <v>300</v>
      </c>
      <c r="BT21">
        <v>19.3</v>
      </c>
      <c r="BU21">
        <v>955.27281112415801</v>
      </c>
      <c r="BV21">
        <v>1.6167142888188699</v>
      </c>
      <c r="BW21">
        <v>-25.163037676813001</v>
      </c>
      <c r="BX21">
        <v>1.1737689531451101</v>
      </c>
      <c r="BY21">
        <v>0.942573498846068</v>
      </c>
      <c r="BZ21">
        <v>-5.3880809788654001E-3</v>
      </c>
      <c r="CA21">
        <v>290</v>
      </c>
      <c r="CB21">
        <v>915.78</v>
      </c>
      <c r="CC21">
        <v>615</v>
      </c>
      <c r="CD21">
        <v>8112.29</v>
      </c>
      <c r="CE21">
        <v>924.25</v>
      </c>
      <c r="CF21">
        <v>-8.4700000000000006</v>
      </c>
      <c r="CT21">
        <f t="shared" si="42"/>
        <v>1500.05</v>
      </c>
      <c r="CU21">
        <f t="shared" si="43"/>
        <v>1261.2530994832814</v>
      </c>
      <c r="CV21">
        <f t="shared" si="44"/>
        <v>0.84080737274309625</v>
      </c>
      <c r="CW21">
        <f t="shared" si="45"/>
        <v>0.16115822939417565</v>
      </c>
      <c r="CX21">
        <v>2</v>
      </c>
      <c r="CY21">
        <v>0.5</v>
      </c>
      <c r="CZ21" t="s">
        <v>416</v>
      </c>
      <c r="DA21">
        <v>2</v>
      </c>
      <c r="DB21">
        <v>1792133816.5999999</v>
      </c>
      <c r="DC21">
        <v>50.262349999999998</v>
      </c>
      <c r="DD21">
        <v>49.985716666666697</v>
      </c>
      <c r="DE21">
        <v>17.459666666666699</v>
      </c>
      <c r="DF21">
        <v>15.6922333333333</v>
      </c>
      <c r="DG21">
        <v>50.192033333333299</v>
      </c>
      <c r="DH21">
        <v>17.5736833333333</v>
      </c>
      <c r="DI21">
        <v>499.9905</v>
      </c>
      <c r="DJ21">
        <v>101.6485</v>
      </c>
      <c r="DK21">
        <v>0.10000275</v>
      </c>
      <c r="DL21">
        <v>25.218699999999998</v>
      </c>
      <c r="DM21">
        <v>24.940816666666699</v>
      </c>
      <c r="DN21">
        <v>999.9</v>
      </c>
      <c r="DO21">
        <v>0</v>
      </c>
      <c r="DP21">
        <v>0</v>
      </c>
      <c r="DQ21">
        <v>10003.3083333333</v>
      </c>
      <c r="DR21">
        <v>0</v>
      </c>
      <c r="DS21">
        <v>6.7563616666666704</v>
      </c>
      <c r="DT21">
        <v>0.27662900000000001</v>
      </c>
      <c r="DU21">
        <v>51.155516666666699</v>
      </c>
      <c r="DV21">
        <v>50.782583333333299</v>
      </c>
      <c r="DW21">
        <v>1.76745666666667</v>
      </c>
      <c r="DX21">
        <v>49.985716666666697</v>
      </c>
      <c r="DY21">
        <v>15.6922333333333</v>
      </c>
      <c r="DZ21">
        <v>1.77474833333333</v>
      </c>
      <c r="EA21">
        <v>1.5950916666666699</v>
      </c>
      <c r="EB21">
        <v>15.566183333333299</v>
      </c>
      <c r="EC21">
        <v>13.9114666666667</v>
      </c>
      <c r="ED21">
        <v>1500.05</v>
      </c>
      <c r="EE21">
        <v>0.97299733333333305</v>
      </c>
      <c r="EF21">
        <v>2.700255E-2</v>
      </c>
      <c r="EG21">
        <v>0</v>
      </c>
      <c r="EH21">
        <v>336.918833333333</v>
      </c>
      <c r="EI21">
        <v>5.0006399999999998</v>
      </c>
      <c r="EJ21">
        <v>5213.0349999999999</v>
      </c>
      <c r="EK21">
        <v>15439.75</v>
      </c>
      <c r="EL21">
        <v>40.5</v>
      </c>
      <c r="EM21">
        <v>41.186999999999998</v>
      </c>
      <c r="EN21">
        <v>40.811999999999998</v>
      </c>
      <c r="EO21">
        <v>40.811999999999998</v>
      </c>
      <c r="EP21">
        <v>42.061999999999998</v>
      </c>
      <c r="EQ21">
        <v>1454.68</v>
      </c>
      <c r="ER21">
        <v>40.369999999999997</v>
      </c>
      <c r="ES21">
        <v>0</v>
      </c>
      <c r="ET21">
        <v>3876.8999998569502</v>
      </c>
      <c r="EU21">
        <v>0</v>
      </c>
      <c r="EV21">
        <v>336.80108000000001</v>
      </c>
      <c r="EW21">
        <v>0.88207692324837905</v>
      </c>
      <c r="EX21">
        <v>-7.1707692570396802</v>
      </c>
      <c r="EY21">
        <v>5213.0259999999998</v>
      </c>
      <c r="EZ21">
        <v>15</v>
      </c>
      <c r="FA21">
        <v>1792133768.0999999</v>
      </c>
      <c r="FB21" t="s">
        <v>433</v>
      </c>
      <c r="FC21">
        <v>1792133768.0999999</v>
      </c>
      <c r="FD21">
        <v>1792133763.0999999</v>
      </c>
      <c r="FE21">
        <v>63</v>
      </c>
      <c r="FF21">
        <v>-5.8000000000000003E-2</v>
      </c>
      <c r="FG21">
        <v>-1E-3</v>
      </c>
      <c r="FH21">
        <v>7.0000000000000007E-2</v>
      </c>
      <c r="FI21">
        <v>-0.17799999999999999</v>
      </c>
      <c r="FJ21">
        <v>50</v>
      </c>
      <c r="FK21">
        <v>16</v>
      </c>
      <c r="FL21">
        <v>0.39</v>
      </c>
      <c r="FM21">
        <v>0.04</v>
      </c>
      <c r="FN21">
        <v>-0.89124969335204196</v>
      </c>
      <c r="FO21">
        <v>9.5221423144842193E-2</v>
      </c>
      <c r="FP21">
        <v>6.1051515548464101E-2</v>
      </c>
      <c r="FQ21">
        <v>1</v>
      </c>
      <c r="FR21">
        <v>0.26556764999999999</v>
      </c>
      <c r="FS21">
        <v>5.96698195488716E-2</v>
      </c>
      <c r="FT21">
        <v>2.65876063632569E-2</v>
      </c>
      <c r="FU21">
        <v>1</v>
      </c>
      <c r="FV21">
        <v>336.83167647058798</v>
      </c>
      <c r="FW21">
        <v>-9.8074866767378893E-2</v>
      </c>
      <c r="FX21">
        <v>0.184439488018383</v>
      </c>
      <c r="FY21">
        <v>1</v>
      </c>
      <c r="FZ21">
        <v>3</v>
      </c>
      <c r="GA21">
        <v>3</v>
      </c>
      <c r="GB21" t="s">
        <v>418</v>
      </c>
      <c r="GC21">
        <v>3.1236899999999999</v>
      </c>
      <c r="GD21">
        <v>2.7656700000000001</v>
      </c>
      <c r="GE21">
        <v>1.37602E-2</v>
      </c>
      <c r="GF21">
        <v>1.4090999999999999E-2</v>
      </c>
      <c r="GG21">
        <v>9.3737399999999999E-2</v>
      </c>
      <c r="GH21">
        <v>8.9737200000000003E-2</v>
      </c>
      <c r="GI21">
        <v>19224.2</v>
      </c>
      <c r="GJ21">
        <v>28967.8</v>
      </c>
      <c r="GK21">
        <v>22775.9</v>
      </c>
      <c r="GL21">
        <v>30106.1</v>
      </c>
      <c r="GM21">
        <v>33852.199999999997</v>
      </c>
      <c r="GN21">
        <v>34134.5</v>
      </c>
      <c r="GO21">
        <v>43094.8</v>
      </c>
      <c r="GP21">
        <v>42878.2</v>
      </c>
      <c r="GQ21">
        <v>1.9539500000000001</v>
      </c>
      <c r="GR21">
        <v>1.81508</v>
      </c>
      <c r="GS21">
        <v>7.2773500000000005E-2</v>
      </c>
      <c r="GT21">
        <v>0</v>
      </c>
      <c r="GU21">
        <v>23.753299999999999</v>
      </c>
      <c r="GV21">
        <v>999.9</v>
      </c>
      <c r="GW21">
        <v>39.103999999999999</v>
      </c>
      <c r="GX21">
        <v>33.213999999999999</v>
      </c>
      <c r="GY21">
        <v>19.6709</v>
      </c>
      <c r="GZ21">
        <v>63.438600000000001</v>
      </c>
      <c r="HA21">
        <v>36.654600000000002</v>
      </c>
      <c r="HB21">
        <v>1</v>
      </c>
      <c r="HC21">
        <v>6.1684500000000003E-2</v>
      </c>
      <c r="HD21">
        <v>1.6902900000000001</v>
      </c>
      <c r="HE21">
        <v>20.151299999999999</v>
      </c>
      <c r="HF21">
        <v>5.2339099999999998</v>
      </c>
      <c r="HG21">
        <v>11.962</v>
      </c>
      <c r="HH21">
        <v>4.9678000000000004</v>
      </c>
      <c r="HI21">
        <v>3.2955000000000001</v>
      </c>
      <c r="HJ21">
        <v>9999</v>
      </c>
      <c r="HK21">
        <v>999.9</v>
      </c>
      <c r="HL21">
        <v>9999</v>
      </c>
      <c r="HM21">
        <v>9999</v>
      </c>
      <c r="HN21">
        <v>4.9698099999999998</v>
      </c>
      <c r="HO21">
        <v>1.8640300000000001</v>
      </c>
      <c r="HP21">
        <v>1.86554</v>
      </c>
      <c r="HQ21">
        <v>1.86738</v>
      </c>
      <c r="HR21">
        <v>1.86435</v>
      </c>
      <c r="HS21">
        <v>1.86812</v>
      </c>
      <c r="HT21">
        <v>1.86487</v>
      </c>
      <c r="HU21">
        <v>1.86676</v>
      </c>
      <c r="HV21">
        <v>0</v>
      </c>
      <c r="HW21">
        <v>0</v>
      </c>
      <c r="HX21">
        <v>0</v>
      </c>
      <c r="HY21">
        <v>0</v>
      </c>
      <c r="HZ21" t="s">
        <v>419</v>
      </c>
      <c r="IA21" t="s">
        <v>420</v>
      </c>
      <c r="IB21" t="s">
        <v>421</v>
      </c>
      <c r="IC21" t="s">
        <v>421</v>
      </c>
      <c r="ID21" t="s">
        <v>421</v>
      </c>
      <c r="IE21" t="s">
        <v>421</v>
      </c>
      <c r="IF21">
        <v>0</v>
      </c>
      <c r="IG21">
        <v>100</v>
      </c>
      <c r="IH21">
        <v>100</v>
      </c>
      <c r="II21">
        <v>7.0000000000000007E-2</v>
      </c>
      <c r="IJ21">
        <v>-0.11409999999999999</v>
      </c>
      <c r="IK21">
        <v>5.8747626226229498E-2</v>
      </c>
      <c r="IL21">
        <v>2.16929631606078E-4</v>
      </c>
      <c r="IM21">
        <v>2.7226302473163502E-7</v>
      </c>
      <c r="IN21">
        <v>-5.4379205123515401E-11</v>
      </c>
      <c r="IO21">
        <v>-2.7337737682557799E-2</v>
      </c>
      <c r="IP21">
        <v>-5.8443384954566899E-2</v>
      </c>
      <c r="IQ21">
        <v>3.41568706061026E-3</v>
      </c>
      <c r="IR21">
        <v>-2.10952612506686E-5</v>
      </c>
      <c r="IS21">
        <v>0</v>
      </c>
      <c r="IT21">
        <v>1734</v>
      </c>
      <c r="IU21">
        <v>2</v>
      </c>
      <c r="IV21">
        <v>19</v>
      </c>
      <c r="IW21">
        <v>0.9</v>
      </c>
      <c r="IX21">
        <v>0.9</v>
      </c>
      <c r="IY21">
        <v>0.29785200000000001</v>
      </c>
      <c r="IZ21">
        <v>2.5903299999999998</v>
      </c>
      <c r="JA21">
        <v>1.3464400000000001</v>
      </c>
      <c r="JB21">
        <v>2.2558600000000002</v>
      </c>
      <c r="JC21">
        <v>1.5502899999999999</v>
      </c>
      <c r="JD21">
        <v>2.65747</v>
      </c>
      <c r="JE21">
        <v>39.366700000000002</v>
      </c>
      <c r="JF21">
        <v>23.7986</v>
      </c>
      <c r="JG21">
        <v>18</v>
      </c>
      <c r="JH21">
        <v>488.17599999999999</v>
      </c>
      <c r="JI21">
        <v>475.87900000000002</v>
      </c>
      <c r="JJ21">
        <v>22.037800000000001</v>
      </c>
      <c r="JK21">
        <v>27.9664</v>
      </c>
      <c r="JL21">
        <v>30</v>
      </c>
      <c r="JM21">
        <v>27.932400000000001</v>
      </c>
      <c r="JN21">
        <v>27.9407</v>
      </c>
      <c r="JO21">
        <v>5.9865899999999996</v>
      </c>
      <c r="JP21">
        <v>28.147600000000001</v>
      </c>
      <c r="JQ21">
        <v>45.6342</v>
      </c>
      <c r="JR21">
        <v>22.089500000000001</v>
      </c>
      <c r="JS21">
        <v>50</v>
      </c>
      <c r="JT21">
        <v>15.620699999999999</v>
      </c>
      <c r="JU21">
        <v>101.75700000000001</v>
      </c>
      <c r="JV21">
        <v>97.367199999999997</v>
      </c>
    </row>
    <row r="22" spans="1:282" x14ac:dyDescent="0.3">
      <c r="A22">
        <v>6</v>
      </c>
      <c r="B22">
        <v>1792133971.0999999</v>
      </c>
      <c r="C22">
        <v>635</v>
      </c>
      <c r="D22" t="s">
        <v>434</v>
      </c>
      <c r="E22" t="s">
        <v>435</v>
      </c>
      <c r="F22">
        <v>5</v>
      </c>
      <c r="G22">
        <v>1792133967.5999999</v>
      </c>
      <c r="H22">
        <f t="shared" si="0"/>
        <v>4.9375508660230525E-3</v>
      </c>
      <c r="I22">
        <f t="shared" si="1"/>
        <v>4.9375508660230523</v>
      </c>
      <c r="J22">
        <f t="shared" si="2"/>
        <v>21.745162015030445</v>
      </c>
      <c r="K22">
        <f t="shared" si="3"/>
        <v>390.54333333333301</v>
      </c>
      <c r="L22">
        <f t="shared" si="4"/>
        <v>284.601343861781</v>
      </c>
      <c r="M22">
        <f t="shared" si="5"/>
        <v>28.958894569938632</v>
      </c>
      <c r="N22">
        <f t="shared" si="6"/>
        <v>39.738755486991096</v>
      </c>
      <c r="O22">
        <f t="shared" si="7"/>
        <v>0.37421274513880959</v>
      </c>
      <c r="P22">
        <f t="shared" si="8"/>
        <v>3.0370861479383393</v>
      </c>
      <c r="Q22">
        <f t="shared" si="9"/>
        <v>0.35035462937995804</v>
      </c>
      <c r="R22">
        <f t="shared" si="10"/>
        <v>0.22098832318138517</v>
      </c>
      <c r="S22">
        <f t="shared" si="11"/>
        <v>241.7344960026883</v>
      </c>
      <c r="T22">
        <f t="shared" si="12"/>
        <v>25.477970991364046</v>
      </c>
      <c r="U22">
        <f t="shared" si="13"/>
        <v>25.007916666666699</v>
      </c>
      <c r="V22">
        <f t="shared" si="14"/>
        <v>3.1811786579560661</v>
      </c>
      <c r="W22">
        <f t="shared" si="15"/>
        <v>54.92162274090181</v>
      </c>
      <c r="X22">
        <f t="shared" si="16"/>
        <v>1.7821541105616661</v>
      </c>
      <c r="Y22">
        <f t="shared" si="17"/>
        <v>3.2449043229642984</v>
      </c>
      <c r="Z22">
        <f t="shared" si="18"/>
        <v>1.3990245473944001</v>
      </c>
      <c r="AA22">
        <f t="shared" si="19"/>
        <v>-217.74599319161661</v>
      </c>
      <c r="AB22">
        <f t="shared" si="20"/>
        <v>54.54298680171825</v>
      </c>
      <c r="AC22">
        <f t="shared" si="21"/>
        <v>3.8054370180795041</v>
      </c>
      <c r="AD22">
        <f t="shared" si="22"/>
        <v>82.336926630869471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54013.17742634764</v>
      </c>
      <c r="AJ22" t="s">
        <v>415</v>
      </c>
      <c r="AK22" t="s">
        <v>415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415</v>
      </c>
      <c r="AQ22" t="s">
        <v>415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1261.1956994832608</v>
      </c>
      <c r="AW22">
        <f t="shared" si="29"/>
        <v>21.745162015030445</v>
      </c>
      <c r="AX22" t="e">
        <f t="shared" si="30"/>
        <v>#DIV/0!</v>
      </c>
      <c r="AY22">
        <f t="shared" si="31"/>
        <v>1.7241703269318082E-2</v>
      </c>
      <c r="AZ22" t="e">
        <f t="shared" si="32"/>
        <v>#DIV/0!</v>
      </c>
      <c r="BA22" t="e">
        <f t="shared" si="33"/>
        <v>#DIV/0!</v>
      </c>
      <c r="BB22" t="s">
        <v>415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BL22">
        <v>1111</v>
      </c>
      <c r="BM22">
        <v>290</v>
      </c>
      <c r="BN22">
        <v>927.93</v>
      </c>
      <c r="BO22">
        <v>225</v>
      </c>
      <c r="BP22">
        <v>8123.51</v>
      </c>
      <c r="BQ22">
        <v>924.3</v>
      </c>
      <c r="BR22">
        <v>3.63</v>
      </c>
      <c r="BS22">
        <v>300</v>
      </c>
      <c r="BT22">
        <v>19.3</v>
      </c>
      <c r="BU22">
        <v>955.27281112415801</v>
      </c>
      <c r="BV22">
        <v>1.6167142888188699</v>
      </c>
      <c r="BW22">
        <v>-25.163037676813001</v>
      </c>
      <c r="BX22">
        <v>1.1737689531451101</v>
      </c>
      <c r="BY22">
        <v>0.942573498846068</v>
      </c>
      <c r="BZ22">
        <v>-5.3880809788654001E-3</v>
      </c>
      <c r="CA22">
        <v>290</v>
      </c>
      <c r="CB22">
        <v>915.78</v>
      </c>
      <c r="CC22">
        <v>615</v>
      </c>
      <c r="CD22">
        <v>8112.29</v>
      </c>
      <c r="CE22">
        <v>924.25</v>
      </c>
      <c r="CF22">
        <v>-8.4700000000000006</v>
      </c>
      <c r="CT22">
        <f t="shared" si="42"/>
        <v>1499.98166666667</v>
      </c>
      <c r="CU22">
        <f t="shared" si="43"/>
        <v>1261.1956994832608</v>
      </c>
      <c r="CV22">
        <f t="shared" si="44"/>
        <v>0.84080740952384392</v>
      </c>
      <c r="CW22">
        <f t="shared" si="45"/>
        <v>0.16115830038101872</v>
      </c>
      <c r="CX22">
        <v>2</v>
      </c>
      <c r="CY22">
        <v>0.5</v>
      </c>
      <c r="CZ22" t="s">
        <v>416</v>
      </c>
      <c r="DA22">
        <v>2</v>
      </c>
      <c r="DB22">
        <v>1792133967.5999999</v>
      </c>
      <c r="DC22">
        <v>390.54333333333301</v>
      </c>
      <c r="DD22">
        <v>400.01283333333299</v>
      </c>
      <c r="DE22">
        <v>17.514600000000002</v>
      </c>
      <c r="DF22">
        <v>15.574149999999999</v>
      </c>
      <c r="DG22">
        <v>389.61399999999998</v>
      </c>
      <c r="DH22">
        <v>17.622016666666699</v>
      </c>
      <c r="DI22">
        <v>499.99450000000002</v>
      </c>
      <c r="DJ22">
        <v>101.652666666667</v>
      </c>
      <c r="DK22">
        <v>9.9820433333333305E-2</v>
      </c>
      <c r="DL22">
        <v>25.3410333333333</v>
      </c>
      <c r="DM22">
        <v>25.007916666666699</v>
      </c>
      <c r="DN22">
        <v>999.9</v>
      </c>
      <c r="DO22">
        <v>0</v>
      </c>
      <c r="DP22">
        <v>0</v>
      </c>
      <c r="DQ22">
        <v>9992.9083333333292</v>
      </c>
      <c r="DR22">
        <v>0</v>
      </c>
      <c r="DS22">
        <v>7.0364316666666697</v>
      </c>
      <c r="DT22">
        <v>-9.46977166666667</v>
      </c>
      <c r="DU22">
        <v>397.50549999999998</v>
      </c>
      <c r="DV22">
        <v>406.3415</v>
      </c>
      <c r="DW22">
        <v>1.9404583333333301</v>
      </c>
      <c r="DX22">
        <v>400.01283333333299</v>
      </c>
      <c r="DY22">
        <v>15.574149999999999</v>
      </c>
      <c r="DZ22">
        <v>1.78040833333333</v>
      </c>
      <c r="EA22">
        <v>1.5831550000000001</v>
      </c>
      <c r="EB22">
        <v>15.615816666666699</v>
      </c>
      <c r="EC22">
        <v>13.795816666666701</v>
      </c>
      <c r="ED22">
        <v>1499.98166666667</v>
      </c>
      <c r="EE22">
        <v>0.97299666666666695</v>
      </c>
      <c r="EF22">
        <v>2.7003200000000002E-2</v>
      </c>
      <c r="EG22">
        <v>0</v>
      </c>
      <c r="EH22">
        <v>330.35316666666699</v>
      </c>
      <c r="EI22">
        <v>5.0006399999999998</v>
      </c>
      <c r="EJ22">
        <v>5121.2550000000001</v>
      </c>
      <c r="EK22">
        <v>15439.016666666699</v>
      </c>
      <c r="EL22">
        <v>40.561999999999998</v>
      </c>
      <c r="EM22">
        <v>41.25</v>
      </c>
      <c r="EN22">
        <v>40.875</v>
      </c>
      <c r="EO22">
        <v>40.875</v>
      </c>
      <c r="EP22">
        <v>42.093499999999999</v>
      </c>
      <c r="EQ22">
        <v>1454.6116666666701</v>
      </c>
      <c r="ER22">
        <v>40.369999999999997</v>
      </c>
      <c r="ES22">
        <v>0</v>
      </c>
      <c r="ET22">
        <v>4028.0999999046298</v>
      </c>
      <c r="EU22">
        <v>0</v>
      </c>
      <c r="EV22">
        <v>330.19747999999998</v>
      </c>
      <c r="EW22">
        <v>3.0194615292124198</v>
      </c>
      <c r="EX22">
        <v>37.705384587591801</v>
      </c>
      <c r="EY22">
        <v>5119.1940000000004</v>
      </c>
      <c r="EZ22">
        <v>15</v>
      </c>
      <c r="FA22">
        <v>1792133887.0999999</v>
      </c>
      <c r="FB22" t="s">
        <v>436</v>
      </c>
      <c r="FC22">
        <v>1792133887.0999999</v>
      </c>
      <c r="FD22">
        <v>1792133882.0999999</v>
      </c>
      <c r="FE22">
        <v>64</v>
      </c>
      <c r="FF22">
        <v>0.748</v>
      </c>
      <c r="FG22">
        <v>5.0000000000000001E-3</v>
      </c>
      <c r="FH22">
        <v>0.93300000000000005</v>
      </c>
      <c r="FI22">
        <v>-0.17599999999999999</v>
      </c>
      <c r="FJ22">
        <v>400</v>
      </c>
      <c r="FK22">
        <v>16</v>
      </c>
      <c r="FL22">
        <v>0.18</v>
      </c>
      <c r="FM22">
        <v>0.03</v>
      </c>
      <c r="FN22">
        <v>21.561904273054999</v>
      </c>
      <c r="FO22">
        <v>0.82890498411482305</v>
      </c>
      <c r="FP22">
        <v>0.14334721031146699</v>
      </c>
      <c r="FQ22">
        <v>0</v>
      </c>
      <c r="FR22">
        <v>-9.3884976190476195</v>
      </c>
      <c r="FS22">
        <v>-0.42963350649349902</v>
      </c>
      <c r="FT22">
        <v>6.3029976685682901E-2</v>
      </c>
      <c r="FU22">
        <v>1</v>
      </c>
      <c r="FV22">
        <v>329.98173529411798</v>
      </c>
      <c r="FW22">
        <v>2.7528342295198498</v>
      </c>
      <c r="FX22">
        <v>0.334547043102224</v>
      </c>
      <c r="FY22">
        <v>0</v>
      </c>
      <c r="FZ22">
        <v>1</v>
      </c>
      <c r="GA22">
        <v>3</v>
      </c>
      <c r="GB22" t="s">
        <v>437</v>
      </c>
      <c r="GC22">
        <v>3.1232099999999998</v>
      </c>
      <c r="GD22">
        <v>2.7653500000000002</v>
      </c>
      <c r="GE22">
        <v>8.6565400000000001E-2</v>
      </c>
      <c r="GF22">
        <v>9.0488899999999997E-2</v>
      </c>
      <c r="GG22">
        <v>9.38697E-2</v>
      </c>
      <c r="GH22">
        <v>8.9248599999999997E-2</v>
      </c>
      <c r="GI22">
        <v>17802.099999999999</v>
      </c>
      <c r="GJ22">
        <v>26719.9</v>
      </c>
      <c r="GK22">
        <v>22772.799999999999</v>
      </c>
      <c r="GL22">
        <v>30103.3</v>
      </c>
      <c r="GM22">
        <v>33848.300000000003</v>
      </c>
      <c r="GN22">
        <v>34155.5</v>
      </c>
      <c r="GO22">
        <v>43090.5</v>
      </c>
      <c r="GP22">
        <v>42874.8</v>
      </c>
      <c r="GQ22">
        <v>1.9531000000000001</v>
      </c>
      <c r="GR22">
        <v>1.8153300000000001</v>
      </c>
      <c r="GS22">
        <v>6.9864099999999998E-2</v>
      </c>
      <c r="GT22">
        <v>0</v>
      </c>
      <c r="GU22">
        <v>23.8215</v>
      </c>
      <c r="GV22">
        <v>999.9</v>
      </c>
      <c r="GW22">
        <v>38.939</v>
      </c>
      <c r="GX22">
        <v>33.253999999999998</v>
      </c>
      <c r="GY22">
        <v>19.630500000000001</v>
      </c>
      <c r="GZ22">
        <v>63.368600000000001</v>
      </c>
      <c r="HA22">
        <v>36.402200000000001</v>
      </c>
      <c r="HB22">
        <v>1</v>
      </c>
      <c r="HC22">
        <v>6.5772399999999995E-2</v>
      </c>
      <c r="HD22">
        <v>1.74983</v>
      </c>
      <c r="HE22">
        <v>20.150400000000001</v>
      </c>
      <c r="HF22">
        <v>5.2337600000000002</v>
      </c>
      <c r="HG22">
        <v>11.962</v>
      </c>
      <c r="HH22">
        <v>4.9686000000000003</v>
      </c>
      <c r="HI22">
        <v>3.2951299999999999</v>
      </c>
      <c r="HJ22">
        <v>9999</v>
      </c>
      <c r="HK22">
        <v>999.9</v>
      </c>
      <c r="HL22">
        <v>9999</v>
      </c>
      <c r="HM22">
        <v>9999</v>
      </c>
      <c r="HN22">
        <v>4.9697899999999997</v>
      </c>
      <c r="HO22">
        <v>1.8640099999999999</v>
      </c>
      <c r="HP22">
        <v>1.86554</v>
      </c>
      <c r="HQ22">
        <v>1.86737</v>
      </c>
      <c r="HR22">
        <v>1.86432</v>
      </c>
      <c r="HS22">
        <v>1.86812</v>
      </c>
      <c r="HT22">
        <v>1.8647899999999999</v>
      </c>
      <c r="HU22">
        <v>1.86676</v>
      </c>
      <c r="HV22">
        <v>0</v>
      </c>
      <c r="HW22">
        <v>0</v>
      </c>
      <c r="HX22">
        <v>0</v>
      </c>
      <c r="HY22">
        <v>0</v>
      </c>
      <c r="HZ22" t="s">
        <v>419</v>
      </c>
      <c r="IA22" t="s">
        <v>420</v>
      </c>
      <c r="IB22" t="s">
        <v>421</v>
      </c>
      <c r="IC22" t="s">
        <v>421</v>
      </c>
      <c r="ID22" t="s">
        <v>421</v>
      </c>
      <c r="IE22" t="s">
        <v>421</v>
      </c>
      <c r="IF22">
        <v>0</v>
      </c>
      <c r="IG22">
        <v>100</v>
      </c>
      <c r="IH22">
        <v>100</v>
      </c>
      <c r="II22">
        <v>0.92900000000000005</v>
      </c>
      <c r="IJ22">
        <v>-0.10780000000000001</v>
      </c>
      <c r="IK22">
        <v>0.80655985616933301</v>
      </c>
      <c r="IL22">
        <v>2.16929631606078E-4</v>
      </c>
      <c r="IM22">
        <v>2.7226302473163502E-7</v>
      </c>
      <c r="IN22">
        <v>-5.4379205123515401E-11</v>
      </c>
      <c r="IO22">
        <v>-2.2762725750297801E-2</v>
      </c>
      <c r="IP22">
        <v>-5.8443384954566899E-2</v>
      </c>
      <c r="IQ22">
        <v>3.41568706061026E-3</v>
      </c>
      <c r="IR22">
        <v>-2.10952612506686E-5</v>
      </c>
      <c r="IS22">
        <v>0</v>
      </c>
      <c r="IT22">
        <v>1734</v>
      </c>
      <c r="IU22">
        <v>2</v>
      </c>
      <c r="IV22">
        <v>19</v>
      </c>
      <c r="IW22">
        <v>1.4</v>
      </c>
      <c r="IX22">
        <v>1.5</v>
      </c>
      <c r="IY22">
        <v>1.0510299999999999</v>
      </c>
      <c r="IZ22">
        <v>2.5756800000000002</v>
      </c>
      <c r="JA22">
        <v>1.3464400000000001</v>
      </c>
      <c r="JB22">
        <v>2.2558600000000002</v>
      </c>
      <c r="JC22">
        <v>1.5502899999999999</v>
      </c>
      <c r="JD22">
        <v>2.6684600000000001</v>
      </c>
      <c r="JE22">
        <v>39.441600000000001</v>
      </c>
      <c r="JF22">
        <v>23.816099999999999</v>
      </c>
      <c r="JG22">
        <v>18</v>
      </c>
      <c r="JH22">
        <v>488.15300000000002</v>
      </c>
      <c r="JI22">
        <v>476.57900000000001</v>
      </c>
      <c r="JJ22">
        <v>22.241099999999999</v>
      </c>
      <c r="JK22">
        <v>28.022600000000001</v>
      </c>
      <c r="JL22">
        <v>30.0001</v>
      </c>
      <c r="JM22">
        <v>27.991299999999999</v>
      </c>
      <c r="JN22">
        <v>27.9998</v>
      </c>
      <c r="JO22">
        <v>21.0502</v>
      </c>
      <c r="JP22">
        <v>28.6252</v>
      </c>
      <c r="JQ22">
        <v>44.889600000000002</v>
      </c>
      <c r="JR22">
        <v>22.235800000000001</v>
      </c>
      <c r="JS22">
        <v>400</v>
      </c>
      <c r="JT22">
        <v>15.5815</v>
      </c>
      <c r="JU22">
        <v>101.745</v>
      </c>
      <c r="JV22">
        <v>97.358900000000006</v>
      </c>
    </row>
    <row r="23" spans="1:282" x14ac:dyDescent="0.3">
      <c r="A23">
        <v>7</v>
      </c>
      <c r="B23">
        <v>1792134092.0999999</v>
      </c>
      <c r="C23">
        <v>756</v>
      </c>
      <c r="D23" t="s">
        <v>438</v>
      </c>
      <c r="E23" t="s">
        <v>439</v>
      </c>
      <c r="F23">
        <v>5</v>
      </c>
      <c r="G23">
        <v>1792134088.5999999</v>
      </c>
      <c r="H23">
        <f t="shared" si="0"/>
        <v>5.1683498970659259E-3</v>
      </c>
      <c r="I23">
        <f t="shared" si="1"/>
        <v>5.1683498970659256</v>
      </c>
      <c r="J23">
        <f t="shared" si="2"/>
        <v>22.559955789202785</v>
      </c>
      <c r="K23">
        <f t="shared" si="3"/>
        <v>390.17433333333298</v>
      </c>
      <c r="L23">
        <f t="shared" si="4"/>
        <v>285.69847945331838</v>
      </c>
      <c r="M23">
        <f t="shared" si="5"/>
        <v>29.071670834374466</v>
      </c>
      <c r="N23">
        <f t="shared" si="6"/>
        <v>39.70276568637302</v>
      </c>
      <c r="O23">
        <f t="shared" si="7"/>
        <v>0.39517611770930394</v>
      </c>
      <c r="P23">
        <f t="shared" si="8"/>
        <v>3.0369404409862923</v>
      </c>
      <c r="Q23">
        <f t="shared" si="9"/>
        <v>0.36867041264945755</v>
      </c>
      <c r="R23">
        <f t="shared" si="10"/>
        <v>0.23265212465566856</v>
      </c>
      <c r="S23">
        <f t="shared" si="11"/>
        <v>241.73768800270159</v>
      </c>
      <c r="T23">
        <f t="shared" si="12"/>
        <v>25.487753733406905</v>
      </c>
      <c r="U23">
        <f t="shared" si="13"/>
        <v>25.014866666666698</v>
      </c>
      <c r="V23">
        <f t="shared" si="14"/>
        <v>3.1824969480387031</v>
      </c>
      <c r="W23">
        <f t="shared" si="15"/>
        <v>54.9672104507817</v>
      </c>
      <c r="X23">
        <f t="shared" si="16"/>
        <v>1.7908444665938597</v>
      </c>
      <c r="Y23">
        <f t="shared" si="17"/>
        <v>3.2580231958421888</v>
      </c>
      <c r="Z23">
        <f t="shared" si="18"/>
        <v>1.3916524814448434</v>
      </c>
      <c r="AA23">
        <f t="shared" si="19"/>
        <v>-227.92423046060733</v>
      </c>
      <c r="AB23">
        <f t="shared" si="20"/>
        <v>64.514105607884304</v>
      </c>
      <c r="AC23">
        <f t="shared" si="21"/>
        <v>4.5030279213199398</v>
      </c>
      <c r="AD23">
        <f t="shared" si="22"/>
        <v>82.830591071298485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53996.414784354514</v>
      </c>
      <c r="AJ23" t="s">
        <v>415</v>
      </c>
      <c r="AK23" t="s">
        <v>415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415</v>
      </c>
      <c r="AQ23" t="s">
        <v>415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1261.2124994832677</v>
      </c>
      <c r="AW23">
        <f t="shared" si="29"/>
        <v>22.559955789202785</v>
      </c>
      <c r="AX23" t="e">
        <f t="shared" si="30"/>
        <v>#DIV/0!</v>
      </c>
      <c r="AY23">
        <f t="shared" si="31"/>
        <v>1.7887513641393373E-2</v>
      </c>
      <c r="AZ23" t="e">
        <f t="shared" si="32"/>
        <v>#DIV/0!</v>
      </c>
      <c r="BA23" t="e">
        <f t="shared" si="33"/>
        <v>#DIV/0!</v>
      </c>
      <c r="BB23" t="s">
        <v>415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BL23">
        <v>1111</v>
      </c>
      <c r="BM23">
        <v>290</v>
      </c>
      <c r="BN23">
        <v>927.93</v>
      </c>
      <c r="BO23">
        <v>225</v>
      </c>
      <c r="BP23">
        <v>8123.51</v>
      </c>
      <c r="BQ23">
        <v>924.3</v>
      </c>
      <c r="BR23">
        <v>3.63</v>
      </c>
      <c r="BS23">
        <v>300</v>
      </c>
      <c r="BT23">
        <v>19.3</v>
      </c>
      <c r="BU23">
        <v>955.27281112415801</v>
      </c>
      <c r="BV23">
        <v>1.6167142888188699</v>
      </c>
      <c r="BW23">
        <v>-25.163037676813001</v>
      </c>
      <c r="BX23">
        <v>1.1737689531451101</v>
      </c>
      <c r="BY23">
        <v>0.942573498846068</v>
      </c>
      <c r="BZ23">
        <v>-5.3880809788654001E-3</v>
      </c>
      <c r="CA23">
        <v>290</v>
      </c>
      <c r="CB23">
        <v>915.78</v>
      </c>
      <c r="CC23">
        <v>615</v>
      </c>
      <c r="CD23">
        <v>8112.29</v>
      </c>
      <c r="CE23">
        <v>924.25</v>
      </c>
      <c r="CF23">
        <v>-8.4700000000000006</v>
      </c>
      <c r="CT23">
        <f t="shared" si="42"/>
        <v>1500.00166666667</v>
      </c>
      <c r="CU23">
        <f t="shared" si="43"/>
        <v>1261.2124994832677</v>
      </c>
      <c r="CV23">
        <f t="shared" si="44"/>
        <v>0.84080739875840016</v>
      </c>
      <c r="CW23">
        <f t="shared" si="45"/>
        <v>0.16115827960371226</v>
      </c>
      <c r="CX23">
        <v>2</v>
      </c>
      <c r="CY23">
        <v>0.5</v>
      </c>
      <c r="CZ23" t="s">
        <v>416</v>
      </c>
      <c r="DA23">
        <v>2</v>
      </c>
      <c r="DB23">
        <v>1792134088.5999999</v>
      </c>
      <c r="DC23">
        <v>390.17433333333298</v>
      </c>
      <c r="DD23">
        <v>400.00466666666699</v>
      </c>
      <c r="DE23">
        <v>17.599316666666699</v>
      </c>
      <c r="DF23">
        <v>15.5684166666667</v>
      </c>
      <c r="DG23">
        <v>389.33183333333301</v>
      </c>
      <c r="DH23">
        <v>17.701366666666701</v>
      </c>
      <c r="DI23">
        <v>500.01383333333303</v>
      </c>
      <c r="DJ23">
        <v>101.65649999999999</v>
      </c>
      <c r="DK23">
        <v>9.9977283333333306E-2</v>
      </c>
      <c r="DL23">
        <v>25.408899999999999</v>
      </c>
      <c r="DM23">
        <v>25.014866666666698</v>
      </c>
      <c r="DN23">
        <v>999.9</v>
      </c>
      <c r="DO23">
        <v>0</v>
      </c>
      <c r="DP23">
        <v>0</v>
      </c>
      <c r="DQ23">
        <v>9991.6516666666703</v>
      </c>
      <c r="DR23">
        <v>0</v>
      </c>
      <c r="DS23">
        <v>6.8522966666666703</v>
      </c>
      <c r="DT23">
        <v>-9.8304650000000002</v>
      </c>
      <c r="DU23">
        <v>397.16416666666697</v>
      </c>
      <c r="DV23">
        <v>406.33083333333298</v>
      </c>
      <c r="DW23">
        <v>2.0309066666666702</v>
      </c>
      <c r="DX23">
        <v>400.00466666666699</v>
      </c>
      <c r="DY23">
        <v>15.5684166666667</v>
      </c>
      <c r="DZ23">
        <v>1.78908666666667</v>
      </c>
      <c r="EA23">
        <v>1.58263333333333</v>
      </c>
      <c r="EB23">
        <v>15.6917666666667</v>
      </c>
      <c r="EC23">
        <v>13.7907166666667</v>
      </c>
      <c r="ED23">
        <v>1500.00166666667</v>
      </c>
      <c r="EE23">
        <v>0.97299733333333305</v>
      </c>
      <c r="EF23">
        <v>2.700255E-2</v>
      </c>
      <c r="EG23">
        <v>0</v>
      </c>
      <c r="EH23">
        <v>332.29016666666701</v>
      </c>
      <c r="EI23">
        <v>5.0006399999999998</v>
      </c>
      <c r="EJ23">
        <v>5149.7866666666696</v>
      </c>
      <c r="EK23">
        <v>15439.25</v>
      </c>
      <c r="EL23">
        <v>40.625</v>
      </c>
      <c r="EM23">
        <v>41.311999999999998</v>
      </c>
      <c r="EN23">
        <v>40.968499999999999</v>
      </c>
      <c r="EO23">
        <v>40.936999999999998</v>
      </c>
      <c r="EP23">
        <v>42.145666666666699</v>
      </c>
      <c r="EQ23">
        <v>1454.6316666666701</v>
      </c>
      <c r="ER23">
        <v>40.369999999999997</v>
      </c>
      <c r="ES23">
        <v>0</v>
      </c>
      <c r="ET23">
        <v>4148.6999998092697</v>
      </c>
      <c r="EU23">
        <v>0</v>
      </c>
      <c r="EV23">
        <v>332.26415384615399</v>
      </c>
      <c r="EW23">
        <v>0.87083760580601499</v>
      </c>
      <c r="EX23">
        <v>1.81435897886817</v>
      </c>
      <c r="EY23">
        <v>5149.5919230769196</v>
      </c>
      <c r="EZ23">
        <v>15</v>
      </c>
      <c r="FA23">
        <v>1792134028.0999999</v>
      </c>
      <c r="FB23" t="s">
        <v>440</v>
      </c>
      <c r="FC23">
        <v>1792134028.0999999</v>
      </c>
      <c r="FD23">
        <v>1792134027.0999999</v>
      </c>
      <c r="FE23">
        <v>65</v>
      </c>
      <c r="FF23">
        <v>-8.6999999999999994E-2</v>
      </c>
      <c r="FG23">
        <v>2E-3</v>
      </c>
      <c r="FH23">
        <v>0.84599999999999997</v>
      </c>
      <c r="FI23">
        <v>-0.17799999999999999</v>
      </c>
      <c r="FJ23">
        <v>400</v>
      </c>
      <c r="FK23">
        <v>16</v>
      </c>
      <c r="FL23">
        <v>0.14000000000000001</v>
      </c>
      <c r="FM23">
        <v>0.04</v>
      </c>
      <c r="FN23">
        <v>22.591450031165</v>
      </c>
      <c r="FO23">
        <v>6.9167054531899697E-2</v>
      </c>
      <c r="FP23">
        <v>8.23102374065008E-2</v>
      </c>
      <c r="FQ23">
        <v>1</v>
      </c>
      <c r="FR23">
        <v>-9.8419410000000003</v>
      </c>
      <c r="FS23">
        <v>1.16950375939784E-2</v>
      </c>
      <c r="FT23">
        <v>2.7318036514361699E-2</v>
      </c>
      <c r="FU23">
        <v>1</v>
      </c>
      <c r="FV23">
        <v>332.21611764705898</v>
      </c>
      <c r="FW23">
        <v>0.61659281712971004</v>
      </c>
      <c r="FX23">
        <v>0.20316043569002001</v>
      </c>
      <c r="FY23">
        <v>1</v>
      </c>
      <c r="FZ23">
        <v>3</v>
      </c>
      <c r="GA23">
        <v>3</v>
      </c>
      <c r="GB23" t="s">
        <v>418</v>
      </c>
      <c r="GC23">
        <v>3.1232099999999998</v>
      </c>
      <c r="GD23">
        <v>2.7652100000000002</v>
      </c>
      <c r="GE23">
        <v>8.6501999999999996E-2</v>
      </c>
      <c r="GF23">
        <v>9.0492199999999995E-2</v>
      </c>
      <c r="GG23">
        <v>9.4169900000000001E-2</v>
      </c>
      <c r="GH23">
        <v>8.9249200000000001E-2</v>
      </c>
      <c r="GI23">
        <v>17801.599999999999</v>
      </c>
      <c r="GJ23">
        <v>26717.1</v>
      </c>
      <c r="GK23">
        <v>22770.799999999999</v>
      </c>
      <c r="GL23">
        <v>30100.5</v>
      </c>
      <c r="GM23">
        <v>33834.199999999997</v>
      </c>
      <c r="GN23">
        <v>34152.300000000003</v>
      </c>
      <c r="GO23">
        <v>43087.1</v>
      </c>
      <c r="GP23">
        <v>42870.8</v>
      </c>
      <c r="GQ23">
        <v>1.9531000000000001</v>
      </c>
      <c r="GR23">
        <v>1.8140799999999999</v>
      </c>
      <c r="GS23">
        <v>6.8627300000000002E-2</v>
      </c>
      <c r="GT23">
        <v>0</v>
      </c>
      <c r="GU23">
        <v>23.879200000000001</v>
      </c>
      <c r="GV23">
        <v>999.9</v>
      </c>
      <c r="GW23">
        <v>38.774000000000001</v>
      </c>
      <c r="GX23">
        <v>33.354999999999997</v>
      </c>
      <c r="GY23">
        <v>19.656700000000001</v>
      </c>
      <c r="GZ23">
        <v>63.4786</v>
      </c>
      <c r="HA23">
        <v>36.902999999999999</v>
      </c>
      <c r="HB23">
        <v>1</v>
      </c>
      <c r="HC23">
        <v>6.9837399999999994E-2</v>
      </c>
      <c r="HD23">
        <v>1.90693</v>
      </c>
      <c r="HE23">
        <v>20.1494</v>
      </c>
      <c r="HF23">
        <v>5.2333100000000004</v>
      </c>
      <c r="HG23">
        <v>11.962199999999999</v>
      </c>
      <c r="HH23">
        <v>4.9687999999999999</v>
      </c>
      <c r="HI23">
        <v>3.29528</v>
      </c>
      <c r="HJ23">
        <v>9999</v>
      </c>
      <c r="HK23">
        <v>999.9</v>
      </c>
      <c r="HL23">
        <v>9999</v>
      </c>
      <c r="HM23">
        <v>9999</v>
      </c>
      <c r="HN23">
        <v>4.9697500000000003</v>
      </c>
      <c r="HO23">
        <v>1.8640099999999999</v>
      </c>
      <c r="HP23">
        <v>1.86554</v>
      </c>
      <c r="HQ23">
        <v>1.86737</v>
      </c>
      <c r="HR23">
        <v>1.86432</v>
      </c>
      <c r="HS23">
        <v>1.8680399999999999</v>
      </c>
      <c r="HT23">
        <v>1.8647800000000001</v>
      </c>
      <c r="HU23">
        <v>1.8667100000000001</v>
      </c>
      <c r="HV23">
        <v>0</v>
      </c>
      <c r="HW23">
        <v>0</v>
      </c>
      <c r="HX23">
        <v>0</v>
      </c>
      <c r="HY23">
        <v>0</v>
      </c>
      <c r="HZ23" t="s">
        <v>419</v>
      </c>
      <c r="IA23" t="s">
        <v>420</v>
      </c>
      <c r="IB23" t="s">
        <v>421</v>
      </c>
      <c r="IC23" t="s">
        <v>421</v>
      </c>
      <c r="ID23" t="s">
        <v>421</v>
      </c>
      <c r="IE23" t="s">
        <v>421</v>
      </c>
      <c r="IF23">
        <v>0</v>
      </c>
      <c r="IG23">
        <v>100</v>
      </c>
      <c r="IH23">
        <v>100</v>
      </c>
      <c r="II23">
        <v>0.84199999999999997</v>
      </c>
      <c r="IJ23">
        <v>-0.10249999999999999</v>
      </c>
      <c r="IK23">
        <v>0.71995714533254296</v>
      </c>
      <c r="IL23">
        <v>2.16929631606078E-4</v>
      </c>
      <c r="IM23">
        <v>2.7226302473163502E-7</v>
      </c>
      <c r="IN23">
        <v>-5.4379205123515401E-11</v>
      </c>
      <c r="IO23">
        <v>-2.07764899934175E-2</v>
      </c>
      <c r="IP23">
        <v>-5.8443384954566899E-2</v>
      </c>
      <c r="IQ23">
        <v>3.41568706061026E-3</v>
      </c>
      <c r="IR23">
        <v>-2.10952612506686E-5</v>
      </c>
      <c r="IS23">
        <v>0</v>
      </c>
      <c r="IT23">
        <v>1734</v>
      </c>
      <c r="IU23">
        <v>2</v>
      </c>
      <c r="IV23">
        <v>19</v>
      </c>
      <c r="IW23">
        <v>1.1000000000000001</v>
      </c>
      <c r="IX23">
        <v>1.1000000000000001</v>
      </c>
      <c r="IY23">
        <v>1.0510299999999999</v>
      </c>
      <c r="IZ23">
        <v>2.5756800000000002</v>
      </c>
      <c r="JA23">
        <v>1.3464400000000001</v>
      </c>
      <c r="JB23">
        <v>2.2558600000000002</v>
      </c>
      <c r="JC23">
        <v>1.5502899999999999</v>
      </c>
      <c r="JD23">
        <v>2.7465799999999998</v>
      </c>
      <c r="JE23">
        <v>39.491599999999998</v>
      </c>
      <c r="JF23">
        <v>23.8248</v>
      </c>
      <c r="JG23">
        <v>18</v>
      </c>
      <c r="JH23">
        <v>488.54500000000002</v>
      </c>
      <c r="JI23">
        <v>476.13299999999998</v>
      </c>
      <c r="JJ23">
        <v>22.280100000000001</v>
      </c>
      <c r="JK23">
        <v>28.0656</v>
      </c>
      <c r="JL23">
        <v>30.000399999999999</v>
      </c>
      <c r="JM23">
        <v>28.037600000000001</v>
      </c>
      <c r="JN23">
        <v>28.0472</v>
      </c>
      <c r="JO23">
        <v>21.0441</v>
      </c>
      <c r="JP23">
        <v>28.391999999999999</v>
      </c>
      <c r="JQ23">
        <v>44.434800000000003</v>
      </c>
      <c r="JR23">
        <v>22.261099999999999</v>
      </c>
      <c r="JS23">
        <v>400</v>
      </c>
      <c r="JT23">
        <v>15.583500000000001</v>
      </c>
      <c r="JU23">
        <v>101.73699999999999</v>
      </c>
      <c r="JV23">
        <v>97.349800000000002</v>
      </c>
    </row>
    <row r="24" spans="1:282" x14ac:dyDescent="0.3">
      <c r="A24">
        <v>8</v>
      </c>
      <c r="B24">
        <v>1792134213.0999999</v>
      </c>
      <c r="C24">
        <v>877</v>
      </c>
      <c r="D24" t="s">
        <v>441</v>
      </c>
      <c r="E24" t="s">
        <v>442</v>
      </c>
      <c r="F24">
        <v>5</v>
      </c>
      <c r="G24">
        <v>1792134209.5999999</v>
      </c>
      <c r="H24">
        <f t="shared" si="0"/>
        <v>5.07953162945714E-3</v>
      </c>
      <c r="I24">
        <f t="shared" si="1"/>
        <v>5.07953162945714</v>
      </c>
      <c r="J24">
        <f t="shared" si="2"/>
        <v>30.568339900852553</v>
      </c>
      <c r="K24">
        <f t="shared" si="3"/>
        <v>686.39449999999999</v>
      </c>
      <c r="L24">
        <f t="shared" si="4"/>
        <v>539.16032785598622</v>
      </c>
      <c r="M24">
        <f t="shared" si="5"/>
        <v>54.864324783047778</v>
      </c>
      <c r="N24">
        <f t="shared" si="6"/>
        <v>69.846702050668256</v>
      </c>
      <c r="O24">
        <f t="shared" si="7"/>
        <v>0.3881593977730437</v>
      </c>
      <c r="P24">
        <f t="shared" si="8"/>
        <v>3.0373948849209205</v>
      </c>
      <c r="Q24">
        <f t="shared" si="9"/>
        <v>0.36255746228354457</v>
      </c>
      <c r="R24">
        <f t="shared" si="10"/>
        <v>0.22875777862066199</v>
      </c>
      <c r="S24">
        <f t="shared" si="11"/>
        <v>241.7344960026883</v>
      </c>
      <c r="T24">
        <f t="shared" si="12"/>
        <v>25.478632882893503</v>
      </c>
      <c r="U24">
        <f t="shared" si="13"/>
        <v>25.017383333333299</v>
      </c>
      <c r="V24">
        <f t="shared" si="14"/>
        <v>3.1829744321915254</v>
      </c>
      <c r="W24">
        <f t="shared" si="15"/>
        <v>55.110403619953985</v>
      </c>
      <c r="X24">
        <f t="shared" si="16"/>
        <v>1.792156183034624</v>
      </c>
      <c r="Y24">
        <f t="shared" si="17"/>
        <v>3.2519380467497299</v>
      </c>
      <c r="Z24">
        <f t="shared" si="18"/>
        <v>1.3908182491569014</v>
      </c>
      <c r="AA24">
        <f t="shared" si="19"/>
        <v>-224.00734485905988</v>
      </c>
      <c r="AB24">
        <f t="shared" si="20"/>
        <v>58.961648695116295</v>
      </c>
      <c r="AC24">
        <f t="shared" si="21"/>
        <v>4.1142564437664326</v>
      </c>
      <c r="AD24">
        <f t="shared" si="22"/>
        <v>80.80305628251115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54016.385560945258</v>
      </c>
      <c r="AJ24" t="s">
        <v>415</v>
      </c>
      <c r="AK24" t="s">
        <v>415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415</v>
      </c>
      <c r="AQ24" t="s">
        <v>415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1261.1956994832608</v>
      </c>
      <c r="AW24">
        <f t="shared" si="29"/>
        <v>30.568339900852553</v>
      </c>
      <c r="AX24" t="e">
        <f t="shared" si="30"/>
        <v>#DIV/0!</v>
      </c>
      <c r="AY24">
        <f t="shared" si="31"/>
        <v>2.4237586532666631E-2</v>
      </c>
      <c r="AZ24" t="e">
        <f t="shared" si="32"/>
        <v>#DIV/0!</v>
      </c>
      <c r="BA24" t="e">
        <f t="shared" si="33"/>
        <v>#DIV/0!</v>
      </c>
      <c r="BB24" t="s">
        <v>415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BL24">
        <v>1111</v>
      </c>
      <c r="BM24">
        <v>290</v>
      </c>
      <c r="BN24">
        <v>927.93</v>
      </c>
      <c r="BO24">
        <v>225</v>
      </c>
      <c r="BP24">
        <v>8123.51</v>
      </c>
      <c r="BQ24">
        <v>924.3</v>
      </c>
      <c r="BR24">
        <v>3.63</v>
      </c>
      <c r="BS24">
        <v>300</v>
      </c>
      <c r="BT24">
        <v>19.3</v>
      </c>
      <c r="BU24">
        <v>955.27281112415801</v>
      </c>
      <c r="BV24">
        <v>1.6167142888188699</v>
      </c>
      <c r="BW24">
        <v>-25.163037676813001</v>
      </c>
      <c r="BX24">
        <v>1.1737689531451101</v>
      </c>
      <c r="BY24">
        <v>0.942573498846068</v>
      </c>
      <c r="BZ24">
        <v>-5.3880809788654001E-3</v>
      </c>
      <c r="CA24">
        <v>290</v>
      </c>
      <c r="CB24">
        <v>915.78</v>
      </c>
      <c r="CC24">
        <v>615</v>
      </c>
      <c r="CD24">
        <v>8112.29</v>
      </c>
      <c r="CE24">
        <v>924.25</v>
      </c>
      <c r="CF24">
        <v>-8.4700000000000006</v>
      </c>
      <c r="CT24">
        <f t="shared" si="42"/>
        <v>1499.98166666667</v>
      </c>
      <c r="CU24">
        <f t="shared" si="43"/>
        <v>1261.1956994832608</v>
      </c>
      <c r="CV24">
        <f t="shared" si="44"/>
        <v>0.84080740952384392</v>
      </c>
      <c r="CW24">
        <f t="shared" si="45"/>
        <v>0.16115830038101872</v>
      </c>
      <c r="CX24">
        <v>2</v>
      </c>
      <c r="CY24">
        <v>0.5</v>
      </c>
      <c r="CZ24" t="s">
        <v>416</v>
      </c>
      <c r="DA24">
        <v>2</v>
      </c>
      <c r="DB24">
        <v>1792134209.5999999</v>
      </c>
      <c r="DC24">
        <v>686.39449999999999</v>
      </c>
      <c r="DD24">
        <v>700.01683333333301</v>
      </c>
      <c r="DE24">
        <v>17.611799999999999</v>
      </c>
      <c r="DF24">
        <v>15.6157166666667</v>
      </c>
      <c r="DG24">
        <v>685.32050000000004</v>
      </c>
      <c r="DH24">
        <v>17.710799999999999</v>
      </c>
      <c r="DI24">
        <v>499.98633333333299</v>
      </c>
      <c r="DJ24">
        <v>101.65883333333301</v>
      </c>
      <c r="DK24">
        <v>9.9997849999999999E-2</v>
      </c>
      <c r="DL24">
        <v>25.37745</v>
      </c>
      <c r="DM24">
        <v>25.017383333333299</v>
      </c>
      <c r="DN24">
        <v>999.9</v>
      </c>
      <c r="DO24">
        <v>0</v>
      </c>
      <c r="DP24">
        <v>0</v>
      </c>
      <c r="DQ24">
        <v>9994.1666666666697</v>
      </c>
      <c r="DR24">
        <v>0</v>
      </c>
      <c r="DS24">
        <v>6.8536566666666703</v>
      </c>
      <c r="DT24">
        <v>-13.6223833333333</v>
      </c>
      <c r="DU24">
        <v>698.699833333333</v>
      </c>
      <c r="DV24">
        <v>711.12133333333304</v>
      </c>
      <c r="DW24">
        <v>1.9961249999999999</v>
      </c>
      <c r="DX24">
        <v>700.01683333333301</v>
      </c>
      <c r="DY24">
        <v>15.6157166666667</v>
      </c>
      <c r="DZ24">
        <v>1.79039833333333</v>
      </c>
      <c r="EA24">
        <v>1.58747666666667</v>
      </c>
      <c r="EB24">
        <v>15.7032333333333</v>
      </c>
      <c r="EC24">
        <v>13.83775</v>
      </c>
      <c r="ED24">
        <v>1499.98166666667</v>
      </c>
      <c r="EE24">
        <v>0.97299733333333305</v>
      </c>
      <c r="EF24">
        <v>2.700255E-2</v>
      </c>
      <c r="EG24">
        <v>0</v>
      </c>
      <c r="EH24">
        <v>330.27</v>
      </c>
      <c r="EI24">
        <v>5.0006399999999998</v>
      </c>
      <c r="EJ24">
        <v>5123.22</v>
      </c>
      <c r="EK24">
        <v>15439.016666666699</v>
      </c>
      <c r="EL24">
        <v>40.6353333333333</v>
      </c>
      <c r="EM24">
        <v>41.375</v>
      </c>
      <c r="EN24">
        <v>41</v>
      </c>
      <c r="EO24">
        <v>41</v>
      </c>
      <c r="EP24">
        <v>42.186999999999998</v>
      </c>
      <c r="EQ24">
        <v>1454.6116666666701</v>
      </c>
      <c r="ER24">
        <v>40.369999999999997</v>
      </c>
      <c r="ES24">
        <v>0</v>
      </c>
      <c r="ET24">
        <v>4269.8999998569498</v>
      </c>
      <c r="EU24">
        <v>0</v>
      </c>
      <c r="EV24">
        <v>330.24549999999999</v>
      </c>
      <c r="EW24">
        <v>-0.227452987222349</v>
      </c>
      <c r="EX24">
        <v>4.8629059764016596</v>
      </c>
      <c r="EY24">
        <v>5122.9907692307697</v>
      </c>
      <c r="EZ24">
        <v>15</v>
      </c>
      <c r="FA24">
        <v>1792134155.0999999</v>
      </c>
      <c r="FB24" t="s">
        <v>443</v>
      </c>
      <c r="FC24">
        <v>1792134149.0999999</v>
      </c>
      <c r="FD24">
        <v>1792134155.0999999</v>
      </c>
      <c r="FE24">
        <v>66</v>
      </c>
      <c r="FF24">
        <v>9.5000000000000001E-2</v>
      </c>
      <c r="FG24">
        <v>3.0000000000000001E-3</v>
      </c>
      <c r="FH24">
        <v>1.081</v>
      </c>
      <c r="FI24">
        <v>-0.17299999999999999</v>
      </c>
      <c r="FJ24">
        <v>700</v>
      </c>
      <c r="FK24">
        <v>16</v>
      </c>
      <c r="FL24">
        <v>0.12</v>
      </c>
      <c r="FM24">
        <v>0.04</v>
      </c>
      <c r="FN24">
        <v>30.4222321988773</v>
      </c>
      <c r="FO24">
        <v>0.111485079587523</v>
      </c>
      <c r="FP24">
        <v>0.18738692278258301</v>
      </c>
      <c r="FQ24">
        <v>1</v>
      </c>
      <c r="FR24">
        <v>-13.5623857142857</v>
      </c>
      <c r="FS24">
        <v>-0.129467532467547</v>
      </c>
      <c r="FT24">
        <v>7.99669889374853E-2</v>
      </c>
      <c r="FU24">
        <v>1</v>
      </c>
      <c r="FV24">
        <v>330.24782352941202</v>
      </c>
      <c r="FW24">
        <v>-0.23547746398049299</v>
      </c>
      <c r="FX24">
        <v>0.19382412746493399</v>
      </c>
      <c r="FY24">
        <v>1</v>
      </c>
      <c r="FZ24">
        <v>3</v>
      </c>
      <c r="GA24">
        <v>3</v>
      </c>
      <c r="GB24" t="s">
        <v>418</v>
      </c>
      <c r="GC24">
        <v>3.12323</v>
      </c>
      <c r="GD24">
        <v>2.76546</v>
      </c>
      <c r="GE24">
        <v>0.13009399999999999</v>
      </c>
      <c r="GF24">
        <v>0.13530600000000001</v>
      </c>
      <c r="GG24">
        <v>9.4207799999999994E-2</v>
      </c>
      <c r="GH24">
        <v>8.9426599999999995E-2</v>
      </c>
      <c r="GI24">
        <v>16949.8</v>
      </c>
      <c r="GJ24">
        <v>25398.7</v>
      </c>
      <c r="GK24">
        <v>22768.1</v>
      </c>
      <c r="GL24">
        <v>30098.5</v>
      </c>
      <c r="GM24">
        <v>33832.199999999997</v>
      </c>
      <c r="GN24">
        <v>34147.300000000003</v>
      </c>
      <c r="GO24">
        <v>43082.8</v>
      </c>
      <c r="GP24">
        <v>42868.9</v>
      </c>
      <c r="GQ24">
        <v>1.9526300000000001</v>
      </c>
      <c r="GR24">
        <v>1.8136699999999999</v>
      </c>
      <c r="GS24">
        <v>6.9059400000000007E-2</v>
      </c>
      <c r="GT24">
        <v>0</v>
      </c>
      <c r="GU24">
        <v>23.889500000000002</v>
      </c>
      <c r="GV24">
        <v>999.9</v>
      </c>
      <c r="GW24">
        <v>38.597000000000001</v>
      </c>
      <c r="GX24">
        <v>33.405000000000001</v>
      </c>
      <c r="GY24">
        <v>19.621700000000001</v>
      </c>
      <c r="GZ24">
        <v>63.318600000000004</v>
      </c>
      <c r="HA24">
        <v>37.067300000000003</v>
      </c>
      <c r="HB24">
        <v>1</v>
      </c>
      <c r="HC24">
        <v>7.3584899999999995E-2</v>
      </c>
      <c r="HD24">
        <v>2.0979100000000002</v>
      </c>
      <c r="HE24">
        <v>20.146999999999998</v>
      </c>
      <c r="HF24">
        <v>5.2337600000000002</v>
      </c>
      <c r="HG24">
        <v>11.962</v>
      </c>
      <c r="HH24">
        <v>4.96915</v>
      </c>
      <c r="HI24">
        <v>3.29515</v>
      </c>
      <c r="HJ24">
        <v>9999</v>
      </c>
      <c r="HK24">
        <v>999.9</v>
      </c>
      <c r="HL24">
        <v>9999</v>
      </c>
      <c r="HM24">
        <v>9999</v>
      </c>
      <c r="HN24">
        <v>4.9697100000000001</v>
      </c>
      <c r="HO24">
        <v>1.86399</v>
      </c>
      <c r="HP24">
        <v>1.8655299999999999</v>
      </c>
      <c r="HQ24">
        <v>1.8673599999999999</v>
      </c>
      <c r="HR24">
        <v>1.86432</v>
      </c>
      <c r="HS24">
        <v>1.8680099999999999</v>
      </c>
      <c r="HT24">
        <v>1.8647800000000001</v>
      </c>
      <c r="HU24">
        <v>1.8667</v>
      </c>
      <c r="HV24">
        <v>0</v>
      </c>
      <c r="HW24">
        <v>0</v>
      </c>
      <c r="HX24">
        <v>0</v>
      </c>
      <c r="HY24">
        <v>0</v>
      </c>
      <c r="HZ24" t="s">
        <v>419</v>
      </c>
      <c r="IA24" t="s">
        <v>420</v>
      </c>
      <c r="IB24" t="s">
        <v>421</v>
      </c>
      <c r="IC24" t="s">
        <v>421</v>
      </c>
      <c r="ID24" t="s">
        <v>421</v>
      </c>
      <c r="IE24" t="s">
        <v>421</v>
      </c>
      <c r="IF24">
        <v>0</v>
      </c>
      <c r="IG24">
        <v>100</v>
      </c>
      <c r="IH24">
        <v>100</v>
      </c>
      <c r="II24">
        <v>1.0740000000000001</v>
      </c>
      <c r="IJ24">
        <v>-9.9299999999999999E-2</v>
      </c>
      <c r="IK24">
        <v>0.81493172516057399</v>
      </c>
      <c r="IL24">
        <v>2.16929631606078E-4</v>
      </c>
      <c r="IM24">
        <v>2.7226302473163502E-7</v>
      </c>
      <c r="IN24">
        <v>-5.4379205123515401E-11</v>
      </c>
      <c r="IO24">
        <v>-1.80817297978146E-2</v>
      </c>
      <c r="IP24">
        <v>-5.8443384954566899E-2</v>
      </c>
      <c r="IQ24">
        <v>3.41568706061026E-3</v>
      </c>
      <c r="IR24">
        <v>-2.10952612506686E-5</v>
      </c>
      <c r="IS24">
        <v>0</v>
      </c>
      <c r="IT24">
        <v>1734</v>
      </c>
      <c r="IU24">
        <v>2</v>
      </c>
      <c r="IV24">
        <v>19</v>
      </c>
      <c r="IW24">
        <v>1.1000000000000001</v>
      </c>
      <c r="IX24">
        <v>1</v>
      </c>
      <c r="IY24">
        <v>1.6333</v>
      </c>
      <c r="IZ24">
        <v>2.5634800000000002</v>
      </c>
      <c r="JA24">
        <v>1.3464400000000001</v>
      </c>
      <c r="JB24">
        <v>2.2558600000000002</v>
      </c>
      <c r="JC24">
        <v>1.5502899999999999</v>
      </c>
      <c r="JD24">
        <v>2.7514599999999998</v>
      </c>
      <c r="JE24">
        <v>39.516599999999997</v>
      </c>
      <c r="JF24">
        <v>23.833600000000001</v>
      </c>
      <c r="JG24">
        <v>18</v>
      </c>
      <c r="JH24">
        <v>488.65</v>
      </c>
      <c r="JI24">
        <v>476.27199999999999</v>
      </c>
      <c r="JJ24">
        <v>21.9756</v>
      </c>
      <c r="JK24">
        <v>28.113499999999998</v>
      </c>
      <c r="JL24">
        <v>30.000299999999999</v>
      </c>
      <c r="JM24">
        <v>28.084399999999999</v>
      </c>
      <c r="JN24">
        <v>28.094000000000001</v>
      </c>
      <c r="JO24">
        <v>32.699800000000003</v>
      </c>
      <c r="JP24">
        <v>27.901800000000001</v>
      </c>
      <c r="JQ24">
        <v>43.917099999999998</v>
      </c>
      <c r="JR24">
        <v>21.97</v>
      </c>
      <c r="JS24">
        <v>700</v>
      </c>
      <c r="JT24">
        <v>15.6374</v>
      </c>
      <c r="JU24">
        <v>101.726</v>
      </c>
      <c r="JV24">
        <v>97.3446</v>
      </c>
    </row>
    <row r="25" spans="1:282" x14ac:dyDescent="0.3">
      <c r="A25">
        <v>9</v>
      </c>
      <c r="B25">
        <v>1792134344.0999999</v>
      </c>
      <c r="C25">
        <v>1008</v>
      </c>
      <c r="D25" t="s">
        <v>444</v>
      </c>
      <c r="E25" t="s">
        <v>445</v>
      </c>
      <c r="F25">
        <v>5</v>
      </c>
      <c r="G25">
        <v>1792134341.0999999</v>
      </c>
      <c r="H25">
        <f t="shared" si="0"/>
        <v>4.442669857530124E-3</v>
      </c>
      <c r="I25">
        <f t="shared" si="1"/>
        <v>4.4426698575301238</v>
      </c>
      <c r="J25">
        <f t="shared" si="2"/>
        <v>33.25620800766108</v>
      </c>
      <c r="K25">
        <f t="shared" si="3"/>
        <v>984.91800000000001</v>
      </c>
      <c r="L25">
        <f t="shared" si="4"/>
        <v>795.9882054962909</v>
      </c>
      <c r="M25">
        <f t="shared" si="5"/>
        <v>81.000853097022571</v>
      </c>
      <c r="N25">
        <f t="shared" si="6"/>
        <v>100.22660848457134</v>
      </c>
      <c r="O25">
        <f t="shared" si="7"/>
        <v>0.33143267021954165</v>
      </c>
      <c r="P25">
        <f t="shared" si="8"/>
        <v>3.0375713782349729</v>
      </c>
      <c r="Q25">
        <f t="shared" si="9"/>
        <v>0.31257298469689909</v>
      </c>
      <c r="R25">
        <f t="shared" si="10"/>
        <v>0.19696309554845715</v>
      </c>
      <c r="S25">
        <f t="shared" si="11"/>
        <v>241.73614520269462</v>
      </c>
      <c r="T25">
        <f t="shared" si="12"/>
        <v>25.557418869034237</v>
      </c>
      <c r="U25">
        <f t="shared" si="13"/>
        <v>25.065719999999999</v>
      </c>
      <c r="V25">
        <f t="shared" si="14"/>
        <v>3.192157446114499</v>
      </c>
      <c r="W25">
        <f t="shared" si="15"/>
        <v>55.037959428554053</v>
      </c>
      <c r="X25">
        <f t="shared" si="16"/>
        <v>1.7811435673128526</v>
      </c>
      <c r="Y25">
        <f t="shared" si="17"/>
        <v>3.2362093104577996</v>
      </c>
      <c r="Z25">
        <f t="shared" si="18"/>
        <v>1.4110138788016464</v>
      </c>
      <c r="AA25">
        <f t="shared" si="19"/>
        <v>-195.92174071707848</v>
      </c>
      <c r="AB25">
        <f t="shared" si="20"/>
        <v>37.697908382611566</v>
      </c>
      <c r="AC25">
        <f t="shared" si="21"/>
        <v>2.6299115920292797</v>
      </c>
      <c r="AD25">
        <f t="shared" si="22"/>
        <v>86.142224460256983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54036.728911164064</v>
      </c>
      <c r="AJ25" t="s">
        <v>415</v>
      </c>
      <c r="AK25" t="s">
        <v>415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415</v>
      </c>
      <c r="AQ25" t="s">
        <v>415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1261.2043794832614</v>
      </c>
      <c r="AW25">
        <f t="shared" si="29"/>
        <v>33.25620800766108</v>
      </c>
      <c r="AX25" t="e">
        <f t="shared" si="30"/>
        <v>#DIV/0!</v>
      </c>
      <c r="AY25">
        <f t="shared" si="31"/>
        <v>2.6368611264485746E-2</v>
      </c>
      <c r="AZ25" t="e">
        <f t="shared" si="32"/>
        <v>#DIV/0!</v>
      </c>
      <c r="BA25" t="e">
        <f t="shared" si="33"/>
        <v>#DIV/0!</v>
      </c>
      <c r="BB25" t="s">
        <v>415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BL25">
        <v>1111</v>
      </c>
      <c r="BM25">
        <v>290</v>
      </c>
      <c r="BN25">
        <v>927.93</v>
      </c>
      <c r="BO25">
        <v>225</v>
      </c>
      <c r="BP25">
        <v>8123.51</v>
      </c>
      <c r="BQ25">
        <v>924.3</v>
      </c>
      <c r="BR25">
        <v>3.63</v>
      </c>
      <c r="BS25">
        <v>300</v>
      </c>
      <c r="BT25">
        <v>19.3</v>
      </c>
      <c r="BU25">
        <v>955.27281112415801</v>
      </c>
      <c r="BV25">
        <v>1.6167142888188699</v>
      </c>
      <c r="BW25">
        <v>-25.163037676813001</v>
      </c>
      <c r="BX25">
        <v>1.1737689531451101</v>
      </c>
      <c r="BY25">
        <v>0.942573498846068</v>
      </c>
      <c r="BZ25">
        <v>-5.3880809788654001E-3</v>
      </c>
      <c r="CA25">
        <v>290</v>
      </c>
      <c r="CB25">
        <v>915.78</v>
      </c>
      <c r="CC25">
        <v>615</v>
      </c>
      <c r="CD25">
        <v>8112.29</v>
      </c>
      <c r="CE25">
        <v>924.25</v>
      </c>
      <c r="CF25">
        <v>-8.4700000000000006</v>
      </c>
      <c r="CT25">
        <f t="shared" si="42"/>
        <v>1499.992</v>
      </c>
      <c r="CU25">
        <f t="shared" si="43"/>
        <v>1261.2043794832614</v>
      </c>
      <c r="CV25">
        <f t="shared" si="44"/>
        <v>0.84080740396166209</v>
      </c>
      <c r="CW25">
        <f t="shared" si="45"/>
        <v>0.16115828964600787</v>
      </c>
      <c r="CX25">
        <v>2</v>
      </c>
      <c r="CY25">
        <v>0.5</v>
      </c>
      <c r="CZ25" t="s">
        <v>416</v>
      </c>
      <c r="DA25">
        <v>2</v>
      </c>
      <c r="DB25">
        <v>1792134341.0999999</v>
      </c>
      <c r="DC25">
        <v>984.91800000000001</v>
      </c>
      <c r="DD25">
        <v>999.96519999999998</v>
      </c>
      <c r="DE25">
        <v>17.503139999999998</v>
      </c>
      <c r="DF25">
        <v>15.757820000000001</v>
      </c>
      <c r="DG25">
        <v>983.91780000000006</v>
      </c>
      <c r="DH25">
        <v>17.603359999999999</v>
      </c>
      <c r="DI25">
        <v>500.18439999999998</v>
      </c>
      <c r="DJ25">
        <v>101.66119999999999</v>
      </c>
      <c r="DK25">
        <v>0.10017352</v>
      </c>
      <c r="DL25">
        <v>25.295919999999999</v>
      </c>
      <c r="DM25">
        <v>25.065719999999999</v>
      </c>
      <c r="DN25">
        <v>999.9</v>
      </c>
      <c r="DO25">
        <v>0</v>
      </c>
      <c r="DP25">
        <v>0</v>
      </c>
      <c r="DQ25">
        <v>9995</v>
      </c>
      <c r="DR25">
        <v>0</v>
      </c>
      <c r="DS25">
        <v>6.8314700000000004</v>
      </c>
      <c r="DT25">
        <v>-15.04668</v>
      </c>
      <c r="DU25">
        <v>1002.462</v>
      </c>
      <c r="DV25">
        <v>1015.976</v>
      </c>
      <c r="DW25">
        <v>1.745328</v>
      </c>
      <c r="DX25">
        <v>999.96519999999998</v>
      </c>
      <c r="DY25">
        <v>15.757820000000001</v>
      </c>
      <c r="DZ25">
        <v>1.77939</v>
      </c>
      <c r="EA25">
        <v>1.6019559999999999</v>
      </c>
      <c r="EB25">
        <v>15.60688</v>
      </c>
      <c r="EC25">
        <v>13.977639999999999</v>
      </c>
      <c r="ED25">
        <v>1499.992</v>
      </c>
      <c r="EE25">
        <v>0.97299800000000003</v>
      </c>
      <c r="EF25">
        <v>2.7001899999999999E-2</v>
      </c>
      <c r="EG25">
        <v>0</v>
      </c>
      <c r="EH25">
        <v>329.5942</v>
      </c>
      <c r="EI25">
        <v>5.0006399999999998</v>
      </c>
      <c r="EJ25">
        <v>5115.3</v>
      </c>
      <c r="EK25">
        <v>15439.12</v>
      </c>
      <c r="EL25">
        <v>40.686999999999998</v>
      </c>
      <c r="EM25">
        <v>41.3874</v>
      </c>
      <c r="EN25">
        <v>41.061999999999998</v>
      </c>
      <c r="EO25">
        <v>41.0124</v>
      </c>
      <c r="EP25">
        <v>42.25</v>
      </c>
      <c r="EQ25">
        <v>1454.6220000000001</v>
      </c>
      <c r="ER25">
        <v>40.369999999999997</v>
      </c>
      <c r="ES25">
        <v>0</v>
      </c>
      <c r="ET25">
        <v>4400.6999998092697</v>
      </c>
      <c r="EU25">
        <v>0</v>
      </c>
      <c r="EV25">
        <v>329.76646153846201</v>
      </c>
      <c r="EW25">
        <v>-1.58858119509831</v>
      </c>
      <c r="EX25">
        <v>-8.8553846004116608</v>
      </c>
      <c r="EY25">
        <v>5116.1892307692297</v>
      </c>
      <c r="EZ25">
        <v>15</v>
      </c>
      <c r="FA25">
        <v>1792134271.0999999</v>
      </c>
      <c r="FB25" t="s">
        <v>446</v>
      </c>
      <c r="FC25">
        <v>1792134271.0999999</v>
      </c>
      <c r="FD25">
        <v>1792134271.0999999</v>
      </c>
      <c r="FE25">
        <v>67</v>
      </c>
      <c r="FF25">
        <v>-0.23899999999999999</v>
      </c>
      <c r="FG25">
        <v>3.0000000000000001E-3</v>
      </c>
      <c r="FH25">
        <v>1.0089999999999999</v>
      </c>
      <c r="FI25">
        <v>-0.16900000000000001</v>
      </c>
      <c r="FJ25">
        <v>1000</v>
      </c>
      <c r="FK25">
        <v>16</v>
      </c>
      <c r="FL25">
        <v>0.1</v>
      </c>
      <c r="FM25">
        <v>0.05</v>
      </c>
      <c r="FN25">
        <v>33.416621679568102</v>
      </c>
      <c r="FO25">
        <v>0.25372694548617802</v>
      </c>
      <c r="FP25">
        <v>9.7617057462484003E-2</v>
      </c>
      <c r="FQ25">
        <v>1</v>
      </c>
      <c r="FR25">
        <v>-15.129619999999999</v>
      </c>
      <c r="FS25">
        <v>0.26438796992482799</v>
      </c>
      <c r="FT25">
        <v>5.1518255017032402E-2</v>
      </c>
      <c r="FU25">
        <v>1</v>
      </c>
      <c r="FV25">
        <v>329.75041176470597</v>
      </c>
      <c r="FW25">
        <v>0.25200916673173401</v>
      </c>
      <c r="FX25">
        <v>0.21538803801607301</v>
      </c>
      <c r="FY25">
        <v>1</v>
      </c>
      <c r="FZ25">
        <v>3</v>
      </c>
      <c r="GA25">
        <v>3</v>
      </c>
      <c r="GB25" t="s">
        <v>418</v>
      </c>
      <c r="GC25">
        <v>3.1233200000000001</v>
      </c>
      <c r="GD25">
        <v>2.7653099999999999</v>
      </c>
      <c r="GE25">
        <v>0.16483999999999999</v>
      </c>
      <c r="GF25">
        <v>0.170736</v>
      </c>
      <c r="GG25">
        <v>9.3779199999999993E-2</v>
      </c>
      <c r="GH25">
        <v>8.9957099999999998E-2</v>
      </c>
      <c r="GI25">
        <v>16271.4</v>
      </c>
      <c r="GJ25">
        <v>24355.8</v>
      </c>
      <c r="GK25">
        <v>22766.3</v>
      </c>
      <c r="GL25">
        <v>30096</v>
      </c>
      <c r="GM25">
        <v>33848.9</v>
      </c>
      <c r="GN25">
        <v>34127.5</v>
      </c>
      <c r="GO25">
        <v>43080.3</v>
      </c>
      <c r="GP25">
        <v>42866.1</v>
      </c>
      <c r="GQ25">
        <v>1.95238</v>
      </c>
      <c r="GR25">
        <v>1.8137799999999999</v>
      </c>
      <c r="GS25">
        <v>7.20248E-2</v>
      </c>
      <c r="GT25">
        <v>0</v>
      </c>
      <c r="GU25">
        <v>23.872</v>
      </c>
      <c r="GV25">
        <v>999.9</v>
      </c>
      <c r="GW25">
        <v>38.408000000000001</v>
      </c>
      <c r="GX25">
        <v>33.465000000000003</v>
      </c>
      <c r="GY25">
        <v>19.593</v>
      </c>
      <c r="GZ25">
        <v>63.268599999999999</v>
      </c>
      <c r="HA25">
        <v>36.318100000000001</v>
      </c>
      <c r="HB25">
        <v>1</v>
      </c>
      <c r="HC25">
        <v>7.8010700000000002E-2</v>
      </c>
      <c r="HD25">
        <v>2.5108100000000002</v>
      </c>
      <c r="HE25">
        <v>20.141300000000001</v>
      </c>
      <c r="HF25">
        <v>5.2340600000000004</v>
      </c>
      <c r="HG25">
        <v>11.962300000000001</v>
      </c>
      <c r="HH25">
        <v>4.9690000000000003</v>
      </c>
      <c r="HI25">
        <v>3.2953800000000002</v>
      </c>
      <c r="HJ25">
        <v>9999</v>
      </c>
      <c r="HK25">
        <v>999.9</v>
      </c>
      <c r="HL25">
        <v>9999</v>
      </c>
      <c r="HM25">
        <v>9999</v>
      </c>
      <c r="HN25">
        <v>4.9696899999999999</v>
      </c>
      <c r="HO25">
        <v>1.8638999999999999</v>
      </c>
      <c r="HP25">
        <v>1.8654200000000001</v>
      </c>
      <c r="HQ25">
        <v>1.86724</v>
      </c>
      <c r="HR25">
        <v>1.86425</v>
      </c>
      <c r="HS25">
        <v>1.86798</v>
      </c>
      <c r="HT25">
        <v>1.8647</v>
      </c>
      <c r="HU25">
        <v>1.86663</v>
      </c>
      <c r="HV25">
        <v>0</v>
      </c>
      <c r="HW25">
        <v>0</v>
      </c>
      <c r="HX25">
        <v>0</v>
      </c>
      <c r="HY25">
        <v>0</v>
      </c>
      <c r="HZ25" t="s">
        <v>419</v>
      </c>
      <c r="IA25" t="s">
        <v>420</v>
      </c>
      <c r="IB25" t="s">
        <v>421</v>
      </c>
      <c r="IC25" t="s">
        <v>421</v>
      </c>
      <c r="ID25" t="s">
        <v>421</v>
      </c>
      <c r="IE25" t="s">
        <v>421</v>
      </c>
      <c r="IF25">
        <v>0</v>
      </c>
      <c r="IG25">
        <v>100</v>
      </c>
      <c r="IH25">
        <v>100</v>
      </c>
      <c r="II25">
        <v>1</v>
      </c>
      <c r="IJ25">
        <v>-0.1007</v>
      </c>
      <c r="IK25">
        <v>0.57493480722075097</v>
      </c>
      <c r="IL25">
        <v>2.16929631606078E-4</v>
      </c>
      <c r="IM25">
        <v>2.7226302473163502E-7</v>
      </c>
      <c r="IN25">
        <v>-5.4379205123515401E-11</v>
      </c>
      <c r="IO25">
        <v>-1.4820889364511499E-2</v>
      </c>
      <c r="IP25">
        <v>-5.8443384954566899E-2</v>
      </c>
      <c r="IQ25">
        <v>3.41568706061026E-3</v>
      </c>
      <c r="IR25">
        <v>-2.10952612506686E-5</v>
      </c>
      <c r="IS25">
        <v>0</v>
      </c>
      <c r="IT25">
        <v>1734</v>
      </c>
      <c r="IU25">
        <v>2</v>
      </c>
      <c r="IV25">
        <v>19</v>
      </c>
      <c r="IW25">
        <v>1.2</v>
      </c>
      <c r="IX25">
        <v>1.2</v>
      </c>
      <c r="IY25">
        <v>2.1752899999999999</v>
      </c>
      <c r="IZ25">
        <v>2.5744600000000002</v>
      </c>
      <c r="JA25">
        <v>1.3464400000000001</v>
      </c>
      <c r="JB25">
        <v>2.2558600000000002</v>
      </c>
      <c r="JC25">
        <v>1.5502899999999999</v>
      </c>
      <c r="JD25">
        <v>2.49146</v>
      </c>
      <c r="JE25">
        <v>39.516599999999997</v>
      </c>
      <c r="JF25">
        <v>23.842300000000002</v>
      </c>
      <c r="JG25">
        <v>18</v>
      </c>
      <c r="JH25">
        <v>488.88600000000002</v>
      </c>
      <c r="JI25">
        <v>476.75900000000001</v>
      </c>
      <c r="JJ25">
        <v>21.6539</v>
      </c>
      <c r="JK25">
        <v>28.161000000000001</v>
      </c>
      <c r="JL25">
        <v>30.000399999999999</v>
      </c>
      <c r="JM25">
        <v>28.130500000000001</v>
      </c>
      <c r="JN25">
        <v>28.141200000000001</v>
      </c>
      <c r="JO25">
        <v>43.550199999999997</v>
      </c>
      <c r="JP25">
        <v>27.133500000000002</v>
      </c>
      <c r="JQ25">
        <v>43.451599999999999</v>
      </c>
      <c r="JR25">
        <v>21.634699999999999</v>
      </c>
      <c r="JS25">
        <v>1000</v>
      </c>
      <c r="JT25">
        <v>15.7767</v>
      </c>
      <c r="JU25">
        <v>101.71899999999999</v>
      </c>
      <c r="JV25">
        <v>97.337500000000006</v>
      </c>
    </row>
    <row r="26" spans="1:282" x14ac:dyDescent="0.3">
      <c r="A26">
        <v>10</v>
      </c>
      <c r="B26">
        <v>1792134472.0999999</v>
      </c>
      <c r="C26">
        <v>1136</v>
      </c>
      <c r="D26" t="s">
        <v>447</v>
      </c>
      <c r="E26" t="s">
        <v>448</v>
      </c>
      <c r="F26">
        <v>5</v>
      </c>
      <c r="G26">
        <v>1792134469.0999999</v>
      </c>
      <c r="H26">
        <f t="shared" si="0"/>
        <v>3.644779840259411E-3</v>
      </c>
      <c r="I26">
        <f t="shared" si="1"/>
        <v>3.6447798402594112</v>
      </c>
      <c r="J26">
        <f t="shared" si="2"/>
        <v>34.464689816168018</v>
      </c>
      <c r="K26">
        <f t="shared" si="3"/>
        <v>1184.4680000000001</v>
      </c>
      <c r="L26">
        <f t="shared" si="4"/>
        <v>945.66860717511327</v>
      </c>
      <c r="M26">
        <f t="shared" si="5"/>
        <v>96.237541425468564</v>
      </c>
      <c r="N26">
        <f t="shared" si="6"/>
        <v>120.53935950951353</v>
      </c>
      <c r="O26">
        <f t="shared" si="7"/>
        <v>0.2676635311005835</v>
      </c>
      <c r="P26">
        <f t="shared" si="8"/>
        <v>3.0377834362198182</v>
      </c>
      <c r="Q26">
        <f t="shared" si="9"/>
        <v>0.25521750734596005</v>
      </c>
      <c r="R26">
        <f t="shared" si="10"/>
        <v>0.16058093299132908</v>
      </c>
      <c r="S26">
        <f t="shared" si="11"/>
        <v>241.73997560271059</v>
      </c>
      <c r="T26">
        <f t="shared" si="12"/>
        <v>25.612834317186461</v>
      </c>
      <c r="U26">
        <f t="shared" si="13"/>
        <v>25.039100000000001</v>
      </c>
      <c r="V26">
        <f t="shared" si="14"/>
        <v>3.1870973109044822</v>
      </c>
      <c r="W26">
        <f t="shared" si="15"/>
        <v>55.142712268723812</v>
      </c>
      <c r="X26">
        <f t="shared" si="16"/>
        <v>1.7691503955108931</v>
      </c>
      <c r="Y26">
        <f t="shared" si="17"/>
        <v>3.2083122550979977</v>
      </c>
      <c r="Z26">
        <f t="shared" si="18"/>
        <v>1.4179469153935891</v>
      </c>
      <c r="AA26">
        <f t="shared" si="19"/>
        <v>-160.73479095544002</v>
      </c>
      <c r="AB26">
        <f t="shared" si="20"/>
        <v>18.237759121117069</v>
      </c>
      <c r="AC26">
        <f t="shared" si="21"/>
        <v>1.2711271702296549</v>
      </c>
      <c r="AD26">
        <f t="shared" si="22"/>
        <v>100.51407093861728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54069.855356423337</v>
      </c>
      <c r="AJ26" t="s">
        <v>415</v>
      </c>
      <c r="AK26" t="s">
        <v>415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415</v>
      </c>
      <c r="AQ26" t="s">
        <v>415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1261.2245394832698</v>
      </c>
      <c r="AW26">
        <f t="shared" si="29"/>
        <v>34.464689816168018</v>
      </c>
      <c r="AX26" t="e">
        <f t="shared" si="30"/>
        <v>#DIV/0!</v>
      </c>
      <c r="AY26">
        <f t="shared" si="31"/>
        <v>2.732637110778734E-2</v>
      </c>
      <c r="AZ26" t="e">
        <f t="shared" si="32"/>
        <v>#DIV/0!</v>
      </c>
      <c r="BA26" t="e">
        <f t="shared" si="33"/>
        <v>#DIV/0!</v>
      </c>
      <c r="BB26" t="s">
        <v>415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BL26">
        <v>1111</v>
      </c>
      <c r="BM26">
        <v>290</v>
      </c>
      <c r="BN26">
        <v>927.93</v>
      </c>
      <c r="BO26">
        <v>225</v>
      </c>
      <c r="BP26">
        <v>8123.51</v>
      </c>
      <c r="BQ26">
        <v>924.3</v>
      </c>
      <c r="BR26">
        <v>3.63</v>
      </c>
      <c r="BS26">
        <v>300</v>
      </c>
      <c r="BT26">
        <v>19.3</v>
      </c>
      <c r="BU26">
        <v>955.27281112415801</v>
      </c>
      <c r="BV26">
        <v>1.6167142888188699</v>
      </c>
      <c r="BW26">
        <v>-25.163037676813001</v>
      </c>
      <c r="BX26">
        <v>1.1737689531451101</v>
      </c>
      <c r="BY26">
        <v>0.942573498846068</v>
      </c>
      <c r="BZ26">
        <v>-5.3880809788654001E-3</v>
      </c>
      <c r="CA26">
        <v>290</v>
      </c>
      <c r="CB26">
        <v>915.78</v>
      </c>
      <c r="CC26">
        <v>615</v>
      </c>
      <c r="CD26">
        <v>8112.29</v>
      </c>
      <c r="CE26">
        <v>924.25</v>
      </c>
      <c r="CF26">
        <v>-8.4700000000000006</v>
      </c>
      <c r="CT26">
        <f t="shared" si="42"/>
        <v>1500.0160000000001</v>
      </c>
      <c r="CU26">
        <f t="shared" si="43"/>
        <v>1261.2245394832698</v>
      </c>
      <c r="CV26">
        <f t="shared" si="44"/>
        <v>0.84080739104334201</v>
      </c>
      <c r="CW26">
        <f t="shared" si="45"/>
        <v>0.16115826471365011</v>
      </c>
      <c r="CX26">
        <v>2</v>
      </c>
      <c r="CY26">
        <v>0.5</v>
      </c>
      <c r="CZ26" t="s">
        <v>416</v>
      </c>
      <c r="DA26">
        <v>2</v>
      </c>
      <c r="DB26">
        <v>1792134469.0999999</v>
      </c>
      <c r="DC26">
        <v>1184.4680000000001</v>
      </c>
      <c r="DD26">
        <v>1199.98</v>
      </c>
      <c r="DE26">
        <v>17.38438</v>
      </c>
      <c r="DF26">
        <v>15.951879999999999</v>
      </c>
      <c r="DG26">
        <v>1182.894</v>
      </c>
      <c r="DH26">
        <v>17.48846</v>
      </c>
      <c r="DI26">
        <v>500.02339999999998</v>
      </c>
      <c r="DJ26">
        <v>101.6666</v>
      </c>
      <c r="DK26">
        <v>0.10006614</v>
      </c>
      <c r="DL26">
        <v>25.150459999999999</v>
      </c>
      <c r="DM26">
        <v>25.039100000000001</v>
      </c>
      <c r="DN26">
        <v>999.9</v>
      </c>
      <c r="DO26">
        <v>0</v>
      </c>
      <c r="DP26">
        <v>0</v>
      </c>
      <c r="DQ26">
        <v>9995.75</v>
      </c>
      <c r="DR26">
        <v>0</v>
      </c>
      <c r="DS26">
        <v>6.7654500000000004</v>
      </c>
      <c r="DT26">
        <v>-15.51282</v>
      </c>
      <c r="DU26">
        <v>1205.422</v>
      </c>
      <c r="DV26">
        <v>1219.432</v>
      </c>
      <c r="DW26">
        <v>1.4325079999999999</v>
      </c>
      <c r="DX26">
        <v>1199.98</v>
      </c>
      <c r="DY26">
        <v>15.951879999999999</v>
      </c>
      <c r="DZ26">
        <v>1.767414</v>
      </c>
      <c r="EA26">
        <v>1.6217779999999999</v>
      </c>
      <c r="EB26">
        <v>15.50154</v>
      </c>
      <c r="EC26">
        <v>14.16728</v>
      </c>
      <c r="ED26">
        <v>1500.0160000000001</v>
      </c>
      <c r="EE26">
        <v>0.97299880000000005</v>
      </c>
      <c r="EF26">
        <v>2.70011E-2</v>
      </c>
      <c r="EG26">
        <v>0</v>
      </c>
      <c r="EH26">
        <v>329.9708</v>
      </c>
      <c r="EI26">
        <v>5.0006399999999998</v>
      </c>
      <c r="EJ26">
        <v>5122.3620000000001</v>
      </c>
      <c r="EK26">
        <v>15439.38</v>
      </c>
      <c r="EL26">
        <v>40.75</v>
      </c>
      <c r="EM26">
        <v>41.436999999999998</v>
      </c>
      <c r="EN26">
        <v>41.112400000000001</v>
      </c>
      <c r="EO26">
        <v>41.061999999999998</v>
      </c>
      <c r="EP26">
        <v>42.25</v>
      </c>
      <c r="EQ26">
        <v>1454.646</v>
      </c>
      <c r="ER26">
        <v>40.369999999999997</v>
      </c>
      <c r="ES26">
        <v>0</v>
      </c>
      <c r="ET26">
        <v>4529.0999999046298</v>
      </c>
      <c r="EU26">
        <v>0</v>
      </c>
      <c r="EV26">
        <v>330.01661538461502</v>
      </c>
      <c r="EW26">
        <v>1.09100856642354</v>
      </c>
      <c r="EX26">
        <v>14.6160683425041</v>
      </c>
      <c r="EY26">
        <v>5121.1161538461502</v>
      </c>
      <c r="EZ26">
        <v>15</v>
      </c>
      <c r="FA26">
        <v>1792134407.0999999</v>
      </c>
      <c r="FB26" t="s">
        <v>449</v>
      </c>
      <c r="FC26">
        <v>1792134407.0999999</v>
      </c>
      <c r="FD26">
        <v>1792134403.0999999</v>
      </c>
      <c r="FE26">
        <v>68</v>
      </c>
      <c r="FF26">
        <v>0.45</v>
      </c>
      <c r="FG26">
        <v>1E-3</v>
      </c>
      <c r="FH26">
        <v>1.5840000000000001</v>
      </c>
      <c r="FI26">
        <v>-0.16400000000000001</v>
      </c>
      <c r="FJ26">
        <v>1200</v>
      </c>
      <c r="FK26">
        <v>16</v>
      </c>
      <c r="FL26">
        <v>0.17</v>
      </c>
      <c r="FM26">
        <v>7.0000000000000007E-2</v>
      </c>
      <c r="FN26">
        <v>34.398239315506302</v>
      </c>
      <c r="FO26">
        <v>0.33378035508110498</v>
      </c>
      <c r="FP26">
        <v>0.19053540557147899</v>
      </c>
      <c r="FQ26">
        <v>1</v>
      </c>
      <c r="FR26">
        <v>-15.52295</v>
      </c>
      <c r="FS26">
        <v>0.21337443609023801</v>
      </c>
      <c r="FT26">
        <v>6.21414716594322E-2</v>
      </c>
      <c r="FU26">
        <v>1</v>
      </c>
      <c r="FV26">
        <v>329.93164705882401</v>
      </c>
      <c r="FW26">
        <v>0.68369748492581295</v>
      </c>
      <c r="FX26">
        <v>0.21304458002864499</v>
      </c>
      <c r="FY26">
        <v>1</v>
      </c>
      <c r="FZ26">
        <v>3</v>
      </c>
      <c r="GA26">
        <v>3</v>
      </c>
      <c r="GB26" t="s">
        <v>418</v>
      </c>
      <c r="GC26">
        <v>3.12323</v>
      </c>
      <c r="GD26">
        <v>2.7653300000000001</v>
      </c>
      <c r="GE26">
        <v>0.18476600000000001</v>
      </c>
      <c r="GF26">
        <v>0.19109999999999999</v>
      </c>
      <c r="GG26">
        <v>9.3344999999999997E-2</v>
      </c>
      <c r="GH26">
        <v>9.0813699999999997E-2</v>
      </c>
      <c r="GI26">
        <v>15881.4</v>
      </c>
      <c r="GJ26">
        <v>23756.3</v>
      </c>
      <c r="GK26">
        <v>22763.9</v>
      </c>
      <c r="GL26">
        <v>30094.3</v>
      </c>
      <c r="GM26">
        <v>33863.699999999997</v>
      </c>
      <c r="GN26">
        <v>34095</v>
      </c>
      <c r="GO26">
        <v>43076.2</v>
      </c>
      <c r="GP26">
        <v>42864</v>
      </c>
      <c r="GQ26">
        <v>1.9513799999999999</v>
      </c>
      <c r="GR26">
        <v>1.8137300000000001</v>
      </c>
      <c r="GS26">
        <v>7.5660599999999995E-2</v>
      </c>
      <c r="GT26">
        <v>0</v>
      </c>
      <c r="GU26">
        <v>23.791599999999999</v>
      </c>
      <c r="GV26">
        <v>999.9</v>
      </c>
      <c r="GW26">
        <v>38.292000000000002</v>
      </c>
      <c r="GX26">
        <v>33.536000000000001</v>
      </c>
      <c r="GY26">
        <v>19.609400000000001</v>
      </c>
      <c r="GZ26">
        <v>63.428600000000003</v>
      </c>
      <c r="HA26">
        <v>36.987200000000001</v>
      </c>
      <c r="HB26">
        <v>1</v>
      </c>
      <c r="HC26">
        <v>8.0597100000000005E-2</v>
      </c>
      <c r="HD26">
        <v>2.42218</v>
      </c>
      <c r="HE26">
        <v>20.142600000000002</v>
      </c>
      <c r="HF26">
        <v>5.2346599999999999</v>
      </c>
      <c r="HG26">
        <v>11.962199999999999</v>
      </c>
      <c r="HH26">
        <v>4.9695499999999999</v>
      </c>
      <c r="HI26">
        <v>3.29535</v>
      </c>
      <c r="HJ26">
        <v>9999</v>
      </c>
      <c r="HK26">
        <v>999.9</v>
      </c>
      <c r="HL26">
        <v>9999</v>
      </c>
      <c r="HM26">
        <v>9999</v>
      </c>
      <c r="HN26">
        <v>4.9696600000000002</v>
      </c>
      <c r="HO26">
        <v>1.8638600000000001</v>
      </c>
      <c r="HP26">
        <v>1.8653900000000001</v>
      </c>
      <c r="HQ26">
        <v>1.8672200000000001</v>
      </c>
      <c r="HR26">
        <v>1.8641700000000001</v>
      </c>
      <c r="HS26">
        <v>1.86798</v>
      </c>
      <c r="HT26">
        <v>1.8646400000000001</v>
      </c>
      <c r="HU26">
        <v>1.8666100000000001</v>
      </c>
      <c r="HV26">
        <v>0</v>
      </c>
      <c r="HW26">
        <v>0</v>
      </c>
      <c r="HX26">
        <v>0</v>
      </c>
      <c r="HY26">
        <v>0</v>
      </c>
      <c r="HZ26" t="s">
        <v>419</v>
      </c>
      <c r="IA26" t="s">
        <v>420</v>
      </c>
      <c r="IB26" t="s">
        <v>421</v>
      </c>
      <c r="IC26" t="s">
        <v>421</v>
      </c>
      <c r="ID26" t="s">
        <v>421</v>
      </c>
      <c r="IE26" t="s">
        <v>421</v>
      </c>
      <c r="IF26">
        <v>0</v>
      </c>
      <c r="IG26">
        <v>100</v>
      </c>
      <c r="IH26">
        <v>100</v>
      </c>
      <c r="II26">
        <v>1.57</v>
      </c>
      <c r="IJ26">
        <v>-0.1043</v>
      </c>
      <c r="IK26">
        <v>1.0260338953202599</v>
      </c>
      <c r="IL26">
        <v>2.16929631606078E-4</v>
      </c>
      <c r="IM26">
        <v>2.7226302473163502E-7</v>
      </c>
      <c r="IN26">
        <v>-5.4379205123515401E-11</v>
      </c>
      <c r="IO26">
        <v>-1.3841693708511399E-2</v>
      </c>
      <c r="IP26">
        <v>-5.8443384954566899E-2</v>
      </c>
      <c r="IQ26">
        <v>3.41568706061026E-3</v>
      </c>
      <c r="IR26">
        <v>-2.10952612506686E-5</v>
      </c>
      <c r="IS26">
        <v>0</v>
      </c>
      <c r="IT26">
        <v>1734</v>
      </c>
      <c r="IU26">
        <v>2</v>
      </c>
      <c r="IV26">
        <v>19</v>
      </c>
      <c r="IW26">
        <v>1.1000000000000001</v>
      </c>
      <c r="IX26">
        <v>1.1000000000000001</v>
      </c>
      <c r="IY26">
        <v>2.51831</v>
      </c>
      <c r="IZ26">
        <v>2.5708000000000002</v>
      </c>
      <c r="JA26">
        <v>1.3476600000000001</v>
      </c>
      <c r="JB26">
        <v>2.2558600000000002</v>
      </c>
      <c r="JC26">
        <v>1.5502899999999999</v>
      </c>
      <c r="JD26">
        <v>2.4511699999999998</v>
      </c>
      <c r="JE26">
        <v>39.516599999999997</v>
      </c>
      <c r="JF26">
        <v>23.851099999999999</v>
      </c>
      <c r="JG26">
        <v>18</v>
      </c>
      <c r="JH26">
        <v>488.649</v>
      </c>
      <c r="JI26">
        <v>477.11099999999999</v>
      </c>
      <c r="JJ26">
        <v>21.528500000000001</v>
      </c>
      <c r="JK26">
        <v>28.204899999999999</v>
      </c>
      <c r="JL26">
        <v>30.000499999999999</v>
      </c>
      <c r="JM26">
        <v>28.1751</v>
      </c>
      <c r="JN26">
        <v>28.1846</v>
      </c>
      <c r="JO26">
        <v>50.413899999999998</v>
      </c>
      <c r="JP26">
        <v>25.843299999999999</v>
      </c>
      <c r="JQ26">
        <v>43.418100000000003</v>
      </c>
      <c r="JR26">
        <v>21.487300000000001</v>
      </c>
      <c r="JS26">
        <v>1200</v>
      </c>
      <c r="JT26">
        <v>15.9328</v>
      </c>
      <c r="JU26">
        <v>101.709</v>
      </c>
      <c r="JV26">
        <v>97.332400000000007</v>
      </c>
    </row>
    <row r="27" spans="1:282" x14ac:dyDescent="0.3">
      <c r="A27">
        <v>11</v>
      </c>
      <c r="B27">
        <v>1792134602.0999999</v>
      </c>
      <c r="C27">
        <v>1266</v>
      </c>
      <c r="D27" t="s">
        <v>450</v>
      </c>
      <c r="E27" t="s">
        <v>451</v>
      </c>
      <c r="F27">
        <v>5</v>
      </c>
      <c r="G27">
        <v>1792134598.5999999</v>
      </c>
      <c r="H27">
        <f t="shared" si="0"/>
        <v>3.0867773277269525E-3</v>
      </c>
      <c r="I27">
        <f t="shared" si="1"/>
        <v>3.0867773277269523</v>
      </c>
      <c r="J27">
        <f t="shared" si="2"/>
        <v>34.108290133098961</v>
      </c>
      <c r="K27">
        <f t="shared" si="3"/>
        <v>1484.5150000000001</v>
      </c>
      <c r="L27">
        <f t="shared" si="4"/>
        <v>1200.5713882161231</v>
      </c>
      <c r="M27">
        <f t="shared" si="5"/>
        <v>122.18493414372755</v>
      </c>
      <c r="N27">
        <f t="shared" si="6"/>
        <v>151.08253394234919</v>
      </c>
      <c r="O27">
        <f t="shared" si="7"/>
        <v>0.22305573734353906</v>
      </c>
      <c r="P27">
        <f t="shared" si="8"/>
        <v>3.0386339538788758</v>
      </c>
      <c r="Q27">
        <f t="shared" si="9"/>
        <v>0.21434217309155368</v>
      </c>
      <c r="R27">
        <f t="shared" si="10"/>
        <v>0.13471837519373941</v>
      </c>
      <c r="S27">
        <f t="shared" si="11"/>
        <v>241.73635800269497</v>
      </c>
      <c r="T27">
        <f t="shared" si="12"/>
        <v>25.616094382667491</v>
      </c>
      <c r="U27">
        <f t="shared" si="13"/>
        <v>25.016749999999998</v>
      </c>
      <c r="V27">
        <f t="shared" si="14"/>
        <v>3.1828542647221942</v>
      </c>
      <c r="W27">
        <f t="shared" si="15"/>
        <v>55.079656978437228</v>
      </c>
      <c r="X27">
        <f t="shared" si="16"/>
        <v>1.7527534072173878</v>
      </c>
      <c r="Y27">
        <f t="shared" si="17"/>
        <v>3.1822155463015349</v>
      </c>
      <c r="Z27">
        <f t="shared" si="18"/>
        <v>1.4301008575048064</v>
      </c>
      <c r="AA27">
        <f t="shared" si="19"/>
        <v>-136.12688015275862</v>
      </c>
      <c r="AB27">
        <f t="shared" si="20"/>
        <v>-0.55152340686736645</v>
      </c>
      <c r="AC27">
        <f t="shared" si="21"/>
        <v>-3.8398250161159136E-2</v>
      </c>
      <c r="AD27">
        <f t="shared" si="22"/>
        <v>105.01955619290784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54121.525543224656</v>
      </c>
      <c r="AJ27" t="s">
        <v>415</v>
      </c>
      <c r="AK27" t="s">
        <v>415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415</v>
      </c>
      <c r="AQ27" t="s">
        <v>415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1261.205499483259</v>
      </c>
      <c r="AW27">
        <f t="shared" si="29"/>
        <v>34.108290133098961</v>
      </c>
      <c r="AX27" t="e">
        <f t="shared" si="30"/>
        <v>#DIV/0!</v>
      </c>
      <c r="AY27">
        <f t="shared" si="31"/>
        <v>2.7044197117023203E-2</v>
      </c>
      <c r="AZ27" t="e">
        <f t="shared" si="32"/>
        <v>#DIV/0!</v>
      </c>
      <c r="BA27" t="e">
        <f t="shared" si="33"/>
        <v>#DIV/0!</v>
      </c>
      <c r="BB27" t="s">
        <v>415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BL27">
        <v>1111</v>
      </c>
      <c r="BM27">
        <v>290</v>
      </c>
      <c r="BN27">
        <v>927.93</v>
      </c>
      <c r="BO27">
        <v>225</v>
      </c>
      <c r="BP27">
        <v>8123.51</v>
      </c>
      <c r="BQ27">
        <v>924.3</v>
      </c>
      <c r="BR27">
        <v>3.63</v>
      </c>
      <c r="BS27">
        <v>300</v>
      </c>
      <c r="BT27">
        <v>19.3</v>
      </c>
      <c r="BU27">
        <v>955.27281112415801</v>
      </c>
      <c r="BV27">
        <v>1.6167142888188699</v>
      </c>
      <c r="BW27">
        <v>-25.163037676813001</v>
      </c>
      <c r="BX27">
        <v>1.1737689531451101</v>
      </c>
      <c r="BY27">
        <v>0.942573498846068</v>
      </c>
      <c r="BZ27">
        <v>-5.3880809788654001E-3</v>
      </c>
      <c r="CA27">
        <v>290</v>
      </c>
      <c r="CB27">
        <v>915.78</v>
      </c>
      <c r="CC27">
        <v>615</v>
      </c>
      <c r="CD27">
        <v>8112.29</v>
      </c>
      <c r="CE27">
        <v>924.25</v>
      </c>
      <c r="CF27">
        <v>-8.4700000000000006</v>
      </c>
      <c r="CT27">
        <f t="shared" si="42"/>
        <v>1499.9933333333299</v>
      </c>
      <c r="CU27">
        <f t="shared" si="43"/>
        <v>1261.205499483259</v>
      </c>
      <c r="CV27">
        <f t="shared" si="44"/>
        <v>0.84080740324396686</v>
      </c>
      <c r="CW27">
        <f t="shared" si="45"/>
        <v>0.16115828826085596</v>
      </c>
      <c r="CX27">
        <v>2</v>
      </c>
      <c r="CY27">
        <v>0.5</v>
      </c>
      <c r="CZ27" t="s">
        <v>416</v>
      </c>
      <c r="DA27">
        <v>2</v>
      </c>
      <c r="DB27">
        <v>1792134598.5999999</v>
      </c>
      <c r="DC27">
        <v>1484.5150000000001</v>
      </c>
      <c r="DD27">
        <v>1499.98833333333</v>
      </c>
      <c r="DE27">
        <v>17.222300000000001</v>
      </c>
      <c r="DF27">
        <v>16.009083333333301</v>
      </c>
      <c r="DG27">
        <v>1482.3150000000001</v>
      </c>
      <c r="DH27">
        <v>17.332550000000001</v>
      </c>
      <c r="DI27">
        <v>500.09466666666702</v>
      </c>
      <c r="DJ27">
        <v>101.672333333333</v>
      </c>
      <c r="DK27">
        <v>9.9985533333333307E-2</v>
      </c>
      <c r="DL27">
        <v>25.013383333333302</v>
      </c>
      <c r="DM27">
        <v>25.016749999999998</v>
      </c>
      <c r="DN27">
        <v>999.9</v>
      </c>
      <c r="DO27">
        <v>0</v>
      </c>
      <c r="DP27">
        <v>0</v>
      </c>
      <c r="DQ27">
        <v>10000.325000000001</v>
      </c>
      <c r="DR27">
        <v>0</v>
      </c>
      <c r="DS27">
        <v>6.9291299999999998</v>
      </c>
      <c r="DT27">
        <v>-15.47395</v>
      </c>
      <c r="DU27">
        <v>1510.5333333333299</v>
      </c>
      <c r="DV27">
        <v>1524.395</v>
      </c>
      <c r="DW27">
        <v>1.2132050000000001</v>
      </c>
      <c r="DX27">
        <v>1499.98833333333</v>
      </c>
      <c r="DY27">
        <v>16.009083333333301</v>
      </c>
      <c r="DZ27">
        <v>1.7510300000000001</v>
      </c>
      <c r="EA27">
        <v>1.62768166666667</v>
      </c>
      <c r="EB27">
        <v>15.356350000000001</v>
      </c>
      <c r="EC27">
        <v>14.2234</v>
      </c>
      <c r="ED27">
        <v>1499.9933333333299</v>
      </c>
      <c r="EE27">
        <v>0.97299866666666701</v>
      </c>
      <c r="EF27">
        <v>2.7001233333333301E-2</v>
      </c>
      <c r="EG27">
        <v>0</v>
      </c>
      <c r="EH27">
        <v>329.71550000000002</v>
      </c>
      <c r="EI27">
        <v>5.0006399999999998</v>
      </c>
      <c r="EJ27">
        <v>5118.6183333333302</v>
      </c>
      <c r="EK27">
        <v>15439.15</v>
      </c>
      <c r="EL27">
        <v>40.75</v>
      </c>
      <c r="EM27">
        <v>41.5</v>
      </c>
      <c r="EN27">
        <v>41.1353333333333</v>
      </c>
      <c r="EO27">
        <v>41.061999999999998</v>
      </c>
      <c r="EP27">
        <v>42.280999999999999</v>
      </c>
      <c r="EQ27">
        <v>1454.62333333333</v>
      </c>
      <c r="ER27">
        <v>40.369999999999997</v>
      </c>
      <c r="ES27">
        <v>0</v>
      </c>
      <c r="ET27">
        <v>4658.6999998092697</v>
      </c>
      <c r="EU27">
        <v>0</v>
      </c>
      <c r="EV27">
        <v>329.76096153846203</v>
      </c>
      <c r="EW27">
        <v>-0.229162383273744</v>
      </c>
      <c r="EX27">
        <v>2.9305983038127499</v>
      </c>
      <c r="EY27">
        <v>5118.2169230769196</v>
      </c>
      <c r="EZ27">
        <v>15</v>
      </c>
      <c r="FA27">
        <v>1792134552.0999999</v>
      </c>
      <c r="FB27" t="s">
        <v>452</v>
      </c>
      <c r="FC27">
        <v>1792134552.0999999</v>
      </c>
      <c r="FD27">
        <v>1792134535.0999999</v>
      </c>
      <c r="FE27">
        <v>69</v>
      </c>
      <c r="FF27">
        <v>0.43099999999999999</v>
      </c>
      <c r="FG27">
        <v>0</v>
      </c>
      <c r="FH27">
        <v>2.2109999999999999</v>
      </c>
      <c r="FI27">
        <v>-0.156</v>
      </c>
      <c r="FJ27">
        <v>1500</v>
      </c>
      <c r="FK27">
        <v>16</v>
      </c>
      <c r="FL27">
        <v>0.1</v>
      </c>
      <c r="FM27">
        <v>0.08</v>
      </c>
      <c r="FN27">
        <v>34.485611470056298</v>
      </c>
      <c r="FO27">
        <v>-0.41319414645186803</v>
      </c>
      <c r="FP27">
        <v>0.32045584065198601</v>
      </c>
      <c r="FQ27">
        <v>1</v>
      </c>
      <c r="FR27">
        <v>-15.602555000000001</v>
      </c>
      <c r="FS27">
        <v>0.31915037593985202</v>
      </c>
      <c r="FT27">
        <v>0.114810088733525</v>
      </c>
      <c r="FU27">
        <v>1</v>
      </c>
      <c r="FV27">
        <v>329.68608823529399</v>
      </c>
      <c r="FW27">
        <v>0.96878533267642897</v>
      </c>
      <c r="FX27">
        <v>0.22173452166247701</v>
      </c>
      <c r="FY27">
        <v>1</v>
      </c>
      <c r="FZ27">
        <v>3</v>
      </c>
      <c r="GA27">
        <v>3</v>
      </c>
      <c r="GB27" t="s">
        <v>418</v>
      </c>
      <c r="GC27">
        <v>3.12324</v>
      </c>
      <c r="GD27">
        <v>2.7650899999999998</v>
      </c>
      <c r="GE27">
        <v>0.211339</v>
      </c>
      <c r="GF27">
        <v>0.218167</v>
      </c>
      <c r="GG27">
        <v>9.2692800000000006E-2</v>
      </c>
      <c r="GH27">
        <v>9.1008199999999997E-2</v>
      </c>
      <c r="GI27">
        <v>15361.8</v>
      </c>
      <c r="GJ27">
        <v>22958.799999999999</v>
      </c>
      <c r="GK27">
        <v>22761.3</v>
      </c>
      <c r="GL27">
        <v>30091.1</v>
      </c>
      <c r="GM27">
        <v>33887.300000000003</v>
      </c>
      <c r="GN27">
        <v>34086.400000000001</v>
      </c>
      <c r="GO27">
        <v>43072.2</v>
      </c>
      <c r="GP27">
        <v>42860</v>
      </c>
      <c r="GQ27">
        <v>1.95095</v>
      </c>
      <c r="GR27">
        <v>1.8137799999999999</v>
      </c>
      <c r="GS27">
        <v>8.3513599999999993E-2</v>
      </c>
      <c r="GT27">
        <v>0</v>
      </c>
      <c r="GU27">
        <v>23.686800000000002</v>
      </c>
      <c r="GV27">
        <v>999.9</v>
      </c>
      <c r="GW27">
        <v>38.231000000000002</v>
      </c>
      <c r="GX27">
        <v>33.585999999999999</v>
      </c>
      <c r="GY27">
        <v>19.629200000000001</v>
      </c>
      <c r="GZ27">
        <v>63.508600000000001</v>
      </c>
      <c r="HA27">
        <v>36.498399999999997</v>
      </c>
      <c r="HB27">
        <v>1</v>
      </c>
      <c r="HC27">
        <v>8.4217500000000001E-2</v>
      </c>
      <c r="HD27">
        <v>2.42977</v>
      </c>
      <c r="HE27">
        <v>20.142499999999998</v>
      </c>
      <c r="HF27">
        <v>5.2292699999999996</v>
      </c>
      <c r="HG27">
        <v>11.962199999999999</v>
      </c>
      <c r="HH27">
        <v>4.9689500000000004</v>
      </c>
      <c r="HI27">
        <v>3.2951999999999999</v>
      </c>
      <c r="HJ27">
        <v>9999</v>
      </c>
      <c r="HK27">
        <v>999.9</v>
      </c>
      <c r="HL27">
        <v>9999</v>
      </c>
      <c r="HM27">
        <v>9999</v>
      </c>
      <c r="HN27">
        <v>4.9695600000000004</v>
      </c>
      <c r="HO27">
        <v>1.86385</v>
      </c>
      <c r="HP27">
        <v>1.8653500000000001</v>
      </c>
      <c r="HQ27">
        <v>1.8671800000000001</v>
      </c>
      <c r="HR27">
        <v>1.8641700000000001</v>
      </c>
      <c r="HS27">
        <v>1.8678399999999999</v>
      </c>
      <c r="HT27">
        <v>1.8646199999999999</v>
      </c>
      <c r="HU27">
        <v>1.8665700000000001</v>
      </c>
      <c r="HV27">
        <v>0</v>
      </c>
      <c r="HW27">
        <v>0</v>
      </c>
      <c r="HX27">
        <v>0</v>
      </c>
      <c r="HY27">
        <v>0</v>
      </c>
      <c r="HZ27" t="s">
        <v>419</v>
      </c>
      <c r="IA27" t="s">
        <v>420</v>
      </c>
      <c r="IB27" t="s">
        <v>421</v>
      </c>
      <c r="IC27" t="s">
        <v>421</v>
      </c>
      <c r="ID27" t="s">
        <v>421</v>
      </c>
      <c r="IE27" t="s">
        <v>421</v>
      </c>
      <c r="IF27">
        <v>0</v>
      </c>
      <c r="IG27">
        <v>100</v>
      </c>
      <c r="IH27">
        <v>100</v>
      </c>
      <c r="II27">
        <v>2.2000000000000002</v>
      </c>
      <c r="IJ27">
        <v>-0.1109</v>
      </c>
      <c r="IK27">
        <v>1.45782100781725</v>
      </c>
      <c r="IL27">
        <v>2.16929631606078E-4</v>
      </c>
      <c r="IM27">
        <v>2.7226302473163502E-7</v>
      </c>
      <c r="IN27">
        <v>-5.4379205123515401E-11</v>
      </c>
      <c r="IO27">
        <v>-1.3579554531073301E-2</v>
      </c>
      <c r="IP27">
        <v>-5.8443384954566899E-2</v>
      </c>
      <c r="IQ27">
        <v>3.41568706061026E-3</v>
      </c>
      <c r="IR27">
        <v>-2.10952612506686E-5</v>
      </c>
      <c r="IS27">
        <v>0</v>
      </c>
      <c r="IT27">
        <v>1734</v>
      </c>
      <c r="IU27">
        <v>2</v>
      </c>
      <c r="IV27">
        <v>19</v>
      </c>
      <c r="IW27">
        <v>0.8</v>
      </c>
      <c r="IX27">
        <v>1.1000000000000001</v>
      </c>
      <c r="IY27">
        <v>3.0102500000000001</v>
      </c>
      <c r="IZ27">
        <v>2.5598100000000001</v>
      </c>
      <c r="JA27">
        <v>1.3464400000000001</v>
      </c>
      <c r="JB27">
        <v>2.2570800000000002</v>
      </c>
      <c r="JC27">
        <v>1.5502899999999999</v>
      </c>
      <c r="JD27">
        <v>2.50732</v>
      </c>
      <c r="JE27">
        <v>39.491599999999998</v>
      </c>
      <c r="JF27">
        <v>23.868600000000001</v>
      </c>
      <c r="JG27">
        <v>18</v>
      </c>
      <c r="JH27">
        <v>488.75400000000002</v>
      </c>
      <c r="JI27">
        <v>477.53300000000002</v>
      </c>
      <c r="JJ27">
        <v>21.386399999999998</v>
      </c>
      <c r="JK27">
        <v>28.248000000000001</v>
      </c>
      <c r="JL27">
        <v>30.000399999999999</v>
      </c>
      <c r="JM27">
        <v>28.218399999999999</v>
      </c>
      <c r="JN27">
        <v>28.228300000000001</v>
      </c>
      <c r="JO27">
        <v>60.239699999999999</v>
      </c>
      <c r="JP27">
        <v>25.804400000000001</v>
      </c>
      <c r="JQ27">
        <v>43.418100000000003</v>
      </c>
      <c r="JR27">
        <v>21.372199999999999</v>
      </c>
      <c r="JS27">
        <v>1500</v>
      </c>
      <c r="JT27">
        <v>16.002400000000002</v>
      </c>
      <c r="JU27">
        <v>101.699</v>
      </c>
      <c r="JV27">
        <v>97.322800000000001</v>
      </c>
    </row>
    <row r="28" spans="1:282" x14ac:dyDescent="0.3">
      <c r="A28">
        <v>12</v>
      </c>
      <c r="B28">
        <v>1792134738</v>
      </c>
      <c r="C28">
        <v>1401.9000000953699</v>
      </c>
      <c r="D28" t="s">
        <v>453</v>
      </c>
      <c r="E28" t="s">
        <v>454</v>
      </c>
      <c r="F28">
        <v>5</v>
      </c>
      <c r="G28">
        <v>1792134734.5</v>
      </c>
      <c r="H28">
        <f t="shared" si="0"/>
        <v>2.3935588806403203E-3</v>
      </c>
      <c r="I28">
        <f t="shared" si="1"/>
        <v>2.3935588806403203</v>
      </c>
      <c r="J28">
        <f t="shared" si="2"/>
        <v>34.958827149715759</v>
      </c>
      <c r="K28">
        <f t="shared" si="3"/>
        <v>1784.27833333333</v>
      </c>
      <c r="L28">
        <f t="shared" si="4"/>
        <v>1411.4574963713901</v>
      </c>
      <c r="M28">
        <f t="shared" si="5"/>
        <v>143.64961736594452</v>
      </c>
      <c r="N28">
        <f t="shared" si="6"/>
        <v>181.59306994125467</v>
      </c>
      <c r="O28">
        <f t="shared" si="7"/>
        <v>0.1708888728573186</v>
      </c>
      <c r="P28">
        <f t="shared" si="8"/>
        <v>3.0370538595734677</v>
      </c>
      <c r="Q28">
        <f t="shared" si="9"/>
        <v>0.16572107348982829</v>
      </c>
      <c r="R28">
        <f t="shared" si="10"/>
        <v>0.10402695944636853</v>
      </c>
      <c r="S28">
        <f t="shared" si="11"/>
        <v>241.73928400270825</v>
      </c>
      <c r="T28">
        <f t="shared" si="12"/>
        <v>25.698337328781566</v>
      </c>
      <c r="U28">
        <f t="shared" si="13"/>
        <v>24.987783333333301</v>
      </c>
      <c r="V28">
        <f t="shared" si="14"/>
        <v>3.1773624196199264</v>
      </c>
      <c r="W28">
        <f t="shared" si="15"/>
        <v>55.074892686285224</v>
      </c>
      <c r="X28">
        <f t="shared" si="16"/>
        <v>1.7429435047156967</v>
      </c>
      <c r="Y28">
        <f t="shared" si="17"/>
        <v>3.1646788939631021</v>
      </c>
      <c r="Z28">
        <f t="shared" si="18"/>
        <v>1.4344189149042297</v>
      </c>
      <c r="AA28">
        <f t="shared" si="19"/>
        <v>-105.55594663623812</v>
      </c>
      <c r="AB28">
        <f t="shared" si="20"/>
        <v>-10.981069970881922</v>
      </c>
      <c r="AC28">
        <f t="shared" si="21"/>
        <v>-0.76445536338812536</v>
      </c>
      <c r="AD28">
        <f t="shared" si="22"/>
        <v>124.43781203220007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54088.830220196003</v>
      </c>
      <c r="AJ28" t="s">
        <v>415</v>
      </c>
      <c r="AK28" t="s">
        <v>415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415</v>
      </c>
      <c r="AQ28" t="s">
        <v>415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1261.2208994832711</v>
      </c>
      <c r="AW28">
        <f t="shared" si="29"/>
        <v>34.958827149715759</v>
      </c>
      <c r="AX28" t="e">
        <f t="shared" si="30"/>
        <v>#DIV/0!</v>
      </c>
      <c r="AY28">
        <f t="shared" si="31"/>
        <v>2.7718242826485492E-2</v>
      </c>
      <c r="AZ28" t="e">
        <f t="shared" si="32"/>
        <v>#DIV/0!</v>
      </c>
      <c r="BA28" t="e">
        <f t="shared" si="33"/>
        <v>#DIV/0!</v>
      </c>
      <c r="BB28" t="s">
        <v>415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BL28">
        <v>1111</v>
      </c>
      <c r="BM28">
        <v>290</v>
      </c>
      <c r="BN28">
        <v>927.93</v>
      </c>
      <c r="BO28">
        <v>225</v>
      </c>
      <c r="BP28">
        <v>8123.51</v>
      </c>
      <c r="BQ28">
        <v>924.3</v>
      </c>
      <c r="BR28">
        <v>3.63</v>
      </c>
      <c r="BS28">
        <v>300</v>
      </c>
      <c r="BT28">
        <v>19.3</v>
      </c>
      <c r="BU28">
        <v>955.27281112415801</v>
      </c>
      <c r="BV28">
        <v>1.6167142888188699</v>
      </c>
      <c r="BW28">
        <v>-25.163037676813001</v>
      </c>
      <c r="BX28">
        <v>1.1737689531451101</v>
      </c>
      <c r="BY28">
        <v>0.942573498846068</v>
      </c>
      <c r="BZ28">
        <v>-5.3880809788654001E-3</v>
      </c>
      <c r="CA28">
        <v>290</v>
      </c>
      <c r="CB28">
        <v>915.78</v>
      </c>
      <c r="CC28">
        <v>615</v>
      </c>
      <c r="CD28">
        <v>8112.29</v>
      </c>
      <c r="CE28">
        <v>924.25</v>
      </c>
      <c r="CF28">
        <v>-8.4700000000000006</v>
      </c>
      <c r="CT28">
        <f t="shared" si="42"/>
        <v>1500.01166666667</v>
      </c>
      <c r="CU28">
        <f t="shared" si="43"/>
        <v>1261.2208994832711</v>
      </c>
      <c r="CV28">
        <f t="shared" si="44"/>
        <v>0.84080739337578592</v>
      </c>
      <c r="CW28">
        <f t="shared" si="45"/>
        <v>0.1611582692152668</v>
      </c>
      <c r="CX28">
        <v>2</v>
      </c>
      <c r="CY28">
        <v>0.5</v>
      </c>
      <c r="CZ28" t="s">
        <v>416</v>
      </c>
      <c r="DA28">
        <v>2</v>
      </c>
      <c r="DB28">
        <v>1792134734.5</v>
      </c>
      <c r="DC28">
        <v>1784.27833333333</v>
      </c>
      <c r="DD28">
        <v>1799.9683333333301</v>
      </c>
      <c r="DE28">
        <v>17.125633333333301</v>
      </c>
      <c r="DF28">
        <v>16.184716666666699</v>
      </c>
      <c r="DG28">
        <v>1781.9083333333299</v>
      </c>
      <c r="DH28">
        <v>17.239233333333299</v>
      </c>
      <c r="DI28">
        <v>500.05866666666702</v>
      </c>
      <c r="DJ28">
        <v>101.67400000000001</v>
      </c>
      <c r="DK28">
        <v>9.9959000000000006E-2</v>
      </c>
      <c r="DL28">
        <v>24.920716666666699</v>
      </c>
      <c r="DM28">
        <v>24.987783333333301</v>
      </c>
      <c r="DN28">
        <v>999.9</v>
      </c>
      <c r="DO28">
        <v>0</v>
      </c>
      <c r="DP28">
        <v>0</v>
      </c>
      <c r="DQ28">
        <v>9990.6166666666704</v>
      </c>
      <c r="DR28">
        <v>0</v>
      </c>
      <c r="DS28">
        <v>6.9291299999999998</v>
      </c>
      <c r="DT28">
        <v>-15.692299999999999</v>
      </c>
      <c r="DU28">
        <v>1815.36333333333</v>
      </c>
      <c r="DV28">
        <v>1829.57833333333</v>
      </c>
      <c r="DW28">
        <v>0.94087183333333302</v>
      </c>
      <c r="DX28">
        <v>1799.9683333333301</v>
      </c>
      <c r="DY28">
        <v>16.184716666666699</v>
      </c>
      <c r="DZ28">
        <v>1.7412300000000001</v>
      </c>
      <c r="EA28">
        <v>1.64556833333333</v>
      </c>
      <c r="EB28">
        <v>15.26895</v>
      </c>
      <c r="EC28">
        <v>14.392300000000001</v>
      </c>
      <c r="ED28">
        <v>1500.01166666667</v>
      </c>
      <c r="EE28">
        <v>0.97299933333333299</v>
      </c>
      <c r="EF28">
        <v>2.7000550000000002E-2</v>
      </c>
      <c r="EG28">
        <v>0</v>
      </c>
      <c r="EH28">
        <v>329.76916666666699</v>
      </c>
      <c r="EI28">
        <v>5.0006399999999998</v>
      </c>
      <c r="EJ28">
        <v>5119.9849999999997</v>
      </c>
      <c r="EK28">
        <v>15439.35</v>
      </c>
      <c r="EL28">
        <v>40.801666666666698</v>
      </c>
      <c r="EM28">
        <v>41.561999999999998</v>
      </c>
      <c r="EN28">
        <v>41.186999999999998</v>
      </c>
      <c r="EO28">
        <v>41.125</v>
      </c>
      <c r="EP28">
        <v>42.311999999999998</v>
      </c>
      <c r="EQ28">
        <v>1454.6416666666701</v>
      </c>
      <c r="ER28">
        <v>40.369999999999997</v>
      </c>
      <c r="ES28">
        <v>0</v>
      </c>
      <c r="ET28">
        <v>4794.8999998569498</v>
      </c>
      <c r="EU28">
        <v>0</v>
      </c>
      <c r="EV28">
        <v>329.84960000000001</v>
      </c>
      <c r="EW28">
        <v>-0.86430768567521798</v>
      </c>
      <c r="EX28">
        <v>-4.62769231658294</v>
      </c>
      <c r="EY28">
        <v>5120.2052000000003</v>
      </c>
      <c r="EZ28">
        <v>15</v>
      </c>
      <c r="FA28">
        <v>1792134680</v>
      </c>
      <c r="FB28" t="s">
        <v>455</v>
      </c>
      <c r="FC28">
        <v>1792134680</v>
      </c>
      <c r="FD28">
        <v>1792134670</v>
      </c>
      <c r="FE28">
        <v>70</v>
      </c>
      <c r="FF28">
        <v>-7.4999999999999997E-2</v>
      </c>
      <c r="FG28">
        <v>0</v>
      </c>
      <c r="FH28">
        <v>2.3380000000000001</v>
      </c>
      <c r="FI28">
        <v>-0.153</v>
      </c>
      <c r="FJ28">
        <v>1801</v>
      </c>
      <c r="FK28">
        <v>16</v>
      </c>
      <c r="FL28">
        <v>0.18</v>
      </c>
      <c r="FM28">
        <v>0.06</v>
      </c>
      <c r="FN28">
        <v>34.979877396507902</v>
      </c>
      <c r="FO28">
        <v>-0.51779321730475503</v>
      </c>
      <c r="FP28">
        <v>0.25265493863620703</v>
      </c>
      <c r="FQ28">
        <v>1</v>
      </c>
      <c r="FR28">
        <v>-15.714235</v>
      </c>
      <c r="FS28">
        <v>0.24409172932326301</v>
      </c>
      <c r="FT28">
        <v>0.10005513617501099</v>
      </c>
      <c r="FU28">
        <v>1</v>
      </c>
      <c r="FV28">
        <v>329.81650000000002</v>
      </c>
      <c r="FW28">
        <v>0.68087090215873902</v>
      </c>
      <c r="FX28">
        <v>0.17813217993785499</v>
      </c>
      <c r="FY28">
        <v>1</v>
      </c>
      <c r="FZ28">
        <v>3</v>
      </c>
      <c r="GA28">
        <v>3</v>
      </c>
      <c r="GB28" t="s">
        <v>418</v>
      </c>
      <c r="GC28">
        <v>3.1233300000000002</v>
      </c>
      <c r="GD28">
        <v>2.7651599999999998</v>
      </c>
      <c r="GE28">
        <v>0.23480699999999999</v>
      </c>
      <c r="GF28">
        <v>0.24204800000000001</v>
      </c>
      <c r="GG28">
        <v>9.23789E-2</v>
      </c>
      <c r="GH28">
        <v>9.1745699999999999E-2</v>
      </c>
      <c r="GI28">
        <v>14903.8</v>
      </c>
      <c r="GJ28">
        <v>22255.5</v>
      </c>
      <c r="GK28">
        <v>22760</v>
      </c>
      <c r="GL28">
        <v>30088.400000000001</v>
      </c>
      <c r="GM28">
        <v>33899</v>
      </c>
      <c r="GN28">
        <v>34057.4</v>
      </c>
      <c r="GO28">
        <v>43069.8</v>
      </c>
      <c r="GP28">
        <v>42856.4</v>
      </c>
      <c r="GQ28">
        <v>1.95055</v>
      </c>
      <c r="GR28">
        <v>1.8141799999999999</v>
      </c>
      <c r="GS28">
        <v>8.35732E-2</v>
      </c>
      <c r="GT28">
        <v>0</v>
      </c>
      <c r="GU28">
        <v>23.6127</v>
      </c>
      <c r="GV28">
        <v>999.9</v>
      </c>
      <c r="GW28">
        <v>38.103000000000002</v>
      </c>
      <c r="GX28">
        <v>33.656999999999996</v>
      </c>
      <c r="GY28">
        <v>19.644500000000001</v>
      </c>
      <c r="GZ28">
        <v>63.588700000000003</v>
      </c>
      <c r="HA28">
        <v>36.522399999999998</v>
      </c>
      <c r="HB28">
        <v>1</v>
      </c>
      <c r="HC28">
        <v>8.6852100000000002E-2</v>
      </c>
      <c r="HD28">
        <v>2.06318</v>
      </c>
      <c r="HE28">
        <v>20.147200000000002</v>
      </c>
      <c r="HF28">
        <v>5.2345100000000002</v>
      </c>
      <c r="HG28">
        <v>11.9625</v>
      </c>
      <c r="HH28">
        <v>4.9689500000000004</v>
      </c>
      <c r="HI28">
        <v>3.2952300000000001</v>
      </c>
      <c r="HJ28">
        <v>9999</v>
      </c>
      <c r="HK28">
        <v>999.9</v>
      </c>
      <c r="HL28">
        <v>9999</v>
      </c>
      <c r="HM28">
        <v>9999</v>
      </c>
      <c r="HN28">
        <v>4.9695299999999998</v>
      </c>
      <c r="HO28">
        <v>1.86381</v>
      </c>
      <c r="HP28">
        <v>1.8653500000000001</v>
      </c>
      <c r="HQ28">
        <v>1.8671500000000001</v>
      </c>
      <c r="HR28">
        <v>1.8641700000000001</v>
      </c>
      <c r="HS28">
        <v>1.86785</v>
      </c>
      <c r="HT28">
        <v>1.8646199999999999</v>
      </c>
      <c r="HU28">
        <v>1.86656</v>
      </c>
      <c r="HV28">
        <v>0</v>
      </c>
      <c r="HW28">
        <v>0</v>
      </c>
      <c r="HX28">
        <v>0</v>
      </c>
      <c r="HY28">
        <v>0</v>
      </c>
      <c r="HZ28" t="s">
        <v>419</v>
      </c>
      <c r="IA28" t="s">
        <v>420</v>
      </c>
      <c r="IB28" t="s">
        <v>421</v>
      </c>
      <c r="IC28" t="s">
        <v>421</v>
      </c>
      <c r="ID28" t="s">
        <v>421</v>
      </c>
      <c r="IE28" t="s">
        <v>421</v>
      </c>
      <c r="IF28">
        <v>0</v>
      </c>
      <c r="IG28">
        <v>100</v>
      </c>
      <c r="IH28">
        <v>100</v>
      </c>
      <c r="II28">
        <v>2.37</v>
      </c>
      <c r="IJ28">
        <v>-0.1137</v>
      </c>
      <c r="IK28">
        <v>1.4270416965536601</v>
      </c>
      <c r="IL28">
        <v>2.16929631606078E-4</v>
      </c>
      <c r="IM28">
        <v>2.7226302473163502E-7</v>
      </c>
      <c r="IN28">
        <v>-5.4379205123515401E-11</v>
      </c>
      <c r="IO28">
        <v>-1.31152289907394E-2</v>
      </c>
      <c r="IP28">
        <v>-5.8443384954566899E-2</v>
      </c>
      <c r="IQ28">
        <v>3.41568706061026E-3</v>
      </c>
      <c r="IR28">
        <v>-2.10952612506686E-5</v>
      </c>
      <c r="IS28">
        <v>0</v>
      </c>
      <c r="IT28">
        <v>1734</v>
      </c>
      <c r="IU28">
        <v>2</v>
      </c>
      <c r="IV28">
        <v>19</v>
      </c>
      <c r="IW28">
        <v>1</v>
      </c>
      <c r="IX28">
        <v>1.1000000000000001</v>
      </c>
      <c r="IY28">
        <v>3.4765600000000001</v>
      </c>
      <c r="IZ28">
        <v>2.5463900000000002</v>
      </c>
      <c r="JA28">
        <v>1.3476600000000001</v>
      </c>
      <c r="JB28">
        <v>2.2558600000000002</v>
      </c>
      <c r="JC28">
        <v>1.5502899999999999</v>
      </c>
      <c r="JD28">
        <v>2.4450699999999999</v>
      </c>
      <c r="JE28">
        <v>39.491599999999998</v>
      </c>
      <c r="JF28">
        <v>23.886099999999999</v>
      </c>
      <c r="JG28">
        <v>18</v>
      </c>
      <c r="JH28">
        <v>488.86200000000002</v>
      </c>
      <c r="JI28">
        <v>478.18900000000002</v>
      </c>
      <c r="JJ28">
        <v>21.223199999999999</v>
      </c>
      <c r="JK28">
        <v>28.284099999999999</v>
      </c>
      <c r="JL28">
        <v>29.999700000000001</v>
      </c>
      <c r="JM28">
        <v>28.260400000000001</v>
      </c>
      <c r="JN28">
        <v>28.270600000000002</v>
      </c>
      <c r="JO28">
        <v>69.567400000000006</v>
      </c>
      <c r="JP28">
        <v>24.480599999999999</v>
      </c>
      <c r="JQ28">
        <v>43.078200000000002</v>
      </c>
      <c r="JR28">
        <v>21.316199999999998</v>
      </c>
      <c r="JS28">
        <v>1800</v>
      </c>
      <c r="JT28">
        <v>16.154699999999998</v>
      </c>
      <c r="JU28">
        <v>101.693</v>
      </c>
      <c r="JV28">
        <v>97.314400000000006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2026-10-16T16:13:55Z</dcterms:created>
  <dcterms:modified xsi:type="dcterms:W3CDTF">2026-10-17T10:07:20Z</dcterms:modified>
</cp:coreProperties>
</file>