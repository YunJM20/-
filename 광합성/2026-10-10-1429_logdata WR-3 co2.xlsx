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0 lettuce park/"/>
    </mc:Choice>
  </mc:AlternateContent>
  <xr:revisionPtr revIDLastSave="0" documentId="11_ACE07100C2FB54F27F4D6392B9C8C29604E0289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8" i="1" l="1"/>
  <c r="CV28" i="1"/>
  <c r="CT28" i="1"/>
  <c r="BI28" i="1"/>
  <c r="BH28" i="1"/>
  <c r="AZ28" i="1"/>
  <c r="AT28" i="1"/>
  <c r="AN28" i="1"/>
  <c r="BA28" i="1" s="1"/>
  <c r="BD28" i="1" s="1"/>
  <c r="AI28" i="1"/>
  <c r="AG28" i="1"/>
  <c r="Y28" i="1"/>
  <c r="X28" i="1"/>
  <c r="W28" i="1"/>
  <c r="P28" i="1"/>
  <c r="CW27" i="1"/>
  <c r="CV27" i="1"/>
  <c r="CT27" i="1"/>
  <c r="BI27" i="1"/>
  <c r="BH27" i="1"/>
  <c r="AZ27" i="1"/>
  <c r="AT27" i="1"/>
  <c r="AX27" i="1" s="1"/>
  <c r="AN27" i="1"/>
  <c r="BA27" i="1" s="1"/>
  <c r="BD27" i="1" s="1"/>
  <c r="AI27" i="1"/>
  <c r="AG27" i="1"/>
  <c r="AH27" i="1" s="1"/>
  <c r="Y27" i="1"/>
  <c r="X27" i="1"/>
  <c r="W27" i="1"/>
  <c r="P27" i="1"/>
  <c r="N27" i="1"/>
  <c r="K27" i="1"/>
  <c r="J27" i="1"/>
  <c r="AW27" i="1" s="1"/>
  <c r="I27" i="1"/>
  <c r="H27" i="1"/>
  <c r="CW26" i="1"/>
  <c r="CV26" i="1"/>
  <c r="CT26" i="1"/>
  <c r="BI26" i="1"/>
  <c r="BH26" i="1"/>
  <c r="AZ26" i="1"/>
  <c r="AT26" i="1"/>
  <c r="AN26" i="1"/>
  <c r="BA26" i="1" s="1"/>
  <c r="BD26" i="1" s="1"/>
  <c r="AI26" i="1"/>
  <c r="AG26" i="1" s="1"/>
  <c r="Y26" i="1"/>
  <c r="X26" i="1"/>
  <c r="W26" i="1" s="1"/>
  <c r="P26" i="1"/>
  <c r="CW25" i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X25" i="1"/>
  <c r="S25" i="1"/>
  <c r="P25" i="1"/>
  <c r="CW24" i="1"/>
  <c r="CV24" i="1"/>
  <c r="CT24" i="1"/>
  <c r="CU24" i="1" s="1"/>
  <c r="AV24" i="1" s="1"/>
  <c r="BI24" i="1"/>
  <c r="BH24" i="1"/>
  <c r="AZ24" i="1"/>
  <c r="AT24" i="1"/>
  <c r="AX24" i="1" s="1"/>
  <c r="AN24" i="1"/>
  <c r="BA24" i="1" s="1"/>
  <c r="BD24" i="1" s="1"/>
  <c r="AI24" i="1"/>
  <c r="AG24" i="1" s="1"/>
  <c r="Y24" i="1"/>
  <c r="X24" i="1"/>
  <c r="W24" i="1" s="1"/>
  <c r="S24" i="1"/>
  <c r="P24" i="1"/>
  <c r="CW23" i="1"/>
  <c r="S23" i="1" s="1"/>
  <c r="CV23" i="1"/>
  <c r="CT23" i="1"/>
  <c r="CU23" i="1" s="1"/>
  <c r="AV23" i="1" s="1"/>
  <c r="BI23" i="1"/>
  <c r="BH23" i="1"/>
  <c r="AZ23" i="1"/>
  <c r="AT23" i="1"/>
  <c r="AX23" i="1" s="1"/>
  <c r="AN23" i="1"/>
  <c r="BA23" i="1" s="1"/>
  <c r="BD23" i="1" s="1"/>
  <c r="AI23" i="1"/>
  <c r="AG23" i="1"/>
  <c r="AH23" i="1" s="1"/>
  <c r="Y23" i="1"/>
  <c r="X23" i="1"/>
  <c r="W23" i="1"/>
  <c r="P23" i="1"/>
  <c r="N23" i="1"/>
  <c r="K23" i="1"/>
  <c r="J23" i="1"/>
  <c r="AW23" i="1" s="1"/>
  <c r="I23" i="1"/>
  <c r="H23" i="1" s="1"/>
  <c r="CW22" i="1"/>
  <c r="CV22" i="1"/>
  <c r="CT22" i="1"/>
  <c r="CU22" i="1" s="1"/>
  <c r="AV22" i="1" s="1"/>
  <c r="BI22" i="1"/>
  <c r="BH22" i="1"/>
  <c r="AZ22" i="1"/>
  <c r="AT22" i="1"/>
  <c r="AX22" i="1" s="1"/>
  <c r="AN22" i="1"/>
  <c r="BA22" i="1" s="1"/>
  <c r="BD22" i="1" s="1"/>
  <c r="AI22" i="1"/>
  <c r="AG22" i="1" s="1"/>
  <c r="Y22" i="1"/>
  <c r="X22" i="1"/>
  <c r="W22" i="1"/>
  <c r="S22" i="1"/>
  <c r="P22" i="1"/>
  <c r="CW21" i="1"/>
  <c r="CV21" i="1"/>
  <c r="CT21" i="1"/>
  <c r="BI21" i="1"/>
  <c r="BH21" i="1"/>
  <c r="AZ21" i="1"/>
  <c r="AT21" i="1"/>
  <c r="AN21" i="1"/>
  <c r="BA21" i="1" s="1"/>
  <c r="BD21" i="1" s="1"/>
  <c r="AI21" i="1"/>
  <c r="AG21" i="1" s="1"/>
  <c r="Y21" i="1"/>
  <c r="W21" i="1" s="1"/>
  <c r="X21" i="1"/>
  <c r="S21" i="1"/>
  <c r="P21" i="1"/>
  <c r="CW20" i="1"/>
  <c r="CV20" i="1"/>
  <c r="CT20" i="1"/>
  <c r="BI20" i="1"/>
  <c r="BH20" i="1"/>
  <c r="AZ20" i="1"/>
  <c r="AT20" i="1"/>
  <c r="AN20" i="1"/>
  <c r="BA20" i="1" s="1"/>
  <c r="BD20" i="1" s="1"/>
  <c r="AI20" i="1"/>
  <c r="AG20" i="1" s="1"/>
  <c r="Y20" i="1"/>
  <c r="W20" i="1" s="1"/>
  <c r="X20" i="1"/>
  <c r="S20" i="1"/>
  <c r="P20" i="1"/>
  <c r="CW19" i="1"/>
  <c r="CV19" i="1"/>
  <c r="CT19" i="1"/>
  <c r="S19" i="1" s="1"/>
  <c r="BI19" i="1"/>
  <c r="BH19" i="1"/>
  <c r="AZ19" i="1"/>
  <c r="AT19" i="1"/>
  <c r="AN19" i="1"/>
  <c r="BA19" i="1" s="1"/>
  <c r="BD19" i="1" s="1"/>
  <c r="AI19" i="1"/>
  <c r="AG19" i="1" s="1"/>
  <c r="Y19" i="1"/>
  <c r="X19" i="1"/>
  <c r="W19" i="1"/>
  <c r="P19" i="1"/>
  <c r="CW18" i="1"/>
  <c r="CV18" i="1"/>
  <c r="CT18" i="1"/>
  <c r="CU18" i="1" s="1"/>
  <c r="AV18" i="1" s="1"/>
  <c r="BI18" i="1"/>
  <c r="BH18" i="1"/>
  <c r="AZ18" i="1"/>
  <c r="AT18" i="1"/>
  <c r="AX18" i="1" s="1"/>
  <c r="AN18" i="1"/>
  <c r="BA18" i="1" s="1"/>
  <c r="BD18" i="1" s="1"/>
  <c r="AI18" i="1"/>
  <c r="AG18" i="1" s="1"/>
  <c r="Y18" i="1"/>
  <c r="X18" i="1"/>
  <c r="W18" i="1" s="1"/>
  <c r="S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X17" i="1"/>
  <c r="W17" i="1"/>
  <c r="S17" i="1"/>
  <c r="P17" i="1"/>
  <c r="CU19" i="1" l="1"/>
  <c r="AV19" i="1" s="1"/>
  <c r="AX19" i="1" s="1"/>
  <c r="CU25" i="1"/>
  <c r="AV25" i="1" s="1"/>
  <c r="AX25" i="1" s="1"/>
  <c r="W25" i="1"/>
  <c r="CU21" i="1"/>
  <c r="AV21" i="1" s="1"/>
  <c r="AX21" i="1" s="1"/>
  <c r="CU20" i="1"/>
  <c r="AV20" i="1" s="1"/>
  <c r="AX20" i="1" s="1"/>
  <c r="CU17" i="1"/>
  <c r="AV17" i="1" s="1"/>
  <c r="AX17" i="1" s="1"/>
  <c r="CU27" i="1"/>
  <c r="AV27" i="1" s="1"/>
  <c r="S27" i="1"/>
  <c r="T27" i="1" s="1"/>
  <c r="U27" i="1" s="1"/>
  <c r="Q27" i="1" s="1"/>
  <c r="O27" i="1" s="1"/>
  <c r="R27" i="1" s="1"/>
  <c r="L27" i="1" s="1"/>
  <c r="M27" i="1" s="1"/>
  <c r="CU26" i="1"/>
  <c r="AV26" i="1" s="1"/>
  <c r="AX26" i="1" s="1"/>
  <c r="S26" i="1"/>
  <c r="T26" i="1" s="1"/>
  <c r="U26" i="1" s="1"/>
  <c r="I25" i="1"/>
  <c r="H25" i="1" s="1"/>
  <c r="N25" i="1"/>
  <c r="K25" i="1"/>
  <c r="J25" i="1"/>
  <c r="AW25" i="1" s="1"/>
  <c r="AY25" i="1" s="1"/>
  <c r="AH25" i="1"/>
  <c r="CU28" i="1"/>
  <c r="AV28" i="1" s="1"/>
  <c r="AX28" i="1" s="1"/>
  <c r="S28" i="1"/>
  <c r="BE28" i="1"/>
  <c r="BF28" i="1"/>
  <c r="BJ28" i="1" s="1"/>
  <c r="BK28" i="1" s="1"/>
  <c r="BG28" i="1"/>
  <c r="AH28" i="1"/>
  <c r="N28" i="1"/>
  <c r="K28" i="1"/>
  <c r="J28" i="1"/>
  <c r="AW28" i="1" s="1"/>
  <c r="AY28" i="1" s="1"/>
  <c r="I28" i="1"/>
  <c r="H28" i="1" s="1"/>
  <c r="BE27" i="1"/>
  <c r="BF27" i="1"/>
  <c r="BJ27" i="1" s="1"/>
  <c r="BK27" i="1" s="1"/>
  <c r="BG27" i="1"/>
  <c r="AA27" i="1"/>
  <c r="BG26" i="1"/>
  <c r="BE26" i="1"/>
  <c r="BF26" i="1"/>
  <c r="BJ26" i="1" s="1"/>
  <c r="BK26" i="1" s="1"/>
  <c r="AH26" i="1"/>
  <c r="I26" i="1"/>
  <c r="H26" i="1" s="1"/>
  <c r="J26" i="1"/>
  <c r="AW26" i="1" s="1"/>
  <c r="AY26" i="1" s="1"/>
  <c r="K26" i="1"/>
  <c r="N26" i="1"/>
  <c r="BE25" i="1"/>
  <c r="BF25" i="1"/>
  <c r="BJ25" i="1" s="1"/>
  <c r="BK25" i="1" s="1"/>
  <c r="BG25" i="1"/>
  <c r="BF24" i="1"/>
  <c r="BJ24" i="1" s="1"/>
  <c r="BK24" i="1" s="1"/>
  <c r="BG24" i="1"/>
  <c r="BE24" i="1"/>
  <c r="AH24" i="1"/>
  <c r="I24" i="1"/>
  <c r="H24" i="1" s="1"/>
  <c r="J24" i="1"/>
  <c r="AW24" i="1" s="1"/>
  <c r="AY24" i="1" s="1"/>
  <c r="K24" i="1"/>
  <c r="N24" i="1"/>
  <c r="T24" i="1"/>
  <c r="U24" i="1" s="1"/>
  <c r="BF23" i="1"/>
  <c r="BJ23" i="1" s="1"/>
  <c r="BK23" i="1" s="1"/>
  <c r="BE23" i="1"/>
  <c r="BG23" i="1"/>
  <c r="T23" i="1"/>
  <c r="U23" i="1" s="1"/>
  <c r="Q23" i="1" s="1"/>
  <c r="O23" i="1" s="1"/>
  <c r="R23" i="1" s="1"/>
  <c r="L23" i="1" s="1"/>
  <c r="M23" i="1" s="1"/>
  <c r="AA23" i="1"/>
  <c r="BF22" i="1"/>
  <c r="BJ22" i="1" s="1"/>
  <c r="BK22" i="1" s="1"/>
  <c r="BE22" i="1"/>
  <c r="BG22" i="1"/>
  <c r="AH22" i="1"/>
  <c r="I22" i="1"/>
  <c r="H22" i="1" s="1"/>
  <c r="J22" i="1"/>
  <c r="AW22" i="1" s="1"/>
  <c r="AY22" i="1" s="1"/>
  <c r="K22" i="1"/>
  <c r="N22" i="1"/>
  <c r="T22" i="1"/>
  <c r="U22" i="1" s="1"/>
  <c r="BG21" i="1"/>
  <c r="BE21" i="1"/>
  <c r="BF21" i="1"/>
  <c r="BJ21" i="1" s="1"/>
  <c r="BK21" i="1" s="1"/>
  <c r="AH21" i="1"/>
  <c r="I21" i="1"/>
  <c r="H21" i="1" s="1"/>
  <c r="J21" i="1"/>
  <c r="AW21" i="1" s="1"/>
  <c r="K21" i="1"/>
  <c r="N21" i="1"/>
  <c r="T21" i="1"/>
  <c r="U21" i="1" s="1"/>
  <c r="BG20" i="1"/>
  <c r="BE20" i="1"/>
  <c r="BF20" i="1"/>
  <c r="BJ20" i="1" s="1"/>
  <c r="BK20" i="1" s="1"/>
  <c r="AH20" i="1"/>
  <c r="I20" i="1"/>
  <c r="H20" i="1" s="1"/>
  <c r="J20" i="1"/>
  <c r="AW20" i="1" s="1"/>
  <c r="K20" i="1"/>
  <c r="N20" i="1"/>
  <c r="T20" i="1"/>
  <c r="U20" i="1" s="1"/>
  <c r="BF19" i="1"/>
  <c r="BJ19" i="1" s="1"/>
  <c r="BK19" i="1" s="1"/>
  <c r="BE19" i="1"/>
  <c r="BG19" i="1"/>
  <c r="AH19" i="1"/>
  <c r="I19" i="1"/>
  <c r="H19" i="1" s="1"/>
  <c r="J19" i="1"/>
  <c r="AW19" i="1" s="1"/>
  <c r="K19" i="1"/>
  <c r="N19" i="1"/>
  <c r="T19" i="1"/>
  <c r="U19" i="1" s="1"/>
  <c r="BG18" i="1"/>
  <c r="BE18" i="1"/>
  <c r="BF18" i="1"/>
  <c r="BJ18" i="1" s="1"/>
  <c r="BK18" i="1" s="1"/>
  <c r="AH18" i="1"/>
  <c r="I18" i="1"/>
  <c r="H18" i="1" s="1"/>
  <c r="J18" i="1"/>
  <c r="AW18" i="1" s="1"/>
  <c r="AY18" i="1" s="1"/>
  <c r="K18" i="1"/>
  <c r="N18" i="1"/>
  <c r="T18" i="1"/>
  <c r="U18" i="1" s="1"/>
  <c r="BF17" i="1"/>
  <c r="BJ17" i="1" s="1"/>
  <c r="BK17" i="1" s="1"/>
  <c r="BE17" i="1"/>
  <c r="BG17" i="1"/>
  <c r="AH17" i="1"/>
  <c r="I17" i="1"/>
  <c r="H17" i="1" s="1"/>
  <c r="J17" i="1"/>
  <c r="AW17" i="1" s="1"/>
  <c r="N17" i="1"/>
  <c r="K17" i="1"/>
  <c r="T17" i="1"/>
  <c r="U17" i="1" s="1"/>
  <c r="AY27" i="1"/>
  <c r="AY23" i="1"/>
  <c r="AY21" i="1" l="1"/>
  <c r="AY20" i="1"/>
  <c r="AY19" i="1"/>
  <c r="AY17" i="1"/>
  <c r="T25" i="1"/>
  <c r="U25" i="1" s="1"/>
  <c r="AA25" i="1"/>
  <c r="T28" i="1"/>
  <c r="U28" i="1" s="1"/>
  <c r="Q28" i="1" s="1"/>
  <c r="O28" i="1" s="1"/>
  <c r="R28" i="1" s="1"/>
  <c r="L28" i="1" s="1"/>
  <c r="M28" i="1" s="1"/>
  <c r="AA28" i="1"/>
  <c r="AB27" i="1"/>
  <c r="V27" i="1"/>
  <c r="Z27" i="1" s="1"/>
  <c r="AC27" i="1"/>
  <c r="AD27" i="1" s="1"/>
  <c r="Q26" i="1"/>
  <c r="O26" i="1" s="1"/>
  <c r="R26" i="1" s="1"/>
  <c r="L26" i="1" s="1"/>
  <c r="M26" i="1" s="1"/>
  <c r="AA26" i="1"/>
  <c r="AB26" i="1"/>
  <c r="V26" i="1"/>
  <c r="Z26" i="1" s="1"/>
  <c r="AC26" i="1"/>
  <c r="AD26" i="1" s="1"/>
  <c r="AA24" i="1"/>
  <c r="Q24" i="1"/>
  <c r="O24" i="1" s="1"/>
  <c r="R24" i="1" s="1"/>
  <c r="L24" i="1" s="1"/>
  <c r="M24" i="1" s="1"/>
  <c r="AB24" i="1"/>
  <c r="V24" i="1"/>
  <c r="Z24" i="1" s="1"/>
  <c r="AC24" i="1"/>
  <c r="AB23" i="1"/>
  <c r="V23" i="1"/>
  <c r="Z23" i="1" s="1"/>
  <c r="AC23" i="1"/>
  <c r="AD23" i="1" s="1"/>
  <c r="Q22" i="1"/>
  <c r="O22" i="1" s="1"/>
  <c r="R22" i="1" s="1"/>
  <c r="L22" i="1" s="1"/>
  <c r="M22" i="1" s="1"/>
  <c r="AA22" i="1"/>
  <c r="AB22" i="1"/>
  <c r="V22" i="1"/>
  <c r="Z22" i="1" s="1"/>
  <c r="AC22" i="1"/>
  <c r="AD22" i="1" s="1"/>
  <c r="Q21" i="1"/>
  <c r="O21" i="1" s="1"/>
  <c r="R21" i="1" s="1"/>
  <c r="L21" i="1" s="1"/>
  <c r="M21" i="1" s="1"/>
  <c r="AA21" i="1"/>
  <c r="AB21" i="1"/>
  <c r="V21" i="1"/>
  <c r="Z21" i="1" s="1"/>
  <c r="AC21" i="1"/>
  <c r="Q20" i="1"/>
  <c r="O20" i="1" s="1"/>
  <c r="R20" i="1" s="1"/>
  <c r="L20" i="1" s="1"/>
  <c r="M20" i="1" s="1"/>
  <c r="AA20" i="1"/>
  <c r="AB20" i="1"/>
  <c r="V20" i="1"/>
  <c r="Z20" i="1" s="1"/>
  <c r="AC20" i="1"/>
  <c r="AD20" i="1" s="1"/>
  <c r="AA19" i="1"/>
  <c r="Q19" i="1"/>
  <c r="O19" i="1" s="1"/>
  <c r="R19" i="1" s="1"/>
  <c r="L19" i="1" s="1"/>
  <c r="M19" i="1" s="1"/>
  <c r="AB19" i="1"/>
  <c r="V19" i="1"/>
  <c r="Z19" i="1" s="1"/>
  <c r="AC19" i="1"/>
  <c r="AA18" i="1"/>
  <c r="Q18" i="1"/>
  <c r="O18" i="1" s="1"/>
  <c r="R18" i="1" s="1"/>
  <c r="L18" i="1" s="1"/>
  <c r="M18" i="1" s="1"/>
  <c r="AB18" i="1"/>
  <c r="V18" i="1"/>
  <c r="Z18" i="1" s="1"/>
  <c r="AC18" i="1"/>
  <c r="AD18" i="1" s="1"/>
  <c r="Q17" i="1"/>
  <c r="O17" i="1" s="1"/>
  <c r="R17" i="1" s="1"/>
  <c r="L17" i="1" s="1"/>
  <c r="M17" i="1" s="1"/>
  <c r="AA17" i="1"/>
  <c r="AB17" i="1"/>
  <c r="V17" i="1"/>
  <c r="Z17" i="1" s="1"/>
  <c r="AC17" i="1"/>
  <c r="AD17" i="1" s="1"/>
  <c r="AD24" i="1" l="1"/>
  <c r="AD21" i="1"/>
  <c r="AB25" i="1"/>
  <c r="AC25" i="1"/>
  <c r="AD25" i="1" s="1"/>
  <c r="V25" i="1"/>
  <c r="Z25" i="1" s="1"/>
  <c r="Q25" i="1"/>
  <c r="O25" i="1" s="1"/>
  <c r="R25" i="1" s="1"/>
  <c r="L25" i="1" s="1"/>
  <c r="M25" i="1" s="1"/>
  <c r="V28" i="1"/>
  <c r="Z28" i="1" s="1"/>
  <c r="AB28" i="1"/>
  <c r="AC28" i="1"/>
  <c r="AD28" i="1" s="1"/>
  <c r="AD19" i="1"/>
</calcChain>
</file>

<file path=xl/sharedStrings.xml><?xml version="1.0" encoding="utf-8"?>
<sst xmlns="http://schemas.openxmlformats.org/spreadsheetml/2006/main" count="1037" uniqueCount="456">
  <si>
    <t>File opened</t>
  </si>
  <si>
    <t>2026-10-10 14:29:48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</si>
  <si>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</si>
  <si>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</si>
  <si>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</si>
  <si>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</si>
  <si>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</si>
  <si>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</si>
  <si>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</si>
  <si>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</si>
  <si>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</si>
  <si>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</si>
  <si>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</si>
  <si>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{"flowbzero": "0.27399", "h2oaspan1": "1.0301", "co2bspanconc2": "1516", "co2bspanconc1": "437.6", "h2oazero": "1.14957", "ssa_ref": "32366.8", "co2bspan2a": "0.0952815", "ssb_ref": "37478.9", "tazero": "0.0951138", "co2aspan1": "0.99333", "co2azero": "1.16194", "h2obspan1": "0.995823", "co2aspanconc2": "1516", "h2obspanconc1": "21.96", "h2obspan2": "0", "h2oaspanconc1": "21.96", "tbzero": "0.145187", "chamberpressurezero": "2.61687", "co2bzero": "1.02053", "h2oaspanconc2": "0", "co2aspan2a": "0.0929659", "oxygen": "21", "h2obzero": "1.13925", "co2bspan2b": "0.0947811", "co2bspan2": "0.00898303", "co2aspan2": "0.0108874", "h2obspan2a": "0.112101", "flowmeterzero": "2.5072", "flowazero": "0.316", "co2bspan1": "0.993892", "h2obspan2b": "0.111633", "co2aspan2b": "0.0924399", "h2obspanconc2": "0", "h2oaspan2b": "0.111609", "h2oaspan2a": "0.108347", "h2oaspan2": "0", "co2aspanconc1": "437.6"}</t>
  </si>
  <si>
    <t>Factory cal date</t>
  </si>
  <si>
    <t>04 Oct 2022</t>
  </si>
  <si>
    <t>CO2 rangematch</t>
  </si>
  <si>
    <t>Tue Sep 15 09:35</t>
  </si>
  <si>
    <t>H2O rangematch</t>
  </si>
  <si>
    <t>Tue Sep 15 09:41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</si>
  <si>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</si>
  <si>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</si>
  <si>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</si>
  <si>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</si>
  <si>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</si>
  <si>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</si>
  <si>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</si>
  <si>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</si>
  <si>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</si>
  <si>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14:29:48</t>
  </si>
  <si>
    <t>Stability Definition:	A (GasEx): Slp&lt;0.6 Per=20	ΔCO2 (Meas2): Slp&lt;0.5 Per=20	F (FlrLS):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</si>
  <si>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</si>
  <si>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</si>
  <si>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</si>
  <si>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</si>
  <si>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</si>
  <si>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</si>
  <si>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</si>
  <si>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</si>
  <si>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</si>
  <si>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</si>
  <si>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</si>
  <si>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</si>
  <si>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</si>
  <si>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</si>
  <si>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</si>
  <si>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</si>
  <si>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</si>
  <si>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</si>
  <si>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</si>
  <si>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</si>
  <si>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</si>
  <si>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</si>
  <si>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</si>
  <si>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</si>
  <si>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</si>
  <si>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</si>
  <si>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</si>
  <si>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</si>
  <si>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</si>
  <si>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</si>
  <si>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</si>
  <si>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</si>
  <si>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</si>
  <si>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</si>
  <si>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</si>
  <si>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</si>
  <si>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</si>
  <si>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</si>
  <si>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</si>
  <si>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</si>
  <si>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</si>
  <si>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</si>
  <si>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</si>
  <si>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</si>
  <si>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</si>
  <si>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</si>
  <si>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</si>
  <si>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</si>
  <si>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</si>
  <si>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</si>
  <si>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</si>
  <si>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</si>
  <si>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4.38209 210.944 349.831 586.709 869.356 1077.05 1247.6 1358.57</t>
  </si>
  <si>
    <t>Fs_true</t>
  </si>
  <si>
    <t>0.620429 237.749 373.713 581.984 811.989 1001.17 1203.08 1400.83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</si>
  <si>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</si>
  <si>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</si>
  <si>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</si>
  <si>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</si>
  <si>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</si>
  <si>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</si>
  <si>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</si>
  <si>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</si>
  <si>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</si>
  <si>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</si>
  <si>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</si>
  <si>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</si>
  <si>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</si>
  <si>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</si>
  <si>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</si>
  <si>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</si>
  <si>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</si>
  <si>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</si>
  <si>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</si>
  <si>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</si>
  <si>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</si>
  <si>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</si>
  <si>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</si>
  <si>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</si>
  <si>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</si>
  <si>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</si>
  <si>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</si>
  <si>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</si>
  <si>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</si>
  <si>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</si>
  <si>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</si>
  <si>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</si>
  <si>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</si>
  <si>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</si>
  <si>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</si>
  <si>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</si>
  <si>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</si>
  <si>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</si>
  <si>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</si>
  <si>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</si>
  <si>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</si>
  <si>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</si>
  <si>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</si>
  <si>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</si>
  <si>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</si>
  <si>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</si>
  <si>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</si>
  <si>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</si>
  <si>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</si>
  <si>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</si>
  <si>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</si>
  <si>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</si>
  <si>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</si>
  <si>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</si>
  <si>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</si>
  <si>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</si>
  <si>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</si>
  <si>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</si>
  <si>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</si>
  <si>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</si>
  <si>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</si>
  <si>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</si>
  <si>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</si>
  <si>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</si>
  <si>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</si>
  <si>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</si>
  <si>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</si>
  <si>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</si>
  <si>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</si>
  <si>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</si>
  <si>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</si>
  <si>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</si>
  <si>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</si>
  <si>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</si>
  <si>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</si>
  <si>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</si>
  <si>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</si>
  <si>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</si>
  <si>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</si>
  <si>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</si>
  <si>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</si>
  <si>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</si>
  <si>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</si>
  <si>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</si>
  <si>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</si>
  <si>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</si>
  <si>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</si>
  <si>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</si>
  <si>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</si>
  <si>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</si>
  <si>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</si>
  <si>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</si>
  <si>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</si>
  <si>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</si>
  <si>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</si>
  <si>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</si>
  <si>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</si>
  <si>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</si>
  <si>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</si>
  <si>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</si>
  <si>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</si>
  <si>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</si>
  <si>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</si>
  <si>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</si>
  <si>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</si>
  <si>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</si>
  <si>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</si>
  <si>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</si>
  <si>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</si>
  <si>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</si>
  <si>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</si>
  <si>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</si>
  <si>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</si>
  <si>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</si>
  <si>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</si>
  <si>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</si>
  <si>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</si>
  <si>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</si>
  <si>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</si>
  <si>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</si>
  <si>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</si>
  <si>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</si>
  <si>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</si>
  <si>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</si>
  <si>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</si>
  <si>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</si>
  <si>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</si>
  <si>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</si>
  <si>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</si>
  <si>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</si>
  <si>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</si>
  <si>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</si>
  <si>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</si>
  <si>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</si>
  <si>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</si>
  <si>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</si>
  <si>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</si>
  <si>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</si>
  <si>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</si>
  <si>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</si>
  <si>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</si>
  <si>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</si>
  <si>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</si>
  <si>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</si>
  <si>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</si>
  <si>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</si>
  <si>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</si>
  <si>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</si>
  <si>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</si>
  <si>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</si>
  <si>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</si>
  <si>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</si>
  <si>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</si>
  <si>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</si>
  <si>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</si>
  <si>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</si>
  <si>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</si>
  <si>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</si>
  <si>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</si>
  <si>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</si>
  <si>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</si>
  <si>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</si>
  <si>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</si>
  <si>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</si>
  <si>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</si>
  <si>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</si>
  <si>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</si>
  <si>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</si>
  <si>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</si>
  <si>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</si>
  <si>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</si>
  <si>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</si>
  <si>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</si>
  <si>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</si>
  <si>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</si>
  <si>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</si>
  <si>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</si>
  <si>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</si>
  <si>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</si>
  <si>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</si>
  <si>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</si>
  <si>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</si>
  <si>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</si>
  <si>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</si>
  <si>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</si>
  <si>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</si>
  <si>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</si>
  <si>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</si>
  <si>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</si>
  <si>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</si>
  <si>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</si>
  <si>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</si>
  <si>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</si>
  <si>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</si>
  <si>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</si>
  <si>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</si>
  <si>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</si>
  <si>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</si>
  <si>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</si>
  <si>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</si>
  <si>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</si>
  <si>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</si>
  <si>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</si>
  <si>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</si>
  <si>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</si>
  <si>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</si>
  <si>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</si>
  <si>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</si>
  <si>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</si>
  <si>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</si>
  <si>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</si>
  <si>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</si>
  <si>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</si>
  <si>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</si>
  <si>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</si>
  <si>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</si>
  <si>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</si>
  <si>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</si>
  <si>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</si>
  <si>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</si>
  <si>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</si>
  <si>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</si>
  <si>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</si>
  <si>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</si>
  <si>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</si>
  <si>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</si>
  <si>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</si>
  <si>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</si>
  <si>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</si>
  <si>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</si>
  <si>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</si>
  <si>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</si>
  <si>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</si>
  <si>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AccH2O_hum</t>
  </si>
  <si>
    <t>CO2_hrs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</si>
  <si>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</si>
  <si>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</si>
  <si>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</si>
  <si>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</si>
  <si>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</si>
  <si>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</si>
  <si>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</si>
  <si>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</si>
  <si>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</si>
  <si>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</si>
  <si>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</si>
  <si>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</si>
  <si>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</si>
  <si>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</si>
  <si>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</si>
  <si>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</si>
  <si>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</si>
  <si>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</si>
  <si>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</si>
  <si>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</si>
  <si>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</si>
  <si>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</si>
  <si>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</si>
  <si>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</si>
  <si>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</si>
  <si>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</si>
  <si>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</si>
  <si>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</si>
  <si>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</si>
  <si>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</si>
  <si>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</si>
  <si>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</si>
  <si>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</si>
  <si>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</si>
  <si>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</si>
  <si>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</si>
  <si>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</si>
  <si>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</si>
  <si>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</si>
  <si>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</si>
  <si>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</si>
  <si>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</si>
  <si>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</si>
  <si>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</si>
  <si>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</si>
  <si>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</si>
  <si>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</si>
  <si>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</si>
  <si>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</si>
  <si>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</si>
  <si>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</si>
  <si>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</si>
  <si>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</si>
  <si>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</si>
  <si>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</si>
  <si>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</si>
  <si>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</si>
  <si>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</si>
  <si>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</si>
  <si>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</si>
  <si>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</si>
  <si>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</si>
  <si>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</si>
  <si>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</si>
  <si>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</si>
  <si>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</si>
  <si>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</si>
  <si>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</si>
  <si>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</si>
  <si>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</si>
  <si>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</si>
  <si>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</si>
  <si>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</si>
  <si>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</si>
  <si>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</si>
  <si>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</si>
  <si>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</si>
  <si>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</si>
  <si>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</si>
  <si>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</si>
  <si>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</si>
  <si>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</si>
  <si>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</si>
  <si>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</si>
  <si>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</si>
  <si>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</si>
  <si>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</si>
  <si>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</si>
  <si>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</si>
  <si>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</si>
  <si>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mg</t>
  </si>
  <si>
    <t>hrs</t>
  </si>
  <si>
    <t>min</t>
  </si>
  <si>
    <t>20261010 15:08:07</t>
  </si>
  <si>
    <t>15:08:07</t>
  </si>
  <si>
    <t>-</t>
  </si>
  <si>
    <t>0: Broadleaf</t>
  </si>
  <si>
    <t>15:07:13</t>
  </si>
  <si>
    <t>2/2</t>
  </si>
  <si>
    <t>11111111</t>
  </si>
  <si>
    <t>oooooooo</t>
  </si>
  <si>
    <t>on</t>
  </si>
  <si>
    <t>20261010 15:10:08</t>
  </si>
  <si>
    <t>15:10:08</t>
  </si>
  <si>
    <t>15:09:15</t>
  </si>
  <si>
    <t>20261010 15:12:09</t>
  </si>
  <si>
    <t>15:12:09</t>
  </si>
  <si>
    <t>15:11:18</t>
  </si>
  <si>
    <t>20261010 15:14:10</t>
  </si>
  <si>
    <t>15:14:10</t>
  </si>
  <si>
    <t>15:13:18</t>
  </si>
  <si>
    <t>20261010 15:16:11</t>
  </si>
  <si>
    <t>15:16:11</t>
  </si>
  <si>
    <t>15:15:20</t>
  </si>
  <si>
    <t>20261010 15:18:25</t>
  </si>
  <si>
    <t>15:18:25</t>
  </si>
  <si>
    <t>15:17:20</t>
  </si>
  <si>
    <t>20261010 15:20:26</t>
  </si>
  <si>
    <t>15:20:26</t>
  </si>
  <si>
    <t>15:19:26</t>
  </si>
  <si>
    <t>20261010 15:22:27</t>
  </si>
  <si>
    <t>15:22:27</t>
  </si>
  <si>
    <t>15:21:28</t>
  </si>
  <si>
    <t>20261010 15:24:57</t>
  </si>
  <si>
    <t>15:24:57</t>
  </si>
  <si>
    <t>15:23:31</t>
  </si>
  <si>
    <t>20261010 15:27:22</t>
  </si>
  <si>
    <t>15:27:22</t>
  </si>
  <si>
    <t>15:26:12</t>
  </si>
  <si>
    <t>20261010 15:29:50</t>
  </si>
  <si>
    <t>15:29:50</t>
  </si>
  <si>
    <t>15:28:33</t>
  </si>
  <si>
    <t>20261010 15:31:51</t>
  </si>
  <si>
    <t>15:31:51</t>
  </si>
  <si>
    <t>15:31:13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</si>
</sst>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V28"/>
  <sheetViews>
    <sheetView tabSelected="1" workbookViewId="0"/>
  </sheetViews>
  <sheetFormatPr defaultRowHeight="16.5" x14ac:dyDescent="0.3"/>
  <sheetData>
    <row r="2" spans="1:282" x14ac:dyDescent="0.3">
      <c r="A2" t="s">
        <v>31</v>
      </c>
      <c r="B2" t="s">
        <v>32</v>
      </c>
      <c r="C2" t="s">
        <v>34</v>
      </c>
    </row>
    <row r="3" spans="1:282" x14ac:dyDescent="0.3">
      <c r="B3" t="s">
        <v>33</v>
      </c>
      <c r="C3">
        <v>21</v>
      </c>
    </row>
    <row r="4" spans="1:282" x14ac:dyDescent="0.3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82" x14ac:dyDescent="0.3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82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82" x14ac:dyDescent="0.3">
      <c r="B7">
        <v>0</v>
      </c>
      <c r="C7">
        <v>1</v>
      </c>
      <c r="D7">
        <v>0</v>
      </c>
      <c r="E7">
        <v>0</v>
      </c>
    </row>
    <row r="8" spans="1:282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82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2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82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82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82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82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103</v>
      </c>
      <c r="ID14" t="s">
        <v>103</v>
      </c>
      <c r="IE14" t="s">
        <v>103</v>
      </c>
      <c r="IF14" t="s">
        <v>103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104</v>
      </c>
      <c r="IW14" t="s">
        <v>104</v>
      </c>
      <c r="IX14" t="s">
        <v>104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106</v>
      </c>
    </row>
    <row r="15" spans="1:282" x14ac:dyDescent="0.3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89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185</v>
      </c>
      <c r="CC15" t="s">
        <v>186</v>
      </c>
      <c r="CD15" t="s">
        <v>187</v>
      </c>
      <c r="CE15" t="s">
        <v>188</v>
      </c>
      <c r="CF15" t="s">
        <v>189</v>
      </c>
      <c r="CG15" t="s">
        <v>169</v>
      </c>
      <c r="CH15" t="s">
        <v>190</v>
      </c>
      <c r="CI15" t="s">
        <v>191</v>
      </c>
      <c r="CJ15" t="s">
        <v>192</v>
      </c>
      <c r="CK15" t="s">
        <v>143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113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108</v>
      </c>
      <c r="FB15" t="s">
        <v>111</v>
      </c>
      <c r="FC15" t="s">
        <v>259</v>
      </c>
      <c r="FD15" t="s">
        <v>260</v>
      </c>
      <c r="FE15" t="s">
        <v>261</v>
      </c>
      <c r="FF15" t="s">
        <v>262</v>
      </c>
      <c r="FG15" t="s">
        <v>263</v>
      </c>
      <c r="FH15" t="s">
        <v>264</v>
      </c>
      <c r="FI15" t="s">
        <v>265</v>
      </c>
      <c r="FJ15" t="s">
        <v>266</v>
      </c>
      <c r="FK15" t="s">
        <v>267</v>
      </c>
      <c r="FL15" t="s">
        <v>268</v>
      </c>
      <c r="FM15" t="s">
        <v>269</v>
      </c>
      <c r="FN15" t="s">
        <v>270</v>
      </c>
      <c r="FO15" t="s">
        <v>271</v>
      </c>
      <c r="FP15" t="s">
        <v>272</v>
      </c>
      <c r="FQ15" t="s">
        <v>273</v>
      </c>
      <c r="FR15" t="s">
        <v>274</v>
      </c>
      <c r="FS15" t="s">
        <v>275</v>
      </c>
      <c r="FT15" t="s">
        <v>276</v>
      </c>
      <c r="FU15" t="s">
        <v>277</v>
      </c>
      <c r="FV15" t="s">
        <v>278</v>
      </c>
      <c r="FW15" t="s">
        <v>279</v>
      </c>
      <c r="FX15" t="s">
        <v>280</v>
      </c>
      <c r="FY15" t="s">
        <v>281</v>
      </c>
      <c r="FZ15" t="s">
        <v>282</v>
      </c>
      <c r="GA15" t="s">
        <v>283</v>
      </c>
      <c r="GB15" t="s">
        <v>284</v>
      </c>
      <c r="GC15" t="s">
        <v>285</v>
      </c>
      <c r="GD15" t="s">
        <v>286</v>
      </c>
      <c r="GE15" t="s">
        <v>287</v>
      </c>
      <c r="GF15" t="s">
        <v>288</v>
      </c>
      <c r="GG15" t="s">
        <v>289</v>
      </c>
      <c r="GH15" t="s">
        <v>290</v>
      </c>
      <c r="GI15" t="s">
        <v>291</v>
      </c>
      <c r="GJ15" t="s">
        <v>292</v>
      </c>
      <c r="GK15" t="s">
        <v>293</v>
      </c>
      <c r="GL15" t="s">
        <v>294</v>
      </c>
      <c r="GM15" t="s">
        <v>295</v>
      </c>
      <c r="GN15" t="s">
        <v>296</v>
      </c>
      <c r="GO15" t="s">
        <v>297</v>
      </c>
      <c r="GP15" t="s">
        <v>298</v>
      </c>
      <c r="GQ15" t="s">
        <v>299</v>
      </c>
      <c r="GR15" t="s">
        <v>300</v>
      </c>
      <c r="GS15" t="s">
        <v>301</v>
      </c>
      <c r="GT15" t="s">
        <v>302</v>
      </c>
      <c r="GU15" t="s">
        <v>303</v>
      </c>
      <c r="GV15" t="s">
        <v>304</v>
      </c>
      <c r="GW15" t="s">
        <v>305</v>
      </c>
      <c r="GX15" t="s">
        <v>306</v>
      </c>
      <c r="GY15" t="s">
        <v>307</v>
      </c>
      <c r="GZ15" t="s">
        <v>308</v>
      </c>
      <c r="HA15" t="s">
        <v>309</v>
      </c>
      <c r="HB15" t="s">
        <v>310</v>
      </c>
      <c r="HC15" t="s">
        <v>311</v>
      </c>
      <c r="HD15" t="s">
        <v>312</v>
      </c>
      <c r="HE15" t="s">
        <v>313</v>
      </c>
      <c r="HF15" t="s">
        <v>314</v>
      </c>
      <c r="HG15" t="s">
        <v>315</v>
      </c>
      <c r="HH15" t="s">
        <v>316</v>
      </c>
      <c r="HI15" t="s">
        <v>317</v>
      </c>
      <c r="HJ15" t="s">
        <v>318</v>
      </c>
      <c r="HK15" t="s">
        <v>319</v>
      </c>
      <c r="HL15" t="s">
        <v>320</v>
      </c>
      <c r="HM15" t="s">
        <v>321</v>
      </c>
      <c r="HN15" t="s">
        <v>322</v>
      </c>
      <c r="HO15" t="s">
        <v>323</v>
      </c>
      <c r="HP15" t="s">
        <v>324</v>
      </c>
      <c r="HQ15" t="s">
        <v>325</v>
      </c>
      <c r="HR15" t="s">
        <v>326</v>
      </c>
      <c r="HS15" t="s">
        <v>327</v>
      </c>
      <c r="HT15" t="s">
        <v>328</v>
      </c>
      <c r="HU15" t="s">
        <v>329</v>
      </c>
      <c r="HV15" t="s">
        <v>330</v>
      </c>
      <c r="HW15" t="s">
        <v>331</v>
      </c>
      <c r="HX15" t="s">
        <v>332</v>
      </c>
      <c r="HY15" t="s">
        <v>333</v>
      </c>
      <c r="HZ15" t="s">
        <v>334</v>
      </c>
      <c r="IA15" t="s">
        <v>335</v>
      </c>
      <c r="IB15" t="s">
        <v>336</v>
      </c>
      <c r="IC15" t="s">
        <v>337</v>
      </c>
      <c r="ID15" t="s">
        <v>338</v>
      </c>
      <c r="IE15" t="s">
        <v>339</v>
      </c>
      <c r="IF15" t="s">
        <v>340</v>
      </c>
      <c r="IG15" t="s">
        <v>341</v>
      </c>
      <c r="IH15" t="s">
        <v>342</v>
      </c>
      <c r="II15" t="s">
        <v>343</v>
      </c>
      <c r="IJ15" t="s">
        <v>344</v>
      </c>
      <c r="IK15" t="s">
        <v>345</v>
      </c>
      <c r="IL15" t="s">
        <v>346</v>
      </c>
      <c r="IM15" t="s">
        <v>347</v>
      </c>
      <c r="IN15" t="s">
        <v>348</v>
      </c>
      <c r="IO15" t="s">
        <v>349</v>
      </c>
      <c r="IP15" t="s">
        <v>350</v>
      </c>
      <c r="IQ15" t="s">
        <v>351</v>
      </c>
      <c r="IR15" t="s">
        <v>352</v>
      </c>
      <c r="IS15" t="s">
        <v>353</v>
      </c>
      <c r="IT15" t="s">
        <v>354</v>
      </c>
      <c r="IU15" t="s">
        <v>355</v>
      </c>
      <c r="IV15" t="s">
        <v>356</v>
      </c>
      <c r="IW15" t="s">
        <v>357</v>
      </c>
      <c r="IX15" t="s">
        <v>358</v>
      </c>
      <c r="IY15" t="s">
        <v>359</v>
      </c>
      <c r="IZ15" t="s">
        <v>360</v>
      </c>
      <c r="JA15" t="s">
        <v>361</v>
      </c>
      <c r="JB15" t="s">
        <v>362</v>
      </c>
      <c r="JC15" t="s">
        <v>363</v>
      </c>
      <c r="JD15" t="s">
        <v>364</v>
      </c>
      <c r="JE15" t="s">
        <v>365</v>
      </c>
      <c r="JF15" t="s">
        <v>366</v>
      </c>
      <c r="JG15" t="s">
        <v>367</v>
      </c>
      <c r="JH15" t="s">
        <v>368</v>
      </c>
      <c r="JI15" t="s">
        <v>369</v>
      </c>
      <c r="JJ15" t="s">
        <v>370</v>
      </c>
      <c r="JK15" t="s">
        <v>371</v>
      </c>
      <c r="JL15" t="s">
        <v>372</v>
      </c>
      <c r="JM15" t="s">
        <v>373</v>
      </c>
      <c r="JN15" t="s">
        <v>374</v>
      </c>
      <c r="JO15" t="s">
        <v>375</v>
      </c>
      <c r="JP15" t="s">
        <v>376</v>
      </c>
      <c r="JQ15" t="s">
        <v>377</v>
      </c>
      <c r="JR15" t="s">
        <v>378</v>
      </c>
      <c r="JS15" t="s">
        <v>379</v>
      </c>
      <c r="JT15" t="s">
        <v>380</v>
      </c>
      <c r="JU15" t="s">
        <v>381</v>
      </c>
      <c r="JV15" t="s">
        <v>382</v>
      </c>
    </row>
    <row r="16" spans="1:282" x14ac:dyDescent="0.3">
      <c r="B16" t="s">
        <v>383</v>
      </c>
      <c r="C16" t="s">
        <v>383</v>
      </c>
      <c r="F16" t="s">
        <v>383</v>
      </c>
      <c r="G16" t="s">
        <v>383</v>
      </c>
      <c r="H16" t="s">
        <v>384</v>
      </c>
      <c r="I16" t="s">
        <v>385</v>
      </c>
      <c r="J16" t="s">
        <v>386</v>
      </c>
      <c r="K16" t="s">
        <v>387</v>
      </c>
      <c r="L16" t="s">
        <v>387</v>
      </c>
      <c r="M16" t="s">
        <v>216</v>
      </c>
      <c r="N16" t="s">
        <v>216</v>
      </c>
      <c r="O16" t="s">
        <v>384</v>
      </c>
      <c r="P16" t="s">
        <v>384</v>
      </c>
      <c r="Q16" t="s">
        <v>384</v>
      </c>
      <c r="R16" t="s">
        <v>384</v>
      </c>
      <c r="S16" t="s">
        <v>388</v>
      </c>
      <c r="T16" t="s">
        <v>389</v>
      </c>
      <c r="U16" t="s">
        <v>389</v>
      </c>
      <c r="V16" t="s">
        <v>390</v>
      </c>
      <c r="W16" t="s">
        <v>391</v>
      </c>
      <c r="X16" t="s">
        <v>390</v>
      </c>
      <c r="Y16" t="s">
        <v>390</v>
      </c>
      <c r="Z16" t="s">
        <v>390</v>
      </c>
      <c r="AA16" t="s">
        <v>388</v>
      </c>
      <c r="AB16" t="s">
        <v>388</v>
      </c>
      <c r="AC16" t="s">
        <v>388</v>
      </c>
      <c r="AD16" t="s">
        <v>388</v>
      </c>
      <c r="AE16" t="s">
        <v>392</v>
      </c>
      <c r="AF16" t="s">
        <v>391</v>
      </c>
      <c r="AH16" t="s">
        <v>391</v>
      </c>
      <c r="AI16" t="s">
        <v>392</v>
      </c>
      <c r="AO16" t="s">
        <v>386</v>
      </c>
      <c r="AV16" t="s">
        <v>386</v>
      </c>
      <c r="AW16" t="s">
        <v>386</v>
      </c>
      <c r="AX16" t="s">
        <v>386</v>
      </c>
      <c r="AY16" t="s">
        <v>393</v>
      </c>
      <c r="BM16" t="s">
        <v>394</v>
      </c>
      <c r="BO16" t="s">
        <v>394</v>
      </c>
      <c r="BP16" t="s">
        <v>386</v>
      </c>
      <c r="BS16" t="s">
        <v>394</v>
      </c>
      <c r="BT16" t="s">
        <v>391</v>
      </c>
      <c r="BW16" t="s">
        <v>395</v>
      </c>
      <c r="BX16" t="s">
        <v>395</v>
      </c>
      <c r="BZ16" t="s">
        <v>396</v>
      </c>
      <c r="CA16" t="s">
        <v>394</v>
      </c>
      <c r="CC16" t="s">
        <v>394</v>
      </c>
      <c r="CD16" t="s">
        <v>386</v>
      </c>
      <c r="CH16" t="s">
        <v>394</v>
      </c>
      <c r="CJ16" t="s">
        <v>397</v>
      </c>
      <c r="CM16" t="s">
        <v>394</v>
      </c>
      <c r="CN16" t="s">
        <v>394</v>
      </c>
      <c r="CP16" t="s">
        <v>394</v>
      </c>
      <c r="CR16" t="s">
        <v>394</v>
      </c>
      <c r="CT16" t="s">
        <v>386</v>
      </c>
      <c r="CU16" t="s">
        <v>386</v>
      </c>
      <c r="CW16" t="s">
        <v>398</v>
      </c>
      <c r="CX16" t="s">
        <v>399</v>
      </c>
      <c r="DA16" t="s">
        <v>384</v>
      </c>
      <c r="DB16" t="s">
        <v>383</v>
      </c>
      <c r="DC16" t="s">
        <v>387</v>
      </c>
      <c r="DD16" t="s">
        <v>387</v>
      </c>
      <c r="DE16" t="s">
        <v>400</v>
      </c>
      <c r="DF16" t="s">
        <v>400</v>
      </c>
      <c r="DG16" t="s">
        <v>387</v>
      </c>
      <c r="DH16" t="s">
        <v>400</v>
      </c>
      <c r="DI16" t="s">
        <v>392</v>
      </c>
      <c r="DJ16" t="s">
        <v>390</v>
      </c>
      <c r="DK16" t="s">
        <v>390</v>
      </c>
      <c r="DL16" t="s">
        <v>389</v>
      </c>
      <c r="DM16" t="s">
        <v>389</v>
      </c>
      <c r="DN16" t="s">
        <v>389</v>
      </c>
      <c r="DO16" t="s">
        <v>389</v>
      </c>
      <c r="DP16" t="s">
        <v>389</v>
      </c>
      <c r="DQ16" t="s">
        <v>401</v>
      </c>
      <c r="DR16" t="s">
        <v>386</v>
      </c>
      <c r="DS16" t="s">
        <v>386</v>
      </c>
      <c r="DT16" t="s">
        <v>387</v>
      </c>
      <c r="DU16" t="s">
        <v>387</v>
      </c>
      <c r="DV16" t="s">
        <v>387</v>
      </c>
      <c r="DW16" t="s">
        <v>400</v>
      </c>
      <c r="DX16" t="s">
        <v>387</v>
      </c>
      <c r="DY16" t="s">
        <v>400</v>
      </c>
      <c r="DZ16" t="s">
        <v>390</v>
      </c>
      <c r="EA16" t="s">
        <v>390</v>
      </c>
      <c r="EB16" t="s">
        <v>389</v>
      </c>
      <c r="EC16" t="s">
        <v>389</v>
      </c>
      <c r="ED16" t="s">
        <v>386</v>
      </c>
      <c r="EI16" t="s">
        <v>386</v>
      </c>
      <c r="EL16" t="s">
        <v>389</v>
      </c>
      <c r="EM16" t="s">
        <v>389</v>
      </c>
      <c r="EN16" t="s">
        <v>389</v>
      </c>
      <c r="EO16" t="s">
        <v>389</v>
      </c>
      <c r="EP16" t="s">
        <v>389</v>
      </c>
      <c r="EQ16" t="s">
        <v>386</v>
      </c>
      <c r="ER16" t="s">
        <v>386</v>
      </c>
      <c r="ES16" t="s">
        <v>386</v>
      </c>
      <c r="ET16" t="s">
        <v>383</v>
      </c>
      <c r="EW16" t="s">
        <v>402</v>
      </c>
      <c r="EX16" t="s">
        <v>402</v>
      </c>
      <c r="EZ16" t="s">
        <v>383</v>
      </c>
      <c r="FA16" t="s">
        <v>403</v>
      </c>
      <c r="FC16" t="s">
        <v>383</v>
      </c>
      <c r="FD16" t="s">
        <v>383</v>
      </c>
      <c r="FF16" t="s">
        <v>404</v>
      </c>
      <c r="FG16" t="s">
        <v>405</v>
      </c>
      <c r="FH16" t="s">
        <v>404</v>
      </c>
      <c r="FI16" t="s">
        <v>405</v>
      </c>
      <c r="FJ16" t="s">
        <v>404</v>
      </c>
      <c r="FK16" t="s">
        <v>405</v>
      </c>
      <c r="FL16" t="s">
        <v>391</v>
      </c>
      <c r="FM16" t="s">
        <v>391</v>
      </c>
      <c r="FN16" t="s">
        <v>386</v>
      </c>
      <c r="FO16" t="s">
        <v>406</v>
      </c>
      <c r="FP16" t="s">
        <v>386</v>
      </c>
      <c r="FR16" t="s">
        <v>387</v>
      </c>
      <c r="FS16" t="s">
        <v>407</v>
      </c>
      <c r="FT16" t="s">
        <v>387</v>
      </c>
      <c r="FW16" t="s">
        <v>408</v>
      </c>
      <c r="GC16" t="s">
        <v>409</v>
      </c>
      <c r="GD16" t="s">
        <v>409</v>
      </c>
      <c r="GQ16" t="s">
        <v>409</v>
      </c>
      <c r="GR16" t="s">
        <v>409</v>
      </c>
      <c r="GS16" t="s">
        <v>410</v>
      </c>
      <c r="GT16" t="s">
        <v>410</v>
      </c>
      <c r="GU16" t="s">
        <v>389</v>
      </c>
      <c r="GV16" t="s">
        <v>389</v>
      </c>
      <c r="GW16" t="s">
        <v>391</v>
      </c>
      <c r="GX16" t="s">
        <v>389</v>
      </c>
      <c r="GY16" t="s">
        <v>400</v>
      </c>
      <c r="GZ16" t="s">
        <v>391</v>
      </c>
      <c r="HA16" t="s">
        <v>391</v>
      </c>
      <c r="HC16" t="s">
        <v>409</v>
      </c>
      <c r="HD16" t="s">
        <v>409</v>
      </c>
      <c r="HE16" t="s">
        <v>409</v>
      </c>
      <c r="HF16" t="s">
        <v>409</v>
      </c>
      <c r="HG16" t="s">
        <v>409</v>
      </c>
      <c r="HH16" t="s">
        <v>409</v>
      </c>
      <c r="HI16" t="s">
        <v>409</v>
      </c>
      <c r="HJ16" t="s">
        <v>411</v>
      </c>
      <c r="HK16" t="s">
        <v>411</v>
      </c>
      <c r="HL16" t="s">
        <v>412</v>
      </c>
      <c r="HM16" t="s">
        <v>411</v>
      </c>
      <c r="HN16" t="s">
        <v>409</v>
      </c>
      <c r="HO16" t="s">
        <v>409</v>
      </c>
      <c r="HP16" t="s">
        <v>409</v>
      </c>
      <c r="HQ16" t="s">
        <v>409</v>
      </c>
      <c r="HR16" t="s">
        <v>409</v>
      </c>
      <c r="HS16" t="s">
        <v>409</v>
      </c>
      <c r="HT16" t="s">
        <v>409</v>
      </c>
      <c r="HU16" t="s">
        <v>409</v>
      </c>
      <c r="HV16" t="s">
        <v>409</v>
      </c>
      <c r="HW16" t="s">
        <v>409</v>
      </c>
      <c r="HX16" t="s">
        <v>409</v>
      </c>
      <c r="HY16" t="s">
        <v>409</v>
      </c>
      <c r="IF16" t="s">
        <v>409</v>
      </c>
      <c r="IG16" t="s">
        <v>391</v>
      </c>
      <c r="IH16" t="s">
        <v>391</v>
      </c>
      <c r="II16" t="s">
        <v>404</v>
      </c>
      <c r="IJ16" t="s">
        <v>405</v>
      </c>
      <c r="IK16" t="s">
        <v>404</v>
      </c>
      <c r="IO16" t="s">
        <v>405</v>
      </c>
      <c r="IS16" t="s">
        <v>387</v>
      </c>
      <c r="IT16" t="s">
        <v>387</v>
      </c>
      <c r="IU16" t="s">
        <v>400</v>
      </c>
      <c r="IV16" t="s">
        <v>400</v>
      </c>
      <c r="IW16" t="s">
        <v>413</v>
      </c>
      <c r="IX16" t="s">
        <v>413</v>
      </c>
      <c r="IY16" t="s">
        <v>409</v>
      </c>
      <c r="IZ16" t="s">
        <v>409</v>
      </c>
      <c r="JA16" t="s">
        <v>409</v>
      </c>
      <c r="JB16" t="s">
        <v>409</v>
      </c>
      <c r="JC16" t="s">
        <v>409</v>
      </c>
      <c r="JD16" t="s">
        <v>409</v>
      </c>
      <c r="JE16" t="s">
        <v>389</v>
      </c>
      <c r="JF16" t="s">
        <v>409</v>
      </c>
      <c r="JH16" t="s">
        <v>392</v>
      </c>
      <c r="JI16" t="s">
        <v>392</v>
      </c>
      <c r="JJ16" t="s">
        <v>389</v>
      </c>
      <c r="JK16" t="s">
        <v>389</v>
      </c>
      <c r="JL16" t="s">
        <v>389</v>
      </c>
      <c r="JM16" t="s">
        <v>389</v>
      </c>
      <c r="JN16" t="s">
        <v>389</v>
      </c>
      <c r="JO16" t="s">
        <v>391</v>
      </c>
      <c r="JP16" t="s">
        <v>391</v>
      </c>
      <c r="JQ16" t="s">
        <v>391</v>
      </c>
      <c r="JR16" t="s">
        <v>389</v>
      </c>
      <c r="JS16" t="s">
        <v>387</v>
      </c>
      <c r="JT16" t="s">
        <v>400</v>
      </c>
      <c r="JU16" t="s">
        <v>391</v>
      </c>
      <c r="JV16" t="s">
        <v>391</v>
      </c>
    </row>
    <row r="17" spans="1:282" x14ac:dyDescent="0.3">
      <c r="A17">
        <v>1</v>
      </c>
      <c r="B17">
        <v>1791612487</v>
      </c>
      <c r="C17">
        <v>0</v>
      </c>
      <c r="D17" t="s">
        <v>414</v>
      </c>
      <c r="E17" t="s">
        <v>415</v>
      </c>
      <c r="F17">
        <v>5</v>
      </c>
      <c r="G17">
        <v>1791612483.5</v>
      </c>
      <c r="H17">
        <f t="shared" ref="H17:H28" si="0">(I17)/1000</f>
        <v>4.4728821312012678E-3</v>
      </c>
      <c r="I17">
        <f t="shared" ref="I17:I28" si="1">1000*DI17*AG17*(DE17-DF17)/(100*CX17*(1000-AG17*DE17))</f>
        <v>4.4728821312012679</v>
      </c>
      <c r="J17">
        <f t="shared" ref="J17:J28" si="2">DI17*AG17*(DD17-DC17*(1000-AG17*DF17)/(1000-AG17*DE17))/(100*CX17)</f>
        <v>19.904340451310649</v>
      </c>
      <c r="K17">
        <f t="shared" ref="K17:K28" si="3">DC17 - IF(AG17&gt;1, J17*CX17*100/(AI17), 0)</f>
        <v>391.34266666666701</v>
      </c>
      <c r="L17">
        <f t="shared" ref="L17:L28" si="4">((R17-H17/2)*K17-J17)/(R17+H17/2)</f>
        <v>284.11406902656051</v>
      </c>
      <c r="M17">
        <f t="shared" ref="M17:M28" si="5">L17*(DJ17+DK17)/1000</f>
        <v>28.757395575132076</v>
      </c>
      <c r="N17">
        <f t="shared" ref="N17:N28" si="6">(DC17 - IF(AG17&gt;1, J17*CX17*100/(AI17), 0))*(DJ17+DK17)/1000</f>
        <v>39.610836271921166</v>
      </c>
      <c r="O17">
        <f t="shared" ref="O17:O28" si="7">2/((1/Q17-1/P17)+SIGN(Q17)*SQRT((1/Q17-1/P17)*(1/Q17-1/P17) + 4*CY17/((CY17+1)*(CY17+1))*(2*1/Q17*1/P17-1/P17*1/P17)))</f>
        <v>0.33633716227502197</v>
      </c>
      <c r="P17">
        <f t="shared" ref="P17:P28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3.0314962797100788</v>
      </c>
      <c r="Q17">
        <f t="shared" ref="Q17:Q28" si="9">H17*(1000-(1000*0.61365*EXP(17.502*U17/(240.97+U17))/(DJ17+DK17)+DE17)/2)/(1000*0.61365*EXP(17.502*U17/(240.97+U17))/(DJ17+DK17)-DE17)</f>
        <v>0.31689624629244278</v>
      </c>
      <c r="R17">
        <f t="shared" ref="R17:R28" si="10">1/((CY17+1)/(O17/1.6)+1/(P17/1.37)) + CY17/((CY17+1)/(O17/1.6) + CY17/(P17/1.37))</f>
        <v>0.19971313720736139</v>
      </c>
      <c r="S17">
        <f t="shared" ref="S17:S28" si="11">(CT17*CW17)</f>
        <v>241.73604500294365</v>
      </c>
      <c r="T17">
        <f t="shared" ref="T17:T28" si="12">(DL17+(S17+2*0.95*0.0000000567*(((DL17+$B$7)+273)^4-(DL17+273)^4)-44100*H17)/(1.84*29.3*P17+8*0.95*0.0000000567*(DL17+273)^3))</f>
        <v>25.495811433576343</v>
      </c>
      <c r="U17">
        <f t="shared" ref="U17:U28" si="13">($C$7*DM17+$D$7*DN17+$E$7*T17)</f>
        <v>24.969550000000002</v>
      </c>
      <c r="V17">
        <f t="shared" ref="V17:V28" si="14">0.61365*EXP(17.502*U17/(240.97+U17))</f>
        <v>3.173909775771075</v>
      </c>
      <c r="W17">
        <f t="shared" ref="W17:W28" si="15">(X17/Y17*100)</f>
        <v>55.187993103998579</v>
      </c>
      <c r="X17">
        <f t="shared" ref="X17:X28" si="16">DE17*(DJ17+DK17)/1000</f>
        <v>1.780218329589794</v>
      </c>
      <c r="Y17">
        <f t="shared" ref="Y17:Y28" si="17">0.61365*EXP(17.502*DL17/(240.97+DL17))</f>
        <v>3.225734855469514</v>
      </c>
      <c r="Z17">
        <f t="shared" ref="Z17:Z28" si="18">(V17-DE17*(DJ17+DK17)/1000)</f>
        <v>1.393691446181281</v>
      </c>
      <c r="AA17">
        <f t="shared" ref="AA17:AA28" si="19">(-H17*44100)</f>
        <v>-197.25410198597592</v>
      </c>
      <c r="AB17">
        <f t="shared" ref="AB17:AB28" si="20">2*29.3*P17*0.92*(DL17-U17)</f>
        <v>44.434988158224606</v>
      </c>
      <c r="AC17">
        <f t="shared" ref="AC17:AC28" si="21">2*0.95*0.0000000567*(((DL17+$B$7)+273)^4-(U17+273)^4)</f>
        <v>3.1037680426363203</v>
      </c>
      <c r="AD17">
        <f t="shared" ref="AD17:AD28" si="22">S17+AC17+AA17+AB17</f>
        <v>92.02069921782865</v>
      </c>
      <c r="AE17">
        <v>0</v>
      </c>
      <c r="AF17">
        <v>0</v>
      </c>
      <c r="AG17">
        <f t="shared" ref="AG17:AG28" si="23">IF(AE17*$H$13&gt;=AI17,1,(AI17/(AI17-AE17*$H$13)))</f>
        <v>1</v>
      </c>
      <c r="AH17">
        <f t="shared" ref="AH17:AH28" si="24">(AG17-1)*100</f>
        <v>0</v>
      </c>
      <c r="AI17">
        <f t="shared" ref="AI17:AI28" si="25">MAX(0,($B$13+$C$13*DQ17)/(1+$D$13*DQ17)*DJ17/(DL17+273)*$E$13)</f>
        <v>53844.812925637496</v>
      </c>
      <c r="AJ17" t="s">
        <v>416</v>
      </c>
      <c r="AK17" t="s">
        <v>416</v>
      </c>
      <c r="AL17">
        <v>0</v>
      </c>
      <c r="AM17">
        <v>0</v>
      </c>
      <c r="AN17" t="e">
        <f t="shared" ref="AN17:AN28" si="26">1-AL17/AM17</f>
        <v>#DIV/0!</v>
      </c>
      <c r="AO17">
        <v>0</v>
      </c>
      <c r="AP17" t="s">
        <v>416</v>
      </c>
      <c r="AQ17" t="s">
        <v>416</v>
      </c>
      <c r="AR17">
        <v>0</v>
      </c>
      <c r="AS17">
        <v>0</v>
      </c>
      <c r="AT17" t="e">
        <f t="shared" ref="AT17:AT28" si="27">1-AR17/AS17</f>
        <v>#DIV/0!</v>
      </c>
      <c r="AU17">
        <v>0.5</v>
      </c>
      <c r="AV17">
        <f t="shared" ref="AV17:AV28" si="28">CU17</f>
        <v>1261.2065994833904</v>
      </c>
      <c r="AW17">
        <f t="shared" ref="AW17:AW28" si="29">J17</f>
        <v>19.904340451310649</v>
      </c>
      <c r="AX17" t="e">
        <f t="shared" ref="AX17:AX28" si="30">AT17*AU17*AV17</f>
        <v>#DIV/0!</v>
      </c>
      <c r="AY17">
        <f t="shared" ref="AY17:AY28" si="31">(AW17-AO17)/AV17</f>
        <v>1.5781982475721084E-2</v>
      </c>
      <c r="AZ17" t="e">
        <f t="shared" ref="AZ17:AZ28" si="32">(AM17-AS17)/AS17</f>
        <v>#DIV/0!</v>
      </c>
      <c r="BA17" t="e">
        <f t="shared" ref="BA17:BA28" si="33">AL17/(AN17+AL17/AS17)</f>
        <v>#DIV/0!</v>
      </c>
      <c r="BB17" t="s">
        <v>416</v>
      </c>
      <c r="BC17">
        <v>0</v>
      </c>
      <c r="BD17" t="e">
        <f t="shared" ref="BD17:BD28" si="34">IF(BC17&lt;&gt;0, BC17, BA17)</f>
        <v>#DIV/0!</v>
      </c>
      <c r="BE17" t="e">
        <f t="shared" ref="BE17:BE28" si="35">1-BD17/AS17</f>
        <v>#DIV/0!</v>
      </c>
      <c r="BF17" t="e">
        <f t="shared" ref="BF17:BF28" si="36">(AS17-AR17)/(AS17-BD17)</f>
        <v>#DIV/0!</v>
      </c>
      <c r="BG17" t="e">
        <f t="shared" ref="BG17:BG28" si="37">(AM17-AS17)/(AM17-BD17)</f>
        <v>#DIV/0!</v>
      </c>
      <c r="BH17" t="e">
        <f t="shared" ref="BH17:BH28" si="38">(AS17-AR17)/(AS17-AL17)</f>
        <v>#DIV/0!</v>
      </c>
      <c r="BI17" t="e">
        <f t="shared" ref="BI17:BI28" si="39">(AM17-AS17)/(AM17-AL17)</f>
        <v>#DIV/0!</v>
      </c>
      <c r="BJ17" t="e">
        <f t="shared" ref="BJ17:BJ28" si="40">(BF17*BD17/AR17)</f>
        <v>#DIV/0!</v>
      </c>
      <c r="BK17" t="e">
        <f t="shared" ref="BK17:BK28" si="41">(1-BJ17)</f>
        <v>#DIV/0!</v>
      </c>
      <c r="CT17">
        <f t="shared" ref="CT17:CT28" si="42">$B$11*DR17+$C$11*DS17+$F$11*ED17*(1-EG17)</f>
        <v>1499.9949999999999</v>
      </c>
      <c r="CU17">
        <f t="shared" ref="CU17:CU28" si="43">CT17*CV17</f>
        <v>1261.2065994833904</v>
      </c>
      <c r="CV17">
        <f t="shared" ref="CV17:CV28" si="44">($B$11*$D$9+$C$11*$D$9+$F$11*((EQ17+EI17)/MAX(EQ17+EI17+ER17, 0.1)*$I$9+ER17/MAX(EQ17+EI17+ER17, 0.1)*$J$9))/($B$11+$C$11+$F$11)</f>
        <v>0.84080720234626816</v>
      </c>
      <c r="CW17">
        <f t="shared" ref="CW17:CW28" si="45">($B$11*$K$9+$C$11*$K$9+$F$11*((EQ17+EI17)/MAX(EQ17+EI17+ER17, 0.1)*$P$9+ER17/MAX(EQ17+EI17+ER17, 0.1)*$Q$9))/($B$11+$C$11+$F$11)</f>
        <v>0.16115790052829754</v>
      </c>
      <c r="CX17">
        <v>2</v>
      </c>
      <c r="CY17">
        <v>0.5</v>
      </c>
      <c r="CZ17" t="s">
        <v>417</v>
      </c>
      <c r="DA17">
        <v>2</v>
      </c>
      <c r="DB17">
        <v>1791612483.5</v>
      </c>
      <c r="DC17">
        <v>391.34266666666701</v>
      </c>
      <c r="DD17">
        <v>400.00333333333299</v>
      </c>
      <c r="DE17">
        <v>17.588000000000001</v>
      </c>
      <c r="DF17">
        <v>15.8305666666667</v>
      </c>
      <c r="DG17">
        <v>390.530666666667</v>
      </c>
      <c r="DH17">
        <v>17.7229666666667</v>
      </c>
      <c r="DI17">
        <v>500.071666666667</v>
      </c>
      <c r="DJ17">
        <v>101.117833333333</v>
      </c>
      <c r="DK17">
        <v>9.9947516666666694E-2</v>
      </c>
      <c r="DL17">
        <v>25.241433333333301</v>
      </c>
      <c r="DM17">
        <v>24.969550000000002</v>
      </c>
      <c r="DN17">
        <v>999.9</v>
      </c>
      <c r="DO17">
        <v>0</v>
      </c>
      <c r="DP17">
        <v>0</v>
      </c>
      <c r="DQ17">
        <v>10011.8833333333</v>
      </c>
      <c r="DR17">
        <v>0</v>
      </c>
      <c r="DS17">
        <v>6.9836900000000002</v>
      </c>
      <c r="DT17">
        <v>-8.6604866666666709</v>
      </c>
      <c r="DU17">
        <v>398.34899999999999</v>
      </c>
      <c r="DV17">
        <v>406.4375</v>
      </c>
      <c r="DW17">
        <v>1.7574099999999999</v>
      </c>
      <c r="DX17">
        <v>400.00333333333299</v>
      </c>
      <c r="DY17">
        <v>15.8305666666667</v>
      </c>
      <c r="DZ17">
        <v>1.7784566666666699</v>
      </c>
      <c r="EA17">
        <v>1.6007516666666699</v>
      </c>
      <c r="EB17">
        <v>15.5987166666667</v>
      </c>
      <c r="EC17">
        <v>13.9660666666667</v>
      </c>
      <c r="ED17">
        <v>1499.9949999999999</v>
      </c>
      <c r="EE17">
        <v>0.97300166666666699</v>
      </c>
      <c r="EF17">
        <v>2.6998316666666699E-2</v>
      </c>
      <c r="EG17">
        <v>0</v>
      </c>
      <c r="EH17">
        <v>363.50200000000001</v>
      </c>
      <c r="EI17">
        <v>5.0006399999999998</v>
      </c>
      <c r="EJ17">
        <v>5620.9483333333301</v>
      </c>
      <c r="EK17">
        <v>15439.1833333333</v>
      </c>
      <c r="EL17">
        <v>41.186999999999998</v>
      </c>
      <c r="EM17">
        <v>41.926666666666698</v>
      </c>
      <c r="EN17">
        <v>41.561999999999998</v>
      </c>
      <c r="EO17">
        <v>41.561999999999998</v>
      </c>
      <c r="EP17">
        <v>42.718499999999999</v>
      </c>
      <c r="EQ17">
        <v>1454.635</v>
      </c>
      <c r="ER17">
        <v>40.36</v>
      </c>
      <c r="ES17">
        <v>0</v>
      </c>
      <c r="ET17">
        <v>1791612488.0999999</v>
      </c>
      <c r="EU17">
        <v>0</v>
      </c>
      <c r="EV17">
        <v>363.50461538461502</v>
      </c>
      <c r="EW17">
        <v>0.65196582464931696</v>
      </c>
      <c r="EX17">
        <v>6.4068376072428803</v>
      </c>
      <c r="EY17">
        <v>5620.5484615384603</v>
      </c>
      <c r="EZ17">
        <v>15</v>
      </c>
      <c r="FA17">
        <v>1791612433</v>
      </c>
      <c r="FB17" t="s">
        <v>418</v>
      </c>
      <c r="FC17">
        <v>1791612433</v>
      </c>
      <c r="FD17">
        <v>1791612419</v>
      </c>
      <c r="FE17">
        <v>68</v>
      </c>
      <c r="FF17">
        <v>8.0000000000000002E-3</v>
      </c>
      <c r="FG17">
        <v>-2E-3</v>
      </c>
      <c r="FH17">
        <v>0.81699999999999995</v>
      </c>
      <c r="FI17">
        <v>-0.17599999999999999</v>
      </c>
      <c r="FJ17">
        <v>400</v>
      </c>
      <c r="FK17">
        <v>16</v>
      </c>
      <c r="FL17">
        <v>0.32</v>
      </c>
      <c r="FM17">
        <v>0.03</v>
      </c>
      <c r="FN17">
        <v>19.9375962047333</v>
      </c>
      <c r="FO17">
        <v>0.52894065339168495</v>
      </c>
      <c r="FP17">
        <v>9.93163384459404E-2</v>
      </c>
      <c r="FQ17">
        <v>1</v>
      </c>
      <c r="FR17">
        <v>-8.6702914285714296</v>
      </c>
      <c r="FS17">
        <v>-0.19187688311686801</v>
      </c>
      <c r="FT17">
        <v>4.3041810822867899E-2</v>
      </c>
      <c r="FU17">
        <v>1</v>
      </c>
      <c r="FV17">
        <v>363.42476470588201</v>
      </c>
      <c r="FW17">
        <v>0.94921314306640303</v>
      </c>
      <c r="FX17">
        <v>0.205635036329152</v>
      </c>
      <c r="FY17">
        <v>-1</v>
      </c>
      <c r="FZ17">
        <v>2</v>
      </c>
      <c r="GA17">
        <v>2</v>
      </c>
      <c r="GB17" t="s">
        <v>419</v>
      </c>
      <c r="GC17">
        <v>3.1230799999999999</v>
      </c>
      <c r="GD17">
        <v>2.7652999999999999</v>
      </c>
      <c r="GE17">
        <v>8.6099200000000001E-2</v>
      </c>
      <c r="GF17">
        <v>8.9842599999999995E-2</v>
      </c>
      <c r="GG17">
        <v>9.3563999999999994E-2</v>
      </c>
      <c r="GH17">
        <v>8.9695300000000006E-2</v>
      </c>
      <c r="GI17">
        <v>17776.900000000001</v>
      </c>
      <c r="GJ17">
        <v>26697.4</v>
      </c>
      <c r="GK17">
        <v>22732.3</v>
      </c>
      <c r="GL17">
        <v>30059.4</v>
      </c>
      <c r="GM17">
        <v>33808.6</v>
      </c>
      <c r="GN17">
        <v>34095.199999999997</v>
      </c>
      <c r="GO17">
        <v>43022.3</v>
      </c>
      <c r="GP17">
        <v>42819.3</v>
      </c>
      <c r="GQ17">
        <v>1.9641999999999999</v>
      </c>
      <c r="GR17">
        <v>1.7944</v>
      </c>
      <c r="GS17">
        <v>5.4962900000000002E-2</v>
      </c>
      <c r="GT17">
        <v>0</v>
      </c>
      <c r="GU17">
        <v>24.077300000000001</v>
      </c>
      <c r="GV17">
        <v>999.9</v>
      </c>
      <c r="GW17">
        <v>38.866</v>
      </c>
      <c r="GX17">
        <v>33.475000000000001</v>
      </c>
      <c r="GY17">
        <v>19.943000000000001</v>
      </c>
      <c r="GZ17">
        <v>62.993400000000001</v>
      </c>
      <c r="HA17">
        <v>34.447099999999999</v>
      </c>
      <c r="HB17">
        <v>1</v>
      </c>
      <c r="HC17">
        <v>0.12545500000000001</v>
      </c>
      <c r="HD17">
        <v>2.3073100000000002</v>
      </c>
      <c r="HE17">
        <v>20.142099999999999</v>
      </c>
      <c r="HF17">
        <v>5.2339099999999998</v>
      </c>
      <c r="HG17">
        <v>11.962</v>
      </c>
      <c r="HH17">
        <v>4.9676</v>
      </c>
      <c r="HI17">
        <v>3.2953000000000001</v>
      </c>
      <c r="HJ17">
        <v>9999</v>
      </c>
      <c r="HK17">
        <v>9999</v>
      </c>
      <c r="HL17">
        <v>999.9</v>
      </c>
      <c r="HM17">
        <v>9999</v>
      </c>
      <c r="HN17">
        <v>4.9697100000000001</v>
      </c>
      <c r="HO17">
        <v>1.8641099999999999</v>
      </c>
      <c r="HP17">
        <v>1.86555</v>
      </c>
      <c r="HQ17">
        <v>1.86737</v>
      </c>
      <c r="HR17">
        <v>1.8643700000000001</v>
      </c>
      <c r="HS17">
        <v>1.86812</v>
      </c>
      <c r="HT17">
        <v>1.8648400000000001</v>
      </c>
      <c r="HU17">
        <v>1.86676</v>
      </c>
      <c r="HV17">
        <v>0</v>
      </c>
      <c r="HW17">
        <v>0</v>
      </c>
      <c r="HX17">
        <v>0</v>
      </c>
      <c r="HY17">
        <v>0</v>
      </c>
      <c r="HZ17" t="s">
        <v>420</v>
      </c>
      <c r="IA17" t="s">
        <v>421</v>
      </c>
      <c r="IB17" t="s">
        <v>422</v>
      </c>
      <c r="IC17" t="s">
        <v>422</v>
      </c>
      <c r="ID17" t="s">
        <v>422</v>
      </c>
      <c r="IE17" t="s">
        <v>422</v>
      </c>
      <c r="IF17">
        <v>0</v>
      </c>
      <c r="IG17">
        <v>100</v>
      </c>
      <c r="IH17">
        <v>100</v>
      </c>
      <c r="II17">
        <v>0.81200000000000006</v>
      </c>
      <c r="IJ17">
        <v>-0.13550000000000001</v>
      </c>
      <c r="IK17">
        <v>0.41846846433455498</v>
      </c>
      <c r="IL17">
        <v>1.61658254425633E-3</v>
      </c>
      <c r="IM17">
        <v>-1.89604851270483E-6</v>
      </c>
      <c r="IN17">
        <v>8.6681353432279101E-10</v>
      </c>
      <c r="IO17">
        <v>-7.0472133821668295E-2</v>
      </c>
      <c r="IP17">
        <v>-3.5871989026399903E-2</v>
      </c>
      <c r="IQ17">
        <v>1.9028800927848801E-3</v>
      </c>
      <c r="IR17">
        <v>-4.7539144078026999E-6</v>
      </c>
      <c r="IS17">
        <v>1</v>
      </c>
      <c r="IT17">
        <v>1704</v>
      </c>
      <c r="IU17">
        <v>4</v>
      </c>
      <c r="IV17">
        <v>25</v>
      </c>
      <c r="IW17">
        <v>0.9</v>
      </c>
      <c r="IX17">
        <v>1.1000000000000001</v>
      </c>
      <c r="IY17">
        <v>1.0522499999999999</v>
      </c>
      <c r="IZ17">
        <v>2.5683600000000002</v>
      </c>
      <c r="JA17">
        <v>1.3476600000000001</v>
      </c>
      <c r="JB17">
        <v>2.2607400000000002</v>
      </c>
      <c r="JC17">
        <v>1.5502899999999999</v>
      </c>
      <c r="JD17">
        <v>2.4377399999999998</v>
      </c>
      <c r="JE17">
        <v>39.516599999999997</v>
      </c>
      <c r="JF17">
        <v>23.9649</v>
      </c>
      <c r="JG17">
        <v>18</v>
      </c>
      <c r="JH17">
        <v>502.24799999999999</v>
      </c>
      <c r="JI17">
        <v>469.57400000000001</v>
      </c>
      <c r="JJ17">
        <v>21.596399999999999</v>
      </c>
      <c r="JK17">
        <v>28.847899999999999</v>
      </c>
      <c r="JL17">
        <v>29.9999</v>
      </c>
      <c r="JM17">
        <v>28.837</v>
      </c>
      <c r="JN17">
        <v>28.850200000000001</v>
      </c>
      <c r="JO17">
        <v>21.075099999999999</v>
      </c>
      <c r="JP17">
        <v>27.681000000000001</v>
      </c>
      <c r="JQ17">
        <v>35.206299999999999</v>
      </c>
      <c r="JR17">
        <v>21.617799999999999</v>
      </c>
      <c r="JS17">
        <v>400</v>
      </c>
      <c r="JT17">
        <v>15.8223</v>
      </c>
      <c r="JU17">
        <v>101.577</v>
      </c>
      <c r="JV17">
        <v>97.226399999999998</v>
      </c>
    </row>
    <row r="18" spans="1:282" x14ac:dyDescent="0.3">
      <c r="A18">
        <v>2</v>
      </c>
      <c r="B18">
        <v>1791612608</v>
      </c>
      <c r="C18">
        <v>121</v>
      </c>
      <c r="D18" t="s">
        <v>423</v>
      </c>
      <c r="E18" t="s">
        <v>424</v>
      </c>
      <c r="F18">
        <v>5</v>
      </c>
      <c r="G18">
        <v>1791612605</v>
      </c>
      <c r="H18">
        <f t="shared" si="0"/>
        <v>4.5551094840377204E-3</v>
      </c>
      <c r="I18">
        <f t="shared" si="1"/>
        <v>4.55510948403772</v>
      </c>
      <c r="J18">
        <f t="shared" si="2"/>
        <v>14.845524813132927</v>
      </c>
      <c r="K18">
        <f t="shared" si="3"/>
        <v>293.54660000000001</v>
      </c>
      <c r="L18">
        <f t="shared" si="4"/>
        <v>214.5081213745629</v>
      </c>
      <c r="M18">
        <f t="shared" si="5"/>
        <v>21.710884387939405</v>
      </c>
      <c r="N18">
        <f t="shared" si="6"/>
        <v>29.710559461495727</v>
      </c>
      <c r="O18">
        <f t="shared" si="7"/>
        <v>0.3412312222133112</v>
      </c>
      <c r="P18">
        <f t="shared" si="8"/>
        <v>3.0296895208179397</v>
      </c>
      <c r="Q18">
        <f t="shared" si="9"/>
        <v>0.32122729382318738</v>
      </c>
      <c r="R18">
        <f t="shared" si="10"/>
        <v>0.20246653947934751</v>
      </c>
      <c r="S18">
        <f t="shared" si="11"/>
        <v>241.7263094029031</v>
      </c>
      <c r="T18">
        <f t="shared" si="12"/>
        <v>25.511769744155288</v>
      </c>
      <c r="U18">
        <f t="shared" si="13"/>
        <v>24.996459999999999</v>
      </c>
      <c r="V18">
        <f t="shared" si="14"/>
        <v>3.1790065758723154</v>
      </c>
      <c r="W18">
        <f t="shared" si="15"/>
        <v>55.028108578519387</v>
      </c>
      <c r="X18">
        <f t="shared" si="16"/>
        <v>1.7789336467515533</v>
      </c>
      <c r="Y18">
        <f t="shared" si="17"/>
        <v>3.2327726551117055</v>
      </c>
      <c r="Z18">
        <f t="shared" si="18"/>
        <v>1.4000729291207621</v>
      </c>
      <c r="AA18">
        <f t="shared" si="19"/>
        <v>-200.88032824606347</v>
      </c>
      <c r="AB18">
        <f t="shared" si="20"/>
        <v>45.995592599288592</v>
      </c>
      <c r="AC18">
        <f t="shared" si="21"/>
        <v>3.2157195498849527</v>
      </c>
      <c r="AD18">
        <f t="shared" si="22"/>
        <v>90.057293306013179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53781.734541403479</v>
      </c>
      <c r="AJ18" t="s">
        <v>416</v>
      </c>
      <c r="AK18" t="s">
        <v>416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416</v>
      </c>
      <c r="AQ18" t="s">
        <v>416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1261.1553594833695</v>
      </c>
      <c r="AW18">
        <f t="shared" si="29"/>
        <v>14.845524813132927</v>
      </c>
      <c r="AX18" t="e">
        <f t="shared" si="30"/>
        <v>#DIV/0!</v>
      </c>
      <c r="AY18">
        <f t="shared" si="31"/>
        <v>1.177136877031104E-2</v>
      </c>
      <c r="AZ18" t="e">
        <f t="shared" si="32"/>
        <v>#DIV/0!</v>
      </c>
      <c r="BA18" t="e">
        <f t="shared" si="33"/>
        <v>#DIV/0!</v>
      </c>
      <c r="BB18" t="s">
        <v>416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CT18">
        <f t="shared" si="42"/>
        <v>1499.934</v>
      </c>
      <c r="CU18">
        <f t="shared" si="43"/>
        <v>1261.1553594833695</v>
      </c>
      <c r="CV18">
        <f t="shared" si="44"/>
        <v>0.8408072351739273</v>
      </c>
      <c r="CW18">
        <f t="shared" si="45"/>
        <v>0.16115796388567971</v>
      </c>
      <c r="CX18">
        <v>2</v>
      </c>
      <c r="CY18">
        <v>0.5</v>
      </c>
      <c r="CZ18" t="s">
        <v>417</v>
      </c>
      <c r="DA18">
        <v>2</v>
      </c>
      <c r="DB18">
        <v>1791612605</v>
      </c>
      <c r="DC18">
        <v>293.54660000000001</v>
      </c>
      <c r="DD18">
        <v>300.0188</v>
      </c>
      <c r="DE18">
        <v>17.576239999999999</v>
      </c>
      <c r="DF18">
        <v>15.78646</v>
      </c>
      <c r="DG18">
        <v>292.90679999999998</v>
      </c>
      <c r="DH18">
        <v>17.713000000000001</v>
      </c>
      <c r="DI18">
        <v>500.0668</v>
      </c>
      <c r="DJ18">
        <v>101.11239999999999</v>
      </c>
      <c r="DK18">
        <v>0.10001214</v>
      </c>
      <c r="DL18">
        <v>25.27806</v>
      </c>
      <c r="DM18">
        <v>24.996459999999999</v>
      </c>
      <c r="DN18">
        <v>999.9</v>
      </c>
      <c r="DO18">
        <v>0</v>
      </c>
      <c r="DP18">
        <v>0</v>
      </c>
      <c r="DQ18">
        <v>10001.494000000001</v>
      </c>
      <c r="DR18">
        <v>0</v>
      </c>
      <c r="DS18">
        <v>6.9836900000000002</v>
      </c>
      <c r="DT18">
        <v>-6.472334</v>
      </c>
      <c r="DU18">
        <v>298.79820000000001</v>
      </c>
      <c r="DV18">
        <v>304.83100000000002</v>
      </c>
      <c r="DW18">
        <v>1.789806</v>
      </c>
      <c r="DX18">
        <v>300.0188</v>
      </c>
      <c r="DY18">
        <v>15.78646</v>
      </c>
      <c r="DZ18">
        <v>1.7771760000000001</v>
      </c>
      <c r="EA18">
        <v>1.5962019999999999</v>
      </c>
      <c r="EB18">
        <v>15.58746</v>
      </c>
      <c r="EC18">
        <v>13.922180000000001</v>
      </c>
      <c r="ED18">
        <v>1499.934</v>
      </c>
      <c r="EE18">
        <v>0.97300059999999999</v>
      </c>
      <c r="EF18">
        <v>2.699932E-2</v>
      </c>
      <c r="EG18">
        <v>0</v>
      </c>
      <c r="EH18">
        <v>362.35039999999998</v>
      </c>
      <c r="EI18">
        <v>5.0006399999999998</v>
      </c>
      <c r="EJ18">
        <v>5601.0460000000003</v>
      </c>
      <c r="EK18">
        <v>15438.56</v>
      </c>
      <c r="EL18">
        <v>41.186999999999998</v>
      </c>
      <c r="EM18">
        <v>41.936999999999998</v>
      </c>
      <c r="EN18">
        <v>41.561999999999998</v>
      </c>
      <c r="EO18">
        <v>41.561999999999998</v>
      </c>
      <c r="EP18">
        <v>42.724800000000002</v>
      </c>
      <c r="EQ18">
        <v>1454.5740000000001</v>
      </c>
      <c r="ER18">
        <v>40.36</v>
      </c>
      <c r="ES18">
        <v>0</v>
      </c>
      <c r="ET18">
        <v>1791612608.7</v>
      </c>
      <c r="EU18">
        <v>0</v>
      </c>
      <c r="EV18">
        <v>362.31623999999999</v>
      </c>
      <c r="EW18">
        <v>-0.21461537837958999</v>
      </c>
      <c r="EX18">
        <v>-2.6015384680242599</v>
      </c>
      <c r="EY18">
        <v>5601.0888000000004</v>
      </c>
      <c r="EZ18">
        <v>15</v>
      </c>
      <c r="FA18">
        <v>1791612555</v>
      </c>
      <c r="FB18" t="s">
        <v>425</v>
      </c>
      <c r="FC18">
        <v>1791612555</v>
      </c>
      <c r="FD18">
        <v>1791612549</v>
      </c>
      <c r="FE18">
        <v>69</v>
      </c>
      <c r="FF18">
        <v>-0.111</v>
      </c>
      <c r="FG18">
        <v>-1E-3</v>
      </c>
      <c r="FH18">
        <v>0.64400000000000002</v>
      </c>
      <c r="FI18">
        <v>-0.17899999999999999</v>
      </c>
      <c r="FJ18">
        <v>300</v>
      </c>
      <c r="FK18">
        <v>16</v>
      </c>
      <c r="FL18">
        <v>0.28999999999999998</v>
      </c>
      <c r="FM18">
        <v>0.04</v>
      </c>
      <c r="FN18">
        <v>14.8432439985367</v>
      </c>
      <c r="FO18">
        <v>0.16473716613994699</v>
      </c>
      <c r="FP18">
        <v>5.8622335562718203E-2</v>
      </c>
      <c r="FQ18">
        <v>1</v>
      </c>
      <c r="FR18">
        <v>-6.4705079999999997</v>
      </c>
      <c r="FS18">
        <v>-5.9356691729318303E-2</v>
      </c>
      <c r="FT18">
        <v>2.30100611907052E-2</v>
      </c>
      <c r="FU18">
        <v>1</v>
      </c>
      <c r="FV18">
        <v>362.37597058823502</v>
      </c>
      <c r="FW18">
        <v>-0.84857142687617404</v>
      </c>
      <c r="FX18">
        <v>0.22247848346645799</v>
      </c>
      <c r="FY18">
        <v>-1</v>
      </c>
      <c r="FZ18">
        <v>2</v>
      </c>
      <c r="GA18">
        <v>2</v>
      </c>
      <c r="GB18" t="s">
        <v>419</v>
      </c>
      <c r="GC18">
        <v>3.12338</v>
      </c>
      <c r="GD18">
        <v>2.76498</v>
      </c>
      <c r="GE18">
        <v>6.8587999999999996E-2</v>
      </c>
      <c r="GF18">
        <v>7.1651000000000006E-2</v>
      </c>
      <c r="GG18">
        <v>9.3536800000000003E-2</v>
      </c>
      <c r="GH18">
        <v>8.9499800000000004E-2</v>
      </c>
      <c r="GI18">
        <v>18117.7</v>
      </c>
      <c r="GJ18">
        <v>27231.8</v>
      </c>
      <c r="GK18">
        <v>22732.400000000001</v>
      </c>
      <c r="GL18">
        <v>30060.3</v>
      </c>
      <c r="GM18">
        <v>33808.400000000001</v>
      </c>
      <c r="GN18">
        <v>34102.300000000003</v>
      </c>
      <c r="GO18">
        <v>43022</v>
      </c>
      <c r="GP18">
        <v>42820.6</v>
      </c>
      <c r="GQ18">
        <v>1.9641500000000001</v>
      </c>
      <c r="GR18">
        <v>1.7937000000000001</v>
      </c>
      <c r="GS18">
        <v>5.5968799999999999E-2</v>
      </c>
      <c r="GT18">
        <v>0</v>
      </c>
      <c r="GU18">
        <v>24.081299999999999</v>
      </c>
      <c r="GV18">
        <v>999.9</v>
      </c>
      <c r="GW18">
        <v>38.597000000000001</v>
      </c>
      <c r="GX18">
        <v>33.536000000000001</v>
      </c>
      <c r="GY18">
        <v>19.874300000000002</v>
      </c>
      <c r="GZ18">
        <v>63.163400000000003</v>
      </c>
      <c r="HA18">
        <v>33.854199999999999</v>
      </c>
      <c r="HB18">
        <v>1</v>
      </c>
      <c r="HC18">
        <v>0.12557699999999999</v>
      </c>
      <c r="HD18">
        <v>2.4476800000000001</v>
      </c>
      <c r="HE18">
        <v>20.1401</v>
      </c>
      <c r="HF18">
        <v>5.2345100000000002</v>
      </c>
      <c r="HG18">
        <v>11.962</v>
      </c>
      <c r="HH18">
        <v>4.9688499999999998</v>
      </c>
      <c r="HI18">
        <v>3.29542</v>
      </c>
      <c r="HJ18">
        <v>9999</v>
      </c>
      <c r="HK18">
        <v>9999</v>
      </c>
      <c r="HL18">
        <v>999.9</v>
      </c>
      <c r="HM18">
        <v>9999</v>
      </c>
      <c r="HN18">
        <v>4.9697300000000002</v>
      </c>
      <c r="HO18">
        <v>1.8641000000000001</v>
      </c>
      <c r="HP18">
        <v>1.86561</v>
      </c>
      <c r="HQ18">
        <v>1.8673900000000001</v>
      </c>
      <c r="HR18">
        <v>1.86443</v>
      </c>
      <c r="HS18">
        <v>1.8681300000000001</v>
      </c>
      <c r="HT18">
        <v>1.8648800000000001</v>
      </c>
      <c r="HU18">
        <v>1.86676</v>
      </c>
      <c r="HV18">
        <v>0</v>
      </c>
      <c r="HW18">
        <v>0</v>
      </c>
      <c r="HX18">
        <v>0</v>
      </c>
      <c r="HY18">
        <v>0</v>
      </c>
      <c r="HZ18" t="s">
        <v>420</v>
      </c>
      <c r="IA18" t="s">
        <v>421</v>
      </c>
      <c r="IB18" t="s">
        <v>422</v>
      </c>
      <c r="IC18" t="s">
        <v>422</v>
      </c>
      <c r="ID18" t="s">
        <v>422</v>
      </c>
      <c r="IE18" t="s">
        <v>422</v>
      </c>
      <c r="IF18">
        <v>0</v>
      </c>
      <c r="IG18">
        <v>100</v>
      </c>
      <c r="IH18">
        <v>100</v>
      </c>
      <c r="II18">
        <v>0.63900000000000001</v>
      </c>
      <c r="IJ18">
        <v>-0.13700000000000001</v>
      </c>
      <c r="IK18">
        <v>0.30703638298588398</v>
      </c>
      <c r="IL18">
        <v>1.61658254425633E-3</v>
      </c>
      <c r="IM18">
        <v>-1.89604851270483E-6</v>
      </c>
      <c r="IN18">
        <v>8.6681353432279101E-10</v>
      </c>
      <c r="IO18">
        <v>-7.1954382282674895E-2</v>
      </c>
      <c r="IP18">
        <v>-3.5871989026399903E-2</v>
      </c>
      <c r="IQ18">
        <v>1.9028800927848801E-3</v>
      </c>
      <c r="IR18">
        <v>-4.7539144078026999E-6</v>
      </c>
      <c r="IS18">
        <v>1</v>
      </c>
      <c r="IT18">
        <v>1704</v>
      </c>
      <c r="IU18">
        <v>4</v>
      </c>
      <c r="IV18">
        <v>25</v>
      </c>
      <c r="IW18">
        <v>0.9</v>
      </c>
      <c r="IX18">
        <v>1</v>
      </c>
      <c r="IY18">
        <v>0.84472700000000001</v>
      </c>
      <c r="IZ18">
        <v>2.5610400000000002</v>
      </c>
      <c r="JA18">
        <v>1.3464400000000001</v>
      </c>
      <c r="JB18">
        <v>2.2595200000000002</v>
      </c>
      <c r="JC18">
        <v>1.5502899999999999</v>
      </c>
      <c r="JD18">
        <v>2.7429199999999998</v>
      </c>
      <c r="JE18">
        <v>39.566600000000001</v>
      </c>
      <c r="JF18">
        <v>23.973700000000001</v>
      </c>
      <c r="JG18">
        <v>18</v>
      </c>
      <c r="JH18">
        <v>502.23899999999998</v>
      </c>
      <c r="JI18">
        <v>469.113</v>
      </c>
      <c r="JJ18">
        <v>21.709199999999999</v>
      </c>
      <c r="JK18">
        <v>28.850300000000001</v>
      </c>
      <c r="JL18">
        <v>30.000499999999999</v>
      </c>
      <c r="JM18">
        <v>28.839500000000001</v>
      </c>
      <c r="JN18">
        <v>28.852699999999999</v>
      </c>
      <c r="JO18">
        <v>16.938300000000002</v>
      </c>
      <c r="JP18">
        <v>27.426400000000001</v>
      </c>
      <c r="JQ18">
        <v>34.460999999999999</v>
      </c>
      <c r="JR18">
        <v>21.706600000000002</v>
      </c>
      <c r="JS18">
        <v>300</v>
      </c>
      <c r="JT18">
        <v>15.8018</v>
      </c>
      <c r="JU18">
        <v>101.577</v>
      </c>
      <c r="JV18">
        <v>97.229200000000006</v>
      </c>
    </row>
    <row r="19" spans="1:282" x14ac:dyDescent="0.3">
      <c r="A19">
        <v>3</v>
      </c>
      <c r="B19">
        <v>1791612729</v>
      </c>
      <c r="C19">
        <v>242</v>
      </c>
      <c r="D19" t="s">
        <v>426</v>
      </c>
      <c r="E19" t="s">
        <v>427</v>
      </c>
      <c r="F19">
        <v>5</v>
      </c>
      <c r="G19">
        <v>1791612726</v>
      </c>
      <c r="H19">
        <f t="shared" si="0"/>
        <v>4.4747390935091415E-3</v>
      </c>
      <c r="I19">
        <f t="shared" si="1"/>
        <v>4.4747390935091413</v>
      </c>
      <c r="J19">
        <f t="shared" si="2"/>
        <v>8.8338486187185445</v>
      </c>
      <c r="K19">
        <f t="shared" si="3"/>
        <v>196.07759999999999</v>
      </c>
      <c r="L19">
        <f t="shared" si="4"/>
        <v>148.00290974715668</v>
      </c>
      <c r="M19">
        <f t="shared" si="5"/>
        <v>14.980171349095921</v>
      </c>
      <c r="N19">
        <f t="shared" si="6"/>
        <v>19.846069585641501</v>
      </c>
      <c r="O19">
        <f t="shared" si="7"/>
        <v>0.33642924071680197</v>
      </c>
      <c r="P19">
        <f t="shared" si="8"/>
        <v>3.031743446836126</v>
      </c>
      <c r="Q19">
        <f t="shared" si="9"/>
        <v>0.31697949643029566</v>
      </c>
      <c r="R19">
        <f t="shared" si="10"/>
        <v>0.19976590223148916</v>
      </c>
      <c r="S19">
        <f t="shared" si="11"/>
        <v>241.7381198029523</v>
      </c>
      <c r="T19">
        <f t="shared" si="12"/>
        <v>25.492122839156195</v>
      </c>
      <c r="U19">
        <f t="shared" si="13"/>
        <v>24.99044</v>
      </c>
      <c r="V19">
        <f t="shared" si="14"/>
        <v>3.1778657569346804</v>
      </c>
      <c r="W19">
        <f t="shared" si="15"/>
        <v>55.317376590125718</v>
      </c>
      <c r="X19">
        <f t="shared" si="16"/>
        <v>1.7840506993965712</v>
      </c>
      <c r="Y19">
        <f t="shared" si="17"/>
        <v>3.2251180539805793</v>
      </c>
      <c r="Z19">
        <f t="shared" si="18"/>
        <v>1.3938150575381092</v>
      </c>
      <c r="AA19">
        <f t="shared" si="19"/>
        <v>-197.33599402375313</v>
      </c>
      <c r="AB19">
        <f t="shared" si="20"/>
        <v>40.498985053450163</v>
      </c>
      <c r="AC19">
        <f t="shared" si="21"/>
        <v>2.8288605057566789</v>
      </c>
      <c r="AD19">
        <f t="shared" si="22"/>
        <v>87.729971338405988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53853.052501441809</v>
      </c>
      <c r="AJ19" t="s">
        <v>416</v>
      </c>
      <c r="AK19" t="s">
        <v>416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416</v>
      </c>
      <c r="AQ19" t="s">
        <v>416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1261.2175194833951</v>
      </c>
      <c r="AW19">
        <f t="shared" si="29"/>
        <v>8.8338486187185445</v>
      </c>
      <c r="AX19" t="e">
        <f t="shared" si="30"/>
        <v>#DIV/0!</v>
      </c>
      <c r="AY19">
        <f t="shared" si="31"/>
        <v>7.0042228895908143E-3</v>
      </c>
      <c r="AZ19" t="e">
        <f t="shared" si="32"/>
        <v>#DIV/0!</v>
      </c>
      <c r="BA19" t="e">
        <f t="shared" si="33"/>
        <v>#DIV/0!</v>
      </c>
      <c r="BB19" t="s">
        <v>416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CT19">
        <f t="shared" si="42"/>
        <v>1500.008</v>
      </c>
      <c r="CU19">
        <f t="shared" si="43"/>
        <v>1261.2175194833951</v>
      </c>
      <c r="CV19">
        <f t="shared" si="44"/>
        <v>0.84080719535055481</v>
      </c>
      <c r="CW19">
        <f t="shared" si="45"/>
        <v>0.16115788702657072</v>
      </c>
      <c r="CX19">
        <v>2</v>
      </c>
      <c r="CY19">
        <v>0.5</v>
      </c>
      <c r="CZ19" t="s">
        <v>417</v>
      </c>
      <c r="DA19">
        <v>2</v>
      </c>
      <c r="DB19">
        <v>1791612726</v>
      </c>
      <c r="DC19">
        <v>196.07759999999999</v>
      </c>
      <c r="DD19">
        <v>199.96119999999999</v>
      </c>
      <c r="DE19">
        <v>17.626280000000001</v>
      </c>
      <c r="DF19">
        <v>15.86834</v>
      </c>
      <c r="DG19">
        <v>195.61439999999999</v>
      </c>
      <c r="DH19">
        <v>17.764299999999999</v>
      </c>
      <c r="DI19">
        <v>500.11559999999997</v>
      </c>
      <c r="DJ19">
        <v>101.11539999999999</v>
      </c>
      <c r="DK19">
        <v>9.9984039999999996E-2</v>
      </c>
      <c r="DL19">
        <v>25.238219999999998</v>
      </c>
      <c r="DM19">
        <v>24.99044</v>
      </c>
      <c r="DN19">
        <v>999.9</v>
      </c>
      <c r="DO19">
        <v>0</v>
      </c>
      <c r="DP19">
        <v>0</v>
      </c>
      <c r="DQ19">
        <v>10013.620000000001</v>
      </c>
      <c r="DR19">
        <v>0</v>
      </c>
      <c r="DS19">
        <v>6.9836900000000002</v>
      </c>
      <c r="DT19">
        <v>-3.8835600000000001</v>
      </c>
      <c r="DU19">
        <v>199.5958</v>
      </c>
      <c r="DV19">
        <v>203.18520000000001</v>
      </c>
      <c r="DW19">
        <v>1.757924</v>
      </c>
      <c r="DX19">
        <v>199.96119999999999</v>
      </c>
      <c r="DY19">
        <v>15.86834</v>
      </c>
      <c r="DZ19">
        <v>1.782286</v>
      </c>
      <c r="EA19">
        <v>1.604536</v>
      </c>
      <c r="EB19">
        <v>15.63232</v>
      </c>
      <c r="EC19">
        <v>14.002420000000001</v>
      </c>
      <c r="ED19">
        <v>1500.008</v>
      </c>
      <c r="EE19">
        <v>0.97300220000000004</v>
      </c>
      <c r="EF19">
        <v>2.6997759999999999E-2</v>
      </c>
      <c r="EG19">
        <v>0</v>
      </c>
      <c r="EH19">
        <v>362.5992</v>
      </c>
      <c r="EI19">
        <v>5.0006399999999998</v>
      </c>
      <c r="EJ19">
        <v>5605.6019999999999</v>
      </c>
      <c r="EK19">
        <v>15439.32</v>
      </c>
      <c r="EL19">
        <v>41.186999999999998</v>
      </c>
      <c r="EM19">
        <v>41.936999999999998</v>
      </c>
      <c r="EN19">
        <v>41.561999999999998</v>
      </c>
      <c r="EO19">
        <v>41.561999999999998</v>
      </c>
      <c r="EP19">
        <v>42.699599999999997</v>
      </c>
      <c r="EQ19">
        <v>1454.6479999999999</v>
      </c>
      <c r="ER19">
        <v>40.36</v>
      </c>
      <c r="ES19">
        <v>0</v>
      </c>
      <c r="ET19">
        <v>1791612729.9000001</v>
      </c>
      <c r="EU19">
        <v>0</v>
      </c>
      <c r="EV19">
        <v>362.649</v>
      </c>
      <c r="EW19">
        <v>-3.7230767998161197E-2</v>
      </c>
      <c r="EX19">
        <v>10.183076916167</v>
      </c>
      <c r="EY19">
        <v>5604.7808000000005</v>
      </c>
      <c r="EZ19">
        <v>15</v>
      </c>
      <c r="FA19">
        <v>1791612678</v>
      </c>
      <c r="FB19" t="s">
        <v>428</v>
      </c>
      <c r="FC19">
        <v>1791612678</v>
      </c>
      <c r="FD19">
        <v>1791612670</v>
      </c>
      <c r="FE19">
        <v>70</v>
      </c>
      <c r="FF19">
        <v>-9.4E-2</v>
      </c>
      <c r="FG19">
        <v>-3.0000000000000001E-3</v>
      </c>
      <c r="FH19">
        <v>0.46700000000000003</v>
      </c>
      <c r="FI19">
        <v>-0.182</v>
      </c>
      <c r="FJ19">
        <v>200</v>
      </c>
      <c r="FK19">
        <v>16</v>
      </c>
      <c r="FL19">
        <v>0.17</v>
      </c>
      <c r="FM19">
        <v>0.04</v>
      </c>
      <c r="FN19">
        <v>9.0038574663383297</v>
      </c>
      <c r="FO19">
        <v>-0.199425081774562</v>
      </c>
      <c r="FP19">
        <v>8.9272355208036905E-2</v>
      </c>
      <c r="FQ19">
        <v>1</v>
      </c>
      <c r="FR19">
        <v>-3.9493604761904799</v>
      </c>
      <c r="FS19">
        <v>0.18023610389610301</v>
      </c>
      <c r="FT19">
        <v>4.3820932644895602E-2</v>
      </c>
      <c r="FU19">
        <v>1</v>
      </c>
      <c r="FV19">
        <v>362.66500000000002</v>
      </c>
      <c r="FW19">
        <v>-0.38218487722824901</v>
      </c>
      <c r="FX19">
        <v>0.178482492138587</v>
      </c>
      <c r="FY19">
        <v>-1</v>
      </c>
      <c r="FZ19">
        <v>2</v>
      </c>
      <c r="GA19">
        <v>2</v>
      </c>
      <c r="GB19" t="s">
        <v>419</v>
      </c>
      <c r="GC19">
        <v>3.1231499999999999</v>
      </c>
      <c r="GD19">
        <v>2.7653500000000002</v>
      </c>
      <c r="GE19">
        <v>4.8791099999999997E-2</v>
      </c>
      <c r="GF19">
        <v>5.0972900000000002E-2</v>
      </c>
      <c r="GG19">
        <v>9.3785900000000005E-2</v>
      </c>
      <c r="GH19">
        <v>8.9849999999999999E-2</v>
      </c>
      <c r="GI19">
        <v>18504.099999999999</v>
      </c>
      <c r="GJ19">
        <v>27839.4</v>
      </c>
      <c r="GK19">
        <v>22734</v>
      </c>
      <c r="GL19">
        <v>30061.3</v>
      </c>
      <c r="GM19">
        <v>33799.5</v>
      </c>
      <c r="GN19">
        <v>34089.199999999997</v>
      </c>
      <c r="GO19">
        <v>43024.4</v>
      </c>
      <c r="GP19">
        <v>42822.5</v>
      </c>
      <c r="GQ19">
        <v>1.96445</v>
      </c>
      <c r="GR19">
        <v>1.7936300000000001</v>
      </c>
      <c r="GS19">
        <v>5.5130600000000002E-2</v>
      </c>
      <c r="GT19">
        <v>0</v>
      </c>
      <c r="GU19">
        <v>24.074400000000001</v>
      </c>
      <c r="GV19">
        <v>999.9</v>
      </c>
      <c r="GW19">
        <v>38.371000000000002</v>
      </c>
      <c r="GX19">
        <v>33.585999999999999</v>
      </c>
      <c r="GY19">
        <v>19.8125</v>
      </c>
      <c r="GZ19">
        <v>63.213500000000003</v>
      </c>
      <c r="HA19">
        <v>34.447099999999999</v>
      </c>
      <c r="HB19">
        <v>1</v>
      </c>
      <c r="HC19">
        <v>0.12443899999999999</v>
      </c>
      <c r="HD19">
        <v>2.1644600000000001</v>
      </c>
      <c r="HE19">
        <v>20.1433</v>
      </c>
      <c r="HF19">
        <v>5.2340600000000004</v>
      </c>
      <c r="HG19">
        <v>11.962199999999999</v>
      </c>
      <c r="HH19">
        <v>4.9676499999999999</v>
      </c>
      <c r="HI19">
        <v>3.2953000000000001</v>
      </c>
      <c r="HJ19">
        <v>9999</v>
      </c>
      <c r="HK19">
        <v>9999</v>
      </c>
      <c r="HL19">
        <v>999.9</v>
      </c>
      <c r="HM19">
        <v>9999</v>
      </c>
      <c r="HN19">
        <v>4.9697199999999997</v>
      </c>
      <c r="HO19">
        <v>1.86412</v>
      </c>
      <c r="HP19">
        <v>1.8655999999999999</v>
      </c>
      <c r="HQ19">
        <v>1.8673900000000001</v>
      </c>
      <c r="HR19">
        <v>1.86443</v>
      </c>
      <c r="HS19">
        <v>1.8681300000000001</v>
      </c>
      <c r="HT19">
        <v>1.8648899999999999</v>
      </c>
      <c r="HU19">
        <v>1.86676</v>
      </c>
      <c r="HV19">
        <v>0</v>
      </c>
      <c r="HW19">
        <v>0</v>
      </c>
      <c r="HX19">
        <v>0</v>
      </c>
      <c r="HY19">
        <v>0</v>
      </c>
      <c r="HZ19" t="s">
        <v>420</v>
      </c>
      <c r="IA19" t="s">
        <v>421</v>
      </c>
      <c r="IB19" t="s">
        <v>422</v>
      </c>
      <c r="IC19" t="s">
        <v>422</v>
      </c>
      <c r="ID19" t="s">
        <v>422</v>
      </c>
      <c r="IE19" t="s">
        <v>422</v>
      </c>
      <c r="IF19">
        <v>0</v>
      </c>
      <c r="IG19">
        <v>100</v>
      </c>
      <c r="IH19">
        <v>100</v>
      </c>
      <c r="II19">
        <v>0.46300000000000002</v>
      </c>
      <c r="IJ19">
        <v>-0.13800000000000001</v>
      </c>
      <c r="IK19">
        <v>0.21293065812484399</v>
      </c>
      <c r="IL19">
        <v>1.61658254425633E-3</v>
      </c>
      <c r="IM19">
        <v>-1.89604851270483E-6</v>
      </c>
      <c r="IN19">
        <v>8.6681353432279101E-10</v>
      </c>
      <c r="IO19">
        <v>-7.4613413233205694E-2</v>
      </c>
      <c r="IP19">
        <v>-3.5871989026399903E-2</v>
      </c>
      <c r="IQ19">
        <v>1.9028800927848801E-3</v>
      </c>
      <c r="IR19">
        <v>-4.7539144078026999E-6</v>
      </c>
      <c r="IS19">
        <v>1</v>
      </c>
      <c r="IT19">
        <v>1704</v>
      </c>
      <c r="IU19">
        <v>4</v>
      </c>
      <c r="IV19">
        <v>25</v>
      </c>
      <c r="IW19">
        <v>0.8</v>
      </c>
      <c r="IX19">
        <v>1</v>
      </c>
      <c r="IY19">
        <v>0.631104</v>
      </c>
      <c r="IZ19">
        <v>2.5854499999999998</v>
      </c>
      <c r="JA19">
        <v>1.3476600000000001</v>
      </c>
      <c r="JB19">
        <v>2.2607400000000002</v>
      </c>
      <c r="JC19">
        <v>1.5502899999999999</v>
      </c>
      <c r="JD19">
        <v>2.4560499999999998</v>
      </c>
      <c r="JE19">
        <v>39.616700000000002</v>
      </c>
      <c r="JF19">
        <v>23.9649</v>
      </c>
      <c r="JG19">
        <v>18</v>
      </c>
      <c r="JH19">
        <v>502.34300000000002</v>
      </c>
      <c r="JI19">
        <v>468.99799999999999</v>
      </c>
      <c r="JJ19">
        <v>21.388300000000001</v>
      </c>
      <c r="JK19">
        <v>28.8355</v>
      </c>
      <c r="JL19">
        <v>29.9998</v>
      </c>
      <c r="JM19">
        <v>28.829599999999999</v>
      </c>
      <c r="JN19">
        <v>28.845300000000002</v>
      </c>
      <c r="JO19">
        <v>12.6493</v>
      </c>
      <c r="JP19">
        <v>26.181899999999999</v>
      </c>
      <c r="JQ19">
        <v>34.089199999999998</v>
      </c>
      <c r="JR19">
        <v>21.560400000000001</v>
      </c>
      <c r="JS19">
        <v>200</v>
      </c>
      <c r="JT19">
        <v>15.831</v>
      </c>
      <c r="JU19">
        <v>101.583</v>
      </c>
      <c r="JV19">
        <v>97.233000000000004</v>
      </c>
    </row>
    <row r="20" spans="1:282" x14ac:dyDescent="0.3">
      <c r="A20">
        <v>4</v>
      </c>
      <c r="B20">
        <v>1791612850</v>
      </c>
      <c r="C20">
        <v>363</v>
      </c>
      <c r="D20" t="s">
        <v>429</v>
      </c>
      <c r="E20" t="s">
        <v>430</v>
      </c>
      <c r="F20">
        <v>5</v>
      </c>
      <c r="G20">
        <v>1791612846.5</v>
      </c>
      <c r="H20">
        <f t="shared" si="0"/>
        <v>4.7252038632445608E-3</v>
      </c>
      <c r="I20">
        <f t="shared" si="1"/>
        <v>4.7252038632445608</v>
      </c>
      <c r="J20">
        <f t="shared" si="2"/>
        <v>2.6445703594653951</v>
      </c>
      <c r="K20">
        <f t="shared" si="3"/>
        <v>98.747466666666696</v>
      </c>
      <c r="L20">
        <f t="shared" si="4"/>
        <v>84.13956339246478</v>
      </c>
      <c r="M20">
        <f t="shared" si="5"/>
        <v>8.5162519821651568</v>
      </c>
      <c r="N20">
        <f t="shared" si="6"/>
        <v>9.9948023834064834</v>
      </c>
      <c r="O20">
        <f t="shared" si="7"/>
        <v>0.35572550118248003</v>
      </c>
      <c r="P20">
        <f t="shared" si="8"/>
        <v>3.0299093896989571</v>
      </c>
      <c r="Q20">
        <f t="shared" si="9"/>
        <v>0.33404549716872195</v>
      </c>
      <c r="R20">
        <f t="shared" si="10"/>
        <v>0.21061609953190535</v>
      </c>
      <c r="S20">
        <f t="shared" si="11"/>
        <v>241.73019300291875</v>
      </c>
      <c r="T20">
        <f t="shared" si="12"/>
        <v>25.456717578859152</v>
      </c>
      <c r="U20">
        <f t="shared" si="13"/>
        <v>24.990883333333301</v>
      </c>
      <c r="V20">
        <f t="shared" si="14"/>
        <v>3.1779497585274861</v>
      </c>
      <c r="W20">
        <f t="shared" si="15"/>
        <v>55.140766129417941</v>
      </c>
      <c r="X20">
        <f t="shared" si="16"/>
        <v>1.7812881705526189</v>
      </c>
      <c r="Y20">
        <f t="shared" si="17"/>
        <v>3.2304378331847126</v>
      </c>
      <c r="Z20">
        <f t="shared" si="18"/>
        <v>1.3966615879748672</v>
      </c>
      <c r="AA20">
        <f t="shared" si="19"/>
        <v>-208.38149036908513</v>
      </c>
      <c r="AB20">
        <f t="shared" si="20"/>
        <v>44.926275578977027</v>
      </c>
      <c r="AC20">
        <f t="shared" si="21"/>
        <v>3.1404517401936198</v>
      </c>
      <c r="AD20">
        <f t="shared" si="22"/>
        <v>81.415429953004264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53790.85041138051</v>
      </c>
      <c r="AJ20" t="s">
        <v>416</v>
      </c>
      <c r="AK20" t="s">
        <v>416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416</v>
      </c>
      <c r="AQ20" t="s">
        <v>416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1261.1757994833752</v>
      </c>
      <c r="AW20">
        <f t="shared" si="29"/>
        <v>2.6445703594653951</v>
      </c>
      <c r="AX20" t="e">
        <f t="shared" si="30"/>
        <v>#DIV/0!</v>
      </c>
      <c r="AY20">
        <f t="shared" si="31"/>
        <v>2.0969085836793811E-3</v>
      </c>
      <c r="AZ20" t="e">
        <f t="shared" si="32"/>
        <v>#DIV/0!</v>
      </c>
      <c r="BA20" t="e">
        <f t="shared" si="33"/>
        <v>#DIV/0!</v>
      </c>
      <c r="BB20" t="s">
        <v>416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CT20">
        <f t="shared" si="42"/>
        <v>1499.9583333333301</v>
      </c>
      <c r="CU20">
        <f t="shared" si="43"/>
        <v>1261.1757994833752</v>
      </c>
      <c r="CV20">
        <f t="shared" si="44"/>
        <v>0.84080722207842074</v>
      </c>
      <c r="CW20">
        <f t="shared" si="45"/>
        <v>0.16115793861135205</v>
      </c>
      <c r="CX20">
        <v>2</v>
      </c>
      <c r="CY20">
        <v>0.5</v>
      </c>
      <c r="CZ20" t="s">
        <v>417</v>
      </c>
      <c r="DA20">
        <v>2</v>
      </c>
      <c r="DB20">
        <v>1791612846.5</v>
      </c>
      <c r="DC20">
        <v>98.747466666666696</v>
      </c>
      <c r="DD20">
        <v>99.991699999999994</v>
      </c>
      <c r="DE20">
        <v>17.5989166666667</v>
      </c>
      <c r="DF20">
        <v>15.74245</v>
      </c>
      <c r="DG20">
        <v>98.657749999999993</v>
      </c>
      <c r="DH20">
        <v>17.739316666666699</v>
      </c>
      <c r="DI20">
        <v>500.09466666666702</v>
      </c>
      <c r="DJ20">
        <v>101.115666666667</v>
      </c>
      <c r="DK20">
        <v>0.10011861666666701</v>
      </c>
      <c r="DL20">
        <v>25.265916666666701</v>
      </c>
      <c r="DM20">
        <v>24.990883333333301</v>
      </c>
      <c r="DN20">
        <v>999.9</v>
      </c>
      <c r="DO20">
        <v>0</v>
      </c>
      <c r="DP20">
        <v>0</v>
      </c>
      <c r="DQ20">
        <v>10002.5</v>
      </c>
      <c r="DR20">
        <v>0</v>
      </c>
      <c r="DS20">
        <v>6.9836900000000002</v>
      </c>
      <c r="DT20">
        <v>-1.2442599999999999</v>
      </c>
      <c r="DU20">
        <v>100.51649999999999</v>
      </c>
      <c r="DV20">
        <v>101.59099999999999</v>
      </c>
      <c r="DW20">
        <v>1.8564750000000001</v>
      </c>
      <c r="DX20">
        <v>99.991699999999994</v>
      </c>
      <c r="DY20">
        <v>15.74245</v>
      </c>
      <c r="DZ20">
        <v>1.77952666666667</v>
      </c>
      <c r="EA20">
        <v>1.5918066666666699</v>
      </c>
      <c r="EB20">
        <v>15.6081166666667</v>
      </c>
      <c r="EC20">
        <v>13.879716666666701</v>
      </c>
      <c r="ED20">
        <v>1499.9583333333301</v>
      </c>
      <c r="EE20">
        <v>0.973001</v>
      </c>
      <c r="EF20">
        <v>2.6998933333333301E-2</v>
      </c>
      <c r="EG20">
        <v>0</v>
      </c>
      <c r="EH20">
        <v>364.04416666666702</v>
      </c>
      <c r="EI20">
        <v>5.0006399999999998</v>
      </c>
      <c r="EJ20">
        <v>5623.9066666666704</v>
      </c>
      <c r="EK20">
        <v>15438.8</v>
      </c>
      <c r="EL20">
        <v>41.186999999999998</v>
      </c>
      <c r="EM20">
        <v>41.926666666666698</v>
      </c>
      <c r="EN20">
        <v>41.561999999999998</v>
      </c>
      <c r="EO20">
        <v>41.561999999999998</v>
      </c>
      <c r="EP20">
        <v>42.707999999999998</v>
      </c>
      <c r="EQ20">
        <v>1454.5983333333299</v>
      </c>
      <c r="ER20">
        <v>40.36</v>
      </c>
      <c r="ES20">
        <v>0</v>
      </c>
      <c r="ET20">
        <v>1791612851.0999999</v>
      </c>
      <c r="EU20">
        <v>0</v>
      </c>
      <c r="EV20">
        <v>364.05811999999997</v>
      </c>
      <c r="EW20">
        <v>6.7538472045664794E-2</v>
      </c>
      <c r="EX20">
        <v>6.2107692342904199</v>
      </c>
      <c r="EY20">
        <v>5623.2120000000004</v>
      </c>
      <c r="EZ20">
        <v>15</v>
      </c>
      <c r="FA20">
        <v>1791612798</v>
      </c>
      <c r="FB20" t="s">
        <v>431</v>
      </c>
      <c r="FC20">
        <v>1791612798</v>
      </c>
      <c r="FD20">
        <v>1791612791</v>
      </c>
      <c r="FE20">
        <v>71</v>
      </c>
      <c r="FF20">
        <v>-0.26500000000000001</v>
      </c>
      <c r="FG20">
        <v>-2E-3</v>
      </c>
      <c r="FH20">
        <v>9.0999999999999998E-2</v>
      </c>
      <c r="FI20">
        <v>-0.183</v>
      </c>
      <c r="FJ20">
        <v>100</v>
      </c>
      <c r="FK20">
        <v>16</v>
      </c>
      <c r="FL20">
        <v>0.22</v>
      </c>
      <c r="FM20">
        <v>0.03</v>
      </c>
      <c r="FN20">
        <v>2.6456663750177398</v>
      </c>
      <c r="FO20">
        <v>-0.26196936152962802</v>
      </c>
      <c r="FP20">
        <v>0.10315765852252599</v>
      </c>
      <c r="FQ20">
        <v>1</v>
      </c>
      <c r="FR20">
        <v>-1.247509</v>
      </c>
      <c r="FS20">
        <v>0.20595248120300699</v>
      </c>
      <c r="FT20">
        <v>4.0862074702589499E-2</v>
      </c>
      <c r="FU20">
        <v>1</v>
      </c>
      <c r="FV20">
        <v>364.06391176470601</v>
      </c>
      <c r="FW20">
        <v>6.3330793429705698E-2</v>
      </c>
      <c r="FX20">
        <v>0.20678482246714</v>
      </c>
      <c r="FY20">
        <v>-1</v>
      </c>
      <c r="FZ20">
        <v>2</v>
      </c>
      <c r="GA20">
        <v>2</v>
      </c>
      <c r="GB20" t="s">
        <v>419</v>
      </c>
      <c r="GC20">
        <v>3.1231399999999998</v>
      </c>
      <c r="GD20">
        <v>2.7652700000000001</v>
      </c>
      <c r="GE20">
        <v>2.61348E-2</v>
      </c>
      <c r="GF20">
        <v>2.7177400000000001E-2</v>
      </c>
      <c r="GG20">
        <v>9.3665799999999994E-2</v>
      </c>
      <c r="GH20">
        <v>8.9239799999999994E-2</v>
      </c>
      <c r="GI20">
        <v>18944.8</v>
      </c>
      <c r="GJ20">
        <v>28537.5</v>
      </c>
      <c r="GK20">
        <v>22733.8</v>
      </c>
      <c r="GL20">
        <v>30061.3</v>
      </c>
      <c r="GM20">
        <v>33802.1</v>
      </c>
      <c r="GN20">
        <v>34110.5</v>
      </c>
      <c r="GO20">
        <v>43023.7</v>
      </c>
      <c r="GP20">
        <v>42822.5</v>
      </c>
      <c r="GQ20">
        <v>1.9641999999999999</v>
      </c>
      <c r="GR20">
        <v>1.7927500000000001</v>
      </c>
      <c r="GS20">
        <v>5.4739400000000001E-2</v>
      </c>
      <c r="GT20">
        <v>0</v>
      </c>
      <c r="GU20">
        <v>24.0793</v>
      </c>
      <c r="GV20">
        <v>999.9</v>
      </c>
      <c r="GW20">
        <v>38.139000000000003</v>
      </c>
      <c r="GX20">
        <v>33.637</v>
      </c>
      <c r="GY20">
        <v>19.750399999999999</v>
      </c>
      <c r="GZ20">
        <v>63.083500000000001</v>
      </c>
      <c r="HA20">
        <v>34.262799999999999</v>
      </c>
      <c r="HB20">
        <v>1</v>
      </c>
      <c r="HC20">
        <v>0.12368899999999999</v>
      </c>
      <c r="HD20">
        <v>2.3912300000000002</v>
      </c>
      <c r="HE20">
        <v>20.140899999999998</v>
      </c>
      <c r="HF20">
        <v>5.2294200000000002</v>
      </c>
      <c r="HG20">
        <v>11.962300000000001</v>
      </c>
      <c r="HH20">
        <v>4.96915</v>
      </c>
      <c r="HI20">
        <v>3.2953999999999999</v>
      </c>
      <c r="HJ20">
        <v>9999</v>
      </c>
      <c r="HK20">
        <v>9999</v>
      </c>
      <c r="HL20">
        <v>999.9</v>
      </c>
      <c r="HM20">
        <v>9999</v>
      </c>
      <c r="HN20">
        <v>4.9697100000000001</v>
      </c>
      <c r="HO20">
        <v>1.8641300000000001</v>
      </c>
      <c r="HP20">
        <v>1.8656200000000001</v>
      </c>
      <c r="HQ20">
        <v>1.86737</v>
      </c>
      <c r="HR20">
        <v>1.86439</v>
      </c>
      <c r="HS20">
        <v>1.8681300000000001</v>
      </c>
      <c r="HT20">
        <v>1.8649</v>
      </c>
      <c r="HU20">
        <v>1.86676</v>
      </c>
      <c r="HV20">
        <v>0</v>
      </c>
      <c r="HW20">
        <v>0</v>
      </c>
      <c r="HX20">
        <v>0</v>
      </c>
      <c r="HY20">
        <v>0</v>
      </c>
      <c r="HZ20" t="s">
        <v>420</v>
      </c>
      <c r="IA20" t="s">
        <v>421</v>
      </c>
      <c r="IB20" t="s">
        <v>422</v>
      </c>
      <c r="IC20" t="s">
        <v>422</v>
      </c>
      <c r="ID20" t="s">
        <v>422</v>
      </c>
      <c r="IE20" t="s">
        <v>422</v>
      </c>
      <c r="IF20">
        <v>0</v>
      </c>
      <c r="IG20">
        <v>100</v>
      </c>
      <c r="IH20">
        <v>100</v>
      </c>
      <c r="II20">
        <v>0.09</v>
      </c>
      <c r="IJ20">
        <v>-0.14050000000000001</v>
      </c>
      <c r="IK20">
        <v>-5.2154120201380598E-2</v>
      </c>
      <c r="IL20">
        <v>1.61658254425633E-3</v>
      </c>
      <c r="IM20">
        <v>-1.89604851270483E-6</v>
      </c>
      <c r="IN20">
        <v>8.6681353432279101E-10</v>
      </c>
      <c r="IO20">
        <v>-7.6286455558013694E-2</v>
      </c>
      <c r="IP20">
        <v>-3.5871989026399903E-2</v>
      </c>
      <c r="IQ20">
        <v>1.9028800927848801E-3</v>
      </c>
      <c r="IR20">
        <v>-4.7539144078026999E-6</v>
      </c>
      <c r="IS20">
        <v>1</v>
      </c>
      <c r="IT20">
        <v>1704</v>
      </c>
      <c r="IU20">
        <v>4</v>
      </c>
      <c r="IV20">
        <v>25</v>
      </c>
      <c r="IW20">
        <v>0.9</v>
      </c>
      <c r="IX20">
        <v>1</v>
      </c>
      <c r="IY20">
        <v>0.41015600000000002</v>
      </c>
      <c r="IZ20">
        <v>2.5988799999999999</v>
      </c>
      <c r="JA20">
        <v>1.3464400000000001</v>
      </c>
      <c r="JB20">
        <v>2.2607400000000002</v>
      </c>
      <c r="JC20">
        <v>1.5502899999999999</v>
      </c>
      <c r="JD20">
        <v>2.4414099999999999</v>
      </c>
      <c r="JE20">
        <v>39.666899999999998</v>
      </c>
      <c r="JF20">
        <v>23.9649</v>
      </c>
      <c r="JG20">
        <v>18</v>
      </c>
      <c r="JH20">
        <v>502.14299999999997</v>
      </c>
      <c r="JI20">
        <v>468.35500000000002</v>
      </c>
      <c r="JJ20">
        <v>21.622199999999999</v>
      </c>
      <c r="JK20">
        <v>28.8306</v>
      </c>
      <c r="JL20">
        <v>30</v>
      </c>
      <c r="JM20">
        <v>28.8247</v>
      </c>
      <c r="JN20">
        <v>28.840399999999999</v>
      </c>
      <c r="JO20">
        <v>8.2285799999999991</v>
      </c>
      <c r="JP20">
        <v>26.620899999999999</v>
      </c>
      <c r="JQ20">
        <v>33.489199999999997</v>
      </c>
      <c r="JR20">
        <v>21.6433</v>
      </c>
      <c r="JS20">
        <v>100</v>
      </c>
      <c r="JT20">
        <v>15.6907</v>
      </c>
      <c r="JU20">
        <v>101.58199999999999</v>
      </c>
      <c r="JV20">
        <v>97.233099999999993</v>
      </c>
    </row>
    <row r="21" spans="1:282" x14ac:dyDescent="0.3">
      <c r="A21">
        <v>5</v>
      </c>
      <c r="B21">
        <v>1791612971</v>
      </c>
      <c r="C21">
        <v>484</v>
      </c>
      <c r="D21" t="s">
        <v>432</v>
      </c>
      <c r="E21" t="s">
        <v>433</v>
      </c>
      <c r="F21">
        <v>5</v>
      </c>
      <c r="G21">
        <v>1791612968</v>
      </c>
      <c r="H21">
        <f t="shared" si="0"/>
        <v>4.9935794288278696E-3</v>
      </c>
      <c r="I21">
        <f t="shared" si="1"/>
        <v>4.9935794288278696</v>
      </c>
      <c r="J21">
        <f t="shared" si="2"/>
        <v>-0.75452601793318896</v>
      </c>
      <c r="K21">
        <f t="shared" si="3"/>
        <v>50.17754</v>
      </c>
      <c r="L21">
        <f t="shared" si="4"/>
        <v>52.413407126444234</v>
      </c>
      <c r="M21">
        <f t="shared" si="5"/>
        <v>5.3050255653186618</v>
      </c>
      <c r="N21">
        <f t="shared" si="6"/>
        <v>5.0787221647817056</v>
      </c>
      <c r="O21">
        <f t="shared" si="7"/>
        <v>0.37768714667331421</v>
      </c>
      <c r="P21">
        <f t="shared" si="8"/>
        <v>3.0309352828958493</v>
      </c>
      <c r="Q21">
        <f t="shared" si="9"/>
        <v>0.35335348849160764</v>
      </c>
      <c r="R21">
        <f t="shared" si="10"/>
        <v>0.22290143741613308</v>
      </c>
      <c r="S21">
        <f t="shared" si="11"/>
        <v>241.72790540290976</v>
      </c>
      <c r="T21">
        <f t="shared" si="12"/>
        <v>25.405692819427756</v>
      </c>
      <c r="U21">
        <f t="shared" si="13"/>
        <v>24.98724</v>
      </c>
      <c r="V21">
        <f t="shared" si="14"/>
        <v>3.1772594871948661</v>
      </c>
      <c r="W21">
        <f t="shared" si="15"/>
        <v>55.105819067935272</v>
      </c>
      <c r="X21">
        <f t="shared" si="16"/>
        <v>1.7819334462050378</v>
      </c>
      <c r="Y21">
        <f t="shared" si="17"/>
        <v>3.2336574908872033</v>
      </c>
      <c r="Z21">
        <f t="shared" si="18"/>
        <v>1.3953260409898283</v>
      </c>
      <c r="AA21">
        <f t="shared" si="19"/>
        <v>-220.21685281130905</v>
      </c>
      <c r="AB21">
        <f t="shared" si="20"/>
        <v>48.272745565434931</v>
      </c>
      <c r="AC21">
        <f t="shared" si="21"/>
        <v>3.3734581288344092</v>
      </c>
      <c r="AD21">
        <f t="shared" si="22"/>
        <v>73.157256285870048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53819.812949085353</v>
      </c>
      <c r="AJ21" t="s">
        <v>416</v>
      </c>
      <c r="AK21" t="s">
        <v>416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416</v>
      </c>
      <c r="AQ21" t="s">
        <v>416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1261.1637594833728</v>
      </c>
      <c r="AW21">
        <f t="shared" si="29"/>
        <v>-0.75452601793318896</v>
      </c>
      <c r="AX21" t="e">
        <f t="shared" si="30"/>
        <v>#DIV/0!</v>
      </c>
      <c r="AY21">
        <f t="shared" si="31"/>
        <v>-5.9827759262784039E-4</v>
      </c>
      <c r="AZ21" t="e">
        <f t="shared" si="32"/>
        <v>#DIV/0!</v>
      </c>
      <c r="BA21" t="e">
        <f t="shared" si="33"/>
        <v>#DIV/0!</v>
      </c>
      <c r="BB21" t="s">
        <v>416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CT21">
        <f t="shared" si="42"/>
        <v>1499.944</v>
      </c>
      <c r="CU21">
        <f t="shared" si="43"/>
        <v>1261.1637594833728</v>
      </c>
      <c r="CV21">
        <f t="shared" si="44"/>
        <v>0.84080722979216083</v>
      </c>
      <c r="CW21">
        <f t="shared" si="45"/>
        <v>0.16115795349887047</v>
      </c>
      <c r="CX21">
        <v>2</v>
      </c>
      <c r="CY21">
        <v>0.5</v>
      </c>
      <c r="CZ21" t="s">
        <v>417</v>
      </c>
      <c r="DA21">
        <v>2</v>
      </c>
      <c r="DB21">
        <v>1791612968</v>
      </c>
      <c r="DC21">
        <v>50.17754</v>
      </c>
      <c r="DD21">
        <v>49.975940000000001</v>
      </c>
      <c r="DE21">
        <v>17.605419999999999</v>
      </c>
      <c r="DF21">
        <v>15.643000000000001</v>
      </c>
      <c r="DG21">
        <v>50.133220000000001</v>
      </c>
      <c r="DH21">
        <v>17.74438</v>
      </c>
      <c r="DI21">
        <v>499.96080000000001</v>
      </c>
      <c r="DJ21">
        <v>101.1152</v>
      </c>
      <c r="DK21">
        <v>9.9848900000000004E-2</v>
      </c>
      <c r="DL21">
        <v>25.28266</v>
      </c>
      <c r="DM21">
        <v>24.98724</v>
      </c>
      <c r="DN21">
        <v>999.9</v>
      </c>
      <c r="DO21">
        <v>0</v>
      </c>
      <c r="DP21">
        <v>0</v>
      </c>
      <c r="DQ21">
        <v>10008.75</v>
      </c>
      <c r="DR21">
        <v>0</v>
      </c>
      <c r="DS21">
        <v>6.9291299999999998</v>
      </c>
      <c r="DT21">
        <v>0.20161219999999999</v>
      </c>
      <c r="DU21">
        <v>51.076779999999999</v>
      </c>
      <c r="DV21">
        <v>50.770139999999998</v>
      </c>
      <c r="DW21">
        <v>1.9623740000000001</v>
      </c>
      <c r="DX21">
        <v>49.975940000000001</v>
      </c>
      <c r="DY21">
        <v>15.643000000000001</v>
      </c>
      <c r="DZ21">
        <v>1.7801739999999999</v>
      </c>
      <c r="EA21">
        <v>1.58175</v>
      </c>
      <c r="EB21">
        <v>15.61378</v>
      </c>
      <c r="EC21">
        <v>13.782120000000001</v>
      </c>
      <c r="ED21">
        <v>1499.944</v>
      </c>
      <c r="EE21">
        <v>0.97300059999999999</v>
      </c>
      <c r="EF21">
        <v>2.699934E-2</v>
      </c>
      <c r="EG21">
        <v>0</v>
      </c>
      <c r="EH21">
        <v>366.75099999999998</v>
      </c>
      <c r="EI21">
        <v>5.0006399999999998</v>
      </c>
      <c r="EJ21">
        <v>5662.402</v>
      </c>
      <c r="EK21">
        <v>15438.64</v>
      </c>
      <c r="EL21">
        <v>41.186999999999998</v>
      </c>
      <c r="EM21">
        <v>41.912199999999999</v>
      </c>
      <c r="EN21">
        <v>41.561999999999998</v>
      </c>
      <c r="EO21">
        <v>41.561999999999998</v>
      </c>
      <c r="EP21">
        <v>42.686999999999998</v>
      </c>
      <c r="EQ21">
        <v>1454.5840000000001</v>
      </c>
      <c r="ER21">
        <v>40.36</v>
      </c>
      <c r="ES21">
        <v>0</v>
      </c>
      <c r="ET21">
        <v>1791612971.7</v>
      </c>
      <c r="EU21">
        <v>0</v>
      </c>
      <c r="EV21">
        <v>366.89488461538502</v>
      </c>
      <c r="EW21">
        <v>-0.57193161926939895</v>
      </c>
      <c r="EX21">
        <v>-9.9805127958395801</v>
      </c>
      <c r="EY21">
        <v>5663.3742307692301</v>
      </c>
      <c r="EZ21">
        <v>15</v>
      </c>
      <c r="FA21">
        <v>1791612920</v>
      </c>
      <c r="FB21" t="s">
        <v>434</v>
      </c>
      <c r="FC21">
        <v>1791612920</v>
      </c>
      <c r="FD21">
        <v>1791612915</v>
      </c>
      <c r="FE21">
        <v>72</v>
      </c>
      <c r="FF21">
        <v>0.02</v>
      </c>
      <c r="FG21">
        <v>1E-3</v>
      </c>
      <c r="FH21">
        <v>4.3999999999999997E-2</v>
      </c>
      <c r="FI21">
        <v>-0.183</v>
      </c>
      <c r="FJ21">
        <v>50</v>
      </c>
      <c r="FK21">
        <v>16</v>
      </c>
      <c r="FL21">
        <v>0.33</v>
      </c>
      <c r="FM21">
        <v>0.02</v>
      </c>
      <c r="FN21">
        <v>-0.73513918731295602</v>
      </c>
      <c r="FO21">
        <v>-0.20461384816695</v>
      </c>
      <c r="FP21">
        <v>8.6624949206661597E-2</v>
      </c>
      <c r="FQ21">
        <v>1</v>
      </c>
      <c r="FR21">
        <v>0.19468047619047599</v>
      </c>
      <c r="FS21">
        <v>5.8242623376623399E-2</v>
      </c>
      <c r="FT21">
        <v>3.3630462272029302E-2</v>
      </c>
      <c r="FU21">
        <v>1</v>
      </c>
      <c r="FV21">
        <v>366.84899999999999</v>
      </c>
      <c r="FW21">
        <v>-0.17283422354694999</v>
      </c>
      <c r="FX21">
        <v>0.21541437496410501</v>
      </c>
      <c r="FY21">
        <v>-1</v>
      </c>
      <c r="FZ21">
        <v>2</v>
      </c>
      <c r="GA21">
        <v>2</v>
      </c>
      <c r="GB21" t="s">
        <v>419</v>
      </c>
      <c r="GC21">
        <v>3.1232500000000001</v>
      </c>
      <c r="GD21">
        <v>2.7650000000000001</v>
      </c>
      <c r="GE21">
        <v>1.3629E-2</v>
      </c>
      <c r="GF21">
        <v>1.39901E-2</v>
      </c>
      <c r="GG21">
        <v>9.3663200000000002E-2</v>
      </c>
      <c r="GH21">
        <v>8.8865899999999998E-2</v>
      </c>
      <c r="GI21">
        <v>19188</v>
      </c>
      <c r="GJ21">
        <v>28924.3</v>
      </c>
      <c r="GK21">
        <v>22733.7</v>
      </c>
      <c r="GL21">
        <v>30061.200000000001</v>
      </c>
      <c r="GM21">
        <v>33801.599999999999</v>
      </c>
      <c r="GN21">
        <v>34123.699999999997</v>
      </c>
      <c r="GO21">
        <v>43023.8</v>
      </c>
      <c r="GP21">
        <v>42822.5</v>
      </c>
      <c r="GQ21">
        <v>1.96435</v>
      </c>
      <c r="GR21">
        <v>1.7922</v>
      </c>
      <c r="GS21">
        <v>5.5678199999999997E-2</v>
      </c>
      <c r="GT21">
        <v>0</v>
      </c>
      <c r="GU21">
        <v>24.0717</v>
      </c>
      <c r="GV21">
        <v>999.9</v>
      </c>
      <c r="GW21">
        <v>37.981000000000002</v>
      </c>
      <c r="GX21">
        <v>33.697000000000003</v>
      </c>
      <c r="GY21">
        <v>19.733000000000001</v>
      </c>
      <c r="GZ21">
        <v>63.1935</v>
      </c>
      <c r="HA21">
        <v>33.786099999999998</v>
      </c>
      <c r="HB21">
        <v>1</v>
      </c>
      <c r="HC21">
        <v>0.122665</v>
      </c>
      <c r="HD21">
        <v>2.1512799999999999</v>
      </c>
      <c r="HE21">
        <v>20.144300000000001</v>
      </c>
      <c r="HF21">
        <v>5.23062</v>
      </c>
      <c r="HG21">
        <v>11.962</v>
      </c>
      <c r="HH21">
        <v>4.9675500000000001</v>
      </c>
      <c r="HI21">
        <v>3.2952499999999998</v>
      </c>
      <c r="HJ21">
        <v>9999</v>
      </c>
      <c r="HK21">
        <v>9999</v>
      </c>
      <c r="HL21">
        <v>999.9</v>
      </c>
      <c r="HM21">
        <v>9999</v>
      </c>
      <c r="HN21">
        <v>4.9697100000000001</v>
      </c>
      <c r="HO21">
        <v>1.8641099999999999</v>
      </c>
      <c r="HP21">
        <v>1.8655900000000001</v>
      </c>
      <c r="HQ21">
        <v>1.86737</v>
      </c>
      <c r="HR21">
        <v>1.86435</v>
      </c>
      <c r="HS21">
        <v>1.86808</v>
      </c>
      <c r="HT21">
        <v>1.8648499999999999</v>
      </c>
      <c r="HU21">
        <v>1.86676</v>
      </c>
      <c r="HV21">
        <v>0</v>
      </c>
      <c r="HW21">
        <v>0</v>
      </c>
      <c r="HX21">
        <v>0</v>
      </c>
      <c r="HY21">
        <v>0</v>
      </c>
      <c r="HZ21" t="s">
        <v>420</v>
      </c>
      <c r="IA21" t="s">
        <v>421</v>
      </c>
      <c r="IB21" t="s">
        <v>422</v>
      </c>
      <c r="IC21" t="s">
        <v>422</v>
      </c>
      <c r="ID21" t="s">
        <v>422</v>
      </c>
      <c r="IE21" t="s">
        <v>422</v>
      </c>
      <c r="IF21">
        <v>0</v>
      </c>
      <c r="IG21">
        <v>100</v>
      </c>
      <c r="IH21">
        <v>100</v>
      </c>
      <c r="II21">
        <v>4.3999999999999997E-2</v>
      </c>
      <c r="IJ21">
        <v>-0.13930000000000001</v>
      </c>
      <c r="IK21">
        <v>-3.2029624144183498E-2</v>
      </c>
      <c r="IL21">
        <v>1.61658254425633E-3</v>
      </c>
      <c r="IM21">
        <v>-1.89604851270483E-6</v>
      </c>
      <c r="IN21">
        <v>8.6681353432279101E-10</v>
      </c>
      <c r="IO21">
        <v>-7.5042553876130499E-2</v>
      </c>
      <c r="IP21">
        <v>-3.5871989026399903E-2</v>
      </c>
      <c r="IQ21">
        <v>1.9028800927848801E-3</v>
      </c>
      <c r="IR21">
        <v>-4.7539144078026999E-6</v>
      </c>
      <c r="IS21">
        <v>1</v>
      </c>
      <c r="IT21">
        <v>1704</v>
      </c>
      <c r="IU21">
        <v>4</v>
      </c>
      <c r="IV21">
        <v>25</v>
      </c>
      <c r="IW21">
        <v>0.8</v>
      </c>
      <c r="IX21">
        <v>0.9</v>
      </c>
      <c r="IY21">
        <v>0.29785200000000001</v>
      </c>
      <c r="IZ21">
        <v>2.6098599999999998</v>
      </c>
      <c r="JA21">
        <v>1.3464400000000001</v>
      </c>
      <c r="JB21">
        <v>2.2607400000000002</v>
      </c>
      <c r="JC21">
        <v>1.5502899999999999</v>
      </c>
      <c r="JD21">
        <v>2.4597199999999999</v>
      </c>
      <c r="JE21">
        <v>39.717100000000002</v>
      </c>
      <c r="JF21">
        <v>23.9649</v>
      </c>
      <c r="JG21">
        <v>18</v>
      </c>
      <c r="JH21">
        <v>502.23700000000002</v>
      </c>
      <c r="JI21">
        <v>467.95600000000002</v>
      </c>
      <c r="JJ21">
        <v>21.789200000000001</v>
      </c>
      <c r="JK21">
        <v>28.828099999999999</v>
      </c>
      <c r="JL21">
        <v>30</v>
      </c>
      <c r="JM21">
        <v>28.8247</v>
      </c>
      <c r="JN21">
        <v>28.838000000000001</v>
      </c>
      <c r="JO21">
        <v>5.9883600000000001</v>
      </c>
      <c r="JP21">
        <v>27.181799999999999</v>
      </c>
      <c r="JQ21">
        <v>33.026200000000003</v>
      </c>
      <c r="JR21">
        <v>21.791799999999999</v>
      </c>
      <c r="JS21">
        <v>50</v>
      </c>
      <c r="JT21">
        <v>15.6546</v>
      </c>
      <c r="JU21">
        <v>101.58199999999999</v>
      </c>
      <c r="JV21">
        <v>97.233000000000004</v>
      </c>
    </row>
    <row r="22" spans="1:282" x14ac:dyDescent="0.3">
      <c r="A22">
        <v>6</v>
      </c>
      <c r="B22">
        <v>1791613105</v>
      </c>
      <c r="C22">
        <v>618</v>
      </c>
      <c r="D22" t="s">
        <v>435</v>
      </c>
      <c r="E22" t="s">
        <v>436</v>
      </c>
      <c r="F22">
        <v>5</v>
      </c>
      <c r="G22">
        <v>1791613102</v>
      </c>
      <c r="H22">
        <f t="shared" si="0"/>
        <v>5.1103857491331447E-3</v>
      </c>
      <c r="I22">
        <f t="shared" si="1"/>
        <v>5.1103857491331448</v>
      </c>
      <c r="J22">
        <f t="shared" si="2"/>
        <v>19.279593447679368</v>
      </c>
      <c r="K22">
        <f t="shared" si="3"/>
        <v>391.44279999999998</v>
      </c>
      <c r="L22">
        <f t="shared" si="4"/>
        <v>298.98410332693322</v>
      </c>
      <c r="M22">
        <f t="shared" si="5"/>
        <v>30.262260113579803</v>
      </c>
      <c r="N22">
        <f t="shared" si="6"/>
        <v>39.620647724654077</v>
      </c>
      <c r="O22">
        <f t="shared" si="7"/>
        <v>0.38614091094507952</v>
      </c>
      <c r="P22">
        <f t="shared" si="8"/>
        <v>3.0294762917524114</v>
      </c>
      <c r="Q22">
        <f t="shared" si="9"/>
        <v>0.3607336531011221</v>
      </c>
      <c r="R22">
        <f t="shared" si="10"/>
        <v>0.22760181690512049</v>
      </c>
      <c r="S22">
        <f t="shared" si="11"/>
        <v>241.72758620290847</v>
      </c>
      <c r="T22">
        <f t="shared" si="12"/>
        <v>25.432347514755389</v>
      </c>
      <c r="U22">
        <f t="shared" si="13"/>
        <v>25.0044</v>
      </c>
      <c r="V22">
        <f t="shared" si="14"/>
        <v>3.1805117913348928</v>
      </c>
      <c r="W22">
        <f t="shared" si="15"/>
        <v>54.91685667690804</v>
      </c>
      <c r="X22">
        <f t="shared" si="16"/>
        <v>1.7817564479850239</v>
      </c>
      <c r="Y22">
        <f t="shared" si="17"/>
        <v>3.2444618206530267</v>
      </c>
      <c r="Z22">
        <f t="shared" si="18"/>
        <v>1.398755343349869</v>
      </c>
      <c r="AA22">
        <f t="shared" si="19"/>
        <v>-225.36801153677169</v>
      </c>
      <c r="AB22">
        <f t="shared" si="20"/>
        <v>54.606122573665381</v>
      </c>
      <c r="AC22">
        <f t="shared" si="21"/>
        <v>3.8193004323736832</v>
      </c>
      <c r="AD22">
        <f t="shared" si="22"/>
        <v>74.784997672175848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53764.245460634738</v>
      </c>
      <c r="AJ22" t="s">
        <v>416</v>
      </c>
      <c r="AK22" t="s">
        <v>416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416</v>
      </c>
      <c r="AQ22" t="s">
        <v>416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1261.1620794833723</v>
      </c>
      <c r="AW22">
        <f t="shared" si="29"/>
        <v>19.279593447679368</v>
      </c>
      <c r="AX22" t="e">
        <f t="shared" si="30"/>
        <v>#DIV/0!</v>
      </c>
      <c r="AY22">
        <f t="shared" si="31"/>
        <v>1.5287165512918959E-2</v>
      </c>
      <c r="AZ22" t="e">
        <f t="shared" si="32"/>
        <v>#DIV/0!</v>
      </c>
      <c r="BA22" t="e">
        <f t="shared" si="33"/>
        <v>#DIV/0!</v>
      </c>
      <c r="BB22" t="s">
        <v>416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CT22">
        <f t="shared" si="42"/>
        <v>1499.942</v>
      </c>
      <c r="CU22">
        <f t="shared" si="43"/>
        <v>1261.1620794833723</v>
      </c>
      <c r="CV22">
        <f t="shared" si="44"/>
        <v>0.8408072308685085</v>
      </c>
      <c r="CW22">
        <f t="shared" si="45"/>
        <v>0.16115795557622126</v>
      </c>
      <c r="CX22">
        <v>2</v>
      </c>
      <c r="CY22">
        <v>0.5</v>
      </c>
      <c r="CZ22" t="s">
        <v>417</v>
      </c>
      <c r="DA22">
        <v>2</v>
      </c>
      <c r="DB22">
        <v>1791613102</v>
      </c>
      <c r="DC22">
        <v>391.44279999999998</v>
      </c>
      <c r="DD22">
        <v>399.95400000000001</v>
      </c>
      <c r="DE22">
        <v>17.603339999999999</v>
      </c>
      <c r="DF22">
        <v>15.595359999999999</v>
      </c>
      <c r="DG22">
        <v>390.50040000000001</v>
      </c>
      <c r="DH22">
        <v>17.73638</v>
      </c>
      <c r="DI22">
        <v>500.04739999999998</v>
      </c>
      <c r="DJ22">
        <v>101.1168</v>
      </c>
      <c r="DK22">
        <v>0.1001536</v>
      </c>
      <c r="DL22">
        <v>25.338740000000001</v>
      </c>
      <c r="DM22">
        <v>25.0044</v>
      </c>
      <c r="DN22">
        <v>999.9</v>
      </c>
      <c r="DO22">
        <v>0</v>
      </c>
      <c r="DP22">
        <v>0</v>
      </c>
      <c r="DQ22">
        <v>9999.77</v>
      </c>
      <c r="DR22">
        <v>0</v>
      </c>
      <c r="DS22">
        <v>6.9291299999999998</v>
      </c>
      <c r="DT22">
        <v>-8.5110740000000007</v>
      </c>
      <c r="DU22">
        <v>398.45699999999999</v>
      </c>
      <c r="DV22">
        <v>406.29</v>
      </c>
      <c r="DW22">
        <v>2.0080200000000001</v>
      </c>
      <c r="DX22">
        <v>399.95400000000001</v>
      </c>
      <c r="DY22">
        <v>15.595359999999999</v>
      </c>
      <c r="DZ22">
        <v>1.7799959999999999</v>
      </c>
      <c r="EA22">
        <v>1.5769519999999999</v>
      </c>
      <c r="EB22">
        <v>15.61224</v>
      </c>
      <c r="EC22">
        <v>13.73542</v>
      </c>
      <c r="ED22">
        <v>1499.942</v>
      </c>
      <c r="EE22">
        <v>0.97300059999999999</v>
      </c>
      <c r="EF22">
        <v>2.699934E-2</v>
      </c>
      <c r="EG22">
        <v>0</v>
      </c>
      <c r="EH22">
        <v>354.67939999999999</v>
      </c>
      <c r="EI22">
        <v>5.0006399999999998</v>
      </c>
      <c r="EJ22">
        <v>5487.6859999999997</v>
      </c>
      <c r="EK22">
        <v>15438.62</v>
      </c>
      <c r="EL22">
        <v>41.186999999999998</v>
      </c>
      <c r="EM22">
        <v>41.912199999999999</v>
      </c>
      <c r="EN22">
        <v>41.5</v>
      </c>
      <c r="EO22">
        <v>41.561999999999998</v>
      </c>
      <c r="EP22">
        <v>42.686999999999998</v>
      </c>
      <c r="EQ22">
        <v>1454.5820000000001</v>
      </c>
      <c r="ER22">
        <v>40.36</v>
      </c>
      <c r="ES22">
        <v>0</v>
      </c>
      <c r="ET22">
        <v>1791613106.0999999</v>
      </c>
      <c r="EU22">
        <v>0</v>
      </c>
      <c r="EV22">
        <v>354.35788461538499</v>
      </c>
      <c r="EW22">
        <v>5.2979487074373699</v>
      </c>
      <c r="EX22">
        <v>74.526153851727202</v>
      </c>
      <c r="EY22">
        <v>5482.6196153846204</v>
      </c>
      <c r="EZ22">
        <v>15</v>
      </c>
      <c r="FA22">
        <v>1791613040</v>
      </c>
      <c r="FB22" t="s">
        <v>437</v>
      </c>
      <c r="FC22">
        <v>1791613040</v>
      </c>
      <c r="FD22">
        <v>1791613039</v>
      </c>
      <c r="FE22">
        <v>73</v>
      </c>
      <c r="FF22">
        <v>0.57999999999999996</v>
      </c>
      <c r="FG22">
        <v>6.0000000000000001E-3</v>
      </c>
      <c r="FH22">
        <v>0.94699999999999995</v>
      </c>
      <c r="FI22">
        <v>-0.17799999999999999</v>
      </c>
      <c r="FJ22">
        <v>400</v>
      </c>
      <c r="FK22">
        <v>16</v>
      </c>
      <c r="FL22">
        <v>0.25</v>
      </c>
      <c r="FM22">
        <v>0.06</v>
      </c>
      <c r="FN22">
        <v>19.3086089229073</v>
      </c>
      <c r="FO22">
        <v>0.29536338320836902</v>
      </c>
      <c r="FP22">
        <v>0.12588908436888899</v>
      </c>
      <c r="FQ22">
        <v>1</v>
      </c>
      <c r="FR22">
        <v>-8.5226528571428606</v>
      </c>
      <c r="FS22">
        <v>-0.12135194805196101</v>
      </c>
      <c r="FT22">
        <v>5.0990521915058498E-2</v>
      </c>
      <c r="FU22">
        <v>1</v>
      </c>
      <c r="FV22">
        <v>353.94494117647099</v>
      </c>
      <c r="FW22">
        <v>4.5674560724289801</v>
      </c>
      <c r="FX22">
        <v>0.48426043923738599</v>
      </c>
      <c r="FY22">
        <v>-1</v>
      </c>
      <c r="FZ22">
        <v>2</v>
      </c>
      <c r="GA22">
        <v>2</v>
      </c>
      <c r="GB22" t="s">
        <v>419</v>
      </c>
      <c r="GC22">
        <v>3.12323</v>
      </c>
      <c r="GD22">
        <v>2.7649699999999999</v>
      </c>
      <c r="GE22">
        <v>8.6084900000000006E-2</v>
      </c>
      <c r="GF22">
        <v>8.9850600000000003E-2</v>
      </c>
      <c r="GG22">
        <v>9.3631900000000004E-2</v>
      </c>
      <c r="GH22">
        <v>8.8737399999999994E-2</v>
      </c>
      <c r="GI22">
        <v>17777.8</v>
      </c>
      <c r="GJ22">
        <v>26698.9</v>
      </c>
      <c r="GK22">
        <v>22733</v>
      </c>
      <c r="GL22">
        <v>30061.4</v>
      </c>
      <c r="GM22">
        <v>33806.300000000003</v>
      </c>
      <c r="GN22">
        <v>34133.5</v>
      </c>
      <c r="GO22">
        <v>43022.8</v>
      </c>
      <c r="GP22">
        <v>42822.1</v>
      </c>
      <c r="GQ22">
        <v>1.96455</v>
      </c>
      <c r="GR22">
        <v>1.7926</v>
      </c>
      <c r="GS22">
        <v>5.4940599999999999E-2</v>
      </c>
      <c r="GT22">
        <v>0</v>
      </c>
      <c r="GU22">
        <v>24.100899999999999</v>
      </c>
      <c r="GV22">
        <v>999.9</v>
      </c>
      <c r="GW22">
        <v>37.853000000000002</v>
      </c>
      <c r="GX22">
        <v>33.768000000000001</v>
      </c>
      <c r="GY22">
        <v>19.745899999999999</v>
      </c>
      <c r="GZ22">
        <v>63.293500000000002</v>
      </c>
      <c r="HA22">
        <v>33.798099999999998</v>
      </c>
      <c r="HB22">
        <v>1</v>
      </c>
      <c r="HC22">
        <v>0.12381399999999999</v>
      </c>
      <c r="HD22">
        <v>2.3761999999999999</v>
      </c>
      <c r="HE22">
        <v>20.1401</v>
      </c>
      <c r="HF22">
        <v>5.2295699999999998</v>
      </c>
      <c r="HG22">
        <v>11.962199999999999</v>
      </c>
      <c r="HH22">
        <v>4.9676499999999999</v>
      </c>
      <c r="HI22">
        <v>3.2946800000000001</v>
      </c>
      <c r="HJ22">
        <v>9999</v>
      </c>
      <c r="HK22">
        <v>9999</v>
      </c>
      <c r="HL22">
        <v>999.9</v>
      </c>
      <c r="HM22">
        <v>9999</v>
      </c>
      <c r="HN22">
        <v>4.9696999999999996</v>
      </c>
      <c r="HO22">
        <v>1.8641399999999999</v>
      </c>
      <c r="HP22">
        <v>1.8655600000000001</v>
      </c>
      <c r="HQ22">
        <v>1.86738</v>
      </c>
      <c r="HR22">
        <v>1.86439</v>
      </c>
      <c r="HS22">
        <v>1.86812</v>
      </c>
      <c r="HT22">
        <v>1.8648199999999999</v>
      </c>
      <c r="HU22">
        <v>1.86676</v>
      </c>
      <c r="HV22">
        <v>0</v>
      </c>
      <c r="HW22">
        <v>0</v>
      </c>
      <c r="HX22">
        <v>0</v>
      </c>
      <c r="HY22">
        <v>0</v>
      </c>
      <c r="HZ22" t="s">
        <v>420</v>
      </c>
      <c r="IA22" t="s">
        <v>421</v>
      </c>
      <c r="IB22" t="s">
        <v>422</v>
      </c>
      <c r="IC22" t="s">
        <v>422</v>
      </c>
      <c r="ID22" t="s">
        <v>422</v>
      </c>
      <c r="IE22" t="s">
        <v>422</v>
      </c>
      <c r="IF22">
        <v>0</v>
      </c>
      <c r="IG22">
        <v>100</v>
      </c>
      <c r="IH22">
        <v>100</v>
      </c>
      <c r="II22">
        <v>0.94199999999999995</v>
      </c>
      <c r="IJ22">
        <v>-0.13339999999999999</v>
      </c>
      <c r="IK22">
        <v>0.54830383099247804</v>
      </c>
      <c r="IL22">
        <v>1.61658254425633E-3</v>
      </c>
      <c r="IM22">
        <v>-1.89604851270483E-6</v>
      </c>
      <c r="IN22">
        <v>8.6681353432279101E-10</v>
      </c>
      <c r="IO22">
        <v>-6.8871712253281397E-2</v>
      </c>
      <c r="IP22">
        <v>-3.5871989026399903E-2</v>
      </c>
      <c r="IQ22">
        <v>1.9028800927848801E-3</v>
      </c>
      <c r="IR22">
        <v>-4.7539144078026999E-6</v>
      </c>
      <c r="IS22">
        <v>1</v>
      </c>
      <c r="IT22">
        <v>1704</v>
      </c>
      <c r="IU22">
        <v>4</v>
      </c>
      <c r="IV22">
        <v>25</v>
      </c>
      <c r="IW22">
        <v>1.1000000000000001</v>
      </c>
      <c r="IX22">
        <v>1.1000000000000001</v>
      </c>
      <c r="IY22">
        <v>1.0522499999999999</v>
      </c>
      <c r="IZ22">
        <v>2.5927699999999998</v>
      </c>
      <c r="JA22">
        <v>1.3476600000000001</v>
      </c>
      <c r="JB22">
        <v>2.2607400000000002</v>
      </c>
      <c r="JC22">
        <v>1.5502899999999999</v>
      </c>
      <c r="JD22">
        <v>2.4706999999999999</v>
      </c>
      <c r="JE22">
        <v>39.792499999999997</v>
      </c>
      <c r="JF22">
        <v>23.9649</v>
      </c>
      <c r="JG22">
        <v>18</v>
      </c>
      <c r="JH22">
        <v>502.34199999999998</v>
      </c>
      <c r="JI22">
        <v>468.23099999999999</v>
      </c>
      <c r="JJ22">
        <v>21.809200000000001</v>
      </c>
      <c r="JK22">
        <v>28.825600000000001</v>
      </c>
      <c r="JL22">
        <v>30</v>
      </c>
      <c r="JM22">
        <v>28.822299999999998</v>
      </c>
      <c r="JN22">
        <v>28.838000000000001</v>
      </c>
      <c r="JO22">
        <v>21.068999999999999</v>
      </c>
      <c r="JP22">
        <v>27.37</v>
      </c>
      <c r="JQ22">
        <v>32.469900000000003</v>
      </c>
      <c r="JR22">
        <v>21.813199999999998</v>
      </c>
      <c r="JS22">
        <v>400</v>
      </c>
      <c r="JT22">
        <v>15.62</v>
      </c>
      <c r="JU22">
        <v>101.57899999999999</v>
      </c>
      <c r="JV22">
        <v>97.232699999999994</v>
      </c>
    </row>
    <row r="23" spans="1:282" x14ac:dyDescent="0.3">
      <c r="A23">
        <v>7</v>
      </c>
      <c r="B23">
        <v>1791613226</v>
      </c>
      <c r="C23">
        <v>739</v>
      </c>
      <c r="D23" t="s">
        <v>438</v>
      </c>
      <c r="E23" t="s">
        <v>439</v>
      </c>
      <c r="F23">
        <v>5</v>
      </c>
      <c r="G23">
        <v>1791613222.5</v>
      </c>
      <c r="H23">
        <f t="shared" si="0"/>
        <v>5.1094389400374628E-3</v>
      </c>
      <c r="I23">
        <f t="shared" si="1"/>
        <v>5.1094389400374629</v>
      </c>
      <c r="J23">
        <f t="shared" si="2"/>
        <v>20.440833432642044</v>
      </c>
      <c r="K23">
        <f t="shared" si="3"/>
        <v>391.02550000000002</v>
      </c>
      <c r="L23">
        <f t="shared" si="4"/>
        <v>293.72469991827546</v>
      </c>
      <c r="M23">
        <f t="shared" si="5"/>
        <v>29.72907102139169</v>
      </c>
      <c r="N23">
        <f t="shared" si="6"/>
        <v>39.577280575687475</v>
      </c>
      <c r="O23">
        <f t="shared" si="7"/>
        <v>0.38695054592337536</v>
      </c>
      <c r="P23">
        <f t="shared" si="8"/>
        <v>3.0307792285755291</v>
      </c>
      <c r="Q23">
        <f t="shared" si="9"/>
        <v>0.3614505979040083</v>
      </c>
      <c r="R23">
        <f t="shared" si="10"/>
        <v>0.22805750910408329</v>
      </c>
      <c r="S23">
        <f t="shared" si="11"/>
        <v>241.73657700294535</v>
      </c>
      <c r="T23">
        <f t="shared" si="12"/>
        <v>25.433043452987043</v>
      </c>
      <c r="U23">
        <f t="shared" si="13"/>
        <v>25.011216666666702</v>
      </c>
      <c r="V23">
        <f t="shared" si="14"/>
        <v>3.1818045491320821</v>
      </c>
      <c r="W23">
        <f t="shared" si="15"/>
        <v>55.05123567594736</v>
      </c>
      <c r="X23">
        <f t="shared" si="16"/>
        <v>1.7861634128977339</v>
      </c>
      <c r="Y23">
        <f t="shared" si="17"/>
        <v>3.2445473584131248</v>
      </c>
      <c r="Z23">
        <f t="shared" si="18"/>
        <v>1.3956411362343482</v>
      </c>
      <c r="AA23">
        <f t="shared" si="19"/>
        <v>-225.32625725565211</v>
      </c>
      <c r="AB23">
        <f t="shared" si="20"/>
        <v>53.58823477253916</v>
      </c>
      <c r="AC23">
        <f t="shared" si="21"/>
        <v>3.746632068570563</v>
      </c>
      <c r="AD23">
        <f t="shared" si="22"/>
        <v>73.745186588402959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53804.727225577073</v>
      </c>
      <c r="AJ23" t="s">
        <v>416</v>
      </c>
      <c r="AK23" t="s">
        <v>416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416</v>
      </c>
      <c r="AQ23" t="s">
        <v>416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1261.2093994833888</v>
      </c>
      <c r="AW23">
        <f t="shared" si="29"/>
        <v>20.440833432642044</v>
      </c>
      <c r="AX23" t="e">
        <f t="shared" si="30"/>
        <v>#DIV/0!</v>
      </c>
      <c r="AY23">
        <f t="shared" si="31"/>
        <v>1.6207327221803874E-2</v>
      </c>
      <c r="AZ23" t="e">
        <f t="shared" si="32"/>
        <v>#DIV/0!</v>
      </c>
      <c r="BA23" t="e">
        <f t="shared" si="33"/>
        <v>#DIV/0!</v>
      </c>
      <c r="BB23" t="s">
        <v>416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CT23">
        <f t="shared" si="42"/>
        <v>1499.99833333333</v>
      </c>
      <c r="CU23">
        <f t="shared" si="43"/>
        <v>1261.2093994833888</v>
      </c>
      <c r="CV23">
        <f t="shared" si="44"/>
        <v>0.84080720055248392</v>
      </c>
      <c r="CW23">
        <f t="shared" si="45"/>
        <v>0.16115789706629399</v>
      </c>
      <c r="CX23">
        <v>2</v>
      </c>
      <c r="CY23">
        <v>0.5</v>
      </c>
      <c r="CZ23" t="s">
        <v>417</v>
      </c>
      <c r="DA23">
        <v>2</v>
      </c>
      <c r="DB23">
        <v>1791613222.5</v>
      </c>
      <c r="DC23">
        <v>391.02550000000002</v>
      </c>
      <c r="DD23">
        <v>400.00066666666697</v>
      </c>
      <c r="DE23">
        <v>17.647383333333298</v>
      </c>
      <c r="DF23">
        <v>15.639749999999999</v>
      </c>
      <c r="DG23">
        <v>390.12383333333298</v>
      </c>
      <c r="DH23">
        <v>17.779199999999999</v>
      </c>
      <c r="DI23">
        <v>500.018666666667</v>
      </c>
      <c r="DJ23">
        <v>101.114166666667</v>
      </c>
      <c r="DK23">
        <v>9.9898849999999997E-2</v>
      </c>
      <c r="DL23">
        <v>25.339183333333299</v>
      </c>
      <c r="DM23">
        <v>25.011216666666702</v>
      </c>
      <c r="DN23">
        <v>999.9</v>
      </c>
      <c r="DO23">
        <v>0</v>
      </c>
      <c r="DP23">
        <v>0</v>
      </c>
      <c r="DQ23">
        <v>10007.9083333333</v>
      </c>
      <c r="DR23">
        <v>0</v>
      </c>
      <c r="DS23">
        <v>6.8745700000000003</v>
      </c>
      <c r="DT23">
        <v>-8.9752866666666709</v>
      </c>
      <c r="DU23">
        <v>398.05</v>
      </c>
      <c r="DV23">
        <v>406.35616666666698</v>
      </c>
      <c r="DW23">
        <v>2.0076350000000001</v>
      </c>
      <c r="DX23">
        <v>400.00066666666697</v>
      </c>
      <c r="DY23">
        <v>15.639749999999999</v>
      </c>
      <c r="DZ23">
        <v>1.784395</v>
      </c>
      <c r="EA23">
        <v>1.5813983333333299</v>
      </c>
      <c r="EB23">
        <v>15.6507666666667</v>
      </c>
      <c r="EC23">
        <v>13.7787333333333</v>
      </c>
      <c r="ED23">
        <v>1499.99833333333</v>
      </c>
      <c r="EE23">
        <v>0.97300166666666699</v>
      </c>
      <c r="EF23">
        <v>2.6998299999999999E-2</v>
      </c>
      <c r="EG23">
        <v>0</v>
      </c>
      <c r="EH23">
        <v>359.51583333333298</v>
      </c>
      <c r="EI23">
        <v>5.0006399999999998</v>
      </c>
      <c r="EJ23">
        <v>5559.5766666666696</v>
      </c>
      <c r="EK23">
        <v>15439.233333333301</v>
      </c>
      <c r="EL23">
        <v>41.176666666666698</v>
      </c>
      <c r="EM23">
        <v>41.875</v>
      </c>
      <c r="EN23">
        <v>41.5</v>
      </c>
      <c r="EO23">
        <v>41.520666666666699</v>
      </c>
      <c r="EP23">
        <v>42.686999999999998</v>
      </c>
      <c r="EQ23">
        <v>1454.6383333333299</v>
      </c>
      <c r="ER23">
        <v>40.36</v>
      </c>
      <c r="ES23">
        <v>0</v>
      </c>
      <c r="ET23">
        <v>1791613226.7</v>
      </c>
      <c r="EU23">
        <v>0</v>
      </c>
      <c r="EV23">
        <v>359.49563999999998</v>
      </c>
      <c r="EW23">
        <v>0.432999990567139</v>
      </c>
      <c r="EX23">
        <v>3.8292307988166998</v>
      </c>
      <c r="EY23">
        <v>5559.3303999999998</v>
      </c>
      <c r="EZ23">
        <v>15</v>
      </c>
      <c r="FA23">
        <v>1791613166</v>
      </c>
      <c r="FB23" t="s">
        <v>440</v>
      </c>
      <c r="FC23">
        <v>1791613166</v>
      </c>
      <c r="FD23">
        <v>1791613163</v>
      </c>
      <c r="FE23">
        <v>74</v>
      </c>
      <c r="FF23">
        <v>-0.04</v>
      </c>
      <c r="FG23">
        <v>0</v>
      </c>
      <c r="FH23">
        <v>0.90700000000000003</v>
      </c>
      <c r="FI23">
        <v>-0.18</v>
      </c>
      <c r="FJ23">
        <v>400</v>
      </c>
      <c r="FK23">
        <v>16</v>
      </c>
      <c r="FL23">
        <v>0.17</v>
      </c>
      <c r="FM23">
        <v>0.05</v>
      </c>
      <c r="FN23">
        <v>20.381105614722301</v>
      </c>
      <c r="FO23">
        <v>0.35189889469519497</v>
      </c>
      <c r="FP23">
        <v>0.100088927927062</v>
      </c>
      <c r="FQ23">
        <v>1</v>
      </c>
      <c r="FR23">
        <v>-8.9535020000000003</v>
      </c>
      <c r="FS23">
        <v>-0.14834796992482099</v>
      </c>
      <c r="FT23">
        <v>3.8905735386957699E-2</v>
      </c>
      <c r="FU23">
        <v>1</v>
      </c>
      <c r="FV23">
        <v>359.482647058824</v>
      </c>
      <c r="FW23">
        <v>0.29561496834397999</v>
      </c>
      <c r="FX23">
        <v>0.203285207116815</v>
      </c>
      <c r="FY23">
        <v>-1</v>
      </c>
      <c r="FZ23">
        <v>2</v>
      </c>
      <c r="GA23">
        <v>2</v>
      </c>
      <c r="GB23" t="s">
        <v>419</v>
      </c>
      <c r="GC23">
        <v>3.1232899999999999</v>
      </c>
      <c r="GD23">
        <v>2.76519</v>
      </c>
      <c r="GE23">
        <v>8.6020299999999994E-2</v>
      </c>
      <c r="GF23">
        <v>8.9844599999999997E-2</v>
      </c>
      <c r="GG23">
        <v>9.3823500000000004E-2</v>
      </c>
      <c r="GH23">
        <v>8.8915599999999997E-2</v>
      </c>
      <c r="GI23">
        <v>17778.8</v>
      </c>
      <c r="GJ23">
        <v>26698.5</v>
      </c>
      <c r="GK23">
        <v>22732.6</v>
      </c>
      <c r="GL23">
        <v>30060.7</v>
      </c>
      <c r="GM23">
        <v>33798.9</v>
      </c>
      <c r="GN23">
        <v>34126.199999999997</v>
      </c>
      <c r="GO23">
        <v>43022.7</v>
      </c>
      <c r="GP23">
        <v>42821.5</v>
      </c>
      <c r="GQ23">
        <v>1.9645999999999999</v>
      </c>
      <c r="GR23">
        <v>1.7920700000000001</v>
      </c>
      <c r="GS23">
        <v>5.4333399999999997E-2</v>
      </c>
      <c r="GT23">
        <v>0</v>
      </c>
      <c r="GU23">
        <v>24.119800000000001</v>
      </c>
      <c r="GV23">
        <v>999.9</v>
      </c>
      <c r="GW23">
        <v>37.674999999999997</v>
      </c>
      <c r="GX23">
        <v>33.828000000000003</v>
      </c>
      <c r="GY23">
        <v>19.716799999999999</v>
      </c>
      <c r="GZ23">
        <v>63.283499999999997</v>
      </c>
      <c r="HA23">
        <v>33.75</v>
      </c>
      <c r="HB23">
        <v>1</v>
      </c>
      <c r="HC23">
        <v>0.12456299999999999</v>
      </c>
      <c r="HD23">
        <v>2.5000800000000001</v>
      </c>
      <c r="HE23">
        <v>20.139399999999998</v>
      </c>
      <c r="HF23">
        <v>5.2339099999999998</v>
      </c>
      <c r="HG23">
        <v>11.9625</v>
      </c>
      <c r="HH23">
        <v>4.9692499999999997</v>
      </c>
      <c r="HI23">
        <v>3.2951999999999999</v>
      </c>
      <c r="HJ23">
        <v>9999</v>
      </c>
      <c r="HK23">
        <v>9999</v>
      </c>
      <c r="HL23">
        <v>999.9</v>
      </c>
      <c r="HM23">
        <v>9999</v>
      </c>
      <c r="HN23">
        <v>4.9697199999999997</v>
      </c>
      <c r="HO23">
        <v>1.8641300000000001</v>
      </c>
      <c r="HP23">
        <v>1.8655999999999999</v>
      </c>
      <c r="HQ23">
        <v>1.8674200000000001</v>
      </c>
      <c r="HR23">
        <v>1.86442</v>
      </c>
      <c r="HS23">
        <v>1.8681300000000001</v>
      </c>
      <c r="HT23">
        <v>1.8649100000000001</v>
      </c>
      <c r="HU23">
        <v>1.86676</v>
      </c>
      <c r="HV23">
        <v>0</v>
      </c>
      <c r="HW23">
        <v>0</v>
      </c>
      <c r="HX23">
        <v>0</v>
      </c>
      <c r="HY23">
        <v>0</v>
      </c>
      <c r="HZ23" t="s">
        <v>420</v>
      </c>
      <c r="IA23" t="s">
        <v>421</v>
      </c>
      <c r="IB23" t="s">
        <v>422</v>
      </c>
      <c r="IC23" t="s">
        <v>422</v>
      </c>
      <c r="ID23" t="s">
        <v>422</v>
      </c>
      <c r="IE23" t="s">
        <v>422</v>
      </c>
      <c r="IF23">
        <v>0</v>
      </c>
      <c r="IG23">
        <v>100</v>
      </c>
      <c r="IH23">
        <v>100</v>
      </c>
      <c r="II23">
        <v>0.90100000000000002</v>
      </c>
      <c r="IJ23">
        <v>-0.13189999999999999</v>
      </c>
      <c r="IK23">
        <v>0.50818987680731098</v>
      </c>
      <c r="IL23">
        <v>1.61658254425633E-3</v>
      </c>
      <c r="IM23">
        <v>-1.89604851270483E-6</v>
      </c>
      <c r="IN23">
        <v>8.6681353432279101E-10</v>
      </c>
      <c r="IO23">
        <v>-6.8822634139965505E-2</v>
      </c>
      <c r="IP23">
        <v>-3.5871989026399903E-2</v>
      </c>
      <c r="IQ23">
        <v>1.9028800927848801E-3</v>
      </c>
      <c r="IR23">
        <v>-4.7539144078026999E-6</v>
      </c>
      <c r="IS23">
        <v>1</v>
      </c>
      <c r="IT23">
        <v>1704</v>
      </c>
      <c r="IU23">
        <v>4</v>
      </c>
      <c r="IV23">
        <v>25</v>
      </c>
      <c r="IW23">
        <v>1</v>
      </c>
      <c r="IX23">
        <v>1.1000000000000001</v>
      </c>
      <c r="IY23">
        <v>1.0522499999999999</v>
      </c>
      <c r="IZ23">
        <v>2.5915499999999998</v>
      </c>
      <c r="JA23">
        <v>1.3464400000000001</v>
      </c>
      <c r="JB23">
        <v>2.2595200000000002</v>
      </c>
      <c r="JC23">
        <v>1.5502899999999999</v>
      </c>
      <c r="JD23">
        <v>2.5976599999999999</v>
      </c>
      <c r="JE23">
        <v>39.842799999999997</v>
      </c>
      <c r="JF23">
        <v>23.9649</v>
      </c>
      <c r="JG23">
        <v>18</v>
      </c>
      <c r="JH23">
        <v>502.39499999999998</v>
      </c>
      <c r="JI23">
        <v>467.892</v>
      </c>
      <c r="JJ23">
        <v>21.696100000000001</v>
      </c>
      <c r="JK23">
        <v>28.828099999999999</v>
      </c>
      <c r="JL23">
        <v>30.0001</v>
      </c>
      <c r="JM23">
        <v>28.8247</v>
      </c>
      <c r="JN23">
        <v>28.840399999999999</v>
      </c>
      <c r="JO23">
        <v>21.063700000000001</v>
      </c>
      <c r="JP23">
        <v>26.7971</v>
      </c>
      <c r="JQ23">
        <v>31.954599999999999</v>
      </c>
      <c r="JR23">
        <v>21.690899999999999</v>
      </c>
      <c r="JS23">
        <v>400</v>
      </c>
      <c r="JT23">
        <v>15.6577</v>
      </c>
      <c r="JU23">
        <v>101.578</v>
      </c>
      <c r="JV23">
        <v>97.230900000000005</v>
      </c>
    </row>
    <row r="24" spans="1:282" x14ac:dyDescent="0.3">
      <c r="A24">
        <v>8</v>
      </c>
      <c r="B24">
        <v>1791613347.0999999</v>
      </c>
      <c r="C24">
        <v>860.09999990463302</v>
      </c>
      <c r="D24" t="s">
        <v>441</v>
      </c>
      <c r="E24" t="s">
        <v>442</v>
      </c>
      <c r="F24">
        <v>5</v>
      </c>
      <c r="G24">
        <v>1791613344.0999999</v>
      </c>
      <c r="H24">
        <f t="shared" si="0"/>
        <v>5.0132676739394842E-3</v>
      </c>
      <c r="I24">
        <f t="shared" si="1"/>
        <v>5.0132676739394846</v>
      </c>
      <c r="J24">
        <f t="shared" si="2"/>
        <v>26.242147670347926</v>
      </c>
      <c r="K24">
        <f t="shared" si="3"/>
        <v>688.1404</v>
      </c>
      <c r="L24">
        <f t="shared" si="4"/>
        <v>557.23445699157139</v>
      </c>
      <c r="M24">
        <f t="shared" si="5"/>
        <v>56.399591381413458</v>
      </c>
      <c r="N24">
        <f t="shared" si="6"/>
        <v>69.649026340862932</v>
      </c>
      <c r="O24">
        <f t="shared" si="7"/>
        <v>0.38023636071192285</v>
      </c>
      <c r="P24">
        <f t="shared" si="8"/>
        <v>3.0286693098033424</v>
      </c>
      <c r="Q24">
        <f t="shared" si="9"/>
        <v>0.35556744952949448</v>
      </c>
      <c r="R24">
        <f t="shared" si="10"/>
        <v>0.22431255412677259</v>
      </c>
      <c r="S24">
        <f t="shared" si="11"/>
        <v>241.73237420292833</v>
      </c>
      <c r="T24">
        <f t="shared" si="12"/>
        <v>25.453930838340369</v>
      </c>
      <c r="U24">
        <f t="shared" si="13"/>
        <v>24.992059999999999</v>
      </c>
      <c r="V24">
        <f t="shared" si="14"/>
        <v>3.1781727195330318</v>
      </c>
      <c r="W24">
        <f t="shared" si="15"/>
        <v>55.06132026549809</v>
      </c>
      <c r="X24">
        <f t="shared" si="16"/>
        <v>1.7861269570873848</v>
      </c>
      <c r="Y24">
        <f t="shared" si="17"/>
        <v>3.2438869036828883</v>
      </c>
      <c r="Z24">
        <f t="shared" si="18"/>
        <v>1.392045762445647</v>
      </c>
      <c r="AA24">
        <f t="shared" si="19"/>
        <v>-221.08510442073126</v>
      </c>
      <c r="AB24">
        <f t="shared" si="20"/>
        <v>56.119892735611792</v>
      </c>
      <c r="AC24">
        <f t="shared" si="21"/>
        <v>3.9259209658576562</v>
      </c>
      <c r="AD24">
        <f t="shared" si="22"/>
        <v>80.693083483666499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53739.561706741748</v>
      </c>
      <c r="AJ24" t="s">
        <v>416</v>
      </c>
      <c r="AK24" t="s">
        <v>416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416</v>
      </c>
      <c r="AQ24" t="s">
        <v>416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1261.1872794833826</v>
      </c>
      <c r="AW24">
        <f t="shared" si="29"/>
        <v>26.242147670347926</v>
      </c>
      <c r="AX24" t="e">
        <f t="shared" si="30"/>
        <v>#DIV/0!</v>
      </c>
      <c r="AY24">
        <f t="shared" si="31"/>
        <v>2.0807494729170945E-2</v>
      </c>
      <c r="AZ24" t="e">
        <f t="shared" si="32"/>
        <v>#DIV/0!</v>
      </c>
      <c r="BA24" t="e">
        <f t="shared" si="33"/>
        <v>#DIV/0!</v>
      </c>
      <c r="BB24" t="s">
        <v>416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CT24">
        <f t="shared" si="42"/>
        <v>1499.972</v>
      </c>
      <c r="CU24">
        <f t="shared" si="43"/>
        <v>1261.1872794833826</v>
      </c>
      <c r="CV24">
        <f t="shared" si="44"/>
        <v>0.84080721472359654</v>
      </c>
      <c r="CW24">
        <f t="shared" si="45"/>
        <v>0.16115792441654134</v>
      </c>
      <c r="CX24">
        <v>2</v>
      </c>
      <c r="CY24">
        <v>0.5</v>
      </c>
      <c r="CZ24" t="s">
        <v>417</v>
      </c>
      <c r="DA24">
        <v>2</v>
      </c>
      <c r="DB24">
        <v>1791613344.0999999</v>
      </c>
      <c r="DC24">
        <v>688.1404</v>
      </c>
      <c r="DD24">
        <v>700.01779999999997</v>
      </c>
      <c r="DE24">
        <v>17.64714</v>
      </c>
      <c r="DF24">
        <v>15.67712</v>
      </c>
      <c r="DG24">
        <v>687.11220000000003</v>
      </c>
      <c r="DH24">
        <v>17.775919999999999</v>
      </c>
      <c r="DI24">
        <v>499.9744</v>
      </c>
      <c r="DJ24">
        <v>101.1134</v>
      </c>
      <c r="DK24">
        <v>9.9995319999999999E-2</v>
      </c>
      <c r="DL24">
        <v>25.335760000000001</v>
      </c>
      <c r="DM24">
        <v>24.992059999999999</v>
      </c>
      <c r="DN24">
        <v>999.9</v>
      </c>
      <c r="DO24">
        <v>0</v>
      </c>
      <c r="DP24">
        <v>0</v>
      </c>
      <c r="DQ24">
        <v>9995.23</v>
      </c>
      <c r="DR24">
        <v>0</v>
      </c>
      <c r="DS24">
        <v>6.8745700000000003</v>
      </c>
      <c r="DT24">
        <v>-11.8773</v>
      </c>
      <c r="DU24">
        <v>700.50220000000002</v>
      </c>
      <c r="DV24">
        <v>711.16679999999997</v>
      </c>
      <c r="DW24">
        <v>1.97001</v>
      </c>
      <c r="DX24">
        <v>700.01779999999997</v>
      </c>
      <c r="DY24">
        <v>15.67712</v>
      </c>
      <c r="DZ24">
        <v>1.784362</v>
      </c>
      <c r="EA24">
        <v>1.5851679999999999</v>
      </c>
      <c r="EB24">
        <v>15.65048</v>
      </c>
      <c r="EC24">
        <v>13.815379999999999</v>
      </c>
      <c r="ED24">
        <v>1499.972</v>
      </c>
      <c r="EE24">
        <v>0.97300140000000002</v>
      </c>
      <c r="EF24">
        <v>2.6998560000000001E-2</v>
      </c>
      <c r="EG24">
        <v>0</v>
      </c>
      <c r="EH24">
        <v>353.56099999999998</v>
      </c>
      <c r="EI24">
        <v>5.0006399999999998</v>
      </c>
      <c r="EJ24">
        <v>5469.3720000000003</v>
      </c>
      <c r="EK24">
        <v>15438.96</v>
      </c>
      <c r="EL24">
        <v>41.186999999999998</v>
      </c>
      <c r="EM24">
        <v>41.875</v>
      </c>
      <c r="EN24">
        <v>41.5124</v>
      </c>
      <c r="EO24">
        <v>41.549599999999998</v>
      </c>
      <c r="EP24">
        <v>42.686999999999998</v>
      </c>
      <c r="EQ24">
        <v>1454.6120000000001</v>
      </c>
      <c r="ER24">
        <v>40.36</v>
      </c>
      <c r="ES24">
        <v>0</v>
      </c>
      <c r="ET24">
        <v>1791613347.9000001</v>
      </c>
      <c r="EU24">
        <v>0</v>
      </c>
      <c r="EV24">
        <v>353.49964</v>
      </c>
      <c r="EW24">
        <v>-0.29530769571980903</v>
      </c>
      <c r="EX24">
        <v>-14.938461506727901</v>
      </c>
      <c r="EY24">
        <v>5470.4888000000001</v>
      </c>
      <c r="EZ24">
        <v>15</v>
      </c>
      <c r="FA24">
        <v>1791613288</v>
      </c>
      <c r="FB24" t="s">
        <v>443</v>
      </c>
      <c r="FC24">
        <v>1791613285</v>
      </c>
      <c r="FD24">
        <v>1791613288</v>
      </c>
      <c r="FE24">
        <v>75</v>
      </c>
      <c r="FF24">
        <v>2.3E-2</v>
      </c>
      <c r="FG24">
        <v>3.0000000000000001E-3</v>
      </c>
      <c r="FH24">
        <v>1.0309999999999999</v>
      </c>
      <c r="FI24">
        <v>-0.17499999999999999</v>
      </c>
      <c r="FJ24">
        <v>700</v>
      </c>
      <c r="FK24">
        <v>16</v>
      </c>
      <c r="FL24">
        <v>0.11</v>
      </c>
      <c r="FM24">
        <v>0.03</v>
      </c>
      <c r="FN24">
        <v>26.061601314257398</v>
      </c>
      <c r="FO24">
        <v>0.39637252373595899</v>
      </c>
      <c r="FP24">
        <v>0.120182805709592</v>
      </c>
      <c r="FQ24">
        <v>1</v>
      </c>
      <c r="FR24">
        <v>-11.812238095238101</v>
      </c>
      <c r="FS24">
        <v>-0.24899220779222</v>
      </c>
      <c r="FT24">
        <v>5.40352043639847E-2</v>
      </c>
      <c r="FU24">
        <v>1</v>
      </c>
      <c r="FV24">
        <v>353.75761764705902</v>
      </c>
      <c r="FW24">
        <v>-3.73847212326856</v>
      </c>
      <c r="FX24">
        <v>0.48467636350005799</v>
      </c>
      <c r="FY24">
        <v>-1</v>
      </c>
      <c r="FZ24">
        <v>2</v>
      </c>
      <c r="GA24">
        <v>2</v>
      </c>
      <c r="GB24" t="s">
        <v>419</v>
      </c>
      <c r="GC24">
        <v>3.1234299999999999</v>
      </c>
      <c r="GD24">
        <v>2.76525</v>
      </c>
      <c r="GE24">
        <v>0.12942000000000001</v>
      </c>
      <c r="GF24">
        <v>0.13436400000000001</v>
      </c>
      <c r="GG24">
        <v>9.3775399999999995E-2</v>
      </c>
      <c r="GH24">
        <v>8.9063100000000006E-2</v>
      </c>
      <c r="GI24">
        <v>16932.900000000001</v>
      </c>
      <c r="GJ24">
        <v>25390.1</v>
      </c>
      <c r="GK24">
        <v>22730.6</v>
      </c>
      <c r="GL24">
        <v>30058.1</v>
      </c>
      <c r="GM24">
        <v>33801.4</v>
      </c>
      <c r="GN24">
        <v>34121.199999999997</v>
      </c>
      <c r="GO24">
        <v>43020.1</v>
      </c>
      <c r="GP24">
        <v>42818.3</v>
      </c>
      <c r="GQ24">
        <v>1.9645999999999999</v>
      </c>
      <c r="GR24">
        <v>1.7919799999999999</v>
      </c>
      <c r="GS24">
        <v>5.3401999999999998E-2</v>
      </c>
      <c r="GT24">
        <v>0</v>
      </c>
      <c r="GU24">
        <v>24.119499999999999</v>
      </c>
      <c r="GV24">
        <v>999.9</v>
      </c>
      <c r="GW24">
        <v>37.590000000000003</v>
      </c>
      <c r="GX24">
        <v>33.878</v>
      </c>
      <c r="GY24">
        <v>19.729900000000001</v>
      </c>
      <c r="GZ24">
        <v>63.385300000000001</v>
      </c>
      <c r="HA24">
        <v>33.734000000000002</v>
      </c>
      <c r="HB24">
        <v>1</v>
      </c>
      <c r="HC24">
        <v>0.12578300000000001</v>
      </c>
      <c r="HD24">
        <v>2.3344299999999998</v>
      </c>
      <c r="HE24">
        <v>20.1418</v>
      </c>
      <c r="HF24">
        <v>5.2336099999999997</v>
      </c>
      <c r="HG24">
        <v>11.9625</v>
      </c>
      <c r="HH24">
        <v>4.9676</v>
      </c>
      <c r="HI24">
        <v>3.2954500000000002</v>
      </c>
      <c r="HJ24">
        <v>9999</v>
      </c>
      <c r="HK24">
        <v>9999</v>
      </c>
      <c r="HL24">
        <v>999.9</v>
      </c>
      <c r="HM24">
        <v>9999</v>
      </c>
      <c r="HN24">
        <v>4.9696999999999996</v>
      </c>
      <c r="HO24">
        <v>1.86415</v>
      </c>
      <c r="HP24">
        <v>1.8656299999999999</v>
      </c>
      <c r="HQ24">
        <v>1.8673999999999999</v>
      </c>
      <c r="HR24">
        <v>1.8644400000000001</v>
      </c>
      <c r="HS24">
        <v>1.8681300000000001</v>
      </c>
      <c r="HT24">
        <v>1.8648800000000001</v>
      </c>
      <c r="HU24">
        <v>1.86676</v>
      </c>
      <c r="HV24">
        <v>0</v>
      </c>
      <c r="HW24">
        <v>0</v>
      </c>
      <c r="HX24">
        <v>0</v>
      </c>
      <c r="HY24">
        <v>0</v>
      </c>
      <c r="HZ24" t="s">
        <v>420</v>
      </c>
      <c r="IA24" t="s">
        <v>421</v>
      </c>
      <c r="IB24" t="s">
        <v>422</v>
      </c>
      <c r="IC24" t="s">
        <v>422</v>
      </c>
      <c r="ID24" t="s">
        <v>422</v>
      </c>
      <c r="IE24" t="s">
        <v>422</v>
      </c>
      <c r="IF24">
        <v>0</v>
      </c>
      <c r="IG24">
        <v>100</v>
      </c>
      <c r="IH24">
        <v>100</v>
      </c>
      <c r="II24">
        <v>1.028</v>
      </c>
      <c r="IJ24">
        <v>-0.12920000000000001</v>
      </c>
      <c r="IK24">
        <v>0.53149309169274905</v>
      </c>
      <c r="IL24">
        <v>1.61658254425633E-3</v>
      </c>
      <c r="IM24">
        <v>-1.89604851270483E-6</v>
      </c>
      <c r="IN24">
        <v>8.6681353432279101E-10</v>
      </c>
      <c r="IO24">
        <v>-6.5707172000450703E-2</v>
      </c>
      <c r="IP24">
        <v>-3.5871989026399903E-2</v>
      </c>
      <c r="IQ24">
        <v>1.9028800927848801E-3</v>
      </c>
      <c r="IR24">
        <v>-4.7539144078026999E-6</v>
      </c>
      <c r="IS24">
        <v>1</v>
      </c>
      <c r="IT24">
        <v>1704</v>
      </c>
      <c r="IU24">
        <v>4</v>
      </c>
      <c r="IV24">
        <v>25</v>
      </c>
      <c r="IW24">
        <v>1</v>
      </c>
      <c r="IX24">
        <v>1</v>
      </c>
      <c r="IY24">
        <v>1.63452</v>
      </c>
      <c r="IZ24">
        <v>2.5842299999999998</v>
      </c>
      <c r="JA24">
        <v>1.3476600000000001</v>
      </c>
      <c r="JB24">
        <v>2.2595200000000002</v>
      </c>
      <c r="JC24">
        <v>1.5502899999999999</v>
      </c>
      <c r="JD24">
        <v>2.4389599999999998</v>
      </c>
      <c r="JE24">
        <v>39.8932</v>
      </c>
      <c r="JF24">
        <v>23.9649</v>
      </c>
      <c r="JG24">
        <v>18</v>
      </c>
      <c r="JH24">
        <v>502.5</v>
      </c>
      <c r="JI24">
        <v>467.92399999999998</v>
      </c>
      <c r="JJ24">
        <v>21.796500000000002</v>
      </c>
      <c r="JK24">
        <v>28.846299999999999</v>
      </c>
      <c r="JL24">
        <v>30.0001</v>
      </c>
      <c r="JM24">
        <v>28.837</v>
      </c>
      <c r="JN24">
        <v>28.8522</v>
      </c>
      <c r="JO24">
        <v>32.723300000000002</v>
      </c>
      <c r="JP24">
        <v>26.830200000000001</v>
      </c>
      <c r="JQ24">
        <v>31.4559</v>
      </c>
      <c r="JR24">
        <v>21.802399999999999</v>
      </c>
      <c r="JS24">
        <v>700</v>
      </c>
      <c r="JT24">
        <v>15.652799999999999</v>
      </c>
      <c r="JU24">
        <v>101.571</v>
      </c>
      <c r="JV24">
        <v>97.223200000000006</v>
      </c>
    </row>
    <row r="25" spans="1:282" x14ac:dyDescent="0.3">
      <c r="A25">
        <v>9</v>
      </c>
      <c r="B25">
        <v>1791613497.0999999</v>
      </c>
      <c r="C25">
        <v>1010.09999990463</v>
      </c>
      <c r="D25" t="s">
        <v>444</v>
      </c>
      <c r="E25" t="s">
        <v>445</v>
      </c>
      <c r="F25">
        <v>5</v>
      </c>
      <c r="G25">
        <v>1791613493.5999999</v>
      </c>
      <c r="H25">
        <f t="shared" si="0"/>
        <v>4.5959045308324818E-3</v>
      </c>
      <c r="I25">
        <f t="shared" si="1"/>
        <v>4.595904530832482</v>
      </c>
      <c r="J25">
        <f t="shared" si="2"/>
        <v>27.49591518910615</v>
      </c>
      <c r="K25">
        <f t="shared" si="3"/>
        <v>987.09466666666697</v>
      </c>
      <c r="L25">
        <f t="shared" si="4"/>
        <v>830.92851251937259</v>
      </c>
      <c r="M25">
        <f t="shared" si="5"/>
        <v>84.097570650962084</v>
      </c>
      <c r="N25">
        <f t="shared" si="6"/>
        <v>99.903014782216317</v>
      </c>
      <c r="O25">
        <f t="shared" si="7"/>
        <v>0.34186634113477182</v>
      </c>
      <c r="P25">
        <f t="shared" si="8"/>
        <v>3.0284585029159352</v>
      </c>
      <c r="Q25">
        <f t="shared" si="9"/>
        <v>0.32178258346568162</v>
      </c>
      <c r="R25">
        <f t="shared" si="10"/>
        <v>0.20282016833443725</v>
      </c>
      <c r="S25">
        <f t="shared" si="11"/>
        <v>241.73232100292867</v>
      </c>
      <c r="T25">
        <f t="shared" si="12"/>
        <v>25.529397851146459</v>
      </c>
      <c r="U25">
        <f t="shared" si="13"/>
        <v>25.040700000000001</v>
      </c>
      <c r="V25">
        <f t="shared" si="14"/>
        <v>3.187401253152736</v>
      </c>
      <c r="W25">
        <f t="shared" si="15"/>
        <v>54.887390493385034</v>
      </c>
      <c r="X25">
        <f t="shared" si="16"/>
        <v>1.7773221216594952</v>
      </c>
      <c r="Y25">
        <f t="shared" si="17"/>
        <v>3.2381246506402888</v>
      </c>
      <c r="Z25">
        <f t="shared" si="18"/>
        <v>1.4100791314932408</v>
      </c>
      <c r="AA25">
        <f t="shared" si="19"/>
        <v>-202.67938980971243</v>
      </c>
      <c r="AB25">
        <f t="shared" si="20"/>
        <v>43.293829233578961</v>
      </c>
      <c r="AC25">
        <f t="shared" si="21"/>
        <v>3.029157459041353</v>
      </c>
      <c r="AD25">
        <f t="shared" si="22"/>
        <v>85.375917885836557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53738.286940255595</v>
      </c>
      <c r="AJ25" t="s">
        <v>416</v>
      </c>
      <c r="AK25" t="s">
        <v>416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416</v>
      </c>
      <c r="AQ25" t="s">
        <v>416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1261.1869994833853</v>
      </c>
      <c r="AW25">
        <f t="shared" si="29"/>
        <v>27.49591518910615</v>
      </c>
      <c r="AX25" t="e">
        <f t="shared" si="30"/>
        <v>#DIV/0!</v>
      </c>
      <c r="AY25">
        <f t="shared" si="31"/>
        <v>2.1801616414036287E-2</v>
      </c>
      <c r="AZ25" t="e">
        <f t="shared" si="32"/>
        <v>#DIV/0!</v>
      </c>
      <c r="BA25" t="e">
        <f t="shared" si="33"/>
        <v>#DIV/0!</v>
      </c>
      <c r="BB25" t="s">
        <v>416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CT25">
        <f t="shared" si="42"/>
        <v>1499.97166666667</v>
      </c>
      <c r="CU25">
        <f t="shared" si="43"/>
        <v>1261.1869994833853</v>
      </c>
      <c r="CV25">
        <f t="shared" si="44"/>
        <v>0.84080721490298094</v>
      </c>
      <c r="CW25">
        <f t="shared" si="45"/>
        <v>0.16115792476275317</v>
      </c>
      <c r="CX25">
        <v>2</v>
      </c>
      <c r="CY25">
        <v>0.5</v>
      </c>
      <c r="CZ25" t="s">
        <v>417</v>
      </c>
      <c r="DA25">
        <v>2</v>
      </c>
      <c r="DB25">
        <v>1791613493.5999999</v>
      </c>
      <c r="DC25">
        <v>987.09466666666697</v>
      </c>
      <c r="DD25">
        <v>999.90616666666699</v>
      </c>
      <c r="DE25">
        <v>17.560883333333301</v>
      </c>
      <c r="DF25">
        <v>15.7550166666667</v>
      </c>
      <c r="DG25">
        <v>986.088666666667</v>
      </c>
      <c r="DH25">
        <v>17.690633333333299</v>
      </c>
      <c r="DI25">
        <v>500.05866666666702</v>
      </c>
      <c r="DJ25">
        <v>101.10916666666699</v>
      </c>
      <c r="DK25">
        <v>9.9985966666666704E-2</v>
      </c>
      <c r="DL25">
        <v>25.305866666666699</v>
      </c>
      <c r="DM25">
        <v>25.040700000000001</v>
      </c>
      <c r="DN25">
        <v>999.9</v>
      </c>
      <c r="DO25">
        <v>0</v>
      </c>
      <c r="DP25">
        <v>0</v>
      </c>
      <c r="DQ25">
        <v>9994.375</v>
      </c>
      <c r="DR25">
        <v>0</v>
      </c>
      <c r="DS25">
        <v>6.8745700000000003</v>
      </c>
      <c r="DT25">
        <v>-12.8113666666667</v>
      </c>
      <c r="DU25">
        <v>1004.74</v>
      </c>
      <c r="DV25">
        <v>1015.91333333333</v>
      </c>
      <c r="DW25">
        <v>1.80586</v>
      </c>
      <c r="DX25">
        <v>999.90616666666699</v>
      </c>
      <c r="DY25">
        <v>15.7550166666667</v>
      </c>
      <c r="DZ25">
        <v>1.7755666666666701</v>
      </c>
      <c r="EA25">
        <v>1.59297666666667</v>
      </c>
      <c r="EB25">
        <v>15.5733333333333</v>
      </c>
      <c r="EC25">
        <v>13.89105</v>
      </c>
      <c r="ED25">
        <v>1499.97166666667</v>
      </c>
      <c r="EE25">
        <v>0.97300166666666699</v>
      </c>
      <c r="EF25">
        <v>2.6998299999999999E-2</v>
      </c>
      <c r="EG25">
        <v>0</v>
      </c>
      <c r="EH25">
        <v>353.841833333333</v>
      </c>
      <c r="EI25">
        <v>5.0006399999999998</v>
      </c>
      <c r="EJ25">
        <v>5477.7483333333303</v>
      </c>
      <c r="EK25">
        <v>15438.916666666701</v>
      </c>
      <c r="EL25">
        <v>41.186999999999998</v>
      </c>
      <c r="EM25">
        <v>41.875</v>
      </c>
      <c r="EN25">
        <v>41.5103333333333</v>
      </c>
      <c r="EO25">
        <v>41.561999999999998</v>
      </c>
      <c r="EP25">
        <v>42.686999999999998</v>
      </c>
      <c r="EQ25">
        <v>1454.6116666666701</v>
      </c>
      <c r="ER25">
        <v>40.36</v>
      </c>
      <c r="ES25">
        <v>0</v>
      </c>
      <c r="ET25">
        <v>1791613497.9000001</v>
      </c>
      <c r="EU25">
        <v>0</v>
      </c>
      <c r="EV25">
        <v>353.80396000000002</v>
      </c>
      <c r="EW25">
        <v>2.3313846194650099</v>
      </c>
      <c r="EX25">
        <v>30.165384586211498</v>
      </c>
      <c r="EY25">
        <v>5476.2124000000003</v>
      </c>
      <c r="EZ25">
        <v>15</v>
      </c>
      <c r="FA25">
        <v>1791613411.0999999</v>
      </c>
      <c r="FB25" t="s">
        <v>446</v>
      </c>
      <c r="FC25">
        <v>1791613411.0999999</v>
      </c>
      <c r="FD25">
        <v>1791613403.0999999</v>
      </c>
      <c r="FE25">
        <v>76</v>
      </c>
      <c r="FF25">
        <v>-0.107</v>
      </c>
      <c r="FG25">
        <v>1E-3</v>
      </c>
      <c r="FH25">
        <v>1.012</v>
      </c>
      <c r="FI25">
        <v>-0.17299999999999999</v>
      </c>
      <c r="FJ25">
        <v>1000</v>
      </c>
      <c r="FK25">
        <v>16</v>
      </c>
      <c r="FL25">
        <v>0.16</v>
      </c>
      <c r="FM25">
        <v>0.05</v>
      </c>
      <c r="FN25">
        <v>27.585804358606801</v>
      </c>
      <c r="FO25">
        <v>0.126535744347545</v>
      </c>
      <c r="FP25">
        <v>0.233344556365599</v>
      </c>
      <c r="FQ25">
        <v>1</v>
      </c>
      <c r="FR25">
        <v>-12.87532</v>
      </c>
      <c r="FS25">
        <v>0.28438195488720502</v>
      </c>
      <c r="FT25">
        <v>9.2661106188087206E-2</v>
      </c>
      <c r="FU25">
        <v>1</v>
      </c>
      <c r="FV25">
        <v>353.68217647058799</v>
      </c>
      <c r="FW25">
        <v>0.928647827054357</v>
      </c>
      <c r="FX25">
        <v>0.20481906945173001</v>
      </c>
      <c r="FY25">
        <v>-1</v>
      </c>
      <c r="FZ25">
        <v>2</v>
      </c>
      <c r="GA25">
        <v>2</v>
      </c>
      <c r="GB25" t="s">
        <v>419</v>
      </c>
      <c r="GC25">
        <v>3.1231200000000001</v>
      </c>
      <c r="GD25">
        <v>2.7652299999999999</v>
      </c>
      <c r="GE25">
        <v>0.163936</v>
      </c>
      <c r="GF25">
        <v>0.16958300000000001</v>
      </c>
      <c r="GG25">
        <v>9.3497499999999997E-2</v>
      </c>
      <c r="GH25">
        <v>8.93785E-2</v>
      </c>
      <c r="GI25">
        <v>16261.1</v>
      </c>
      <c r="GJ25">
        <v>24357.8</v>
      </c>
      <c r="GK25">
        <v>22730.3</v>
      </c>
      <c r="GL25">
        <v>30059.200000000001</v>
      </c>
      <c r="GM25">
        <v>33813.800000000003</v>
      </c>
      <c r="GN25">
        <v>34113.199999999997</v>
      </c>
      <c r="GO25">
        <v>43019.6</v>
      </c>
      <c r="GP25">
        <v>42820.1</v>
      </c>
      <c r="GQ25">
        <v>1.9649300000000001</v>
      </c>
      <c r="GR25">
        <v>1.79183</v>
      </c>
      <c r="GS25">
        <v>5.3774599999999999E-2</v>
      </c>
      <c r="GT25">
        <v>0</v>
      </c>
      <c r="GU25">
        <v>24.138100000000001</v>
      </c>
      <c r="GV25">
        <v>999.9</v>
      </c>
      <c r="GW25">
        <v>37.436999999999998</v>
      </c>
      <c r="GX25">
        <v>33.939</v>
      </c>
      <c r="GY25">
        <v>19.715599999999998</v>
      </c>
      <c r="GZ25">
        <v>63.235300000000002</v>
      </c>
      <c r="HA25">
        <v>34.467100000000002</v>
      </c>
      <c r="HB25">
        <v>1</v>
      </c>
      <c r="HC25">
        <v>0.127693</v>
      </c>
      <c r="HD25">
        <v>2.8315700000000001</v>
      </c>
      <c r="HE25">
        <v>20.134</v>
      </c>
      <c r="HF25">
        <v>5.2343599999999997</v>
      </c>
      <c r="HG25">
        <v>11.962199999999999</v>
      </c>
      <c r="HH25">
        <v>4.9690500000000002</v>
      </c>
      <c r="HI25">
        <v>3.2955000000000001</v>
      </c>
      <c r="HJ25">
        <v>9999</v>
      </c>
      <c r="HK25">
        <v>9999</v>
      </c>
      <c r="HL25">
        <v>999.9</v>
      </c>
      <c r="HM25">
        <v>9999</v>
      </c>
      <c r="HN25">
        <v>4.9696999999999996</v>
      </c>
      <c r="HO25">
        <v>1.86409</v>
      </c>
      <c r="HP25">
        <v>1.8655999999999999</v>
      </c>
      <c r="HQ25">
        <v>1.8673999999999999</v>
      </c>
      <c r="HR25">
        <v>1.86439</v>
      </c>
      <c r="HS25">
        <v>1.8681300000000001</v>
      </c>
      <c r="HT25">
        <v>1.8648499999999999</v>
      </c>
      <c r="HU25">
        <v>1.86676</v>
      </c>
      <c r="HV25">
        <v>0</v>
      </c>
      <c r="HW25">
        <v>0</v>
      </c>
      <c r="HX25">
        <v>0</v>
      </c>
      <c r="HY25">
        <v>0</v>
      </c>
      <c r="HZ25" t="s">
        <v>420</v>
      </c>
      <c r="IA25" t="s">
        <v>421</v>
      </c>
      <c r="IB25" t="s">
        <v>422</v>
      </c>
      <c r="IC25" t="s">
        <v>422</v>
      </c>
      <c r="ID25" t="s">
        <v>422</v>
      </c>
      <c r="IE25" t="s">
        <v>422</v>
      </c>
      <c r="IF25">
        <v>0</v>
      </c>
      <c r="IG25">
        <v>100</v>
      </c>
      <c r="IH25">
        <v>100</v>
      </c>
      <c r="II25">
        <v>1.006</v>
      </c>
      <c r="IJ25">
        <v>-0.12970000000000001</v>
      </c>
      <c r="IK25">
        <v>0.42474097365640801</v>
      </c>
      <c r="IL25">
        <v>1.61658254425633E-3</v>
      </c>
      <c r="IM25">
        <v>-1.89604851270483E-6</v>
      </c>
      <c r="IN25">
        <v>8.6681353432279101E-10</v>
      </c>
      <c r="IO25">
        <v>-6.4343815330125204E-2</v>
      </c>
      <c r="IP25">
        <v>-3.5871989026399903E-2</v>
      </c>
      <c r="IQ25">
        <v>1.9028800927848801E-3</v>
      </c>
      <c r="IR25">
        <v>-4.7539144078026999E-6</v>
      </c>
      <c r="IS25">
        <v>1</v>
      </c>
      <c r="IT25">
        <v>1704</v>
      </c>
      <c r="IU25">
        <v>4</v>
      </c>
      <c r="IV25">
        <v>25</v>
      </c>
      <c r="IW25">
        <v>1.4</v>
      </c>
      <c r="IX25">
        <v>1.6</v>
      </c>
      <c r="IY25">
        <v>2.1752899999999999</v>
      </c>
      <c r="IZ25">
        <v>2.5573700000000001</v>
      </c>
      <c r="JA25">
        <v>1.3464400000000001</v>
      </c>
      <c r="JB25">
        <v>2.2607400000000002</v>
      </c>
      <c r="JC25">
        <v>1.5502899999999999</v>
      </c>
      <c r="JD25">
        <v>2.65259</v>
      </c>
      <c r="JE25">
        <v>39.9437</v>
      </c>
      <c r="JF25">
        <v>23.9649</v>
      </c>
      <c r="JG25">
        <v>18</v>
      </c>
      <c r="JH25">
        <v>502.74599999999998</v>
      </c>
      <c r="JI25">
        <v>467.86700000000002</v>
      </c>
      <c r="JJ25">
        <v>21.411300000000001</v>
      </c>
      <c r="JK25">
        <v>28.857700000000001</v>
      </c>
      <c r="JL25">
        <v>30.0002</v>
      </c>
      <c r="JM25">
        <v>28.841899999999999</v>
      </c>
      <c r="JN25">
        <v>28.857600000000001</v>
      </c>
      <c r="JO25">
        <v>43.562399999999997</v>
      </c>
      <c r="JP25">
        <v>26.255700000000001</v>
      </c>
      <c r="JQ25">
        <v>30.913599999999999</v>
      </c>
      <c r="JR25">
        <v>21.373699999999999</v>
      </c>
      <c r="JS25">
        <v>1000</v>
      </c>
      <c r="JT25">
        <v>15.825900000000001</v>
      </c>
      <c r="JU25">
        <v>101.57</v>
      </c>
      <c r="JV25">
        <v>97.227000000000004</v>
      </c>
    </row>
    <row r="26" spans="1:282" x14ac:dyDescent="0.3">
      <c r="A26">
        <v>10</v>
      </c>
      <c r="B26">
        <v>1791613642.0999999</v>
      </c>
      <c r="C26">
        <v>1155.0999999046301</v>
      </c>
      <c r="D26" t="s">
        <v>447</v>
      </c>
      <c r="E26" t="s">
        <v>448</v>
      </c>
      <c r="F26">
        <v>5</v>
      </c>
      <c r="G26">
        <v>1791613638.5999999</v>
      </c>
      <c r="H26">
        <f t="shared" si="0"/>
        <v>4.0922469723577324E-3</v>
      </c>
      <c r="I26">
        <f t="shared" si="1"/>
        <v>4.0922469723577324</v>
      </c>
      <c r="J26">
        <f t="shared" si="2"/>
        <v>28.363297282824366</v>
      </c>
      <c r="K26">
        <f t="shared" si="3"/>
        <v>1186.6766666666699</v>
      </c>
      <c r="L26">
        <f t="shared" si="4"/>
        <v>1006.2585956077382</v>
      </c>
      <c r="M26">
        <f t="shared" si="5"/>
        <v>101.84400478780643</v>
      </c>
      <c r="N26">
        <f t="shared" si="6"/>
        <v>120.10422037546579</v>
      </c>
      <c r="O26">
        <f t="shared" si="7"/>
        <v>0.30523936150431835</v>
      </c>
      <c r="P26">
        <f t="shared" si="8"/>
        <v>3.0291010023153806</v>
      </c>
      <c r="Q26">
        <f t="shared" si="9"/>
        <v>0.28912285051137404</v>
      </c>
      <c r="R26">
        <f t="shared" si="10"/>
        <v>0.18207884295528029</v>
      </c>
      <c r="S26">
        <f t="shared" si="11"/>
        <v>241.73551300294201</v>
      </c>
      <c r="T26">
        <f t="shared" si="12"/>
        <v>25.595010502491697</v>
      </c>
      <c r="U26">
        <f t="shared" si="13"/>
        <v>24.969933333333302</v>
      </c>
      <c r="V26">
        <f t="shared" si="14"/>
        <v>3.1739823295936187</v>
      </c>
      <c r="W26">
        <f t="shared" si="15"/>
        <v>55.062485779915839</v>
      </c>
      <c r="X26">
        <f t="shared" si="16"/>
        <v>1.7764816398487857</v>
      </c>
      <c r="Y26">
        <f t="shared" si="17"/>
        <v>3.226301200692907</v>
      </c>
      <c r="Z26">
        <f t="shared" si="18"/>
        <v>1.397500689744833</v>
      </c>
      <c r="AA26">
        <f t="shared" si="19"/>
        <v>-180.468091480976</v>
      </c>
      <c r="AB26">
        <f t="shared" si="20"/>
        <v>44.819027948846809</v>
      </c>
      <c r="AC26">
        <f t="shared" si="21"/>
        <v>3.1331211798591703</v>
      </c>
      <c r="AD26">
        <f t="shared" si="22"/>
        <v>109.21957065067198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53769.418920254939</v>
      </c>
      <c r="AJ26" t="s">
        <v>416</v>
      </c>
      <c r="AK26" t="s">
        <v>416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416</v>
      </c>
      <c r="AQ26" t="s">
        <v>416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1261.2037994833922</v>
      </c>
      <c r="AW26">
        <f t="shared" si="29"/>
        <v>28.363297282824366</v>
      </c>
      <c r="AX26" t="e">
        <f t="shared" si="30"/>
        <v>#DIV/0!</v>
      </c>
      <c r="AY26">
        <f t="shared" si="31"/>
        <v>2.2489067424663955E-2</v>
      </c>
      <c r="AZ26" t="e">
        <f t="shared" si="32"/>
        <v>#DIV/0!</v>
      </c>
      <c r="BA26" t="e">
        <f t="shared" si="33"/>
        <v>#DIV/0!</v>
      </c>
      <c r="BB26" t="s">
        <v>416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CT26">
        <f t="shared" si="42"/>
        <v>1499.99166666667</v>
      </c>
      <c r="CU26">
        <f t="shared" si="43"/>
        <v>1261.2037994833922</v>
      </c>
      <c r="CV26">
        <f t="shared" si="44"/>
        <v>0.84080720414006038</v>
      </c>
      <c r="CW26">
        <f t="shared" si="45"/>
        <v>0.16115790399031649</v>
      </c>
      <c r="CX26">
        <v>2</v>
      </c>
      <c r="CY26">
        <v>0.5</v>
      </c>
      <c r="CZ26" t="s">
        <v>417</v>
      </c>
      <c r="DA26">
        <v>2</v>
      </c>
      <c r="DB26">
        <v>1791613638.5999999</v>
      </c>
      <c r="DC26">
        <v>1186.6766666666699</v>
      </c>
      <c r="DD26">
        <v>1199.9649999999999</v>
      </c>
      <c r="DE26">
        <v>17.552333333333301</v>
      </c>
      <c r="DF26">
        <v>15.944100000000001</v>
      </c>
      <c r="DG26">
        <v>1185.05666666667</v>
      </c>
      <c r="DH26">
        <v>17.677666666666699</v>
      </c>
      <c r="DI26">
        <v>499.97949999999997</v>
      </c>
      <c r="DJ26">
        <v>101.1105</v>
      </c>
      <c r="DK26">
        <v>0.100068766666667</v>
      </c>
      <c r="DL26">
        <v>25.2443833333333</v>
      </c>
      <c r="DM26">
        <v>24.969933333333302</v>
      </c>
      <c r="DN26">
        <v>999.9</v>
      </c>
      <c r="DO26">
        <v>0</v>
      </c>
      <c r="DP26">
        <v>0</v>
      </c>
      <c r="DQ26">
        <v>9998.125</v>
      </c>
      <c r="DR26">
        <v>0</v>
      </c>
      <c r="DS26">
        <v>6.8200099999999999</v>
      </c>
      <c r="DT26">
        <v>-13.2892666666667</v>
      </c>
      <c r="DU26">
        <v>1207.875</v>
      </c>
      <c r="DV26">
        <v>1219.4066666666699</v>
      </c>
      <c r="DW26">
        <v>1.6082050000000001</v>
      </c>
      <c r="DX26">
        <v>1199.9649999999999</v>
      </c>
      <c r="DY26">
        <v>15.944100000000001</v>
      </c>
      <c r="DZ26">
        <v>1.7747183333333301</v>
      </c>
      <c r="EA26">
        <v>1.612115</v>
      </c>
      <c r="EB26">
        <v>15.5658833333333</v>
      </c>
      <c r="EC26">
        <v>14.0750666666667</v>
      </c>
      <c r="ED26">
        <v>1499.99166666667</v>
      </c>
      <c r="EE26">
        <v>0.97300233333333297</v>
      </c>
      <c r="EF26">
        <v>2.6997650000000002E-2</v>
      </c>
      <c r="EG26">
        <v>0</v>
      </c>
      <c r="EH26">
        <v>355.47250000000003</v>
      </c>
      <c r="EI26">
        <v>5.0006399999999998</v>
      </c>
      <c r="EJ26">
        <v>5497.6750000000002</v>
      </c>
      <c r="EK26">
        <v>15439.1333333333</v>
      </c>
      <c r="EL26">
        <v>41.186999999999998</v>
      </c>
      <c r="EM26">
        <v>41.916333333333299</v>
      </c>
      <c r="EN26">
        <v>41.561999999999998</v>
      </c>
      <c r="EO26">
        <v>41.561999999999998</v>
      </c>
      <c r="EP26">
        <v>42.697499999999998</v>
      </c>
      <c r="EQ26">
        <v>1454.6316666666701</v>
      </c>
      <c r="ER26">
        <v>40.36</v>
      </c>
      <c r="ES26">
        <v>0</v>
      </c>
      <c r="ET26">
        <v>1791613643.0999999</v>
      </c>
      <c r="EU26">
        <v>0</v>
      </c>
      <c r="EV26">
        <v>355.21332000000001</v>
      </c>
      <c r="EW26">
        <v>2.3429230704517798</v>
      </c>
      <c r="EX26">
        <v>29.416153875727201</v>
      </c>
      <c r="EY26">
        <v>5495.7939999999999</v>
      </c>
      <c r="EZ26">
        <v>15</v>
      </c>
      <c r="FA26">
        <v>1791613572.0999999</v>
      </c>
      <c r="FB26" t="s">
        <v>449</v>
      </c>
      <c r="FC26">
        <v>1791613572.0999999</v>
      </c>
      <c r="FD26">
        <v>1791613557.0999999</v>
      </c>
      <c r="FE26">
        <v>77</v>
      </c>
      <c r="FF26">
        <v>0.498</v>
      </c>
      <c r="FG26">
        <v>5.0000000000000001E-3</v>
      </c>
      <c r="FH26">
        <v>1.63</v>
      </c>
      <c r="FI26">
        <v>-0.16500000000000001</v>
      </c>
      <c r="FJ26">
        <v>1200</v>
      </c>
      <c r="FK26">
        <v>16</v>
      </c>
      <c r="FL26">
        <v>0.44</v>
      </c>
      <c r="FM26">
        <v>0.03</v>
      </c>
      <c r="FN26">
        <v>28.4237260800436</v>
      </c>
      <c r="FO26">
        <v>0.55092786383391401</v>
      </c>
      <c r="FP26">
        <v>0.13878766889581701</v>
      </c>
      <c r="FQ26">
        <v>1</v>
      </c>
      <c r="FR26">
        <v>-13.3185380952381</v>
      </c>
      <c r="FS26">
        <v>-6.8999999999982298E-2</v>
      </c>
      <c r="FT26">
        <v>5.54005799882865E-2</v>
      </c>
      <c r="FU26">
        <v>1</v>
      </c>
      <c r="FV26">
        <v>355.038735294118</v>
      </c>
      <c r="FW26">
        <v>3.07191749294469</v>
      </c>
      <c r="FX26">
        <v>0.350865091286862</v>
      </c>
      <c r="FY26">
        <v>-1</v>
      </c>
      <c r="FZ26">
        <v>2</v>
      </c>
      <c r="GA26">
        <v>2</v>
      </c>
      <c r="GB26" t="s">
        <v>419</v>
      </c>
      <c r="GC26">
        <v>3.1235499999999998</v>
      </c>
      <c r="GD26">
        <v>2.7652700000000001</v>
      </c>
      <c r="GE26">
        <v>0.18373900000000001</v>
      </c>
      <c r="GF26">
        <v>0.18982199999999999</v>
      </c>
      <c r="GG26">
        <v>9.3408199999999997E-2</v>
      </c>
      <c r="GH26">
        <v>9.0151300000000004E-2</v>
      </c>
      <c r="GI26">
        <v>15876.2</v>
      </c>
      <c r="GJ26">
        <v>23764.2</v>
      </c>
      <c r="GK26">
        <v>22730.7</v>
      </c>
      <c r="GL26">
        <v>30059.4</v>
      </c>
      <c r="GM26">
        <v>33818.9</v>
      </c>
      <c r="GN26">
        <v>34085.5</v>
      </c>
      <c r="GO26">
        <v>43020.2</v>
      </c>
      <c r="GP26">
        <v>42820.1</v>
      </c>
      <c r="GQ26">
        <v>1.96502</v>
      </c>
      <c r="GR26">
        <v>1.79237</v>
      </c>
      <c r="GS26">
        <v>5.2973600000000003E-2</v>
      </c>
      <c r="GT26">
        <v>0</v>
      </c>
      <c r="GU26">
        <v>24.1111</v>
      </c>
      <c r="GV26">
        <v>999.9</v>
      </c>
      <c r="GW26">
        <v>37.308999999999997</v>
      </c>
      <c r="GX26">
        <v>34.009</v>
      </c>
      <c r="GY26">
        <v>19.725899999999999</v>
      </c>
      <c r="GZ26">
        <v>63.045299999999997</v>
      </c>
      <c r="HA26">
        <v>33.75</v>
      </c>
      <c r="HB26">
        <v>1</v>
      </c>
      <c r="HC26">
        <v>0.125523</v>
      </c>
      <c r="HD26">
        <v>2.4182199999999998</v>
      </c>
      <c r="HE26">
        <v>20.140799999999999</v>
      </c>
      <c r="HF26">
        <v>5.2337600000000002</v>
      </c>
      <c r="HG26">
        <v>11.9625</v>
      </c>
      <c r="HH26">
        <v>4.9690000000000003</v>
      </c>
      <c r="HI26">
        <v>3.2953999999999999</v>
      </c>
      <c r="HJ26">
        <v>9999</v>
      </c>
      <c r="HK26">
        <v>9999</v>
      </c>
      <c r="HL26">
        <v>999.9</v>
      </c>
      <c r="HM26">
        <v>9999</v>
      </c>
      <c r="HN26">
        <v>4.9696999999999996</v>
      </c>
      <c r="HO26">
        <v>1.86412</v>
      </c>
      <c r="HP26">
        <v>1.86561</v>
      </c>
      <c r="HQ26">
        <v>1.8673999999999999</v>
      </c>
      <c r="HR26">
        <v>1.8644400000000001</v>
      </c>
      <c r="HS26">
        <v>1.86812</v>
      </c>
      <c r="HT26">
        <v>1.86487</v>
      </c>
      <c r="HU26">
        <v>1.86676</v>
      </c>
      <c r="HV26">
        <v>0</v>
      </c>
      <c r="HW26">
        <v>0</v>
      </c>
      <c r="HX26">
        <v>0</v>
      </c>
      <c r="HY26">
        <v>0</v>
      </c>
      <c r="HZ26" t="s">
        <v>420</v>
      </c>
      <c r="IA26" t="s">
        <v>421</v>
      </c>
      <c r="IB26" t="s">
        <v>422</v>
      </c>
      <c r="IC26" t="s">
        <v>422</v>
      </c>
      <c r="ID26" t="s">
        <v>422</v>
      </c>
      <c r="IE26" t="s">
        <v>422</v>
      </c>
      <c r="IF26">
        <v>0</v>
      </c>
      <c r="IG26">
        <v>100</v>
      </c>
      <c r="IH26">
        <v>100</v>
      </c>
      <c r="II26">
        <v>1.61</v>
      </c>
      <c r="IJ26">
        <v>-0.12559999999999999</v>
      </c>
      <c r="IK26">
        <v>0.92360592470960701</v>
      </c>
      <c r="IL26">
        <v>1.61658254425633E-3</v>
      </c>
      <c r="IM26">
        <v>-1.89604851270483E-6</v>
      </c>
      <c r="IN26">
        <v>8.6681353432279101E-10</v>
      </c>
      <c r="IO26">
        <v>-5.96090790303083E-2</v>
      </c>
      <c r="IP26">
        <v>-3.5871989026399903E-2</v>
      </c>
      <c r="IQ26">
        <v>1.9028800927848801E-3</v>
      </c>
      <c r="IR26">
        <v>-4.7539144078026999E-6</v>
      </c>
      <c r="IS26">
        <v>1</v>
      </c>
      <c r="IT26">
        <v>1704</v>
      </c>
      <c r="IU26">
        <v>4</v>
      </c>
      <c r="IV26">
        <v>25</v>
      </c>
      <c r="IW26">
        <v>1.2</v>
      </c>
      <c r="IX26">
        <v>1.4</v>
      </c>
      <c r="IY26">
        <v>2.51831</v>
      </c>
      <c r="IZ26">
        <v>2.5476100000000002</v>
      </c>
      <c r="JA26">
        <v>1.3464400000000001</v>
      </c>
      <c r="JB26">
        <v>2.2595200000000002</v>
      </c>
      <c r="JC26">
        <v>1.5502899999999999</v>
      </c>
      <c r="JD26">
        <v>2.7368199999999998</v>
      </c>
      <c r="JE26">
        <v>39.994199999999999</v>
      </c>
      <c r="JF26">
        <v>23.973700000000001</v>
      </c>
      <c r="JG26">
        <v>18</v>
      </c>
      <c r="JH26">
        <v>502.83</v>
      </c>
      <c r="JI26">
        <v>468.25</v>
      </c>
      <c r="JJ26">
        <v>21.5488</v>
      </c>
      <c r="JK26">
        <v>28.860199999999999</v>
      </c>
      <c r="JL26">
        <v>30</v>
      </c>
      <c r="JM26">
        <v>28.8444</v>
      </c>
      <c r="JN26">
        <v>28.8582</v>
      </c>
      <c r="JO26">
        <v>50.417700000000004</v>
      </c>
      <c r="JP26">
        <v>25.2624</v>
      </c>
      <c r="JQ26">
        <v>30.807099999999998</v>
      </c>
      <c r="JR26">
        <v>21.568999999999999</v>
      </c>
      <c r="JS26">
        <v>1200</v>
      </c>
      <c r="JT26">
        <v>15.914199999999999</v>
      </c>
      <c r="JU26">
        <v>101.572</v>
      </c>
      <c r="JV26">
        <v>97.2273</v>
      </c>
    </row>
    <row r="27" spans="1:282" x14ac:dyDescent="0.3">
      <c r="A27">
        <v>11</v>
      </c>
      <c r="B27">
        <v>1791613790.0999999</v>
      </c>
      <c r="C27">
        <v>1303.0999999046301</v>
      </c>
      <c r="D27" t="s">
        <v>450</v>
      </c>
      <c r="E27" t="s">
        <v>451</v>
      </c>
      <c r="F27">
        <v>5</v>
      </c>
      <c r="G27">
        <v>1791613787.0999999</v>
      </c>
      <c r="H27">
        <f t="shared" si="0"/>
        <v>3.4418927422452993E-3</v>
      </c>
      <c r="I27">
        <f t="shared" si="1"/>
        <v>3.4418927422452992</v>
      </c>
      <c r="J27">
        <f t="shared" si="2"/>
        <v>28.223313449737478</v>
      </c>
      <c r="K27">
        <f t="shared" si="3"/>
        <v>1486.6220000000001</v>
      </c>
      <c r="L27">
        <f t="shared" si="4"/>
        <v>1269.0470380757436</v>
      </c>
      <c r="M27">
        <f t="shared" si="5"/>
        <v>128.43828565506942</v>
      </c>
      <c r="N27">
        <f t="shared" si="6"/>
        <v>150.45871064529788</v>
      </c>
      <c r="O27">
        <f t="shared" si="7"/>
        <v>0.2519819033133664</v>
      </c>
      <c r="P27">
        <f t="shared" si="8"/>
        <v>3.0304520103426587</v>
      </c>
      <c r="Q27">
        <f t="shared" si="9"/>
        <v>0.24089362255209434</v>
      </c>
      <c r="R27">
        <f t="shared" si="10"/>
        <v>0.15151408870431143</v>
      </c>
      <c r="S27">
        <f t="shared" si="11"/>
        <v>241.7342894029363</v>
      </c>
      <c r="T27">
        <f t="shared" si="12"/>
        <v>25.685686737694212</v>
      </c>
      <c r="U27">
        <f t="shared" si="13"/>
        <v>24.98714</v>
      </c>
      <c r="V27">
        <f t="shared" si="14"/>
        <v>3.1772405428942725</v>
      </c>
      <c r="W27">
        <f t="shared" si="15"/>
        <v>54.992104057353608</v>
      </c>
      <c r="X27">
        <f t="shared" si="16"/>
        <v>1.7664902890101293</v>
      </c>
      <c r="Y27">
        <f t="shared" si="17"/>
        <v>3.2122616860918458</v>
      </c>
      <c r="Z27">
        <f t="shared" si="18"/>
        <v>1.4107502538841432</v>
      </c>
      <c r="AA27">
        <f t="shared" si="19"/>
        <v>-151.78746993301769</v>
      </c>
      <c r="AB27">
        <f t="shared" si="20"/>
        <v>30.058234541237272</v>
      </c>
      <c r="AC27">
        <f t="shared" si="21"/>
        <v>2.0997230559095899</v>
      </c>
      <c r="AD27">
        <f t="shared" si="22"/>
        <v>122.10477706706546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53824.719402906623</v>
      </c>
      <c r="AJ27" t="s">
        <v>416</v>
      </c>
      <c r="AK27" t="s">
        <v>416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416</v>
      </c>
      <c r="AQ27" t="s">
        <v>416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1261.1973594833867</v>
      </c>
      <c r="AW27">
        <f t="shared" si="29"/>
        <v>28.223313449737478</v>
      </c>
      <c r="AX27" t="e">
        <f t="shared" si="30"/>
        <v>#DIV/0!</v>
      </c>
      <c r="AY27">
        <f t="shared" si="31"/>
        <v>2.2378189454264598E-2</v>
      </c>
      <c r="AZ27" t="e">
        <f t="shared" si="32"/>
        <v>#DIV/0!</v>
      </c>
      <c r="BA27" t="e">
        <f t="shared" si="33"/>
        <v>#DIV/0!</v>
      </c>
      <c r="BB27" t="s">
        <v>416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CT27">
        <f t="shared" si="42"/>
        <v>1499.9839999999999</v>
      </c>
      <c r="CU27">
        <f t="shared" si="43"/>
        <v>1261.1973594833867</v>
      </c>
      <c r="CV27">
        <f t="shared" si="44"/>
        <v>0.84080720826581268</v>
      </c>
      <c r="CW27">
        <f t="shared" si="45"/>
        <v>0.16115791195301837</v>
      </c>
      <c r="CX27">
        <v>2</v>
      </c>
      <c r="CY27">
        <v>0.5</v>
      </c>
      <c r="CZ27" t="s">
        <v>417</v>
      </c>
      <c r="DA27">
        <v>2</v>
      </c>
      <c r="DB27">
        <v>1791613787.0999999</v>
      </c>
      <c r="DC27">
        <v>1486.6220000000001</v>
      </c>
      <c r="DD27">
        <v>1499.9559999999999</v>
      </c>
      <c r="DE27">
        <v>17.453980000000001</v>
      </c>
      <c r="DF27">
        <v>16.101459999999999</v>
      </c>
      <c r="DG27">
        <v>1484.492</v>
      </c>
      <c r="DH27">
        <v>17.580680000000001</v>
      </c>
      <c r="DI27">
        <v>500.07659999999998</v>
      </c>
      <c r="DJ27">
        <v>101.1084</v>
      </c>
      <c r="DK27">
        <v>0.10005153999999999</v>
      </c>
      <c r="DL27">
        <v>25.171119999999998</v>
      </c>
      <c r="DM27">
        <v>24.98714</v>
      </c>
      <c r="DN27">
        <v>999.9</v>
      </c>
      <c r="DO27">
        <v>0</v>
      </c>
      <c r="DP27">
        <v>0</v>
      </c>
      <c r="DQ27">
        <v>10006.5</v>
      </c>
      <c r="DR27">
        <v>0</v>
      </c>
      <c r="DS27">
        <v>6.8200099999999999</v>
      </c>
      <c r="DT27">
        <v>-13.33248</v>
      </c>
      <c r="DU27">
        <v>1513.0340000000001</v>
      </c>
      <c r="DV27">
        <v>1524.5060000000001</v>
      </c>
      <c r="DW27">
        <v>1.352508</v>
      </c>
      <c r="DX27">
        <v>1499.9559999999999</v>
      </c>
      <c r="DY27">
        <v>16.101459999999999</v>
      </c>
      <c r="DZ27">
        <v>1.7647459999999999</v>
      </c>
      <c r="EA27">
        <v>1.627996</v>
      </c>
      <c r="EB27">
        <v>15.477959999999999</v>
      </c>
      <c r="EC27">
        <v>14.22636</v>
      </c>
      <c r="ED27">
        <v>1499.9839999999999</v>
      </c>
      <c r="EE27">
        <v>0.97300220000000004</v>
      </c>
      <c r="EF27">
        <v>2.6997779999999999E-2</v>
      </c>
      <c r="EG27">
        <v>0</v>
      </c>
      <c r="EH27">
        <v>356.96780000000001</v>
      </c>
      <c r="EI27">
        <v>5.0006399999999998</v>
      </c>
      <c r="EJ27">
        <v>5520.4719999999998</v>
      </c>
      <c r="EK27">
        <v>15439.06</v>
      </c>
      <c r="EL27">
        <v>41.186999999999998</v>
      </c>
      <c r="EM27">
        <v>41.936999999999998</v>
      </c>
      <c r="EN27">
        <v>41.549599999999998</v>
      </c>
      <c r="EO27">
        <v>41.561999999999998</v>
      </c>
      <c r="EP27">
        <v>42.686999999999998</v>
      </c>
      <c r="EQ27">
        <v>1454.624</v>
      </c>
      <c r="ER27">
        <v>40.36</v>
      </c>
      <c r="ES27">
        <v>0</v>
      </c>
      <c r="ET27">
        <v>1791613791.3</v>
      </c>
      <c r="EU27">
        <v>0</v>
      </c>
      <c r="EV27">
        <v>356.65438461538503</v>
      </c>
      <c r="EW27">
        <v>3.0442393009819901</v>
      </c>
      <c r="EX27">
        <v>42.057094067125</v>
      </c>
      <c r="EY27">
        <v>5517.3973076923103</v>
      </c>
      <c r="EZ27">
        <v>15</v>
      </c>
      <c r="FA27">
        <v>1791613713.0999999</v>
      </c>
      <c r="FB27" t="s">
        <v>452</v>
      </c>
      <c r="FC27">
        <v>1791613713.0999999</v>
      </c>
      <c r="FD27">
        <v>1791613706.0999999</v>
      </c>
      <c r="FE27">
        <v>78</v>
      </c>
      <c r="FF27">
        <v>0.153</v>
      </c>
      <c r="FG27">
        <v>1E-3</v>
      </c>
      <c r="FH27">
        <v>2.157</v>
      </c>
      <c r="FI27">
        <v>-0.16300000000000001</v>
      </c>
      <c r="FJ27">
        <v>1500</v>
      </c>
      <c r="FK27">
        <v>16</v>
      </c>
      <c r="FL27">
        <v>0.2</v>
      </c>
      <c r="FM27">
        <v>0.05</v>
      </c>
      <c r="FN27">
        <v>28.539459579891801</v>
      </c>
      <c r="FO27">
        <v>-0.26854237263264102</v>
      </c>
      <c r="FP27">
        <v>0.41509235561143198</v>
      </c>
      <c r="FQ27">
        <v>1</v>
      </c>
      <c r="FR27">
        <v>-13.4780761904762</v>
      </c>
      <c r="FS27">
        <v>0.35579220779221199</v>
      </c>
      <c r="FT27">
        <v>0.16802549949553999</v>
      </c>
      <c r="FU27">
        <v>1</v>
      </c>
      <c r="FV27">
        <v>356.28955882352898</v>
      </c>
      <c r="FW27">
        <v>4.09095491582534</v>
      </c>
      <c r="FX27">
        <v>0.46488677882687701</v>
      </c>
      <c r="FY27">
        <v>-1</v>
      </c>
      <c r="FZ27">
        <v>2</v>
      </c>
      <c r="GA27">
        <v>2</v>
      </c>
      <c r="GB27" t="s">
        <v>419</v>
      </c>
      <c r="GC27">
        <v>3.1234099999999998</v>
      </c>
      <c r="GD27">
        <v>2.7653400000000001</v>
      </c>
      <c r="GE27">
        <v>0.210118</v>
      </c>
      <c r="GF27">
        <v>0.21671199999999999</v>
      </c>
      <c r="GG27">
        <v>9.3091800000000002E-2</v>
      </c>
      <c r="GH27">
        <v>9.0777200000000002E-2</v>
      </c>
      <c r="GI27">
        <v>15361.3</v>
      </c>
      <c r="GJ27">
        <v>22973.1</v>
      </c>
      <c r="GK27">
        <v>22728.2</v>
      </c>
      <c r="GL27">
        <v>30056.6</v>
      </c>
      <c r="GM27">
        <v>33829.4</v>
      </c>
      <c r="GN27">
        <v>34061</v>
      </c>
      <c r="GO27">
        <v>43016.1</v>
      </c>
      <c r="GP27">
        <v>42816.6</v>
      </c>
      <c r="GQ27">
        <v>1.96458</v>
      </c>
      <c r="GR27">
        <v>1.7925</v>
      </c>
      <c r="GS27">
        <v>5.62444E-2</v>
      </c>
      <c r="GT27">
        <v>0</v>
      </c>
      <c r="GU27">
        <v>24.055900000000001</v>
      </c>
      <c r="GV27">
        <v>999.9</v>
      </c>
      <c r="GW27">
        <v>37.218000000000004</v>
      </c>
      <c r="GX27">
        <v>34.07</v>
      </c>
      <c r="GY27">
        <v>19.7441</v>
      </c>
      <c r="GZ27">
        <v>63.185299999999998</v>
      </c>
      <c r="HA27">
        <v>33.986400000000003</v>
      </c>
      <c r="HB27">
        <v>1</v>
      </c>
      <c r="HC27">
        <v>0.127528</v>
      </c>
      <c r="HD27">
        <v>2.3387799999999999</v>
      </c>
      <c r="HE27">
        <v>20.142099999999999</v>
      </c>
      <c r="HF27">
        <v>5.2337600000000002</v>
      </c>
      <c r="HG27">
        <v>11.962</v>
      </c>
      <c r="HH27">
        <v>4.9686000000000003</v>
      </c>
      <c r="HI27">
        <v>3.2954500000000002</v>
      </c>
      <c r="HJ27">
        <v>9999</v>
      </c>
      <c r="HK27">
        <v>9999</v>
      </c>
      <c r="HL27">
        <v>999.9</v>
      </c>
      <c r="HM27">
        <v>9999</v>
      </c>
      <c r="HN27">
        <v>4.9697199999999997</v>
      </c>
      <c r="HO27">
        <v>1.86415</v>
      </c>
      <c r="HP27">
        <v>1.8655999999999999</v>
      </c>
      <c r="HQ27">
        <v>1.8674200000000001</v>
      </c>
      <c r="HR27">
        <v>1.86446</v>
      </c>
      <c r="HS27">
        <v>1.86812</v>
      </c>
      <c r="HT27">
        <v>1.8648800000000001</v>
      </c>
      <c r="HU27">
        <v>1.86677</v>
      </c>
      <c r="HV27">
        <v>0</v>
      </c>
      <c r="HW27">
        <v>0</v>
      </c>
      <c r="HX27">
        <v>0</v>
      </c>
      <c r="HY27">
        <v>0</v>
      </c>
      <c r="HZ27" t="s">
        <v>420</v>
      </c>
      <c r="IA27" t="s">
        <v>421</v>
      </c>
      <c r="IB27" t="s">
        <v>422</v>
      </c>
      <c r="IC27" t="s">
        <v>422</v>
      </c>
      <c r="ID27" t="s">
        <v>422</v>
      </c>
      <c r="IE27" t="s">
        <v>422</v>
      </c>
      <c r="IF27">
        <v>0</v>
      </c>
      <c r="IG27">
        <v>100</v>
      </c>
      <c r="IH27">
        <v>100</v>
      </c>
      <c r="II27">
        <v>2.14</v>
      </c>
      <c r="IJ27">
        <v>-0.1265</v>
      </c>
      <c r="IK27">
        <v>1.0759822163986801</v>
      </c>
      <c r="IL27">
        <v>1.61658254425633E-3</v>
      </c>
      <c r="IM27">
        <v>-1.89604851270483E-6</v>
      </c>
      <c r="IN27">
        <v>8.6681353432279101E-10</v>
      </c>
      <c r="IO27">
        <v>-5.8355273960569901E-2</v>
      </c>
      <c r="IP27">
        <v>-3.5871989026399903E-2</v>
      </c>
      <c r="IQ27">
        <v>1.9028800927848801E-3</v>
      </c>
      <c r="IR27">
        <v>-4.7539144078026999E-6</v>
      </c>
      <c r="IS27">
        <v>1</v>
      </c>
      <c r="IT27">
        <v>1704</v>
      </c>
      <c r="IU27">
        <v>4</v>
      </c>
      <c r="IV27">
        <v>25</v>
      </c>
      <c r="IW27">
        <v>1.3</v>
      </c>
      <c r="IX27">
        <v>1.4</v>
      </c>
      <c r="IY27">
        <v>3.0090300000000001</v>
      </c>
      <c r="IZ27">
        <v>2.5354000000000001</v>
      </c>
      <c r="JA27">
        <v>1.3464400000000001</v>
      </c>
      <c r="JB27">
        <v>2.2595200000000002</v>
      </c>
      <c r="JC27">
        <v>1.5502899999999999</v>
      </c>
      <c r="JD27">
        <v>2.7172900000000002</v>
      </c>
      <c r="JE27">
        <v>40.044699999999999</v>
      </c>
      <c r="JF27">
        <v>23.9649</v>
      </c>
      <c r="JG27">
        <v>18</v>
      </c>
      <c r="JH27">
        <v>502.71699999999998</v>
      </c>
      <c r="JI27">
        <v>468.5</v>
      </c>
      <c r="JJ27">
        <v>21.326599999999999</v>
      </c>
      <c r="JK27">
        <v>28.882400000000001</v>
      </c>
      <c r="JL27">
        <v>29.999300000000002</v>
      </c>
      <c r="JM27">
        <v>28.864000000000001</v>
      </c>
      <c r="JN27">
        <v>28.877199999999998</v>
      </c>
      <c r="JO27">
        <v>60.224699999999999</v>
      </c>
      <c r="JP27">
        <v>24.502099999999999</v>
      </c>
      <c r="JQ27">
        <v>30.629899999999999</v>
      </c>
      <c r="JR27">
        <v>21.345099999999999</v>
      </c>
      <c r="JS27">
        <v>1500</v>
      </c>
      <c r="JT27">
        <v>16.135100000000001</v>
      </c>
      <c r="JU27">
        <v>101.56100000000001</v>
      </c>
      <c r="JV27">
        <v>97.218900000000005</v>
      </c>
    </row>
    <row r="28" spans="1:282" x14ac:dyDescent="0.3">
      <c r="A28">
        <v>12</v>
      </c>
      <c r="B28">
        <v>1791613911.0999999</v>
      </c>
      <c r="C28">
        <v>1424.0999999046301</v>
      </c>
      <c r="D28" t="s">
        <v>453</v>
      </c>
      <c r="E28" t="s">
        <v>454</v>
      </c>
      <c r="F28">
        <v>5</v>
      </c>
      <c r="G28">
        <v>1791613907.5999999</v>
      </c>
      <c r="H28">
        <f t="shared" si="0"/>
        <v>3.0744160059902911E-3</v>
      </c>
      <c r="I28">
        <f t="shared" si="1"/>
        <v>3.0744160059902912</v>
      </c>
      <c r="J28">
        <f t="shared" si="2"/>
        <v>27.119158589115024</v>
      </c>
      <c r="K28">
        <f t="shared" si="3"/>
        <v>1787.0216666666699</v>
      </c>
      <c r="L28">
        <f t="shared" si="4"/>
        <v>1546.5130690264573</v>
      </c>
      <c r="M28">
        <f t="shared" si="5"/>
        <v>156.52325078364558</v>
      </c>
      <c r="N28">
        <f t="shared" si="6"/>
        <v>180.86522906887262</v>
      </c>
      <c r="O28">
        <f t="shared" si="7"/>
        <v>0.22195928623259067</v>
      </c>
      <c r="P28">
        <f t="shared" si="8"/>
        <v>3.0288389956634223</v>
      </c>
      <c r="Q28">
        <f t="shared" si="9"/>
        <v>0.21330265624913416</v>
      </c>
      <c r="R28">
        <f t="shared" si="10"/>
        <v>0.13406379305956975</v>
      </c>
      <c r="S28">
        <f t="shared" si="11"/>
        <v>241.73843900295361</v>
      </c>
      <c r="T28">
        <f t="shared" si="12"/>
        <v>25.714211395185458</v>
      </c>
      <c r="U28">
        <f t="shared" si="13"/>
        <v>25.0348333333333</v>
      </c>
      <c r="V28">
        <f t="shared" si="14"/>
        <v>3.1862869220600514</v>
      </c>
      <c r="W28">
        <f t="shared" si="15"/>
        <v>55.100117935836643</v>
      </c>
      <c r="X28">
        <f t="shared" si="16"/>
        <v>1.763170010848949</v>
      </c>
      <c r="Y28">
        <f t="shared" si="17"/>
        <v>3.1999387240915476</v>
      </c>
      <c r="Z28">
        <f t="shared" si="18"/>
        <v>1.4231169112111024</v>
      </c>
      <c r="AA28">
        <f t="shared" si="19"/>
        <v>-135.58174586417184</v>
      </c>
      <c r="AB28">
        <f t="shared" si="20"/>
        <v>11.716112599279562</v>
      </c>
      <c r="AC28">
        <f t="shared" si="21"/>
        <v>0.81879741288763408</v>
      </c>
      <c r="AD28">
        <f t="shared" si="22"/>
        <v>118.69160315094899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53786.099831774001</v>
      </c>
      <c r="AJ28" t="s">
        <v>416</v>
      </c>
      <c r="AK28" t="s">
        <v>416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416</v>
      </c>
      <c r="AQ28" t="s">
        <v>416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1261.2191994833956</v>
      </c>
      <c r="AW28">
        <f t="shared" si="29"/>
        <v>27.119158589115024</v>
      </c>
      <c r="AX28" t="e">
        <f t="shared" si="30"/>
        <v>#DIV/0!</v>
      </c>
      <c r="AY28">
        <f t="shared" si="31"/>
        <v>2.1502335676639894E-2</v>
      </c>
      <c r="AZ28" t="e">
        <f t="shared" si="32"/>
        <v>#DIV/0!</v>
      </c>
      <c r="BA28" t="e">
        <f t="shared" si="33"/>
        <v>#DIV/0!</v>
      </c>
      <c r="BB28" t="s">
        <v>416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CT28">
        <f t="shared" si="42"/>
        <v>1500.01</v>
      </c>
      <c r="CU28">
        <f t="shared" si="43"/>
        <v>1261.2191994833956</v>
      </c>
      <c r="CV28">
        <f t="shared" si="44"/>
        <v>0.84080719427430195</v>
      </c>
      <c r="CW28">
        <f t="shared" si="45"/>
        <v>0.16115788494940275</v>
      </c>
      <c r="CX28">
        <v>2</v>
      </c>
      <c r="CY28">
        <v>0.5</v>
      </c>
      <c r="CZ28" t="s">
        <v>417</v>
      </c>
      <c r="DA28">
        <v>2</v>
      </c>
      <c r="DB28">
        <v>1791613907.5999999</v>
      </c>
      <c r="DC28">
        <v>1787.0216666666699</v>
      </c>
      <c r="DD28">
        <v>1800.06666666667</v>
      </c>
      <c r="DE28">
        <v>17.420833333333299</v>
      </c>
      <c r="DF28">
        <v>16.212516666666701</v>
      </c>
      <c r="DG28">
        <v>1784.1783333333301</v>
      </c>
      <c r="DH28">
        <v>17.545683333333301</v>
      </c>
      <c r="DI28">
        <v>500.01083333333298</v>
      </c>
      <c r="DJ28">
        <v>101.110333333333</v>
      </c>
      <c r="DK28">
        <v>0.10009541666666701</v>
      </c>
      <c r="DL28">
        <v>25.106583333333301</v>
      </c>
      <c r="DM28">
        <v>25.0348333333333</v>
      </c>
      <c r="DN28">
        <v>999.9</v>
      </c>
      <c r="DO28">
        <v>0</v>
      </c>
      <c r="DP28">
        <v>0</v>
      </c>
      <c r="DQ28">
        <v>9996.5583333333307</v>
      </c>
      <c r="DR28">
        <v>0</v>
      </c>
      <c r="DS28">
        <v>6.8200099999999999</v>
      </c>
      <c r="DT28">
        <v>-13.041266666666701</v>
      </c>
      <c r="DU28">
        <v>1818.7066666666699</v>
      </c>
      <c r="DV28">
        <v>1829.7283333333301</v>
      </c>
      <c r="DW28">
        <v>1.20831166666667</v>
      </c>
      <c r="DX28">
        <v>1800.06666666667</v>
      </c>
      <c r="DY28">
        <v>16.212516666666701</v>
      </c>
      <c r="DZ28">
        <v>1.76142333333333</v>
      </c>
      <c r="EA28">
        <v>1.6392533333333299</v>
      </c>
      <c r="EB28">
        <v>15.4486166666667</v>
      </c>
      <c r="EC28">
        <v>14.3328333333333</v>
      </c>
      <c r="ED28">
        <v>1500.01</v>
      </c>
      <c r="EE28">
        <v>0.97300299999999995</v>
      </c>
      <c r="EF28">
        <v>2.6997E-2</v>
      </c>
      <c r="EG28">
        <v>0</v>
      </c>
      <c r="EH28">
        <v>357.738</v>
      </c>
      <c r="EI28">
        <v>5.0006399999999998</v>
      </c>
      <c r="EJ28">
        <v>5535.7366666666703</v>
      </c>
      <c r="EK28">
        <v>15439.333333333299</v>
      </c>
      <c r="EL28">
        <v>41.186999999999998</v>
      </c>
      <c r="EM28">
        <v>41.936999999999998</v>
      </c>
      <c r="EN28">
        <v>41.561999999999998</v>
      </c>
      <c r="EO28">
        <v>41.561999999999998</v>
      </c>
      <c r="EP28">
        <v>42.686999999999998</v>
      </c>
      <c r="EQ28">
        <v>1454.65</v>
      </c>
      <c r="ER28">
        <v>40.36</v>
      </c>
      <c r="ES28">
        <v>0</v>
      </c>
      <c r="ET28">
        <v>1791613911.9000001</v>
      </c>
      <c r="EU28">
        <v>0</v>
      </c>
      <c r="EV28">
        <v>357.96751999999998</v>
      </c>
      <c r="EW28">
        <v>-2.4197692111026701</v>
      </c>
      <c r="EX28">
        <v>-29.906923024376699</v>
      </c>
      <c r="EY28">
        <v>5537.7763999999997</v>
      </c>
      <c r="EZ28">
        <v>15</v>
      </c>
      <c r="FA28">
        <v>1791613873.0999999</v>
      </c>
      <c r="FB28" t="s">
        <v>455</v>
      </c>
      <c r="FC28">
        <v>1791613713.0999999</v>
      </c>
      <c r="FD28">
        <v>1791613854.0999999</v>
      </c>
      <c r="FE28">
        <v>79</v>
      </c>
      <c r="FF28">
        <v>0.153</v>
      </c>
      <c r="FG28">
        <v>3.0000000000000001E-3</v>
      </c>
      <c r="FH28">
        <v>2.157</v>
      </c>
      <c r="FI28">
        <v>-0.153</v>
      </c>
      <c r="FJ28">
        <v>1500</v>
      </c>
      <c r="FK28">
        <v>16</v>
      </c>
      <c r="FL28">
        <v>0.2</v>
      </c>
      <c r="FM28">
        <v>0.06</v>
      </c>
      <c r="FN28">
        <v>27.0583402098802</v>
      </c>
      <c r="FO28">
        <v>-0.31661400545555601</v>
      </c>
      <c r="FP28">
        <v>0.21156329284609199</v>
      </c>
      <c r="FQ28">
        <v>1</v>
      </c>
      <c r="FR28">
        <v>-13.017144999999999</v>
      </c>
      <c r="FS28">
        <v>-0.108906766917285</v>
      </c>
      <c r="FT28">
        <v>7.7830877388090594E-2</v>
      </c>
      <c r="FU28">
        <v>1</v>
      </c>
      <c r="FV28">
        <v>358.16829411764701</v>
      </c>
      <c r="FW28">
        <v>-2.7102520967428201</v>
      </c>
      <c r="FX28">
        <v>0.300166476300748</v>
      </c>
      <c r="FY28">
        <v>-1</v>
      </c>
      <c r="FZ28">
        <v>2</v>
      </c>
      <c r="GA28">
        <v>2</v>
      </c>
      <c r="GB28" t="s">
        <v>419</v>
      </c>
      <c r="GC28">
        <v>3.1233499999999998</v>
      </c>
      <c r="GD28">
        <v>2.7651300000000001</v>
      </c>
      <c r="GE28">
        <v>0.23344000000000001</v>
      </c>
      <c r="GF28">
        <v>0.24046799999999999</v>
      </c>
      <c r="GG28">
        <v>9.2848399999999998E-2</v>
      </c>
      <c r="GH28">
        <v>9.1215400000000002E-2</v>
      </c>
      <c r="GI28">
        <v>14907</v>
      </c>
      <c r="GJ28">
        <v>22275.3</v>
      </c>
      <c r="GK28">
        <v>22727.4</v>
      </c>
      <c r="GL28">
        <v>30055.4</v>
      </c>
      <c r="GM28">
        <v>33839.1</v>
      </c>
      <c r="GN28">
        <v>34044.699999999997</v>
      </c>
      <c r="GO28">
        <v>43014.7</v>
      </c>
      <c r="GP28">
        <v>42814.7</v>
      </c>
      <c r="GQ28">
        <v>1.9642500000000001</v>
      </c>
      <c r="GR28">
        <v>1.79237</v>
      </c>
      <c r="GS28">
        <v>6.2420999999999997E-2</v>
      </c>
      <c r="GT28">
        <v>0</v>
      </c>
      <c r="GU28">
        <v>24.006399999999999</v>
      </c>
      <c r="GV28">
        <v>999.9</v>
      </c>
      <c r="GW28">
        <v>37.162999999999997</v>
      </c>
      <c r="GX28">
        <v>34.119999999999997</v>
      </c>
      <c r="GY28">
        <v>19.769600000000001</v>
      </c>
      <c r="GZ28">
        <v>63.325400000000002</v>
      </c>
      <c r="HA28">
        <v>33.970399999999998</v>
      </c>
      <c r="HB28">
        <v>1</v>
      </c>
      <c r="HC28">
        <v>0.13141</v>
      </c>
      <c r="HD28">
        <v>2.9638200000000001</v>
      </c>
      <c r="HE28">
        <v>20.131900000000002</v>
      </c>
      <c r="HF28">
        <v>5.2340600000000004</v>
      </c>
      <c r="HG28">
        <v>11.9625</v>
      </c>
      <c r="HH28">
        <v>4.9678000000000004</v>
      </c>
      <c r="HI28">
        <v>3.2954500000000002</v>
      </c>
      <c r="HJ28">
        <v>9999</v>
      </c>
      <c r="HK28">
        <v>9999</v>
      </c>
      <c r="HL28">
        <v>999.9</v>
      </c>
      <c r="HM28">
        <v>9999</v>
      </c>
      <c r="HN28">
        <v>4.9696999999999996</v>
      </c>
      <c r="HO28">
        <v>1.86415</v>
      </c>
      <c r="HP28">
        <v>1.8656200000000001</v>
      </c>
      <c r="HQ28">
        <v>1.8673900000000001</v>
      </c>
      <c r="HR28">
        <v>1.86442</v>
      </c>
      <c r="HS28">
        <v>1.86812</v>
      </c>
      <c r="HT28">
        <v>1.8648899999999999</v>
      </c>
      <c r="HU28">
        <v>1.86676</v>
      </c>
      <c r="HV28">
        <v>0</v>
      </c>
      <c r="HW28">
        <v>0</v>
      </c>
      <c r="HX28">
        <v>0</v>
      </c>
      <c r="HY28">
        <v>0</v>
      </c>
      <c r="HZ28" t="s">
        <v>420</v>
      </c>
      <c r="IA28" t="s">
        <v>421</v>
      </c>
      <c r="IB28" t="s">
        <v>422</v>
      </c>
      <c r="IC28" t="s">
        <v>422</v>
      </c>
      <c r="ID28" t="s">
        <v>422</v>
      </c>
      <c r="IE28" t="s">
        <v>422</v>
      </c>
      <c r="IF28">
        <v>0</v>
      </c>
      <c r="IG28">
        <v>100</v>
      </c>
      <c r="IH28">
        <v>100</v>
      </c>
      <c r="II28">
        <v>2.85</v>
      </c>
      <c r="IJ28">
        <v>-0.12540000000000001</v>
      </c>
      <c r="IK28">
        <v>1.0759822163986801</v>
      </c>
      <c r="IL28">
        <v>1.61658254425633E-3</v>
      </c>
      <c r="IM28">
        <v>-1.89604851270483E-6</v>
      </c>
      <c r="IN28">
        <v>8.6681353432279101E-10</v>
      </c>
      <c r="IO28">
        <v>-5.55782184006091E-2</v>
      </c>
      <c r="IP28">
        <v>-3.5871989026399903E-2</v>
      </c>
      <c r="IQ28">
        <v>1.9028800927848801E-3</v>
      </c>
      <c r="IR28">
        <v>-4.7539144078026999E-6</v>
      </c>
      <c r="IS28">
        <v>1</v>
      </c>
      <c r="IT28">
        <v>1704</v>
      </c>
      <c r="IU28">
        <v>4</v>
      </c>
      <c r="IV28">
        <v>25</v>
      </c>
      <c r="IW28">
        <v>3.3</v>
      </c>
      <c r="IX28">
        <v>0.9</v>
      </c>
      <c r="IY28">
        <v>3.4729000000000001</v>
      </c>
      <c r="IZ28">
        <v>2.50244</v>
      </c>
      <c r="JA28">
        <v>1.3476600000000001</v>
      </c>
      <c r="JB28">
        <v>2.2607400000000002</v>
      </c>
      <c r="JC28">
        <v>1.5502899999999999</v>
      </c>
      <c r="JD28">
        <v>2.7185100000000002</v>
      </c>
      <c r="JE28">
        <v>40.095300000000002</v>
      </c>
      <c r="JF28">
        <v>23.9649</v>
      </c>
      <c r="JG28">
        <v>18</v>
      </c>
      <c r="JH28">
        <v>502.66</v>
      </c>
      <c r="JI28">
        <v>468.541</v>
      </c>
      <c r="JJ28">
        <v>21.1327</v>
      </c>
      <c r="JK28">
        <v>28.899699999999999</v>
      </c>
      <c r="JL28">
        <v>30.000299999999999</v>
      </c>
      <c r="JM28">
        <v>28.8812</v>
      </c>
      <c r="JN28">
        <v>28.891999999999999</v>
      </c>
      <c r="JO28">
        <v>69.519400000000005</v>
      </c>
      <c r="JP28">
        <v>24.162400000000002</v>
      </c>
      <c r="JQ28">
        <v>30.629899999999999</v>
      </c>
      <c r="JR28">
        <v>21.1203</v>
      </c>
      <c r="JS28">
        <v>1800</v>
      </c>
      <c r="JT28">
        <v>16.234200000000001</v>
      </c>
      <c r="JU28">
        <v>101.55800000000001</v>
      </c>
      <c r="JV28">
        <v>97.2149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2026-10-10T15:34:11Z</dcterms:created>
  <dcterms:modified xsi:type="dcterms:W3CDTF">2026-10-11T05:59:55Z</dcterms:modified>
</cp:coreProperties>
</file>