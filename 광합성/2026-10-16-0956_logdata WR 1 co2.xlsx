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6 lettuce yun/"/>
    </mc:Choice>
  </mc:AlternateContent>
  <xr:revisionPtr revIDLastSave="0" documentId="11_ACE07100FC73D7F2697D6BCEF12BDE9604E0B300" xr6:coauthVersionLast="47" xr6:coauthVersionMax="47" xr10:uidLastSave="{00000000-0000-0000-0000-000000000000}"/>
  <bookViews>
    <workbookView xWindow="780" yWindow="780" windowWidth="21600" windowHeight="111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N28" i="1"/>
  <c r="BA28" i="1" s="1"/>
  <c r="BD28" i="1" s="1"/>
  <c r="AI28" i="1"/>
  <c r="AG28" i="1"/>
  <c r="Y28" i="1"/>
  <c r="X28" i="1"/>
  <c r="W28" i="1" s="1"/>
  <c r="P28" i="1"/>
  <c r="CW27" i="1"/>
  <c r="CV27" i="1"/>
  <c r="CT27" i="1"/>
  <c r="BI27" i="1"/>
  <c r="BH27" i="1"/>
  <c r="AZ27" i="1"/>
  <c r="AT27" i="1"/>
  <c r="AN27" i="1"/>
  <c r="BA27" i="1" s="1"/>
  <c r="BD27" i="1" s="1"/>
  <c r="AI27" i="1"/>
  <c r="AG27" i="1"/>
  <c r="Y27" i="1"/>
  <c r="W27" i="1" s="1"/>
  <c r="X27" i="1"/>
  <c r="P27" i="1"/>
  <c r="CW26" i="1"/>
  <c r="CV26" i="1"/>
  <c r="CT26" i="1"/>
  <c r="CU26" i="1" s="1"/>
  <c r="AV26" i="1" s="1"/>
  <c r="BI26" i="1"/>
  <c r="BH26" i="1"/>
  <c r="AZ26" i="1"/>
  <c r="AT26" i="1"/>
  <c r="AX26" i="1" s="1"/>
  <c r="AN26" i="1"/>
  <c r="BA26" i="1" s="1"/>
  <c r="BD26" i="1" s="1"/>
  <c r="AI26" i="1"/>
  <c r="AG26" i="1" s="1"/>
  <c r="Y26" i="1"/>
  <c r="X26" i="1"/>
  <c r="W26" i="1" s="1"/>
  <c r="S26" i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 s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 s="1"/>
  <c r="Y24" i="1"/>
  <c r="W24" i="1" s="1"/>
  <c r="X24" i="1"/>
  <c r="P24" i="1"/>
  <c r="CW23" i="1"/>
  <c r="CV23" i="1"/>
  <c r="CT23" i="1"/>
  <c r="CU23" i="1" s="1"/>
  <c r="AV23" i="1" s="1"/>
  <c r="BI23" i="1"/>
  <c r="BH23" i="1"/>
  <c r="AZ23" i="1"/>
  <c r="AT23" i="1"/>
  <c r="AX23" i="1" s="1"/>
  <c r="AN23" i="1"/>
  <c r="BA23" i="1" s="1"/>
  <c r="BD23" i="1" s="1"/>
  <c r="AI23" i="1"/>
  <c r="AG23" i="1"/>
  <c r="AH23" i="1" s="1"/>
  <c r="Y23" i="1"/>
  <c r="X23" i="1"/>
  <c r="W23" i="1"/>
  <c r="S23" i="1"/>
  <c r="P23" i="1"/>
  <c r="N23" i="1"/>
  <c r="K23" i="1"/>
  <c r="J23" i="1"/>
  <c r="AW23" i="1" s="1"/>
  <c r="AY23" i="1" s="1"/>
  <c r="I23" i="1"/>
  <c r="H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X22" i="1"/>
  <c r="W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X21" i="1"/>
  <c r="W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X20" i="1"/>
  <c r="W20" i="1" s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X18" i="1"/>
  <c r="W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X17" i="1"/>
  <c r="W17" i="1" s="1"/>
  <c r="S17" i="1"/>
  <c r="P17" i="1"/>
  <c r="W19" i="1" l="1"/>
  <c r="CU17" i="1"/>
  <c r="AV17" i="1" s="1"/>
  <c r="AX17" i="1" s="1"/>
  <c r="N26" i="1"/>
  <c r="J26" i="1"/>
  <c r="AW26" i="1" s="1"/>
  <c r="AY26" i="1" s="1"/>
  <c r="I26" i="1"/>
  <c r="H26" i="1" s="1"/>
  <c r="AA26" i="1" s="1"/>
  <c r="K26" i="1"/>
  <c r="AH26" i="1"/>
  <c r="CU20" i="1"/>
  <c r="AV20" i="1" s="1"/>
  <c r="AX20" i="1" s="1"/>
  <c r="S20" i="1"/>
  <c r="K17" i="1"/>
  <c r="I17" i="1"/>
  <c r="H17" i="1" s="1"/>
  <c r="J17" i="1"/>
  <c r="AW17" i="1" s="1"/>
  <c r="AY17" i="1" s="1"/>
  <c r="N17" i="1"/>
  <c r="AH17" i="1"/>
  <c r="CU28" i="1"/>
  <c r="AV28" i="1" s="1"/>
  <c r="AX28" i="1" s="1"/>
  <c r="S28" i="1"/>
  <c r="BE28" i="1"/>
  <c r="BF28" i="1"/>
  <c r="BJ28" i="1" s="1"/>
  <c r="BK28" i="1" s="1"/>
  <c r="BG28" i="1"/>
  <c r="AH28" i="1"/>
  <c r="I28" i="1"/>
  <c r="H28" i="1" s="1"/>
  <c r="N28" i="1"/>
  <c r="K28" i="1"/>
  <c r="J28" i="1"/>
  <c r="AW28" i="1" s="1"/>
  <c r="CU27" i="1"/>
  <c r="AV27" i="1" s="1"/>
  <c r="AX27" i="1" s="1"/>
  <c r="S27" i="1"/>
  <c r="BE27" i="1"/>
  <c r="BF27" i="1"/>
  <c r="BJ27" i="1" s="1"/>
  <c r="BK27" i="1" s="1"/>
  <c r="BG27" i="1"/>
  <c r="AH27" i="1"/>
  <c r="I27" i="1"/>
  <c r="H27" i="1" s="1"/>
  <c r="N27" i="1"/>
  <c r="K27" i="1"/>
  <c r="J27" i="1"/>
  <c r="AW27" i="1" s="1"/>
  <c r="AY27" i="1" s="1"/>
  <c r="BE26" i="1"/>
  <c r="BF26" i="1"/>
  <c r="BJ26" i="1" s="1"/>
  <c r="BK26" i="1" s="1"/>
  <c r="BG26" i="1"/>
  <c r="T26" i="1"/>
  <c r="U26" i="1" s="1"/>
  <c r="Q26" i="1" s="1"/>
  <c r="O26" i="1" s="1"/>
  <c r="R26" i="1" s="1"/>
  <c r="L26" i="1" s="1"/>
  <c r="M26" i="1" s="1"/>
  <c r="S25" i="1"/>
  <c r="CU25" i="1"/>
  <c r="AV25" i="1" s="1"/>
  <c r="AX25" i="1" s="1"/>
  <c r="BE25" i="1"/>
  <c r="BF25" i="1"/>
  <c r="BJ25" i="1" s="1"/>
  <c r="BK25" i="1" s="1"/>
  <c r="BG25" i="1"/>
  <c r="AH25" i="1"/>
  <c r="K25" i="1"/>
  <c r="N25" i="1"/>
  <c r="I25" i="1"/>
  <c r="H25" i="1" s="1"/>
  <c r="J25" i="1"/>
  <c r="AW25" i="1" s="1"/>
  <c r="AY25" i="1" s="1"/>
  <c r="S24" i="1"/>
  <c r="CU24" i="1"/>
  <c r="AV24" i="1" s="1"/>
  <c r="AX24" i="1" s="1"/>
  <c r="BE24" i="1"/>
  <c r="BF24" i="1"/>
  <c r="BJ24" i="1" s="1"/>
  <c r="BK24" i="1" s="1"/>
  <c r="BG24" i="1"/>
  <c r="I24" i="1"/>
  <c r="H24" i="1" s="1"/>
  <c r="AH24" i="1"/>
  <c r="J24" i="1"/>
  <c r="AW24" i="1" s="1"/>
  <c r="AY24" i="1" s="1"/>
  <c r="N24" i="1"/>
  <c r="K24" i="1"/>
  <c r="BE23" i="1"/>
  <c r="BF23" i="1"/>
  <c r="BJ23" i="1" s="1"/>
  <c r="BK23" i="1" s="1"/>
  <c r="BG23" i="1"/>
  <c r="T23" i="1"/>
  <c r="U23" i="1" s="1"/>
  <c r="Q23" i="1" s="1"/>
  <c r="O23" i="1" s="1"/>
  <c r="R23" i="1" s="1"/>
  <c r="L23" i="1" s="1"/>
  <c r="M23" i="1" s="1"/>
  <c r="AA23" i="1"/>
  <c r="S22" i="1"/>
  <c r="CU22" i="1"/>
  <c r="AV22" i="1" s="1"/>
  <c r="AX22" i="1" s="1"/>
  <c r="BE22" i="1"/>
  <c r="BF22" i="1"/>
  <c r="BJ22" i="1" s="1"/>
  <c r="BK22" i="1" s="1"/>
  <c r="BG22" i="1"/>
  <c r="AH22" i="1"/>
  <c r="N22" i="1"/>
  <c r="K22" i="1"/>
  <c r="J22" i="1"/>
  <c r="AW22" i="1" s="1"/>
  <c r="AY22" i="1" s="1"/>
  <c r="I22" i="1"/>
  <c r="H22" i="1" s="1"/>
  <c r="CU21" i="1"/>
  <c r="AV21" i="1" s="1"/>
  <c r="AX21" i="1" s="1"/>
  <c r="S21" i="1"/>
  <c r="BE21" i="1"/>
  <c r="BF21" i="1"/>
  <c r="BJ21" i="1" s="1"/>
  <c r="BK21" i="1" s="1"/>
  <c r="BG21" i="1"/>
  <c r="AH21" i="1"/>
  <c r="I21" i="1"/>
  <c r="H21" i="1" s="1"/>
  <c r="J21" i="1"/>
  <c r="AW21" i="1" s="1"/>
  <c r="K21" i="1"/>
  <c r="N21" i="1"/>
  <c r="BE20" i="1"/>
  <c r="BF20" i="1"/>
  <c r="BJ20" i="1" s="1"/>
  <c r="BK20" i="1" s="1"/>
  <c r="BG20" i="1"/>
  <c r="AH20" i="1"/>
  <c r="I20" i="1"/>
  <c r="H20" i="1" s="1"/>
  <c r="J20" i="1"/>
  <c r="AW20" i="1" s="1"/>
  <c r="AY20" i="1" s="1"/>
  <c r="K20" i="1"/>
  <c r="N20" i="1"/>
  <c r="T20" i="1"/>
  <c r="U20" i="1" s="1"/>
  <c r="CU19" i="1"/>
  <c r="AV19" i="1" s="1"/>
  <c r="AX19" i="1" s="1"/>
  <c r="S19" i="1"/>
  <c r="BE19" i="1"/>
  <c r="BF19" i="1"/>
  <c r="BJ19" i="1" s="1"/>
  <c r="BK19" i="1" s="1"/>
  <c r="BG19" i="1"/>
  <c r="AH19" i="1"/>
  <c r="I19" i="1"/>
  <c r="H19" i="1" s="1"/>
  <c r="J19" i="1"/>
  <c r="AW19" i="1" s="1"/>
  <c r="K19" i="1"/>
  <c r="N19" i="1"/>
  <c r="CU18" i="1"/>
  <c r="AV18" i="1" s="1"/>
  <c r="AX18" i="1" s="1"/>
  <c r="S18" i="1"/>
  <c r="BE18" i="1"/>
  <c r="BF18" i="1"/>
  <c r="BJ18" i="1" s="1"/>
  <c r="BK18" i="1" s="1"/>
  <c r="BG18" i="1"/>
  <c r="AH18" i="1"/>
  <c r="I18" i="1"/>
  <c r="H18" i="1" s="1"/>
  <c r="J18" i="1"/>
  <c r="AW18" i="1" s="1"/>
  <c r="AY18" i="1" s="1"/>
  <c r="K18" i="1"/>
  <c r="N18" i="1"/>
  <c r="BE17" i="1"/>
  <c r="BF17" i="1"/>
  <c r="BJ17" i="1" s="1"/>
  <c r="BK17" i="1" s="1"/>
  <c r="BG17" i="1"/>
  <c r="T17" i="1"/>
  <c r="U17" i="1" s="1"/>
  <c r="Q17" i="1" s="1"/>
  <c r="O17" i="1" s="1"/>
  <c r="R17" i="1" s="1"/>
  <c r="L17" i="1" s="1"/>
  <c r="M17" i="1" s="1"/>
  <c r="AA17" i="1"/>
  <c r="AY21" i="1" l="1"/>
  <c r="AY19" i="1"/>
  <c r="T28" i="1"/>
  <c r="U28" i="1" s="1"/>
  <c r="Q28" i="1"/>
  <c r="O28" i="1" s="1"/>
  <c r="R28" i="1" s="1"/>
  <c r="L28" i="1" s="1"/>
  <c r="M28" i="1" s="1"/>
  <c r="AA28" i="1"/>
  <c r="T27" i="1"/>
  <c r="U27" i="1" s="1"/>
  <c r="Q27" i="1" s="1"/>
  <c r="O27" i="1" s="1"/>
  <c r="R27" i="1" s="1"/>
  <c r="L27" i="1" s="1"/>
  <c r="M27" i="1" s="1"/>
  <c r="AA27" i="1"/>
  <c r="AB26" i="1"/>
  <c r="V26" i="1"/>
  <c r="Z26" i="1" s="1"/>
  <c r="AC26" i="1"/>
  <c r="AD26" i="1" s="1"/>
  <c r="T25" i="1"/>
  <c r="U25" i="1" s="1"/>
  <c r="Q25" i="1"/>
  <c r="O25" i="1" s="1"/>
  <c r="R25" i="1" s="1"/>
  <c r="L25" i="1" s="1"/>
  <c r="M25" i="1" s="1"/>
  <c r="AA25" i="1"/>
  <c r="T24" i="1"/>
  <c r="U24" i="1" s="1"/>
  <c r="Q24" i="1"/>
  <c r="O24" i="1" s="1"/>
  <c r="R24" i="1" s="1"/>
  <c r="L24" i="1" s="1"/>
  <c r="M24" i="1" s="1"/>
  <c r="AA24" i="1"/>
  <c r="AB23" i="1"/>
  <c r="V23" i="1"/>
  <c r="Z23" i="1" s="1"/>
  <c r="AC23" i="1"/>
  <c r="AD23" i="1" s="1"/>
  <c r="T22" i="1"/>
  <c r="U22" i="1" s="1"/>
  <c r="Q22" i="1" s="1"/>
  <c r="O22" i="1" s="1"/>
  <c r="R22" i="1" s="1"/>
  <c r="L22" i="1" s="1"/>
  <c r="M22" i="1" s="1"/>
  <c r="AA22" i="1"/>
  <c r="T21" i="1"/>
  <c r="U21" i="1" s="1"/>
  <c r="Q21" i="1"/>
  <c r="O21" i="1" s="1"/>
  <c r="R21" i="1" s="1"/>
  <c r="L21" i="1" s="1"/>
  <c r="M21" i="1" s="1"/>
  <c r="AA21" i="1"/>
  <c r="Q20" i="1"/>
  <c r="O20" i="1" s="1"/>
  <c r="R20" i="1" s="1"/>
  <c r="L20" i="1" s="1"/>
  <c r="M20" i="1" s="1"/>
  <c r="AA20" i="1"/>
  <c r="AB20" i="1"/>
  <c r="V20" i="1"/>
  <c r="Z20" i="1" s="1"/>
  <c r="AC20" i="1"/>
  <c r="T19" i="1"/>
  <c r="U19" i="1" s="1"/>
  <c r="Q19" i="1" s="1"/>
  <c r="O19" i="1" s="1"/>
  <c r="R19" i="1" s="1"/>
  <c r="L19" i="1" s="1"/>
  <c r="M19" i="1" s="1"/>
  <c r="AA19" i="1"/>
  <c r="T18" i="1"/>
  <c r="U18" i="1" s="1"/>
  <c r="Q18" i="1"/>
  <c r="O18" i="1" s="1"/>
  <c r="R18" i="1" s="1"/>
  <c r="L18" i="1" s="1"/>
  <c r="M18" i="1" s="1"/>
  <c r="AA18" i="1"/>
  <c r="AB17" i="1"/>
  <c r="V17" i="1"/>
  <c r="Z17" i="1" s="1"/>
  <c r="AC17" i="1"/>
  <c r="AD17" i="1" s="1"/>
  <c r="AY28" i="1"/>
  <c r="AD20" i="1" l="1"/>
  <c r="V28" i="1"/>
  <c r="Z28" i="1" s="1"/>
  <c r="AB28" i="1"/>
  <c r="AC28" i="1"/>
  <c r="AB27" i="1"/>
  <c r="V27" i="1"/>
  <c r="Z27" i="1" s="1"/>
  <c r="AC27" i="1"/>
  <c r="AD27" i="1" s="1"/>
  <c r="V25" i="1"/>
  <c r="Z25" i="1" s="1"/>
  <c r="AB25" i="1"/>
  <c r="AC25" i="1"/>
  <c r="AD25" i="1" s="1"/>
  <c r="AB24" i="1"/>
  <c r="V24" i="1"/>
  <c r="Z24" i="1" s="1"/>
  <c r="AC24" i="1"/>
  <c r="AD24" i="1" s="1"/>
  <c r="V22" i="1"/>
  <c r="Z22" i="1" s="1"/>
  <c r="AB22" i="1"/>
  <c r="AC22" i="1"/>
  <c r="AD22" i="1" s="1"/>
  <c r="AB21" i="1"/>
  <c r="V21" i="1"/>
  <c r="Z21" i="1" s="1"/>
  <c r="AC21" i="1"/>
  <c r="AD21" i="1" s="1"/>
  <c r="V19" i="1"/>
  <c r="Z19" i="1" s="1"/>
  <c r="AC19" i="1"/>
  <c r="AB19" i="1"/>
  <c r="AB18" i="1"/>
  <c r="V18" i="1"/>
  <c r="Z18" i="1" s="1"/>
  <c r="AC18" i="1"/>
  <c r="AD18" i="1" s="1"/>
  <c r="AD28" i="1" l="1"/>
  <c r="AD19" i="1"/>
</calcChain>
</file>

<file path=xl/sharedStrings.xml><?xml version="1.0" encoding="utf-8"?>
<sst xmlns="http://schemas.openxmlformats.org/spreadsheetml/2006/main" count="785" uniqueCount="379">
  <si>
    <t>File opened</t>
  </si>
  <si>
    <t>2026-10-16 09:58:12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</si>
  <si>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</si>
  <si>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</si>
  <si>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</si>
  <si>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</si>
  <si>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</si>
  <si>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</si>
  <si>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</si>
  <si>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</si>
  <si>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</si>
  <si>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</si>
  <si>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</si>
  <si>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{"flowmeterzero": "2.483", "co2bspan2": "-0.00857283", "h2oaspan2a": "0.0964052", "co2bspan2b": "0.105618", "co2aspanconc2": "1516", "co2aspan2a": "0.106022", "co2bspanconc1": "437.6", "tazero": "0.15448", "ssa_ref": "37830.5", "tbzero": "0.143742", "co2bzero": "0.953041", "co2bspanconc2": "1516", "h2oaspan2": "0", "h2obspanconc1": "17.96", "co2azero": "0.931334", "h2obspanconc2": "0", "h2oaspanconc2": "0", "h2obspan2": "0", "h2obspan2a": "0.0961931", "ssb_ref": "36242.9", "co2bspan1": "1.00005", "h2obzero": "1.01897", "h2oaspan1": "1.02308", "co2aspan2b": "0.105998", "co2aspan1": "1.00082", "flowazero": "0.276", "flowbzero": "0.30473", "chamberpressurezero": "2.71033", "h2oaspan2b": "0.0986302", "h2obspan1": "1.01044", "h2oaspanconc1": "17.96", "oxygen": "21", "co2aspan2": "-0.00988168", "h2obspan2b": "0.0971974", "co2bspan2a": "0.105708", "h2oazero": "1.03097", "co2aspanconc1": "437.6"}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</si>
  <si>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</si>
  <si>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</si>
  <si>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</si>
  <si>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</si>
  <si>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</si>
  <si>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</si>
  <si>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</si>
  <si>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</si>
  <si>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</si>
  <si>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</si>
  <si>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</si>
  <si>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</si>
  <si>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</si>
  <si>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</si>
  <si>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</si>
  <si>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09:58:12</t>
  </si>
  <si>
    <t>Stability Definition:	A (GasEx): Slp&lt;0.6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</si>
  <si>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</si>
  <si>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</si>
  <si>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</si>
  <si>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</si>
  <si>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</si>
  <si>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</si>
  <si>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</si>
  <si>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</si>
  <si>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</si>
  <si>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</si>
  <si>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</si>
  <si>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</si>
  <si>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</si>
  <si>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</si>
  <si>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</si>
  <si>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</si>
  <si>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</si>
  <si>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</si>
  <si>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</si>
  <si>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</si>
  <si>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</si>
  <si>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</si>
  <si>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</si>
  <si>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</si>
  <si>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</si>
  <si>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</si>
  <si>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</si>
  <si>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</si>
  <si>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</si>
  <si>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</si>
  <si>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</si>
  <si>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</si>
  <si>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</si>
  <si>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</si>
  <si>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</si>
  <si>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</si>
  <si>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</si>
  <si>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</si>
  <si>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</si>
  <si>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</si>
  <si>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</si>
  <si>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</si>
  <si>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</si>
  <si>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</si>
  <si>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</si>
  <si>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</si>
  <si>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</si>
  <si>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</si>
  <si>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</si>
  <si>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</si>
  <si>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</si>
  <si>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3.7566 197.14 345.085 569.364 835.095 1048.85 1238.94 1340.78</t>
  </si>
  <si>
    <t>Fs_true</t>
  </si>
  <si>
    <t>0.199903 229.678 383.692 585.549 812.233 1001.91 1203.48 1401.03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</si>
  <si>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</si>
  <si>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</si>
  <si>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</si>
  <si>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</si>
  <si>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</si>
  <si>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</si>
  <si>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</si>
  <si>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</si>
  <si>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</si>
  <si>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</si>
  <si>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</si>
  <si>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</si>
  <si>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</si>
  <si>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</si>
  <si>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</si>
  <si>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</si>
  <si>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</si>
  <si>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</si>
  <si>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</si>
  <si>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</si>
  <si>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</si>
  <si>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</si>
  <si>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</si>
  <si>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</si>
  <si>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</si>
  <si>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</si>
  <si>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</si>
  <si>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</si>
  <si>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</si>
  <si>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</si>
  <si>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</si>
  <si>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</si>
  <si>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</si>
  <si>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</si>
  <si>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</si>
  <si>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</si>
  <si>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</si>
  <si>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</si>
  <si>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</si>
  <si>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</si>
  <si>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</si>
  <si>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</si>
  <si>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</si>
  <si>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</si>
  <si>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</si>
  <si>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</si>
  <si>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</si>
  <si>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</si>
  <si>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</si>
  <si>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</si>
  <si>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</si>
  <si>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</si>
  <si>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</si>
  <si>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</si>
  <si>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</si>
  <si>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</si>
  <si>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</si>
  <si>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</si>
  <si>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</si>
  <si>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</si>
  <si>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</si>
  <si>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</si>
  <si>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</si>
  <si>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</si>
  <si>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</si>
  <si>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</si>
  <si>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</si>
  <si>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</si>
  <si>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</si>
  <si>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</si>
  <si>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</si>
  <si>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</si>
  <si>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</si>
  <si>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</si>
  <si>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</si>
  <si>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</si>
  <si>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</si>
  <si>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</si>
  <si>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</si>
  <si>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</si>
  <si>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</si>
  <si>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</si>
  <si>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</si>
  <si>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</si>
  <si>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</si>
  <si>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</si>
  <si>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</si>
  <si>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</si>
  <si>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</si>
  <si>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</si>
  <si>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</si>
  <si>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</si>
  <si>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</si>
  <si>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</si>
  <si>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</si>
  <si>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</si>
  <si>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</si>
  <si>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</si>
  <si>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</si>
  <si>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</si>
  <si>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</si>
  <si>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</si>
  <si>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</si>
  <si>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</si>
  <si>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</si>
  <si>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</si>
  <si>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</si>
  <si>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</si>
  <si>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</si>
  <si>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</si>
  <si>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</si>
  <si>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</si>
  <si>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</si>
  <si>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</si>
  <si>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</si>
  <si>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</si>
  <si>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</si>
  <si>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</si>
  <si>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</si>
  <si>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</si>
  <si>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</si>
  <si>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</si>
  <si>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</si>
  <si>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</si>
  <si>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</si>
  <si>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</si>
  <si>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</si>
  <si>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</si>
  <si>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</si>
  <si>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</si>
  <si>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</si>
  <si>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</si>
  <si>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</si>
  <si>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</si>
  <si>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</si>
  <si>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</si>
  <si>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</si>
  <si>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</si>
  <si>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</si>
  <si>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</si>
  <si>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</si>
  <si>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</si>
  <si>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</si>
  <si>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</si>
  <si>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</si>
  <si>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</si>
  <si>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</si>
  <si>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</si>
  <si>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</si>
  <si>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</si>
  <si>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</si>
  <si>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</si>
  <si>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</si>
  <si>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</si>
  <si>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</si>
  <si>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</si>
  <si>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</si>
  <si>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</si>
  <si>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</si>
  <si>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</si>
  <si>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</si>
  <si>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</si>
  <si>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</si>
  <si>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</si>
  <si>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</si>
  <si>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</si>
  <si>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</si>
  <si>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</si>
  <si>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</si>
  <si>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</si>
  <si>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</si>
  <si>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</si>
  <si>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</si>
  <si>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</si>
  <si>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</si>
  <si>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</si>
  <si>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</si>
  <si>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</si>
  <si>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</si>
  <si>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</si>
  <si>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</si>
  <si>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</si>
  <si>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</si>
  <si>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</si>
  <si>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</si>
  <si>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</si>
  <si>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</si>
  <si>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</si>
  <si>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</si>
  <si>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</si>
  <si>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</si>
  <si>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</si>
  <si>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</si>
  <si>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</si>
  <si>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</si>
  <si>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</si>
  <si>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</si>
  <si>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</si>
  <si>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</si>
  <si>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</si>
  <si>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</si>
  <si>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</si>
  <si>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</si>
  <si>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</si>
  <si>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</si>
  <si>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</si>
  <si>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</si>
  <si>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</si>
  <si>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</si>
  <si>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</si>
  <si>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</si>
  <si>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</si>
  <si>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</si>
  <si>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</si>
  <si>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</si>
  <si>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</si>
  <si>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</si>
  <si>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</si>
  <si>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</si>
  <si>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</si>
  <si>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</si>
  <si>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</si>
  <si>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</si>
  <si>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</si>
  <si>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</si>
  <si>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</si>
  <si>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</si>
  <si>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</si>
  <si>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</si>
  <si>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</si>
  <si>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</si>
  <si>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</si>
  <si>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</si>
  <si>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</si>
  <si>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</si>
  <si>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</si>
  <si>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</si>
  <si>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</si>
  <si>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</si>
  <si>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</si>
  <si>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</si>
  <si>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</si>
  <si>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</si>
  <si>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</si>
  <si>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</si>
  <si>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</si>
  <si>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</si>
  <si>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</si>
  <si>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</si>
  <si>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</si>
  <si>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</si>
  <si>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</si>
  <si>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</si>
  <si>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</si>
  <si>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</si>
  <si>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20261016 10:09:08</t>
  </si>
  <si>
    <t>10:09:08</t>
  </si>
  <si>
    <t>-</t>
  </si>
  <si>
    <t>0: Broadleaf</t>
  </si>
  <si>
    <t>10:08:00</t>
  </si>
  <si>
    <t>2/2</t>
  </si>
  <si>
    <t>20261016 10:11:12</t>
  </si>
  <si>
    <t>10:11:12</t>
  </si>
  <si>
    <t>10:10:10</t>
  </si>
  <si>
    <t>20261016 10:13:13</t>
  </si>
  <si>
    <t>10:13:13</t>
  </si>
  <si>
    <t>10:12:15</t>
  </si>
  <si>
    <t>20261016 10:15:14</t>
  </si>
  <si>
    <t>10:15:14</t>
  </si>
  <si>
    <t>10:14:19</t>
  </si>
  <si>
    <t>20261016 10:17:15</t>
  </si>
  <si>
    <t>10:17:15</t>
  </si>
  <si>
    <t>10:16:16</t>
  </si>
  <si>
    <t>20261016 10:19:36</t>
  </si>
  <si>
    <t>10:19:36</t>
  </si>
  <si>
    <t>10:18:23</t>
  </si>
  <si>
    <t>20261016 10:21:37</t>
  </si>
  <si>
    <t>10:21:37</t>
  </si>
  <si>
    <t>10:20:31</t>
  </si>
  <si>
    <t>20261016 10:23:39</t>
  </si>
  <si>
    <t>10:23:39</t>
  </si>
  <si>
    <t>10:23:02</t>
  </si>
  <si>
    <t>20261016 10:25:53</t>
  </si>
  <si>
    <t>10:25:53</t>
  </si>
  <si>
    <t>10:24:45</t>
  </si>
  <si>
    <t>20261016 10:28:07</t>
  </si>
  <si>
    <t>10:28:07</t>
  </si>
  <si>
    <t>10:26:56</t>
  </si>
  <si>
    <t>20261016 10:30:09</t>
  </si>
  <si>
    <t>10:30:09</t>
  </si>
  <si>
    <t>10:29:11</t>
  </si>
  <si>
    <t>20261016 10:32:18</t>
  </si>
  <si>
    <t>10:32:18</t>
  </si>
  <si>
    <t>10:31:12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</si>
</sst>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33</v>
      </c>
    </row>
    <row r="3" spans="1:216" x14ac:dyDescent="0.3">
      <c r="B3">
        <v>4</v>
      </c>
      <c r="C3">
        <v>21</v>
      </c>
    </row>
    <row r="4" spans="1:216" x14ac:dyDescent="0.3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6" x14ac:dyDescent="0.3">
      <c r="B5" t="s">
        <v>21</v>
      </c>
      <c r="C5" t="s">
        <v>37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6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0</v>
      </c>
    </row>
    <row r="14" spans="1:216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88</v>
      </c>
      <c r="AF14" t="s">
        <v>88</v>
      </c>
      <c r="AG14" t="s">
        <v>88</v>
      </c>
      <c r="AH14" t="s">
        <v>88</v>
      </c>
      <c r="AI14" t="s">
        <v>88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91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92</v>
      </c>
      <c r="CU14" t="s">
        <v>92</v>
      </c>
      <c r="CV14" t="s">
        <v>92</v>
      </c>
      <c r="CW14" t="s">
        <v>92</v>
      </c>
      <c r="CX14" t="s">
        <v>93</v>
      </c>
      <c r="CY14" t="s">
        <v>93</v>
      </c>
      <c r="CZ14" t="s">
        <v>93</v>
      </c>
      <c r="DA14" t="s">
        <v>93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</row>
    <row r="15" spans="1:216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88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143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157</v>
      </c>
      <c r="BF15" t="s">
        <v>158</v>
      </c>
      <c r="BG15" t="s">
        <v>159</v>
      </c>
      <c r="BH15" t="s">
        <v>160</v>
      </c>
      <c r="BI15" t="s">
        <v>161</v>
      </c>
      <c r="BJ15" t="s">
        <v>162</v>
      </c>
      <c r="BK15" t="s">
        <v>163</v>
      </c>
      <c r="BL15" t="s">
        <v>164</v>
      </c>
      <c r="BM15" t="s">
        <v>165</v>
      </c>
      <c r="BN15" t="s">
        <v>166</v>
      </c>
      <c r="BO15" t="s">
        <v>167</v>
      </c>
      <c r="BP15" t="s">
        <v>168</v>
      </c>
      <c r="BQ15" t="s">
        <v>169</v>
      </c>
      <c r="BR15" t="s">
        <v>170</v>
      </c>
      <c r="BS15" t="s">
        <v>171</v>
      </c>
      <c r="BT15" t="s">
        <v>172</v>
      </c>
      <c r="BU15" t="s">
        <v>173</v>
      </c>
      <c r="BV15" t="s">
        <v>174</v>
      </c>
      <c r="BW15" t="s">
        <v>175</v>
      </c>
      <c r="BX15" t="s">
        <v>176</v>
      </c>
      <c r="BY15" t="s">
        <v>177</v>
      </c>
      <c r="BZ15" t="s">
        <v>178</v>
      </c>
      <c r="CA15" t="s">
        <v>179</v>
      </c>
      <c r="CB15" t="s">
        <v>180</v>
      </c>
      <c r="CC15" t="s">
        <v>181</v>
      </c>
      <c r="CD15" t="s">
        <v>182</v>
      </c>
      <c r="CE15" t="s">
        <v>183</v>
      </c>
      <c r="CF15" t="s">
        <v>184</v>
      </c>
      <c r="CG15" t="s">
        <v>164</v>
      </c>
      <c r="CH15" t="s">
        <v>185</v>
      </c>
      <c r="CI15" t="s">
        <v>186</v>
      </c>
      <c r="CJ15" t="s">
        <v>187</v>
      </c>
      <c r="CK15" t="s">
        <v>138</v>
      </c>
      <c r="CL15" t="s">
        <v>188</v>
      </c>
      <c r="CM15" t="s">
        <v>189</v>
      </c>
      <c r="CN15" t="s">
        <v>190</v>
      </c>
      <c r="CO15" t="s">
        <v>191</v>
      </c>
      <c r="CP15" t="s">
        <v>192</v>
      </c>
      <c r="CQ15" t="s">
        <v>193</v>
      </c>
      <c r="CR15" t="s">
        <v>194</v>
      </c>
      <c r="CS15" t="s">
        <v>195</v>
      </c>
      <c r="CT15" t="s">
        <v>196</v>
      </c>
      <c r="CU15" t="s">
        <v>197</v>
      </c>
      <c r="CV15" t="s">
        <v>198</v>
      </c>
      <c r="CW15" t="s">
        <v>199</v>
      </c>
      <c r="CX15" t="s">
        <v>200</v>
      </c>
      <c r="CY15" t="s">
        <v>201</v>
      </c>
      <c r="CZ15" t="s">
        <v>202</v>
      </c>
      <c r="DA15" t="s">
        <v>203</v>
      </c>
      <c r="DB15" t="s">
        <v>108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103</v>
      </c>
      <c r="ER15" t="s">
        <v>106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  <c r="HC15" t="s">
        <v>306</v>
      </c>
      <c r="HD15" t="s">
        <v>307</v>
      </c>
      <c r="HE15" t="s">
        <v>308</v>
      </c>
      <c r="HF15" t="s">
        <v>309</v>
      </c>
      <c r="HG15" t="s">
        <v>310</v>
      </c>
      <c r="HH15" t="s">
        <v>311</v>
      </c>
    </row>
    <row r="16" spans="1:216" x14ac:dyDescent="0.3">
      <c r="B16" t="s">
        <v>312</v>
      </c>
      <c r="C16" t="s">
        <v>312</v>
      </c>
      <c r="F16" t="s">
        <v>312</v>
      </c>
      <c r="G16" t="s">
        <v>312</v>
      </c>
      <c r="H16" t="s">
        <v>313</v>
      </c>
      <c r="I16" t="s">
        <v>314</v>
      </c>
      <c r="J16" t="s">
        <v>315</v>
      </c>
      <c r="K16" t="s">
        <v>316</v>
      </c>
      <c r="L16" t="s">
        <v>316</v>
      </c>
      <c r="M16" t="s">
        <v>211</v>
      </c>
      <c r="N16" t="s">
        <v>211</v>
      </c>
      <c r="O16" t="s">
        <v>313</v>
      </c>
      <c r="P16" t="s">
        <v>313</v>
      </c>
      <c r="Q16" t="s">
        <v>313</v>
      </c>
      <c r="R16" t="s">
        <v>313</v>
      </c>
      <c r="S16" t="s">
        <v>317</v>
      </c>
      <c r="T16" t="s">
        <v>318</v>
      </c>
      <c r="U16" t="s">
        <v>318</v>
      </c>
      <c r="V16" t="s">
        <v>319</v>
      </c>
      <c r="W16" t="s">
        <v>320</v>
      </c>
      <c r="X16" t="s">
        <v>319</v>
      </c>
      <c r="Y16" t="s">
        <v>319</v>
      </c>
      <c r="Z16" t="s">
        <v>319</v>
      </c>
      <c r="AA16" t="s">
        <v>317</v>
      </c>
      <c r="AB16" t="s">
        <v>317</v>
      </c>
      <c r="AC16" t="s">
        <v>317</v>
      </c>
      <c r="AD16" t="s">
        <v>317</v>
      </c>
      <c r="AE16" t="s">
        <v>321</v>
      </c>
      <c r="AF16" t="s">
        <v>320</v>
      </c>
      <c r="AH16" t="s">
        <v>320</v>
      </c>
      <c r="AI16" t="s">
        <v>321</v>
      </c>
      <c r="AO16" t="s">
        <v>315</v>
      </c>
      <c r="AV16" t="s">
        <v>315</v>
      </c>
      <c r="AW16" t="s">
        <v>315</v>
      </c>
      <c r="AX16" t="s">
        <v>315</v>
      </c>
      <c r="AY16" t="s">
        <v>322</v>
      </c>
      <c r="BM16" t="s">
        <v>323</v>
      </c>
      <c r="BO16" t="s">
        <v>323</v>
      </c>
      <c r="BP16" t="s">
        <v>315</v>
      </c>
      <c r="BS16" t="s">
        <v>323</v>
      </c>
      <c r="BT16" t="s">
        <v>320</v>
      </c>
      <c r="BW16" t="s">
        <v>324</v>
      </c>
      <c r="BX16" t="s">
        <v>324</v>
      </c>
      <c r="BZ16" t="s">
        <v>325</v>
      </c>
      <c r="CA16" t="s">
        <v>323</v>
      </c>
      <c r="CC16" t="s">
        <v>323</v>
      </c>
      <c r="CD16" t="s">
        <v>315</v>
      </c>
      <c r="CH16" t="s">
        <v>323</v>
      </c>
      <c r="CJ16" t="s">
        <v>326</v>
      </c>
      <c r="CM16" t="s">
        <v>323</v>
      </c>
      <c r="CN16" t="s">
        <v>323</v>
      </c>
      <c r="CP16" t="s">
        <v>323</v>
      </c>
      <c r="CR16" t="s">
        <v>323</v>
      </c>
      <c r="CT16" t="s">
        <v>315</v>
      </c>
      <c r="CU16" t="s">
        <v>315</v>
      </c>
      <c r="CW16" t="s">
        <v>327</v>
      </c>
      <c r="CX16" t="s">
        <v>328</v>
      </c>
      <c r="DA16" t="s">
        <v>313</v>
      </c>
      <c r="DB16" t="s">
        <v>312</v>
      </c>
      <c r="DC16" t="s">
        <v>316</v>
      </c>
      <c r="DD16" t="s">
        <v>316</v>
      </c>
      <c r="DE16" t="s">
        <v>329</v>
      </c>
      <c r="DF16" t="s">
        <v>329</v>
      </c>
      <c r="DG16" t="s">
        <v>316</v>
      </c>
      <c r="DH16" t="s">
        <v>329</v>
      </c>
      <c r="DI16" t="s">
        <v>321</v>
      </c>
      <c r="DJ16" t="s">
        <v>319</v>
      </c>
      <c r="DK16" t="s">
        <v>319</v>
      </c>
      <c r="DL16" t="s">
        <v>318</v>
      </c>
      <c r="DM16" t="s">
        <v>318</v>
      </c>
      <c r="DN16" t="s">
        <v>318</v>
      </c>
      <c r="DO16" t="s">
        <v>318</v>
      </c>
      <c r="DP16" t="s">
        <v>318</v>
      </c>
      <c r="DQ16" t="s">
        <v>330</v>
      </c>
      <c r="DR16" t="s">
        <v>315</v>
      </c>
      <c r="DS16" t="s">
        <v>315</v>
      </c>
      <c r="DT16" t="s">
        <v>315</v>
      </c>
      <c r="DY16" t="s">
        <v>315</v>
      </c>
      <c r="EB16" t="s">
        <v>318</v>
      </c>
      <c r="EC16" t="s">
        <v>318</v>
      </c>
      <c r="ED16" t="s">
        <v>318</v>
      </c>
      <c r="EE16" t="s">
        <v>318</v>
      </c>
      <c r="EF16" t="s">
        <v>318</v>
      </c>
      <c r="EG16" t="s">
        <v>315</v>
      </c>
      <c r="EH16" t="s">
        <v>315</v>
      </c>
      <c r="EI16" t="s">
        <v>315</v>
      </c>
      <c r="EJ16" t="s">
        <v>312</v>
      </c>
      <c r="EM16" t="s">
        <v>331</v>
      </c>
      <c r="EN16" t="s">
        <v>331</v>
      </c>
      <c r="EP16" t="s">
        <v>312</v>
      </c>
      <c r="EQ16" t="s">
        <v>332</v>
      </c>
      <c r="ES16" t="s">
        <v>312</v>
      </c>
      <c r="ET16" t="s">
        <v>312</v>
      </c>
      <c r="EV16" t="s">
        <v>333</v>
      </c>
      <c r="EW16" t="s">
        <v>334</v>
      </c>
      <c r="EX16" t="s">
        <v>333</v>
      </c>
      <c r="EY16" t="s">
        <v>334</v>
      </c>
      <c r="EZ16" t="s">
        <v>333</v>
      </c>
      <c r="FA16" t="s">
        <v>334</v>
      </c>
      <c r="FB16" t="s">
        <v>320</v>
      </c>
      <c r="FC16" t="s">
        <v>320</v>
      </c>
      <c r="FD16" t="s">
        <v>315</v>
      </c>
      <c r="FE16" t="s">
        <v>335</v>
      </c>
      <c r="FF16" t="s">
        <v>315</v>
      </c>
      <c r="FH16" t="s">
        <v>316</v>
      </c>
      <c r="FI16" t="s">
        <v>336</v>
      </c>
      <c r="FJ16" t="s">
        <v>316</v>
      </c>
      <c r="FM16" t="s">
        <v>337</v>
      </c>
      <c r="FS16" t="s">
        <v>320</v>
      </c>
      <c r="FT16" t="s">
        <v>320</v>
      </c>
      <c r="FU16" t="s">
        <v>333</v>
      </c>
      <c r="FV16" t="s">
        <v>334</v>
      </c>
      <c r="FW16" t="s">
        <v>333</v>
      </c>
      <c r="GA16" t="s">
        <v>334</v>
      </c>
      <c r="GE16" t="s">
        <v>316</v>
      </c>
      <c r="GF16" t="s">
        <v>316</v>
      </c>
      <c r="GG16" t="s">
        <v>329</v>
      </c>
      <c r="GH16" t="s">
        <v>329</v>
      </c>
      <c r="GI16" t="s">
        <v>338</v>
      </c>
      <c r="GJ16" t="s">
        <v>338</v>
      </c>
      <c r="GK16" t="s">
        <v>339</v>
      </c>
      <c r="GL16" t="s">
        <v>339</v>
      </c>
      <c r="GM16" t="s">
        <v>339</v>
      </c>
      <c r="GN16" t="s">
        <v>339</v>
      </c>
      <c r="GO16" t="s">
        <v>339</v>
      </c>
      <c r="GP16" t="s">
        <v>339</v>
      </c>
      <c r="GQ16" t="s">
        <v>318</v>
      </c>
      <c r="GR16" t="s">
        <v>339</v>
      </c>
      <c r="GT16" t="s">
        <v>321</v>
      </c>
      <c r="GU16" t="s">
        <v>321</v>
      </c>
      <c r="GV16" t="s">
        <v>318</v>
      </c>
      <c r="GW16" t="s">
        <v>318</v>
      </c>
      <c r="GX16" t="s">
        <v>318</v>
      </c>
      <c r="GY16" t="s">
        <v>318</v>
      </c>
      <c r="GZ16" t="s">
        <v>318</v>
      </c>
      <c r="HA16" t="s">
        <v>320</v>
      </c>
      <c r="HB16" t="s">
        <v>320</v>
      </c>
      <c r="HC16" t="s">
        <v>320</v>
      </c>
      <c r="HD16" t="s">
        <v>318</v>
      </c>
      <c r="HE16" t="s">
        <v>316</v>
      </c>
      <c r="HF16" t="s">
        <v>329</v>
      </c>
      <c r="HG16" t="s">
        <v>320</v>
      </c>
      <c r="HH16" t="s">
        <v>320</v>
      </c>
    </row>
    <row r="17" spans="1:216" x14ac:dyDescent="0.3">
      <c r="A17">
        <v>1</v>
      </c>
      <c r="B17">
        <v>1792112948</v>
      </c>
      <c r="C17">
        <v>0</v>
      </c>
      <c r="D17" t="s">
        <v>340</v>
      </c>
      <c r="E17" t="s">
        <v>341</v>
      </c>
      <c r="F17">
        <v>5</v>
      </c>
      <c r="G17">
        <v>1792112939.5</v>
      </c>
      <c r="H17">
        <f t="shared" ref="H17:H28" si="0">(I17)/1000</f>
        <v>3.0738549129715434E-3</v>
      </c>
      <c r="I17">
        <f t="shared" ref="I17:I28" si="1">1000*DI17*AG17*(DE17-DF17)/(100*CX17*(1000-AG17*DE17))</f>
        <v>3.0738549129715436</v>
      </c>
      <c r="J17">
        <f t="shared" ref="J17:J28" si="2">DI17*AG17*(DD17-DC17*(1000-AG17*DF17)/(1000-AG17*DE17))/(100*CX17)</f>
        <v>17.474482897722634</v>
      </c>
      <c r="K17">
        <f t="shared" ref="K17:K28" si="3">DC17 - IF(AG17&gt;1, J17*CX17*100/(AI17), 0)</f>
        <v>392.3565625</v>
      </c>
      <c r="L17">
        <f t="shared" ref="L17:L28" si="4">((R17-H17/2)*K17-J17)/(R17+H17/2)</f>
        <v>262.25038066457137</v>
      </c>
      <c r="M17">
        <f t="shared" ref="M17:M28" si="5">L17*(DJ17+DK17)/1000</f>
        <v>26.730554314568728</v>
      </c>
      <c r="N17">
        <f t="shared" ref="N17:N28" si="6">(DC17 - IF(AG17&gt;1, J17*CX17*100/(AI17), 0))*(DJ17+DK17)/1000</f>
        <v>39.991966372007596</v>
      </c>
      <c r="O17">
        <f t="shared" ref="O17:O28" si="7">2/((1/Q17-1/P17)+SIGN(Q17)*SQRT((1/Q17-1/P17)*(1/Q17-1/P17) + 4*CY17/((CY17+1)*(CY17+1))*(2*1/Q17*1/P17-1/P17*1/P17)))</f>
        <v>0.23562220871531125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3.040213448320757</v>
      </c>
      <c r="Q17">
        <f t="shared" ref="Q17:Q28" si="9">H17*(1000-(1000*0.61365*EXP(17.502*U17/(240.97+U17))/(DJ17+DK17)+DE17)/2)/(1000*0.61365*EXP(17.502*U17/(240.97+U17))/(DJ17+DK17)-DE17)</f>
        <v>0.2259269555936041</v>
      </c>
      <c r="R17">
        <f t="shared" ref="R17:R28" si="10">1/((CY17+1)/(O17/1.6)+1/(P17/1.37)) + CY17/((CY17+1)/(O17/1.6) + CY17/(P17/1.37))</f>
        <v>0.14204218447709546</v>
      </c>
      <c r="S17">
        <f t="shared" ref="S17:S28" si="11">(CT17*CW17)</f>
        <v>241.73732326558286</v>
      </c>
      <c r="T17">
        <f t="shared" ref="T17:T28" si="12">(DL17+(S17+2*0.95*0.0000000567*(((DL17+$B$7)+273)^4-(DL17+273)^4)-44100*H17)/(1.84*29.3*P17+8*0.95*0.0000000567*(DL17+273)^3))</f>
        <v>26.175915696358199</v>
      </c>
      <c r="U17">
        <f t="shared" ref="U17:U28" si="13">($C$7*DM17+$D$7*DN17+$E$7*T17)</f>
        <v>24.938124999999999</v>
      </c>
      <c r="V17">
        <f t="shared" ref="V17:V28" si="14">0.61365*EXP(17.502*U17/(240.97+U17))</f>
        <v>3.1679668668604406</v>
      </c>
      <c r="W17">
        <f t="shared" ref="W17:W28" si="15">(X17/Y17*100)</f>
        <v>55.179194350809254</v>
      </c>
      <c r="X17">
        <f t="shared" ref="X17:X28" si="16">DE17*(DJ17+DK17)/1000</f>
        <v>1.815086730748775</v>
      </c>
      <c r="Y17">
        <f t="shared" ref="Y17:Y28" si="17">0.61365*EXP(17.502*DL17/(240.97+DL17))</f>
        <v>3.289440435119646</v>
      </c>
      <c r="Z17">
        <f t="shared" ref="Z17:Z28" si="18">(V17-DE17*(DJ17+DK17)/1000)</f>
        <v>1.3528801361116656</v>
      </c>
      <c r="AA17">
        <f t="shared" ref="AA17:AA28" si="19">(-H17*44100)</f>
        <v>-135.55700166204505</v>
      </c>
      <c r="AB17">
        <f t="shared" ref="AB17:AB28" si="20">2*29.3*P17*0.92*(DL17-U17)</f>
        <v>103.64263764890555</v>
      </c>
      <c r="AC17">
        <f t="shared" ref="AC17:AC28" si="21">2*0.95*0.0000000567*(((DL17+$B$7)+273)^4-(U17+273)^4)</f>
        <v>7.2294655226374349</v>
      </c>
      <c r="AD17">
        <f t="shared" ref="AD17:AD28" si="22">S17+AC17+AA17+AB17</f>
        <v>217.05242477508079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54073.393383024086</v>
      </c>
      <c r="AJ17" t="s">
        <v>342</v>
      </c>
      <c r="AK17" t="s">
        <v>342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342</v>
      </c>
      <c r="AQ17" t="s">
        <v>342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1261.2105750080743</v>
      </c>
      <c r="AW17">
        <f t="shared" ref="AW17:AW28" si="29">J17</f>
        <v>17.474482897722634</v>
      </c>
      <c r="AX17" t="e">
        <f t="shared" ref="AX17:AX28" si="30">AT17*AU17*AV17</f>
        <v>#DIV/0!</v>
      </c>
      <c r="AY17">
        <f t="shared" ref="AY17:AY28" si="31">(AW17-AO17)/AV17</f>
        <v>1.3855325386572153E-2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342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CT17">
        <f t="shared" ref="CT17:CT28" si="42">$B$11*DR17+$C$11*DS17+$F$11*DT17*(1-DW17)</f>
        <v>1499.9993750000001</v>
      </c>
      <c r="CU17">
        <f t="shared" ref="CU17:CU28" si="43">CT17*CV17</f>
        <v>1261.2105750080743</v>
      </c>
      <c r="CV17">
        <f t="shared" ref="CV17:CV28" si="44">($B$11*$D$9+$C$11*$D$9+$F$11*((EG17+DY17)/MAX(EG17+DY17+EH17, 0.1)*$I$9+EH17/MAX(EG17+DY17+EH17, 0.1)*$J$9))/($B$11+$C$11+$F$11)</f>
        <v>0.84080740034179957</v>
      </c>
      <c r="CW17">
        <f t="shared" ref="CW17:CW28" si="45">($B$11*$K$9+$C$11*$K$9+$F$11*((EG17+DY17)/MAX(EG17+DY17+EH17, 0.1)*$P$9+EH17/MAX(EG17+DY17+EH17, 0.1)*$Q$9))/($B$11+$C$11+$F$11)</f>
        <v>0.161158282659673</v>
      </c>
      <c r="CX17">
        <v>2</v>
      </c>
      <c r="CY17">
        <v>0.5</v>
      </c>
      <c r="CZ17" t="s">
        <v>343</v>
      </c>
      <c r="DA17">
        <v>2</v>
      </c>
      <c r="DB17">
        <v>1792112939.5</v>
      </c>
      <c r="DC17">
        <v>392.3565625</v>
      </c>
      <c r="DD17">
        <v>399.82856249999998</v>
      </c>
      <c r="DE17">
        <v>17.807606249999999</v>
      </c>
      <c r="DF17">
        <v>16.599993749999999</v>
      </c>
      <c r="DG17">
        <v>393.3886875</v>
      </c>
      <c r="DH17">
        <v>17.9826625</v>
      </c>
      <c r="DI17">
        <v>500.01418749999999</v>
      </c>
      <c r="DJ17">
        <v>101.827625</v>
      </c>
      <c r="DK17">
        <v>9.9984206249999999E-2</v>
      </c>
      <c r="DL17">
        <v>25.570462500000001</v>
      </c>
      <c r="DM17">
        <v>24.938124999999999</v>
      </c>
      <c r="DN17">
        <v>999.9</v>
      </c>
      <c r="DO17">
        <v>0</v>
      </c>
      <c r="DP17">
        <v>0</v>
      </c>
      <c r="DQ17">
        <v>9994.609375</v>
      </c>
      <c r="DR17">
        <v>0</v>
      </c>
      <c r="DS17">
        <v>8.5302068749999993</v>
      </c>
      <c r="DT17">
        <v>1499.9993750000001</v>
      </c>
      <c r="DU17">
        <v>0.97299400000000003</v>
      </c>
      <c r="DV17">
        <v>2.7006200000000001E-2</v>
      </c>
      <c r="DW17">
        <v>0</v>
      </c>
      <c r="DX17">
        <v>237.2895</v>
      </c>
      <c r="DY17">
        <v>4.9999900000000004</v>
      </c>
      <c r="DZ17">
        <v>3532.5181250000001</v>
      </c>
      <c r="EA17">
        <v>14882.5625</v>
      </c>
      <c r="EB17">
        <v>37.210749999999997</v>
      </c>
      <c r="EC17">
        <v>38.488124999999997</v>
      </c>
      <c r="ED17">
        <v>37.8005</v>
      </c>
      <c r="EE17">
        <v>37.757750000000001</v>
      </c>
      <c r="EF17">
        <v>38.847437499999998</v>
      </c>
      <c r="EG17">
        <v>1454.629375</v>
      </c>
      <c r="EH17">
        <v>40.369999999999997</v>
      </c>
      <c r="EI17">
        <v>0</v>
      </c>
      <c r="EJ17">
        <v>1792112947.8</v>
      </c>
      <c r="EK17">
        <v>0</v>
      </c>
      <c r="EL17">
        <v>237.22134615384601</v>
      </c>
      <c r="EM17">
        <v>1.3190085488559</v>
      </c>
      <c r="EN17">
        <v>-5.1528205310434902</v>
      </c>
      <c r="EO17">
        <v>3532.5753846153798</v>
      </c>
      <c r="EP17">
        <v>15</v>
      </c>
      <c r="EQ17">
        <v>1792112880</v>
      </c>
      <c r="ER17" t="s">
        <v>344</v>
      </c>
      <c r="ES17">
        <v>1792112876</v>
      </c>
      <c r="ET17">
        <v>1792112880</v>
      </c>
      <c r="EU17">
        <v>2</v>
      </c>
      <c r="EV17">
        <v>8.5999999999999993E-2</v>
      </c>
      <c r="EW17">
        <v>1E-3</v>
      </c>
      <c r="EX17">
        <v>-1.0289999999999999</v>
      </c>
      <c r="EY17">
        <v>-0.192</v>
      </c>
      <c r="EZ17">
        <v>399</v>
      </c>
      <c r="FA17">
        <v>17</v>
      </c>
      <c r="FB17">
        <v>0.09</v>
      </c>
      <c r="FC17">
        <v>7.0000000000000007E-2</v>
      </c>
      <c r="FD17">
        <v>17.510930992977599</v>
      </c>
      <c r="FE17">
        <v>-0.29519951502893998</v>
      </c>
      <c r="FF17">
        <v>8.4526741952323597E-2</v>
      </c>
      <c r="FG17">
        <v>1</v>
      </c>
      <c r="FH17">
        <v>-7.4832365000000003</v>
      </c>
      <c r="FI17">
        <v>8.4645563909760205E-2</v>
      </c>
      <c r="FJ17">
        <v>3.1819928547217102E-2</v>
      </c>
      <c r="FK17">
        <v>1</v>
      </c>
      <c r="FL17">
        <v>237.20120588235301</v>
      </c>
      <c r="FM17">
        <v>0.67097020372057803</v>
      </c>
      <c r="FN17">
        <v>0.405713516674584</v>
      </c>
      <c r="FO17">
        <v>-1</v>
      </c>
      <c r="FP17">
        <v>2</v>
      </c>
      <c r="FQ17">
        <v>2</v>
      </c>
      <c r="FR17" t="s">
        <v>345</v>
      </c>
      <c r="FS17">
        <v>100</v>
      </c>
      <c r="FT17">
        <v>100</v>
      </c>
      <c r="FU17">
        <v>-1.032</v>
      </c>
      <c r="FV17">
        <v>-0.17499999999999999</v>
      </c>
      <c r="FW17">
        <v>-1.1039749632963001</v>
      </c>
      <c r="FX17">
        <v>-6.1673298426602905E-5</v>
      </c>
      <c r="FY17">
        <v>6.1939807181674203E-7</v>
      </c>
      <c r="FZ17">
        <v>3.19222985850634E-12</v>
      </c>
      <c r="GA17">
        <v>-0.100763427707206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1.2</v>
      </c>
      <c r="GJ17">
        <v>1.1000000000000001</v>
      </c>
      <c r="GK17">
        <v>1.02661</v>
      </c>
      <c r="GL17">
        <v>2.5695800000000002</v>
      </c>
      <c r="GM17">
        <v>1.65161</v>
      </c>
      <c r="GN17">
        <v>2.2912599999999999</v>
      </c>
      <c r="GO17">
        <v>1.5979000000000001</v>
      </c>
      <c r="GP17">
        <v>2.6025399999999999</v>
      </c>
      <c r="GQ17">
        <v>28.605799999999999</v>
      </c>
      <c r="GR17">
        <v>15.7256</v>
      </c>
      <c r="GS17">
        <v>18</v>
      </c>
      <c r="GT17">
        <v>495.69799999999998</v>
      </c>
      <c r="GU17">
        <v>603.28599999999994</v>
      </c>
      <c r="GV17">
        <v>22.909600000000001</v>
      </c>
      <c r="GW17">
        <v>26.300599999999999</v>
      </c>
      <c r="GX17">
        <v>30.000299999999999</v>
      </c>
      <c r="GY17">
        <v>26.335000000000001</v>
      </c>
      <c r="GZ17">
        <v>26.377199999999998</v>
      </c>
      <c r="HA17">
        <v>20.528600000000001</v>
      </c>
      <c r="HB17">
        <v>25.4771</v>
      </c>
      <c r="HC17">
        <v>100</v>
      </c>
      <c r="HD17">
        <v>22.925000000000001</v>
      </c>
      <c r="HE17">
        <v>400</v>
      </c>
      <c r="HF17">
        <v>16.582899999999999</v>
      </c>
      <c r="HG17">
        <v>98.715299999999999</v>
      </c>
      <c r="HH17">
        <v>95.145099999999999</v>
      </c>
    </row>
    <row r="18" spans="1:216" x14ac:dyDescent="0.3">
      <c r="A18">
        <v>2</v>
      </c>
      <c r="B18">
        <v>1792113072</v>
      </c>
      <c r="C18">
        <v>124</v>
      </c>
      <c r="D18" t="s">
        <v>346</v>
      </c>
      <c r="E18" t="s">
        <v>347</v>
      </c>
      <c r="F18">
        <v>5</v>
      </c>
      <c r="G18">
        <v>1792113063.5</v>
      </c>
      <c r="H18">
        <f t="shared" si="0"/>
        <v>3.2540970203526502E-3</v>
      </c>
      <c r="I18">
        <f t="shared" si="1"/>
        <v>3.25409702035265</v>
      </c>
      <c r="J18">
        <f t="shared" si="2"/>
        <v>13.349989671883515</v>
      </c>
      <c r="K18">
        <f t="shared" si="3"/>
        <v>294.18931250000003</v>
      </c>
      <c r="L18">
        <f t="shared" si="4"/>
        <v>199.13387945994589</v>
      </c>
      <c r="M18">
        <f t="shared" si="5"/>
        <v>20.297024679159581</v>
      </c>
      <c r="N18">
        <f t="shared" si="6"/>
        <v>29.98569481170853</v>
      </c>
      <c r="O18">
        <f t="shared" si="7"/>
        <v>0.24741872825829023</v>
      </c>
      <c r="P18">
        <f t="shared" si="8"/>
        <v>3.0393029259811737</v>
      </c>
      <c r="Q18">
        <f t="shared" si="9"/>
        <v>0.23674895817890468</v>
      </c>
      <c r="R18">
        <f t="shared" si="10"/>
        <v>0.14888839052927968</v>
      </c>
      <c r="S18">
        <f t="shared" si="11"/>
        <v>241.73740632807872</v>
      </c>
      <c r="T18">
        <f t="shared" si="12"/>
        <v>26.202928320950413</v>
      </c>
      <c r="U18">
        <f t="shared" si="13"/>
        <v>25.00956875</v>
      </c>
      <c r="V18">
        <f t="shared" si="14"/>
        <v>3.181491985227404</v>
      </c>
      <c r="W18">
        <f t="shared" si="15"/>
        <v>54.936274384064767</v>
      </c>
      <c r="X18">
        <f t="shared" si="16"/>
        <v>1.8148565931790319</v>
      </c>
      <c r="Y18">
        <f t="shared" si="17"/>
        <v>3.3035669300964883</v>
      </c>
      <c r="Z18">
        <f t="shared" si="18"/>
        <v>1.366635392048372</v>
      </c>
      <c r="AA18">
        <f t="shared" si="19"/>
        <v>-143.50567859755188</v>
      </c>
      <c r="AB18">
        <f t="shared" si="20"/>
        <v>103.73653677563399</v>
      </c>
      <c r="AC18">
        <f t="shared" si="21"/>
        <v>7.2434136551951509</v>
      </c>
      <c r="AD18">
        <f t="shared" si="22"/>
        <v>209.21167816135599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54031.766859027346</v>
      </c>
      <c r="AJ18" t="s">
        <v>342</v>
      </c>
      <c r="AK18" t="s">
        <v>342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342</v>
      </c>
      <c r="AQ18" t="s">
        <v>342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1261.2139312580721</v>
      </c>
      <c r="AW18">
        <f t="shared" si="29"/>
        <v>13.349989671883515</v>
      </c>
      <c r="AX18" t="e">
        <f t="shared" si="30"/>
        <v>#DIV/0!</v>
      </c>
      <c r="AY18">
        <f t="shared" si="31"/>
        <v>1.0585031881599009E-2</v>
      </c>
      <c r="AZ18" t="e">
        <f t="shared" si="32"/>
        <v>#DIV/0!</v>
      </c>
      <c r="BA18" t="e">
        <f t="shared" si="33"/>
        <v>#DIV/0!</v>
      </c>
      <c r="BB18" t="s">
        <v>342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1500.0037500000001</v>
      </c>
      <c r="CU18">
        <f t="shared" si="43"/>
        <v>1261.2139312580721</v>
      </c>
      <c r="CV18">
        <f t="shared" si="44"/>
        <v>0.84080718548741762</v>
      </c>
      <c r="CW18">
        <f t="shared" si="45"/>
        <v>0.16115786799071583</v>
      </c>
      <c r="CX18">
        <v>2</v>
      </c>
      <c r="CY18">
        <v>0.5</v>
      </c>
      <c r="CZ18" t="s">
        <v>343</v>
      </c>
      <c r="DA18">
        <v>2</v>
      </c>
      <c r="DB18">
        <v>1792113063.5</v>
      </c>
      <c r="DC18">
        <v>294.18931250000003</v>
      </c>
      <c r="DD18">
        <v>299.912125</v>
      </c>
      <c r="DE18">
        <v>17.8055375</v>
      </c>
      <c r="DF18">
        <v>16.527100000000001</v>
      </c>
      <c r="DG18">
        <v>295.20687500000003</v>
      </c>
      <c r="DH18">
        <v>17.983912499999999</v>
      </c>
      <c r="DI18">
        <v>500.00975</v>
      </c>
      <c r="DJ18">
        <v>101.8265</v>
      </c>
      <c r="DK18">
        <v>0.1000266875</v>
      </c>
      <c r="DL18">
        <v>25.642668749999999</v>
      </c>
      <c r="DM18">
        <v>25.00956875</v>
      </c>
      <c r="DN18">
        <v>999.9</v>
      </c>
      <c r="DO18">
        <v>0</v>
      </c>
      <c r="DP18">
        <v>0</v>
      </c>
      <c r="DQ18">
        <v>9989.2218749999993</v>
      </c>
      <c r="DR18">
        <v>0</v>
      </c>
      <c r="DS18">
        <v>8.5830500000000001</v>
      </c>
      <c r="DT18">
        <v>1500.0037500000001</v>
      </c>
      <c r="DU18">
        <v>0.97300275000000003</v>
      </c>
      <c r="DV18">
        <v>2.6997512500000001E-2</v>
      </c>
      <c r="DW18">
        <v>0</v>
      </c>
      <c r="DX18">
        <v>235.7266875</v>
      </c>
      <c r="DY18">
        <v>4.9999900000000004</v>
      </c>
      <c r="DZ18">
        <v>3502.3881249999999</v>
      </c>
      <c r="EA18">
        <v>14882.637500000001</v>
      </c>
      <c r="EB18">
        <v>36.515500000000003</v>
      </c>
      <c r="EC18">
        <v>37.944875000000003</v>
      </c>
      <c r="ED18">
        <v>37.117125000000001</v>
      </c>
      <c r="EE18">
        <v>37.234250000000003</v>
      </c>
      <c r="EF18">
        <v>38.202750000000002</v>
      </c>
      <c r="EG18">
        <v>1454.6443750000001</v>
      </c>
      <c r="EH18">
        <v>40.359375</v>
      </c>
      <c r="EI18">
        <v>0</v>
      </c>
      <c r="EJ18">
        <v>1792113072</v>
      </c>
      <c r="EK18">
        <v>0</v>
      </c>
      <c r="EL18">
        <v>235.70656</v>
      </c>
      <c r="EM18">
        <v>1.0923846415959499</v>
      </c>
      <c r="EN18">
        <v>2.5292307428951002</v>
      </c>
      <c r="EO18">
        <v>3502.3512000000001</v>
      </c>
      <c r="EP18">
        <v>15</v>
      </c>
      <c r="EQ18">
        <v>1792113010</v>
      </c>
      <c r="ER18" t="s">
        <v>348</v>
      </c>
      <c r="ES18">
        <v>1792113010</v>
      </c>
      <c r="ET18">
        <v>1792113010</v>
      </c>
      <c r="EU18">
        <v>3</v>
      </c>
      <c r="EV18">
        <v>5.0999999999999997E-2</v>
      </c>
      <c r="EW18">
        <v>-3.0000000000000001E-3</v>
      </c>
      <c r="EX18">
        <v>-1.016</v>
      </c>
      <c r="EY18">
        <v>-0.19500000000000001</v>
      </c>
      <c r="EZ18">
        <v>299</v>
      </c>
      <c r="FA18">
        <v>17</v>
      </c>
      <c r="FB18">
        <v>0.32</v>
      </c>
      <c r="FC18">
        <v>0.04</v>
      </c>
      <c r="FD18">
        <v>13.313524015997</v>
      </c>
      <c r="FE18">
        <v>0.44506566811384202</v>
      </c>
      <c r="FF18">
        <v>6.7921204368179403E-2</v>
      </c>
      <c r="FG18">
        <v>1</v>
      </c>
      <c r="FH18">
        <v>-5.7097804761904802</v>
      </c>
      <c r="FI18">
        <v>-0.161141298701305</v>
      </c>
      <c r="FJ18">
        <v>2.6987924544170001E-2</v>
      </c>
      <c r="FK18">
        <v>1</v>
      </c>
      <c r="FL18">
        <v>235.75864705882401</v>
      </c>
      <c r="FM18">
        <v>-0.35422457918093397</v>
      </c>
      <c r="FN18">
        <v>0.44128847989874997</v>
      </c>
      <c r="FO18">
        <v>-1</v>
      </c>
      <c r="FP18">
        <v>2</v>
      </c>
      <c r="FQ18">
        <v>2</v>
      </c>
      <c r="FR18" t="s">
        <v>345</v>
      </c>
      <c r="FS18">
        <v>100</v>
      </c>
      <c r="FT18">
        <v>100</v>
      </c>
      <c r="FU18">
        <v>-1.018</v>
      </c>
      <c r="FV18">
        <v>-0.17849999999999999</v>
      </c>
      <c r="FW18">
        <v>-1.05350864712014</v>
      </c>
      <c r="FX18">
        <v>-6.1673298426602905E-5</v>
      </c>
      <c r="FY18">
        <v>6.1939807181674203E-7</v>
      </c>
      <c r="FZ18">
        <v>3.19222985850634E-12</v>
      </c>
      <c r="GA18">
        <v>-0.10410866790393999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1</v>
      </c>
      <c r="GJ18">
        <v>1</v>
      </c>
      <c r="GK18">
        <v>0.82153299999999996</v>
      </c>
      <c r="GL18">
        <v>2.5805699999999998</v>
      </c>
      <c r="GM18">
        <v>1.65161</v>
      </c>
      <c r="GN18">
        <v>2.2912599999999999</v>
      </c>
      <c r="GO18">
        <v>1.5979000000000001</v>
      </c>
      <c r="GP18">
        <v>2.6232899999999999</v>
      </c>
      <c r="GQ18">
        <v>28.690100000000001</v>
      </c>
      <c r="GR18">
        <v>15.699299999999999</v>
      </c>
      <c r="GS18">
        <v>18</v>
      </c>
      <c r="GT18">
        <v>495.53199999999998</v>
      </c>
      <c r="GU18">
        <v>601.84900000000005</v>
      </c>
      <c r="GV18">
        <v>22.99</v>
      </c>
      <c r="GW18">
        <v>26.353100000000001</v>
      </c>
      <c r="GX18">
        <v>29.9999</v>
      </c>
      <c r="GY18">
        <v>26.396599999999999</v>
      </c>
      <c r="GZ18">
        <v>26.440300000000001</v>
      </c>
      <c r="HA18">
        <v>16.441099999999999</v>
      </c>
      <c r="HB18">
        <v>25.728200000000001</v>
      </c>
      <c r="HC18">
        <v>100</v>
      </c>
      <c r="HD18">
        <v>23.015999999999998</v>
      </c>
      <c r="HE18">
        <v>300</v>
      </c>
      <c r="HF18">
        <v>16.559200000000001</v>
      </c>
      <c r="HG18">
        <v>98.7059</v>
      </c>
      <c r="HH18">
        <v>95.142700000000005</v>
      </c>
    </row>
    <row r="19" spans="1:216" x14ac:dyDescent="0.3">
      <c r="A19">
        <v>3</v>
      </c>
      <c r="B19">
        <v>1792113193</v>
      </c>
      <c r="C19">
        <v>245</v>
      </c>
      <c r="D19" t="s">
        <v>349</v>
      </c>
      <c r="E19" t="s">
        <v>350</v>
      </c>
      <c r="F19">
        <v>5</v>
      </c>
      <c r="G19">
        <v>1792113184.5</v>
      </c>
      <c r="H19">
        <f t="shared" si="0"/>
        <v>3.4911779225313402E-3</v>
      </c>
      <c r="I19">
        <f t="shared" si="1"/>
        <v>3.4911779225313402</v>
      </c>
      <c r="J19">
        <f t="shared" si="2"/>
        <v>8.066150036787116</v>
      </c>
      <c r="K19">
        <f t="shared" si="3"/>
        <v>196.43781250000001</v>
      </c>
      <c r="L19">
        <f t="shared" si="4"/>
        <v>142.62260441652356</v>
      </c>
      <c r="M19">
        <f t="shared" si="5"/>
        <v>14.537149819613154</v>
      </c>
      <c r="N19">
        <f t="shared" si="6"/>
        <v>20.02239352052343</v>
      </c>
      <c r="O19">
        <f t="shared" si="7"/>
        <v>0.26818298183978029</v>
      </c>
      <c r="P19">
        <f t="shared" si="8"/>
        <v>3.039665506630806</v>
      </c>
      <c r="Q19">
        <f t="shared" si="9"/>
        <v>0.25569716347879456</v>
      </c>
      <c r="R19">
        <f t="shared" si="10"/>
        <v>0.1608840784249817</v>
      </c>
      <c r="S19">
        <f t="shared" si="11"/>
        <v>241.72774726558345</v>
      </c>
      <c r="T19">
        <f t="shared" si="12"/>
        <v>26.130659225008138</v>
      </c>
      <c r="U19">
        <f t="shared" si="13"/>
        <v>24.979043749999999</v>
      </c>
      <c r="V19">
        <f t="shared" si="14"/>
        <v>3.1757070924290982</v>
      </c>
      <c r="W19">
        <f t="shared" si="15"/>
        <v>55.076195614207755</v>
      </c>
      <c r="X19">
        <f t="shared" si="16"/>
        <v>1.8181266334481256</v>
      </c>
      <c r="Y19">
        <f t="shared" si="17"/>
        <v>3.3011115113751823</v>
      </c>
      <c r="Z19">
        <f t="shared" si="18"/>
        <v>1.3575804589809726</v>
      </c>
      <c r="AA19">
        <f t="shared" si="19"/>
        <v>-153.96094638363209</v>
      </c>
      <c r="AB19">
        <f t="shared" si="20"/>
        <v>106.69762809194256</v>
      </c>
      <c r="AC19">
        <f t="shared" si="21"/>
        <v>7.4476713734929083</v>
      </c>
      <c r="AD19">
        <f t="shared" si="22"/>
        <v>201.91210034738683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54045.412508199937</v>
      </c>
      <c r="AJ19" t="s">
        <v>342</v>
      </c>
      <c r="AK19" t="s">
        <v>342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342</v>
      </c>
      <c r="AQ19" t="s">
        <v>342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1261.1601750080742</v>
      </c>
      <c r="AW19">
        <f t="shared" si="29"/>
        <v>8.066150036787116</v>
      </c>
      <c r="AX19" t="e">
        <f t="shared" si="30"/>
        <v>#DIV/0!</v>
      </c>
      <c r="AY19">
        <f t="shared" si="31"/>
        <v>6.3958172773220297E-3</v>
      </c>
      <c r="AZ19" t="e">
        <f t="shared" si="32"/>
        <v>#DIV/0!</v>
      </c>
      <c r="BA19" t="e">
        <f t="shared" si="33"/>
        <v>#DIV/0!</v>
      </c>
      <c r="BB19" t="s">
        <v>342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1499.9393749999999</v>
      </c>
      <c r="CU19">
        <f t="shared" si="43"/>
        <v>1261.1601750080742</v>
      </c>
      <c r="CV19">
        <f t="shared" si="44"/>
        <v>0.84080743263911872</v>
      </c>
      <c r="CW19">
        <f t="shared" si="45"/>
        <v>0.16115834499349913</v>
      </c>
      <c r="CX19">
        <v>2</v>
      </c>
      <c r="CY19">
        <v>0.5</v>
      </c>
      <c r="CZ19" t="s">
        <v>343</v>
      </c>
      <c r="DA19">
        <v>2</v>
      </c>
      <c r="DB19">
        <v>1792113184.5</v>
      </c>
      <c r="DC19">
        <v>196.43781250000001</v>
      </c>
      <c r="DD19">
        <v>199.93856249999999</v>
      </c>
      <c r="DE19">
        <v>17.837468749999999</v>
      </c>
      <c r="DF19">
        <v>16.46591875</v>
      </c>
      <c r="DG19">
        <v>197.3466875</v>
      </c>
      <c r="DH19">
        <v>18.0135875</v>
      </c>
      <c r="DI19">
        <v>500.00425000000001</v>
      </c>
      <c r="DJ19">
        <v>101.827375</v>
      </c>
      <c r="DK19">
        <v>0.10001497500000001</v>
      </c>
      <c r="DL19">
        <v>25.6301375</v>
      </c>
      <c r="DM19">
        <v>24.979043749999999</v>
      </c>
      <c r="DN19">
        <v>999.9</v>
      </c>
      <c r="DO19">
        <v>0</v>
      </c>
      <c r="DP19">
        <v>0</v>
      </c>
      <c r="DQ19">
        <v>9991.3250000000007</v>
      </c>
      <c r="DR19">
        <v>0</v>
      </c>
      <c r="DS19">
        <v>8.4005050000000008</v>
      </c>
      <c r="DT19">
        <v>1499.9393749999999</v>
      </c>
      <c r="DU19">
        <v>0.97299512499999996</v>
      </c>
      <c r="DV19">
        <v>2.7004643750000001E-2</v>
      </c>
      <c r="DW19">
        <v>0</v>
      </c>
      <c r="DX19">
        <v>234.9980625</v>
      </c>
      <c r="DY19">
        <v>4.9999900000000004</v>
      </c>
      <c r="DZ19">
        <v>3501.1475</v>
      </c>
      <c r="EA19">
        <v>14881.956249999999</v>
      </c>
      <c r="EB19">
        <v>37.405999999999999</v>
      </c>
      <c r="EC19">
        <v>39.335687499999999</v>
      </c>
      <c r="ED19">
        <v>37.984187499999997</v>
      </c>
      <c r="EE19">
        <v>39.148187499999999</v>
      </c>
      <c r="EF19">
        <v>39.405999999999999</v>
      </c>
      <c r="EG19">
        <v>1454.569375</v>
      </c>
      <c r="EH19">
        <v>40.369999999999997</v>
      </c>
      <c r="EI19">
        <v>0</v>
      </c>
      <c r="EJ19">
        <v>1792113193.2</v>
      </c>
      <c r="EK19">
        <v>0</v>
      </c>
      <c r="EL19">
        <v>234.95060000000001</v>
      </c>
      <c r="EM19">
        <v>-0.355384629597848</v>
      </c>
      <c r="EN19">
        <v>6.9207692528448996</v>
      </c>
      <c r="EO19">
        <v>3501.364</v>
      </c>
      <c r="EP19">
        <v>15</v>
      </c>
      <c r="EQ19">
        <v>1792113135</v>
      </c>
      <c r="ER19" t="s">
        <v>351</v>
      </c>
      <c r="ES19">
        <v>1792113132</v>
      </c>
      <c r="ET19">
        <v>1792113135</v>
      </c>
      <c r="EU19">
        <v>4</v>
      </c>
      <c r="EV19">
        <v>0.13300000000000001</v>
      </c>
      <c r="EW19">
        <v>2E-3</v>
      </c>
      <c r="EX19">
        <v>-0.90800000000000003</v>
      </c>
      <c r="EY19">
        <v>-0.19400000000000001</v>
      </c>
      <c r="EZ19">
        <v>200</v>
      </c>
      <c r="FA19">
        <v>17</v>
      </c>
      <c r="FB19">
        <v>0.27</v>
      </c>
      <c r="FC19">
        <v>0.04</v>
      </c>
      <c r="FD19">
        <v>8.0331349350870092</v>
      </c>
      <c r="FE19">
        <v>0.386598568675108</v>
      </c>
      <c r="FF19">
        <v>7.4965564583202901E-2</v>
      </c>
      <c r="FG19">
        <v>1</v>
      </c>
      <c r="FH19">
        <v>-3.4939249999999999</v>
      </c>
      <c r="FI19">
        <v>-9.9276992481201101E-2</v>
      </c>
      <c r="FJ19">
        <v>2.5780721770346099E-2</v>
      </c>
      <c r="FK19">
        <v>1</v>
      </c>
      <c r="FL19">
        <v>235.10097058823499</v>
      </c>
      <c r="FM19">
        <v>-1.38354468982463</v>
      </c>
      <c r="FN19">
        <v>0.46500711476493301</v>
      </c>
      <c r="FO19">
        <v>-1</v>
      </c>
      <c r="FP19">
        <v>2</v>
      </c>
      <c r="FQ19">
        <v>2</v>
      </c>
      <c r="FR19" t="s">
        <v>345</v>
      </c>
      <c r="FS19">
        <v>100</v>
      </c>
      <c r="FT19">
        <v>100</v>
      </c>
      <c r="FU19">
        <v>-0.90900000000000003</v>
      </c>
      <c r="FV19">
        <v>-0.17610000000000001</v>
      </c>
      <c r="FW19">
        <v>-0.92089212654450603</v>
      </c>
      <c r="FX19">
        <v>-6.1673298426602905E-5</v>
      </c>
      <c r="FY19">
        <v>6.1939807181674203E-7</v>
      </c>
      <c r="FZ19">
        <v>3.19222985850634E-12</v>
      </c>
      <c r="GA19">
        <v>-0.102290070794473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1</v>
      </c>
      <c r="GJ19">
        <v>1</v>
      </c>
      <c r="GK19">
        <v>0.60546900000000003</v>
      </c>
      <c r="GL19">
        <v>2.6025399999999999</v>
      </c>
      <c r="GM19">
        <v>1.65161</v>
      </c>
      <c r="GN19">
        <v>2.2900399999999999</v>
      </c>
      <c r="GO19">
        <v>1.5979000000000001</v>
      </c>
      <c r="GP19">
        <v>2.4633799999999999</v>
      </c>
      <c r="GQ19">
        <v>28.7956</v>
      </c>
      <c r="GR19">
        <v>15.681800000000001</v>
      </c>
      <c r="GS19">
        <v>18</v>
      </c>
      <c r="GT19">
        <v>496.03199999999998</v>
      </c>
      <c r="GU19">
        <v>600.33299999999997</v>
      </c>
      <c r="GV19">
        <v>23.2822</v>
      </c>
      <c r="GW19">
        <v>26.399799999999999</v>
      </c>
      <c r="GX19">
        <v>30.0002</v>
      </c>
      <c r="GY19">
        <v>26.4498</v>
      </c>
      <c r="GZ19">
        <v>26.494499999999999</v>
      </c>
      <c r="HA19">
        <v>12.1073</v>
      </c>
      <c r="HB19">
        <v>26.189900000000002</v>
      </c>
      <c r="HC19">
        <v>100</v>
      </c>
      <c r="HD19">
        <v>23.290800000000001</v>
      </c>
      <c r="HE19">
        <v>200</v>
      </c>
      <c r="HF19">
        <v>16.415500000000002</v>
      </c>
      <c r="HG19">
        <v>98.697100000000006</v>
      </c>
      <c r="HH19">
        <v>95.140799999999999</v>
      </c>
    </row>
    <row r="20" spans="1:216" x14ac:dyDescent="0.3">
      <c r="A20">
        <v>4</v>
      </c>
      <c r="B20">
        <v>1792113314</v>
      </c>
      <c r="C20">
        <v>366</v>
      </c>
      <c r="D20" t="s">
        <v>352</v>
      </c>
      <c r="E20" t="s">
        <v>353</v>
      </c>
      <c r="F20">
        <v>5</v>
      </c>
      <c r="G20">
        <v>1792113306</v>
      </c>
      <c r="H20">
        <f t="shared" si="0"/>
        <v>3.8651775546210149E-3</v>
      </c>
      <c r="I20">
        <f t="shared" si="1"/>
        <v>3.865177554621015</v>
      </c>
      <c r="J20">
        <f t="shared" si="2"/>
        <v>2.4289111558537897</v>
      </c>
      <c r="K20">
        <f t="shared" si="3"/>
        <v>98.834546666666697</v>
      </c>
      <c r="L20">
        <f t="shared" si="4"/>
        <v>83.348930476621703</v>
      </c>
      <c r="M20">
        <f t="shared" si="5"/>
        <v>8.4953026002131971</v>
      </c>
      <c r="N20">
        <f t="shared" si="6"/>
        <v>10.073667130302667</v>
      </c>
      <c r="O20">
        <f t="shared" si="7"/>
        <v>0.3008070685005238</v>
      </c>
      <c r="P20">
        <f t="shared" si="8"/>
        <v>3.0413720800068056</v>
      </c>
      <c r="Q20">
        <f t="shared" si="9"/>
        <v>0.28520198891085446</v>
      </c>
      <c r="R20">
        <f t="shared" si="10"/>
        <v>0.1795858082147285</v>
      </c>
      <c r="S20">
        <f t="shared" si="11"/>
        <v>241.75991201558216</v>
      </c>
      <c r="T20">
        <f t="shared" si="12"/>
        <v>26.185172741194965</v>
      </c>
      <c r="U20">
        <f t="shared" si="13"/>
        <v>24.9859066666667</v>
      </c>
      <c r="V20">
        <f t="shared" si="14"/>
        <v>3.1770069046362051</v>
      </c>
      <c r="W20">
        <f t="shared" si="15"/>
        <v>54.93758160463954</v>
      </c>
      <c r="X20">
        <f t="shared" si="16"/>
        <v>1.8296082655657018</v>
      </c>
      <c r="Y20">
        <f t="shared" si="17"/>
        <v>3.3303400188463872</v>
      </c>
      <c r="Z20">
        <f t="shared" si="18"/>
        <v>1.3473986390705033</v>
      </c>
      <c r="AA20">
        <f t="shared" si="19"/>
        <v>-170.45433015878675</v>
      </c>
      <c r="AB20">
        <f t="shared" si="20"/>
        <v>130.00462701694843</v>
      </c>
      <c r="AC20">
        <f t="shared" si="21"/>
        <v>9.076545526085237</v>
      </c>
      <c r="AD20">
        <f t="shared" si="22"/>
        <v>210.38675439982907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54071.925835343223</v>
      </c>
      <c r="AJ20" t="s">
        <v>342</v>
      </c>
      <c r="AK20" t="s">
        <v>342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342</v>
      </c>
      <c r="AQ20" t="s">
        <v>342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1261.3292800080762</v>
      </c>
      <c r="AW20">
        <f t="shared" si="29"/>
        <v>2.4289111558537897</v>
      </c>
      <c r="AX20" t="e">
        <f t="shared" si="30"/>
        <v>#DIV/0!</v>
      </c>
      <c r="AY20">
        <f t="shared" si="31"/>
        <v>1.9256757092313258E-3</v>
      </c>
      <c r="AZ20" t="e">
        <f t="shared" si="32"/>
        <v>#DIV/0!</v>
      </c>
      <c r="BA20" t="e">
        <f t="shared" si="33"/>
        <v>#DIV/0!</v>
      </c>
      <c r="BB20" t="s">
        <v>342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1500.1406666666701</v>
      </c>
      <c r="CU20">
        <f t="shared" si="43"/>
        <v>1261.3292800080762</v>
      </c>
      <c r="CV20">
        <f t="shared" si="44"/>
        <v>0.84080733762838689</v>
      </c>
      <c r="CW20">
        <f t="shared" si="45"/>
        <v>0.16115816162278668</v>
      </c>
      <c r="CX20">
        <v>2</v>
      </c>
      <c r="CY20">
        <v>0.5</v>
      </c>
      <c r="CZ20" t="s">
        <v>343</v>
      </c>
      <c r="DA20">
        <v>2</v>
      </c>
      <c r="DB20">
        <v>1792113306</v>
      </c>
      <c r="DC20">
        <v>98.834546666666697</v>
      </c>
      <c r="DD20">
        <v>99.958873333333301</v>
      </c>
      <c r="DE20">
        <v>17.950613333333301</v>
      </c>
      <c r="DF20">
        <v>16.4323533333333</v>
      </c>
      <c r="DG20">
        <v>99.668433333333297</v>
      </c>
      <c r="DH20">
        <v>18.121826666666699</v>
      </c>
      <c r="DI20">
        <v>500.019133333333</v>
      </c>
      <c r="DJ20">
        <v>101.82453333333299</v>
      </c>
      <c r="DK20">
        <v>0.10002108666666699</v>
      </c>
      <c r="DL20">
        <v>25.778780000000001</v>
      </c>
      <c r="DM20">
        <v>24.9859066666667</v>
      </c>
      <c r="DN20">
        <v>999.9</v>
      </c>
      <c r="DO20">
        <v>0</v>
      </c>
      <c r="DP20">
        <v>0</v>
      </c>
      <c r="DQ20">
        <v>10001.913333333299</v>
      </c>
      <c r="DR20">
        <v>0</v>
      </c>
      <c r="DS20">
        <v>8.3571799999999996</v>
      </c>
      <c r="DT20">
        <v>1500.1406666666701</v>
      </c>
      <c r="DU20">
        <v>0.97299893333333298</v>
      </c>
      <c r="DV20">
        <v>2.7001153333333298E-2</v>
      </c>
      <c r="DW20">
        <v>0</v>
      </c>
      <c r="DX20">
        <v>233.88820000000001</v>
      </c>
      <c r="DY20">
        <v>4.9999900000000004</v>
      </c>
      <c r="DZ20">
        <v>3508.5259999999998</v>
      </c>
      <c r="EA20">
        <v>14883.98</v>
      </c>
      <c r="EB20">
        <v>39.204000000000001</v>
      </c>
      <c r="EC20">
        <v>40.720599999999997</v>
      </c>
      <c r="ED20">
        <v>39.662199999999999</v>
      </c>
      <c r="EE20">
        <v>41.370600000000003</v>
      </c>
      <c r="EF20">
        <v>40.953866666666698</v>
      </c>
      <c r="EG20">
        <v>1454.77</v>
      </c>
      <c r="EH20">
        <v>40.3706666666667</v>
      </c>
      <c r="EI20">
        <v>0</v>
      </c>
      <c r="EJ20">
        <v>1792113313.8</v>
      </c>
      <c r="EK20">
        <v>0</v>
      </c>
      <c r="EL20">
        <v>233.906038461538</v>
      </c>
      <c r="EM20">
        <v>0.44926496297202501</v>
      </c>
      <c r="EN20">
        <v>-12.3945299006671</v>
      </c>
      <c r="EO20">
        <v>3508.40153846154</v>
      </c>
      <c r="EP20">
        <v>15</v>
      </c>
      <c r="EQ20">
        <v>1792113259</v>
      </c>
      <c r="ER20" t="s">
        <v>354</v>
      </c>
      <c r="ES20">
        <v>1792113253</v>
      </c>
      <c r="ET20">
        <v>1792113259</v>
      </c>
      <c r="EU20">
        <v>5</v>
      </c>
      <c r="EV20">
        <v>8.6999999999999994E-2</v>
      </c>
      <c r="EW20">
        <v>3.0000000000000001E-3</v>
      </c>
      <c r="EX20">
        <v>-0.83399999999999996</v>
      </c>
      <c r="EY20">
        <v>-0.193</v>
      </c>
      <c r="EZ20">
        <v>100</v>
      </c>
      <c r="FA20">
        <v>16</v>
      </c>
      <c r="FB20">
        <v>0.21</v>
      </c>
      <c r="FC20">
        <v>0.04</v>
      </c>
      <c r="FD20">
        <v>2.4244073951157001</v>
      </c>
      <c r="FE20">
        <v>5.4490972335306601E-2</v>
      </c>
      <c r="FF20">
        <v>4.0381176371335703E-2</v>
      </c>
      <c r="FG20">
        <v>1</v>
      </c>
      <c r="FH20">
        <v>-1.1225320000000001</v>
      </c>
      <c r="FI20">
        <v>-7.5358195488725105E-2</v>
      </c>
      <c r="FJ20">
        <v>1.7606619096237602E-2</v>
      </c>
      <c r="FK20">
        <v>1</v>
      </c>
      <c r="FL20">
        <v>233.839411764706</v>
      </c>
      <c r="FM20">
        <v>0.85503438727893399</v>
      </c>
      <c r="FN20">
        <v>0.41848860534400101</v>
      </c>
      <c r="FO20">
        <v>-1</v>
      </c>
      <c r="FP20">
        <v>2</v>
      </c>
      <c r="FQ20">
        <v>2</v>
      </c>
      <c r="FR20" t="s">
        <v>345</v>
      </c>
      <c r="FS20">
        <v>100</v>
      </c>
      <c r="FT20">
        <v>100</v>
      </c>
      <c r="FU20">
        <v>-0.83399999999999996</v>
      </c>
      <c r="FV20">
        <v>-0.1711</v>
      </c>
      <c r="FW20">
        <v>-0.83387190185975402</v>
      </c>
      <c r="FX20">
        <v>-6.1673298426602905E-5</v>
      </c>
      <c r="FY20">
        <v>6.1939807181674203E-7</v>
      </c>
      <c r="FZ20">
        <v>3.19222985850634E-12</v>
      </c>
      <c r="GA20">
        <v>-9.9044152060717594E-2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1</v>
      </c>
      <c r="GJ20">
        <v>0.9</v>
      </c>
      <c r="GK20">
        <v>0.379639</v>
      </c>
      <c r="GL20">
        <v>2.6232899999999999</v>
      </c>
      <c r="GM20">
        <v>1.65161</v>
      </c>
      <c r="GN20">
        <v>2.2900399999999999</v>
      </c>
      <c r="GO20">
        <v>1.5979000000000001</v>
      </c>
      <c r="GP20">
        <v>2.49878</v>
      </c>
      <c r="GQ20">
        <v>28.880199999999999</v>
      </c>
      <c r="GR20">
        <v>15.6556</v>
      </c>
      <c r="GS20">
        <v>18</v>
      </c>
      <c r="GT20">
        <v>496.435</v>
      </c>
      <c r="GU20">
        <v>599.18700000000001</v>
      </c>
      <c r="GV20">
        <v>23.329499999999999</v>
      </c>
      <c r="GW20">
        <v>26.429099999999998</v>
      </c>
      <c r="GX20">
        <v>30.0001</v>
      </c>
      <c r="GY20">
        <v>26.487500000000001</v>
      </c>
      <c r="GZ20">
        <v>26.532599999999999</v>
      </c>
      <c r="HA20">
        <v>7.5903900000000002</v>
      </c>
      <c r="HB20">
        <v>26.701899999999998</v>
      </c>
      <c r="HC20">
        <v>100</v>
      </c>
      <c r="HD20">
        <v>23.333600000000001</v>
      </c>
      <c r="HE20">
        <v>100</v>
      </c>
      <c r="HF20">
        <v>16.3385</v>
      </c>
      <c r="HG20">
        <v>98.693200000000004</v>
      </c>
      <c r="HH20">
        <v>95.137</v>
      </c>
    </row>
    <row r="21" spans="1:216" x14ac:dyDescent="0.3">
      <c r="A21">
        <v>5</v>
      </c>
      <c r="B21">
        <v>1792113435</v>
      </c>
      <c r="C21">
        <v>487</v>
      </c>
      <c r="D21" t="s">
        <v>355</v>
      </c>
      <c r="E21" t="s">
        <v>356</v>
      </c>
      <c r="F21">
        <v>5</v>
      </c>
      <c r="G21">
        <v>1792113427</v>
      </c>
      <c r="H21">
        <f t="shared" si="0"/>
        <v>4.4054071712140768E-3</v>
      </c>
      <c r="I21">
        <f t="shared" si="1"/>
        <v>4.405407171214077</v>
      </c>
      <c r="J21">
        <f t="shared" si="2"/>
        <v>-0.64529302318390236</v>
      </c>
      <c r="K21">
        <f t="shared" si="3"/>
        <v>50.152299999999997</v>
      </c>
      <c r="L21">
        <f t="shared" si="4"/>
        <v>52.194725847959923</v>
      </c>
      <c r="M21">
        <f t="shared" si="5"/>
        <v>5.3197659346371768</v>
      </c>
      <c r="N21">
        <f t="shared" si="6"/>
        <v>5.1115987822384952</v>
      </c>
      <c r="O21">
        <f t="shared" si="7"/>
        <v>0.34666987312876907</v>
      </c>
      <c r="P21">
        <f t="shared" si="8"/>
        <v>3.0405289765927188</v>
      </c>
      <c r="Q21">
        <f t="shared" si="9"/>
        <v>0.32611273996412005</v>
      </c>
      <c r="R21">
        <f t="shared" si="10"/>
        <v>0.20556577992378716</v>
      </c>
      <c r="S21">
        <f t="shared" si="11"/>
        <v>241.74327501558295</v>
      </c>
      <c r="T21">
        <f t="shared" si="12"/>
        <v>26.108376387937223</v>
      </c>
      <c r="U21">
        <f t="shared" si="13"/>
        <v>25.04974</v>
      </c>
      <c r="V21">
        <f t="shared" si="14"/>
        <v>3.189119002746128</v>
      </c>
      <c r="W21">
        <f t="shared" si="15"/>
        <v>55.244870086416597</v>
      </c>
      <c r="X21">
        <f t="shared" si="16"/>
        <v>1.846287999164423</v>
      </c>
      <c r="Y21">
        <f t="shared" si="17"/>
        <v>3.3420080385316742</v>
      </c>
      <c r="Z21">
        <f t="shared" si="18"/>
        <v>1.342831003581705</v>
      </c>
      <c r="AA21">
        <f t="shared" si="19"/>
        <v>-194.27845625054078</v>
      </c>
      <c r="AB21">
        <f t="shared" si="20"/>
        <v>129.17958183051195</v>
      </c>
      <c r="AC21">
        <f t="shared" si="21"/>
        <v>9.0270166787662216</v>
      </c>
      <c r="AD21">
        <f t="shared" si="22"/>
        <v>185.67141727432033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54034.770107654549</v>
      </c>
      <c r="AJ21" t="s">
        <v>342</v>
      </c>
      <c r="AK21" t="s">
        <v>342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342</v>
      </c>
      <c r="AQ21" t="s">
        <v>342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1261.2419000080765</v>
      </c>
      <c r="AW21">
        <f t="shared" si="29"/>
        <v>-0.64529302318390236</v>
      </c>
      <c r="AX21" t="e">
        <f t="shared" si="30"/>
        <v>#DIV/0!</v>
      </c>
      <c r="AY21">
        <f t="shared" si="31"/>
        <v>-5.1163303659652458E-4</v>
      </c>
      <c r="AZ21" t="e">
        <f t="shared" si="32"/>
        <v>#DIV/0!</v>
      </c>
      <c r="BA21" t="e">
        <f t="shared" si="33"/>
        <v>#DIV/0!</v>
      </c>
      <c r="BB21" t="s">
        <v>342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1500.03666666667</v>
      </c>
      <c r="CU21">
        <f t="shared" si="43"/>
        <v>1261.2419000080765</v>
      </c>
      <c r="CV21">
        <f t="shared" si="44"/>
        <v>0.84080738026942037</v>
      </c>
      <c r="CW21">
        <f t="shared" si="45"/>
        <v>0.16115824391998135</v>
      </c>
      <c r="CX21">
        <v>2</v>
      </c>
      <c r="CY21">
        <v>0.5</v>
      </c>
      <c r="CZ21" t="s">
        <v>343</v>
      </c>
      <c r="DA21">
        <v>2</v>
      </c>
      <c r="DB21">
        <v>1792113427</v>
      </c>
      <c r="DC21">
        <v>50.152299999999997</v>
      </c>
      <c r="DD21">
        <v>49.982566666666699</v>
      </c>
      <c r="DE21">
        <v>18.114799999999999</v>
      </c>
      <c r="DF21">
        <v>16.384633333333301</v>
      </c>
      <c r="DG21">
        <v>51.018540000000002</v>
      </c>
      <c r="DH21">
        <v>18.283833333333298</v>
      </c>
      <c r="DI21">
        <v>500.02166666666699</v>
      </c>
      <c r="DJ21">
        <v>101.82153333333299</v>
      </c>
      <c r="DK21">
        <v>9.9989353333333295E-2</v>
      </c>
      <c r="DL21">
        <v>25.837800000000001</v>
      </c>
      <c r="DM21">
        <v>25.04974</v>
      </c>
      <c r="DN21">
        <v>999.9</v>
      </c>
      <c r="DO21">
        <v>0</v>
      </c>
      <c r="DP21">
        <v>0</v>
      </c>
      <c r="DQ21">
        <v>9997.1133333333291</v>
      </c>
      <c r="DR21">
        <v>0</v>
      </c>
      <c r="DS21">
        <v>8.2334266666666593</v>
      </c>
      <c r="DT21">
        <v>1500.03666666667</v>
      </c>
      <c r="DU21">
        <v>0.972997</v>
      </c>
      <c r="DV21">
        <v>2.7003073333333301E-2</v>
      </c>
      <c r="DW21">
        <v>0</v>
      </c>
      <c r="DX21">
        <v>235.46226666666701</v>
      </c>
      <c r="DY21">
        <v>4.9999900000000004</v>
      </c>
      <c r="DZ21">
        <v>3513.9886666666698</v>
      </c>
      <c r="EA21">
        <v>14882.92</v>
      </c>
      <c r="EB21">
        <v>37.833133333333301</v>
      </c>
      <c r="EC21">
        <v>38.9998</v>
      </c>
      <c r="ED21">
        <v>38.424799999999998</v>
      </c>
      <c r="EE21">
        <v>38.353933333333302</v>
      </c>
      <c r="EF21">
        <v>39.458066666666703</v>
      </c>
      <c r="EG21">
        <v>1454.6666666666699</v>
      </c>
      <c r="EH21">
        <v>40.369999999999997</v>
      </c>
      <c r="EI21">
        <v>0</v>
      </c>
      <c r="EJ21">
        <v>1792113435</v>
      </c>
      <c r="EK21">
        <v>0</v>
      </c>
      <c r="EL21">
        <v>235.541961538462</v>
      </c>
      <c r="EM21">
        <v>0.36174357848524902</v>
      </c>
      <c r="EN21">
        <v>-8.0923076599829606</v>
      </c>
      <c r="EO21">
        <v>3513.76923076923</v>
      </c>
      <c r="EP21">
        <v>15</v>
      </c>
      <c r="EQ21">
        <v>1792113376</v>
      </c>
      <c r="ER21" t="s">
        <v>357</v>
      </c>
      <c r="ES21">
        <v>1792113371</v>
      </c>
      <c r="ET21">
        <v>1792113376</v>
      </c>
      <c r="EU21">
        <v>6</v>
      </c>
      <c r="EV21">
        <v>-3.1E-2</v>
      </c>
      <c r="EW21">
        <v>0</v>
      </c>
      <c r="EX21">
        <v>-0.86599999999999999</v>
      </c>
      <c r="EY21">
        <v>-0.193</v>
      </c>
      <c r="EZ21">
        <v>50</v>
      </c>
      <c r="FA21">
        <v>16</v>
      </c>
      <c r="FB21">
        <v>0.21</v>
      </c>
      <c r="FC21">
        <v>7.0000000000000007E-2</v>
      </c>
      <c r="FD21">
        <v>-0.65478869798192796</v>
      </c>
      <c r="FE21">
        <v>0.12978015328394599</v>
      </c>
      <c r="FF21">
        <v>5.9685055706347898E-2</v>
      </c>
      <c r="FG21">
        <v>1</v>
      </c>
      <c r="FH21">
        <v>0.17257552380952401</v>
      </c>
      <c r="FI21">
        <v>-5.9921376623376398E-2</v>
      </c>
      <c r="FJ21">
        <v>2.35714179394877E-2</v>
      </c>
      <c r="FK21">
        <v>1</v>
      </c>
      <c r="FL21">
        <v>235.646088235294</v>
      </c>
      <c r="FM21">
        <v>-0.47836515934153601</v>
      </c>
      <c r="FN21">
        <v>0.46986308191210802</v>
      </c>
      <c r="FO21">
        <v>-1</v>
      </c>
      <c r="FP21">
        <v>2</v>
      </c>
      <c r="FQ21">
        <v>2</v>
      </c>
      <c r="FR21" t="s">
        <v>345</v>
      </c>
      <c r="FS21">
        <v>100</v>
      </c>
      <c r="FT21">
        <v>100</v>
      </c>
      <c r="FU21">
        <v>-0.86599999999999999</v>
      </c>
      <c r="FV21">
        <v>-0.1691</v>
      </c>
      <c r="FW21">
        <v>-0.86471581456020197</v>
      </c>
      <c r="FX21">
        <v>-6.1673298426602905E-5</v>
      </c>
      <c r="FY21">
        <v>6.1939807181674203E-7</v>
      </c>
      <c r="FZ21">
        <v>3.19222985850634E-12</v>
      </c>
      <c r="GA21">
        <v>-9.9367948014639496E-2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1.1000000000000001</v>
      </c>
      <c r="GJ21">
        <v>1</v>
      </c>
      <c r="GK21">
        <v>0.26855499999999999</v>
      </c>
      <c r="GL21">
        <v>2.6452599999999999</v>
      </c>
      <c r="GM21">
        <v>1.65161</v>
      </c>
      <c r="GN21">
        <v>2.2900399999999999</v>
      </c>
      <c r="GO21">
        <v>1.5979000000000001</v>
      </c>
      <c r="GP21">
        <v>2.5598100000000001</v>
      </c>
      <c r="GQ21">
        <v>28.964700000000001</v>
      </c>
      <c r="GR21">
        <v>15.629300000000001</v>
      </c>
      <c r="GS21">
        <v>18</v>
      </c>
      <c r="GT21">
        <v>496.22800000000001</v>
      </c>
      <c r="GU21">
        <v>598.70600000000002</v>
      </c>
      <c r="GV21">
        <v>22.9587</v>
      </c>
      <c r="GW21">
        <v>26.439900000000002</v>
      </c>
      <c r="GX21">
        <v>29.9999</v>
      </c>
      <c r="GY21">
        <v>26.508900000000001</v>
      </c>
      <c r="GZ21">
        <v>26.556899999999999</v>
      </c>
      <c r="HA21">
        <v>5.3550899999999997</v>
      </c>
      <c r="HB21">
        <v>27.002099999999999</v>
      </c>
      <c r="HC21">
        <v>100</v>
      </c>
      <c r="HD21">
        <v>23.139299999999999</v>
      </c>
      <c r="HE21">
        <v>50</v>
      </c>
      <c r="HF21">
        <v>16.305</v>
      </c>
      <c r="HG21">
        <v>98.695700000000002</v>
      </c>
      <c r="HH21">
        <v>95.1417</v>
      </c>
    </row>
    <row r="22" spans="1:216" x14ac:dyDescent="0.3">
      <c r="A22">
        <v>6</v>
      </c>
      <c r="B22">
        <v>1792113576.0999999</v>
      </c>
      <c r="C22">
        <v>628.09999990463302</v>
      </c>
      <c r="D22" t="s">
        <v>358</v>
      </c>
      <c r="E22" t="s">
        <v>359</v>
      </c>
      <c r="F22">
        <v>5</v>
      </c>
      <c r="G22">
        <v>1792113568.4437499</v>
      </c>
      <c r="H22">
        <f t="shared" si="0"/>
        <v>5.1028396205977352E-3</v>
      </c>
      <c r="I22">
        <f t="shared" si="1"/>
        <v>5.1028396205977353</v>
      </c>
      <c r="J22">
        <f t="shared" si="2"/>
        <v>20.424205829021165</v>
      </c>
      <c r="K22">
        <f t="shared" si="3"/>
        <v>391.01112499999999</v>
      </c>
      <c r="L22">
        <f t="shared" si="4"/>
        <v>299.12297006071276</v>
      </c>
      <c r="M22">
        <f t="shared" si="5"/>
        <v>30.48651340155433</v>
      </c>
      <c r="N22">
        <f t="shared" si="6"/>
        <v>39.851723523772939</v>
      </c>
      <c r="O22">
        <f t="shared" si="7"/>
        <v>0.41103341901004775</v>
      </c>
      <c r="P22">
        <f t="shared" si="8"/>
        <v>3.0383865546609963</v>
      </c>
      <c r="Q22">
        <f t="shared" si="9"/>
        <v>0.3824529394284652</v>
      </c>
      <c r="R22">
        <f t="shared" si="10"/>
        <v>0.24143511909211729</v>
      </c>
      <c r="S22">
        <f t="shared" si="11"/>
        <v>241.73937207808433</v>
      </c>
      <c r="T22">
        <f t="shared" si="12"/>
        <v>26.003918892548569</v>
      </c>
      <c r="U22">
        <f t="shared" si="13"/>
        <v>24.965193750000001</v>
      </c>
      <c r="V22">
        <f t="shared" si="14"/>
        <v>3.1730853664842358</v>
      </c>
      <c r="W22">
        <f t="shared" si="15"/>
        <v>55.026458235375699</v>
      </c>
      <c r="X22">
        <f t="shared" si="16"/>
        <v>1.8467206602460822</v>
      </c>
      <c r="Y22">
        <f t="shared" si="17"/>
        <v>3.3560594656969087</v>
      </c>
      <c r="Z22">
        <f t="shared" si="18"/>
        <v>1.3263647062381536</v>
      </c>
      <c r="AA22">
        <f t="shared" si="19"/>
        <v>-225.03522726836013</v>
      </c>
      <c r="AB22">
        <f t="shared" si="20"/>
        <v>154.5412713554164</v>
      </c>
      <c r="AC22">
        <f t="shared" si="21"/>
        <v>10.806159577316452</v>
      </c>
      <c r="AD22">
        <f t="shared" si="22"/>
        <v>182.05157574245706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53954.865555212979</v>
      </c>
      <c r="AJ22" t="s">
        <v>342</v>
      </c>
      <c r="AK22" t="s">
        <v>342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342</v>
      </c>
      <c r="AQ22" t="s">
        <v>342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1261.2201562580744</v>
      </c>
      <c r="AW22">
        <f t="shared" si="29"/>
        <v>20.424205829021165</v>
      </c>
      <c r="AX22" t="e">
        <f t="shared" si="30"/>
        <v>#DIV/0!</v>
      </c>
      <c r="AY22">
        <f t="shared" si="31"/>
        <v>1.6194005247757798E-2</v>
      </c>
      <c r="AZ22" t="e">
        <f t="shared" si="32"/>
        <v>#DIV/0!</v>
      </c>
      <c r="BA22" t="e">
        <f t="shared" si="33"/>
        <v>#DIV/0!</v>
      </c>
      <c r="BB22" t="s">
        <v>342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1500.0106249999999</v>
      </c>
      <c r="CU22">
        <f t="shared" si="43"/>
        <v>1261.2201562580744</v>
      </c>
      <c r="CV22">
        <f t="shared" si="44"/>
        <v>0.8408074817857204</v>
      </c>
      <c r="CW22">
        <f t="shared" si="45"/>
        <v>0.16115843984644065</v>
      </c>
      <c r="CX22">
        <v>2</v>
      </c>
      <c r="CY22">
        <v>0.5</v>
      </c>
      <c r="CZ22" t="s">
        <v>343</v>
      </c>
      <c r="DA22">
        <v>2</v>
      </c>
      <c r="DB22">
        <v>1792113568.4437499</v>
      </c>
      <c r="DC22">
        <v>391.01112499999999</v>
      </c>
      <c r="DD22">
        <v>399.97837500000003</v>
      </c>
      <c r="DE22">
        <v>18.119375000000002</v>
      </c>
      <c r="DF22">
        <v>16.115343750000001</v>
      </c>
      <c r="DG22">
        <v>391.972375</v>
      </c>
      <c r="DH22">
        <v>18.287099999999999</v>
      </c>
      <c r="DI22">
        <v>500.03006249999999</v>
      </c>
      <c r="DJ22">
        <v>101.8195625</v>
      </c>
      <c r="DK22">
        <v>0.10010416875</v>
      </c>
      <c r="DL22">
        <v>25.908637500000001</v>
      </c>
      <c r="DM22">
        <v>24.965193750000001</v>
      </c>
      <c r="DN22">
        <v>999.9</v>
      </c>
      <c r="DO22">
        <v>0</v>
      </c>
      <c r="DP22">
        <v>0</v>
      </c>
      <c r="DQ22">
        <v>9984.3718750000007</v>
      </c>
      <c r="DR22">
        <v>0</v>
      </c>
      <c r="DS22">
        <v>7.5871081250000003</v>
      </c>
      <c r="DT22">
        <v>1500.0106249999999</v>
      </c>
      <c r="DU22">
        <v>0.97299306249999995</v>
      </c>
      <c r="DV22">
        <v>2.7007287500000001E-2</v>
      </c>
      <c r="DW22">
        <v>0</v>
      </c>
      <c r="DX22">
        <v>232.36425</v>
      </c>
      <c r="DY22">
        <v>4.9999900000000004</v>
      </c>
      <c r="DZ22">
        <v>3456.6581249999999</v>
      </c>
      <c r="EA22">
        <v>14882.65625</v>
      </c>
      <c r="EB22">
        <v>36.8395625</v>
      </c>
      <c r="EC22">
        <v>38.218499999999999</v>
      </c>
      <c r="ED22">
        <v>37.452750000000002</v>
      </c>
      <c r="EE22">
        <v>37.448812500000003</v>
      </c>
      <c r="EF22">
        <v>38.523249999999997</v>
      </c>
      <c r="EG22">
        <v>1454.63625</v>
      </c>
      <c r="EH22">
        <v>40.374375000000001</v>
      </c>
      <c r="EI22">
        <v>0</v>
      </c>
      <c r="EJ22">
        <v>1792113576</v>
      </c>
      <c r="EK22">
        <v>0</v>
      </c>
      <c r="EL22">
        <v>232.47996000000001</v>
      </c>
      <c r="EM22">
        <v>0.80253844545160702</v>
      </c>
      <c r="EN22">
        <v>49.890769144703803</v>
      </c>
      <c r="EO22">
        <v>3456.8108000000002</v>
      </c>
      <c r="EP22">
        <v>15</v>
      </c>
      <c r="EQ22">
        <v>1792113503</v>
      </c>
      <c r="ER22" t="s">
        <v>360</v>
      </c>
      <c r="ES22">
        <v>1792113496</v>
      </c>
      <c r="ET22">
        <v>1792113503</v>
      </c>
      <c r="EU22">
        <v>7</v>
      </c>
      <c r="EV22">
        <v>-0.16800000000000001</v>
      </c>
      <c r="EW22">
        <v>1E-3</v>
      </c>
      <c r="EX22">
        <v>-0.95699999999999996</v>
      </c>
      <c r="EY22">
        <v>-0.193</v>
      </c>
      <c r="EZ22">
        <v>400</v>
      </c>
      <c r="FA22">
        <v>16</v>
      </c>
      <c r="FB22">
        <v>0.14000000000000001</v>
      </c>
      <c r="FC22">
        <v>0.05</v>
      </c>
      <c r="FD22">
        <v>20.380950376130102</v>
      </c>
      <c r="FE22">
        <v>0.56437295464338499</v>
      </c>
      <c r="FF22">
        <v>7.5293003094759003E-2</v>
      </c>
      <c r="FG22">
        <v>1</v>
      </c>
      <c r="FH22">
        <v>-8.9538104999999995</v>
      </c>
      <c r="FI22">
        <v>-0.26011353383459501</v>
      </c>
      <c r="FJ22">
        <v>3.1950522605272202E-2</v>
      </c>
      <c r="FK22">
        <v>1</v>
      </c>
      <c r="FL22">
        <v>232.197852941176</v>
      </c>
      <c r="FM22">
        <v>4.2209472757511</v>
      </c>
      <c r="FN22">
        <v>0.58661467122068101</v>
      </c>
      <c r="FO22">
        <v>-1</v>
      </c>
      <c r="FP22">
        <v>2</v>
      </c>
      <c r="FQ22">
        <v>2</v>
      </c>
      <c r="FR22" t="s">
        <v>345</v>
      </c>
      <c r="FS22">
        <v>100</v>
      </c>
      <c r="FT22">
        <v>100</v>
      </c>
      <c r="FU22">
        <v>-0.96099999999999997</v>
      </c>
      <c r="FV22">
        <v>-0.1673</v>
      </c>
      <c r="FW22">
        <v>-1.0324410903969301</v>
      </c>
      <c r="FX22">
        <v>-6.1673298426602905E-5</v>
      </c>
      <c r="FY22">
        <v>6.1939807181674203E-7</v>
      </c>
      <c r="FZ22">
        <v>3.19222985850634E-12</v>
      </c>
      <c r="GA22">
        <v>-9.8116943173584395E-2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1.3</v>
      </c>
      <c r="GJ22">
        <v>1.2</v>
      </c>
      <c r="GK22">
        <v>1.0400400000000001</v>
      </c>
      <c r="GL22">
        <v>2.6086399999999998</v>
      </c>
      <c r="GM22">
        <v>1.65161</v>
      </c>
      <c r="GN22">
        <v>2.2900399999999999</v>
      </c>
      <c r="GO22">
        <v>1.5979000000000001</v>
      </c>
      <c r="GP22">
        <v>2.4877899999999999</v>
      </c>
      <c r="GQ22">
        <v>29.070599999999999</v>
      </c>
      <c r="GR22">
        <v>15.603</v>
      </c>
      <c r="GS22">
        <v>18</v>
      </c>
      <c r="GT22">
        <v>496.85599999999999</v>
      </c>
      <c r="GU22">
        <v>597.74699999999996</v>
      </c>
      <c r="GV22">
        <v>23.614899999999999</v>
      </c>
      <c r="GW22">
        <v>26.4604</v>
      </c>
      <c r="GX22">
        <v>29.9999</v>
      </c>
      <c r="GY22">
        <v>26.5364</v>
      </c>
      <c r="GZ22">
        <v>26.585899999999999</v>
      </c>
      <c r="HA22">
        <v>20.788</v>
      </c>
      <c r="HB22">
        <v>29.041599999999999</v>
      </c>
      <c r="HC22">
        <v>100</v>
      </c>
      <c r="HD22">
        <v>23.613199999999999</v>
      </c>
      <c r="HE22">
        <v>400</v>
      </c>
      <c r="HF22">
        <v>16.059100000000001</v>
      </c>
      <c r="HG22">
        <v>98.692999999999998</v>
      </c>
      <c r="HH22">
        <v>95.1404</v>
      </c>
    </row>
    <row r="23" spans="1:216" x14ac:dyDescent="0.3">
      <c r="A23">
        <v>7</v>
      </c>
      <c r="B23">
        <v>1792113697.0999999</v>
      </c>
      <c r="C23">
        <v>749.09999990463302</v>
      </c>
      <c r="D23" t="s">
        <v>361</v>
      </c>
      <c r="E23" t="s">
        <v>362</v>
      </c>
      <c r="F23">
        <v>5</v>
      </c>
      <c r="G23">
        <v>1792113688.5999999</v>
      </c>
      <c r="H23">
        <f t="shared" si="0"/>
        <v>5.7756240070897316E-3</v>
      </c>
      <c r="I23">
        <f t="shared" si="1"/>
        <v>5.775624007089732</v>
      </c>
      <c r="J23">
        <f t="shared" si="2"/>
        <v>21.716578121621652</v>
      </c>
      <c r="K23">
        <f t="shared" si="3"/>
        <v>390.405125</v>
      </c>
      <c r="L23">
        <f t="shared" si="4"/>
        <v>303.90587249497321</v>
      </c>
      <c r="M23">
        <f t="shared" si="5"/>
        <v>30.973572659744924</v>
      </c>
      <c r="N23">
        <f t="shared" si="6"/>
        <v>39.789430216174296</v>
      </c>
      <c r="O23">
        <f t="shared" si="7"/>
        <v>0.47093747310232142</v>
      </c>
      <c r="P23">
        <f t="shared" si="8"/>
        <v>3.040231784877816</v>
      </c>
      <c r="Q23">
        <f t="shared" si="9"/>
        <v>0.43384291657042712</v>
      </c>
      <c r="R23">
        <f t="shared" si="10"/>
        <v>0.27424072540976352</v>
      </c>
      <c r="S23">
        <f t="shared" si="11"/>
        <v>241.73604601557901</v>
      </c>
      <c r="T23">
        <f t="shared" si="12"/>
        <v>25.934871072223544</v>
      </c>
      <c r="U23">
        <f t="shared" si="13"/>
        <v>24.99201875</v>
      </c>
      <c r="V23">
        <f t="shared" si="14"/>
        <v>3.1781649030342849</v>
      </c>
      <c r="W23">
        <f t="shared" si="15"/>
        <v>54.942211872718104</v>
      </c>
      <c r="X23">
        <f t="shared" si="16"/>
        <v>1.8548578081081601</v>
      </c>
      <c r="Y23">
        <f t="shared" si="17"/>
        <v>3.3760158990417373</v>
      </c>
      <c r="Z23">
        <f t="shared" si="18"/>
        <v>1.3233070949261247</v>
      </c>
      <c r="AA23">
        <f t="shared" si="19"/>
        <v>-254.70501871265716</v>
      </c>
      <c r="AB23">
        <f t="shared" si="20"/>
        <v>166.65550636460367</v>
      </c>
      <c r="AC23">
        <f t="shared" si="21"/>
        <v>11.65360337924171</v>
      </c>
      <c r="AD23">
        <f t="shared" si="22"/>
        <v>165.34013704676721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53994.497500372941</v>
      </c>
      <c r="AJ23" t="s">
        <v>342</v>
      </c>
      <c r="AK23" t="s">
        <v>342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342</v>
      </c>
      <c r="AQ23" t="s">
        <v>342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1261.206600008072</v>
      </c>
      <c r="AW23">
        <f t="shared" si="29"/>
        <v>21.716578121621652</v>
      </c>
      <c r="AX23" t="e">
        <f t="shared" si="30"/>
        <v>#DIV/0!</v>
      </c>
      <c r="AY23">
        <f t="shared" si="31"/>
        <v>1.7218890324140916E-2</v>
      </c>
      <c r="AZ23" t="e">
        <f t="shared" si="32"/>
        <v>#DIV/0!</v>
      </c>
      <c r="BA23" t="e">
        <f t="shared" si="33"/>
        <v>#DIV/0!</v>
      </c>
      <c r="BB23" t="s">
        <v>342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1499.9949999999999</v>
      </c>
      <c r="CU23">
        <f t="shared" si="43"/>
        <v>1261.206600008072</v>
      </c>
      <c r="CV23">
        <f t="shared" si="44"/>
        <v>0.84080720269605702</v>
      </c>
      <c r="CW23">
        <f t="shared" si="45"/>
        <v>0.16115790120339002</v>
      </c>
      <c r="CX23">
        <v>2</v>
      </c>
      <c r="CY23">
        <v>0.5</v>
      </c>
      <c r="CZ23" t="s">
        <v>343</v>
      </c>
      <c r="DA23">
        <v>2</v>
      </c>
      <c r="DB23">
        <v>1792113688.5999999</v>
      </c>
      <c r="DC23">
        <v>390.405125</v>
      </c>
      <c r="DD23">
        <v>399.9944375</v>
      </c>
      <c r="DE23">
        <v>18.199456250000001</v>
      </c>
      <c r="DF23">
        <v>15.931075</v>
      </c>
      <c r="DG23">
        <v>391.36306250000001</v>
      </c>
      <c r="DH23">
        <v>18.367593750000001</v>
      </c>
      <c r="DI23">
        <v>499.96100000000001</v>
      </c>
      <c r="DJ23">
        <v>101.818375</v>
      </c>
      <c r="DK23">
        <v>9.9934131250000002E-2</v>
      </c>
      <c r="DL23">
        <v>26.008800000000001</v>
      </c>
      <c r="DM23">
        <v>24.99201875</v>
      </c>
      <c r="DN23">
        <v>999.9</v>
      </c>
      <c r="DO23">
        <v>0</v>
      </c>
      <c r="DP23">
        <v>0</v>
      </c>
      <c r="DQ23">
        <v>9995.6281249999993</v>
      </c>
      <c r="DR23">
        <v>0</v>
      </c>
      <c r="DS23">
        <v>8.4132968750000003</v>
      </c>
      <c r="DT23">
        <v>1499.9949999999999</v>
      </c>
      <c r="DU23">
        <v>0.97300493750000006</v>
      </c>
      <c r="DV23">
        <v>2.6995425E-2</v>
      </c>
      <c r="DW23">
        <v>0</v>
      </c>
      <c r="DX23">
        <v>237.13012499999999</v>
      </c>
      <c r="DY23">
        <v>4.9999900000000004</v>
      </c>
      <c r="DZ23">
        <v>3516.4162500000002</v>
      </c>
      <c r="EA23">
        <v>14882.55625</v>
      </c>
      <c r="EB23">
        <v>36.277124999999998</v>
      </c>
      <c r="EC23">
        <v>37.746062500000001</v>
      </c>
      <c r="ED23">
        <v>36.875</v>
      </c>
      <c r="EE23">
        <v>37.03875</v>
      </c>
      <c r="EF23">
        <v>38.03875</v>
      </c>
      <c r="EG23">
        <v>1454.635</v>
      </c>
      <c r="EH23">
        <v>40.36</v>
      </c>
      <c r="EI23">
        <v>0</v>
      </c>
      <c r="EJ23">
        <v>1792113697.2</v>
      </c>
      <c r="EK23">
        <v>0</v>
      </c>
      <c r="EL23">
        <v>237.13332</v>
      </c>
      <c r="EM23">
        <v>-0.38415383623195198</v>
      </c>
      <c r="EN23">
        <v>22.3415384402699</v>
      </c>
      <c r="EO23">
        <v>3516.9535999999998</v>
      </c>
      <c r="EP23">
        <v>15</v>
      </c>
      <c r="EQ23">
        <v>1792113631.0999999</v>
      </c>
      <c r="ER23" t="s">
        <v>363</v>
      </c>
      <c r="ES23">
        <v>1792113631.0999999</v>
      </c>
      <c r="ET23">
        <v>1792113629.0999999</v>
      </c>
      <c r="EU23">
        <v>8</v>
      </c>
      <c r="EV23">
        <v>3.0000000000000001E-3</v>
      </c>
      <c r="EW23">
        <v>-2E-3</v>
      </c>
      <c r="EX23">
        <v>-0.95399999999999996</v>
      </c>
      <c r="EY23">
        <v>-0.19700000000000001</v>
      </c>
      <c r="EZ23">
        <v>400</v>
      </c>
      <c r="FA23">
        <v>16</v>
      </c>
      <c r="FB23">
        <v>0.18</v>
      </c>
      <c r="FC23">
        <v>0.03</v>
      </c>
      <c r="FD23">
        <v>21.648690249849</v>
      </c>
      <c r="FE23">
        <v>0.42474501388025399</v>
      </c>
      <c r="FF23">
        <v>8.4306838975028706E-2</v>
      </c>
      <c r="FG23">
        <v>1</v>
      </c>
      <c r="FH23">
        <v>-9.5665069999999996</v>
      </c>
      <c r="FI23">
        <v>-0.27209864661653499</v>
      </c>
      <c r="FJ23">
        <v>4.1377985704961699E-2</v>
      </c>
      <c r="FK23">
        <v>1</v>
      </c>
      <c r="FL23">
        <v>237.05082352941201</v>
      </c>
      <c r="FM23">
        <v>1.5034377387618101</v>
      </c>
      <c r="FN23">
        <v>0.46900454472827802</v>
      </c>
      <c r="FO23">
        <v>-1</v>
      </c>
      <c r="FP23">
        <v>2</v>
      </c>
      <c r="FQ23">
        <v>2</v>
      </c>
      <c r="FR23" t="s">
        <v>345</v>
      </c>
      <c r="FS23">
        <v>100</v>
      </c>
      <c r="FT23">
        <v>100</v>
      </c>
      <c r="FU23">
        <v>-0.95799999999999996</v>
      </c>
      <c r="FV23">
        <v>-0.16789999999999999</v>
      </c>
      <c r="FW23">
        <v>-1.0288124692427201</v>
      </c>
      <c r="FX23">
        <v>-6.1673298426602905E-5</v>
      </c>
      <c r="FY23">
        <v>6.1939807181674203E-7</v>
      </c>
      <c r="FZ23">
        <v>3.19222985850634E-12</v>
      </c>
      <c r="GA23">
        <v>-9.9787823008869306E-2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1.1000000000000001</v>
      </c>
      <c r="GJ23">
        <v>1.1000000000000001</v>
      </c>
      <c r="GK23">
        <v>1.0400400000000001</v>
      </c>
      <c r="GL23">
        <v>2.6086399999999998</v>
      </c>
      <c r="GM23">
        <v>1.65161</v>
      </c>
      <c r="GN23">
        <v>2.2888199999999999</v>
      </c>
      <c r="GO23">
        <v>1.5979000000000001</v>
      </c>
      <c r="GP23">
        <v>2.4560499999999998</v>
      </c>
      <c r="GQ23">
        <v>29.1342</v>
      </c>
      <c r="GR23">
        <v>15.5768</v>
      </c>
      <c r="GS23">
        <v>18</v>
      </c>
      <c r="GT23">
        <v>497.08600000000001</v>
      </c>
      <c r="GU23">
        <v>596.38699999999994</v>
      </c>
      <c r="GV23">
        <v>24.057300000000001</v>
      </c>
      <c r="GW23">
        <v>26.496099999999998</v>
      </c>
      <c r="GX23">
        <v>30.000599999999999</v>
      </c>
      <c r="GY23">
        <v>26.567699999999999</v>
      </c>
      <c r="GZ23">
        <v>26.6172</v>
      </c>
      <c r="HA23">
        <v>20.7925</v>
      </c>
      <c r="HB23">
        <v>29.883099999999999</v>
      </c>
      <c r="HC23">
        <v>100</v>
      </c>
      <c r="HD23">
        <v>23.819299999999998</v>
      </c>
      <c r="HE23">
        <v>400</v>
      </c>
      <c r="HF23">
        <v>15.8924</v>
      </c>
      <c r="HG23">
        <v>98.681399999999996</v>
      </c>
      <c r="HH23">
        <v>95.137699999999995</v>
      </c>
    </row>
    <row r="24" spans="1:216" x14ac:dyDescent="0.3">
      <c r="A24">
        <v>8</v>
      </c>
      <c r="B24">
        <v>1792113819.0999999</v>
      </c>
      <c r="C24">
        <v>871.09999990463302</v>
      </c>
      <c r="D24" t="s">
        <v>364</v>
      </c>
      <c r="E24" t="s">
        <v>365</v>
      </c>
      <c r="F24">
        <v>5</v>
      </c>
      <c r="G24">
        <v>1792113811.0999999</v>
      </c>
      <c r="H24">
        <f t="shared" si="0"/>
        <v>6.3622241410740748E-3</v>
      </c>
      <c r="I24">
        <f t="shared" si="1"/>
        <v>6.3622241410740745</v>
      </c>
      <c r="J24">
        <f t="shared" si="2"/>
        <v>29.443032415558989</v>
      </c>
      <c r="K24">
        <f t="shared" si="3"/>
        <v>686.48479999999995</v>
      </c>
      <c r="L24">
        <f t="shared" si="4"/>
        <v>576.29835533787241</v>
      </c>
      <c r="M24">
        <f t="shared" si="5"/>
        <v>58.735015065081939</v>
      </c>
      <c r="N24">
        <f t="shared" si="6"/>
        <v>69.964966404095534</v>
      </c>
      <c r="O24">
        <f t="shared" si="7"/>
        <v>0.52558088480824905</v>
      </c>
      <c r="P24">
        <f t="shared" si="8"/>
        <v>3.0399953763277332</v>
      </c>
      <c r="Q24">
        <f t="shared" si="9"/>
        <v>0.47982307941701186</v>
      </c>
      <c r="R24">
        <f t="shared" si="10"/>
        <v>0.30366790811770156</v>
      </c>
      <c r="S24">
        <f t="shared" si="11"/>
        <v>241.74120641557815</v>
      </c>
      <c r="T24">
        <f t="shared" si="12"/>
        <v>25.843620724406676</v>
      </c>
      <c r="U24">
        <f t="shared" si="13"/>
        <v>25.0472</v>
      </c>
      <c r="V24">
        <f t="shared" si="14"/>
        <v>3.1886362790192768</v>
      </c>
      <c r="W24">
        <f t="shared" si="15"/>
        <v>55.230496365014716</v>
      </c>
      <c r="X24">
        <f t="shared" si="16"/>
        <v>1.8707989711951933</v>
      </c>
      <c r="Y24">
        <f t="shared" si="17"/>
        <v>3.3872572117244899</v>
      </c>
      <c r="Z24">
        <f t="shared" si="18"/>
        <v>1.3178373078240835</v>
      </c>
      <c r="AA24">
        <f t="shared" si="19"/>
        <v>-280.57408462136669</v>
      </c>
      <c r="AB24">
        <f t="shared" si="20"/>
        <v>166.80841982067275</v>
      </c>
      <c r="AC24">
        <f t="shared" si="21"/>
        <v>11.671733081494414</v>
      </c>
      <c r="AD24">
        <f t="shared" si="22"/>
        <v>139.64727469637862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53976.942138299491</v>
      </c>
      <c r="AJ24" t="s">
        <v>342</v>
      </c>
      <c r="AK24" t="s">
        <v>342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342</v>
      </c>
      <c r="AQ24" t="s">
        <v>342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1261.2337600080691</v>
      </c>
      <c r="AW24">
        <f t="shared" si="29"/>
        <v>29.443032415558989</v>
      </c>
      <c r="AX24" t="e">
        <f t="shared" si="30"/>
        <v>#DIV/0!</v>
      </c>
      <c r="AY24">
        <f t="shared" si="31"/>
        <v>2.3344627577500478E-2</v>
      </c>
      <c r="AZ24" t="e">
        <f t="shared" si="32"/>
        <v>#DIV/0!</v>
      </c>
      <c r="BA24" t="e">
        <f t="shared" si="33"/>
        <v>#DIV/0!</v>
      </c>
      <c r="BB24" t="s">
        <v>342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1500.02733333333</v>
      </c>
      <c r="CU24">
        <f t="shared" si="43"/>
        <v>1261.2337600080691</v>
      </c>
      <c r="CV24">
        <f t="shared" si="44"/>
        <v>0.84080718529667142</v>
      </c>
      <c r="CW24">
        <f t="shared" si="45"/>
        <v>0.16115786762257578</v>
      </c>
      <c r="CX24">
        <v>2</v>
      </c>
      <c r="CY24">
        <v>0.5</v>
      </c>
      <c r="CZ24" t="s">
        <v>343</v>
      </c>
      <c r="DA24">
        <v>2</v>
      </c>
      <c r="DB24">
        <v>1792113811.0999999</v>
      </c>
      <c r="DC24">
        <v>686.48479999999995</v>
      </c>
      <c r="DD24">
        <v>700.00953333333302</v>
      </c>
      <c r="DE24">
        <v>18.355973333333299</v>
      </c>
      <c r="DF24">
        <v>15.857706666666701</v>
      </c>
      <c r="DG24">
        <v>687.08199999999999</v>
      </c>
      <c r="DH24">
        <v>18.521613333333299</v>
      </c>
      <c r="DI24">
        <v>499.98180000000002</v>
      </c>
      <c r="DJ24">
        <v>101.81780000000001</v>
      </c>
      <c r="DK24">
        <v>9.9921126666666693E-2</v>
      </c>
      <c r="DL24">
        <v>26.064993333333302</v>
      </c>
      <c r="DM24">
        <v>25.0472</v>
      </c>
      <c r="DN24">
        <v>999.9</v>
      </c>
      <c r="DO24">
        <v>0</v>
      </c>
      <c r="DP24">
        <v>0</v>
      </c>
      <c r="DQ24">
        <v>9994.2566666666698</v>
      </c>
      <c r="DR24">
        <v>0</v>
      </c>
      <c r="DS24">
        <v>8.3240560000000006</v>
      </c>
      <c r="DT24">
        <v>1500.02733333333</v>
      </c>
      <c r="DU24">
        <v>0.97300366666666704</v>
      </c>
      <c r="DV24">
        <v>2.69966866666667E-2</v>
      </c>
      <c r="DW24">
        <v>0</v>
      </c>
      <c r="DX24">
        <v>236.13466666666699</v>
      </c>
      <c r="DY24">
        <v>4.9999900000000004</v>
      </c>
      <c r="DZ24">
        <v>3532.3319999999999</v>
      </c>
      <c r="EA24">
        <v>14882.8666666667</v>
      </c>
      <c r="EB24">
        <v>38.270666666666699</v>
      </c>
      <c r="EC24">
        <v>40.241399999999999</v>
      </c>
      <c r="ED24">
        <v>38.758133333333298</v>
      </c>
      <c r="EE24">
        <v>40.595599999999997</v>
      </c>
      <c r="EF24">
        <v>40.320533333333302</v>
      </c>
      <c r="EG24">
        <v>1454.6673333333299</v>
      </c>
      <c r="EH24">
        <v>40.36</v>
      </c>
      <c r="EI24">
        <v>0</v>
      </c>
      <c r="EJ24">
        <v>1792113819</v>
      </c>
      <c r="EK24">
        <v>0</v>
      </c>
      <c r="EL24">
        <v>236.237153846154</v>
      </c>
      <c r="EM24">
        <v>2.3034529638880801</v>
      </c>
      <c r="EN24">
        <v>20.7572649527648</v>
      </c>
      <c r="EO24">
        <v>3532.355</v>
      </c>
      <c r="EP24">
        <v>15</v>
      </c>
      <c r="EQ24">
        <v>1792113782.0999999</v>
      </c>
      <c r="ER24" t="s">
        <v>366</v>
      </c>
      <c r="ES24">
        <v>1792113782.0999999</v>
      </c>
      <c r="ET24">
        <v>1792113767.0999999</v>
      </c>
      <c r="EU24">
        <v>9</v>
      </c>
      <c r="EV24">
        <v>0.18099999999999999</v>
      </c>
      <c r="EW24">
        <v>0</v>
      </c>
      <c r="EX24">
        <v>-0.58599999999999997</v>
      </c>
      <c r="EY24">
        <v>-0.2</v>
      </c>
      <c r="EZ24">
        <v>700</v>
      </c>
      <c r="FA24">
        <v>16</v>
      </c>
      <c r="FB24">
        <v>0.26</v>
      </c>
      <c r="FC24">
        <v>0.02</v>
      </c>
      <c r="FD24">
        <v>29.469237069473301</v>
      </c>
      <c r="FE24">
        <v>-0.59492711894303396</v>
      </c>
      <c r="FF24">
        <v>0.13141385435283601</v>
      </c>
      <c r="FG24">
        <v>1</v>
      </c>
      <c r="FH24">
        <v>-13.52637</v>
      </c>
      <c r="FI24">
        <v>1.01954887218634E-3</v>
      </c>
      <c r="FJ24">
        <v>4.6211244302658598E-2</v>
      </c>
      <c r="FK24">
        <v>1</v>
      </c>
      <c r="FL24">
        <v>236.204794117647</v>
      </c>
      <c r="FM24">
        <v>1.16065697289503</v>
      </c>
      <c r="FN24">
        <v>0.43995045037927399</v>
      </c>
      <c r="FO24">
        <v>-1</v>
      </c>
      <c r="FP24">
        <v>2</v>
      </c>
      <c r="FQ24">
        <v>2</v>
      </c>
      <c r="FR24" t="s">
        <v>345</v>
      </c>
      <c r="FS24">
        <v>100</v>
      </c>
      <c r="FT24">
        <v>100</v>
      </c>
      <c r="FU24">
        <v>-0.59699999999999998</v>
      </c>
      <c r="FV24">
        <v>-0.1661</v>
      </c>
      <c r="FW24">
        <v>-0.84821066739515005</v>
      </c>
      <c r="FX24">
        <v>-6.1673298426602905E-5</v>
      </c>
      <c r="FY24">
        <v>6.1939807181674203E-7</v>
      </c>
      <c r="FZ24">
        <v>3.19222985850634E-12</v>
      </c>
      <c r="GA24">
        <v>-9.9775418334800803E-2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0.6</v>
      </c>
      <c r="GJ24">
        <v>0.9</v>
      </c>
      <c r="GK24">
        <v>1.62476</v>
      </c>
      <c r="GL24">
        <v>2.5952099999999998</v>
      </c>
      <c r="GM24">
        <v>1.65161</v>
      </c>
      <c r="GN24">
        <v>2.2888199999999999</v>
      </c>
      <c r="GO24">
        <v>1.5979000000000001</v>
      </c>
      <c r="GP24">
        <v>2.4230999999999998</v>
      </c>
      <c r="GQ24">
        <v>29.240200000000002</v>
      </c>
      <c r="GR24">
        <v>15.568</v>
      </c>
      <c r="GS24">
        <v>18</v>
      </c>
      <c r="GT24">
        <v>496.95400000000001</v>
      </c>
      <c r="GU24">
        <v>595.34</v>
      </c>
      <c r="GV24">
        <v>23.564699999999998</v>
      </c>
      <c r="GW24">
        <v>26.551600000000001</v>
      </c>
      <c r="GX24">
        <v>30.000299999999999</v>
      </c>
      <c r="GY24">
        <v>26.616</v>
      </c>
      <c r="GZ24">
        <v>26.661899999999999</v>
      </c>
      <c r="HA24">
        <v>32.482199999999999</v>
      </c>
      <c r="HB24">
        <v>30.382400000000001</v>
      </c>
      <c r="HC24">
        <v>100</v>
      </c>
      <c r="HD24">
        <v>23.554300000000001</v>
      </c>
      <c r="HE24">
        <v>700</v>
      </c>
      <c r="HF24">
        <v>15.8119</v>
      </c>
      <c r="HG24">
        <v>98.668199999999999</v>
      </c>
      <c r="HH24">
        <v>95.13</v>
      </c>
    </row>
    <row r="25" spans="1:216" x14ac:dyDescent="0.3">
      <c r="A25">
        <v>9</v>
      </c>
      <c r="B25">
        <v>1792113953.0999999</v>
      </c>
      <c r="C25">
        <v>1005.09999990463</v>
      </c>
      <c r="D25" t="s">
        <v>367</v>
      </c>
      <c r="E25" t="s">
        <v>368</v>
      </c>
      <c r="F25">
        <v>5</v>
      </c>
      <c r="G25">
        <v>1792113944.5999999</v>
      </c>
      <c r="H25">
        <f t="shared" si="0"/>
        <v>6.1605970362996173E-3</v>
      </c>
      <c r="I25">
        <f t="shared" si="1"/>
        <v>6.1605970362996176</v>
      </c>
      <c r="J25">
        <f t="shared" si="2"/>
        <v>31.15788240819105</v>
      </c>
      <c r="K25">
        <f t="shared" si="3"/>
        <v>985.0859375</v>
      </c>
      <c r="L25">
        <f t="shared" si="4"/>
        <v>858.75319625958662</v>
      </c>
      <c r="M25">
        <f t="shared" si="5"/>
        <v>87.518928626003742</v>
      </c>
      <c r="N25">
        <f t="shared" si="6"/>
        <v>100.39399705300376</v>
      </c>
      <c r="O25">
        <f t="shared" si="7"/>
        <v>0.50304303670776407</v>
      </c>
      <c r="P25">
        <f t="shared" si="8"/>
        <v>3.0407429078941139</v>
      </c>
      <c r="Q25">
        <f t="shared" si="9"/>
        <v>0.46096671519763333</v>
      </c>
      <c r="R25">
        <f t="shared" si="10"/>
        <v>0.2915907388530023</v>
      </c>
      <c r="S25">
        <f t="shared" si="11"/>
        <v>241.74183151557864</v>
      </c>
      <c r="T25">
        <f t="shared" si="12"/>
        <v>25.765613214085349</v>
      </c>
      <c r="U25">
        <f t="shared" si="13"/>
        <v>25.021699999999999</v>
      </c>
      <c r="V25">
        <f t="shared" si="14"/>
        <v>3.183793573968317</v>
      </c>
      <c r="W25">
        <f t="shared" si="15"/>
        <v>55.19578720255879</v>
      </c>
      <c r="X25">
        <f t="shared" si="16"/>
        <v>1.8554364206140586</v>
      </c>
      <c r="Y25">
        <f t="shared" si="17"/>
        <v>3.3615544132108033</v>
      </c>
      <c r="Z25">
        <f t="shared" si="18"/>
        <v>1.3283571533542584</v>
      </c>
      <c r="AA25">
        <f t="shared" si="19"/>
        <v>-271.68232930081314</v>
      </c>
      <c r="AB25">
        <f t="shared" si="20"/>
        <v>149.92757055583047</v>
      </c>
      <c r="AC25">
        <f t="shared" si="21"/>
        <v>10.47985571051167</v>
      </c>
      <c r="AD25">
        <f t="shared" si="22"/>
        <v>130.46692848110763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54023.506570501333</v>
      </c>
      <c r="AJ25" t="s">
        <v>342</v>
      </c>
      <c r="AK25" t="s">
        <v>342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342</v>
      </c>
      <c r="AQ25" t="s">
        <v>342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1261.2370500080717</v>
      </c>
      <c r="AW25">
        <f t="shared" si="29"/>
        <v>31.15788240819105</v>
      </c>
      <c r="AX25" t="e">
        <f t="shared" si="30"/>
        <v>#DIV/0!</v>
      </c>
      <c r="AY25">
        <f t="shared" si="31"/>
        <v>2.4704223847524655E-2</v>
      </c>
      <c r="AZ25" t="e">
        <f t="shared" si="32"/>
        <v>#DIV/0!</v>
      </c>
      <c r="BA25" t="e">
        <f t="shared" si="33"/>
        <v>#DIV/0!</v>
      </c>
      <c r="BB25" t="s">
        <v>342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1500.03125</v>
      </c>
      <c r="CU25">
        <f t="shared" si="43"/>
        <v>1261.2370500080717</v>
      </c>
      <c r="CV25">
        <f t="shared" si="44"/>
        <v>0.84080718318906478</v>
      </c>
      <c r="CW25">
        <f t="shared" si="45"/>
        <v>0.16115786355489503</v>
      </c>
      <c r="CX25">
        <v>2</v>
      </c>
      <c r="CY25">
        <v>0.5</v>
      </c>
      <c r="CZ25" t="s">
        <v>343</v>
      </c>
      <c r="DA25">
        <v>2</v>
      </c>
      <c r="DB25">
        <v>1792113944.5999999</v>
      </c>
      <c r="DC25">
        <v>985.0859375</v>
      </c>
      <c r="DD25">
        <v>999.97699999999998</v>
      </c>
      <c r="DE25">
        <v>18.2059125</v>
      </c>
      <c r="DF25">
        <v>15.786468749999999</v>
      </c>
      <c r="DG25">
        <v>985.29750000000001</v>
      </c>
      <c r="DH25">
        <v>18.376950000000001</v>
      </c>
      <c r="DI25">
        <v>499.98581250000001</v>
      </c>
      <c r="DJ25">
        <v>101.81399999999999</v>
      </c>
      <c r="DK25">
        <v>9.9948043750000007E-2</v>
      </c>
      <c r="DL25">
        <v>25.93626875</v>
      </c>
      <c r="DM25">
        <v>25.021699999999999</v>
      </c>
      <c r="DN25">
        <v>999.9</v>
      </c>
      <c r="DO25">
        <v>0</v>
      </c>
      <c r="DP25">
        <v>0</v>
      </c>
      <c r="DQ25">
        <v>9999.1456249999992</v>
      </c>
      <c r="DR25">
        <v>0</v>
      </c>
      <c r="DS25">
        <v>8.0677900000000005</v>
      </c>
      <c r="DT25">
        <v>1500.03125</v>
      </c>
      <c r="DU25">
        <v>0.97300118749999998</v>
      </c>
      <c r="DV25">
        <v>2.6998774999999999E-2</v>
      </c>
      <c r="DW25">
        <v>0</v>
      </c>
      <c r="DX25">
        <v>234.3889375</v>
      </c>
      <c r="DY25">
        <v>4.9999900000000004</v>
      </c>
      <c r="DZ25">
        <v>3508.5362500000001</v>
      </c>
      <c r="EA25">
        <v>14882.9</v>
      </c>
      <c r="EB25">
        <v>38.476312499999999</v>
      </c>
      <c r="EC25">
        <v>39.616875</v>
      </c>
      <c r="ED25">
        <v>38.988</v>
      </c>
      <c r="EE25">
        <v>39.374749999999999</v>
      </c>
      <c r="EF25">
        <v>40.1051875</v>
      </c>
      <c r="EG25">
        <v>1454.6712500000001</v>
      </c>
      <c r="EH25">
        <v>40.36</v>
      </c>
      <c r="EI25">
        <v>0</v>
      </c>
      <c r="EJ25">
        <v>1792113953.4000001</v>
      </c>
      <c r="EK25">
        <v>0</v>
      </c>
      <c r="EL25">
        <v>234.34076923076901</v>
      </c>
      <c r="EM25">
        <v>1.0313162585659199</v>
      </c>
      <c r="EN25">
        <v>3.1350427300023598</v>
      </c>
      <c r="EO25">
        <v>3508.6884615384602</v>
      </c>
      <c r="EP25">
        <v>15</v>
      </c>
      <c r="EQ25">
        <v>1792113885.0999999</v>
      </c>
      <c r="ER25" t="s">
        <v>369</v>
      </c>
      <c r="ES25">
        <v>1792113881.0999999</v>
      </c>
      <c r="ET25">
        <v>1792113885.0999999</v>
      </c>
      <c r="EU25">
        <v>10</v>
      </c>
      <c r="EV25">
        <v>9.4E-2</v>
      </c>
      <c r="EW25">
        <v>-3.0000000000000001E-3</v>
      </c>
      <c r="EX25">
        <v>-0.19400000000000001</v>
      </c>
      <c r="EY25">
        <v>-0.20300000000000001</v>
      </c>
      <c r="EZ25">
        <v>1000</v>
      </c>
      <c r="FA25">
        <v>16</v>
      </c>
      <c r="FB25">
        <v>7.0000000000000007E-2</v>
      </c>
      <c r="FC25">
        <v>0.03</v>
      </c>
      <c r="FD25">
        <v>31.173937897195799</v>
      </c>
      <c r="FE25">
        <v>0.345442060052571</v>
      </c>
      <c r="FF25">
        <v>0.120136005798181</v>
      </c>
      <c r="FG25">
        <v>1</v>
      </c>
      <c r="FH25">
        <v>-14.897790476190499</v>
      </c>
      <c r="FI25">
        <v>3.5329870129875499E-2</v>
      </c>
      <c r="FJ25">
        <v>5.0188804526240902E-2</v>
      </c>
      <c r="FK25">
        <v>1</v>
      </c>
      <c r="FL25">
        <v>234.233852941176</v>
      </c>
      <c r="FM25">
        <v>1.8236363698931199</v>
      </c>
      <c r="FN25">
        <v>0.37739183353745598</v>
      </c>
      <c r="FO25">
        <v>-1</v>
      </c>
      <c r="FP25">
        <v>2</v>
      </c>
      <c r="FQ25">
        <v>2</v>
      </c>
      <c r="FR25" t="s">
        <v>345</v>
      </c>
      <c r="FS25">
        <v>100</v>
      </c>
      <c r="FT25">
        <v>100</v>
      </c>
      <c r="FU25">
        <v>-0.21099999999999999</v>
      </c>
      <c r="FV25">
        <v>-0.1711</v>
      </c>
      <c r="FW25">
        <v>-0.75520659538189405</v>
      </c>
      <c r="FX25">
        <v>-6.1673298426602905E-5</v>
      </c>
      <c r="FY25">
        <v>6.1939807181674203E-7</v>
      </c>
      <c r="FZ25">
        <v>3.19222985850634E-12</v>
      </c>
      <c r="GA25">
        <v>-0.102848360565859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1.2</v>
      </c>
      <c r="GJ25">
        <v>1.1000000000000001</v>
      </c>
      <c r="GK25">
        <v>2.16919</v>
      </c>
      <c r="GL25">
        <v>2.5842299999999998</v>
      </c>
      <c r="GM25">
        <v>1.65161</v>
      </c>
      <c r="GN25">
        <v>2.2888199999999999</v>
      </c>
      <c r="GO25">
        <v>1.5979000000000001</v>
      </c>
      <c r="GP25">
        <v>2.6110799999999998</v>
      </c>
      <c r="GQ25">
        <v>29.346399999999999</v>
      </c>
      <c r="GR25">
        <v>15.541700000000001</v>
      </c>
      <c r="GS25">
        <v>18</v>
      </c>
      <c r="GT25">
        <v>497.38400000000001</v>
      </c>
      <c r="GU25">
        <v>595.15499999999997</v>
      </c>
      <c r="GV25">
        <v>22.579000000000001</v>
      </c>
      <c r="GW25">
        <v>26.626300000000001</v>
      </c>
      <c r="GX25">
        <v>30.0001</v>
      </c>
      <c r="GY25">
        <v>26.674900000000001</v>
      </c>
      <c r="GZ25">
        <v>26.720500000000001</v>
      </c>
      <c r="HA25">
        <v>43.361199999999997</v>
      </c>
      <c r="HB25">
        <v>30.855799999999999</v>
      </c>
      <c r="HC25">
        <v>100</v>
      </c>
      <c r="HD25">
        <v>22.576699999999999</v>
      </c>
      <c r="HE25">
        <v>1000</v>
      </c>
      <c r="HF25">
        <v>15.779299999999999</v>
      </c>
      <c r="HG25">
        <v>98.650400000000005</v>
      </c>
      <c r="HH25">
        <v>95.116299999999995</v>
      </c>
    </row>
    <row r="26" spans="1:216" x14ac:dyDescent="0.3">
      <c r="A26">
        <v>10</v>
      </c>
      <c r="B26">
        <v>1792114087.0999999</v>
      </c>
      <c r="C26">
        <v>1139.0999999046301</v>
      </c>
      <c r="D26" t="s">
        <v>370</v>
      </c>
      <c r="E26" t="s">
        <v>371</v>
      </c>
      <c r="F26">
        <v>5</v>
      </c>
      <c r="G26">
        <v>1792114079.0999999</v>
      </c>
      <c r="H26">
        <f t="shared" si="0"/>
        <v>5.6799371218454291E-3</v>
      </c>
      <c r="I26">
        <f t="shared" si="1"/>
        <v>5.6799371218454286</v>
      </c>
      <c r="J26">
        <f t="shared" si="2"/>
        <v>31.35777663686336</v>
      </c>
      <c r="K26">
        <f t="shared" si="3"/>
        <v>1184.76</v>
      </c>
      <c r="L26">
        <f t="shared" si="4"/>
        <v>1040.4172659107501</v>
      </c>
      <c r="M26">
        <f t="shared" si="5"/>
        <v>106.02623875140151</v>
      </c>
      <c r="N26">
        <f t="shared" si="6"/>
        <v>120.7358343031248</v>
      </c>
      <c r="O26">
        <f t="shared" si="7"/>
        <v>0.44668473787904495</v>
      </c>
      <c r="P26">
        <f t="shared" si="8"/>
        <v>3.039370398727482</v>
      </c>
      <c r="Q26">
        <f t="shared" si="9"/>
        <v>0.41315808269925103</v>
      </c>
      <c r="R26">
        <f t="shared" si="10"/>
        <v>0.26102602498324118</v>
      </c>
      <c r="S26">
        <f t="shared" si="11"/>
        <v>241.74044921558598</v>
      </c>
      <c r="T26">
        <f t="shared" si="12"/>
        <v>25.70542267532355</v>
      </c>
      <c r="U26">
        <f t="shared" si="13"/>
        <v>25.0901</v>
      </c>
      <c r="V26">
        <f t="shared" si="14"/>
        <v>3.1967979425115791</v>
      </c>
      <c r="W26">
        <f t="shared" si="15"/>
        <v>55.037025018102469</v>
      </c>
      <c r="X26">
        <f t="shared" si="16"/>
        <v>1.8303700314050282</v>
      </c>
      <c r="Y26">
        <f t="shared" si="17"/>
        <v>3.3257067052643072</v>
      </c>
      <c r="Z26">
        <f t="shared" si="18"/>
        <v>1.3664279111065509</v>
      </c>
      <c r="AA26">
        <f t="shared" si="19"/>
        <v>-250.48522707338341</v>
      </c>
      <c r="AB26">
        <f t="shared" si="20"/>
        <v>108.99760637970573</v>
      </c>
      <c r="AC26">
        <f t="shared" si="21"/>
        <v>7.6179940683382057</v>
      </c>
      <c r="AD26">
        <f t="shared" si="22"/>
        <v>107.87082259024652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54013.099029517012</v>
      </c>
      <c r="AJ26" t="s">
        <v>342</v>
      </c>
      <c r="AK26" t="s">
        <v>342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342</v>
      </c>
      <c r="AQ26" t="s">
        <v>342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1261.224280008073</v>
      </c>
      <c r="AW26">
        <f t="shared" si="29"/>
        <v>31.35777663686336</v>
      </c>
      <c r="AX26" t="e">
        <f t="shared" si="30"/>
        <v>#DIV/0!</v>
      </c>
      <c r="AY26">
        <f t="shared" si="31"/>
        <v>2.4862966193976727E-2</v>
      </c>
      <c r="AZ26" t="e">
        <f t="shared" si="32"/>
        <v>#DIV/0!</v>
      </c>
      <c r="BA26" t="e">
        <f t="shared" si="33"/>
        <v>#DIV/0!</v>
      </c>
      <c r="BB26" t="s">
        <v>342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1500.0153333333301</v>
      </c>
      <c r="CU26">
        <f t="shared" si="43"/>
        <v>1261.224280008073</v>
      </c>
      <c r="CV26">
        <f t="shared" si="44"/>
        <v>0.84080759175000153</v>
      </c>
      <c r="CW26">
        <f t="shared" si="45"/>
        <v>0.1611586520775031</v>
      </c>
      <c r="CX26">
        <v>2</v>
      </c>
      <c r="CY26">
        <v>0.5</v>
      </c>
      <c r="CZ26" t="s">
        <v>343</v>
      </c>
      <c r="DA26">
        <v>2</v>
      </c>
      <c r="DB26">
        <v>1792114079.0999999</v>
      </c>
      <c r="DC26">
        <v>1184.76</v>
      </c>
      <c r="DD26">
        <v>1199.9946666666699</v>
      </c>
      <c r="DE26">
        <v>17.961106666666701</v>
      </c>
      <c r="DF26">
        <v>15.7299666666667</v>
      </c>
      <c r="DG26">
        <v>1184.6473333333299</v>
      </c>
      <c r="DH26">
        <v>18.1365466666667</v>
      </c>
      <c r="DI26">
        <v>500.00619999999998</v>
      </c>
      <c r="DJ26">
        <v>101.8074</v>
      </c>
      <c r="DK26">
        <v>0.10001947999999999</v>
      </c>
      <c r="DL26">
        <v>25.755293333333299</v>
      </c>
      <c r="DM26">
        <v>25.0901</v>
      </c>
      <c r="DN26">
        <v>999.9</v>
      </c>
      <c r="DO26">
        <v>0</v>
      </c>
      <c r="DP26">
        <v>0</v>
      </c>
      <c r="DQ26">
        <v>9991.5033333333304</v>
      </c>
      <c r="DR26">
        <v>0</v>
      </c>
      <c r="DS26">
        <v>8.3193506666666703</v>
      </c>
      <c r="DT26">
        <v>1500.0153333333301</v>
      </c>
      <c r="DU26">
        <v>0.97299266666666695</v>
      </c>
      <c r="DV26">
        <v>2.7007586666666701E-2</v>
      </c>
      <c r="DW26">
        <v>0</v>
      </c>
      <c r="DX26">
        <v>234.87246666666701</v>
      </c>
      <c r="DY26">
        <v>4.9999900000000004</v>
      </c>
      <c r="DZ26">
        <v>3500.5459999999998</v>
      </c>
      <c r="EA26">
        <v>14882.68</v>
      </c>
      <c r="EB26">
        <v>37.362333333333297</v>
      </c>
      <c r="EC26">
        <v>38.666333333333299</v>
      </c>
      <c r="ED26">
        <v>37.957999999999998</v>
      </c>
      <c r="EE26">
        <v>37.974800000000002</v>
      </c>
      <c r="EF26">
        <v>39.024799999999999</v>
      </c>
      <c r="EG26">
        <v>1454.63533333333</v>
      </c>
      <c r="EH26">
        <v>40.380000000000003</v>
      </c>
      <c r="EI26">
        <v>0</v>
      </c>
      <c r="EJ26">
        <v>1792114087.2</v>
      </c>
      <c r="EK26">
        <v>0</v>
      </c>
      <c r="EL26">
        <v>234.87464</v>
      </c>
      <c r="EM26">
        <v>2.4156153873300998</v>
      </c>
      <c r="EN26">
        <v>7.9853845996739299</v>
      </c>
      <c r="EO26">
        <v>3500.7476000000001</v>
      </c>
      <c r="EP26">
        <v>15</v>
      </c>
      <c r="EQ26">
        <v>1792114016.0999999</v>
      </c>
      <c r="ER26" t="s">
        <v>372</v>
      </c>
      <c r="ES26">
        <v>1792114016.0999999</v>
      </c>
      <c r="ET26">
        <v>1792114013.0999999</v>
      </c>
      <c r="EU26">
        <v>11</v>
      </c>
      <c r="EV26">
        <v>6.8000000000000005E-2</v>
      </c>
      <c r="EW26">
        <v>-1E-3</v>
      </c>
      <c r="EX26">
        <v>0.13500000000000001</v>
      </c>
      <c r="EY26">
        <v>-0.20399999999999999</v>
      </c>
      <c r="EZ26">
        <v>1200</v>
      </c>
      <c r="FA26">
        <v>16</v>
      </c>
      <c r="FB26">
        <v>0.18</v>
      </c>
      <c r="FC26">
        <v>0.02</v>
      </c>
      <c r="FD26">
        <v>31.386774416342998</v>
      </c>
      <c r="FE26">
        <v>0.20265493644603599</v>
      </c>
      <c r="FF26">
        <v>8.8295901684601996E-2</v>
      </c>
      <c r="FG26">
        <v>1</v>
      </c>
      <c r="FH26">
        <v>-15.25506</v>
      </c>
      <c r="FI26">
        <v>0.19397593984963299</v>
      </c>
      <c r="FJ26">
        <v>4.0361979634304303E-2</v>
      </c>
      <c r="FK26">
        <v>1</v>
      </c>
      <c r="FL26">
        <v>234.74323529411799</v>
      </c>
      <c r="FM26">
        <v>2.1744232335534202</v>
      </c>
      <c r="FN26">
        <v>0.50731334201814504</v>
      </c>
      <c r="FO26">
        <v>-1</v>
      </c>
      <c r="FP26">
        <v>2</v>
      </c>
      <c r="FQ26">
        <v>2</v>
      </c>
      <c r="FR26" t="s">
        <v>345</v>
      </c>
      <c r="FS26">
        <v>100</v>
      </c>
      <c r="FT26">
        <v>100</v>
      </c>
      <c r="FU26">
        <v>0.12</v>
      </c>
      <c r="FV26">
        <v>-0.17580000000000001</v>
      </c>
      <c r="FW26">
        <v>-0.68786918769959804</v>
      </c>
      <c r="FX26">
        <v>-6.1673298426602905E-5</v>
      </c>
      <c r="FY26">
        <v>6.1939807181674203E-7</v>
      </c>
      <c r="FZ26">
        <v>3.19222985850634E-12</v>
      </c>
      <c r="GA26">
        <v>-0.103497525364662</v>
      </c>
      <c r="GB26">
        <v>-2.57783215012692E-2</v>
      </c>
      <c r="GC26">
        <v>1.33723821780375E-3</v>
      </c>
      <c r="GD26">
        <v>-7.42160749481374E-6</v>
      </c>
      <c r="GE26">
        <v>7</v>
      </c>
      <c r="GF26">
        <v>2154</v>
      </c>
      <c r="GG26">
        <v>2</v>
      </c>
      <c r="GH26">
        <v>20</v>
      </c>
      <c r="GI26">
        <v>1.2</v>
      </c>
      <c r="GJ26">
        <v>1.2</v>
      </c>
      <c r="GK26">
        <v>2.5158700000000001</v>
      </c>
      <c r="GL26">
        <v>2.5927699999999998</v>
      </c>
      <c r="GM26">
        <v>1.65161</v>
      </c>
      <c r="GN26">
        <v>2.2888199999999999</v>
      </c>
      <c r="GO26">
        <v>1.5979000000000001</v>
      </c>
      <c r="GP26">
        <v>2.48047</v>
      </c>
      <c r="GQ26">
        <v>29.4739</v>
      </c>
      <c r="GR26">
        <v>15.5067</v>
      </c>
      <c r="GS26">
        <v>18</v>
      </c>
      <c r="GT26">
        <v>497.63299999999998</v>
      </c>
      <c r="GU26">
        <v>593.91300000000001</v>
      </c>
      <c r="GV26">
        <v>22.875699999999998</v>
      </c>
      <c r="GW26">
        <v>26.7029</v>
      </c>
      <c r="GX26">
        <v>30.000599999999999</v>
      </c>
      <c r="GY26">
        <v>26.744199999999999</v>
      </c>
      <c r="GZ26">
        <v>26.7879</v>
      </c>
      <c r="HA26">
        <v>50.285600000000002</v>
      </c>
      <c r="HB26">
        <v>31.427199999999999</v>
      </c>
      <c r="HC26">
        <v>100</v>
      </c>
      <c r="HD26">
        <v>22.789100000000001</v>
      </c>
      <c r="HE26">
        <v>1200</v>
      </c>
      <c r="HF26">
        <v>15.715199999999999</v>
      </c>
      <c r="HG26">
        <v>98.635800000000003</v>
      </c>
      <c r="HH26">
        <v>95.104600000000005</v>
      </c>
    </row>
    <row r="27" spans="1:216" x14ac:dyDescent="0.3">
      <c r="A27">
        <v>11</v>
      </c>
      <c r="B27">
        <v>1792114209.0999999</v>
      </c>
      <c r="C27">
        <v>1261.0999999046301</v>
      </c>
      <c r="D27" t="s">
        <v>373</v>
      </c>
      <c r="E27" t="s">
        <v>374</v>
      </c>
      <c r="F27">
        <v>5</v>
      </c>
      <c r="G27">
        <v>1792114200.5999999</v>
      </c>
      <c r="H27">
        <f t="shared" si="0"/>
        <v>4.8994859644336348E-3</v>
      </c>
      <c r="I27">
        <f t="shared" si="1"/>
        <v>4.8994859644336346</v>
      </c>
      <c r="J27">
        <f t="shared" si="2"/>
        <v>31.755824755670638</v>
      </c>
      <c r="K27">
        <f t="shared" si="3"/>
        <v>1484.401875</v>
      </c>
      <c r="L27">
        <f t="shared" si="4"/>
        <v>1310.9030487370351</v>
      </c>
      <c r="M27">
        <f t="shared" si="5"/>
        <v>133.57831188178912</v>
      </c>
      <c r="N27">
        <f t="shared" si="6"/>
        <v>151.2574837686856</v>
      </c>
      <c r="O27">
        <f t="shared" si="7"/>
        <v>0.376903060460476</v>
      </c>
      <c r="P27">
        <f t="shared" si="8"/>
        <v>3.0399039568835775</v>
      </c>
      <c r="Q27">
        <f t="shared" si="9"/>
        <v>0.35273344088433245</v>
      </c>
      <c r="R27">
        <f t="shared" si="10"/>
        <v>0.22250066013266095</v>
      </c>
      <c r="S27">
        <f t="shared" si="11"/>
        <v>241.73536726557515</v>
      </c>
      <c r="T27">
        <f t="shared" si="12"/>
        <v>25.666943511890207</v>
      </c>
      <c r="U27">
        <f t="shared" si="13"/>
        <v>25.03399375</v>
      </c>
      <c r="V27">
        <f t="shared" si="14"/>
        <v>3.186127477100217</v>
      </c>
      <c r="W27">
        <f t="shared" si="15"/>
        <v>55.048372132287113</v>
      </c>
      <c r="X27">
        <f t="shared" si="16"/>
        <v>1.8054263146865295</v>
      </c>
      <c r="Y27">
        <f t="shared" si="17"/>
        <v>3.2797088174522169</v>
      </c>
      <c r="Z27">
        <f t="shared" si="18"/>
        <v>1.3807011624136876</v>
      </c>
      <c r="AA27">
        <f t="shared" si="19"/>
        <v>-216.06733103152328</v>
      </c>
      <c r="AB27">
        <f t="shared" si="20"/>
        <v>79.742439735107368</v>
      </c>
      <c r="AC27">
        <f t="shared" si="21"/>
        <v>5.5641863562239546</v>
      </c>
      <c r="AD27">
        <f t="shared" si="22"/>
        <v>110.97466232538319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54072.086459002116</v>
      </c>
      <c r="AJ27" t="s">
        <v>342</v>
      </c>
      <c r="AK27" t="s">
        <v>342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342</v>
      </c>
      <c r="AQ27" t="s">
        <v>342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1261.2057750080701</v>
      </c>
      <c r="AW27">
        <f t="shared" si="29"/>
        <v>31.755824755670638</v>
      </c>
      <c r="AX27" t="e">
        <f t="shared" si="30"/>
        <v>#DIV/0!</v>
      </c>
      <c r="AY27">
        <f t="shared" si="31"/>
        <v>2.5178940173713873E-2</v>
      </c>
      <c r="AZ27" t="e">
        <f t="shared" si="32"/>
        <v>#DIV/0!</v>
      </c>
      <c r="BA27" t="e">
        <f t="shared" si="33"/>
        <v>#DIV/0!</v>
      </c>
      <c r="BB27" t="s">
        <v>342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1499.994375</v>
      </c>
      <c r="CU27">
        <f t="shared" si="43"/>
        <v>1261.2057750080701</v>
      </c>
      <c r="CV27">
        <f t="shared" si="44"/>
        <v>0.84080700303164146</v>
      </c>
      <c r="CW27">
        <f t="shared" si="45"/>
        <v>0.16115751585106788</v>
      </c>
      <c r="CX27">
        <v>2</v>
      </c>
      <c r="CY27">
        <v>0.5</v>
      </c>
      <c r="CZ27" t="s">
        <v>343</v>
      </c>
      <c r="DA27">
        <v>2</v>
      </c>
      <c r="DB27">
        <v>1792114200.5999999</v>
      </c>
      <c r="DC27">
        <v>1484.401875</v>
      </c>
      <c r="DD27">
        <v>1500.0125</v>
      </c>
      <c r="DE27">
        <v>17.7179875</v>
      </c>
      <c r="DF27">
        <v>15.79301875</v>
      </c>
      <c r="DG27">
        <v>1483.6949999999999</v>
      </c>
      <c r="DH27">
        <v>17.895856250000001</v>
      </c>
      <c r="DI27">
        <v>500.0265</v>
      </c>
      <c r="DJ27">
        <v>101.797875</v>
      </c>
      <c r="DK27">
        <v>0.10005865</v>
      </c>
      <c r="DL27">
        <v>25.5205625</v>
      </c>
      <c r="DM27">
        <v>25.03399375</v>
      </c>
      <c r="DN27">
        <v>999.9</v>
      </c>
      <c r="DO27">
        <v>0</v>
      </c>
      <c r="DP27">
        <v>0</v>
      </c>
      <c r="DQ27">
        <v>9995.6606250000004</v>
      </c>
      <c r="DR27">
        <v>0</v>
      </c>
      <c r="DS27">
        <v>8.5022368749999995</v>
      </c>
      <c r="DT27">
        <v>1499.994375</v>
      </c>
      <c r="DU27">
        <v>0.97300837500000004</v>
      </c>
      <c r="DV27">
        <v>2.6991850000000001E-2</v>
      </c>
      <c r="DW27">
        <v>0</v>
      </c>
      <c r="DX27">
        <v>234.95587499999999</v>
      </c>
      <c r="DY27">
        <v>4.9999900000000004</v>
      </c>
      <c r="DZ27">
        <v>3494.42875</v>
      </c>
      <c r="EA27">
        <v>14882.56875</v>
      </c>
      <c r="EB27">
        <v>36.722437499999998</v>
      </c>
      <c r="EC27">
        <v>38.159875</v>
      </c>
      <c r="ED27">
        <v>37.304312500000002</v>
      </c>
      <c r="EE27">
        <v>37.484250000000003</v>
      </c>
      <c r="EF27">
        <v>38.417625000000001</v>
      </c>
      <c r="EG27">
        <v>1454.6443750000001</v>
      </c>
      <c r="EH27">
        <v>40.35</v>
      </c>
      <c r="EI27">
        <v>0</v>
      </c>
      <c r="EJ27">
        <v>1792114209</v>
      </c>
      <c r="EK27">
        <v>0</v>
      </c>
      <c r="EL27">
        <v>234.8905</v>
      </c>
      <c r="EM27">
        <v>-0.97329912467288704</v>
      </c>
      <c r="EN27">
        <v>11.9976068007854</v>
      </c>
      <c r="EO27">
        <v>3494.665</v>
      </c>
      <c r="EP27">
        <v>15</v>
      </c>
      <c r="EQ27">
        <v>1792114151.0999999</v>
      </c>
      <c r="ER27" t="s">
        <v>375</v>
      </c>
      <c r="ES27">
        <v>1792114151.0999999</v>
      </c>
      <c r="ET27">
        <v>1792114145.0999999</v>
      </c>
      <c r="EU27">
        <v>12</v>
      </c>
      <c r="EV27">
        <v>0.112</v>
      </c>
      <c r="EW27">
        <v>1E-3</v>
      </c>
      <c r="EX27">
        <v>0.73499999999999999</v>
      </c>
      <c r="EY27">
        <v>-0.20300000000000001</v>
      </c>
      <c r="EZ27">
        <v>1500</v>
      </c>
      <c r="FA27">
        <v>16</v>
      </c>
      <c r="FB27">
        <v>0.13</v>
      </c>
      <c r="FC27">
        <v>0.03</v>
      </c>
      <c r="FD27">
        <v>31.731758117027098</v>
      </c>
      <c r="FE27">
        <v>-0.13503611934314699</v>
      </c>
      <c r="FF27">
        <v>0.130349699006724</v>
      </c>
      <c r="FG27">
        <v>1</v>
      </c>
      <c r="FH27">
        <v>-15.632515</v>
      </c>
      <c r="FI27">
        <v>0.33864812030073599</v>
      </c>
      <c r="FJ27">
        <v>7.40433067535477E-2</v>
      </c>
      <c r="FK27">
        <v>1</v>
      </c>
      <c r="FL27">
        <v>234.84897058823501</v>
      </c>
      <c r="FM27">
        <v>-0.223269658279588</v>
      </c>
      <c r="FN27">
        <v>0.44658201837394701</v>
      </c>
      <c r="FO27">
        <v>-1</v>
      </c>
      <c r="FP27">
        <v>2</v>
      </c>
      <c r="FQ27">
        <v>2</v>
      </c>
      <c r="FR27" t="s">
        <v>345</v>
      </c>
      <c r="FS27">
        <v>100</v>
      </c>
      <c r="FT27">
        <v>100</v>
      </c>
      <c r="FU27">
        <v>0.71</v>
      </c>
      <c r="FV27">
        <v>-0.17829999999999999</v>
      </c>
      <c r="FW27">
        <v>-0.57622220770880495</v>
      </c>
      <c r="FX27">
        <v>-6.1673298426602905E-5</v>
      </c>
      <c r="FY27">
        <v>6.1939807181674203E-7</v>
      </c>
      <c r="FZ27">
        <v>3.19222985850634E-12</v>
      </c>
      <c r="GA27">
        <v>-0.102272167193121</v>
      </c>
      <c r="GB27">
        <v>-2.57783215012692E-2</v>
      </c>
      <c r="GC27">
        <v>1.33723821780375E-3</v>
      </c>
      <c r="GD27">
        <v>-7.42160749481374E-6</v>
      </c>
      <c r="GE27">
        <v>7</v>
      </c>
      <c r="GF27">
        <v>2154</v>
      </c>
      <c r="GG27">
        <v>2</v>
      </c>
      <c r="GH27">
        <v>20</v>
      </c>
      <c r="GI27">
        <v>1</v>
      </c>
      <c r="GJ27">
        <v>1.1000000000000001</v>
      </c>
      <c r="GK27">
        <v>3.0163600000000002</v>
      </c>
      <c r="GL27">
        <v>2.5903299999999998</v>
      </c>
      <c r="GM27">
        <v>1.65161</v>
      </c>
      <c r="GN27">
        <v>2.2888199999999999</v>
      </c>
      <c r="GO27">
        <v>1.5979000000000001</v>
      </c>
      <c r="GP27">
        <v>2.4084500000000002</v>
      </c>
      <c r="GQ27">
        <v>29.580400000000001</v>
      </c>
      <c r="GR27">
        <v>15.4892</v>
      </c>
      <c r="GS27">
        <v>18</v>
      </c>
      <c r="GT27">
        <v>497.64400000000001</v>
      </c>
      <c r="GU27">
        <v>593.33799999999997</v>
      </c>
      <c r="GV27">
        <v>22.463000000000001</v>
      </c>
      <c r="GW27">
        <v>26.770700000000001</v>
      </c>
      <c r="GX27">
        <v>30.000399999999999</v>
      </c>
      <c r="GY27">
        <v>26.808299999999999</v>
      </c>
      <c r="GZ27">
        <v>26.851600000000001</v>
      </c>
      <c r="HA27">
        <v>60.281500000000001</v>
      </c>
      <c r="HB27">
        <v>31.476099999999999</v>
      </c>
      <c r="HC27">
        <v>100</v>
      </c>
      <c r="HD27">
        <v>22.449200000000001</v>
      </c>
      <c r="HE27">
        <v>1500</v>
      </c>
      <c r="HF27">
        <v>15.8141</v>
      </c>
      <c r="HG27">
        <v>98.623099999999994</v>
      </c>
      <c r="HH27">
        <v>95.091300000000004</v>
      </c>
    </row>
    <row r="28" spans="1:216" x14ac:dyDescent="0.3">
      <c r="A28">
        <v>12</v>
      </c>
      <c r="B28">
        <v>1792114338.0999999</v>
      </c>
      <c r="C28">
        <v>1390.0999999046301</v>
      </c>
      <c r="D28" t="s">
        <v>376</v>
      </c>
      <c r="E28" t="s">
        <v>377</v>
      </c>
      <c r="F28">
        <v>5</v>
      </c>
      <c r="G28">
        <v>1792114329.5999999</v>
      </c>
      <c r="H28">
        <f t="shared" si="0"/>
        <v>3.9341003026645803E-3</v>
      </c>
      <c r="I28">
        <f t="shared" si="1"/>
        <v>3.9341003026645804</v>
      </c>
      <c r="J28">
        <f t="shared" si="2"/>
        <v>33.018918136401297</v>
      </c>
      <c r="K28">
        <f t="shared" si="3"/>
        <v>1783.99</v>
      </c>
      <c r="L28">
        <f t="shared" si="4"/>
        <v>1559.1982850539355</v>
      </c>
      <c r="M28">
        <f t="shared" si="5"/>
        <v>158.86490994413396</v>
      </c>
      <c r="N28">
        <f t="shared" si="6"/>
        <v>181.7686777929157</v>
      </c>
      <c r="O28">
        <f t="shared" si="7"/>
        <v>0.294776096850352</v>
      </c>
      <c r="P28">
        <f t="shared" si="8"/>
        <v>3.0408243906362262</v>
      </c>
      <c r="Q28">
        <f t="shared" si="9"/>
        <v>0.27977117190447881</v>
      </c>
      <c r="R28">
        <f t="shared" si="10"/>
        <v>0.17614144350448674</v>
      </c>
      <c r="S28">
        <f t="shared" si="11"/>
        <v>241.72540014057918</v>
      </c>
      <c r="T28">
        <f t="shared" si="12"/>
        <v>25.75387552294708</v>
      </c>
      <c r="U28">
        <f t="shared" si="13"/>
        <v>24.995337500000002</v>
      </c>
      <c r="V28">
        <f t="shared" si="14"/>
        <v>3.1787938295859743</v>
      </c>
      <c r="W28">
        <f t="shared" si="15"/>
        <v>54.805968465588847</v>
      </c>
      <c r="X28">
        <f t="shared" si="16"/>
        <v>1.7809195519717189</v>
      </c>
      <c r="Y28">
        <f t="shared" si="17"/>
        <v>3.2494992823453326</v>
      </c>
      <c r="Z28">
        <f t="shared" si="18"/>
        <v>1.3978742776142554</v>
      </c>
      <c r="AA28">
        <f t="shared" si="19"/>
        <v>-173.493823347508</v>
      </c>
      <c r="AB28">
        <f t="shared" si="20"/>
        <v>60.573669014700307</v>
      </c>
      <c r="AC28">
        <f t="shared" si="21"/>
        <v>4.2212377611669609</v>
      </c>
      <c r="AD28">
        <f t="shared" si="22"/>
        <v>133.02648356893846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54128.984116136133</v>
      </c>
      <c r="AJ28" t="s">
        <v>342</v>
      </c>
      <c r="AK28" t="s">
        <v>342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342</v>
      </c>
      <c r="AQ28" t="s">
        <v>342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1261.150912508072</v>
      </c>
      <c r="AW28">
        <f t="shared" si="29"/>
        <v>33.018918136401297</v>
      </c>
      <c r="AX28" t="e">
        <f t="shared" si="30"/>
        <v>#DIV/0!</v>
      </c>
      <c r="AY28">
        <f t="shared" si="31"/>
        <v>2.6181575740793796E-2</v>
      </c>
      <c r="AZ28" t="e">
        <f t="shared" si="32"/>
        <v>#DIV/0!</v>
      </c>
      <c r="BA28" t="e">
        <f t="shared" si="33"/>
        <v>#DIV/0!</v>
      </c>
      <c r="BB28" t="s">
        <v>342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1499.92875</v>
      </c>
      <c r="CU28">
        <f t="shared" si="43"/>
        <v>1261.150912508072</v>
      </c>
      <c r="CV28">
        <f t="shared" si="44"/>
        <v>0.84080721334801534</v>
      </c>
      <c r="CW28">
        <f t="shared" si="45"/>
        <v>0.16115792176166979</v>
      </c>
      <c r="CX28">
        <v>2</v>
      </c>
      <c r="CY28">
        <v>0.5</v>
      </c>
      <c r="CZ28" t="s">
        <v>343</v>
      </c>
      <c r="DA28">
        <v>2</v>
      </c>
      <c r="DB28">
        <v>1792114329.5999999</v>
      </c>
      <c r="DC28">
        <v>1783.99</v>
      </c>
      <c r="DD28">
        <v>1800.004375</v>
      </c>
      <c r="DE28">
        <v>17.479043749999999</v>
      </c>
      <c r="DF28">
        <v>15.9329625</v>
      </c>
      <c r="DG28">
        <v>1783.01</v>
      </c>
      <c r="DH28">
        <v>17.65765</v>
      </c>
      <c r="DI28">
        <v>500.01718749999998</v>
      </c>
      <c r="DJ28">
        <v>101.788875</v>
      </c>
      <c r="DK28">
        <v>9.9968431250000003E-2</v>
      </c>
      <c r="DL28">
        <v>25.364831250000002</v>
      </c>
      <c r="DM28">
        <v>24.995337500000002</v>
      </c>
      <c r="DN28">
        <v>999.9</v>
      </c>
      <c r="DO28">
        <v>0</v>
      </c>
      <c r="DP28">
        <v>0</v>
      </c>
      <c r="DQ28">
        <v>10002.106250000001</v>
      </c>
      <c r="DR28">
        <v>0</v>
      </c>
      <c r="DS28">
        <v>8.4136500000000005</v>
      </c>
      <c r="DT28">
        <v>1499.92875</v>
      </c>
      <c r="DU28">
        <v>0.97300368749999999</v>
      </c>
      <c r="DV28">
        <v>2.6996599999999999E-2</v>
      </c>
      <c r="DW28">
        <v>0</v>
      </c>
      <c r="DX28">
        <v>235.71418750000001</v>
      </c>
      <c r="DY28">
        <v>4.9999900000000004</v>
      </c>
      <c r="DZ28">
        <v>3498.9031249999998</v>
      </c>
      <c r="EA28">
        <v>14881.9</v>
      </c>
      <c r="EB28">
        <v>36.277250000000002</v>
      </c>
      <c r="EC28">
        <v>37.831874999999997</v>
      </c>
      <c r="ED28">
        <v>36.902250000000002</v>
      </c>
      <c r="EE28">
        <v>37.214687499999997</v>
      </c>
      <c r="EF28">
        <v>38.066249999999997</v>
      </c>
      <c r="EG28">
        <v>1454.57</v>
      </c>
      <c r="EH28">
        <v>40.358750000000001</v>
      </c>
      <c r="EI28">
        <v>0</v>
      </c>
      <c r="EJ28">
        <v>1792114338</v>
      </c>
      <c r="EK28">
        <v>0</v>
      </c>
      <c r="EL28">
        <v>235.74816000000001</v>
      </c>
      <c r="EM28">
        <v>-0.89246152133776901</v>
      </c>
      <c r="EN28">
        <v>18.6923076335089</v>
      </c>
      <c r="EO28">
        <v>3499.2828</v>
      </c>
      <c r="EP28">
        <v>15</v>
      </c>
      <c r="EQ28">
        <v>1792114272.0999999</v>
      </c>
      <c r="ER28" t="s">
        <v>378</v>
      </c>
      <c r="ES28">
        <v>1792114267.0999999</v>
      </c>
      <c r="ET28">
        <v>1792114272.0999999</v>
      </c>
      <c r="EU28">
        <v>13</v>
      </c>
      <c r="EV28">
        <v>-0.32400000000000001</v>
      </c>
      <c r="EW28">
        <v>3.0000000000000001E-3</v>
      </c>
      <c r="EX28">
        <v>1.014</v>
      </c>
      <c r="EY28">
        <v>-0.19900000000000001</v>
      </c>
      <c r="EZ28">
        <v>1800</v>
      </c>
      <c r="FA28">
        <v>16</v>
      </c>
      <c r="FB28">
        <v>0.13</v>
      </c>
      <c r="FC28">
        <v>0.04</v>
      </c>
      <c r="FD28">
        <v>32.986949039730199</v>
      </c>
      <c r="FE28">
        <v>-0.19023589163578999</v>
      </c>
      <c r="FF28">
        <v>0.180808299264479</v>
      </c>
      <c r="FG28">
        <v>1</v>
      </c>
      <c r="FH28">
        <v>-16.035409523809498</v>
      </c>
      <c r="FI28">
        <v>0.34671428571426999</v>
      </c>
      <c r="FJ28">
        <v>8.2121744146590403E-2</v>
      </c>
      <c r="FK28">
        <v>1</v>
      </c>
      <c r="FL28">
        <v>235.715411764706</v>
      </c>
      <c r="FM28">
        <v>-0.341420930838012</v>
      </c>
      <c r="FN28">
        <v>0.51970065578782498</v>
      </c>
      <c r="FO28">
        <v>-1</v>
      </c>
      <c r="FP28">
        <v>2</v>
      </c>
      <c r="FQ28">
        <v>2</v>
      </c>
      <c r="FR28" t="s">
        <v>345</v>
      </c>
      <c r="FS28">
        <v>100</v>
      </c>
      <c r="FT28">
        <v>100</v>
      </c>
      <c r="FU28">
        <v>0.97</v>
      </c>
      <c r="FV28">
        <v>-0.1789</v>
      </c>
      <c r="FW28">
        <v>-0.89897766238264598</v>
      </c>
      <c r="FX28">
        <v>-6.1673298426602905E-5</v>
      </c>
      <c r="FY28">
        <v>6.1939807181674203E-7</v>
      </c>
      <c r="FZ28">
        <v>3.19222985850634E-12</v>
      </c>
      <c r="GA28">
        <v>-9.9492702963952698E-2</v>
      </c>
      <c r="GB28">
        <v>-2.57783215012692E-2</v>
      </c>
      <c r="GC28">
        <v>1.33723821780375E-3</v>
      </c>
      <c r="GD28">
        <v>-7.42160749481374E-6</v>
      </c>
      <c r="GE28">
        <v>7</v>
      </c>
      <c r="GF28">
        <v>2154</v>
      </c>
      <c r="GG28">
        <v>2</v>
      </c>
      <c r="GH28">
        <v>20</v>
      </c>
      <c r="GI28">
        <v>1.2</v>
      </c>
      <c r="GJ28">
        <v>1.1000000000000001</v>
      </c>
      <c r="GK28">
        <v>3.4924300000000001</v>
      </c>
      <c r="GL28">
        <v>2.5744600000000002</v>
      </c>
      <c r="GM28">
        <v>1.65161</v>
      </c>
      <c r="GN28">
        <v>2.2888199999999999</v>
      </c>
      <c r="GO28">
        <v>1.5979000000000001</v>
      </c>
      <c r="GP28">
        <v>2.5415000000000001</v>
      </c>
      <c r="GQ28">
        <v>29.687000000000001</v>
      </c>
      <c r="GR28">
        <v>15.480399999999999</v>
      </c>
      <c r="GS28">
        <v>18</v>
      </c>
      <c r="GT28">
        <v>497.75299999999999</v>
      </c>
      <c r="GU28">
        <v>593.42700000000002</v>
      </c>
      <c r="GV28">
        <v>22.373000000000001</v>
      </c>
      <c r="GW28">
        <v>26.838100000000001</v>
      </c>
      <c r="GX28">
        <v>30.000299999999999</v>
      </c>
      <c r="GY28">
        <v>26.878799999999998</v>
      </c>
      <c r="GZ28">
        <v>26.9223</v>
      </c>
      <c r="HA28">
        <v>69.8078</v>
      </c>
      <c r="HB28">
        <v>30.479900000000001</v>
      </c>
      <c r="HC28">
        <v>99.303600000000003</v>
      </c>
      <c r="HD28">
        <v>22.375900000000001</v>
      </c>
      <c r="HE28">
        <v>1800</v>
      </c>
      <c r="HF28">
        <v>16.078700000000001</v>
      </c>
      <c r="HG28">
        <v>98.611999999999995</v>
      </c>
      <c r="HH28">
        <v>95.075500000000005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2026-10-16T10:33:01Z</dcterms:created>
  <dcterms:modified xsi:type="dcterms:W3CDTF">2026-10-17T10:03:20Z</dcterms:modified>
</cp:coreProperties>
</file>