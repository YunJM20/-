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6 lettuce yun/"/>
    </mc:Choice>
  </mc:AlternateContent>
  <xr:revisionPtr revIDLastSave="0" documentId="11_ACE07100667390DFC32FFB8D758BCD9604E09FC4" xr6:coauthVersionLast="47" xr6:coauthVersionMax="47" xr10:uidLastSave="{00000000-0000-0000-0000-000000000000}"/>
  <bookViews>
    <workbookView xWindow="780" yWindow="780" windowWidth="21600" windowHeight="111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5" i="1" l="1"/>
  <c r="CV25" i="1"/>
  <c r="CT25" i="1"/>
  <c r="BI25" i="1"/>
  <c r="BH25" i="1"/>
  <c r="AZ25" i="1"/>
  <c r="AT25" i="1"/>
  <c r="AN25" i="1"/>
  <c r="BA25" i="1" s="1"/>
  <c r="BD25" i="1" s="1"/>
  <c r="AI25" i="1"/>
  <c r="AG25" i="1" s="1"/>
  <c r="Y25" i="1"/>
  <c r="X25" i="1"/>
  <c r="W25" i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 s="1"/>
  <c r="Y24" i="1"/>
  <c r="X24" i="1"/>
  <c r="W24" i="1"/>
  <c r="P24" i="1"/>
  <c r="CW23" i="1"/>
  <c r="CV23" i="1"/>
  <c r="CT23" i="1"/>
  <c r="BI23" i="1"/>
  <c r="BH23" i="1"/>
  <c r="AZ23" i="1"/>
  <c r="AT23" i="1"/>
  <c r="AN23" i="1"/>
  <c r="BA23" i="1" s="1"/>
  <c r="BD23" i="1" s="1"/>
  <c r="AI23" i="1"/>
  <c r="AG23" i="1" s="1"/>
  <c r="Y23" i="1"/>
  <c r="X23" i="1"/>
  <c r="W23" i="1"/>
  <c r="P23" i="1"/>
  <c r="CW22" i="1"/>
  <c r="CV22" i="1"/>
  <c r="CT22" i="1"/>
  <c r="CU22" i="1" s="1"/>
  <c r="AV22" i="1" s="1"/>
  <c r="BI22" i="1"/>
  <c r="BH22" i="1"/>
  <c r="AZ22" i="1"/>
  <c r="AT22" i="1"/>
  <c r="AN22" i="1"/>
  <c r="BA22" i="1" s="1"/>
  <c r="BD22" i="1" s="1"/>
  <c r="AI22" i="1"/>
  <c r="AG22" i="1" s="1"/>
  <c r="Y22" i="1"/>
  <c r="X22" i="1"/>
  <c r="W22" i="1" s="1"/>
  <c r="S22" i="1"/>
  <c r="P22" i="1"/>
  <c r="CW21" i="1"/>
  <c r="CV21" i="1"/>
  <c r="CT21" i="1"/>
  <c r="BI21" i="1"/>
  <c r="BH21" i="1"/>
  <c r="AZ21" i="1"/>
  <c r="AT21" i="1"/>
  <c r="AN21" i="1"/>
  <c r="BA21" i="1" s="1"/>
  <c r="BD21" i="1" s="1"/>
  <c r="AI21" i="1"/>
  <c r="AG21" i="1" s="1"/>
  <c r="Y21" i="1"/>
  <c r="W21" i="1" s="1"/>
  <c r="X21" i="1"/>
  <c r="P21" i="1"/>
  <c r="CW20" i="1"/>
  <c r="S20" i="1" s="1"/>
  <c r="CV20" i="1"/>
  <c r="CT20" i="1"/>
  <c r="BI20" i="1"/>
  <c r="BH20" i="1"/>
  <c r="AZ20" i="1"/>
  <c r="AT20" i="1"/>
  <c r="AN20" i="1"/>
  <c r="BA20" i="1" s="1"/>
  <c r="BD20" i="1" s="1"/>
  <c r="AI20" i="1"/>
  <c r="AG20" i="1" s="1"/>
  <c r="Y20" i="1"/>
  <c r="X20" i="1"/>
  <c r="W20" i="1"/>
  <c r="P20" i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 s="1"/>
  <c r="Y19" i="1"/>
  <c r="W19" i="1" s="1"/>
  <c r="X19" i="1"/>
  <c r="P19" i="1"/>
  <c r="CW18" i="1"/>
  <c r="CV18" i="1"/>
  <c r="CT18" i="1"/>
  <c r="BI18" i="1"/>
  <c r="BH18" i="1"/>
  <c r="AZ18" i="1"/>
  <c r="AT18" i="1"/>
  <c r="AN18" i="1"/>
  <c r="BA18" i="1" s="1"/>
  <c r="BD18" i="1" s="1"/>
  <c r="AI18" i="1"/>
  <c r="AG18" i="1" s="1"/>
  <c r="Y18" i="1"/>
  <c r="W18" i="1" s="1"/>
  <c r="X18" i="1"/>
  <c r="S18" i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G17" i="1" s="1"/>
  <c r="Y17" i="1"/>
  <c r="X17" i="1"/>
  <c r="W17" i="1" s="1"/>
  <c r="P17" i="1"/>
  <c r="CU20" i="1" l="1"/>
  <c r="AV20" i="1" s="1"/>
  <c r="AX20" i="1" s="1"/>
  <c r="CU18" i="1"/>
  <c r="AV18" i="1" s="1"/>
  <c r="AX18" i="1" s="1"/>
  <c r="AX22" i="1"/>
  <c r="S17" i="1"/>
  <c r="T17" i="1" s="1"/>
  <c r="U17" i="1" s="1"/>
  <c r="CU17" i="1"/>
  <c r="AV17" i="1" s="1"/>
  <c r="AX17" i="1" s="1"/>
  <c r="I25" i="1"/>
  <c r="H25" i="1" s="1"/>
  <c r="J25" i="1"/>
  <c r="AW25" i="1" s="1"/>
  <c r="K25" i="1"/>
  <c r="N25" i="1"/>
  <c r="AH25" i="1"/>
  <c r="CU23" i="1"/>
  <c r="AV23" i="1" s="1"/>
  <c r="AX23" i="1" s="1"/>
  <c r="S23" i="1"/>
  <c r="T23" i="1" s="1"/>
  <c r="U23" i="1" s="1"/>
  <c r="I21" i="1"/>
  <c r="H21" i="1" s="1"/>
  <c r="AA21" i="1" s="1"/>
  <c r="J21" i="1"/>
  <c r="AW21" i="1" s="1"/>
  <c r="N21" i="1"/>
  <c r="K21" i="1"/>
  <c r="AH21" i="1"/>
  <c r="J20" i="1"/>
  <c r="AW20" i="1" s="1"/>
  <c r="AY20" i="1" s="1"/>
  <c r="N20" i="1"/>
  <c r="I20" i="1"/>
  <c r="H20" i="1" s="1"/>
  <c r="K20" i="1"/>
  <c r="AH20" i="1"/>
  <c r="S25" i="1"/>
  <c r="CU25" i="1"/>
  <c r="AV25" i="1" s="1"/>
  <c r="BE25" i="1"/>
  <c r="BF25" i="1"/>
  <c r="BJ25" i="1" s="1"/>
  <c r="BK25" i="1" s="1"/>
  <c r="BG25" i="1"/>
  <c r="AA25" i="1"/>
  <c r="S24" i="1"/>
  <c r="CU24" i="1"/>
  <c r="AV24" i="1" s="1"/>
  <c r="AX24" i="1" s="1"/>
  <c r="BE24" i="1"/>
  <c r="BF24" i="1"/>
  <c r="BJ24" i="1" s="1"/>
  <c r="BK24" i="1" s="1"/>
  <c r="BG24" i="1"/>
  <c r="AH24" i="1"/>
  <c r="I24" i="1"/>
  <c r="H24" i="1" s="1"/>
  <c r="J24" i="1"/>
  <c r="AW24" i="1" s="1"/>
  <c r="K24" i="1"/>
  <c r="N24" i="1"/>
  <c r="BE23" i="1"/>
  <c r="BF23" i="1"/>
  <c r="BJ23" i="1" s="1"/>
  <c r="BK23" i="1" s="1"/>
  <c r="BG23" i="1"/>
  <c r="AH23" i="1"/>
  <c r="I23" i="1"/>
  <c r="H23" i="1" s="1"/>
  <c r="J23" i="1"/>
  <c r="AW23" i="1" s="1"/>
  <c r="AY23" i="1" s="1"/>
  <c r="K23" i="1"/>
  <c r="N23" i="1"/>
  <c r="BE22" i="1"/>
  <c r="BF22" i="1"/>
  <c r="BJ22" i="1" s="1"/>
  <c r="BK22" i="1" s="1"/>
  <c r="BG22" i="1"/>
  <c r="AH22" i="1"/>
  <c r="I22" i="1"/>
  <c r="H22" i="1" s="1"/>
  <c r="T22" i="1" s="1"/>
  <c r="U22" i="1" s="1"/>
  <c r="J22" i="1"/>
  <c r="AW22" i="1" s="1"/>
  <c r="AY22" i="1" s="1"/>
  <c r="K22" i="1"/>
  <c r="N22" i="1"/>
  <c r="CU21" i="1"/>
  <c r="AV21" i="1" s="1"/>
  <c r="S21" i="1"/>
  <c r="BE21" i="1"/>
  <c r="BF21" i="1"/>
  <c r="BJ21" i="1" s="1"/>
  <c r="BK21" i="1" s="1"/>
  <c r="BG21" i="1"/>
  <c r="BE20" i="1"/>
  <c r="BF20" i="1"/>
  <c r="BJ20" i="1" s="1"/>
  <c r="BK20" i="1" s="1"/>
  <c r="BG20" i="1"/>
  <c r="CU19" i="1"/>
  <c r="AV19" i="1" s="1"/>
  <c r="AX19" i="1" s="1"/>
  <c r="S19" i="1"/>
  <c r="BE19" i="1"/>
  <c r="BF19" i="1"/>
  <c r="BJ19" i="1" s="1"/>
  <c r="BK19" i="1" s="1"/>
  <c r="BG19" i="1"/>
  <c r="AH19" i="1"/>
  <c r="I19" i="1"/>
  <c r="H19" i="1" s="1"/>
  <c r="J19" i="1"/>
  <c r="AW19" i="1" s="1"/>
  <c r="AY19" i="1" s="1"/>
  <c r="K19" i="1"/>
  <c r="N19" i="1"/>
  <c r="BE18" i="1"/>
  <c r="BF18" i="1"/>
  <c r="BJ18" i="1" s="1"/>
  <c r="BK18" i="1" s="1"/>
  <c r="BG18" i="1"/>
  <c r="AH18" i="1"/>
  <c r="I18" i="1"/>
  <c r="H18" i="1" s="1"/>
  <c r="T18" i="1" s="1"/>
  <c r="U18" i="1" s="1"/>
  <c r="J18" i="1"/>
  <c r="AW18" i="1" s="1"/>
  <c r="K18" i="1"/>
  <c r="N18" i="1"/>
  <c r="BE17" i="1"/>
  <c r="BF17" i="1"/>
  <c r="BJ17" i="1" s="1"/>
  <c r="BK17" i="1" s="1"/>
  <c r="BG17" i="1"/>
  <c r="AH17" i="1"/>
  <c r="I17" i="1"/>
  <c r="H17" i="1" s="1"/>
  <c r="J17" i="1"/>
  <c r="AW17" i="1" s="1"/>
  <c r="K17" i="1"/>
  <c r="N17" i="1"/>
  <c r="AY17" i="1" l="1"/>
  <c r="AY18" i="1"/>
  <c r="AA20" i="1"/>
  <c r="Q20" i="1"/>
  <c r="O20" i="1" s="1"/>
  <c r="R20" i="1" s="1"/>
  <c r="L20" i="1" s="1"/>
  <c r="M20" i="1" s="1"/>
  <c r="T20" i="1"/>
  <c r="U20" i="1" s="1"/>
  <c r="T25" i="1"/>
  <c r="U25" i="1" s="1"/>
  <c r="AX25" i="1"/>
  <c r="AY25" i="1"/>
  <c r="T24" i="1"/>
  <c r="U24" i="1" s="1"/>
  <c r="Q24" i="1"/>
  <c r="O24" i="1" s="1"/>
  <c r="R24" i="1" s="1"/>
  <c r="L24" i="1" s="1"/>
  <c r="M24" i="1" s="1"/>
  <c r="AA24" i="1"/>
  <c r="Q23" i="1"/>
  <c r="O23" i="1" s="1"/>
  <c r="R23" i="1" s="1"/>
  <c r="L23" i="1" s="1"/>
  <c r="M23" i="1" s="1"/>
  <c r="AA23" i="1"/>
  <c r="AB23" i="1"/>
  <c r="V23" i="1"/>
  <c r="Z23" i="1" s="1"/>
  <c r="AC23" i="1"/>
  <c r="AD23" i="1" s="1"/>
  <c r="Q22" i="1"/>
  <c r="O22" i="1" s="1"/>
  <c r="R22" i="1" s="1"/>
  <c r="L22" i="1" s="1"/>
  <c r="M22" i="1" s="1"/>
  <c r="AA22" i="1"/>
  <c r="AB22" i="1"/>
  <c r="V22" i="1"/>
  <c r="Z22" i="1" s="1"/>
  <c r="AC22" i="1"/>
  <c r="AD22" i="1" s="1"/>
  <c r="AY21" i="1"/>
  <c r="AX21" i="1"/>
  <c r="T21" i="1"/>
  <c r="U21" i="1" s="1"/>
  <c r="AB20" i="1"/>
  <c r="V20" i="1"/>
  <c r="Z20" i="1" s="1"/>
  <c r="AC20" i="1"/>
  <c r="T19" i="1"/>
  <c r="U19" i="1" s="1"/>
  <c r="AA19" i="1"/>
  <c r="Q19" i="1"/>
  <c r="O19" i="1" s="1"/>
  <c r="R19" i="1" s="1"/>
  <c r="L19" i="1" s="1"/>
  <c r="M19" i="1" s="1"/>
  <c r="Q18" i="1"/>
  <c r="O18" i="1" s="1"/>
  <c r="R18" i="1" s="1"/>
  <c r="L18" i="1" s="1"/>
  <c r="M18" i="1" s="1"/>
  <c r="AA18" i="1"/>
  <c r="AB18" i="1"/>
  <c r="V18" i="1"/>
  <c r="Z18" i="1" s="1"/>
  <c r="AC18" i="1"/>
  <c r="AB17" i="1"/>
  <c r="V17" i="1"/>
  <c r="Z17" i="1" s="1"/>
  <c r="AC17" i="1"/>
  <c r="Q17" i="1"/>
  <c r="O17" i="1" s="1"/>
  <c r="R17" i="1" s="1"/>
  <c r="L17" i="1" s="1"/>
  <c r="M17" i="1" s="1"/>
  <c r="AA17" i="1"/>
  <c r="AY24" i="1"/>
  <c r="AD18" i="1" l="1"/>
  <c r="AD17" i="1"/>
  <c r="Q25" i="1"/>
  <c r="O25" i="1" s="1"/>
  <c r="R25" i="1" s="1"/>
  <c r="L25" i="1" s="1"/>
  <c r="M25" i="1" s="1"/>
  <c r="AB25" i="1"/>
  <c r="V25" i="1"/>
  <c r="Z25" i="1" s="1"/>
  <c r="AC25" i="1"/>
  <c r="AD25" i="1" s="1"/>
  <c r="V24" i="1"/>
  <c r="Z24" i="1" s="1"/>
  <c r="AB24" i="1"/>
  <c r="AC24" i="1"/>
  <c r="AD24" i="1" s="1"/>
  <c r="Q21" i="1"/>
  <c r="O21" i="1" s="1"/>
  <c r="R21" i="1" s="1"/>
  <c r="L21" i="1" s="1"/>
  <c r="M21" i="1" s="1"/>
  <c r="AB21" i="1"/>
  <c r="V21" i="1"/>
  <c r="Z21" i="1" s="1"/>
  <c r="AC21" i="1"/>
  <c r="AD21" i="1" s="1"/>
  <c r="AB19" i="1"/>
  <c r="V19" i="1"/>
  <c r="Z19" i="1" s="1"/>
  <c r="AC19" i="1"/>
  <c r="AD20" i="1"/>
  <c r="AD19" i="1" l="1"/>
</calcChain>
</file>

<file path=xl/sharedStrings.xml><?xml version="1.0" encoding="utf-8"?>
<sst xmlns="http://schemas.openxmlformats.org/spreadsheetml/2006/main" count="971" uniqueCount="452">
  <si>
    <t>File opened</t>
  </si>
  <si>
    <t>2026-10-16 12:05:26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</si>
  <si>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</si>
  <si>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</si>
  <si>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</si>
  <si>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</si>
  <si>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</si>
  <si>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</si>
  <si>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</si>
  <si>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</si>
  <si>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</si>
  <si>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</si>
  <si>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</si>
  <si>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{"h2obspan2": "0", "h2obspan2b": "0.111633", "co2bspan1": "0.993892", "flowbzero": "0.27399", "h2oaspan1": "1.0301", "co2aspan2b": "0.0924399", "co2bspan2a": "0.0952815", "flowazero": "0.316", "co2aspan2a": "0.0929659", "h2obspanconc2": "0", "co2aspanconc2": "1516", "flowmeterzero": "2.5072", "oxygen": "21", "h2obzero": "1.13925", "co2bspanconc2": "1516", "tazero": "0.0951138", "h2obspanconc1": "21.96", "co2aspanconc1": "437.6", "h2obspan1": "0.995823", "h2oaspan2b": "0.111609", "co2bspan2b": "0.0947811", "h2oaspan2": "0", "co2bzero": "1.02053", "ssb_ref": "37478.9", "co2azero": "1.16194", "tbzero": "0.145187", "co2bspanconc1": "437.6", "h2oaspanconc2": "0", "h2obspan2a": "0.112101", "co2aspan1": "0.99333", "ssa_ref": "32366.8", "co2aspan2": "0.0108874", "h2oaspanconc1": "21.96", "chamberpressurezero": "2.61687", "h2oaspan2a": "0.108347", "co2bspan2": "0.00898303", "h2oazero": "1.14957"}</t>
  </si>
  <si>
    <t>Factory cal date</t>
  </si>
  <si>
    <t>04 Oct 2022</t>
  </si>
  <si>
    <t>CO2 rangematch</t>
  </si>
  <si>
    <t>Fri Oct 16 09:52</t>
  </si>
  <si>
    <t>H2O rangematch</t>
  </si>
  <si>
    <t>Fri Oct 16 09:57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</si>
  <si>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</si>
  <si>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</si>
  <si>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</si>
  <si>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</si>
  <si>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</si>
  <si>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</si>
  <si>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</si>
  <si>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</si>
  <si>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</si>
  <si>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12:05:26</t>
  </si>
  <si>
    <t>Stability Definition:	F (FlrLS): Per=20	A (GasEx): Slp&lt;0.6 Per=20	ΔCO2 (Meas2): Slp&lt;0.5 Per=20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</si>
  <si>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</si>
  <si>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</si>
  <si>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</si>
  <si>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</si>
  <si>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</si>
  <si>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</si>
  <si>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</si>
  <si>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</si>
  <si>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</si>
  <si>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</si>
  <si>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</si>
  <si>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</si>
  <si>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</si>
  <si>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</si>
  <si>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</si>
  <si>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</si>
  <si>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</si>
  <si>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</si>
  <si>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</si>
  <si>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</si>
  <si>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</si>
  <si>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</si>
  <si>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</si>
  <si>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</si>
  <si>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</si>
  <si>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</si>
  <si>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</si>
  <si>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</si>
  <si>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</si>
  <si>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</si>
  <si>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</si>
  <si>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</si>
  <si>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</si>
  <si>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</si>
  <si>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</si>
  <si>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</si>
  <si>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</si>
  <si>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</si>
  <si>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</si>
  <si>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</si>
  <si>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</si>
  <si>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</si>
  <si>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</si>
  <si>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</si>
  <si>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</si>
  <si>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</si>
  <si>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</si>
  <si>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</si>
  <si>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</si>
  <si>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</si>
  <si>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</si>
  <si>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3.7403 210.264 340.143 564.427 861.476 1067.11 1236.59 1344.05</t>
  </si>
  <si>
    <t>Fs_true</t>
  </si>
  <si>
    <t>-1.38018 242.716 375.819 575.847 815.073 1001.33 1204.46 1400.84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</si>
  <si>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</si>
  <si>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</si>
  <si>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</si>
  <si>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</si>
  <si>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</si>
  <si>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</si>
  <si>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</si>
  <si>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</si>
  <si>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</si>
  <si>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</si>
  <si>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</si>
  <si>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</si>
  <si>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</si>
  <si>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</si>
  <si>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</si>
  <si>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</si>
  <si>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</si>
  <si>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</si>
  <si>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</si>
  <si>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</si>
  <si>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</si>
  <si>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</si>
  <si>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</si>
  <si>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</si>
  <si>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</si>
  <si>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</si>
  <si>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</si>
  <si>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</si>
  <si>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</si>
  <si>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</si>
  <si>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</si>
  <si>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</si>
  <si>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</si>
  <si>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</si>
  <si>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</si>
  <si>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</si>
  <si>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</si>
  <si>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</si>
  <si>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</si>
  <si>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</si>
  <si>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</si>
  <si>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</si>
  <si>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</si>
  <si>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</si>
  <si>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</si>
  <si>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</si>
  <si>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</si>
  <si>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</si>
  <si>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</si>
  <si>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</si>
  <si>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</si>
  <si>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</si>
  <si>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</si>
  <si>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</si>
  <si>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</si>
  <si>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</si>
  <si>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</si>
  <si>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</si>
  <si>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</si>
  <si>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</si>
  <si>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</si>
  <si>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</si>
  <si>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</si>
  <si>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</si>
  <si>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</si>
  <si>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</si>
  <si>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</si>
  <si>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</si>
  <si>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</si>
  <si>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</si>
  <si>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</si>
  <si>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</si>
  <si>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</si>
  <si>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</si>
  <si>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</si>
  <si>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</si>
  <si>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</si>
  <si>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</si>
  <si>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</si>
  <si>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</si>
  <si>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</si>
  <si>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</si>
  <si>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</si>
  <si>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</si>
  <si>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</si>
  <si>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</si>
  <si>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</si>
  <si>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</si>
  <si>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</si>
  <si>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</si>
  <si>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</si>
  <si>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</si>
  <si>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</si>
  <si>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</si>
  <si>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</si>
  <si>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</si>
  <si>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</si>
  <si>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</si>
  <si>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</si>
  <si>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</si>
  <si>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</si>
  <si>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</si>
  <si>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</si>
  <si>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</si>
  <si>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</si>
  <si>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</si>
  <si>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</si>
  <si>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</si>
  <si>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</si>
  <si>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</si>
  <si>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</si>
  <si>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</si>
  <si>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</si>
  <si>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</si>
  <si>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</si>
  <si>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</si>
  <si>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</si>
  <si>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</si>
  <si>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</si>
  <si>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</si>
  <si>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</si>
  <si>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</si>
  <si>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</si>
  <si>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</si>
  <si>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</si>
  <si>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</si>
  <si>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</si>
  <si>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</si>
  <si>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</si>
  <si>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</si>
  <si>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</si>
  <si>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</si>
  <si>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</si>
  <si>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</si>
  <si>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</si>
  <si>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</si>
  <si>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</si>
  <si>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</si>
  <si>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</si>
  <si>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</si>
  <si>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</si>
  <si>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</si>
  <si>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</si>
  <si>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</si>
  <si>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</si>
  <si>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</si>
  <si>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</si>
  <si>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</si>
  <si>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</si>
  <si>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</si>
  <si>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</si>
  <si>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</si>
  <si>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</si>
  <si>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</si>
  <si>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</si>
  <si>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</si>
  <si>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</si>
  <si>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</si>
  <si>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</si>
  <si>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</si>
  <si>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</si>
  <si>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</si>
  <si>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</si>
  <si>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</si>
  <si>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</si>
  <si>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</si>
  <si>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</si>
  <si>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</si>
  <si>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</si>
  <si>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</si>
  <si>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</si>
  <si>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</si>
  <si>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</si>
  <si>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</si>
  <si>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</si>
  <si>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</si>
  <si>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</si>
  <si>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</si>
  <si>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</si>
  <si>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</si>
  <si>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</si>
  <si>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</si>
  <si>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</si>
  <si>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</si>
  <si>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</si>
  <si>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</si>
  <si>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</si>
  <si>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</si>
  <si>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</si>
  <si>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</si>
  <si>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</si>
  <si>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</si>
  <si>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</si>
  <si>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</si>
  <si>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</si>
  <si>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</si>
  <si>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</si>
  <si>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</si>
  <si>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</si>
  <si>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</si>
  <si>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</si>
  <si>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</si>
  <si>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</si>
  <si>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</si>
  <si>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</si>
  <si>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</si>
  <si>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</si>
  <si>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</si>
  <si>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</si>
  <si>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</si>
  <si>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</si>
  <si>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</si>
  <si>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</si>
  <si>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</si>
  <si>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</si>
  <si>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</si>
  <si>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</si>
  <si>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</si>
  <si>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</si>
  <si>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</si>
  <si>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</si>
  <si>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</si>
  <si>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</si>
  <si>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</si>
  <si>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</si>
  <si>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</si>
  <si>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</si>
  <si>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</si>
  <si>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</si>
  <si>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</si>
  <si>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</si>
  <si>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</si>
  <si>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</si>
  <si>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CO2_hrs</t>
  </si>
  <si>
    <t>AccH2O_hum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</si>
  <si>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</si>
  <si>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</si>
  <si>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</si>
  <si>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</si>
  <si>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</si>
  <si>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</si>
  <si>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</si>
  <si>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</si>
  <si>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</si>
  <si>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</si>
  <si>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</si>
  <si>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</si>
  <si>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</si>
  <si>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</si>
  <si>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</si>
  <si>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</si>
  <si>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</si>
  <si>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</si>
  <si>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</si>
  <si>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</si>
  <si>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</si>
  <si>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</si>
  <si>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</si>
  <si>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</si>
  <si>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</si>
  <si>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</si>
  <si>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</si>
  <si>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</si>
  <si>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</si>
  <si>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</si>
  <si>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</si>
  <si>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</si>
  <si>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</si>
  <si>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</si>
  <si>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</si>
  <si>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</si>
  <si>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</si>
  <si>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</si>
  <si>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</si>
  <si>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</si>
  <si>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</si>
  <si>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</si>
  <si>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</si>
  <si>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</si>
  <si>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</si>
  <si>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</si>
  <si>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</si>
  <si>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</si>
  <si>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</si>
  <si>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</si>
  <si>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</si>
  <si>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</si>
  <si>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</si>
  <si>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</si>
  <si>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</si>
  <si>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</si>
  <si>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</si>
  <si>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</si>
  <si>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</si>
  <si>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</si>
  <si>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</si>
  <si>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</si>
  <si>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</si>
  <si>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</si>
  <si>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</si>
  <si>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</si>
  <si>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</si>
  <si>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</si>
  <si>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</si>
  <si>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</si>
  <si>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</si>
  <si>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</si>
  <si>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</si>
  <si>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</si>
  <si>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</si>
  <si>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</si>
  <si>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</si>
  <si>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</si>
  <si>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</si>
  <si>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</si>
  <si>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</si>
  <si>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</si>
  <si>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</si>
  <si>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</si>
  <si>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</si>
  <si>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</si>
  <si>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</si>
  <si>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</si>
  <si>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</si>
  <si>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</si>
  <si>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mg</t>
  </si>
  <si>
    <t>hrs</t>
  </si>
  <si>
    <t>min</t>
  </si>
  <si>
    <t>20261016 12:18:18</t>
  </si>
  <si>
    <t>12:18:18</t>
  </si>
  <si>
    <t>MPF-1093-20261016-11_04_17</t>
  </si>
  <si>
    <t>MPF-1094-20261016-12_18_22</t>
  </si>
  <si>
    <t>-</t>
  </si>
  <si>
    <t>0: Broadleaf</t>
  </si>
  <si>
    <t>12:04:43</t>
  </si>
  <si>
    <t>2/2</t>
  </si>
  <si>
    <t>11111111</t>
  </si>
  <si>
    <t>oooooooo</t>
  </si>
  <si>
    <t>on</t>
  </si>
  <si>
    <t>20261016 12:20:22</t>
  </si>
  <si>
    <t>12:20:22</t>
  </si>
  <si>
    <t>MPF-1095-20261016-12_20_25</t>
  </si>
  <si>
    <t>20261016 12:22:37</t>
  </si>
  <si>
    <t>12:22:37</t>
  </si>
  <si>
    <t>MPF-1096-20261016-12_22_40</t>
  </si>
  <si>
    <t>20261016 12:24:42</t>
  </si>
  <si>
    <t>12:24:42</t>
  </si>
  <si>
    <t>MPF-1097-20261016-12_24_45</t>
  </si>
  <si>
    <t>20261016 12:26:45</t>
  </si>
  <si>
    <t>12:26:45</t>
  </si>
  <si>
    <t>MPF-1098-20261016-12_26_48</t>
  </si>
  <si>
    <t>20261016 12:28:48</t>
  </si>
  <si>
    <t>12:28:48</t>
  </si>
  <si>
    <t>MPF-1099-20261016-12_28_51</t>
  </si>
  <si>
    <t>12:27:59</t>
  </si>
  <si>
    <t>20261016 12:30:57</t>
  </si>
  <si>
    <t>12:30:57</t>
  </si>
  <si>
    <t>MPF-1100-20261016-12_31_00</t>
  </si>
  <si>
    <t>12:30:05</t>
  </si>
  <si>
    <t>20261016 12:33:01</t>
  </si>
  <si>
    <t>12:33:01</t>
  </si>
  <si>
    <t>MPF-1101-20261016-12_33_04</t>
  </si>
  <si>
    <t>12:32:17</t>
  </si>
  <si>
    <t>20261016 12:35:14</t>
  </si>
  <si>
    <t>12:35:14</t>
  </si>
  <si>
    <t>MPF-1102-20261016-12_35_18</t>
  </si>
  <si>
    <t>12:34:14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</si>
</sst>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V25"/>
  <sheetViews>
    <sheetView tabSelected="1" workbookViewId="0"/>
  </sheetViews>
  <sheetFormatPr defaultRowHeight="16.5" x14ac:dyDescent="0.3"/>
  <sheetData>
    <row r="2" spans="1:282" x14ac:dyDescent="0.3">
      <c r="A2" t="s">
        <v>31</v>
      </c>
      <c r="B2" t="s">
        <v>32</v>
      </c>
      <c r="C2" t="s">
        <v>33</v>
      </c>
    </row>
    <row r="3" spans="1:282" x14ac:dyDescent="0.3">
      <c r="B3">
        <v>4</v>
      </c>
      <c r="C3">
        <v>21</v>
      </c>
    </row>
    <row r="4" spans="1:282" x14ac:dyDescent="0.3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82" x14ac:dyDescent="0.3">
      <c r="B5" t="s">
        <v>21</v>
      </c>
      <c r="C5" t="s">
        <v>37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82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82" x14ac:dyDescent="0.3">
      <c r="B7">
        <v>0</v>
      </c>
      <c r="C7">
        <v>1</v>
      </c>
      <c r="D7">
        <v>0</v>
      </c>
      <c r="E7">
        <v>0</v>
      </c>
    </row>
    <row r="8" spans="1:282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82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2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82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82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82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0</v>
      </c>
    </row>
    <row r="14" spans="1:282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88</v>
      </c>
      <c r="AF14" t="s">
        <v>88</v>
      </c>
      <c r="AG14" t="s">
        <v>88</v>
      </c>
      <c r="AH14" t="s">
        <v>88</v>
      </c>
      <c r="AI14" t="s">
        <v>88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91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92</v>
      </c>
      <c r="CU14" t="s">
        <v>92</v>
      </c>
      <c r="CV14" t="s">
        <v>92</v>
      </c>
      <c r="CW14" t="s">
        <v>92</v>
      </c>
      <c r="CX14" t="s">
        <v>93</v>
      </c>
      <c r="CY14" t="s">
        <v>93</v>
      </c>
      <c r="CZ14" t="s">
        <v>93</v>
      </c>
      <c r="DA14" t="s">
        <v>93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97</v>
      </c>
      <c r="EW14" t="s">
        <v>97</v>
      </c>
      <c r="EX14" t="s">
        <v>97</v>
      </c>
      <c r="EY14" t="s">
        <v>97</v>
      </c>
      <c r="EZ14" t="s">
        <v>97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100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101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102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103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104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  <c r="JV14" t="s">
        <v>105</v>
      </c>
    </row>
    <row r="15" spans="1:282" x14ac:dyDescent="0.3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88</v>
      </c>
      <c r="AF15" t="s">
        <v>136</v>
      </c>
      <c r="AG15" t="s">
        <v>137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168</v>
      </c>
      <c r="CH15" t="s">
        <v>189</v>
      </c>
      <c r="CI15" t="s">
        <v>190</v>
      </c>
      <c r="CJ15" t="s">
        <v>191</v>
      </c>
      <c r="CK15" t="s">
        <v>142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112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107</v>
      </c>
      <c r="FB15" t="s">
        <v>110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  <c r="JV15" t="s">
        <v>381</v>
      </c>
    </row>
    <row r="16" spans="1:282" x14ac:dyDescent="0.3">
      <c r="B16" t="s">
        <v>382</v>
      </c>
      <c r="C16" t="s">
        <v>382</v>
      </c>
      <c r="F16" t="s">
        <v>382</v>
      </c>
      <c r="G16" t="s">
        <v>382</v>
      </c>
      <c r="H16" t="s">
        <v>383</v>
      </c>
      <c r="I16" t="s">
        <v>384</v>
      </c>
      <c r="J16" t="s">
        <v>385</v>
      </c>
      <c r="K16" t="s">
        <v>386</v>
      </c>
      <c r="L16" t="s">
        <v>386</v>
      </c>
      <c r="M16" t="s">
        <v>215</v>
      </c>
      <c r="N16" t="s">
        <v>215</v>
      </c>
      <c r="O16" t="s">
        <v>383</v>
      </c>
      <c r="P16" t="s">
        <v>383</v>
      </c>
      <c r="Q16" t="s">
        <v>383</v>
      </c>
      <c r="R16" t="s">
        <v>383</v>
      </c>
      <c r="S16" t="s">
        <v>387</v>
      </c>
      <c r="T16" t="s">
        <v>388</v>
      </c>
      <c r="U16" t="s">
        <v>388</v>
      </c>
      <c r="V16" t="s">
        <v>389</v>
      </c>
      <c r="W16" t="s">
        <v>390</v>
      </c>
      <c r="X16" t="s">
        <v>389</v>
      </c>
      <c r="Y16" t="s">
        <v>389</v>
      </c>
      <c r="Z16" t="s">
        <v>389</v>
      </c>
      <c r="AA16" t="s">
        <v>387</v>
      </c>
      <c r="AB16" t="s">
        <v>387</v>
      </c>
      <c r="AC16" t="s">
        <v>387</v>
      </c>
      <c r="AD16" t="s">
        <v>387</v>
      </c>
      <c r="AE16" t="s">
        <v>391</v>
      </c>
      <c r="AF16" t="s">
        <v>390</v>
      </c>
      <c r="AH16" t="s">
        <v>390</v>
      </c>
      <c r="AI16" t="s">
        <v>391</v>
      </c>
      <c r="AO16" t="s">
        <v>385</v>
      </c>
      <c r="AV16" t="s">
        <v>385</v>
      </c>
      <c r="AW16" t="s">
        <v>385</v>
      </c>
      <c r="AX16" t="s">
        <v>385</v>
      </c>
      <c r="AY16" t="s">
        <v>392</v>
      </c>
      <c r="BM16" t="s">
        <v>393</v>
      </c>
      <c r="BO16" t="s">
        <v>393</v>
      </c>
      <c r="BP16" t="s">
        <v>385</v>
      </c>
      <c r="BS16" t="s">
        <v>393</v>
      </c>
      <c r="BT16" t="s">
        <v>390</v>
      </c>
      <c r="BW16" t="s">
        <v>394</v>
      </c>
      <c r="BX16" t="s">
        <v>394</v>
      </c>
      <c r="BZ16" t="s">
        <v>395</v>
      </c>
      <c r="CA16" t="s">
        <v>393</v>
      </c>
      <c r="CC16" t="s">
        <v>393</v>
      </c>
      <c r="CD16" t="s">
        <v>385</v>
      </c>
      <c r="CH16" t="s">
        <v>393</v>
      </c>
      <c r="CJ16" t="s">
        <v>396</v>
      </c>
      <c r="CM16" t="s">
        <v>393</v>
      </c>
      <c r="CN16" t="s">
        <v>393</v>
      </c>
      <c r="CP16" t="s">
        <v>393</v>
      </c>
      <c r="CR16" t="s">
        <v>393</v>
      </c>
      <c r="CT16" t="s">
        <v>385</v>
      </c>
      <c r="CU16" t="s">
        <v>385</v>
      </c>
      <c r="CW16" t="s">
        <v>397</v>
      </c>
      <c r="CX16" t="s">
        <v>398</v>
      </c>
      <c r="DA16" t="s">
        <v>383</v>
      </c>
      <c r="DB16" t="s">
        <v>382</v>
      </c>
      <c r="DC16" t="s">
        <v>386</v>
      </c>
      <c r="DD16" t="s">
        <v>386</v>
      </c>
      <c r="DE16" t="s">
        <v>399</v>
      </c>
      <c r="DF16" t="s">
        <v>399</v>
      </c>
      <c r="DG16" t="s">
        <v>386</v>
      </c>
      <c r="DH16" t="s">
        <v>399</v>
      </c>
      <c r="DI16" t="s">
        <v>391</v>
      </c>
      <c r="DJ16" t="s">
        <v>389</v>
      </c>
      <c r="DK16" t="s">
        <v>389</v>
      </c>
      <c r="DL16" t="s">
        <v>388</v>
      </c>
      <c r="DM16" t="s">
        <v>388</v>
      </c>
      <c r="DN16" t="s">
        <v>388</v>
      </c>
      <c r="DO16" t="s">
        <v>388</v>
      </c>
      <c r="DP16" t="s">
        <v>388</v>
      </c>
      <c r="DQ16" t="s">
        <v>400</v>
      </c>
      <c r="DR16" t="s">
        <v>385</v>
      </c>
      <c r="DS16" t="s">
        <v>385</v>
      </c>
      <c r="DT16" t="s">
        <v>386</v>
      </c>
      <c r="DU16" t="s">
        <v>386</v>
      </c>
      <c r="DV16" t="s">
        <v>386</v>
      </c>
      <c r="DW16" t="s">
        <v>399</v>
      </c>
      <c r="DX16" t="s">
        <v>386</v>
      </c>
      <c r="DY16" t="s">
        <v>399</v>
      </c>
      <c r="DZ16" t="s">
        <v>389</v>
      </c>
      <c r="EA16" t="s">
        <v>389</v>
      </c>
      <c r="EB16" t="s">
        <v>388</v>
      </c>
      <c r="EC16" t="s">
        <v>388</v>
      </c>
      <c r="ED16" t="s">
        <v>385</v>
      </c>
      <c r="EI16" t="s">
        <v>385</v>
      </c>
      <c r="EL16" t="s">
        <v>388</v>
      </c>
      <c r="EM16" t="s">
        <v>388</v>
      </c>
      <c r="EN16" t="s">
        <v>388</v>
      </c>
      <c r="EO16" t="s">
        <v>388</v>
      </c>
      <c r="EP16" t="s">
        <v>388</v>
      </c>
      <c r="EQ16" t="s">
        <v>385</v>
      </c>
      <c r="ER16" t="s">
        <v>385</v>
      </c>
      <c r="ES16" t="s">
        <v>385</v>
      </c>
      <c r="ET16" t="s">
        <v>382</v>
      </c>
      <c r="EW16" t="s">
        <v>401</v>
      </c>
      <c r="EX16" t="s">
        <v>401</v>
      </c>
      <c r="EZ16" t="s">
        <v>382</v>
      </c>
      <c r="FA16" t="s">
        <v>402</v>
      </c>
      <c r="FC16" t="s">
        <v>382</v>
      </c>
      <c r="FD16" t="s">
        <v>382</v>
      </c>
      <c r="FF16" t="s">
        <v>403</v>
      </c>
      <c r="FG16" t="s">
        <v>404</v>
      </c>
      <c r="FH16" t="s">
        <v>403</v>
      </c>
      <c r="FI16" t="s">
        <v>404</v>
      </c>
      <c r="FJ16" t="s">
        <v>403</v>
      </c>
      <c r="FK16" t="s">
        <v>404</v>
      </c>
      <c r="FL16" t="s">
        <v>390</v>
      </c>
      <c r="FM16" t="s">
        <v>390</v>
      </c>
      <c r="FN16" t="s">
        <v>385</v>
      </c>
      <c r="FO16" t="s">
        <v>405</v>
      </c>
      <c r="FP16" t="s">
        <v>385</v>
      </c>
      <c r="FR16" t="s">
        <v>386</v>
      </c>
      <c r="FS16" t="s">
        <v>406</v>
      </c>
      <c r="FT16" t="s">
        <v>386</v>
      </c>
      <c r="FW16" t="s">
        <v>407</v>
      </c>
      <c r="GC16" t="s">
        <v>408</v>
      </c>
      <c r="GD16" t="s">
        <v>408</v>
      </c>
      <c r="GQ16" t="s">
        <v>408</v>
      </c>
      <c r="GR16" t="s">
        <v>408</v>
      </c>
      <c r="GS16" t="s">
        <v>409</v>
      </c>
      <c r="GT16" t="s">
        <v>409</v>
      </c>
      <c r="GU16" t="s">
        <v>388</v>
      </c>
      <c r="GV16" t="s">
        <v>388</v>
      </c>
      <c r="GW16" t="s">
        <v>390</v>
      </c>
      <c r="GX16" t="s">
        <v>388</v>
      </c>
      <c r="GY16" t="s">
        <v>399</v>
      </c>
      <c r="GZ16" t="s">
        <v>390</v>
      </c>
      <c r="HA16" t="s">
        <v>390</v>
      </c>
      <c r="HC16" t="s">
        <v>408</v>
      </c>
      <c r="HD16" t="s">
        <v>408</v>
      </c>
      <c r="HE16" t="s">
        <v>408</v>
      </c>
      <c r="HF16" t="s">
        <v>408</v>
      </c>
      <c r="HG16" t="s">
        <v>408</v>
      </c>
      <c r="HH16" t="s">
        <v>408</v>
      </c>
      <c r="HI16" t="s">
        <v>408</v>
      </c>
      <c r="HJ16" t="s">
        <v>410</v>
      </c>
      <c r="HK16" t="s">
        <v>411</v>
      </c>
      <c r="HL16" t="s">
        <v>410</v>
      </c>
      <c r="HM16" t="s">
        <v>410</v>
      </c>
      <c r="HN16" t="s">
        <v>408</v>
      </c>
      <c r="HO16" t="s">
        <v>408</v>
      </c>
      <c r="HP16" t="s">
        <v>408</v>
      </c>
      <c r="HQ16" t="s">
        <v>408</v>
      </c>
      <c r="HR16" t="s">
        <v>408</v>
      </c>
      <c r="HS16" t="s">
        <v>408</v>
      </c>
      <c r="HT16" t="s">
        <v>408</v>
      </c>
      <c r="HU16" t="s">
        <v>408</v>
      </c>
      <c r="HV16" t="s">
        <v>408</v>
      </c>
      <c r="HW16" t="s">
        <v>408</v>
      </c>
      <c r="HX16" t="s">
        <v>408</v>
      </c>
      <c r="HY16" t="s">
        <v>408</v>
      </c>
      <c r="IF16" t="s">
        <v>408</v>
      </c>
      <c r="IG16" t="s">
        <v>390</v>
      </c>
      <c r="IH16" t="s">
        <v>390</v>
      </c>
      <c r="II16" t="s">
        <v>403</v>
      </c>
      <c r="IJ16" t="s">
        <v>404</v>
      </c>
      <c r="IK16" t="s">
        <v>403</v>
      </c>
      <c r="IO16" t="s">
        <v>404</v>
      </c>
      <c r="IS16" t="s">
        <v>386</v>
      </c>
      <c r="IT16" t="s">
        <v>386</v>
      </c>
      <c r="IU16" t="s">
        <v>399</v>
      </c>
      <c r="IV16" t="s">
        <v>399</v>
      </c>
      <c r="IW16" t="s">
        <v>412</v>
      </c>
      <c r="IX16" t="s">
        <v>412</v>
      </c>
      <c r="IY16" t="s">
        <v>408</v>
      </c>
      <c r="IZ16" t="s">
        <v>408</v>
      </c>
      <c r="JA16" t="s">
        <v>408</v>
      </c>
      <c r="JB16" t="s">
        <v>408</v>
      </c>
      <c r="JC16" t="s">
        <v>408</v>
      </c>
      <c r="JD16" t="s">
        <v>408</v>
      </c>
      <c r="JE16" t="s">
        <v>388</v>
      </c>
      <c r="JF16" t="s">
        <v>408</v>
      </c>
      <c r="JH16" t="s">
        <v>391</v>
      </c>
      <c r="JI16" t="s">
        <v>391</v>
      </c>
      <c r="JJ16" t="s">
        <v>388</v>
      </c>
      <c r="JK16" t="s">
        <v>388</v>
      </c>
      <c r="JL16" t="s">
        <v>388</v>
      </c>
      <c r="JM16" t="s">
        <v>388</v>
      </c>
      <c r="JN16" t="s">
        <v>388</v>
      </c>
      <c r="JO16" t="s">
        <v>390</v>
      </c>
      <c r="JP16" t="s">
        <v>390</v>
      </c>
      <c r="JQ16" t="s">
        <v>390</v>
      </c>
      <c r="JR16" t="s">
        <v>388</v>
      </c>
      <c r="JS16" t="s">
        <v>386</v>
      </c>
      <c r="JT16" t="s">
        <v>399</v>
      </c>
      <c r="JU16" t="s">
        <v>390</v>
      </c>
      <c r="JV16" t="s">
        <v>390</v>
      </c>
    </row>
    <row r="17" spans="1:282" x14ac:dyDescent="0.3">
      <c r="A17">
        <v>1</v>
      </c>
      <c r="B17">
        <v>1792120698.0999999</v>
      </c>
      <c r="C17">
        <v>0</v>
      </c>
      <c r="D17" t="s">
        <v>413</v>
      </c>
      <c r="E17" t="s">
        <v>414</v>
      </c>
      <c r="F17">
        <v>5</v>
      </c>
      <c r="G17">
        <v>1792120695.0999999</v>
      </c>
      <c r="H17">
        <f t="shared" ref="H17:H25" si="0">(I17)/1000</f>
        <v>3.2729376468587121E-3</v>
      </c>
      <c r="I17">
        <f t="shared" ref="I17:I25" si="1">1000*DI17*AG17*(DE17-DF17)/(100*CX17*(1000-AG17*DE17))</f>
        <v>3.2729376468587121</v>
      </c>
      <c r="J17">
        <f t="shared" ref="J17:J25" si="2">DI17*AG17*(DD17-DC17*(1000-AG17*DF17)/(1000-AG17*DE17))/(100*CX17)</f>
        <v>17.08332510177987</v>
      </c>
      <c r="K17">
        <f t="shared" ref="K17:K25" si="3">DC17 - IF(AG17&gt;1, J17*CX17*100/(AI17), 0)</f>
        <v>400.01159999999999</v>
      </c>
      <c r="L17">
        <f t="shared" ref="L17:L25" si="4">((R17-H17/2)*K17-J17)/(R17+H17/2)</f>
        <v>271.44023125411564</v>
      </c>
      <c r="M17">
        <f t="shared" ref="M17:M25" si="5">L17*(DJ17+DK17)/1000</f>
        <v>27.64893649902805</v>
      </c>
      <c r="N17">
        <f t="shared" ref="N17:N25" si="6">(DC17 - IF(AG17&gt;1, J17*CX17*100/(AI17), 0))*(DJ17+DK17)/1000</f>
        <v>40.745232481476215</v>
      </c>
      <c r="O17">
        <f t="shared" ref="O17:O25" si="7">2/((1/Q17-1/P17)+SIGN(Q17)*SQRT((1/Q17-1/P17)*(1/Q17-1/P17) + 4*CY17/((CY17+1)*(CY17+1))*(2*1/Q17*1/P17-1/P17*1/P17)))</f>
        <v>0.2345459266612076</v>
      </c>
      <c r="P17">
        <f t="shared" ref="P17:P25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3.0405011024533386</v>
      </c>
      <c r="Q17">
        <f t="shared" ref="Q17:Q25" si="9">H17*(1000-(1000*0.61365*EXP(17.502*U17/(240.97+U17))/(DJ17+DK17)+DE17)/2)/(1000*0.61365*EXP(17.502*U17/(240.97+U17))/(DJ17+DK17)-DE17)</f>
        <v>0.22493797083166722</v>
      </c>
      <c r="R17">
        <f t="shared" ref="R17:R25" si="10">1/((CY17+1)/(O17/1.6)+1/(P17/1.37)) + CY17/((CY17+1)/(O17/1.6) + CY17/(P17/1.37))</f>
        <v>0.14141667205859781</v>
      </c>
      <c r="S17">
        <f t="shared" ref="S17:S25" si="11">(CT17*CW17)</f>
        <v>241.73684300294701</v>
      </c>
      <c r="T17">
        <f t="shared" ref="T17:T25" si="12">(DL17+(S17+2*0.95*0.0000000567*(((DL17+$B$7)+273)^4-(DL17+273)^4)-44100*H17)/(1.84*29.3*P17+8*0.95*0.0000000567*(DL17+273)^3))</f>
        <v>25.349322133070924</v>
      </c>
      <c r="U17">
        <f t="shared" ref="U17:U25" si="13">($C$7*DM17+$D$7*DN17+$E$7*T17)</f>
        <v>24.989820000000002</v>
      </c>
      <c r="V17">
        <f t="shared" ref="V17:V25" si="14">0.61365*EXP(17.502*U17/(240.97+U17))</f>
        <v>3.1777482842771629</v>
      </c>
      <c r="W17">
        <f t="shared" ref="W17:W25" si="15">(X17/Y17*100)</f>
        <v>55.125093510762468</v>
      </c>
      <c r="X17">
        <f t="shared" ref="X17:X25" si="16">DE17*(DJ17+DK17)/1000</f>
        <v>1.7313573270891238</v>
      </c>
      <c r="Y17">
        <f t="shared" ref="Y17:Y25" si="17">0.61365*EXP(17.502*DL17/(240.97+DL17))</f>
        <v>3.1407789389982592</v>
      </c>
      <c r="Z17">
        <f t="shared" ref="Z17:Z25" si="18">(V17-DE17*(DJ17+DK17)/1000)</f>
        <v>1.4463909571880391</v>
      </c>
      <c r="AA17">
        <f t="shared" ref="AA17:AA25" si="19">(-H17*44100)</f>
        <v>-144.3365502264692</v>
      </c>
      <c r="AB17">
        <f t="shared" ref="AB17:AB25" si="20">2*29.3*P17*0.92*(DL17-U17)</f>
        <v>-32.147891444803363</v>
      </c>
      <c r="AC17">
        <f t="shared" ref="AC17:AC25" si="21">2*0.95*0.0000000567*(((DL17+$B$7)+273)^4-(U17+273)^4)</f>
        <v>-2.2340559930902018</v>
      </c>
      <c r="AD17">
        <f t="shared" ref="AD17:AD25" si="22">S17+AC17+AA17+AB17</f>
        <v>63.01834533858424</v>
      </c>
      <c r="AE17">
        <v>0</v>
      </c>
      <c r="AF17">
        <v>0</v>
      </c>
      <c r="AG17">
        <f t="shared" ref="AG17:AG25" si="23">IF(AE17*$H$13&gt;=AI17,1,(AI17/(AI17-AE17*$H$13)))</f>
        <v>1</v>
      </c>
      <c r="AH17">
        <f t="shared" ref="AH17:AH25" si="24">(AG17-1)*100</f>
        <v>0</v>
      </c>
      <c r="AI17">
        <f t="shared" ref="AI17:AI25" si="25">MAX(0,($B$13+$C$13*DQ17)/(1+$D$13*DQ17)*DJ17/(DL17+273)*$E$13)</f>
        <v>54222.006613524623</v>
      </c>
      <c r="AJ17" t="s">
        <v>415</v>
      </c>
      <c r="AK17">
        <v>8133.33</v>
      </c>
      <c r="AL17">
        <v>240.33076923076899</v>
      </c>
      <c r="AM17">
        <v>892.61927249853704</v>
      </c>
      <c r="AN17">
        <f t="shared" ref="AN17:AN25" si="26">1-AL17/AM17</f>
        <v>0.73075780835645932</v>
      </c>
      <c r="AO17">
        <v>-2.1612035119557702</v>
      </c>
      <c r="AP17" t="s">
        <v>416</v>
      </c>
      <c r="AQ17">
        <v>8165.88</v>
      </c>
      <c r="AR17">
        <v>299.30392000000001</v>
      </c>
      <c r="AS17">
        <v>368.22492426179201</v>
      </c>
      <c r="AT17">
        <f t="shared" ref="AT17:AT25" si="27">1-AR17/AS17</f>
        <v>0.18717093743711966</v>
      </c>
      <c r="AU17">
        <v>0.5</v>
      </c>
      <c r="AV17">
        <f t="shared" ref="AV17:AV25" si="28">CU17</f>
        <v>1261.2107994833923</v>
      </c>
      <c r="AW17">
        <f t="shared" ref="AW17:AW25" si="29">J17</f>
        <v>17.08332510177987</v>
      </c>
      <c r="AX17">
        <f t="shared" ref="AX17:AX25" si="30">AT17*AU17*AV17</f>
        <v>118.03100382256284</v>
      </c>
      <c r="AY17">
        <f t="shared" ref="AY17:AY25" si="31">(AW17-AO17)/AV17</f>
        <v>1.5258772460256793E-2</v>
      </c>
      <c r="AZ17">
        <f t="shared" ref="AZ17:AZ25" si="32">(AM17-AS17)/AS17</f>
        <v>1.4241142130398627</v>
      </c>
      <c r="BA17">
        <f t="shared" ref="BA17:BA25" si="33">AL17/(AN17+AL17/AS17)</f>
        <v>173.72074173697047</v>
      </c>
      <c r="BB17" t="s">
        <v>417</v>
      </c>
      <c r="BC17">
        <v>0</v>
      </c>
      <c r="BD17">
        <f t="shared" ref="BD17:BD25" si="34">IF(BC17&lt;&gt;0, BC17, BA17)</f>
        <v>173.72074173697047</v>
      </c>
      <c r="BE17">
        <f t="shared" ref="BE17:BE25" si="35">1-BD17/AS17</f>
        <v>0.52822112168196811</v>
      </c>
      <c r="BF17">
        <f t="shared" ref="BF17:BF25" si="36">(AS17-AR17)/(AS17-BD17)</f>
        <v>0.35434201654248071</v>
      </c>
      <c r="BG17">
        <f t="shared" ref="BG17:BG25" si="37">(AM17-AS17)/(AM17-BD17)</f>
        <v>0.72944139652257578</v>
      </c>
      <c r="BH17">
        <f t="shared" ref="BH17:BH25" si="38">(AS17-AR17)/(AS17-AL17)</f>
        <v>0.53889096217942078</v>
      </c>
      <c r="BI17">
        <f t="shared" ref="BI17:BI25" si="39">(AM17-AS17)/(AM17-AL17)</f>
        <v>0.8039300794199008</v>
      </c>
      <c r="BJ17">
        <f t="shared" ref="BJ17:BJ25" si="40">(BF17*BD17/AR17)</f>
        <v>0.2056657258025007</v>
      </c>
      <c r="BK17">
        <f t="shared" ref="BK17:BK25" si="41">(1-BJ17)</f>
        <v>0.79433427419749925</v>
      </c>
      <c r="BL17">
        <v>1094</v>
      </c>
      <c r="BM17">
        <v>290</v>
      </c>
      <c r="BN17">
        <v>354.17</v>
      </c>
      <c r="BO17">
        <v>135</v>
      </c>
      <c r="BP17">
        <v>8165.88</v>
      </c>
      <c r="BQ17">
        <v>353.58</v>
      </c>
      <c r="BR17">
        <v>0.59</v>
      </c>
      <c r="BS17">
        <v>300</v>
      </c>
      <c r="BT17">
        <v>19.3</v>
      </c>
      <c r="BU17">
        <v>368.22492426179201</v>
      </c>
      <c r="BV17">
        <v>1.1907668454120801</v>
      </c>
      <c r="BW17">
        <v>-11.960324999558299</v>
      </c>
      <c r="BX17">
        <v>0.88805415362000695</v>
      </c>
      <c r="BY17">
        <v>0.86627656203340198</v>
      </c>
      <c r="BZ17">
        <v>-4.40870478309233E-3</v>
      </c>
      <c r="CA17">
        <v>290</v>
      </c>
      <c r="CB17">
        <v>353.32</v>
      </c>
      <c r="CC17">
        <v>835</v>
      </c>
      <c r="CD17">
        <v>8140.78</v>
      </c>
      <c r="CE17">
        <v>353.53</v>
      </c>
      <c r="CF17">
        <v>-0.21</v>
      </c>
      <c r="CT17">
        <f t="shared" ref="CT17:CT25" si="42">$B$11*DR17+$C$11*DS17+$F$11*ED17*(1-EG17)</f>
        <v>1500</v>
      </c>
      <c r="CU17">
        <f t="shared" ref="CU17:CU25" si="43">CT17*CV17</f>
        <v>1261.2107994833923</v>
      </c>
      <c r="CV17">
        <f t="shared" ref="CV17:CV25" si="44">($B$11*$D$9+$C$11*$D$9+$F$11*((EQ17+EI17)/MAX(EQ17+EI17+ER17, 0.1)*$I$9+ER17/MAX(EQ17+EI17+ER17, 0.1)*$J$9))/($B$11+$C$11+$F$11)</f>
        <v>0.84080719965559481</v>
      </c>
      <c r="CW17">
        <f t="shared" ref="CW17:CW25" si="45">($B$11*$K$9+$C$11*$K$9+$F$11*((EQ17+EI17)/MAX(EQ17+EI17+ER17, 0.1)*$P$9+ER17/MAX(EQ17+EI17+ER17, 0.1)*$Q$9))/($B$11+$C$11+$F$11)</f>
        <v>0.16115789533529801</v>
      </c>
      <c r="CX17">
        <v>2</v>
      </c>
      <c r="CY17">
        <v>0.5</v>
      </c>
      <c r="CZ17" t="s">
        <v>418</v>
      </c>
      <c r="DA17">
        <v>2</v>
      </c>
      <c r="DB17">
        <v>1792120695.0999999</v>
      </c>
      <c r="DC17">
        <v>400.01159999999999</v>
      </c>
      <c r="DD17">
        <v>407.36619999999999</v>
      </c>
      <c r="DE17">
        <v>16.997399999999999</v>
      </c>
      <c r="DF17">
        <v>15.710900000000001</v>
      </c>
      <c r="DG17">
        <v>399.22519999999997</v>
      </c>
      <c r="DH17">
        <v>17.133859999999999</v>
      </c>
      <c r="DI17">
        <v>500.16419999999999</v>
      </c>
      <c r="DJ17">
        <v>101.76</v>
      </c>
      <c r="DK17">
        <v>0.10012726</v>
      </c>
      <c r="DL17">
        <v>24.793700000000001</v>
      </c>
      <c r="DM17">
        <v>24.989820000000002</v>
      </c>
      <c r="DN17">
        <v>999.9</v>
      </c>
      <c r="DO17">
        <v>0</v>
      </c>
      <c r="DP17">
        <v>0</v>
      </c>
      <c r="DQ17">
        <v>10002.99</v>
      </c>
      <c r="DR17">
        <v>0</v>
      </c>
      <c r="DS17">
        <v>6.7190799999999999</v>
      </c>
      <c r="DT17">
        <v>-7.3545480000000003</v>
      </c>
      <c r="DU17">
        <v>406.92860000000002</v>
      </c>
      <c r="DV17">
        <v>413.86840000000001</v>
      </c>
      <c r="DW17">
        <v>1.2865359999999999</v>
      </c>
      <c r="DX17">
        <v>407.36619999999999</v>
      </c>
      <c r="DY17">
        <v>15.710900000000001</v>
      </c>
      <c r="DZ17">
        <v>1.729662</v>
      </c>
      <c r="EA17">
        <v>1.59874</v>
      </c>
      <c r="EB17">
        <v>15.1652</v>
      </c>
      <c r="EC17">
        <v>13.94666</v>
      </c>
      <c r="ED17">
        <v>1500</v>
      </c>
      <c r="EE17">
        <v>0.97300180000000003</v>
      </c>
      <c r="EF17">
        <v>2.699826E-2</v>
      </c>
      <c r="EG17">
        <v>0</v>
      </c>
      <c r="EH17">
        <v>299.42919999999998</v>
      </c>
      <c r="EI17">
        <v>5.0006399999999998</v>
      </c>
      <c r="EJ17">
        <v>4624.0060000000003</v>
      </c>
      <c r="EK17">
        <v>15439.24</v>
      </c>
      <c r="EL17">
        <v>39.824599999999997</v>
      </c>
      <c r="EM17">
        <v>40.5</v>
      </c>
      <c r="EN17">
        <v>40.186999999999998</v>
      </c>
      <c r="EO17">
        <v>40.186999999999998</v>
      </c>
      <c r="EP17">
        <v>41.399799999999999</v>
      </c>
      <c r="EQ17">
        <v>1454.64</v>
      </c>
      <c r="ER17">
        <v>40.36</v>
      </c>
      <c r="ES17">
        <v>0</v>
      </c>
      <c r="ET17">
        <v>4442.7999999523199</v>
      </c>
      <c r="EU17">
        <v>0</v>
      </c>
      <c r="EV17">
        <v>299.30392000000001</v>
      </c>
      <c r="EW17">
        <v>1.0536153922684901</v>
      </c>
      <c r="EX17">
        <v>1.9999999913928099</v>
      </c>
      <c r="EY17">
        <v>4623.7852000000003</v>
      </c>
      <c r="EZ17">
        <v>15</v>
      </c>
      <c r="FA17">
        <v>1792119883</v>
      </c>
      <c r="FB17" t="s">
        <v>419</v>
      </c>
      <c r="FC17">
        <v>1792119883</v>
      </c>
      <c r="FD17">
        <v>1792119882</v>
      </c>
      <c r="FE17">
        <v>33</v>
      </c>
      <c r="FF17">
        <v>-0.78700000000000003</v>
      </c>
      <c r="FG17">
        <v>-1.2999999999999999E-2</v>
      </c>
      <c r="FH17">
        <v>0.78600000000000003</v>
      </c>
      <c r="FI17">
        <v>-0.191</v>
      </c>
      <c r="FJ17">
        <v>400</v>
      </c>
      <c r="FK17">
        <v>15</v>
      </c>
      <c r="FL17">
        <v>0.43</v>
      </c>
      <c r="FM17">
        <v>0.05</v>
      </c>
      <c r="FN17">
        <v>17.226693472631599</v>
      </c>
      <c r="FO17">
        <v>-0.27973079203824103</v>
      </c>
      <c r="FP17">
        <v>8.95531241718278E-2</v>
      </c>
      <c r="FQ17">
        <v>1</v>
      </c>
      <c r="FR17">
        <v>-7.4001190000000001</v>
      </c>
      <c r="FS17">
        <v>0.14128781954887501</v>
      </c>
      <c r="FT17">
        <v>4.1665106732132702E-2</v>
      </c>
      <c r="FU17">
        <v>1</v>
      </c>
      <c r="FV17">
        <v>299.28426470588198</v>
      </c>
      <c r="FW17">
        <v>0.85422460033371395</v>
      </c>
      <c r="FX17">
        <v>0.22206057848935901</v>
      </c>
      <c r="FY17">
        <v>-1</v>
      </c>
      <c r="FZ17">
        <v>2</v>
      </c>
      <c r="GA17">
        <v>2</v>
      </c>
      <c r="GB17" t="s">
        <v>420</v>
      </c>
      <c r="GC17">
        <v>3.1235599999999999</v>
      </c>
      <c r="GD17">
        <v>2.76553</v>
      </c>
      <c r="GE17">
        <v>8.8495000000000004E-2</v>
      </c>
      <c r="GF17">
        <v>9.2099299999999995E-2</v>
      </c>
      <c r="GG17">
        <v>9.2360700000000004E-2</v>
      </c>
      <c r="GH17">
        <v>9.0159400000000001E-2</v>
      </c>
      <c r="GI17">
        <v>17819.3</v>
      </c>
      <c r="GJ17">
        <v>26724.3</v>
      </c>
      <c r="GK17">
        <v>22839.1</v>
      </c>
      <c r="GL17">
        <v>30158.3</v>
      </c>
      <c r="GM17">
        <v>33996</v>
      </c>
      <c r="GN17">
        <v>34167.1</v>
      </c>
      <c r="GO17">
        <v>43207.7</v>
      </c>
      <c r="GP17">
        <v>42933.5</v>
      </c>
      <c r="GQ17">
        <v>1.98407</v>
      </c>
      <c r="GR17">
        <v>1.8467</v>
      </c>
      <c r="GS17">
        <v>0.11161</v>
      </c>
      <c r="GT17">
        <v>0</v>
      </c>
      <c r="GU17">
        <v>23.182600000000001</v>
      </c>
      <c r="GV17">
        <v>999.9</v>
      </c>
      <c r="GW17">
        <v>42.363999999999997</v>
      </c>
      <c r="GX17">
        <v>31.622</v>
      </c>
      <c r="GY17">
        <v>19.456700000000001</v>
      </c>
      <c r="GZ17">
        <v>63.191699999999997</v>
      </c>
      <c r="HA17">
        <v>36.9071</v>
      </c>
      <c r="HB17">
        <v>1</v>
      </c>
      <c r="HC17">
        <v>-1.08994E-2</v>
      </c>
      <c r="HD17">
        <v>1.6065100000000001</v>
      </c>
      <c r="HE17">
        <v>20.224399999999999</v>
      </c>
      <c r="HF17">
        <v>5.23421</v>
      </c>
      <c r="HG17">
        <v>11.962</v>
      </c>
      <c r="HH17">
        <v>4.9678000000000004</v>
      </c>
      <c r="HI17">
        <v>3.2949999999999999</v>
      </c>
      <c r="HJ17">
        <v>9999</v>
      </c>
      <c r="HK17">
        <v>999.9</v>
      </c>
      <c r="HL17">
        <v>9999</v>
      </c>
      <c r="HM17">
        <v>9999</v>
      </c>
      <c r="HN17">
        <v>4.96861</v>
      </c>
      <c r="HO17">
        <v>1.8625100000000001</v>
      </c>
      <c r="HP17">
        <v>1.86412</v>
      </c>
      <c r="HQ17">
        <v>1.8660000000000001</v>
      </c>
      <c r="HR17">
        <v>1.8630199999999999</v>
      </c>
      <c r="HS17">
        <v>1.8667199999999999</v>
      </c>
      <c r="HT17">
        <v>1.86348</v>
      </c>
      <c r="HU17">
        <v>1.8653900000000001</v>
      </c>
      <c r="HV17">
        <v>0</v>
      </c>
      <c r="HW17">
        <v>0</v>
      </c>
      <c r="HX17">
        <v>0</v>
      </c>
      <c r="HY17">
        <v>0</v>
      </c>
      <c r="HZ17" t="s">
        <v>421</v>
      </c>
      <c r="IA17" t="s">
        <v>422</v>
      </c>
      <c r="IB17" t="s">
        <v>423</v>
      </c>
      <c r="IC17" t="s">
        <v>423</v>
      </c>
      <c r="ID17" t="s">
        <v>423</v>
      </c>
      <c r="IE17" t="s">
        <v>423</v>
      </c>
      <c r="IF17">
        <v>0</v>
      </c>
      <c r="IG17">
        <v>100</v>
      </c>
      <c r="IH17">
        <v>100</v>
      </c>
      <c r="II17">
        <v>0.78700000000000003</v>
      </c>
      <c r="IJ17">
        <v>-0.13619999999999999</v>
      </c>
      <c r="IK17">
        <v>0.65984649128775597</v>
      </c>
      <c r="IL17">
        <v>2.16929631606078E-4</v>
      </c>
      <c r="IM17">
        <v>2.7226302473163502E-7</v>
      </c>
      <c r="IN17">
        <v>-5.4379205123515401E-11</v>
      </c>
      <c r="IO17">
        <v>-3.1728735248133397E-2</v>
      </c>
      <c r="IP17">
        <v>-5.8443384954566899E-2</v>
      </c>
      <c r="IQ17">
        <v>3.41568706061026E-3</v>
      </c>
      <c r="IR17">
        <v>-2.10952612506686E-5</v>
      </c>
      <c r="IS17">
        <v>0</v>
      </c>
      <c r="IT17">
        <v>1734</v>
      </c>
      <c r="IU17">
        <v>2</v>
      </c>
      <c r="IV17">
        <v>19</v>
      </c>
      <c r="IW17">
        <v>13.6</v>
      </c>
      <c r="IX17">
        <v>13.6</v>
      </c>
      <c r="IY17">
        <v>1.07056</v>
      </c>
      <c r="IZ17">
        <v>2.5402800000000001</v>
      </c>
      <c r="JA17">
        <v>1.3464400000000001</v>
      </c>
      <c r="JB17">
        <v>2.2546400000000002</v>
      </c>
      <c r="JC17">
        <v>1.5502899999999999</v>
      </c>
      <c r="JD17">
        <v>2.6037599999999999</v>
      </c>
      <c r="JE17">
        <v>35.824399999999997</v>
      </c>
      <c r="JF17">
        <v>16.023299999999999</v>
      </c>
      <c r="JG17">
        <v>18</v>
      </c>
      <c r="JH17">
        <v>498.56700000000001</v>
      </c>
      <c r="JI17">
        <v>489.42</v>
      </c>
      <c r="JJ17">
        <v>21.630800000000001</v>
      </c>
      <c r="JK17">
        <v>27.0046</v>
      </c>
      <c r="JL17">
        <v>30</v>
      </c>
      <c r="JM17">
        <v>26.990300000000001</v>
      </c>
      <c r="JN17">
        <v>27.002199999999998</v>
      </c>
      <c r="JO17">
        <v>21.4389</v>
      </c>
      <c r="JP17">
        <v>28.5108</v>
      </c>
      <c r="JQ17">
        <v>54.645600000000002</v>
      </c>
      <c r="JR17">
        <v>21.632000000000001</v>
      </c>
      <c r="JS17">
        <v>407.39600000000002</v>
      </c>
      <c r="JT17">
        <v>15.71</v>
      </c>
      <c r="JU17">
        <v>102.029</v>
      </c>
      <c r="JV17">
        <v>97.510599999999997</v>
      </c>
    </row>
    <row r="18" spans="1:282" x14ac:dyDescent="0.3">
      <c r="A18">
        <v>2</v>
      </c>
      <c r="B18">
        <v>1792120822.0999999</v>
      </c>
      <c r="C18">
        <v>124</v>
      </c>
      <c r="D18" t="s">
        <v>424</v>
      </c>
      <c r="E18" t="s">
        <v>425</v>
      </c>
      <c r="F18">
        <v>5</v>
      </c>
      <c r="G18">
        <v>1792120818.5999999</v>
      </c>
      <c r="H18">
        <f t="shared" si="0"/>
        <v>2.9872915469716659E-3</v>
      </c>
      <c r="I18">
        <f t="shared" si="1"/>
        <v>2.9872915469716657</v>
      </c>
      <c r="J18">
        <f t="shared" si="2"/>
        <v>17.087041245862626</v>
      </c>
      <c r="K18">
        <f t="shared" si="3"/>
        <v>399.99366666666702</v>
      </c>
      <c r="L18">
        <f t="shared" si="4"/>
        <v>261.33060583687535</v>
      </c>
      <c r="M18">
        <f t="shared" si="5"/>
        <v>26.620340985073661</v>
      </c>
      <c r="N18">
        <f t="shared" si="6"/>
        <v>40.745199990785288</v>
      </c>
      <c r="O18">
        <f t="shared" si="7"/>
        <v>0.21558199561201208</v>
      </c>
      <c r="P18">
        <f t="shared" si="8"/>
        <v>3.0383522286371467</v>
      </c>
      <c r="Q18">
        <f t="shared" si="9"/>
        <v>0.20743036511477209</v>
      </c>
      <c r="R18">
        <f t="shared" si="10"/>
        <v>0.13035068851233506</v>
      </c>
      <c r="S18">
        <f t="shared" si="11"/>
        <v>193.80623478211092</v>
      </c>
      <c r="T18">
        <f t="shared" si="12"/>
        <v>25.365811006079714</v>
      </c>
      <c r="U18">
        <f t="shared" si="13"/>
        <v>24.9621</v>
      </c>
      <c r="V18">
        <f t="shared" si="14"/>
        <v>3.1724999957733133</v>
      </c>
      <c r="W18">
        <f t="shared" si="15"/>
        <v>54.712618535116853</v>
      </c>
      <c r="X18">
        <f t="shared" si="16"/>
        <v>1.740884908500677</v>
      </c>
      <c r="Y18">
        <f t="shared" si="17"/>
        <v>3.1818709378409737</v>
      </c>
      <c r="Z18">
        <f t="shared" si="18"/>
        <v>1.4316150872726363</v>
      </c>
      <c r="AA18">
        <f t="shared" si="19"/>
        <v>-131.73955722145047</v>
      </c>
      <c r="AB18">
        <f t="shared" si="20"/>
        <v>8.1028203233328391</v>
      </c>
      <c r="AC18">
        <f t="shared" si="21"/>
        <v>0.56402781986661554</v>
      </c>
      <c r="AD18">
        <f t="shared" si="22"/>
        <v>70.733525703859911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54115.011921107274</v>
      </c>
      <c r="AJ18" t="s">
        <v>415</v>
      </c>
      <c r="AK18">
        <v>8133.33</v>
      </c>
      <c r="AL18">
        <v>240.33076923076899</v>
      </c>
      <c r="AM18">
        <v>892.61927249853704</v>
      </c>
      <c r="AN18">
        <f t="shared" si="26"/>
        <v>0.73075780835645932</v>
      </c>
      <c r="AO18">
        <v>-2.1612035119557702</v>
      </c>
      <c r="AP18" t="s">
        <v>426</v>
      </c>
      <c r="AQ18">
        <v>8158.39</v>
      </c>
      <c r="AR18">
        <v>296.86261538461503</v>
      </c>
      <c r="AS18">
        <v>394.32667683109798</v>
      </c>
      <c r="AT18">
        <f t="shared" si="27"/>
        <v>0.24716578201030448</v>
      </c>
      <c r="AU18">
        <v>0.5</v>
      </c>
      <c r="AV18">
        <f t="shared" si="28"/>
        <v>1009.1971993689718</v>
      </c>
      <c r="AW18">
        <f t="shared" si="29"/>
        <v>17.087041245862626</v>
      </c>
      <c r="AX18">
        <f t="shared" si="30"/>
        <v>124.71950749232055</v>
      </c>
      <c r="AY18">
        <f t="shared" si="31"/>
        <v>1.907282815474903E-2</v>
      </c>
      <c r="AZ18">
        <f t="shared" si="32"/>
        <v>1.2636542870288048</v>
      </c>
      <c r="BA18">
        <f t="shared" si="33"/>
        <v>179.32066856862113</v>
      </c>
      <c r="BB18" t="s">
        <v>417</v>
      </c>
      <c r="BC18">
        <v>0</v>
      </c>
      <c r="BD18">
        <f t="shared" si="34"/>
        <v>179.32066856862113</v>
      </c>
      <c r="BE18">
        <f t="shared" si="35"/>
        <v>0.54524844727806843</v>
      </c>
      <c r="BF18">
        <f t="shared" si="36"/>
        <v>0.45330854813833832</v>
      </c>
      <c r="BG18">
        <f t="shared" si="37"/>
        <v>0.69857503284332523</v>
      </c>
      <c r="BH18">
        <f t="shared" si="38"/>
        <v>0.63290033459483142</v>
      </c>
      <c r="BI18">
        <f t="shared" si="39"/>
        <v>0.76391442309828228</v>
      </c>
      <c r="BJ18">
        <f t="shared" si="40"/>
        <v>0.27382225887460315</v>
      </c>
      <c r="BK18">
        <f t="shared" si="41"/>
        <v>0.7261777411253969</v>
      </c>
      <c r="BL18">
        <v>1095</v>
      </c>
      <c r="BM18">
        <v>290</v>
      </c>
      <c r="BN18">
        <v>373.52</v>
      </c>
      <c r="BO18">
        <v>245</v>
      </c>
      <c r="BP18">
        <v>8158.39</v>
      </c>
      <c r="BQ18">
        <v>373.22</v>
      </c>
      <c r="BR18">
        <v>0.3</v>
      </c>
      <c r="BS18">
        <v>300</v>
      </c>
      <c r="BT18">
        <v>19.3</v>
      </c>
      <c r="BU18">
        <v>394.32667683109798</v>
      </c>
      <c r="BV18">
        <v>1.39973021327723</v>
      </c>
      <c r="BW18">
        <v>-17.2175495925276</v>
      </c>
      <c r="BX18">
        <v>1.03946877964077</v>
      </c>
      <c r="BY18">
        <v>0.90739496291014199</v>
      </c>
      <c r="BZ18">
        <v>-4.6107768631813203E-3</v>
      </c>
      <c r="CA18">
        <v>290</v>
      </c>
      <c r="CB18">
        <v>372.05</v>
      </c>
      <c r="CC18">
        <v>705</v>
      </c>
      <c r="CD18">
        <v>8145.27</v>
      </c>
      <c r="CE18">
        <v>373.19</v>
      </c>
      <c r="CF18">
        <v>-1.1399999999999999</v>
      </c>
      <c r="CT18">
        <f t="shared" si="42"/>
        <v>1200.0166666666701</v>
      </c>
      <c r="CU18">
        <f t="shared" si="43"/>
        <v>1009.1971993689718</v>
      </c>
      <c r="CV18">
        <f t="shared" si="44"/>
        <v>0.84098598577989392</v>
      </c>
      <c r="CW18">
        <f t="shared" si="45"/>
        <v>0.16150295255519537</v>
      </c>
      <c r="CX18">
        <v>2</v>
      </c>
      <c r="CY18">
        <v>0.5</v>
      </c>
      <c r="CZ18" t="s">
        <v>418</v>
      </c>
      <c r="DA18">
        <v>2</v>
      </c>
      <c r="DB18">
        <v>1792120818.5999999</v>
      </c>
      <c r="DC18">
        <v>399.99366666666702</v>
      </c>
      <c r="DD18">
        <v>407.30450000000002</v>
      </c>
      <c r="DE18">
        <v>17.0901833333333</v>
      </c>
      <c r="DF18">
        <v>15.916</v>
      </c>
      <c r="DG18">
        <v>399.20749999999998</v>
      </c>
      <c r="DH18">
        <v>17.2230666666667</v>
      </c>
      <c r="DI18">
        <v>500.132833333333</v>
      </c>
      <c r="DJ18">
        <v>101.764333333333</v>
      </c>
      <c r="DK18">
        <v>0.10027949999999999</v>
      </c>
      <c r="DL18">
        <v>25.011566666666699</v>
      </c>
      <c r="DM18">
        <v>24.9621</v>
      </c>
      <c r="DN18">
        <v>999.9</v>
      </c>
      <c r="DO18">
        <v>0</v>
      </c>
      <c r="DP18">
        <v>0</v>
      </c>
      <c r="DQ18">
        <v>9989.5833333333303</v>
      </c>
      <c r="DR18">
        <v>0</v>
      </c>
      <c r="DS18">
        <v>6.7654500000000004</v>
      </c>
      <c r="DT18">
        <v>-7.3107699999999998</v>
      </c>
      <c r="DU18">
        <v>406.94866666666701</v>
      </c>
      <c r="DV18">
        <v>413.89216666666698</v>
      </c>
      <c r="DW18">
        <v>1.1741950000000001</v>
      </c>
      <c r="DX18">
        <v>407.30450000000002</v>
      </c>
      <c r="DY18">
        <v>15.916</v>
      </c>
      <c r="DZ18">
        <v>1.7391716666666699</v>
      </c>
      <c r="EA18">
        <v>1.61968</v>
      </c>
      <c r="EB18">
        <v>15.25055</v>
      </c>
      <c r="EC18">
        <v>14.1473333333333</v>
      </c>
      <c r="ED18">
        <v>1200.0166666666701</v>
      </c>
      <c r="EE18">
        <v>0.96699299999999999</v>
      </c>
      <c r="EF18">
        <v>3.30072E-2</v>
      </c>
      <c r="EG18">
        <v>0</v>
      </c>
      <c r="EH18">
        <v>296.78449999999998</v>
      </c>
      <c r="EI18">
        <v>5.0006399999999998</v>
      </c>
      <c r="EJ18">
        <v>3655.5066666666698</v>
      </c>
      <c r="EK18">
        <v>12322.8666666667</v>
      </c>
      <c r="EL18">
        <v>39.5</v>
      </c>
      <c r="EM18">
        <v>40.5</v>
      </c>
      <c r="EN18">
        <v>40.082999999999998</v>
      </c>
      <c r="EO18">
        <v>40.145666666666699</v>
      </c>
      <c r="EP18">
        <v>41.25</v>
      </c>
      <c r="EQ18">
        <v>1155.57666666667</v>
      </c>
      <c r="ER18">
        <v>39.44</v>
      </c>
      <c r="ES18">
        <v>0</v>
      </c>
      <c r="ET18">
        <v>122.40000009536701</v>
      </c>
      <c r="EU18">
        <v>0</v>
      </c>
      <c r="EV18">
        <v>296.86261538461503</v>
      </c>
      <c r="EW18">
        <v>0.41449573059803702</v>
      </c>
      <c r="EX18">
        <v>3.57435899901528</v>
      </c>
      <c r="EY18">
        <v>3655.1457692307699</v>
      </c>
      <c r="EZ18">
        <v>15</v>
      </c>
      <c r="FA18">
        <v>1792119883</v>
      </c>
      <c r="FB18" t="s">
        <v>419</v>
      </c>
      <c r="FC18">
        <v>1792119883</v>
      </c>
      <c r="FD18">
        <v>1792119882</v>
      </c>
      <c r="FE18">
        <v>33</v>
      </c>
      <c r="FF18">
        <v>-0.78700000000000003</v>
      </c>
      <c r="FG18">
        <v>-1.2999999999999999E-2</v>
      </c>
      <c r="FH18">
        <v>0.78600000000000003</v>
      </c>
      <c r="FI18">
        <v>-0.191</v>
      </c>
      <c r="FJ18">
        <v>400</v>
      </c>
      <c r="FK18">
        <v>15</v>
      </c>
      <c r="FL18">
        <v>0.43</v>
      </c>
      <c r="FM18">
        <v>0.05</v>
      </c>
      <c r="FN18">
        <v>17.069520814284299</v>
      </c>
      <c r="FO18">
        <v>4.0564130032393599E-2</v>
      </c>
      <c r="FP18">
        <v>4.8248312394340097E-2</v>
      </c>
      <c r="FQ18">
        <v>1</v>
      </c>
      <c r="FR18">
        <v>-7.3014599999999996</v>
      </c>
      <c r="FS18">
        <v>-3.0420779220870298E-3</v>
      </c>
      <c r="FT18">
        <v>1.9737874638321402E-2</v>
      </c>
      <c r="FU18">
        <v>1</v>
      </c>
      <c r="FV18">
        <v>296.81735294117601</v>
      </c>
      <c r="FW18">
        <v>0.479266619008132</v>
      </c>
      <c r="FX18">
        <v>0.21757863789402701</v>
      </c>
      <c r="FY18">
        <v>-1</v>
      </c>
      <c r="FZ18">
        <v>2</v>
      </c>
      <c r="GA18">
        <v>2</v>
      </c>
      <c r="GB18" t="s">
        <v>420</v>
      </c>
      <c r="GC18">
        <v>3.12357</v>
      </c>
      <c r="GD18">
        <v>2.7653799999999999</v>
      </c>
      <c r="GE18">
        <v>8.8489999999999999E-2</v>
      </c>
      <c r="GF18">
        <v>9.2077199999999998E-2</v>
      </c>
      <c r="GG18">
        <v>9.2774200000000001E-2</v>
      </c>
      <c r="GH18">
        <v>9.1037499999999993E-2</v>
      </c>
      <c r="GI18">
        <v>17818.5</v>
      </c>
      <c r="GJ18">
        <v>26724.2</v>
      </c>
      <c r="GK18">
        <v>22838</v>
      </c>
      <c r="GL18">
        <v>30157.5</v>
      </c>
      <c r="GM18">
        <v>33978.199999999997</v>
      </c>
      <c r="GN18">
        <v>34133.300000000003</v>
      </c>
      <c r="GO18">
        <v>43205.3</v>
      </c>
      <c r="GP18">
        <v>42932.6</v>
      </c>
      <c r="GQ18">
        <v>1.9838499999999999</v>
      </c>
      <c r="GR18">
        <v>1.84693</v>
      </c>
      <c r="GS18">
        <v>9.9725999999999995E-2</v>
      </c>
      <c r="GT18">
        <v>0</v>
      </c>
      <c r="GU18">
        <v>23.319299999999998</v>
      </c>
      <c r="GV18">
        <v>999.9</v>
      </c>
      <c r="GW18">
        <v>42.26</v>
      </c>
      <c r="GX18">
        <v>31.602</v>
      </c>
      <c r="GY18">
        <v>19.388500000000001</v>
      </c>
      <c r="GZ18">
        <v>63.331699999999998</v>
      </c>
      <c r="HA18">
        <v>37.431899999999999</v>
      </c>
      <c r="HB18">
        <v>1</v>
      </c>
      <c r="HC18">
        <v>-9.8932900000000008E-3</v>
      </c>
      <c r="HD18">
        <v>1.1452500000000001</v>
      </c>
      <c r="HE18">
        <v>20.2315</v>
      </c>
      <c r="HF18">
        <v>5.2292699999999996</v>
      </c>
      <c r="HG18">
        <v>11.962</v>
      </c>
      <c r="HH18">
        <v>4.9688999999999997</v>
      </c>
      <c r="HI18">
        <v>3.2949999999999999</v>
      </c>
      <c r="HJ18">
        <v>9999</v>
      </c>
      <c r="HK18">
        <v>999.9</v>
      </c>
      <c r="HL18">
        <v>9999</v>
      </c>
      <c r="HM18">
        <v>9999</v>
      </c>
      <c r="HN18">
        <v>4.9686199999999996</v>
      </c>
      <c r="HO18">
        <v>1.8625</v>
      </c>
      <c r="HP18">
        <v>1.86405</v>
      </c>
      <c r="HQ18">
        <v>1.8660000000000001</v>
      </c>
      <c r="HR18">
        <v>1.8629800000000001</v>
      </c>
      <c r="HS18">
        <v>1.8667199999999999</v>
      </c>
      <c r="HT18">
        <v>1.86344</v>
      </c>
      <c r="HU18">
        <v>1.8653900000000001</v>
      </c>
      <c r="HV18">
        <v>0</v>
      </c>
      <c r="HW18">
        <v>0</v>
      </c>
      <c r="HX18">
        <v>0</v>
      </c>
      <c r="HY18">
        <v>0</v>
      </c>
      <c r="HZ18" t="s">
        <v>421</v>
      </c>
      <c r="IA18" t="s">
        <v>422</v>
      </c>
      <c r="IB18" t="s">
        <v>423</v>
      </c>
      <c r="IC18" t="s">
        <v>423</v>
      </c>
      <c r="ID18" t="s">
        <v>423</v>
      </c>
      <c r="IE18" t="s">
        <v>423</v>
      </c>
      <c r="IF18">
        <v>0</v>
      </c>
      <c r="IG18">
        <v>100</v>
      </c>
      <c r="IH18">
        <v>100</v>
      </c>
      <c r="II18">
        <v>0.78600000000000003</v>
      </c>
      <c r="IJ18">
        <v>-0.13189999999999999</v>
      </c>
      <c r="IK18">
        <v>0.65984649128775597</v>
      </c>
      <c r="IL18">
        <v>2.16929631606078E-4</v>
      </c>
      <c r="IM18">
        <v>2.7226302473163502E-7</v>
      </c>
      <c r="IN18">
        <v>-5.4379205123515401E-11</v>
      </c>
      <c r="IO18">
        <v>-3.1728735248133397E-2</v>
      </c>
      <c r="IP18">
        <v>-5.8443384954566899E-2</v>
      </c>
      <c r="IQ18">
        <v>3.41568706061026E-3</v>
      </c>
      <c r="IR18">
        <v>-2.10952612506686E-5</v>
      </c>
      <c r="IS18">
        <v>0</v>
      </c>
      <c r="IT18">
        <v>1734</v>
      </c>
      <c r="IU18">
        <v>2</v>
      </c>
      <c r="IV18">
        <v>19</v>
      </c>
      <c r="IW18">
        <v>15.7</v>
      </c>
      <c r="IX18">
        <v>15.7</v>
      </c>
      <c r="IY18">
        <v>1.07178</v>
      </c>
      <c r="IZ18">
        <v>2.5573700000000001</v>
      </c>
      <c r="JA18">
        <v>1.3476600000000001</v>
      </c>
      <c r="JB18">
        <v>2.2546400000000002</v>
      </c>
      <c r="JC18">
        <v>1.5502899999999999</v>
      </c>
      <c r="JD18">
        <v>2.5549300000000001</v>
      </c>
      <c r="JE18">
        <v>35.777700000000003</v>
      </c>
      <c r="JF18">
        <v>16.023299999999999</v>
      </c>
      <c r="JG18">
        <v>18</v>
      </c>
      <c r="JH18">
        <v>498.589</v>
      </c>
      <c r="JI18">
        <v>489.74400000000003</v>
      </c>
      <c r="JJ18">
        <v>22.383099999999999</v>
      </c>
      <c r="JK18">
        <v>27.020600000000002</v>
      </c>
      <c r="JL18">
        <v>29.999199999999998</v>
      </c>
      <c r="JM18">
        <v>27.008500000000002</v>
      </c>
      <c r="JN18">
        <v>27.0199</v>
      </c>
      <c r="JO18">
        <v>21.444299999999998</v>
      </c>
      <c r="JP18">
        <v>26.763300000000001</v>
      </c>
      <c r="JQ18">
        <v>54.2727</v>
      </c>
      <c r="JR18">
        <v>22.438700000000001</v>
      </c>
      <c r="JS18">
        <v>407.42599999999999</v>
      </c>
      <c r="JT18">
        <v>15.978300000000001</v>
      </c>
      <c r="JU18">
        <v>102.023</v>
      </c>
      <c r="JV18">
        <v>97.508399999999995</v>
      </c>
    </row>
    <row r="19" spans="1:282" x14ac:dyDescent="0.3">
      <c r="A19">
        <v>3</v>
      </c>
      <c r="B19">
        <v>1792120957.0999999</v>
      </c>
      <c r="C19">
        <v>259</v>
      </c>
      <c r="D19" t="s">
        <v>427</v>
      </c>
      <c r="E19" t="s">
        <v>428</v>
      </c>
      <c r="F19">
        <v>5</v>
      </c>
      <c r="G19">
        <v>1792120953.5999999</v>
      </c>
      <c r="H19">
        <f t="shared" si="0"/>
        <v>3.0637741897306106E-3</v>
      </c>
      <c r="I19">
        <f t="shared" si="1"/>
        <v>3.0637741897306108</v>
      </c>
      <c r="J19">
        <f t="shared" si="2"/>
        <v>16.973424257070327</v>
      </c>
      <c r="K19">
        <f t="shared" si="3"/>
        <v>400.01533333333299</v>
      </c>
      <c r="L19">
        <f t="shared" si="4"/>
        <v>267.44862453532187</v>
      </c>
      <c r="M19">
        <f t="shared" si="5"/>
        <v>27.244112692329669</v>
      </c>
      <c r="N19">
        <f t="shared" si="6"/>
        <v>40.748247776289595</v>
      </c>
      <c r="O19">
        <f t="shared" si="7"/>
        <v>0.22481786146200117</v>
      </c>
      <c r="P19">
        <f t="shared" si="8"/>
        <v>3.0407186452399468</v>
      </c>
      <c r="Q19">
        <f t="shared" si="9"/>
        <v>0.21597482736041615</v>
      </c>
      <c r="R19">
        <f t="shared" si="10"/>
        <v>0.13574979603542076</v>
      </c>
      <c r="S19">
        <f t="shared" si="11"/>
        <v>145.9237120674332</v>
      </c>
      <c r="T19">
        <f t="shared" si="12"/>
        <v>25.334949639267347</v>
      </c>
      <c r="U19">
        <f t="shared" si="13"/>
        <v>25.0154666666667</v>
      </c>
      <c r="V19">
        <f t="shared" si="14"/>
        <v>3.1826107796372276</v>
      </c>
      <c r="W19">
        <f t="shared" si="15"/>
        <v>54.850756187049043</v>
      </c>
      <c r="X19">
        <f t="shared" si="16"/>
        <v>1.7726981488276972</v>
      </c>
      <c r="Y19">
        <f t="shared" si="17"/>
        <v>3.2318572651624691</v>
      </c>
      <c r="Z19">
        <f t="shared" si="18"/>
        <v>1.4099126308095304</v>
      </c>
      <c r="AA19">
        <f t="shared" si="19"/>
        <v>-135.11244176711992</v>
      </c>
      <c r="AB19">
        <f t="shared" si="20"/>
        <v>42.266933818755334</v>
      </c>
      <c r="AC19">
        <f t="shared" si="21"/>
        <v>2.9445280258984572</v>
      </c>
      <c r="AD19">
        <f t="shared" si="22"/>
        <v>56.022732144967065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54141.796396503465</v>
      </c>
      <c r="AJ19" t="s">
        <v>415</v>
      </c>
      <c r="AK19">
        <v>8133.33</v>
      </c>
      <c r="AL19">
        <v>240.33076923076899</v>
      </c>
      <c r="AM19">
        <v>892.61927249853704</v>
      </c>
      <c r="AN19">
        <f t="shared" si="26"/>
        <v>0.73075780835645932</v>
      </c>
      <c r="AO19">
        <v>-2.1612035119557702</v>
      </c>
      <c r="AP19" t="s">
        <v>429</v>
      </c>
      <c r="AQ19">
        <v>8168.66</v>
      </c>
      <c r="AR19">
        <v>303.96600000000001</v>
      </c>
      <c r="AS19">
        <v>463.51891010163001</v>
      </c>
      <c r="AT19">
        <f t="shared" si="27"/>
        <v>0.34422092955527284</v>
      </c>
      <c r="AU19">
        <v>0.5</v>
      </c>
      <c r="AV19">
        <f t="shared" si="28"/>
        <v>757.20043609711581</v>
      </c>
      <c r="AW19">
        <f t="shared" si="29"/>
        <v>16.973424257070327</v>
      </c>
      <c r="AX19">
        <f t="shared" si="30"/>
        <v>130.3221189865036</v>
      </c>
      <c r="AY19">
        <f t="shared" si="31"/>
        <v>2.5270228141511475E-2</v>
      </c>
      <c r="AZ19">
        <f t="shared" si="32"/>
        <v>0.92574510563727275</v>
      </c>
      <c r="BA19">
        <f t="shared" si="33"/>
        <v>192.38009867305797</v>
      </c>
      <c r="BB19" t="s">
        <v>417</v>
      </c>
      <c r="BC19">
        <v>0</v>
      </c>
      <c r="BD19">
        <f t="shared" si="34"/>
        <v>192.38009867305797</v>
      </c>
      <c r="BE19">
        <f t="shared" si="35"/>
        <v>0.58495738905047645</v>
      </c>
      <c r="BF19">
        <f t="shared" si="36"/>
        <v>0.5884547079814213</v>
      </c>
      <c r="BG19">
        <f t="shared" si="37"/>
        <v>0.61279114113637401</v>
      </c>
      <c r="BH19">
        <f t="shared" si="38"/>
        <v>0.71488077045253484</v>
      </c>
      <c r="BI19">
        <f t="shared" si="39"/>
        <v>0.65783830352251194</v>
      </c>
      <c r="BJ19">
        <f t="shared" si="40"/>
        <v>0.37243301812074819</v>
      </c>
      <c r="BK19">
        <f t="shared" si="41"/>
        <v>0.62756698187925175</v>
      </c>
      <c r="BL19">
        <v>1096</v>
      </c>
      <c r="BM19">
        <v>290</v>
      </c>
      <c r="BN19">
        <v>426.48</v>
      </c>
      <c r="BO19">
        <v>165</v>
      </c>
      <c r="BP19">
        <v>8168.66</v>
      </c>
      <c r="BQ19">
        <v>425.12</v>
      </c>
      <c r="BR19">
        <v>1.36</v>
      </c>
      <c r="BS19">
        <v>300</v>
      </c>
      <c r="BT19">
        <v>19.3</v>
      </c>
      <c r="BU19">
        <v>463.51891010163001</v>
      </c>
      <c r="BV19">
        <v>1.42413948904347</v>
      </c>
      <c r="BW19">
        <v>-31.3676494858727</v>
      </c>
      <c r="BX19">
        <v>1.05330782598499</v>
      </c>
      <c r="BY19">
        <v>0.96939410561467798</v>
      </c>
      <c r="BZ19">
        <v>-4.8142618464961E-3</v>
      </c>
      <c r="CA19">
        <v>290</v>
      </c>
      <c r="CB19">
        <v>420.65</v>
      </c>
      <c r="CC19">
        <v>615</v>
      </c>
      <c r="CD19">
        <v>8151.75</v>
      </c>
      <c r="CE19">
        <v>425.04</v>
      </c>
      <c r="CF19">
        <v>-4.3899999999999997</v>
      </c>
      <c r="CT19">
        <f t="shared" si="42"/>
        <v>900.02266666666696</v>
      </c>
      <c r="CU19">
        <f t="shared" si="43"/>
        <v>757.20043609711581</v>
      </c>
      <c r="CV19">
        <f t="shared" si="44"/>
        <v>0.84131262927131711</v>
      </c>
      <c r="CW19">
        <f t="shared" si="45"/>
        <v>0.16213337449364218</v>
      </c>
      <c r="CX19">
        <v>2</v>
      </c>
      <c r="CY19">
        <v>0.5</v>
      </c>
      <c r="CZ19" t="s">
        <v>418</v>
      </c>
      <c r="DA19">
        <v>2</v>
      </c>
      <c r="DB19">
        <v>1792120953.5999999</v>
      </c>
      <c r="DC19">
        <v>400.01533333333299</v>
      </c>
      <c r="DD19">
        <v>407.29583333333301</v>
      </c>
      <c r="DE19">
        <v>17.4021333333333</v>
      </c>
      <c r="DF19">
        <v>16.197800000000001</v>
      </c>
      <c r="DG19">
        <v>399.228833333333</v>
      </c>
      <c r="DH19">
        <v>17.522649999999999</v>
      </c>
      <c r="DI19">
        <v>499.93766666666698</v>
      </c>
      <c r="DJ19">
        <v>101.766833333333</v>
      </c>
      <c r="DK19">
        <v>9.9881216666666703E-2</v>
      </c>
      <c r="DL19">
        <v>25.273299999999999</v>
      </c>
      <c r="DM19">
        <v>25.0154666666667</v>
      </c>
      <c r="DN19">
        <v>999.9</v>
      </c>
      <c r="DO19">
        <v>0</v>
      </c>
      <c r="DP19">
        <v>0</v>
      </c>
      <c r="DQ19">
        <v>10003.6333333333</v>
      </c>
      <c r="DR19">
        <v>0</v>
      </c>
      <c r="DS19">
        <v>6.86639</v>
      </c>
      <c r="DT19">
        <v>-7.28051166666667</v>
      </c>
      <c r="DU19">
        <v>407.09966666666702</v>
      </c>
      <c r="DV19">
        <v>414.00200000000001</v>
      </c>
      <c r="DW19">
        <v>1.20430833333333</v>
      </c>
      <c r="DX19">
        <v>407.29583333333301</v>
      </c>
      <c r="DY19">
        <v>16.197800000000001</v>
      </c>
      <c r="DZ19">
        <v>1.7709583333333301</v>
      </c>
      <c r="EA19">
        <v>1.6484016666666701</v>
      </c>
      <c r="EB19">
        <v>15.5328</v>
      </c>
      <c r="EC19">
        <v>14.4188666666667</v>
      </c>
      <c r="ED19">
        <v>900.02266666666696</v>
      </c>
      <c r="EE19">
        <v>0.95600233333333295</v>
      </c>
      <c r="EF19">
        <v>4.3997533333333297E-2</v>
      </c>
      <c r="EG19">
        <v>0</v>
      </c>
      <c r="EH19">
        <v>304.195333333333</v>
      </c>
      <c r="EI19">
        <v>5.0006399999999998</v>
      </c>
      <c r="EJ19">
        <v>2789.0333333333301</v>
      </c>
      <c r="EK19">
        <v>9204.2516666666706</v>
      </c>
      <c r="EL19">
        <v>38.875</v>
      </c>
      <c r="EM19">
        <v>40.311999999999998</v>
      </c>
      <c r="EN19">
        <v>39.75</v>
      </c>
      <c r="EO19">
        <v>40</v>
      </c>
      <c r="EP19">
        <v>40.811999999999998</v>
      </c>
      <c r="EQ19">
        <v>855.64499999999998</v>
      </c>
      <c r="ER19">
        <v>39.380000000000003</v>
      </c>
      <c r="ES19">
        <v>0</v>
      </c>
      <c r="ET19">
        <v>133.5</v>
      </c>
      <c r="EU19">
        <v>0</v>
      </c>
      <c r="EV19">
        <v>303.96600000000001</v>
      </c>
      <c r="EW19">
        <v>3.0679999920898098</v>
      </c>
      <c r="EX19">
        <v>14.1161538414886</v>
      </c>
      <c r="EY19">
        <v>2787.9879999999998</v>
      </c>
      <c r="EZ19">
        <v>15</v>
      </c>
      <c r="FA19">
        <v>1792119883</v>
      </c>
      <c r="FB19" t="s">
        <v>419</v>
      </c>
      <c r="FC19">
        <v>1792119883</v>
      </c>
      <c r="FD19">
        <v>1792119882</v>
      </c>
      <c r="FE19">
        <v>33</v>
      </c>
      <c r="FF19">
        <v>-0.78700000000000003</v>
      </c>
      <c r="FG19">
        <v>-1.2999999999999999E-2</v>
      </c>
      <c r="FH19">
        <v>0.78600000000000003</v>
      </c>
      <c r="FI19">
        <v>-0.191</v>
      </c>
      <c r="FJ19">
        <v>400</v>
      </c>
      <c r="FK19">
        <v>15</v>
      </c>
      <c r="FL19">
        <v>0.43</v>
      </c>
      <c r="FM19">
        <v>0.05</v>
      </c>
      <c r="FN19">
        <v>16.967868898003498</v>
      </c>
      <c r="FO19">
        <v>0.46124526292467799</v>
      </c>
      <c r="FP19">
        <v>0.106534341209251</v>
      </c>
      <c r="FQ19">
        <v>1</v>
      </c>
      <c r="FR19">
        <v>-7.2664</v>
      </c>
      <c r="FS19">
        <v>-0.25214493506493402</v>
      </c>
      <c r="FT19">
        <v>4.5227349711261702E-2</v>
      </c>
      <c r="FU19">
        <v>1</v>
      </c>
      <c r="FV19">
        <v>303.83417647058798</v>
      </c>
      <c r="FW19">
        <v>1.8466615740674699</v>
      </c>
      <c r="FX19">
        <v>0.27188529919242799</v>
      </c>
      <c r="FY19">
        <v>-1</v>
      </c>
      <c r="FZ19">
        <v>2</v>
      </c>
      <c r="GA19">
        <v>2</v>
      </c>
      <c r="GB19" t="s">
        <v>420</v>
      </c>
      <c r="GC19">
        <v>3.1235499999999998</v>
      </c>
      <c r="GD19">
        <v>2.7654000000000001</v>
      </c>
      <c r="GE19">
        <v>8.8502499999999998E-2</v>
      </c>
      <c r="GF19">
        <v>9.20705E-2</v>
      </c>
      <c r="GG19">
        <v>9.3891100000000005E-2</v>
      </c>
      <c r="GH19">
        <v>9.2156100000000005E-2</v>
      </c>
      <c r="GI19">
        <v>17817.099999999999</v>
      </c>
      <c r="GJ19">
        <v>26723.1</v>
      </c>
      <c r="GK19">
        <v>22836.7</v>
      </c>
      <c r="GL19">
        <v>30156.1</v>
      </c>
      <c r="GM19">
        <v>33933.800000000003</v>
      </c>
      <c r="GN19">
        <v>34089.9</v>
      </c>
      <c r="GO19">
        <v>43203.5</v>
      </c>
      <c r="GP19">
        <v>42931.199999999997</v>
      </c>
      <c r="GQ19">
        <v>1.9831799999999999</v>
      </c>
      <c r="GR19">
        <v>1.84737</v>
      </c>
      <c r="GS19">
        <v>9.0040300000000004E-2</v>
      </c>
      <c r="GT19">
        <v>0</v>
      </c>
      <c r="GU19">
        <v>23.5442</v>
      </c>
      <c r="GV19">
        <v>999.9</v>
      </c>
      <c r="GW19">
        <v>42.308999999999997</v>
      </c>
      <c r="GX19">
        <v>31.602</v>
      </c>
      <c r="GY19">
        <v>19.410499999999999</v>
      </c>
      <c r="GZ19">
        <v>63.541699999999999</v>
      </c>
      <c r="HA19">
        <v>37.447899999999997</v>
      </c>
      <c r="HB19">
        <v>1</v>
      </c>
      <c r="HC19">
        <v>-9.1336400000000002E-3</v>
      </c>
      <c r="HD19">
        <v>1.0328599999999999</v>
      </c>
      <c r="HE19">
        <v>20.2363</v>
      </c>
      <c r="HF19">
        <v>5.2343599999999997</v>
      </c>
      <c r="HG19">
        <v>11.962</v>
      </c>
      <c r="HH19">
        <v>4.9691000000000001</v>
      </c>
      <c r="HI19">
        <v>3.2950300000000001</v>
      </c>
      <c r="HJ19">
        <v>9999</v>
      </c>
      <c r="HK19">
        <v>999.9</v>
      </c>
      <c r="HL19">
        <v>9999</v>
      </c>
      <c r="HM19">
        <v>9999</v>
      </c>
      <c r="HN19">
        <v>4.9686199999999996</v>
      </c>
      <c r="HO19">
        <v>1.8625</v>
      </c>
      <c r="HP19">
        <v>1.8640399999999999</v>
      </c>
      <c r="HQ19">
        <v>1.8660000000000001</v>
      </c>
      <c r="HR19">
        <v>1.8629899999999999</v>
      </c>
      <c r="HS19">
        <v>1.8666499999999999</v>
      </c>
      <c r="HT19">
        <v>1.86344</v>
      </c>
      <c r="HU19">
        <v>1.8653900000000001</v>
      </c>
      <c r="HV19">
        <v>0</v>
      </c>
      <c r="HW19">
        <v>0</v>
      </c>
      <c r="HX19">
        <v>0</v>
      </c>
      <c r="HY19">
        <v>0</v>
      </c>
      <c r="HZ19" t="s">
        <v>421</v>
      </c>
      <c r="IA19" t="s">
        <v>422</v>
      </c>
      <c r="IB19" t="s">
        <v>423</v>
      </c>
      <c r="IC19" t="s">
        <v>423</v>
      </c>
      <c r="ID19" t="s">
        <v>423</v>
      </c>
      <c r="IE19" t="s">
        <v>423</v>
      </c>
      <c r="IF19">
        <v>0</v>
      </c>
      <c r="IG19">
        <v>100</v>
      </c>
      <c r="IH19">
        <v>100</v>
      </c>
      <c r="II19">
        <v>0.78700000000000003</v>
      </c>
      <c r="IJ19">
        <v>-0.1201</v>
      </c>
      <c r="IK19">
        <v>0.65984649128775597</v>
      </c>
      <c r="IL19">
        <v>2.16929631606078E-4</v>
      </c>
      <c r="IM19">
        <v>2.7226302473163502E-7</v>
      </c>
      <c r="IN19">
        <v>-5.4379205123515401E-11</v>
      </c>
      <c r="IO19">
        <v>-3.1728735248133397E-2</v>
      </c>
      <c r="IP19">
        <v>-5.8443384954566899E-2</v>
      </c>
      <c r="IQ19">
        <v>3.41568706061026E-3</v>
      </c>
      <c r="IR19">
        <v>-2.10952612506686E-5</v>
      </c>
      <c r="IS19">
        <v>0</v>
      </c>
      <c r="IT19">
        <v>1734</v>
      </c>
      <c r="IU19">
        <v>2</v>
      </c>
      <c r="IV19">
        <v>19</v>
      </c>
      <c r="IW19">
        <v>17.899999999999999</v>
      </c>
      <c r="IX19">
        <v>17.899999999999999</v>
      </c>
      <c r="IY19">
        <v>1.07056</v>
      </c>
      <c r="IZ19">
        <v>2.5451700000000002</v>
      </c>
      <c r="JA19">
        <v>1.3464400000000001</v>
      </c>
      <c r="JB19">
        <v>2.2546400000000002</v>
      </c>
      <c r="JC19">
        <v>1.5502899999999999</v>
      </c>
      <c r="JD19">
        <v>2.7343799999999998</v>
      </c>
      <c r="JE19">
        <v>35.707799999999999</v>
      </c>
      <c r="JF19">
        <v>16.0321</v>
      </c>
      <c r="JG19">
        <v>18</v>
      </c>
      <c r="JH19">
        <v>498.35199999999998</v>
      </c>
      <c r="JI19">
        <v>490.274</v>
      </c>
      <c r="JJ19">
        <v>22.998999999999999</v>
      </c>
      <c r="JK19">
        <v>27.043500000000002</v>
      </c>
      <c r="JL19">
        <v>29.9999</v>
      </c>
      <c r="JM19">
        <v>27.029</v>
      </c>
      <c r="JN19">
        <v>27.0426</v>
      </c>
      <c r="JO19">
        <v>21.437999999999999</v>
      </c>
      <c r="JP19">
        <v>25.537600000000001</v>
      </c>
      <c r="JQ19">
        <v>54.2727</v>
      </c>
      <c r="JR19">
        <v>23.002800000000001</v>
      </c>
      <c r="JS19">
        <v>407.03800000000001</v>
      </c>
      <c r="JT19">
        <v>16.197399999999998</v>
      </c>
      <c r="JU19">
        <v>102.018</v>
      </c>
      <c r="JV19">
        <v>97.5047</v>
      </c>
    </row>
    <row r="20" spans="1:282" x14ac:dyDescent="0.3">
      <c r="A20">
        <v>4</v>
      </c>
      <c r="B20">
        <v>1792121082.0999999</v>
      </c>
      <c r="C20">
        <v>384</v>
      </c>
      <c r="D20" t="s">
        <v>430</v>
      </c>
      <c r="E20" t="s">
        <v>431</v>
      </c>
      <c r="F20">
        <v>5</v>
      </c>
      <c r="G20">
        <v>1792121078.5999999</v>
      </c>
      <c r="H20">
        <f t="shared" si="0"/>
        <v>2.8737784285593274E-3</v>
      </c>
      <c r="I20">
        <f t="shared" si="1"/>
        <v>2.8737784285593273</v>
      </c>
      <c r="J20">
        <f t="shared" si="2"/>
        <v>15.88587549352291</v>
      </c>
      <c r="K20">
        <f t="shared" si="3"/>
        <v>399.95549999999997</v>
      </c>
      <c r="L20">
        <f t="shared" si="4"/>
        <v>269.4218584941305</v>
      </c>
      <c r="M20">
        <f t="shared" si="5"/>
        <v>27.445228071386317</v>
      </c>
      <c r="N20">
        <f t="shared" si="6"/>
        <v>40.742313846611992</v>
      </c>
      <c r="O20">
        <f t="shared" si="7"/>
        <v>0.21339152205711345</v>
      </c>
      <c r="P20">
        <f t="shared" si="8"/>
        <v>3.0376361939061187</v>
      </c>
      <c r="Q20">
        <f t="shared" si="9"/>
        <v>0.20539959359841919</v>
      </c>
      <c r="R20">
        <f t="shared" si="10"/>
        <v>0.12906785106020802</v>
      </c>
      <c r="S20">
        <f t="shared" si="11"/>
        <v>98.072939484723577</v>
      </c>
      <c r="T20">
        <f t="shared" si="12"/>
        <v>25.304332628984913</v>
      </c>
      <c r="U20">
        <f t="shared" si="13"/>
        <v>25.007816666666699</v>
      </c>
      <c r="V20">
        <f t="shared" si="14"/>
        <v>3.1811596932364572</v>
      </c>
      <c r="W20">
        <f t="shared" si="15"/>
        <v>54.770467876734017</v>
      </c>
      <c r="X20">
        <f t="shared" si="16"/>
        <v>1.7907016821791999</v>
      </c>
      <c r="Y20">
        <f t="shared" si="17"/>
        <v>3.2694657387432566</v>
      </c>
      <c r="Z20">
        <f t="shared" si="18"/>
        <v>1.3904580110572573</v>
      </c>
      <c r="AA20">
        <f t="shared" si="19"/>
        <v>-126.73362869946634</v>
      </c>
      <c r="AB20">
        <f t="shared" si="20"/>
        <v>75.345566630367273</v>
      </c>
      <c r="AC20">
        <f t="shared" si="21"/>
        <v>5.2592247024505676</v>
      </c>
      <c r="AD20">
        <f t="shared" si="22"/>
        <v>51.944102118075079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54009.90452215651</v>
      </c>
      <c r="AJ20" t="s">
        <v>415</v>
      </c>
      <c r="AK20">
        <v>8133.33</v>
      </c>
      <c r="AL20">
        <v>240.33076923076899</v>
      </c>
      <c r="AM20">
        <v>892.61927249853704</v>
      </c>
      <c r="AN20">
        <f t="shared" si="26"/>
        <v>0.73075780835645932</v>
      </c>
      <c r="AO20">
        <v>-2.1612035119557702</v>
      </c>
      <c r="AP20" t="s">
        <v>432</v>
      </c>
      <c r="AQ20">
        <v>8182.31</v>
      </c>
      <c r="AR20">
        <v>332.80919999999998</v>
      </c>
      <c r="AS20">
        <v>637.46570580104799</v>
      </c>
      <c r="AT20">
        <f t="shared" si="27"/>
        <v>0.47791826764737488</v>
      </c>
      <c r="AU20">
        <v>0.5</v>
      </c>
      <c r="AV20">
        <f t="shared" si="28"/>
        <v>505.22189071747329</v>
      </c>
      <c r="AW20">
        <f t="shared" si="29"/>
        <v>15.88587549352291</v>
      </c>
      <c r="AX20">
        <f t="shared" si="30"/>
        <v>120.72738539461309</v>
      </c>
      <c r="AY20">
        <f t="shared" si="31"/>
        <v>3.5721094705238814E-2</v>
      </c>
      <c r="AZ20">
        <f t="shared" si="32"/>
        <v>0.40026242098288195</v>
      </c>
      <c r="BA20">
        <f t="shared" si="33"/>
        <v>216.95054459166113</v>
      </c>
      <c r="BB20" t="s">
        <v>417</v>
      </c>
      <c r="BC20">
        <v>0</v>
      </c>
      <c r="BD20">
        <f t="shared" si="34"/>
        <v>216.95054459166113</v>
      </c>
      <c r="BE20">
        <f t="shared" si="35"/>
        <v>0.65966711210128848</v>
      </c>
      <c r="BF20">
        <f t="shared" si="36"/>
        <v>0.72448399939937147</v>
      </c>
      <c r="BG20">
        <f t="shared" si="37"/>
        <v>0.3776311617794092</v>
      </c>
      <c r="BH20">
        <f t="shared" si="38"/>
        <v>0.76713599773444874</v>
      </c>
      <c r="BI20">
        <f t="shared" si="39"/>
        <v>0.39116673898013971</v>
      </c>
      <c r="BJ20">
        <f t="shared" si="40"/>
        <v>0.47227419860279807</v>
      </c>
      <c r="BK20">
        <f t="shared" si="41"/>
        <v>0.52772580139720193</v>
      </c>
      <c r="BL20">
        <v>1097</v>
      </c>
      <c r="BM20">
        <v>290</v>
      </c>
      <c r="BN20">
        <v>565.78</v>
      </c>
      <c r="BO20">
        <v>85</v>
      </c>
      <c r="BP20">
        <v>8182.31</v>
      </c>
      <c r="BQ20">
        <v>561.15</v>
      </c>
      <c r="BR20">
        <v>4.63</v>
      </c>
      <c r="BS20">
        <v>300</v>
      </c>
      <c r="BT20">
        <v>19.3</v>
      </c>
      <c r="BU20">
        <v>637.46570580104799</v>
      </c>
      <c r="BV20">
        <v>1.6280859590568399</v>
      </c>
      <c r="BW20">
        <v>-62.4469351663193</v>
      </c>
      <c r="BX20">
        <v>1.19942003377847</v>
      </c>
      <c r="BY20">
        <v>0.98977612933139003</v>
      </c>
      <c r="BZ20">
        <v>-5.0192022246940996E-3</v>
      </c>
      <c r="CA20">
        <v>290</v>
      </c>
      <c r="CB20">
        <v>547.84</v>
      </c>
      <c r="CC20">
        <v>615</v>
      </c>
      <c r="CD20">
        <v>8156.74</v>
      </c>
      <c r="CE20">
        <v>560.91</v>
      </c>
      <c r="CF20">
        <v>-13.07</v>
      </c>
      <c r="CT20">
        <f t="shared" si="42"/>
        <v>600.03099999999995</v>
      </c>
      <c r="CU20">
        <f t="shared" si="43"/>
        <v>505.22189071747329</v>
      </c>
      <c r="CV20">
        <f t="shared" si="44"/>
        <v>0.8419929815584084</v>
      </c>
      <c r="CW20">
        <f t="shared" si="45"/>
        <v>0.16344645440772823</v>
      </c>
      <c r="CX20">
        <v>2</v>
      </c>
      <c r="CY20">
        <v>0.5</v>
      </c>
      <c r="CZ20" t="s">
        <v>418</v>
      </c>
      <c r="DA20">
        <v>2</v>
      </c>
      <c r="DB20">
        <v>1792121078.5999999</v>
      </c>
      <c r="DC20">
        <v>399.95549999999997</v>
      </c>
      <c r="DD20">
        <v>406.76766666666703</v>
      </c>
      <c r="DE20">
        <v>17.578800000000001</v>
      </c>
      <c r="DF20">
        <v>16.449816666666699</v>
      </c>
      <c r="DG20">
        <v>399.168833333333</v>
      </c>
      <c r="DH20">
        <v>17.6922</v>
      </c>
      <c r="DI20">
        <v>500.14216666666698</v>
      </c>
      <c r="DJ20">
        <v>101.767</v>
      </c>
      <c r="DK20">
        <v>0.100117333333333</v>
      </c>
      <c r="DL20">
        <v>25.4679</v>
      </c>
      <c r="DM20">
        <v>25.007816666666699</v>
      </c>
      <c r="DN20">
        <v>999.9</v>
      </c>
      <c r="DO20">
        <v>0</v>
      </c>
      <c r="DP20">
        <v>0</v>
      </c>
      <c r="DQ20">
        <v>9985</v>
      </c>
      <c r="DR20">
        <v>0</v>
      </c>
      <c r="DS20">
        <v>6.7531800000000004</v>
      </c>
      <c r="DT20">
        <v>-6.8121883333333297</v>
      </c>
      <c r="DU20">
        <v>407.11200000000002</v>
      </c>
      <c r="DV20">
        <v>413.57066666666702</v>
      </c>
      <c r="DW20">
        <v>1.1289800000000001</v>
      </c>
      <c r="DX20">
        <v>406.76766666666703</v>
      </c>
      <c r="DY20">
        <v>16.449816666666699</v>
      </c>
      <c r="DZ20">
        <v>1.78894166666667</v>
      </c>
      <c r="EA20">
        <v>1.67404833333333</v>
      </c>
      <c r="EB20">
        <v>15.6905</v>
      </c>
      <c r="EC20">
        <v>14.657866666666701</v>
      </c>
      <c r="ED20">
        <v>600.03099999999995</v>
      </c>
      <c r="EE20">
        <v>0.93300866666666704</v>
      </c>
      <c r="EF20">
        <v>6.6991200000000001E-2</v>
      </c>
      <c r="EG20">
        <v>0</v>
      </c>
      <c r="EH20">
        <v>333.11900000000003</v>
      </c>
      <c r="EI20">
        <v>5.0006399999999998</v>
      </c>
      <c r="EJ20">
        <v>2012.8966666666699</v>
      </c>
      <c r="EK20">
        <v>6084.2416666666704</v>
      </c>
      <c r="EL20">
        <v>38.082999999999998</v>
      </c>
      <c r="EM20">
        <v>40</v>
      </c>
      <c r="EN20">
        <v>39.25</v>
      </c>
      <c r="EO20">
        <v>39.707999999999998</v>
      </c>
      <c r="EP20">
        <v>40.25</v>
      </c>
      <c r="EQ20">
        <v>555.16833333333295</v>
      </c>
      <c r="ER20">
        <v>39.8616666666667</v>
      </c>
      <c r="ES20">
        <v>0</v>
      </c>
      <c r="ET20">
        <v>123.700000047684</v>
      </c>
      <c r="EU20">
        <v>0</v>
      </c>
      <c r="EV20">
        <v>332.80919999999998</v>
      </c>
      <c r="EW20">
        <v>3.4277692284883599</v>
      </c>
      <c r="EX20">
        <v>14.083846191273601</v>
      </c>
      <c r="EY20">
        <v>2011.9087999999999</v>
      </c>
      <c r="EZ20">
        <v>15</v>
      </c>
      <c r="FA20">
        <v>1792119883</v>
      </c>
      <c r="FB20" t="s">
        <v>419</v>
      </c>
      <c r="FC20">
        <v>1792119883</v>
      </c>
      <c r="FD20">
        <v>1792119882</v>
      </c>
      <c r="FE20">
        <v>33</v>
      </c>
      <c r="FF20">
        <v>-0.78700000000000003</v>
      </c>
      <c r="FG20">
        <v>-1.2999999999999999E-2</v>
      </c>
      <c r="FH20">
        <v>0.78600000000000003</v>
      </c>
      <c r="FI20">
        <v>-0.191</v>
      </c>
      <c r="FJ20">
        <v>400</v>
      </c>
      <c r="FK20">
        <v>15</v>
      </c>
      <c r="FL20">
        <v>0.43</v>
      </c>
      <c r="FM20">
        <v>0.05</v>
      </c>
      <c r="FN20">
        <v>15.7477895300624</v>
      </c>
      <c r="FO20">
        <v>-0.18358652991712601</v>
      </c>
      <c r="FP20">
        <v>0.14992783305386101</v>
      </c>
      <c r="FQ20">
        <v>1</v>
      </c>
      <c r="FR20">
        <v>-6.7635804999999998</v>
      </c>
      <c r="FS20">
        <v>-2.3772180451136798E-2</v>
      </c>
      <c r="FT20">
        <v>6.8989022639475095E-2</v>
      </c>
      <c r="FU20">
        <v>1</v>
      </c>
      <c r="FV20">
        <v>332.58552941176498</v>
      </c>
      <c r="FW20">
        <v>3.0061115323499301</v>
      </c>
      <c r="FX20">
        <v>0.384818386140032</v>
      </c>
      <c r="FY20">
        <v>-1</v>
      </c>
      <c r="FZ20">
        <v>2</v>
      </c>
      <c r="GA20">
        <v>2</v>
      </c>
      <c r="GB20" t="s">
        <v>420</v>
      </c>
      <c r="GC20">
        <v>3.12378</v>
      </c>
      <c r="GD20">
        <v>2.7652000000000001</v>
      </c>
      <c r="GE20">
        <v>8.8484699999999999E-2</v>
      </c>
      <c r="GF20">
        <v>9.1993400000000003E-2</v>
      </c>
      <c r="GG20">
        <v>9.4589800000000002E-2</v>
      </c>
      <c r="GH20">
        <v>9.32896E-2</v>
      </c>
      <c r="GI20">
        <v>17816.599999999999</v>
      </c>
      <c r="GJ20">
        <v>26724</v>
      </c>
      <c r="GK20">
        <v>22835.7</v>
      </c>
      <c r="GL20">
        <v>30154.7</v>
      </c>
      <c r="GM20">
        <v>33904.9</v>
      </c>
      <c r="GN20">
        <v>34045.599999999999</v>
      </c>
      <c r="GO20">
        <v>43201.1</v>
      </c>
      <c r="GP20">
        <v>42929.2</v>
      </c>
      <c r="GQ20">
        <v>1.9828300000000001</v>
      </c>
      <c r="GR20">
        <v>1.84795</v>
      </c>
      <c r="GS20">
        <v>7.5064599999999995E-2</v>
      </c>
      <c r="GT20">
        <v>0</v>
      </c>
      <c r="GU20">
        <v>23.774999999999999</v>
      </c>
      <c r="GV20">
        <v>999.9</v>
      </c>
      <c r="GW20">
        <v>42.344999999999999</v>
      </c>
      <c r="GX20">
        <v>31.582000000000001</v>
      </c>
      <c r="GY20">
        <v>19.401800000000001</v>
      </c>
      <c r="GZ20">
        <v>63.521700000000003</v>
      </c>
      <c r="HA20">
        <v>36.602600000000002</v>
      </c>
      <c r="HB20">
        <v>1</v>
      </c>
      <c r="HC20">
        <v>-7.78709E-3</v>
      </c>
      <c r="HD20">
        <v>0.67070799999999997</v>
      </c>
      <c r="HE20">
        <v>20.241399999999999</v>
      </c>
      <c r="HF20">
        <v>5.23346</v>
      </c>
      <c r="HG20">
        <v>11.962</v>
      </c>
      <c r="HH20">
        <v>4.9678000000000004</v>
      </c>
      <c r="HI20">
        <v>3.2949999999999999</v>
      </c>
      <c r="HJ20">
        <v>9999</v>
      </c>
      <c r="HK20">
        <v>999.9</v>
      </c>
      <c r="HL20">
        <v>9999</v>
      </c>
      <c r="HM20">
        <v>9999</v>
      </c>
      <c r="HN20">
        <v>4.9686500000000002</v>
      </c>
      <c r="HO20">
        <v>1.86249</v>
      </c>
      <c r="HP20">
        <v>1.8640399999999999</v>
      </c>
      <c r="HQ20">
        <v>1.8660000000000001</v>
      </c>
      <c r="HR20">
        <v>1.86297</v>
      </c>
      <c r="HS20">
        <v>1.8666499999999999</v>
      </c>
      <c r="HT20">
        <v>1.86341</v>
      </c>
      <c r="HU20">
        <v>1.8653900000000001</v>
      </c>
      <c r="HV20">
        <v>0</v>
      </c>
      <c r="HW20">
        <v>0</v>
      </c>
      <c r="HX20">
        <v>0</v>
      </c>
      <c r="HY20">
        <v>0</v>
      </c>
      <c r="HZ20" t="s">
        <v>421</v>
      </c>
      <c r="IA20" t="s">
        <v>422</v>
      </c>
      <c r="IB20" t="s">
        <v>423</v>
      </c>
      <c r="IC20" t="s">
        <v>423</v>
      </c>
      <c r="ID20" t="s">
        <v>423</v>
      </c>
      <c r="IE20" t="s">
        <v>423</v>
      </c>
      <c r="IF20">
        <v>0</v>
      </c>
      <c r="IG20">
        <v>100</v>
      </c>
      <c r="IH20">
        <v>100</v>
      </c>
      <c r="II20">
        <v>0.78700000000000003</v>
      </c>
      <c r="IJ20">
        <v>-0.1124</v>
      </c>
      <c r="IK20">
        <v>0.65984649128775597</v>
      </c>
      <c r="IL20">
        <v>2.16929631606078E-4</v>
      </c>
      <c r="IM20">
        <v>2.7226302473163502E-7</v>
      </c>
      <c r="IN20">
        <v>-5.4379205123515401E-11</v>
      </c>
      <c r="IO20">
        <v>-3.1728735248133397E-2</v>
      </c>
      <c r="IP20">
        <v>-5.8443384954566899E-2</v>
      </c>
      <c r="IQ20">
        <v>3.41568706061026E-3</v>
      </c>
      <c r="IR20">
        <v>-2.10952612506686E-5</v>
      </c>
      <c r="IS20">
        <v>0</v>
      </c>
      <c r="IT20">
        <v>1734</v>
      </c>
      <c r="IU20">
        <v>2</v>
      </c>
      <c r="IV20">
        <v>19</v>
      </c>
      <c r="IW20">
        <v>20</v>
      </c>
      <c r="IX20">
        <v>20</v>
      </c>
      <c r="IY20">
        <v>1.07056</v>
      </c>
      <c r="IZ20">
        <v>2.5561500000000001</v>
      </c>
      <c r="JA20">
        <v>1.3464400000000001</v>
      </c>
      <c r="JB20">
        <v>2.2546400000000002</v>
      </c>
      <c r="JC20">
        <v>1.5502899999999999</v>
      </c>
      <c r="JD20">
        <v>2.52563</v>
      </c>
      <c r="JE20">
        <v>35.6845</v>
      </c>
      <c r="JF20">
        <v>16.0321</v>
      </c>
      <c r="JG20">
        <v>18</v>
      </c>
      <c r="JH20">
        <v>498.29599999999999</v>
      </c>
      <c r="JI20">
        <v>490.85</v>
      </c>
      <c r="JJ20">
        <v>23.5792</v>
      </c>
      <c r="JK20">
        <v>27.061900000000001</v>
      </c>
      <c r="JL20">
        <v>29.999400000000001</v>
      </c>
      <c r="JM20">
        <v>27.0473</v>
      </c>
      <c r="JN20">
        <v>27.0608</v>
      </c>
      <c r="JO20">
        <v>21.4285</v>
      </c>
      <c r="JP20">
        <v>24.145499999999998</v>
      </c>
      <c r="JQ20">
        <v>54.2727</v>
      </c>
      <c r="JR20">
        <v>23.605499999999999</v>
      </c>
      <c r="JS20">
        <v>406.77300000000002</v>
      </c>
      <c r="JT20">
        <v>16.496500000000001</v>
      </c>
      <c r="JU20">
        <v>102.01300000000001</v>
      </c>
      <c r="JV20">
        <v>97.500100000000003</v>
      </c>
    </row>
    <row r="21" spans="1:282" x14ac:dyDescent="0.3">
      <c r="A21">
        <v>5</v>
      </c>
      <c r="B21">
        <v>1792121205.0999999</v>
      </c>
      <c r="C21">
        <v>507</v>
      </c>
      <c r="D21" t="s">
        <v>433</v>
      </c>
      <c r="E21" t="s">
        <v>434</v>
      </c>
      <c r="F21">
        <v>5</v>
      </c>
      <c r="G21">
        <v>1792121201.5999999</v>
      </c>
      <c r="H21">
        <f t="shared" si="0"/>
        <v>3.0732272408032437E-3</v>
      </c>
      <c r="I21">
        <f t="shared" si="1"/>
        <v>3.0732272408032437</v>
      </c>
      <c r="J21">
        <f t="shared" si="2"/>
        <v>13.918995555313105</v>
      </c>
      <c r="K21">
        <f t="shared" si="3"/>
        <v>399.965666666667</v>
      </c>
      <c r="L21">
        <f t="shared" si="4"/>
        <v>291.93022935487784</v>
      </c>
      <c r="M21">
        <f t="shared" si="5"/>
        <v>29.736965535806185</v>
      </c>
      <c r="N21">
        <f t="shared" si="6"/>
        <v>40.741807627993389</v>
      </c>
      <c r="O21">
        <f t="shared" si="7"/>
        <v>0.22984415766094199</v>
      </c>
      <c r="P21">
        <f t="shared" si="8"/>
        <v>3.0396455155675555</v>
      </c>
      <c r="Q21">
        <f t="shared" si="9"/>
        <v>0.2206069064092627</v>
      </c>
      <c r="R21">
        <f t="shared" si="10"/>
        <v>0.13867831320755791</v>
      </c>
      <c r="S21">
        <f t="shared" si="11"/>
        <v>66.127712052488363</v>
      </c>
      <c r="T21">
        <f t="shared" si="12"/>
        <v>25.209953602127342</v>
      </c>
      <c r="U21">
        <f t="shared" si="13"/>
        <v>25.0379166666667</v>
      </c>
      <c r="V21">
        <f t="shared" si="14"/>
        <v>3.1868725365761255</v>
      </c>
      <c r="W21">
        <f t="shared" si="15"/>
        <v>54.684660229475824</v>
      </c>
      <c r="X21">
        <f t="shared" si="16"/>
        <v>1.8025909651820968</v>
      </c>
      <c r="Y21">
        <f t="shared" si="17"/>
        <v>3.2963375060168594</v>
      </c>
      <c r="Z21">
        <f t="shared" si="18"/>
        <v>1.3842815713940286</v>
      </c>
      <c r="AA21">
        <f t="shared" si="19"/>
        <v>-135.52932131942305</v>
      </c>
      <c r="AB21">
        <f t="shared" si="20"/>
        <v>93.052761383860059</v>
      </c>
      <c r="AC21">
        <f t="shared" si="21"/>
        <v>6.4964043077756051</v>
      </c>
      <c r="AD21">
        <f t="shared" si="22"/>
        <v>30.14755642470098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54047.811274754371</v>
      </c>
      <c r="AJ21" t="s">
        <v>415</v>
      </c>
      <c r="AK21">
        <v>8133.33</v>
      </c>
      <c r="AL21">
        <v>240.33076923076899</v>
      </c>
      <c r="AM21">
        <v>892.61927249853704</v>
      </c>
      <c r="AN21">
        <f t="shared" si="26"/>
        <v>0.73075780835645932</v>
      </c>
      <c r="AO21">
        <v>-2.1612035119557702</v>
      </c>
      <c r="AP21" t="s">
        <v>435</v>
      </c>
      <c r="AQ21">
        <v>8184.02</v>
      </c>
      <c r="AR21">
        <v>359.59596153846201</v>
      </c>
      <c r="AS21">
        <v>866.16107638551705</v>
      </c>
      <c r="AT21">
        <f t="shared" si="27"/>
        <v>0.58483938918260681</v>
      </c>
      <c r="AU21">
        <v>0.5</v>
      </c>
      <c r="AV21">
        <f t="shared" si="28"/>
        <v>337.18711007900924</v>
      </c>
      <c r="AW21">
        <f t="shared" si="29"/>
        <v>13.918995555313105</v>
      </c>
      <c r="AX21">
        <f t="shared" si="30"/>
        <v>98.600151749428079</v>
      </c>
      <c r="AY21">
        <f t="shared" si="31"/>
        <v>4.7689246079130915E-2</v>
      </c>
      <c r="AZ21">
        <f t="shared" si="32"/>
        <v>3.0546507842894335E-2</v>
      </c>
      <c r="BA21">
        <f t="shared" si="33"/>
        <v>238.37031433924341</v>
      </c>
      <c r="BB21" t="s">
        <v>417</v>
      </c>
      <c r="BC21">
        <v>0</v>
      </c>
      <c r="BD21">
        <f t="shared" si="34"/>
        <v>238.37031433924341</v>
      </c>
      <c r="BE21">
        <f t="shared" si="35"/>
        <v>0.72479678337202502</v>
      </c>
      <c r="BF21">
        <f t="shared" si="36"/>
        <v>0.80690119299607799</v>
      </c>
      <c r="BG21">
        <f t="shared" si="37"/>
        <v>4.0440562851577475E-2</v>
      </c>
      <c r="BH21">
        <f t="shared" si="38"/>
        <v>0.80942886443145279</v>
      </c>
      <c r="BI21">
        <f t="shared" si="39"/>
        <v>4.0562107074511411E-2</v>
      </c>
      <c r="BJ21">
        <f t="shared" si="40"/>
        <v>0.53488167718094071</v>
      </c>
      <c r="BK21">
        <f t="shared" si="41"/>
        <v>0.46511832281905929</v>
      </c>
      <c r="BL21">
        <v>1098</v>
      </c>
      <c r="BM21">
        <v>290</v>
      </c>
      <c r="BN21">
        <v>759.36</v>
      </c>
      <c r="BO21">
        <v>105</v>
      </c>
      <c r="BP21">
        <v>8184.02</v>
      </c>
      <c r="BQ21">
        <v>753.48</v>
      </c>
      <c r="BR21">
        <v>5.88</v>
      </c>
      <c r="BS21">
        <v>300</v>
      </c>
      <c r="BT21">
        <v>19.3</v>
      </c>
      <c r="BU21">
        <v>866.16107638551705</v>
      </c>
      <c r="BV21">
        <v>2.0572135365420001</v>
      </c>
      <c r="BW21">
        <v>-92.218444141617397</v>
      </c>
      <c r="BX21">
        <v>1.5117045058726799</v>
      </c>
      <c r="BY21">
        <v>0.992532060191053</v>
      </c>
      <c r="BZ21">
        <v>-5.1559819799777496E-3</v>
      </c>
      <c r="CA21">
        <v>290</v>
      </c>
      <c r="CB21">
        <v>730.83</v>
      </c>
      <c r="CC21">
        <v>645</v>
      </c>
      <c r="CD21">
        <v>8159.71</v>
      </c>
      <c r="CE21">
        <v>753.14</v>
      </c>
      <c r="CF21">
        <v>-22.31</v>
      </c>
      <c r="CT21">
        <f t="shared" si="42"/>
        <v>400.00233333333301</v>
      </c>
      <c r="CU21">
        <f t="shared" si="43"/>
        <v>337.18711007900924</v>
      </c>
      <c r="CV21">
        <f t="shared" si="44"/>
        <v>0.84296285791418601</v>
      </c>
      <c r="CW21">
        <f t="shared" si="45"/>
        <v>0.16531831577437903</v>
      </c>
      <c r="CX21">
        <v>2</v>
      </c>
      <c r="CY21">
        <v>0.5</v>
      </c>
      <c r="CZ21" t="s">
        <v>418</v>
      </c>
      <c r="DA21">
        <v>2</v>
      </c>
      <c r="DB21">
        <v>1792121201.5999999</v>
      </c>
      <c r="DC21">
        <v>399.965666666667</v>
      </c>
      <c r="DD21">
        <v>406.024</v>
      </c>
      <c r="DE21">
        <v>17.696183333333298</v>
      </c>
      <c r="DF21">
        <v>16.4888333333333</v>
      </c>
      <c r="DG21">
        <v>399.17899999999997</v>
      </c>
      <c r="DH21">
        <v>17.8047166666667</v>
      </c>
      <c r="DI21">
        <v>500.07749999999999</v>
      </c>
      <c r="DJ21">
        <v>101.763166666667</v>
      </c>
      <c r="DK21">
        <v>0.100095666666667</v>
      </c>
      <c r="DL21">
        <v>25.60575</v>
      </c>
      <c r="DM21">
        <v>25.0379166666667</v>
      </c>
      <c r="DN21">
        <v>999.9</v>
      </c>
      <c r="DO21">
        <v>0</v>
      </c>
      <c r="DP21">
        <v>0</v>
      </c>
      <c r="DQ21">
        <v>9997.5083333333296</v>
      </c>
      <c r="DR21">
        <v>0</v>
      </c>
      <c r="DS21">
        <v>6.9127633333333298</v>
      </c>
      <c r="DT21">
        <v>-6.0586433333333298</v>
      </c>
      <c r="DU21">
        <v>407.17083333333301</v>
      </c>
      <c r="DV21">
        <v>412.831166666667</v>
      </c>
      <c r="DW21">
        <v>1.20732833333333</v>
      </c>
      <c r="DX21">
        <v>406.024</v>
      </c>
      <c r="DY21">
        <v>16.4888333333333</v>
      </c>
      <c r="DZ21">
        <v>1.8008166666666701</v>
      </c>
      <c r="EA21">
        <v>1.6779533333333301</v>
      </c>
      <c r="EB21">
        <v>15.7938666666667</v>
      </c>
      <c r="EC21">
        <v>14.6939833333333</v>
      </c>
      <c r="ED21">
        <v>400.00233333333301</v>
      </c>
      <c r="EE21">
        <v>0.89998750000000005</v>
      </c>
      <c r="EF21">
        <v>0.10001246666666699</v>
      </c>
      <c r="EG21">
        <v>0</v>
      </c>
      <c r="EH21">
        <v>359.83433333333301</v>
      </c>
      <c r="EI21">
        <v>5.0006399999999998</v>
      </c>
      <c r="EJ21">
        <v>1432.61666666667</v>
      </c>
      <c r="EK21">
        <v>4005.6116666666699</v>
      </c>
      <c r="EL21">
        <v>37.322499999999998</v>
      </c>
      <c r="EM21">
        <v>39.561999999999998</v>
      </c>
      <c r="EN21">
        <v>38.707999999999998</v>
      </c>
      <c r="EO21">
        <v>39.3645</v>
      </c>
      <c r="EP21">
        <v>39.686999999999998</v>
      </c>
      <c r="EQ21">
        <v>355.49666666666701</v>
      </c>
      <c r="ER21">
        <v>39.505000000000003</v>
      </c>
      <c r="ES21">
        <v>0</v>
      </c>
      <c r="ET21">
        <v>122.10000014305101</v>
      </c>
      <c r="EU21">
        <v>0</v>
      </c>
      <c r="EV21">
        <v>359.59596153846201</v>
      </c>
      <c r="EW21">
        <v>3.8895384523690399</v>
      </c>
      <c r="EX21">
        <v>6.7948718050950303</v>
      </c>
      <c r="EY21">
        <v>1432.1073076923101</v>
      </c>
      <c r="EZ21">
        <v>15</v>
      </c>
      <c r="FA21">
        <v>1792119883</v>
      </c>
      <c r="FB21" t="s">
        <v>419</v>
      </c>
      <c r="FC21">
        <v>1792119883</v>
      </c>
      <c r="FD21">
        <v>1792119882</v>
      </c>
      <c r="FE21">
        <v>33</v>
      </c>
      <c r="FF21">
        <v>-0.78700000000000003</v>
      </c>
      <c r="FG21">
        <v>-1.2999999999999999E-2</v>
      </c>
      <c r="FH21">
        <v>0.78600000000000003</v>
      </c>
      <c r="FI21">
        <v>-0.191</v>
      </c>
      <c r="FJ21">
        <v>400</v>
      </c>
      <c r="FK21">
        <v>15</v>
      </c>
      <c r="FL21">
        <v>0.43</v>
      </c>
      <c r="FM21">
        <v>0.05</v>
      </c>
      <c r="FN21">
        <v>13.9566959195518</v>
      </c>
      <c r="FO21">
        <v>8.6537690286675795E-2</v>
      </c>
      <c r="FP21">
        <v>8.6013177326191806E-2</v>
      </c>
      <c r="FQ21">
        <v>1</v>
      </c>
      <c r="FR21">
        <v>-6.0741909999999999</v>
      </c>
      <c r="FS21">
        <v>-5.89885714285684E-2</v>
      </c>
      <c r="FT21">
        <v>3.5386098810125999E-2</v>
      </c>
      <c r="FU21">
        <v>1</v>
      </c>
      <c r="FV21">
        <v>359.46252941176499</v>
      </c>
      <c r="FW21">
        <v>2.4789610343709101</v>
      </c>
      <c r="FX21">
        <v>0.30802618636714302</v>
      </c>
      <c r="FY21">
        <v>-1</v>
      </c>
      <c r="FZ21">
        <v>2</v>
      </c>
      <c r="GA21">
        <v>2</v>
      </c>
      <c r="GB21" t="s">
        <v>420</v>
      </c>
      <c r="GC21">
        <v>3.1235499999999998</v>
      </c>
      <c r="GD21">
        <v>2.7652700000000001</v>
      </c>
      <c r="GE21">
        <v>8.8483099999999995E-2</v>
      </c>
      <c r="GF21">
        <v>9.1855599999999996E-2</v>
      </c>
      <c r="GG21">
        <v>9.48967E-2</v>
      </c>
      <c r="GH21">
        <v>9.3336100000000005E-2</v>
      </c>
      <c r="GI21">
        <v>17815</v>
      </c>
      <c r="GJ21">
        <v>26727.8</v>
      </c>
      <c r="GK21">
        <v>22833.7</v>
      </c>
      <c r="GL21">
        <v>30154.400000000001</v>
      </c>
      <c r="GM21">
        <v>33890.699999999997</v>
      </c>
      <c r="GN21">
        <v>34044</v>
      </c>
      <c r="GO21">
        <v>43198.1</v>
      </c>
      <c r="GP21">
        <v>42929.5</v>
      </c>
      <c r="GQ21">
        <v>1.9824999999999999</v>
      </c>
      <c r="GR21">
        <v>1.84778</v>
      </c>
      <c r="GS21">
        <v>6.6924800000000007E-2</v>
      </c>
      <c r="GT21">
        <v>0</v>
      </c>
      <c r="GU21">
        <v>23.940999999999999</v>
      </c>
      <c r="GV21">
        <v>999.9</v>
      </c>
      <c r="GW21">
        <v>42.472999999999999</v>
      </c>
      <c r="GX21">
        <v>31.582000000000001</v>
      </c>
      <c r="GY21">
        <v>19.4634</v>
      </c>
      <c r="GZ21">
        <v>63.281700000000001</v>
      </c>
      <c r="HA21">
        <v>37.127400000000002</v>
      </c>
      <c r="HB21">
        <v>1</v>
      </c>
      <c r="HC21">
        <v>-4.5604699999999996E-3</v>
      </c>
      <c r="HD21">
        <v>1.10656</v>
      </c>
      <c r="HE21">
        <v>20.2409</v>
      </c>
      <c r="HF21">
        <v>5.22987</v>
      </c>
      <c r="HG21">
        <v>11.962</v>
      </c>
      <c r="HH21">
        <v>4.968</v>
      </c>
      <c r="HI21">
        <v>3.2950300000000001</v>
      </c>
      <c r="HJ21">
        <v>9999</v>
      </c>
      <c r="HK21">
        <v>999.9</v>
      </c>
      <c r="HL21">
        <v>9999</v>
      </c>
      <c r="HM21">
        <v>9999</v>
      </c>
      <c r="HN21">
        <v>4.9686300000000001</v>
      </c>
      <c r="HO21">
        <v>1.86249</v>
      </c>
      <c r="HP21">
        <v>1.8640099999999999</v>
      </c>
      <c r="HQ21">
        <v>1.86598</v>
      </c>
      <c r="HR21">
        <v>1.86297</v>
      </c>
      <c r="HS21">
        <v>1.8666100000000001</v>
      </c>
      <c r="HT21">
        <v>1.86341</v>
      </c>
      <c r="HU21">
        <v>1.86537</v>
      </c>
      <c r="HV21">
        <v>0</v>
      </c>
      <c r="HW21">
        <v>0</v>
      </c>
      <c r="HX21">
        <v>0</v>
      </c>
      <c r="HY21">
        <v>0</v>
      </c>
      <c r="HZ21" t="s">
        <v>421</v>
      </c>
      <c r="IA21" t="s">
        <v>422</v>
      </c>
      <c r="IB21" t="s">
        <v>423</v>
      </c>
      <c r="IC21" t="s">
        <v>423</v>
      </c>
      <c r="ID21" t="s">
        <v>423</v>
      </c>
      <c r="IE21" t="s">
        <v>423</v>
      </c>
      <c r="IF21">
        <v>0</v>
      </c>
      <c r="IG21">
        <v>100</v>
      </c>
      <c r="IH21">
        <v>100</v>
      </c>
      <c r="II21">
        <v>0.78600000000000003</v>
      </c>
      <c r="IJ21">
        <v>-0.1089</v>
      </c>
      <c r="IK21">
        <v>0.65984649128775597</v>
      </c>
      <c r="IL21">
        <v>2.16929631606078E-4</v>
      </c>
      <c r="IM21">
        <v>2.7226302473163502E-7</v>
      </c>
      <c r="IN21">
        <v>-5.4379205123515401E-11</v>
      </c>
      <c r="IO21">
        <v>-3.1728735248133397E-2</v>
      </c>
      <c r="IP21">
        <v>-5.8443384954566899E-2</v>
      </c>
      <c r="IQ21">
        <v>3.41568706061026E-3</v>
      </c>
      <c r="IR21">
        <v>-2.10952612506686E-5</v>
      </c>
      <c r="IS21">
        <v>0</v>
      </c>
      <c r="IT21">
        <v>1734</v>
      </c>
      <c r="IU21">
        <v>2</v>
      </c>
      <c r="IV21">
        <v>19</v>
      </c>
      <c r="IW21">
        <v>22</v>
      </c>
      <c r="IX21">
        <v>22.1</v>
      </c>
      <c r="IY21">
        <v>1.06812</v>
      </c>
      <c r="IZ21">
        <v>2.5427200000000001</v>
      </c>
      <c r="JA21">
        <v>1.3464400000000001</v>
      </c>
      <c r="JB21">
        <v>2.2546400000000002</v>
      </c>
      <c r="JC21">
        <v>1.5502899999999999</v>
      </c>
      <c r="JD21">
        <v>2.7099600000000001</v>
      </c>
      <c r="JE21">
        <v>35.661299999999997</v>
      </c>
      <c r="JF21">
        <v>16.0321</v>
      </c>
      <c r="JG21">
        <v>18</v>
      </c>
      <c r="JH21">
        <v>498.23500000000001</v>
      </c>
      <c r="JI21">
        <v>490.87599999999998</v>
      </c>
      <c r="JJ21">
        <v>23.958500000000001</v>
      </c>
      <c r="JK21">
        <v>27.0824</v>
      </c>
      <c r="JL21">
        <v>30.000299999999999</v>
      </c>
      <c r="JM21">
        <v>27.063199999999998</v>
      </c>
      <c r="JN21">
        <v>27.076799999999999</v>
      </c>
      <c r="JO21">
        <v>21.397600000000001</v>
      </c>
      <c r="JP21">
        <v>24.718599999999999</v>
      </c>
      <c r="JQ21">
        <v>55.0184</v>
      </c>
      <c r="JR21">
        <v>23.9376</v>
      </c>
      <c r="JS21">
        <v>406.04599999999999</v>
      </c>
      <c r="JT21">
        <v>16.526800000000001</v>
      </c>
      <c r="JU21">
        <v>102.005</v>
      </c>
      <c r="JV21">
        <v>97.500100000000003</v>
      </c>
    </row>
    <row r="22" spans="1:282" x14ac:dyDescent="0.3">
      <c r="A22">
        <v>6</v>
      </c>
      <c r="B22">
        <v>1792121328.0999999</v>
      </c>
      <c r="C22">
        <v>630</v>
      </c>
      <c r="D22" t="s">
        <v>436</v>
      </c>
      <c r="E22" t="s">
        <v>437</v>
      </c>
      <c r="F22">
        <v>5</v>
      </c>
      <c r="G22">
        <v>1792121325.0999999</v>
      </c>
      <c r="H22">
        <f t="shared" si="0"/>
        <v>2.9264725670185131E-3</v>
      </c>
      <c r="I22">
        <f t="shared" si="1"/>
        <v>2.926472567018513</v>
      </c>
      <c r="J22">
        <f t="shared" si="2"/>
        <v>8.0602798097259765</v>
      </c>
      <c r="K22">
        <f t="shared" si="3"/>
        <v>400.01580000000001</v>
      </c>
      <c r="L22">
        <f t="shared" si="4"/>
        <v>331.51433040043923</v>
      </c>
      <c r="M22">
        <f t="shared" si="5"/>
        <v>33.767925363454268</v>
      </c>
      <c r="N22">
        <f t="shared" si="6"/>
        <v>40.745459366074371</v>
      </c>
      <c r="O22">
        <f t="shared" si="7"/>
        <v>0.22061097032455718</v>
      </c>
      <c r="P22">
        <f t="shared" si="8"/>
        <v>3.0392567196724523</v>
      </c>
      <c r="Q22">
        <f t="shared" si="9"/>
        <v>0.21208511441595049</v>
      </c>
      <c r="R22">
        <f t="shared" si="10"/>
        <v>0.13329175698541074</v>
      </c>
      <c r="S22">
        <f t="shared" si="11"/>
        <v>33.065221847335842</v>
      </c>
      <c r="T22">
        <f t="shared" si="12"/>
        <v>25.114632579611005</v>
      </c>
      <c r="U22">
        <f t="shared" si="13"/>
        <v>25.015899999999998</v>
      </c>
      <c r="V22">
        <f t="shared" si="14"/>
        <v>3.1826929935599977</v>
      </c>
      <c r="W22">
        <f t="shared" si="15"/>
        <v>54.775433128709025</v>
      </c>
      <c r="X22">
        <f t="shared" si="16"/>
        <v>1.8116325084960767</v>
      </c>
      <c r="Y22">
        <f t="shared" si="17"/>
        <v>3.3073814391192093</v>
      </c>
      <c r="Z22">
        <f t="shared" si="18"/>
        <v>1.371060485063921</v>
      </c>
      <c r="AA22">
        <f t="shared" si="19"/>
        <v>-129.05744020551643</v>
      </c>
      <c r="AB22">
        <f t="shared" si="20"/>
        <v>105.88470327287401</v>
      </c>
      <c r="AC22">
        <f t="shared" si="21"/>
        <v>7.3944808451871502</v>
      </c>
      <c r="AD22">
        <f t="shared" si="22"/>
        <v>17.286965759880573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54025.355930770958</v>
      </c>
      <c r="AJ22" t="s">
        <v>415</v>
      </c>
      <c r="AK22">
        <v>8133.33</v>
      </c>
      <c r="AL22">
        <v>240.33076923076899</v>
      </c>
      <c r="AM22">
        <v>892.61927249853704</v>
      </c>
      <c r="AN22">
        <f t="shared" si="26"/>
        <v>0.73075780835645932</v>
      </c>
      <c r="AO22">
        <v>-2.1612035119557702</v>
      </c>
      <c r="AP22" t="s">
        <v>438</v>
      </c>
      <c r="AQ22">
        <v>8161.27</v>
      </c>
      <c r="AR22">
        <v>348.46219230769202</v>
      </c>
      <c r="AS22">
        <v>1025.49074369492</v>
      </c>
      <c r="AT22">
        <f t="shared" si="27"/>
        <v>0.66019957327732026</v>
      </c>
      <c r="AU22">
        <v>0.5</v>
      </c>
      <c r="AV22">
        <f t="shared" si="28"/>
        <v>168.66744369292013</v>
      </c>
      <c r="AW22">
        <f t="shared" si="29"/>
        <v>8.0602798097259765</v>
      </c>
      <c r="AX22">
        <f t="shared" si="30"/>
        <v>55.677087175921159</v>
      </c>
      <c r="AY22">
        <f t="shared" si="31"/>
        <v>6.0601400589738098E-2</v>
      </c>
      <c r="AZ22">
        <f t="shared" si="32"/>
        <v>-0.129568669452478</v>
      </c>
      <c r="BA22">
        <f t="shared" si="33"/>
        <v>249.01784452366681</v>
      </c>
      <c r="BB22" t="s">
        <v>417</v>
      </c>
      <c r="BC22">
        <v>0</v>
      </c>
      <c r="BD22">
        <f t="shared" si="34"/>
        <v>249.01784452366681</v>
      </c>
      <c r="BE22">
        <f t="shared" si="35"/>
        <v>0.75717202124473904</v>
      </c>
      <c r="BF22">
        <f t="shared" si="36"/>
        <v>0.8719281150827487</v>
      </c>
      <c r="BG22">
        <f t="shared" si="37"/>
        <v>-0.20644993224218103</v>
      </c>
      <c r="BH22">
        <f t="shared" si="38"/>
        <v>0.86228102986181943</v>
      </c>
      <c r="BI22">
        <f t="shared" si="39"/>
        <v>-0.20370046464215916</v>
      </c>
      <c r="BJ22">
        <f t="shared" si="40"/>
        <v>0.623096750782558</v>
      </c>
      <c r="BK22">
        <f t="shared" si="41"/>
        <v>0.376903249217442</v>
      </c>
      <c r="BL22">
        <v>1099</v>
      </c>
      <c r="BM22">
        <v>290</v>
      </c>
      <c r="BN22">
        <v>932.89</v>
      </c>
      <c r="BO22">
        <v>175</v>
      </c>
      <c r="BP22">
        <v>8161.27</v>
      </c>
      <c r="BQ22">
        <v>930.74</v>
      </c>
      <c r="BR22">
        <v>2.15</v>
      </c>
      <c r="BS22">
        <v>300</v>
      </c>
      <c r="BT22">
        <v>19.3</v>
      </c>
      <c r="BU22">
        <v>1025.49074369492</v>
      </c>
      <c r="BV22">
        <v>2.1268184516192599</v>
      </c>
      <c r="BW22">
        <v>-77.3325618224723</v>
      </c>
      <c r="BX22">
        <v>1.55513927954072</v>
      </c>
      <c r="BY22">
        <v>0.98880351201290095</v>
      </c>
      <c r="BZ22">
        <v>-5.27937330367074E-3</v>
      </c>
      <c r="CA22">
        <v>290</v>
      </c>
      <c r="CB22">
        <v>914.48</v>
      </c>
      <c r="CC22">
        <v>625</v>
      </c>
      <c r="CD22">
        <v>8145.09</v>
      </c>
      <c r="CE22">
        <v>930.55</v>
      </c>
      <c r="CF22">
        <v>-16.07</v>
      </c>
      <c r="CT22">
        <f t="shared" si="42"/>
        <v>200.09780000000001</v>
      </c>
      <c r="CU22">
        <f t="shared" si="43"/>
        <v>168.66744369292013</v>
      </c>
      <c r="CV22">
        <f t="shared" si="44"/>
        <v>0.84292502812584713</v>
      </c>
      <c r="CW22">
        <f t="shared" si="45"/>
        <v>0.16524530428288486</v>
      </c>
      <c r="CX22">
        <v>2</v>
      </c>
      <c r="CY22">
        <v>0.5</v>
      </c>
      <c r="CZ22" t="s">
        <v>418</v>
      </c>
      <c r="DA22">
        <v>2</v>
      </c>
      <c r="DB22">
        <v>1792121325.0999999</v>
      </c>
      <c r="DC22">
        <v>400.01580000000001</v>
      </c>
      <c r="DD22">
        <v>403.70819999999998</v>
      </c>
      <c r="DE22">
        <v>17.78558</v>
      </c>
      <c r="DF22">
        <v>16.6358</v>
      </c>
      <c r="DG22">
        <v>398.96280000000002</v>
      </c>
      <c r="DH22">
        <v>17.89432</v>
      </c>
      <c r="DI22">
        <v>499.99540000000002</v>
      </c>
      <c r="DJ22">
        <v>101.75960000000001</v>
      </c>
      <c r="DK22">
        <v>0.10002496</v>
      </c>
      <c r="DL22">
        <v>25.662120000000002</v>
      </c>
      <c r="DM22">
        <v>25.015899999999998</v>
      </c>
      <c r="DN22">
        <v>999.9</v>
      </c>
      <c r="DO22">
        <v>0</v>
      </c>
      <c r="DP22">
        <v>0</v>
      </c>
      <c r="DQ22">
        <v>9995.51</v>
      </c>
      <c r="DR22">
        <v>0</v>
      </c>
      <c r="DS22">
        <v>6.9299499999999998</v>
      </c>
      <c r="DT22">
        <v>-3.6924000000000001</v>
      </c>
      <c r="DU22">
        <v>407.25920000000002</v>
      </c>
      <c r="DV22">
        <v>410.5378</v>
      </c>
      <c r="DW22">
        <v>1.14977</v>
      </c>
      <c r="DX22">
        <v>403.70819999999998</v>
      </c>
      <c r="DY22">
        <v>16.6358</v>
      </c>
      <c r="DZ22">
        <v>1.809852</v>
      </c>
      <c r="EA22">
        <v>1.6928540000000001</v>
      </c>
      <c r="EB22">
        <v>15.87214</v>
      </c>
      <c r="EC22">
        <v>14.83104</v>
      </c>
      <c r="ED22">
        <v>200.09780000000001</v>
      </c>
      <c r="EE22">
        <v>0.90001759999999997</v>
      </c>
      <c r="EF22">
        <v>9.9982600000000005E-2</v>
      </c>
      <c r="EG22">
        <v>0</v>
      </c>
      <c r="EH22">
        <v>348.51519999999999</v>
      </c>
      <c r="EI22">
        <v>5.0006399999999998</v>
      </c>
      <c r="EJ22">
        <v>688.51239999999996</v>
      </c>
      <c r="EK22">
        <v>1978.4459999999999</v>
      </c>
      <c r="EL22">
        <v>36.549599999999998</v>
      </c>
      <c r="EM22">
        <v>39.099800000000002</v>
      </c>
      <c r="EN22">
        <v>38.125</v>
      </c>
      <c r="EO22">
        <v>38.962200000000003</v>
      </c>
      <c r="EP22">
        <v>39.061999999999998</v>
      </c>
      <c r="EQ22">
        <v>175.59</v>
      </c>
      <c r="ER22">
        <v>19.510000000000002</v>
      </c>
      <c r="ES22">
        <v>0</v>
      </c>
      <c r="ET22">
        <v>121.89999985694899</v>
      </c>
      <c r="EU22">
        <v>0</v>
      </c>
      <c r="EV22">
        <v>348.46219230769202</v>
      </c>
      <c r="EW22">
        <v>-0.413025627949756</v>
      </c>
      <c r="EX22">
        <v>-0.92300851250009597</v>
      </c>
      <c r="EY22">
        <v>688.18984615384602</v>
      </c>
      <c r="EZ22">
        <v>15</v>
      </c>
      <c r="FA22">
        <v>1792121279.0999999</v>
      </c>
      <c r="FB22" t="s">
        <v>439</v>
      </c>
      <c r="FC22">
        <v>1792121279.0999999</v>
      </c>
      <c r="FD22">
        <v>1792121275.0999999</v>
      </c>
      <c r="FE22">
        <v>34</v>
      </c>
      <c r="FF22">
        <v>0.26700000000000002</v>
      </c>
      <c r="FG22">
        <v>-4.0000000000000001E-3</v>
      </c>
      <c r="FH22">
        <v>1.0549999999999999</v>
      </c>
      <c r="FI22">
        <v>-0.154</v>
      </c>
      <c r="FJ22">
        <v>404</v>
      </c>
      <c r="FK22">
        <v>17</v>
      </c>
      <c r="FL22">
        <v>0.6</v>
      </c>
      <c r="FM22">
        <v>0.08</v>
      </c>
      <c r="FN22">
        <v>8.0628671340534197</v>
      </c>
      <c r="FO22">
        <v>9.1352058398276897E-2</v>
      </c>
      <c r="FP22">
        <v>8.4091819009152399E-2</v>
      </c>
      <c r="FQ22">
        <v>1</v>
      </c>
      <c r="FR22">
        <v>-3.7052376190476202</v>
      </c>
      <c r="FS22">
        <v>9.2692207792209796E-2</v>
      </c>
      <c r="FT22">
        <v>3.3517240326330203E-2</v>
      </c>
      <c r="FU22">
        <v>1</v>
      </c>
      <c r="FV22">
        <v>348.52273529411798</v>
      </c>
      <c r="FW22">
        <v>-0.86174178602339102</v>
      </c>
      <c r="FX22">
        <v>0.22662878546509599</v>
      </c>
      <c r="FY22">
        <v>-1</v>
      </c>
      <c r="FZ22">
        <v>2</v>
      </c>
      <c r="GA22">
        <v>2</v>
      </c>
      <c r="GB22" t="s">
        <v>420</v>
      </c>
      <c r="GC22">
        <v>3.1236199999999998</v>
      </c>
      <c r="GD22">
        <v>2.76525</v>
      </c>
      <c r="GE22">
        <v>8.8443800000000003E-2</v>
      </c>
      <c r="GF22">
        <v>9.1440099999999996E-2</v>
      </c>
      <c r="GG22">
        <v>9.5256199999999999E-2</v>
      </c>
      <c r="GH22">
        <v>9.3906100000000006E-2</v>
      </c>
      <c r="GI22">
        <v>17815.099999999999</v>
      </c>
      <c r="GJ22">
        <v>26738.9</v>
      </c>
      <c r="GK22">
        <v>22832.9</v>
      </c>
      <c r="GL22">
        <v>30153.200000000001</v>
      </c>
      <c r="GM22">
        <v>33875.300000000003</v>
      </c>
      <c r="GN22">
        <v>34021.300000000003</v>
      </c>
      <c r="GO22">
        <v>43196.1</v>
      </c>
      <c r="GP22">
        <v>42928</v>
      </c>
      <c r="GQ22">
        <v>1.9822500000000001</v>
      </c>
      <c r="GR22">
        <v>1.84785</v>
      </c>
      <c r="GS22">
        <v>5.5249800000000002E-2</v>
      </c>
      <c r="GT22">
        <v>0</v>
      </c>
      <c r="GU22">
        <v>24.1099</v>
      </c>
      <c r="GV22">
        <v>999.9</v>
      </c>
      <c r="GW22">
        <v>42.820999999999998</v>
      </c>
      <c r="GX22">
        <v>31.562000000000001</v>
      </c>
      <c r="GY22">
        <v>19.601099999999999</v>
      </c>
      <c r="GZ22">
        <v>63.371699999999997</v>
      </c>
      <c r="HA22">
        <v>37.247599999999998</v>
      </c>
      <c r="HB22">
        <v>1</v>
      </c>
      <c r="HC22">
        <v>-4.4842500000000004E-3</v>
      </c>
      <c r="HD22">
        <v>0.55332800000000004</v>
      </c>
      <c r="HE22">
        <v>20.2469</v>
      </c>
      <c r="HF22">
        <v>5.2333100000000004</v>
      </c>
      <c r="HG22">
        <v>11.962</v>
      </c>
      <c r="HH22">
        <v>4.9682000000000004</v>
      </c>
      <c r="HI22">
        <v>3.2950300000000001</v>
      </c>
      <c r="HJ22">
        <v>9999</v>
      </c>
      <c r="HK22">
        <v>999.9</v>
      </c>
      <c r="HL22">
        <v>9999</v>
      </c>
      <c r="HM22">
        <v>9999</v>
      </c>
      <c r="HN22">
        <v>4.9686599999999999</v>
      </c>
      <c r="HO22">
        <v>1.86249</v>
      </c>
      <c r="HP22">
        <v>1.8640300000000001</v>
      </c>
      <c r="HQ22">
        <v>1.8660000000000001</v>
      </c>
      <c r="HR22">
        <v>1.86297</v>
      </c>
      <c r="HS22">
        <v>1.8666700000000001</v>
      </c>
      <c r="HT22">
        <v>1.8634299999999999</v>
      </c>
      <c r="HU22">
        <v>1.8653900000000001</v>
      </c>
      <c r="HV22">
        <v>0</v>
      </c>
      <c r="HW22">
        <v>0</v>
      </c>
      <c r="HX22">
        <v>0</v>
      </c>
      <c r="HY22">
        <v>0</v>
      </c>
      <c r="HZ22" t="s">
        <v>421</v>
      </c>
      <c r="IA22" t="s">
        <v>422</v>
      </c>
      <c r="IB22" t="s">
        <v>423</v>
      </c>
      <c r="IC22" t="s">
        <v>423</v>
      </c>
      <c r="ID22" t="s">
        <v>423</v>
      </c>
      <c r="IE22" t="s">
        <v>423</v>
      </c>
      <c r="IF22">
        <v>0</v>
      </c>
      <c r="IG22">
        <v>100</v>
      </c>
      <c r="IH22">
        <v>100</v>
      </c>
      <c r="II22">
        <v>1.0529999999999999</v>
      </c>
      <c r="IJ22">
        <v>-0.1089</v>
      </c>
      <c r="IK22">
        <v>0.92648003397109902</v>
      </c>
      <c r="IL22">
        <v>2.16929631606078E-4</v>
      </c>
      <c r="IM22">
        <v>2.7226302473163502E-7</v>
      </c>
      <c r="IN22">
        <v>-5.4379205123515401E-11</v>
      </c>
      <c r="IO22">
        <v>-3.5800242309237597E-2</v>
      </c>
      <c r="IP22">
        <v>-5.8443384954566899E-2</v>
      </c>
      <c r="IQ22">
        <v>3.41568706061026E-3</v>
      </c>
      <c r="IR22">
        <v>-2.10952612506686E-5</v>
      </c>
      <c r="IS22">
        <v>0</v>
      </c>
      <c r="IT22">
        <v>1734</v>
      </c>
      <c r="IU22">
        <v>2</v>
      </c>
      <c r="IV22">
        <v>19</v>
      </c>
      <c r="IW22">
        <v>0.8</v>
      </c>
      <c r="IX22">
        <v>0.9</v>
      </c>
      <c r="IY22">
        <v>1.0632299999999999</v>
      </c>
      <c r="IZ22">
        <v>2.5402800000000001</v>
      </c>
      <c r="JA22">
        <v>1.3464400000000001</v>
      </c>
      <c r="JB22">
        <v>2.2546400000000002</v>
      </c>
      <c r="JC22">
        <v>1.5502899999999999</v>
      </c>
      <c r="JD22">
        <v>2.67456</v>
      </c>
      <c r="JE22">
        <v>35.614800000000002</v>
      </c>
      <c r="JF22">
        <v>16.0321</v>
      </c>
      <c r="JG22">
        <v>18</v>
      </c>
      <c r="JH22">
        <v>498.262</v>
      </c>
      <c r="JI22">
        <v>491.09899999999999</v>
      </c>
      <c r="JJ22">
        <v>24.223600000000001</v>
      </c>
      <c r="JK22">
        <v>27.104800000000001</v>
      </c>
      <c r="JL22">
        <v>29.999700000000001</v>
      </c>
      <c r="JM22">
        <v>27.0838</v>
      </c>
      <c r="JN22">
        <v>27.094999999999999</v>
      </c>
      <c r="JO22">
        <v>21.302900000000001</v>
      </c>
      <c r="JP22">
        <v>24.7286</v>
      </c>
      <c r="JQ22">
        <v>55.781500000000001</v>
      </c>
      <c r="JR22">
        <v>24.244800000000001</v>
      </c>
      <c r="JS22">
        <v>403.67700000000002</v>
      </c>
      <c r="JT22">
        <v>16.605899999999998</v>
      </c>
      <c r="JU22">
        <v>102.001</v>
      </c>
      <c r="JV22">
        <v>97.496499999999997</v>
      </c>
    </row>
    <row r="23" spans="1:282" x14ac:dyDescent="0.3">
      <c r="A23">
        <v>7</v>
      </c>
      <c r="B23">
        <v>1792121457.0999999</v>
      </c>
      <c r="C23">
        <v>759</v>
      </c>
      <c r="D23" t="s">
        <v>440</v>
      </c>
      <c r="E23" t="s">
        <v>441</v>
      </c>
      <c r="F23">
        <v>5</v>
      </c>
      <c r="G23">
        <v>1792121453.5999999</v>
      </c>
      <c r="H23">
        <f t="shared" si="0"/>
        <v>2.5783290170184763E-3</v>
      </c>
      <c r="I23">
        <f t="shared" si="1"/>
        <v>2.5783290170184765</v>
      </c>
      <c r="J23">
        <f t="shared" si="2"/>
        <v>3.5291468409681199</v>
      </c>
      <c r="K23">
        <f t="shared" si="3"/>
        <v>399.999666666667</v>
      </c>
      <c r="L23">
        <f t="shared" si="4"/>
        <v>361.56874333639479</v>
      </c>
      <c r="M23">
        <f t="shared" si="5"/>
        <v>36.827814014968233</v>
      </c>
      <c r="N23">
        <f t="shared" si="6"/>
        <v>40.742220121455105</v>
      </c>
      <c r="O23">
        <f t="shared" si="7"/>
        <v>0.19347849700964037</v>
      </c>
      <c r="P23">
        <f t="shared" si="8"/>
        <v>3.0390393369489828</v>
      </c>
      <c r="Q23">
        <f t="shared" si="9"/>
        <v>0.18688667408930759</v>
      </c>
      <c r="R23">
        <f t="shared" si="10"/>
        <v>0.11737771083924475</v>
      </c>
      <c r="S23">
        <f t="shared" si="11"/>
        <v>16.511283609260239</v>
      </c>
      <c r="T23">
        <f t="shared" si="12"/>
        <v>25.065761468526404</v>
      </c>
      <c r="U23">
        <f t="shared" si="13"/>
        <v>25.023150000000001</v>
      </c>
      <c r="V23">
        <f t="shared" si="14"/>
        <v>3.1840687710298772</v>
      </c>
      <c r="W23">
        <f t="shared" si="15"/>
        <v>54.963120287015386</v>
      </c>
      <c r="X23">
        <f t="shared" si="16"/>
        <v>1.8133188972296888</v>
      </c>
      <c r="Y23">
        <f t="shared" si="17"/>
        <v>3.2991556661277679</v>
      </c>
      <c r="Z23">
        <f t="shared" si="18"/>
        <v>1.3707498738001884</v>
      </c>
      <c r="AA23">
        <f t="shared" si="19"/>
        <v>-113.7043096505148</v>
      </c>
      <c r="AB23">
        <f t="shared" si="20"/>
        <v>97.812891173955009</v>
      </c>
      <c r="AC23">
        <f t="shared" si="21"/>
        <v>6.8300791163716497</v>
      </c>
      <c r="AD23">
        <f t="shared" si="22"/>
        <v>7.4499442490720895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54026.055476854795</v>
      </c>
      <c r="AJ23" t="s">
        <v>415</v>
      </c>
      <c r="AK23">
        <v>8133.33</v>
      </c>
      <c r="AL23">
        <v>240.33076923076899</v>
      </c>
      <c r="AM23">
        <v>892.61927249853704</v>
      </c>
      <c r="AN23">
        <f t="shared" si="26"/>
        <v>0.73075780835645932</v>
      </c>
      <c r="AO23">
        <v>-2.1612035119557702</v>
      </c>
      <c r="AP23" t="s">
        <v>442</v>
      </c>
      <c r="AQ23">
        <v>8154.55</v>
      </c>
      <c r="AR23">
        <v>333.00400000000002</v>
      </c>
      <c r="AS23">
        <v>1100.78982048681</v>
      </c>
      <c r="AT23">
        <f t="shared" si="27"/>
        <v>0.69748630137882883</v>
      </c>
      <c r="AU23">
        <v>0.5</v>
      </c>
      <c r="AV23">
        <f t="shared" si="28"/>
        <v>84.29422197370971</v>
      </c>
      <c r="AW23">
        <f t="shared" si="29"/>
        <v>3.5291468409681199</v>
      </c>
      <c r="AX23">
        <f t="shared" si="30"/>
        <v>29.397032556024392</v>
      </c>
      <c r="AY23">
        <f t="shared" si="31"/>
        <v>6.7505817358378808E-2</v>
      </c>
      <c r="AZ23">
        <f t="shared" si="32"/>
        <v>-0.18911016809386211</v>
      </c>
      <c r="BA23">
        <f t="shared" si="33"/>
        <v>253.22403461311259</v>
      </c>
      <c r="BB23" t="s">
        <v>417</v>
      </c>
      <c r="BC23">
        <v>0</v>
      </c>
      <c r="BD23">
        <f t="shared" si="34"/>
        <v>253.22403461311259</v>
      </c>
      <c r="BE23">
        <f t="shared" si="35"/>
        <v>0.76996150409428066</v>
      </c>
      <c r="BF23">
        <f t="shared" si="36"/>
        <v>0.90587165419301618</v>
      </c>
      <c r="BG23">
        <f t="shared" si="37"/>
        <v>-0.32557412951138642</v>
      </c>
      <c r="BH23">
        <f t="shared" si="38"/>
        <v>0.89229791861221885</v>
      </c>
      <c r="BI23">
        <f t="shared" si="39"/>
        <v>-0.31913876596843488</v>
      </c>
      <c r="BJ23">
        <f t="shared" si="40"/>
        <v>0.6888460052023696</v>
      </c>
      <c r="BK23">
        <f t="shared" si="41"/>
        <v>0.3111539947976304</v>
      </c>
      <c r="BL23">
        <v>1100</v>
      </c>
      <c r="BM23">
        <v>290</v>
      </c>
      <c r="BN23">
        <v>1013.71</v>
      </c>
      <c r="BO23">
        <v>165</v>
      </c>
      <c r="BP23">
        <v>8154.55</v>
      </c>
      <c r="BQ23">
        <v>1012.55</v>
      </c>
      <c r="BR23">
        <v>1.1599999999999999</v>
      </c>
      <c r="BS23">
        <v>300</v>
      </c>
      <c r="BT23">
        <v>19.3</v>
      </c>
      <c r="BU23">
        <v>1100.78982048681</v>
      </c>
      <c r="BV23">
        <v>1.7974217480563699</v>
      </c>
      <c r="BW23">
        <v>-71.956908540045205</v>
      </c>
      <c r="BX23">
        <v>1.3110547554051399</v>
      </c>
      <c r="BY23">
        <v>0.99079048991763397</v>
      </c>
      <c r="BZ23">
        <v>-5.3415830923248097E-3</v>
      </c>
      <c r="CA23">
        <v>290</v>
      </c>
      <c r="CB23">
        <v>994.48</v>
      </c>
      <c r="CC23">
        <v>615</v>
      </c>
      <c r="CD23">
        <v>8138.11</v>
      </c>
      <c r="CE23">
        <v>1012.37</v>
      </c>
      <c r="CF23">
        <v>-17.89</v>
      </c>
      <c r="CT23">
        <f t="shared" si="42"/>
        <v>100.011333333333</v>
      </c>
      <c r="CU23">
        <f t="shared" si="43"/>
        <v>84.29422197370971</v>
      </c>
      <c r="CV23">
        <f t="shared" si="44"/>
        <v>0.84284669711142735</v>
      </c>
      <c r="CW23">
        <f t="shared" si="45"/>
        <v>0.16509412542505478</v>
      </c>
      <c r="CX23">
        <v>2</v>
      </c>
      <c r="CY23">
        <v>0.5</v>
      </c>
      <c r="CZ23" t="s">
        <v>418</v>
      </c>
      <c r="DA23">
        <v>2</v>
      </c>
      <c r="DB23">
        <v>1792121453.5999999</v>
      </c>
      <c r="DC23">
        <v>399.999666666667</v>
      </c>
      <c r="DD23">
        <v>401.82400000000001</v>
      </c>
      <c r="DE23">
        <v>17.8028333333333</v>
      </c>
      <c r="DF23">
        <v>16.7897833333333</v>
      </c>
      <c r="DG23">
        <v>398.95466666666698</v>
      </c>
      <c r="DH23">
        <v>17.9134833333333</v>
      </c>
      <c r="DI23">
        <v>499.96100000000001</v>
      </c>
      <c r="DJ23">
        <v>101.755666666667</v>
      </c>
      <c r="DK23">
        <v>9.9968516666666701E-2</v>
      </c>
      <c r="DL23">
        <v>25.620149999999999</v>
      </c>
      <c r="DM23">
        <v>25.023150000000001</v>
      </c>
      <c r="DN23">
        <v>999.9</v>
      </c>
      <c r="DO23">
        <v>0</v>
      </c>
      <c r="DP23">
        <v>0</v>
      </c>
      <c r="DQ23">
        <v>9994.5833333333303</v>
      </c>
      <c r="DR23">
        <v>0</v>
      </c>
      <c r="DS23">
        <v>6.9836900000000002</v>
      </c>
      <c r="DT23">
        <v>-1.82443166666667</v>
      </c>
      <c r="DU23">
        <v>407.249666666667</v>
      </c>
      <c r="DV23">
        <v>408.68566666666698</v>
      </c>
      <c r="DW23">
        <v>1.0130616666666701</v>
      </c>
      <c r="DX23">
        <v>401.82400000000001</v>
      </c>
      <c r="DY23">
        <v>16.7897833333333</v>
      </c>
      <c r="DZ23">
        <v>1.8115383333333299</v>
      </c>
      <c r="EA23">
        <v>1.7084550000000001</v>
      </c>
      <c r="EB23">
        <v>15.8867166666667</v>
      </c>
      <c r="EC23">
        <v>14.973466666666701</v>
      </c>
      <c r="ED23">
        <v>100.011333333333</v>
      </c>
      <c r="EE23">
        <v>0.900115</v>
      </c>
      <c r="EF23">
        <v>9.9885083333333305E-2</v>
      </c>
      <c r="EG23">
        <v>0</v>
      </c>
      <c r="EH23">
        <v>333.06033333333301</v>
      </c>
      <c r="EI23">
        <v>5.0006399999999998</v>
      </c>
      <c r="EJ23">
        <v>320.72500000000002</v>
      </c>
      <c r="EK23">
        <v>963.50866666666695</v>
      </c>
      <c r="EL23">
        <v>35.822499999999998</v>
      </c>
      <c r="EM23">
        <v>38.625</v>
      </c>
      <c r="EN23">
        <v>37.5</v>
      </c>
      <c r="EO23">
        <v>38.541333333333299</v>
      </c>
      <c r="EP23">
        <v>38.457999999999998</v>
      </c>
      <c r="EQ23">
        <v>85.52</v>
      </c>
      <c r="ER23">
        <v>9.49</v>
      </c>
      <c r="ES23">
        <v>0</v>
      </c>
      <c r="ET23">
        <v>127.700000047684</v>
      </c>
      <c r="EU23">
        <v>0</v>
      </c>
      <c r="EV23">
        <v>333.00400000000002</v>
      </c>
      <c r="EW23">
        <v>0.312076924648726</v>
      </c>
      <c r="EX23">
        <v>-1.7190000257893601</v>
      </c>
      <c r="EY23">
        <v>320.79736000000003</v>
      </c>
      <c r="EZ23">
        <v>15</v>
      </c>
      <c r="FA23">
        <v>1792121405.0999999</v>
      </c>
      <c r="FB23" t="s">
        <v>443</v>
      </c>
      <c r="FC23">
        <v>1792121405.0999999</v>
      </c>
      <c r="FD23">
        <v>1792121398.0999999</v>
      </c>
      <c r="FE23">
        <v>35</v>
      </c>
      <c r="FF23">
        <v>-8.0000000000000002E-3</v>
      </c>
      <c r="FG23">
        <v>-3.0000000000000001E-3</v>
      </c>
      <c r="FH23">
        <v>1.046</v>
      </c>
      <c r="FI23">
        <v>-0.15</v>
      </c>
      <c r="FJ23">
        <v>402</v>
      </c>
      <c r="FK23">
        <v>17</v>
      </c>
      <c r="FL23">
        <v>0.41</v>
      </c>
      <c r="FM23">
        <v>0.04</v>
      </c>
      <c r="FN23">
        <v>3.5774351931194301</v>
      </c>
      <c r="FO23">
        <v>0.19195403156257601</v>
      </c>
      <c r="FP23">
        <v>0.10595933757294999</v>
      </c>
      <c r="FQ23">
        <v>1</v>
      </c>
      <c r="FR23">
        <v>-1.85202523809524</v>
      </c>
      <c r="FS23">
        <v>7.0129870129886102E-3</v>
      </c>
      <c r="FT23">
        <v>4.0614792240670598E-2</v>
      </c>
      <c r="FU23">
        <v>1</v>
      </c>
      <c r="FV23">
        <v>333.01585294117598</v>
      </c>
      <c r="FW23">
        <v>-0.40689075753743997</v>
      </c>
      <c r="FX23">
        <v>0.187994701482433</v>
      </c>
      <c r="FY23">
        <v>-1</v>
      </c>
      <c r="FZ23">
        <v>2</v>
      </c>
      <c r="GA23">
        <v>2</v>
      </c>
      <c r="GB23" t="s">
        <v>420</v>
      </c>
      <c r="GC23">
        <v>3.1237699999999999</v>
      </c>
      <c r="GD23">
        <v>2.7652999999999999</v>
      </c>
      <c r="GE23">
        <v>8.8418800000000006E-2</v>
      </c>
      <c r="GF23">
        <v>9.1125100000000001E-2</v>
      </c>
      <c r="GG23">
        <v>9.5311900000000005E-2</v>
      </c>
      <c r="GH23">
        <v>9.4511899999999996E-2</v>
      </c>
      <c r="GI23">
        <v>17814.599999999999</v>
      </c>
      <c r="GJ23">
        <v>26747.7</v>
      </c>
      <c r="GK23">
        <v>22831.7</v>
      </c>
      <c r="GL23">
        <v>30152.799999999999</v>
      </c>
      <c r="GM23">
        <v>33872</v>
      </c>
      <c r="GN23">
        <v>33998.1</v>
      </c>
      <c r="GO23">
        <v>43194.5</v>
      </c>
      <c r="GP23">
        <v>42927.5</v>
      </c>
      <c r="GQ23">
        <v>1.9813499999999999</v>
      </c>
      <c r="GR23">
        <v>1.8475299999999999</v>
      </c>
      <c r="GS23">
        <v>4.9009900000000002E-2</v>
      </c>
      <c r="GT23">
        <v>0</v>
      </c>
      <c r="GU23">
        <v>24.219899999999999</v>
      </c>
      <c r="GV23">
        <v>999.9</v>
      </c>
      <c r="GW23">
        <v>43.162999999999997</v>
      </c>
      <c r="GX23">
        <v>31.552</v>
      </c>
      <c r="GY23">
        <v>19.747599999999998</v>
      </c>
      <c r="GZ23">
        <v>63.4617</v>
      </c>
      <c r="HA23">
        <v>37.167499999999997</v>
      </c>
      <c r="HB23">
        <v>1</v>
      </c>
      <c r="HC23">
        <v>-2.7159599999999999E-3</v>
      </c>
      <c r="HD23">
        <v>0.67601599999999995</v>
      </c>
      <c r="HE23">
        <v>20.247299999999999</v>
      </c>
      <c r="HF23">
        <v>5.2340600000000004</v>
      </c>
      <c r="HG23">
        <v>11.962</v>
      </c>
      <c r="HH23">
        <v>4.9692999999999996</v>
      </c>
      <c r="HI23">
        <v>3.2949999999999999</v>
      </c>
      <c r="HJ23">
        <v>9999</v>
      </c>
      <c r="HK23">
        <v>999.9</v>
      </c>
      <c r="HL23">
        <v>9999</v>
      </c>
      <c r="HM23">
        <v>9999</v>
      </c>
      <c r="HN23">
        <v>4.9686599999999999</v>
      </c>
      <c r="HO23">
        <v>1.8625</v>
      </c>
      <c r="HP23">
        <v>1.8640300000000001</v>
      </c>
      <c r="HQ23">
        <v>1.86598</v>
      </c>
      <c r="HR23">
        <v>1.8629599999999999</v>
      </c>
      <c r="HS23">
        <v>1.8667</v>
      </c>
      <c r="HT23">
        <v>1.8633999999999999</v>
      </c>
      <c r="HU23">
        <v>1.8653900000000001</v>
      </c>
      <c r="HV23">
        <v>0</v>
      </c>
      <c r="HW23">
        <v>0</v>
      </c>
      <c r="HX23">
        <v>0</v>
      </c>
      <c r="HY23">
        <v>0</v>
      </c>
      <c r="HZ23" t="s">
        <v>421</v>
      </c>
      <c r="IA23" t="s">
        <v>422</v>
      </c>
      <c r="IB23" t="s">
        <v>423</v>
      </c>
      <c r="IC23" t="s">
        <v>423</v>
      </c>
      <c r="ID23" t="s">
        <v>423</v>
      </c>
      <c r="IE23" t="s">
        <v>423</v>
      </c>
      <c r="IF23">
        <v>0</v>
      </c>
      <c r="IG23">
        <v>100</v>
      </c>
      <c r="IH23">
        <v>100</v>
      </c>
      <c r="II23">
        <v>1.0449999999999999</v>
      </c>
      <c r="IJ23">
        <v>-0.1109</v>
      </c>
      <c r="IK23">
        <v>0.91870462246647899</v>
      </c>
      <c r="IL23">
        <v>2.16929631606078E-4</v>
      </c>
      <c r="IM23">
        <v>2.7226302473163502E-7</v>
      </c>
      <c r="IN23">
        <v>-5.4379205123515401E-11</v>
      </c>
      <c r="IO23">
        <v>-3.8549021576724699E-2</v>
      </c>
      <c r="IP23">
        <v>-5.8443384954566899E-2</v>
      </c>
      <c r="IQ23">
        <v>3.41568706061026E-3</v>
      </c>
      <c r="IR23">
        <v>-2.10952612506686E-5</v>
      </c>
      <c r="IS23">
        <v>0</v>
      </c>
      <c r="IT23">
        <v>1734</v>
      </c>
      <c r="IU23">
        <v>2</v>
      </c>
      <c r="IV23">
        <v>19</v>
      </c>
      <c r="IW23">
        <v>0.9</v>
      </c>
      <c r="IX23">
        <v>1</v>
      </c>
      <c r="IY23">
        <v>1.0607899999999999</v>
      </c>
      <c r="IZ23">
        <v>2.5463900000000002</v>
      </c>
      <c r="JA23">
        <v>1.3464400000000001</v>
      </c>
      <c r="JB23">
        <v>2.2546400000000002</v>
      </c>
      <c r="JC23">
        <v>1.5502899999999999</v>
      </c>
      <c r="JD23">
        <v>2.6904300000000001</v>
      </c>
      <c r="JE23">
        <v>35.591500000000003</v>
      </c>
      <c r="JF23">
        <v>16.0321</v>
      </c>
      <c r="JG23">
        <v>18</v>
      </c>
      <c r="JH23">
        <v>497.92599999999999</v>
      </c>
      <c r="JI23">
        <v>491.09699999999998</v>
      </c>
      <c r="JJ23">
        <v>24.155899999999999</v>
      </c>
      <c r="JK23">
        <v>27.1404</v>
      </c>
      <c r="JL23">
        <v>30.000299999999999</v>
      </c>
      <c r="JM23">
        <v>27.108899999999998</v>
      </c>
      <c r="JN23">
        <v>27.119399999999999</v>
      </c>
      <c r="JO23">
        <v>21.233599999999999</v>
      </c>
      <c r="JP23">
        <v>24.296700000000001</v>
      </c>
      <c r="JQ23">
        <v>56.665100000000002</v>
      </c>
      <c r="JR23">
        <v>24.134</v>
      </c>
      <c r="JS23">
        <v>402.00900000000001</v>
      </c>
      <c r="JT23">
        <v>16.800799999999999</v>
      </c>
      <c r="JU23">
        <v>101.997</v>
      </c>
      <c r="JV23">
        <v>97.4953</v>
      </c>
    </row>
    <row r="24" spans="1:282" x14ac:dyDescent="0.3">
      <c r="A24">
        <v>8</v>
      </c>
      <c r="B24">
        <v>1792121581.0999999</v>
      </c>
      <c r="C24">
        <v>883</v>
      </c>
      <c r="D24" t="s">
        <v>444</v>
      </c>
      <c r="E24" t="s">
        <v>445</v>
      </c>
      <c r="F24">
        <v>5</v>
      </c>
      <c r="G24">
        <v>1792121577.5999999</v>
      </c>
      <c r="H24">
        <f t="shared" si="0"/>
        <v>2.1710299973891609E-3</v>
      </c>
      <c r="I24">
        <f t="shared" si="1"/>
        <v>2.1710299973891609</v>
      </c>
      <c r="J24">
        <f t="shared" si="2"/>
        <v>0.89897853716777831</v>
      </c>
      <c r="K24">
        <f t="shared" si="3"/>
        <v>400.00700000000001</v>
      </c>
      <c r="L24">
        <f t="shared" si="4"/>
        <v>382.22416869735559</v>
      </c>
      <c r="M24">
        <f t="shared" si="5"/>
        <v>38.930872417839055</v>
      </c>
      <c r="N24">
        <f t="shared" si="6"/>
        <v>40.742116167889215</v>
      </c>
      <c r="O24">
        <f t="shared" si="7"/>
        <v>0.1612498809961494</v>
      </c>
      <c r="P24">
        <f t="shared" si="8"/>
        <v>3.0364493948161408</v>
      </c>
      <c r="Q24">
        <f t="shared" si="9"/>
        <v>0.15663926514373414</v>
      </c>
      <c r="R24">
        <f t="shared" si="10"/>
        <v>9.8302805300480939E-2</v>
      </c>
      <c r="S24">
        <f t="shared" si="11"/>
        <v>8.2405774300215509</v>
      </c>
      <c r="T24">
        <f t="shared" si="12"/>
        <v>24.990049185222041</v>
      </c>
      <c r="U24">
        <f t="shared" si="13"/>
        <v>25.003550000000001</v>
      </c>
      <c r="V24">
        <f t="shared" si="14"/>
        <v>3.1803506238972421</v>
      </c>
      <c r="W24">
        <f t="shared" si="15"/>
        <v>55.081408004973312</v>
      </c>
      <c r="X24">
        <f t="shared" si="16"/>
        <v>1.803190739518407</v>
      </c>
      <c r="Y24">
        <f t="shared" si="17"/>
        <v>3.2736830898650893</v>
      </c>
      <c r="Z24">
        <f t="shared" si="18"/>
        <v>1.3771598843788351</v>
      </c>
      <c r="AA24">
        <f t="shared" si="19"/>
        <v>-95.742422884861995</v>
      </c>
      <c r="AB24">
        <f t="shared" si="20"/>
        <v>79.56690010282577</v>
      </c>
      <c r="AC24">
        <f t="shared" si="21"/>
        <v>5.5565379147228837</v>
      </c>
      <c r="AD24">
        <f t="shared" si="22"/>
        <v>-2.3784074372917985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53968.533958682565</v>
      </c>
      <c r="AJ24" t="s">
        <v>415</v>
      </c>
      <c r="AK24">
        <v>8133.33</v>
      </c>
      <c r="AL24">
        <v>240.33076923076899</v>
      </c>
      <c r="AM24">
        <v>892.61927249853704</v>
      </c>
      <c r="AN24">
        <f t="shared" si="26"/>
        <v>0.73075780835645932</v>
      </c>
      <c r="AO24">
        <v>-2.1612035119557702</v>
      </c>
      <c r="AP24" t="s">
        <v>446</v>
      </c>
      <c r="AQ24">
        <v>8144.71</v>
      </c>
      <c r="AR24">
        <v>326.68</v>
      </c>
      <c r="AS24">
        <v>1151.0405072640201</v>
      </c>
      <c r="AT24">
        <f t="shared" si="27"/>
        <v>0.71618722543787272</v>
      </c>
      <c r="AU24">
        <v>0.5</v>
      </c>
      <c r="AV24">
        <f t="shared" si="28"/>
        <v>42.137816243534481</v>
      </c>
      <c r="AW24">
        <f t="shared" si="29"/>
        <v>0.89897853716777831</v>
      </c>
      <c r="AX24">
        <f t="shared" si="30"/>
        <v>15.089282850733943</v>
      </c>
      <c r="AY24">
        <f t="shared" si="31"/>
        <v>7.2623176090505046E-2</v>
      </c>
      <c r="AZ24">
        <f t="shared" si="32"/>
        <v>-0.22451098213714529</v>
      </c>
      <c r="BA24">
        <f t="shared" si="33"/>
        <v>255.79289433596361</v>
      </c>
      <c r="BB24" t="s">
        <v>417</v>
      </c>
      <c r="BC24">
        <v>0</v>
      </c>
      <c r="BD24">
        <f t="shared" si="34"/>
        <v>255.79289433596361</v>
      </c>
      <c r="BE24">
        <f t="shared" si="35"/>
        <v>0.77777246524192822</v>
      </c>
      <c r="BF24">
        <f t="shared" si="36"/>
        <v>0.92081843655277862</v>
      </c>
      <c r="BG24">
        <f t="shared" si="37"/>
        <v>-0.40579543126197504</v>
      </c>
      <c r="BH24">
        <f t="shared" si="38"/>
        <v>0.90518468490771931</v>
      </c>
      <c r="BI24">
        <f t="shared" si="39"/>
        <v>-0.39617628314905268</v>
      </c>
      <c r="BJ24">
        <f t="shared" si="40"/>
        <v>0.721007753899082</v>
      </c>
      <c r="BK24">
        <f t="shared" si="41"/>
        <v>0.278992246100918</v>
      </c>
      <c r="BL24">
        <v>1101</v>
      </c>
      <c r="BM24">
        <v>290</v>
      </c>
      <c r="BN24">
        <v>1069.7</v>
      </c>
      <c r="BO24">
        <v>245</v>
      </c>
      <c r="BP24">
        <v>8144.71</v>
      </c>
      <c r="BQ24">
        <v>1068.55</v>
      </c>
      <c r="BR24">
        <v>1.1499999999999999</v>
      </c>
      <c r="BS24">
        <v>300</v>
      </c>
      <c r="BT24">
        <v>19.3</v>
      </c>
      <c r="BU24">
        <v>1151.0405072640201</v>
      </c>
      <c r="BV24">
        <v>2.36825583594463</v>
      </c>
      <c r="BW24">
        <v>-67.183398646277595</v>
      </c>
      <c r="BX24">
        <v>1.7254071468197201</v>
      </c>
      <c r="BY24">
        <v>0.98186698856499699</v>
      </c>
      <c r="BZ24">
        <v>-5.3725159065628504E-3</v>
      </c>
      <c r="CA24">
        <v>290</v>
      </c>
      <c r="CB24">
        <v>1050.75</v>
      </c>
      <c r="CC24">
        <v>625</v>
      </c>
      <c r="CD24">
        <v>8134.51</v>
      </c>
      <c r="CE24">
        <v>1068.45</v>
      </c>
      <c r="CF24">
        <v>-17.7</v>
      </c>
      <c r="CT24">
        <f t="shared" si="42"/>
        <v>50.003700000000002</v>
      </c>
      <c r="CU24">
        <f t="shared" si="43"/>
        <v>42.137816243534481</v>
      </c>
      <c r="CV24">
        <f t="shared" si="44"/>
        <v>0.84269396551724129</v>
      </c>
      <c r="CW24">
        <f t="shared" si="45"/>
        <v>0.16479935344827584</v>
      </c>
      <c r="CX24">
        <v>2</v>
      </c>
      <c r="CY24">
        <v>0.5</v>
      </c>
      <c r="CZ24" t="s">
        <v>418</v>
      </c>
      <c r="DA24">
        <v>2</v>
      </c>
      <c r="DB24">
        <v>1792121577.5999999</v>
      </c>
      <c r="DC24">
        <v>400.00700000000001</v>
      </c>
      <c r="DD24">
        <v>400.714</v>
      </c>
      <c r="DE24">
        <v>17.703766666666699</v>
      </c>
      <c r="DF24">
        <v>16.850683333333301</v>
      </c>
      <c r="DG24">
        <v>398.95699999999999</v>
      </c>
      <c r="DH24">
        <v>17.820033333333299</v>
      </c>
      <c r="DI24">
        <v>499.97333333333302</v>
      </c>
      <c r="DJ24">
        <v>101.7535</v>
      </c>
      <c r="DK24">
        <v>0.10000798333333299</v>
      </c>
      <c r="DL24">
        <v>25.489599999999999</v>
      </c>
      <c r="DM24">
        <v>25.003550000000001</v>
      </c>
      <c r="DN24">
        <v>999.9</v>
      </c>
      <c r="DO24">
        <v>0</v>
      </c>
      <c r="DP24">
        <v>0</v>
      </c>
      <c r="DQ24">
        <v>9979.1650000000009</v>
      </c>
      <c r="DR24">
        <v>0</v>
      </c>
      <c r="DS24">
        <v>7.1730633333333298</v>
      </c>
      <c r="DT24">
        <v>-0.70671600000000001</v>
      </c>
      <c r="DU24">
        <v>407.2165</v>
      </c>
      <c r="DV24">
        <v>407.58199999999999</v>
      </c>
      <c r="DW24">
        <v>0.85309016666666704</v>
      </c>
      <c r="DX24">
        <v>400.714</v>
      </c>
      <c r="DY24">
        <v>16.850683333333301</v>
      </c>
      <c r="DZ24">
        <v>1.80142333333333</v>
      </c>
      <c r="EA24">
        <v>1.714615</v>
      </c>
      <c r="EB24">
        <v>15.7991333333333</v>
      </c>
      <c r="EC24">
        <v>15.0294166666667</v>
      </c>
      <c r="ED24">
        <v>50.003700000000002</v>
      </c>
      <c r="EE24">
        <v>0.90019166666666695</v>
      </c>
      <c r="EF24">
        <v>9.9808083333333297E-2</v>
      </c>
      <c r="EG24">
        <v>0</v>
      </c>
      <c r="EH24">
        <v>326.76916666666699</v>
      </c>
      <c r="EI24">
        <v>5.0006399999999998</v>
      </c>
      <c r="EJ24">
        <v>148.50583333333299</v>
      </c>
      <c r="EK24">
        <v>456.38816666666702</v>
      </c>
      <c r="EL24">
        <v>35.25</v>
      </c>
      <c r="EM24">
        <v>38.186999999999998</v>
      </c>
      <c r="EN24">
        <v>37</v>
      </c>
      <c r="EO24">
        <v>38.125</v>
      </c>
      <c r="EP24">
        <v>37.947499999999998</v>
      </c>
      <c r="EQ24">
        <v>40.51</v>
      </c>
      <c r="ER24">
        <v>4.49</v>
      </c>
      <c r="ES24">
        <v>0</v>
      </c>
      <c r="ET24">
        <v>122.700000047684</v>
      </c>
      <c r="EU24">
        <v>0</v>
      </c>
      <c r="EV24">
        <v>326.68</v>
      </c>
      <c r="EW24">
        <v>1.64630769394596</v>
      </c>
      <c r="EX24">
        <v>0.995923041123704</v>
      </c>
      <c r="EY24">
        <v>148.39223999999999</v>
      </c>
      <c r="EZ24">
        <v>15</v>
      </c>
      <c r="FA24">
        <v>1792121537.0999999</v>
      </c>
      <c r="FB24" t="s">
        <v>447</v>
      </c>
      <c r="FC24">
        <v>1792121537.0999999</v>
      </c>
      <c r="FD24">
        <v>1792121521.0999999</v>
      </c>
      <c r="FE24">
        <v>36</v>
      </c>
      <c r="FF24">
        <v>5.0000000000000001E-3</v>
      </c>
      <c r="FG24">
        <v>-2E-3</v>
      </c>
      <c r="FH24">
        <v>1.0509999999999999</v>
      </c>
      <c r="FI24">
        <v>-0.151</v>
      </c>
      <c r="FJ24">
        <v>401</v>
      </c>
      <c r="FK24">
        <v>17</v>
      </c>
      <c r="FL24">
        <v>0.36</v>
      </c>
      <c r="FM24">
        <v>0.11</v>
      </c>
      <c r="FN24">
        <v>0.802449116780941</v>
      </c>
      <c r="FO24">
        <v>-0.16425127261417999</v>
      </c>
      <c r="FP24">
        <v>0.142313799977457</v>
      </c>
      <c r="FQ24">
        <v>1</v>
      </c>
      <c r="FR24">
        <v>-0.683538571428571</v>
      </c>
      <c r="FS24">
        <v>4.9374545454545199E-2</v>
      </c>
      <c r="FT24">
        <v>5.5719754244810203E-2</v>
      </c>
      <c r="FU24">
        <v>1</v>
      </c>
      <c r="FV24">
        <v>326.53923529411799</v>
      </c>
      <c r="FW24">
        <v>1.71064935395086</v>
      </c>
      <c r="FX24">
        <v>0.263086438359037</v>
      </c>
      <c r="FY24">
        <v>-1</v>
      </c>
      <c r="FZ24">
        <v>2</v>
      </c>
      <c r="GA24">
        <v>2</v>
      </c>
      <c r="GB24" t="s">
        <v>420</v>
      </c>
      <c r="GC24">
        <v>3.1236199999999998</v>
      </c>
      <c r="GD24">
        <v>2.76505</v>
      </c>
      <c r="GE24">
        <v>8.8424699999999995E-2</v>
      </c>
      <c r="GF24">
        <v>9.0915399999999993E-2</v>
      </c>
      <c r="GG24">
        <v>9.4918000000000002E-2</v>
      </c>
      <c r="GH24">
        <v>9.4746800000000006E-2</v>
      </c>
      <c r="GI24">
        <v>17813.900000000001</v>
      </c>
      <c r="GJ24">
        <v>26752.400000000001</v>
      </c>
      <c r="GK24">
        <v>22831.1</v>
      </c>
      <c r="GL24">
        <v>30151.4</v>
      </c>
      <c r="GM24">
        <v>33886.300000000003</v>
      </c>
      <c r="GN24">
        <v>33987.800000000003</v>
      </c>
      <c r="GO24">
        <v>43193.1</v>
      </c>
      <c r="GP24">
        <v>42925.7</v>
      </c>
      <c r="GQ24">
        <v>1.9810000000000001</v>
      </c>
      <c r="GR24">
        <v>1.84745</v>
      </c>
      <c r="GS24">
        <v>4.7486300000000002E-2</v>
      </c>
      <c r="GT24">
        <v>0</v>
      </c>
      <c r="GU24">
        <v>24.220700000000001</v>
      </c>
      <c r="GV24">
        <v>999.9</v>
      </c>
      <c r="GW24">
        <v>43.249000000000002</v>
      </c>
      <c r="GX24">
        <v>31.521000000000001</v>
      </c>
      <c r="GY24">
        <v>19.7516</v>
      </c>
      <c r="GZ24">
        <v>63.121699999999997</v>
      </c>
      <c r="HA24">
        <v>37.311700000000002</v>
      </c>
      <c r="HB24">
        <v>1</v>
      </c>
      <c r="HC24">
        <v>-5.5386200000000002E-4</v>
      </c>
      <c r="HD24">
        <v>0.594055</v>
      </c>
      <c r="HE24">
        <v>20.2483</v>
      </c>
      <c r="HF24">
        <v>5.2337600000000002</v>
      </c>
      <c r="HG24">
        <v>11.962</v>
      </c>
      <c r="HH24">
        <v>4.9691999999999998</v>
      </c>
      <c r="HI24">
        <v>3.2950499999999998</v>
      </c>
      <c r="HJ24">
        <v>9999</v>
      </c>
      <c r="HK24">
        <v>999.9</v>
      </c>
      <c r="HL24">
        <v>9999</v>
      </c>
      <c r="HM24">
        <v>9999</v>
      </c>
      <c r="HN24">
        <v>4.9686700000000004</v>
      </c>
      <c r="HO24">
        <v>1.86249</v>
      </c>
      <c r="HP24">
        <v>1.8640300000000001</v>
      </c>
      <c r="HQ24">
        <v>1.8660000000000001</v>
      </c>
      <c r="HR24">
        <v>1.8629599999999999</v>
      </c>
      <c r="HS24">
        <v>1.86669</v>
      </c>
      <c r="HT24">
        <v>1.8634500000000001</v>
      </c>
      <c r="HU24">
        <v>1.8653900000000001</v>
      </c>
      <c r="HV24">
        <v>0</v>
      </c>
      <c r="HW24">
        <v>0</v>
      </c>
      <c r="HX24">
        <v>0</v>
      </c>
      <c r="HY24">
        <v>0</v>
      </c>
      <c r="HZ24" t="s">
        <v>421</v>
      </c>
      <c r="IA24" t="s">
        <v>422</v>
      </c>
      <c r="IB24" t="s">
        <v>423</v>
      </c>
      <c r="IC24" t="s">
        <v>423</v>
      </c>
      <c r="ID24" t="s">
        <v>423</v>
      </c>
      <c r="IE24" t="s">
        <v>423</v>
      </c>
      <c r="IF24">
        <v>0</v>
      </c>
      <c r="IG24">
        <v>100</v>
      </c>
      <c r="IH24">
        <v>100</v>
      </c>
      <c r="II24">
        <v>1.05</v>
      </c>
      <c r="IJ24">
        <v>-0.1167</v>
      </c>
      <c r="IK24">
        <v>0.92393140199321599</v>
      </c>
      <c r="IL24">
        <v>2.16929631606078E-4</v>
      </c>
      <c r="IM24">
        <v>2.7226302473163502E-7</v>
      </c>
      <c r="IN24">
        <v>-5.4379205123515401E-11</v>
      </c>
      <c r="IO24">
        <v>-4.0071651433729899E-2</v>
      </c>
      <c r="IP24">
        <v>-5.8443384954566899E-2</v>
      </c>
      <c r="IQ24">
        <v>3.41568706061026E-3</v>
      </c>
      <c r="IR24">
        <v>-2.10952612506686E-5</v>
      </c>
      <c r="IS24">
        <v>0</v>
      </c>
      <c r="IT24">
        <v>1734</v>
      </c>
      <c r="IU24">
        <v>2</v>
      </c>
      <c r="IV24">
        <v>19</v>
      </c>
      <c r="IW24">
        <v>0.7</v>
      </c>
      <c r="IX24">
        <v>1</v>
      </c>
      <c r="IY24">
        <v>1.0583499999999999</v>
      </c>
      <c r="IZ24">
        <v>2.5451700000000002</v>
      </c>
      <c r="JA24">
        <v>1.3464400000000001</v>
      </c>
      <c r="JB24">
        <v>2.2546400000000002</v>
      </c>
      <c r="JC24">
        <v>1.5502899999999999</v>
      </c>
      <c r="JD24">
        <v>2.7075200000000001</v>
      </c>
      <c r="JE24">
        <v>35.591500000000003</v>
      </c>
      <c r="JF24">
        <v>16.0321</v>
      </c>
      <c r="JG24">
        <v>18</v>
      </c>
      <c r="JH24">
        <v>497.95499999999998</v>
      </c>
      <c r="JI24">
        <v>491.28500000000003</v>
      </c>
      <c r="JJ24">
        <v>24.098700000000001</v>
      </c>
      <c r="JK24">
        <v>27.174399999999999</v>
      </c>
      <c r="JL24">
        <v>30</v>
      </c>
      <c r="JM24">
        <v>27.136900000000001</v>
      </c>
      <c r="JN24">
        <v>27.145199999999999</v>
      </c>
      <c r="JO24">
        <v>21.1844</v>
      </c>
      <c r="JP24">
        <v>24.549700000000001</v>
      </c>
      <c r="JQ24">
        <v>57.726799999999997</v>
      </c>
      <c r="JR24">
        <v>24.104500000000002</v>
      </c>
      <c r="JS24">
        <v>400.58600000000001</v>
      </c>
      <c r="JT24">
        <v>16.858000000000001</v>
      </c>
      <c r="JU24">
        <v>101.994</v>
      </c>
      <c r="JV24">
        <v>97.491</v>
      </c>
    </row>
    <row r="25" spans="1:282" x14ac:dyDescent="0.3">
      <c r="A25">
        <v>9</v>
      </c>
      <c r="B25">
        <v>1792121714.0999999</v>
      </c>
      <c r="C25">
        <v>1016</v>
      </c>
      <c r="D25" t="s">
        <v>448</v>
      </c>
      <c r="E25" t="s">
        <v>449</v>
      </c>
      <c r="F25">
        <v>5</v>
      </c>
      <c r="G25">
        <v>1792121710.5999999</v>
      </c>
      <c r="H25">
        <f t="shared" si="0"/>
        <v>1.6633514636891535E-3</v>
      </c>
      <c r="I25">
        <f t="shared" si="1"/>
        <v>1.6633514636891535</v>
      </c>
      <c r="J25">
        <f t="shared" si="2"/>
        <v>-2.1310327359990979</v>
      </c>
      <c r="K25">
        <f t="shared" si="3"/>
        <v>400.01350000000002</v>
      </c>
      <c r="L25">
        <f t="shared" si="4"/>
        <v>419.40201078224544</v>
      </c>
      <c r="M25">
        <f t="shared" si="5"/>
        <v>42.718545769542501</v>
      </c>
      <c r="N25">
        <f t="shared" si="6"/>
        <v>40.743712640560084</v>
      </c>
      <c r="O25">
        <f t="shared" si="7"/>
        <v>0.12189917174375389</v>
      </c>
      <c r="P25">
        <f t="shared" si="8"/>
        <v>3.0400583252442903</v>
      </c>
      <c r="Q25">
        <f t="shared" si="9"/>
        <v>0.11924741173673929</v>
      </c>
      <c r="R25">
        <f t="shared" si="10"/>
        <v>7.4763077869387851E-2</v>
      </c>
      <c r="S25">
        <f t="shared" si="11"/>
        <v>6.3856599478895988E-4</v>
      </c>
      <c r="T25">
        <f t="shared" si="12"/>
        <v>25.018541303477555</v>
      </c>
      <c r="U25">
        <f t="shared" si="13"/>
        <v>25.009250000000002</v>
      </c>
      <c r="V25">
        <f t="shared" si="14"/>
        <v>3.1814315303251646</v>
      </c>
      <c r="W25">
        <f t="shared" si="15"/>
        <v>55.014929342305273</v>
      </c>
      <c r="X25">
        <f t="shared" si="16"/>
        <v>1.7953807072498347</v>
      </c>
      <c r="Y25">
        <f t="shared" si="17"/>
        <v>3.2634427213000641</v>
      </c>
      <c r="Z25">
        <f t="shared" si="18"/>
        <v>1.3860508230753299</v>
      </c>
      <c r="AA25">
        <f t="shared" si="19"/>
        <v>-73.353799548691669</v>
      </c>
      <c r="AB25">
        <f t="shared" si="20"/>
        <v>70.084500600257357</v>
      </c>
      <c r="AC25">
        <f t="shared" si="21"/>
        <v>4.8873693081735148</v>
      </c>
      <c r="AD25">
        <f t="shared" si="22"/>
        <v>1.6187089257339977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54091.178312756514</v>
      </c>
      <c r="AJ25" t="s">
        <v>450</v>
      </c>
      <c r="AK25">
        <v>8149.33</v>
      </c>
      <c r="AL25">
        <v>296.355769230769</v>
      </c>
      <c r="AM25">
        <v>1271.24326792134</v>
      </c>
      <c r="AN25">
        <f t="shared" si="26"/>
        <v>0.76687721641558659</v>
      </c>
      <c r="AO25">
        <v>-2.13103273599839</v>
      </c>
      <c r="AP25" t="s">
        <v>417</v>
      </c>
      <c r="AQ25" t="s">
        <v>417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3.3608736567839995E-3</v>
      </c>
      <c r="AW25">
        <f t="shared" si="29"/>
        <v>-2.1310327359990979</v>
      </c>
      <c r="AX25" t="e">
        <f t="shared" si="30"/>
        <v>#DIV/0!</v>
      </c>
      <c r="AY25">
        <f t="shared" si="31"/>
        <v>-2.1062327025359363E-10</v>
      </c>
      <c r="AZ25" t="e">
        <f t="shared" si="32"/>
        <v>#DIV/0!</v>
      </c>
      <c r="BA25" t="e">
        <f t="shared" si="33"/>
        <v>#DIV/0!</v>
      </c>
      <c r="BB25" t="s">
        <v>417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>
        <f t="shared" si="38"/>
        <v>0</v>
      </c>
      <c r="BI25">
        <f t="shared" si="39"/>
        <v>1.3039897112526544</v>
      </c>
      <c r="BJ25" t="e">
        <f t="shared" si="40"/>
        <v>#DIV/0!</v>
      </c>
      <c r="BK25" t="e">
        <f t="shared" si="41"/>
        <v>#DIV/0!</v>
      </c>
      <c r="BL25">
        <v>1102</v>
      </c>
      <c r="BM25">
        <v>290</v>
      </c>
      <c r="BN25">
        <v>1218.4000000000001</v>
      </c>
      <c r="BO25">
        <v>145</v>
      </c>
      <c r="BP25">
        <v>8149.33</v>
      </c>
      <c r="BQ25">
        <v>1209.06</v>
      </c>
      <c r="BR25">
        <v>9.34</v>
      </c>
      <c r="BS25">
        <v>300</v>
      </c>
      <c r="BT25">
        <v>19.3</v>
      </c>
      <c r="BU25">
        <v>1271.24326792134</v>
      </c>
      <c r="BV25">
        <v>1.72360259125549</v>
      </c>
      <c r="BW25">
        <v>-50.6791866302502</v>
      </c>
      <c r="BX25">
        <v>1.25427575456177</v>
      </c>
      <c r="BY25">
        <v>0.98313837363755696</v>
      </c>
      <c r="BZ25">
        <v>-5.4004703003337103E-3</v>
      </c>
      <c r="CA25">
        <v>290</v>
      </c>
      <c r="CB25">
        <v>1193.42</v>
      </c>
      <c r="CC25">
        <v>625</v>
      </c>
      <c r="CD25">
        <v>8130.74</v>
      </c>
      <c r="CE25">
        <v>1208.9100000000001</v>
      </c>
      <c r="CF25">
        <v>-15.49</v>
      </c>
      <c r="CT25">
        <f t="shared" si="42"/>
        <v>2.0002599999999999E-2</v>
      </c>
      <c r="CU25">
        <f t="shared" si="43"/>
        <v>3.3608736567839995E-3</v>
      </c>
      <c r="CV25">
        <f t="shared" si="44"/>
        <v>0.16802183999999998</v>
      </c>
      <c r="CW25">
        <f t="shared" si="45"/>
        <v>3.1924149599999993E-2</v>
      </c>
      <c r="CX25">
        <v>2</v>
      </c>
      <c r="CY25">
        <v>0.5</v>
      </c>
      <c r="CZ25" t="s">
        <v>418</v>
      </c>
      <c r="DA25">
        <v>2</v>
      </c>
      <c r="DB25">
        <v>1792121710.5999999</v>
      </c>
      <c r="DC25">
        <v>400.01350000000002</v>
      </c>
      <c r="DD25">
        <v>399.42733333333302</v>
      </c>
      <c r="DE25">
        <v>17.6266833333333</v>
      </c>
      <c r="DF25">
        <v>16.973183333333299</v>
      </c>
      <c r="DG25">
        <v>398.97033333333297</v>
      </c>
      <c r="DH25">
        <v>17.746083333333299</v>
      </c>
      <c r="DI25">
        <v>500.08633333333302</v>
      </c>
      <c r="DJ25">
        <v>101.755833333333</v>
      </c>
      <c r="DK25">
        <v>0.100010633333333</v>
      </c>
      <c r="DL25">
        <v>25.436866666666699</v>
      </c>
      <c r="DM25">
        <v>25.009250000000002</v>
      </c>
      <c r="DN25">
        <v>999.9</v>
      </c>
      <c r="DO25">
        <v>0</v>
      </c>
      <c r="DP25">
        <v>0</v>
      </c>
      <c r="DQ25">
        <v>10000.723333333301</v>
      </c>
      <c r="DR25">
        <v>0</v>
      </c>
      <c r="DS25">
        <v>6.8788933333333304</v>
      </c>
      <c r="DT25">
        <v>0.58617649999999999</v>
      </c>
      <c r="DU25">
        <v>407.19049999999999</v>
      </c>
      <c r="DV25">
        <v>406.32350000000002</v>
      </c>
      <c r="DW25">
        <v>0.65349316666666701</v>
      </c>
      <c r="DX25">
        <v>399.42733333333302</v>
      </c>
      <c r="DY25">
        <v>16.973183333333299</v>
      </c>
      <c r="DZ25">
        <v>1.79361666666667</v>
      </c>
      <c r="EA25">
        <v>1.72711833333333</v>
      </c>
      <c r="EB25">
        <v>15.731249999999999</v>
      </c>
      <c r="EC25">
        <v>15.14235</v>
      </c>
      <c r="ED25">
        <v>2.0002599999999999E-2</v>
      </c>
      <c r="EE25">
        <v>0</v>
      </c>
      <c r="EF25">
        <v>0</v>
      </c>
      <c r="EG25">
        <v>0</v>
      </c>
      <c r="EH25">
        <v>295.07916666666699</v>
      </c>
      <c r="EI25">
        <v>2.0002599999999999E-2</v>
      </c>
      <c r="EJ25">
        <v>-5.75416666666667</v>
      </c>
      <c r="EK25">
        <v>1.62083333333333</v>
      </c>
      <c r="EL25">
        <v>35.311999999999998</v>
      </c>
      <c r="EM25">
        <v>39.687333333333299</v>
      </c>
      <c r="EN25">
        <v>37.770666666666699</v>
      </c>
      <c r="EO25">
        <v>39.937333333333299</v>
      </c>
      <c r="EP25">
        <v>38.436999999999998</v>
      </c>
      <c r="EQ25">
        <v>0</v>
      </c>
      <c r="ER25">
        <v>0</v>
      </c>
      <c r="ES25">
        <v>0</v>
      </c>
      <c r="ET25">
        <v>132</v>
      </c>
      <c r="EU25">
        <v>0</v>
      </c>
      <c r="EV25">
        <v>296.355769230769</v>
      </c>
      <c r="EW25">
        <v>-15.2649573942254</v>
      </c>
      <c r="EX25">
        <v>6.1290598360300503</v>
      </c>
      <c r="EY25">
        <v>-8.3336538461538492</v>
      </c>
      <c r="EZ25">
        <v>15</v>
      </c>
      <c r="FA25">
        <v>1792121654.0999999</v>
      </c>
      <c r="FB25" t="s">
        <v>451</v>
      </c>
      <c r="FC25">
        <v>1792121654.0999999</v>
      </c>
      <c r="FD25">
        <v>1792121641.0999999</v>
      </c>
      <c r="FE25">
        <v>37</v>
      </c>
      <c r="FF25">
        <v>-7.0000000000000001E-3</v>
      </c>
      <c r="FG25">
        <v>0</v>
      </c>
      <c r="FH25">
        <v>1.0429999999999999</v>
      </c>
      <c r="FI25">
        <v>-0.15</v>
      </c>
      <c r="FJ25">
        <v>400</v>
      </c>
      <c r="FK25">
        <v>17</v>
      </c>
      <c r="FL25">
        <v>0.28000000000000003</v>
      </c>
      <c r="FM25">
        <v>0.04</v>
      </c>
      <c r="FN25">
        <v>-2.1618270648911602</v>
      </c>
      <c r="FO25">
        <v>0.25724174633921698</v>
      </c>
      <c r="FP25">
        <v>0.110575579341141</v>
      </c>
      <c r="FQ25">
        <v>1</v>
      </c>
      <c r="FR25">
        <v>0.59529614285714305</v>
      </c>
      <c r="FS25">
        <v>-2.03294805194809E-2</v>
      </c>
      <c r="FT25">
        <v>4.3103790052434497E-2</v>
      </c>
      <c r="FU25">
        <v>1</v>
      </c>
      <c r="FV25">
        <v>296.39264705882402</v>
      </c>
      <c r="FW25">
        <v>-12.329258936051399</v>
      </c>
      <c r="FX25">
        <v>3.4073316788287902</v>
      </c>
      <c r="FY25">
        <v>-1</v>
      </c>
      <c r="FZ25">
        <v>2</v>
      </c>
      <c r="GA25">
        <v>2</v>
      </c>
      <c r="GB25" t="s">
        <v>420</v>
      </c>
      <c r="GC25">
        <v>3.1238899999999998</v>
      </c>
      <c r="GD25">
        <v>2.76539</v>
      </c>
      <c r="GE25">
        <v>8.8422500000000001E-2</v>
      </c>
      <c r="GF25">
        <v>9.0684500000000001E-2</v>
      </c>
      <c r="GG25">
        <v>9.4666E-2</v>
      </c>
      <c r="GH25">
        <v>9.5256999999999994E-2</v>
      </c>
      <c r="GI25">
        <v>17811.7</v>
      </c>
      <c r="GJ25">
        <v>26756.799999999999</v>
      </c>
      <c r="GK25">
        <v>22828.400000000001</v>
      </c>
      <c r="GL25">
        <v>30148.7</v>
      </c>
      <c r="GM25">
        <v>33892.699999999997</v>
      </c>
      <c r="GN25">
        <v>33966</v>
      </c>
      <c r="GO25">
        <v>43188.800000000003</v>
      </c>
      <c r="GP25">
        <v>42922.5</v>
      </c>
      <c r="GQ25">
        <v>1.98088</v>
      </c>
      <c r="GR25">
        <v>1.847</v>
      </c>
      <c r="GS25">
        <v>4.7769399999999997E-2</v>
      </c>
      <c r="GT25">
        <v>0</v>
      </c>
      <c r="GU25">
        <v>24.224699999999999</v>
      </c>
      <c r="GV25">
        <v>999.9</v>
      </c>
      <c r="GW25">
        <v>43.554000000000002</v>
      </c>
      <c r="GX25">
        <v>31.510999999999999</v>
      </c>
      <c r="GY25">
        <v>19.880199999999999</v>
      </c>
      <c r="GZ25">
        <v>63.351700000000001</v>
      </c>
      <c r="HA25">
        <v>36.510399999999997</v>
      </c>
      <c r="HB25">
        <v>1</v>
      </c>
      <c r="HC25">
        <v>2.5304899999999998E-3</v>
      </c>
      <c r="HD25">
        <v>0.56054199999999998</v>
      </c>
      <c r="HE25">
        <v>20.252300000000002</v>
      </c>
      <c r="HF25">
        <v>5.2333100000000004</v>
      </c>
      <c r="HG25">
        <v>11.9625</v>
      </c>
      <c r="HH25">
        <v>4.9691000000000001</v>
      </c>
      <c r="HI25">
        <v>3.2949999999999999</v>
      </c>
      <c r="HJ25">
        <v>9999</v>
      </c>
      <c r="HK25">
        <v>999.9</v>
      </c>
      <c r="HL25">
        <v>9999</v>
      </c>
      <c r="HM25">
        <v>9999</v>
      </c>
      <c r="HN25">
        <v>4.9686700000000004</v>
      </c>
      <c r="HO25">
        <v>1.8625100000000001</v>
      </c>
      <c r="HP25">
        <v>1.8640399999999999</v>
      </c>
      <c r="HQ25">
        <v>1.8660000000000001</v>
      </c>
      <c r="HR25">
        <v>1.8630100000000001</v>
      </c>
      <c r="HS25">
        <v>1.8667</v>
      </c>
      <c r="HT25">
        <v>1.86348</v>
      </c>
      <c r="HU25">
        <v>1.8653900000000001</v>
      </c>
      <c r="HV25">
        <v>0</v>
      </c>
      <c r="HW25">
        <v>0</v>
      </c>
      <c r="HX25">
        <v>0</v>
      </c>
      <c r="HY25">
        <v>0</v>
      </c>
      <c r="HZ25" t="s">
        <v>421</v>
      </c>
      <c r="IA25" t="s">
        <v>422</v>
      </c>
      <c r="IB25" t="s">
        <v>423</v>
      </c>
      <c r="IC25" t="s">
        <v>423</v>
      </c>
      <c r="ID25" t="s">
        <v>423</v>
      </c>
      <c r="IE25" t="s">
        <v>423</v>
      </c>
      <c r="IF25">
        <v>0</v>
      </c>
      <c r="IG25">
        <v>100</v>
      </c>
      <c r="IH25">
        <v>100</v>
      </c>
      <c r="II25">
        <v>1.0429999999999999</v>
      </c>
      <c r="IJ25">
        <v>-0.1195</v>
      </c>
      <c r="IK25">
        <v>0.91666504303785401</v>
      </c>
      <c r="IL25">
        <v>2.16929631606078E-4</v>
      </c>
      <c r="IM25">
        <v>2.7226302473163502E-7</v>
      </c>
      <c r="IN25">
        <v>-5.4379205123515401E-11</v>
      </c>
      <c r="IO25">
        <v>-4.0062453734616497E-2</v>
      </c>
      <c r="IP25">
        <v>-5.8443384954566899E-2</v>
      </c>
      <c r="IQ25">
        <v>3.41568706061026E-3</v>
      </c>
      <c r="IR25">
        <v>-2.10952612506686E-5</v>
      </c>
      <c r="IS25">
        <v>0</v>
      </c>
      <c r="IT25">
        <v>1734</v>
      </c>
      <c r="IU25">
        <v>2</v>
      </c>
      <c r="IV25">
        <v>19</v>
      </c>
      <c r="IW25">
        <v>1</v>
      </c>
      <c r="IX25">
        <v>1.2</v>
      </c>
      <c r="IY25">
        <v>1.0559099999999999</v>
      </c>
      <c r="IZ25">
        <v>2.5573700000000001</v>
      </c>
      <c r="JA25">
        <v>1.3476600000000001</v>
      </c>
      <c r="JB25">
        <v>2.2546400000000002</v>
      </c>
      <c r="JC25">
        <v>1.5502899999999999</v>
      </c>
      <c r="JD25">
        <v>2.4536099999999998</v>
      </c>
      <c r="JE25">
        <v>35.568300000000001</v>
      </c>
      <c r="JF25">
        <v>16.014600000000002</v>
      </c>
      <c r="JG25">
        <v>18</v>
      </c>
      <c r="JH25">
        <v>498.17599999999999</v>
      </c>
      <c r="JI25">
        <v>491.26900000000001</v>
      </c>
      <c r="JJ25">
        <v>24.160499999999999</v>
      </c>
      <c r="JK25">
        <v>27.211300000000001</v>
      </c>
      <c r="JL25">
        <v>30.0002</v>
      </c>
      <c r="JM25">
        <v>27.1707</v>
      </c>
      <c r="JN25">
        <v>27.177700000000002</v>
      </c>
      <c r="JO25">
        <v>21.130400000000002</v>
      </c>
      <c r="JP25">
        <v>24.895700000000001</v>
      </c>
      <c r="JQ25">
        <v>59.090200000000003</v>
      </c>
      <c r="JR25">
        <v>24.162400000000002</v>
      </c>
      <c r="JS25">
        <v>399.26799999999997</v>
      </c>
      <c r="JT25">
        <v>16.919</v>
      </c>
      <c r="JU25">
        <v>101.983</v>
      </c>
      <c r="JV25">
        <v>97.483199999999997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2026-10-16T12:35:57Z</dcterms:created>
  <dcterms:modified xsi:type="dcterms:W3CDTF">2026-10-17T10:05:13Z</dcterms:modified>
</cp:coreProperties>
</file>