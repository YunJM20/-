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BC631CDA7DEFEDE6010AD39604E0B34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 s="1"/>
  <c r="Y27" i="1"/>
  <c r="X27" i="1"/>
  <c r="W27" i="1" s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 s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S24" i="1" s="1"/>
  <c r="BI24" i="1"/>
  <c r="BH24" i="1"/>
  <c r="AZ24" i="1"/>
  <c r="AT24" i="1"/>
  <c r="AN24" i="1"/>
  <c r="BA24" i="1" s="1"/>
  <c r="BD24" i="1" s="1"/>
  <c r="AI24" i="1"/>
  <c r="AG24" i="1"/>
  <c r="AH24" i="1" s="1"/>
  <c r="Y24" i="1"/>
  <c r="X24" i="1"/>
  <c r="W24" i="1"/>
  <c r="P24" i="1"/>
  <c r="N24" i="1"/>
  <c r="K24" i="1"/>
  <c r="J24" i="1"/>
  <c r="AW24" i="1" s="1"/>
  <c r="I24" i="1"/>
  <c r="H24" i="1" s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/>
  <c r="AH23" i="1" s="1"/>
  <c r="Y23" i="1"/>
  <c r="X23" i="1"/>
  <c r="W23" i="1" s="1"/>
  <c r="S23" i="1"/>
  <c r="P23" i="1"/>
  <c r="N23" i="1"/>
  <c r="K23" i="1"/>
  <c r="J23" i="1"/>
  <c r="AW23" i="1" s="1"/>
  <c r="AY23" i="1" s="1"/>
  <c r="I23" i="1"/>
  <c r="H23" i="1" s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/>
  <c r="AH22" i="1" s="1"/>
  <c r="Y22" i="1"/>
  <c r="X22" i="1"/>
  <c r="W22" i="1" s="1"/>
  <c r="S22" i="1"/>
  <c r="P22" i="1"/>
  <c r="N22" i="1"/>
  <c r="K22" i="1"/>
  <c r="J22" i="1"/>
  <c r="AW22" i="1" s="1"/>
  <c r="I22" i="1"/>
  <c r="H22" i="1" s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/>
  <c r="S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 s="1"/>
  <c r="Y17" i="1"/>
  <c r="W17" i="1" s="1"/>
  <c r="X17" i="1"/>
  <c r="S17" i="1"/>
  <c r="P17" i="1"/>
  <c r="CU22" i="1" l="1"/>
  <c r="AV22" i="1" s="1"/>
  <c r="CU24" i="1"/>
  <c r="AV24" i="1" s="1"/>
  <c r="W21" i="1"/>
  <c r="CU18" i="1"/>
  <c r="AV18" i="1" s="1"/>
  <c r="AX18" i="1" s="1"/>
  <c r="CU21" i="1"/>
  <c r="AV21" i="1" s="1"/>
  <c r="AX21" i="1" s="1"/>
  <c r="I26" i="1"/>
  <c r="H26" i="1" s="1"/>
  <c r="AA26" i="1" s="1"/>
  <c r="J26" i="1"/>
  <c r="AW26" i="1" s="1"/>
  <c r="K26" i="1"/>
  <c r="N26" i="1"/>
  <c r="AH26" i="1"/>
  <c r="CU28" i="1"/>
  <c r="AV28" i="1" s="1"/>
  <c r="AX28" i="1" s="1"/>
  <c r="S28" i="1"/>
  <c r="BE28" i="1"/>
  <c r="BF28" i="1"/>
  <c r="BJ28" i="1" s="1"/>
  <c r="BK28" i="1" s="1"/>
  <c r="BG28" i="1"/>
  <c r="AH28" i="1"/>
  <c r="J28" i="1"/>
  <c r="AW28" i="1" s="1"/>
  <c r="AY28" i="1" s="1"/>
  <c r="I28" i="1"/>
  <c r="H28" i="1" s="1"/>
  <c r="N28" i="1"/>
  <c r="K28" i="1"/>
  <c r="CU27" i="1"/>
  <c r="AV27" i="1" s="1"/>
  <c r="AX27" i="1" s="1"/>
  <c r="S27" i="1"/>
  <c r="BF27" i="1"/>
  <c r="BJ27" i="1" s="1"/>
  <c r="BK27" i="1" s="1"/>
  <c r="BG27" i="1"/>
  <c r="BE27" i="1"/>
  <c r="AH27" i="1"/>
  <c r="I27" i="1"/>
  <c r="H27" i="1" s="1"/>
  <c r="J27" i="1"/>
  <c r="AW27" i="1" s="1"/>
  <c r="K27" i="1"/>
  <c r="N27" i="1"/>
  <c r="CU26" i="1"/>
  <c r="AV26" i="1" s="1"/>
  <c r="S26" i="1"/>
  <c r="BE26" i="1"/>
  <c r="BF26" i="1"/>
  <c r="BJ26" i="1" s="1"/>
  <c r="BK26" i="1" s="1"/>
  <c r="BG26" i="1"/>
  <c r="S25" i="1"/>
  <c r="CU25" i="1"/>
  <c r="AV25" i="1" s="1"/>
  <c r="AX25" i="1" s="1"/>
  <c r="BE25" i="1"/>
  <c r="BF25" i="1"/>
  <c r="BJ25" i="1" s="1"/>
  <c r="BK25" i="1" s="1"/>
  <c r="BG25" i="1"/>
  <c r="AH25" i="1"/>
  <c r="I25" i="1"/>
  <c r="H25" i="1" s="1"/>
  <c r="J25" i="1"/>
  <c r="AW25" i="1" s="1"/>
  <c r="AY25" i="1" s="1"/>
  <c r="K25" i="1"/>
  <c r="N25" i="1"/>
  <c r="BE24" i="1"/>
  <c r="BF24" i="1"/>
  <c r="BJ24" i="1" s="1"/>
  <c r="BK24" i="1" s="1"/>
  <c r="BG24" i="1"/>
  <c r="T24" i="1"/>
  <c r="U24" i="1" s="1"/>
  <c r="Q24" i="1" s="1"/>
  <c r="O24" i="1" s="1"/>
  <c r="R24" i="1" s="1"/>
  <c r="L24" i="1" s="1"/>
  <c r="M24" i="1" s="1"/>
  <c r="AA24" i="1"/>
  <c r="BE23" i="1"/>
  <c r="BF23" i="1"/>
  <c r="BJ23" i="1" s="1"/>
  <c r="BK23" i="1" s="1"/>
  <c r="BG23" i="1"/>
  <c r="T23" i="1"/>
  <c r="U23" i="1" s="1"/>
  <c r="Q23" i="1"/>
  <c r="O23" i="1" s="1"/>
  <c r="R23" i="1" s="1"/>
  <c r="L23" i="1" s="1"/>
  <c r="M23" i="1" s="1"/>
  <c r="AA23" i="1"/>
  <c r="BG22" i="1"/>
  <c r="BE22" i="1"/>
  <c r="BF22" i="1"/>
  <c r="BJ22" i="1" s="1"/>
  <c r="BK22" i="1" s="1"/>
  <c r="T22" i="1"/>
  <c r="U22" i="1" s="1"/>
  <c r="Q22" i="1" s="1"/>
  <c r="O22" i="1" s="1"/>
  <c r="R22" i="1" s="1"/>
  <c r="L22" i="1" s="1"/>
  <c r="M22" i="1" s="1"/>
  <c r="AA22" i="1"/>
  <c r="BF21" i="1"/>
  <c r="BJ21" i="1" s="1"/>
  <c r="BK21" i="1" s="1"/>
  <c r="BG21" i="1"/>
  <c r="BE21" i="1"/>
  <c r="AH21" i="1"/>
  <c r="I21" i="1"/>
  <c r="H21" i="1" s="1"/>
  <c r="K21" i="1"/>
  <c r="J21" i="1"/>
  <c r="AW21" i="1" s="1"/>
  <c r="N21" i="1"/>
  <c r="T21" i="1"/>
  <c r="U21" i="1" s="1"/>
  <c r="BF20" i="1"/>
  <c r="BJ20" i="1" s="1"/>
  <c r="BK20" i="1" s="1"/>
  <c r="BE20" i="1"/>
  <c r="BG20" i="1"/>
  <c r="K20" i="1"/>
  <c r="N20" i="1"/>
  <c r="AH20" i="1"/>
  <c r="I20" i="1"/>
  <c r="H20" i="1" s="1"/>
  <c r="T20" i="1" s="1"/>
  <c r="U20" i="1" s="1"/>
  <c r="J20" i="1"/>
  <c r="AW20" i="1" s="1"/>
  <c r="AY20" i="1" s="1"/>
  <c r="BF19" i="1"/>
  <c r="BJ19" i="1" s="1"/>
  <c r="BK19" i="1" s="1"/>
  <c r="BG19" i="1"/>
  <c r="BE19" i="1"/>
  <c r="N19" i="1"/>
  <c r="J19" i="1"/>
  <c r="AW19" i="1" s="1"/>
  <c r="AY19" i="1" s="1"/>
  <c r="K19" i="1"/>
  <c r="AH19" i="1"/>
  <c r="I19" i="1"/>
  <c r="H19" i="1" s="1"/>
  <c r="T19" i="1"/>
  <c r="U19" i="1" s="1"/>
  <c r="BG18" i="1"/>
  <c r="BE18" i="1"/>
  <c r="BF18" i="1"/>
  <c r="BJ18" i="1" s="1"/>
  <c r="BK18" i="1" s="1"/>
  <c r="K18" i="1"/>
  <c r="J18" i="1"/>
  <c r="AW18" i="1" s="1"/>
  <c r="N18" i="1"/>
  <c r="AH18" i="1"/>
  <c r="I18" i="1"/>
  <c r="H18" i="1" s="1"/>
  <c r="T18" i="1"/>
  <c r="U18" i="1" s="1"/>
  <c r="BF17" i="1"/>
  <c r="BJ17" i="1" s="1"/>
  <c r="BK17" i="1" s="1"/>
  <c r="BE17" i="1"/>
  <c r="BG17" i="1"/>
  <c r="J17" i="1"/>
  <c r="AW17" i="1" s="1"/>
  <c r="AY17" i="1" s="1"/>
  <c r="N17" i="1"/>
  <c r="AH17" i="1"/>
  <c r="I17" i="1"/>
  <c r="H17" i="1" s="1"/>
  <c r="K17" i="1"/>
  <c r="AX22" i="1" l="1"/>
  <c r="AY22" i="1"/>
  <c r="AY24" i="1"/>
  <c r="AX24" i="1"/>
  <c r="AY21" i="1"/>
  <c r="AY18" i="1"/>
  <c r="T28" i="1"/>
  <c r="U28" i="1" s="1"/>
  <c r="Q28" i="1"/>
  <c r="O28" i="1" s="1"/>
  <c r="R28" i="1" s="1"/>
  <c r="L28" i="1" s="1"/>
  <c r="M28" i="1" s="1"/>
  <c r="AA28" i="1"/>
  <c r="T27" i="1"/>
  <c r="U27" i="1" s="1"/>
  <c r="Q27" i="1" s="1"/>
  <c r="O27" i="1" s="1"/>
  <c r="R27" i="1" s="1"/>
  <c r="L27" i="1" s="1"/>
  <c r="M27" i="1" s="1"/>
  <c r="AA27" i="1"/>
  <c r="AY26" i="1"/>
  <c r="AX26" i="1"/>
  <c r="T26" i="1"/>
  <c r="U26" i="1" s="1"/>
  <c r="T25" i="1"/>
  <c r="U25" i="1" s="1"/>
  <c r="Q25" i="1"/>
  <c r="O25" i="1" s="1"/>
  <c r="R25" i="1" s="1"/>
  <c r="L25" i="1" s="1"/>
  <c r="M25" i="1" s="1"/>
  <c r="AA25" i="1"/>
  <c r="AB24" i="1"/>
  <c r="V24" i="1"/>
  <c r="Z24" i="1" s="1"/>
  <c r="AC24" i="1"/>
  <c r="AB23" i="1"/>
  <c r="V23" i="1"/>
  <c r="Z23" i="1" s="1"/>
  <c r="AC23" i="1"/>
  <c r="AD23" i="1" s="1"/>
  <c r="AB22" i="1"/>
  <c r="V22" i="1"/>
  <c r="Z22" i="1" s="1"/>
  <c r="AC22" i="1"/>
  <c r="AD22" i="1" s="1"/>
  <c r="AA21" i="1"/>
  <c r="Q21" i="1"/>
  <c r="O21" i="1" s="1"/>
  <c r="R21" i="1" s="1"/>
  <c r="L21" i="1" s="1"/>
  <c r="M21" i="1" s="1"/>
  <c r="AB21" i="1"/>
  <c r="V21" i="1"/>
  <c r="Z21" i="1" s="1"/>
  <c r="AC21" i="1"/>
  <c r="Q20" i="1"/>
  <c r="O20" i="1" s="1"/>
  <c r="R20" i="1" s="1"/>
  <c r="L20" i="1" s="1"/>
  <c r="M20" i="1" s="1"/>
  <c r="AA20" i="1"/>
  <c r="AB20" i="1"/>
  <c r="AC20" i="1"/>
  <c r="AD20" i="1" s="1"/>
  <c r="V20" i="1"/>
  <c r="Z20" i="1" s="1"/>
  <c r="Q19" i="1"/>
  <c r="O19" i="1" s="1"/>
  <c r="R19" i="1" s="1"/>
  <c r="L19" i="1" s="1"/>
  <c r="M19" i="1" s="1"/>
  <c r="AA19" i="1"/>
  <c r="AB19" i="1"/>
  <c r="AC19" i="1"/>
  <c r="AD19" i="1" s="1"/>
  <c r="V19" i="1"/>
  <c r="Z19" i="1" s="1"/>
  <c r="AA18" i="1"/>
  <c r="Q18" i="1"/>
  <c r="O18" i="1" s="1"/>
  <c r="R18" i="1" s="1"/>
  <c r="L18" i="1" s="1"/>
  <c r="M18" i="1" s="1"/>
  <c r="AB18" i="1"/>
  <c r="AC18" i="1"/>
  <c r="AD18" i="1" s="1"/>
  <c r="V18" i="1"/>
  <c r="Z18" i="1" s="1"/>
  <c r="T17" i="1"/>
  <c r="U17" i="1" s="1"/>
  <c r="Q17" i="1" s="1"/>
  <c r="O17" i="1" s="1"/>
  <c r="R17" i="1" s="1"/>
  <c r="L17" i="1" s="1"/>
  <c r="M17" i="1" s="1"/>
  <c r="AA17" i="1"/>
  <c r="AY27" i="1"/>
  <c r="AD24" i="1" l="1"/>
  <c r="V28" i="1"/>
  <c r="Z28" i="1" s="1"/>
  <c r="AB28" i="1"/>
  <c r="AC28" i="1"/>
  <c r="AB27" i="1"/>
  <c r="V27" i="1"/>
  <c r="Z27" i="1" s="1"/>
  <c r="AC27" i="1"/>
  <c r="AD27" i="1" s="1"/>
  <c r="Q26" i="1"/>
  <c r="O26" i="1" s="1"/>
  <c r="R26" i="1" s="1"/>
  <c r="L26" i="1" s="1"/>
  <c r="M26" i="1" s="1"/>
  <c r="AB26" i="1"/>
  <c r="V26" i="1"/>
  <c r="Z26" i="1" s="1"/>
  <c r="AC26" i="1"/>
  <c r="AD26" i="1" s="1"/>
  <c r="V25" i="1"/>
  <c r="Z25" i="1" s="1"/>
  <c r="AB25" i="1"/>
  <c r="AC25" i="1"/>
  <c r="AD25" i="1" s="1"/>
  <c r="AB17" i="1"/>
  <c r="V17" i="1"/>
  <c r="Z17" i="1" s="1"/>
  <c r="AC17" i="1"/>
  <c r="AD17" i="1" s="1"/>
  <c r="AD21" i="1"/>
  <c r="AD28" i="1" l="1"/>
</calcChain>
</file>

<file path=xl/sharedStrings.xml><?xml version="1.0" encoding="utf-8"?>
<sst xmlns="http://schemas.openxmlformats.org/spreadsheetml/2006/main" count="786" uniqueCount="381">
  <si>
    <t>File opened</t>
  </si>
  <si>
    <t>2026-10-10 09:45:21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</si>
  <si>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</si>
  <si>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</si>
  <si>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</si>
  <si>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</si>
  <si>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</si>
  <si>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</si>
  <si>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</si>
  <si>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</si>
  <si>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</si>
  <si>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</si>
  <si>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</si>
  <si>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{"co2bzero": "0.953041", "co2aspan2a": "0.106022", "h2oazero": "1.03097", "chamberpressurezero": "2.71033", "h2oaspan2a": "0.0964052", "oxygen": "21", "ssb_ref": "36242.9", "co2bspan2": "-0.00857283", "co2aspanconc1": "437.6", "co2aspan2b": "0.105998", "h2obspanconc2": "0", "flowazero": "0.276", "h2obspan1": "1.01044", "h2oaspan2b": "0.0986302", "h2oaspanconc2": "0", "tazero": "0.15448", "co2bspan2b": "0.105618", "h2oaspan2": "0", "ssa_ref": "37830.5", "co2bspanconc2": "1516", "co2bspanconc1": "437.6", "co2bspan1": "1.00005", "h2obspan2a": "0.0961931", "co2bspan2a": "0.105708", "flowmeterzero": "2.483", "co2aspan2": "-0.00988168", "h2oaspanconc1": "17.96", "tbzero": "0.143742", "co2azero": "0.931334", "h2obspanconc1": "17.96", "co2aspan1": "1.00082", "h2oaspan1": "1.02308", "h2obspan2b": "0.0971974", "h2obspan2": "0", "co2aspanconc2": "1516", "h2obzero": "1.01897", "flowbzero": "0.30473"}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</si>
  <si>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</si>
  <si>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</si>
  <si>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</si>
  <si>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</si>
  <si>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</si>
  <si>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</si>
  <si>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</si>
  <si>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</si>
  <si>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</si>
  <si>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</si>
  <si>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</si>
  <si>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</si>
  <si>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</si>
  <si>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</si>
  <si>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</si>
  <si>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09:45:21</t>
  </si>
  <si>
    <t>Stability Definition:	F (FlrLS):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</si>
  <si>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</si>
  <si>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</si>
  <si>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</si>
  <si>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</si>
  <si>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</si>
  <si>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</si>
  <si>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</si>
  <si>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</si>
  <si>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</si>
  <si>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</si>
  <si>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</si>
  <si>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</si>
  <si>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</si>
  <si>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</si>
  <si>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</si>
  <si>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</si>
  <si>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</si>
  <si>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</si>
  <si>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</si>
  <si>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</si>
  <si>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</si>
  <si>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</si>
  <si>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</si>
  <si>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</si>
  <si>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</si>
  <si>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</si>
  <si>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</si>
  <si>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</si>
  <si>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</si>
  <si>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</si>
  <si>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</si>
  <si>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</si>
  <si>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</si>
  <si>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</si>
  <si>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</si>
  <si>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</si>
  <si>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</si>
  <si>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</si>
  <si>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</si>
  <si>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</si>
  <si>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</si>
  <si>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</si>
  <si>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</si>
  <si>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</si>
  <si>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</si>
  <si>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</si>
  <si>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</si>
  <si>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</si>
  <si>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</si>
  <si>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</si>
  <si>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</si>
  <si>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</si>
  <si>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4.75784 201.711 358.252 588.927 851.19 1062.43 1252.37 1365.43</t>
  </si>
  <si>
    <t>Fs_true</t>
  </si>
  <si>
    <t>0.181028 227.625 384.88 589.265 811.095 1001.86 1203.08 1400.96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</si>
  <si>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</si>
  <si>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</si>
  <si>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</si>
  <si>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</si>
  <si>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</si>
  <si>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</si>
  <si>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</si>
  <si>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</si>
  <si>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</si>
  <si>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</si>
  <si>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</si>
  <si>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</si>
  <si>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</si>
  <si>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</si>
  <si>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</si>
  <si>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</si>
  <si>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</si>
  <si>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</si>
  <si>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</si>
  <si>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</si>
  <si>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</si>
  <si>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</si>
  <si>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</si>
  <si>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</si>
  <si>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</si>
  <si>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</si>
  <si>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</si>
  <si>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</si>
  <si>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</si>
  <si>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</si>
  <si>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</si>
  <si>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</si>
  <si>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</si>
  <si>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</si>
  <si>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</si>
  <si>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</si>
  <si>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</si>
  <si>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</si>
  <si>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</si>
  <si>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</si>
  <si>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</si>
  <si>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</si>
  <si>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</si>
  <si>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</si>
  <si>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</si>
  <si>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</si>
  <si>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</si>
  <si>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</si>
  <si>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</si>
  <si>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</si>
  <si>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</si>
  <si>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</si>
  <si>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</si>
  <si>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</si>
  <si>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</si>
  <si>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</si>
  <si>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</si>
  <si>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</si>
  <si>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</si>
  <si>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</si>
  <si>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</si>
  <si>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</si>
  <si>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</si>
  <si>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</si>
  <si>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</si>
  <si>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</si>
  <si>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</si>
  <si>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</si>
  <si>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</si>
  <si>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</si>
  <si>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</si>
  <si>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</si>
  <si>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</si>
  <si>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</si>
  <si>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</si>
  <si>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</si>
  <si>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</si>
  <si>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</si>
  <si>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</si>
  <si>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</si>
  <si>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</si>
  <si>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</si>
  <si>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</si>
  <si>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</si>
  <si>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</si>
  <si>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</si>
  <si>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</si>
  <si>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</si>
  <si>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</si>
  <si>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</si>
  <si>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</si>
  <si>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</si>
  <si>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</si>
  <si>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</si>
  <si>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</si>
  <si>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</si>
  <si>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</si>
  <si>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</si>
  <si>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</si>
  <si>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</si>
  <si>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</si>
  <si>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</si>
  <si>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</si>
  <si>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</si>
  <si>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</si>
  <si>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</si>
  <si>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</si>
  <si>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</si>
  <si>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</si>
  <si>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</si>
  <si>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</si>
  <si>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</si>
  <si>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</si>
  <si>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</si>
  <si>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</si>
  <si>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</si>
  <si>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</si>
  <si>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</si>
  <si>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</si>
  <si>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</si>
  <si>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</si>
  <si>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</si>
  <si>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</si>
  <si>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</si>
  <si>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</si>
  <si>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</si>
  <si>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</si>
  <si>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</si>
  <si>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</si>
  <si>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</si>
  <si>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</si>
  <si>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</si>
  <si>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</si>
  <si>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</si>
  <si>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</si>
  <si>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</si>
  <si>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</si>
  <si>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</si>
  <si>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</si>
  <si>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</si>
  <si>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</si>
  <si>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</si>
  <si>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</si>
  <si>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</si>
  <si>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</si>
  <si>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</si>
  <si>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</si>
  <si>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</si>
  <si>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</si>
  <si>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</si>
  <si>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</si>
  <si>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</si>
  <si>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</si>
  <si>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</si>
  <si>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</si>
  <si>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</si>
  <si>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</si>
  <si>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</si>
  <si>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</si>
  <si>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</si>
  <si>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</si>
  <si>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</si>
  <si>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</si>
  <si>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</si>
  <si>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</si>
  <si>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</si>
  <si>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</si>
  <si>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</si>
  <si>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</si>
  <si>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</si>
  <si>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</si>
  <si>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</si>
  <si>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</si>
  <si>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</si>
  <si>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</si>
  <si>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</si>
  <si>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</si>
  <si>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</si>
  <si>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</si>
  <si>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</si>
  <si>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</si>
  <si>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</si>
  <si>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</si>
  <si>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</si>
  <si>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</si>
  <si>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</si>
  <si>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</si>
  <si>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</si>
  <si>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</si>
  <si>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</si>
  <si>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</si>
  <si>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</si>
  <si>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</si>
  <si>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</si>
  <si>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</si>
  <si>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</si>
  <si>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</si>
  <si>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</si>
  <si>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</si>
  <si>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</si>
  <si>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</si>
  <si>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</si>
  <si>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</si>
  <si>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</si>
  <si>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</si>
  <si>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</si>
  <si>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</si>
  <si>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</si>
  <si>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</si>
  <si>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</si>
  <si>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</si>
  <si>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</si>
  <si>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</si>
  <si>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</si>
  <si>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</si>
  <si>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</si>
  <si>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</si>
  <si>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</si>
  <si>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</si>
  <si>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</si>
  <si>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</si>
  <si>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</si>
  <si>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</si>
  <si>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</si>
  <si>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</si>
  <si>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</si>
  <si>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</si>
  <si>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</si>
  <si>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</si>
  <si>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</si>
  <si>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</si>
  <si>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</si>
  <si>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</si>
  <si>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</si>
  <si>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</si>
  <si>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</si>
  <si>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</si>
  <si>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</si>
  <si>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</si>
  <si>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</si>
  <si>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</si>
  <si>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</si>
  <si>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</si>
  <si>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</si>
  <si>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</si>
  <si>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</si>
  <si>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</si>
  <si>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</si>
  <si>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</si>
  <si>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</si>
  <si>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</si>
  <si>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</si>
  <si>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</si>
  <si>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</si>
  <si>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</si>
  <si>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20261010 10:01:53</t>
  </si>
  <si>
    <t>10:01:53</t>
  </si>
  <si>
    <t>-</t>
  </si>
  <si>
    <t>0: Broadleaf</t>
  </si>
  <si>
    <t>10:00:53</t>
  </si>
  <si>
    <t>2/2</t>
  </si>
  <si>
    <t>20261010 10:03:54</t>
  </si>
  <si>
    <t>10:03:54</t>
  </si>
  <si>
    <t>10:03:06</t>
  </si>
  <si>
    <t>20261010 10:05:55</t>
  </si>
  <si>
    <t>10:05:55</t>
  </si>
  <si>
    <t>10:05:07</t>
  </si>
  <si>
    <t>20261010 10:07:56</t>
  </si>
  <si>
    <t>10:07:56</t>
  </si>
  <si>
    <t>10:07:09</t>
  </si>
  <si>
    <t>20261010 10:09:57</t>
  </si>
  <si>
    <t>10:09:57</t>
  </si>
  <si>
    <t>10:09:00</t>
  </si>
  <si>
    <t>20261010 10:12:26</t>
  </si>
  <si>
    <t>10:12:26</t>
  </si>
  <si>
    <t>10:11:03</t>
  </si>
  <si>
    <t>20261010 10:14:27</t>
  </si>
  <si>
    <t>10:14:27</t>
  </si>
  <si>
    <t>10:13:21</t>
  </si>
  <si>
    <t>20261010 10:16:29</t>
  </si>
  <si>
    <t>10:16:29</t>
  </si>
  <si>
    <t>10:15:46</t>
  </si>
  <si>
    <t>20261010 10:18:32</t>
  </si>
  <si>
    <t>10:18:32</t>
  </si>
  <si>
    <t>10:17:41</t>
  </si>
  <si>
    <t>20261010 10:20:56</t>
  </si>
  <si>
    <t>10:20:56</t>
  </si>
  <si>
    <t>10:19:44</t>
  </si>
  <si>
    <t>20261010 10:23:27</t>
  </si>
  <si>
    <t>10:23:27</t>
  </si>
  <si>
    <t>10:22:01</t>
  </si>
  <si>
    <t>1/2</t>
  </si>
  <si>
    <t>20261010 10:25:28</t>
  </si>
  <si>
    <t>10:25:28</t>
  </si>
  <si>
    <t>10:24:26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</si>
</sst>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1791594113</v>
      </c>
      <c r="C17">
        <v>0</v>
      </c>
      <c r="D17" t="s">
        <v>341</v>
      </c>
      <c r="E17" t="s">
        <v>342</v>
      </c>
      <c r="F17">
        <v>5</v>
      </c>
      <c r="G17">
        <v>1791594104.5</v>
      </c>
      <c r="H17">
        <f t="shared" ref="H17:H28" si="0">(I17)/1000</f>
        <v>5.7485109390489134E-3</v>
      </c>
      <c r="I17">
        <f t="shared" ref="I17:I28" si="1">1000*DI17*AG17*(DE17-DF17)/(100*CX17*(1000-AG17*DE17))</f>
        <v>5.7485109390489137</v>
      </c>
      <c r="J17">
        <f t="shared" ref="J17:J28" si="2">DI17*AG17*(DD17-DC17*(1000-AG17*DF17)/(1000-AG17*DE17))/(100*CX17)</f>
        <v>28.377094743492279</v>
      </c>
      <c r="K17">
        <f t="shared" ref="K17:K28" si="3">DC17 - IF(AG17&gt;1, J17*CX17*100/(AI17), 0)</f>
        <v>387.75437499999998</v>
      </c>
      <c r="L17">
        <f t="shared" ref="L17:L28" si="4">((R17-H17/2)*K17-J17)/(R17+H17/2)</f>
        <v>272.84027563064149</v>
      </c>
      <c r="M17">
        <f t="shared" ref="M17:M28" si="5">L17*(DJ17+DK17)/1000</f>
        <v>27.695990082579602</v>
      </c>
      <c r="N17">
        <f t="shared" ref="N17:N28" si="6">(DC17 - IF(AG17&gt;1, J17*CX17*100/(AI17), 0))*(DJ17+DK17)/1000</f>
        <v>39.360909233998647</v>
      </c>
      <c r="O17">
        <f t="shared" ref="O17:O28" si="7">2/((1/Q17-1/P17)+SIGN(Q17)*SQRT((1/Q17-1/P17)*(1/Q17-1/P17) + 4*CY17/((CY17+1)*(CY17+1))*(2*1/Q17*1/P17-1/P17*1/P17)))</f>
        <v>0.45119597939764811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3.0348976521230258</v>
      </c>
      <c r="Q17">
        <f t="shared" ref="Q17:Q28" si="9">H17*(1000-(1000*0.61365*EXP(17.502*U17/(240.97+U17))/(DJ17+DK17)+DE17)/2)/(1000*0.61365*EXP(17.502*U17/(240.97+U17))/(DJ17+DK17)-DE17)</f>
        <v>0.41697018480542869</v>
      </c>
      <c r="R17">
        <f t="shared" ref="R17:R28" si="10">1/((CY17+1)/(O17/1.6)+1/(P17/1.37)) + CY17/((CY17+1)/(O17/1.6) + CY17/(P17/1.37))</f>
        <v>0.26346473319947517</v>
      </c>
      <c r="S17">
        <f t="shared" ref="S17:S28" si="11">(CT17*CW17)</f>
        <v>241.74638101558614</v>
      </c>
      <c r="T17">
        <f t="shared" ref="T17:T28" si="12">(DL17+(S17+2*0.95*0.0000000567*(((DL17+$B$7)+273)^4-(DL17+273)^4)-44100*H17)/(1.84*29.3*P17+8*0.95*0.0000000567*(DL17+273)^3))</f>
        <v>25.52185474447419</v>
      </c>
      <c r="U17">
        <f t="shared" ref="U17:U28" si="13">($C$7*DM17+$D$7*DN17+$E$7*T17)</f>
        <v>24.986531249999999</v>
      </c>
      <c r="V17">
        <f t="shared" ref="V17:V28" si="14">0.61365*EXP(17.502*U17/(240.97+U17))</f>
        <v>3.1771252215937933</v>
      </c>
      <c r="W17">
        <f t="shared" ref="W17:W28" si="15">(X17/Y17*100)</f>
        <v>55.026540409479772</v>
      </c>
      <c r="X17">
        <f t="shared" ref="X17:X28" si="16">DE17*(DJ17+DK17)/1000</f>
        <v>1.8120621716148728</v>
      </c>
      <c r="Y17">
        <f t="shared" ref="Y17:Y28" si="17">0.61365*EXP(17.502*DL17/(240.97+DL17))</f>
        <v>3.2930694136509757</v>
      </c>
      <c r="Z17">
        <f t="shared" ref="Z17:Z28" si="18">(V17-DE17*(DJ17+DK17)/1000)</f>
        <v>1.3650630499789205</v>
      </c>
      <c r="AA17">
        <f t="shared" ref="AA17:AA28" si="19">(-H17*44100)</f>
        <v>-253.50933241205709</v>
      </c>
      <c r="AB17">
        <f t="shared" ref="AB17:AB28" si="20">2*29.3*P17*0.92*(DL17-U17)</f>
        <v>98.580507447071156</v>
      </c>
      <c r="AC17">
        <f t="shared" ref="AC17:AC28" si="21">2*0.95*0.0000000567*(((DL17+$B$7)+273)^4-(U17+273)^4)</f>
        <v>6.8907271775563288</v>
      </c>
      <c r="AD17">
        <f t="shared" ref="AD17:AD28" si="22">S17+AC17+AA17+AB17</f>
        <v>93.708283228156532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53894.634072730187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1261.2555000080756</v>
      </c>
      <c r="AW17">
        <f t="shared" ref="AW17:AW28" si="29">J17</f>
        <v>28.377094743492279</v>
      </c>
      <c r="AX17" t="e">
        <f t="shared" ref="AX17:AX28" si="30">AT17*AU17*AV17</f>
        <v>#DIV/0!</v>
      </c>
      <c r="AY17">
        <f t="shared" ref="AY17:AY28" si="31">(AW17-AO17)/AV17</f>
        <v>2.2499085033373955E-2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$B$11*DR17+$C$11*DS17+$F$11*DT17*(1-DW17)</f>
        <v>1500.0525</v>
      </c>
      <c r="CU17">
        <f t="shared" ref="CU17:CU28" si="43">CT17*CV17</f>
        <v>1261.2555000080756</v>
      </c>
      <c r="CV17">
        <f t="shared" ref="CV17:CV28" si="44">($B$11*$D$9+$C$11*$D$9+$F$11*((EG17+DY17)/MAX(EG17+DY17+EH17, 0.1)*$I$9+EH17/MAX(EG17+DY17+EH17, 0.1)*$J$9))/($B$11+$C$11+$F$11)</f>
        <v>0.84080757174037279</v>
      </c>
      <c r="CW17">
        <f t="shared" ref="CW17:CW28" si="45">($B$11*$K$9+$C$11*$K$9+$F$11*((EG17+DY17)/MAX(EG17+DY17+EH17, 0.1)*$P$9+EH17/MAX(EG17+DY17+EH17, 0.1)*$Q$9))/($B$11+$C$11+$F$11)</f>
        <v>0.16115861345891969</v>
      </c>
      <c r="CX17">
        <v>2</v>
      </c>
      <c r="CY17">
        <v>0.5</v>
      </c>
      <c r="CZ17" t="s">
        <v>344</v>
      </c>
      <c r="DA17">
        <v>2</v>
      </c>
      <c r="DB17">
        <v>1791594104.5</v>
      </c>
      <c r="DC17">
        <v>387.75437499999998</v>
      </c>
      <c r="DD17">
        <v>399.99643750000001</v>
      </c>
      <c r="DE17">
        <v>17.851087499999998</v>
      </c>
      <c r="DF17">
        <v>15.5928</v>
      </c>
      <c r="DG17">
        <v>388.56700000000001</v>
      </c>
      <c r="DH17">
        <v>18.047481250000001</v>
      </c>
      <c r="DI17">
        <v>500.01549999999997</v>
      </c>
      <c r="DJ17">
        <v>101.4099375</v>
      </c>
      <c r="DK17">
        <v>9.9966118749999999E-2</v>
      </c>
      <c r="DL17">
        <v>25.5890375</v>
      </c>
      <c r="DM17">
        <v>24.986531249999999</v>
      </c>
      <c r="DN17">
        <v>999.9</v>
      </c>
      <c r="DO17">
        <v>0</v>
      </c>
      <c r="DP17">
        <v>0</v>
      </c>
      <c r="DQ17">
        <v>10003.5875</v>
      </c>
      <c r="DR17">
        <v>0</v>
      </c>
      <c r="DS17">
        <v>8.4701199999999996</v>
      </c>
      <c r="DT17">
        <v>1500.0525</v>
      </c>
      <c r="DU17">
        <v>0.97299274999999996</v>
      </c>
      <c r="DV17">
        <v>2.7006925000000001E-2</v>
      </c>
      <c r="DW17">
        <v>0</v>
      </c>
      <c r="DX17">
        <v>265.23043749999999</v>
      </c>
      <c r="DY17">
        <v>4.9999900000000004</v>
      </c>
      <c r="DZ17">
        <v>3920.0749999999998</v>
      </c>
      <c r="EA17">
        <v>14883.081249999999</v>
      </c>
      <c r="EB17">
        <v>36.694875000000003</v>
      </c>
      <c r="EC17">
        <v>38.311999999999998</v>
      </c>
      <c r="ED17">
        <v>37.265500000000003</v>
      </c>
      <c r="EE17">
        <v>37.811999999999998</v>
      </c>
      <c r="EF17">
        <v>38.375</v>
      </c>
      <c r="EG17">
        <v>1454.6724999999999</v>
      </c>
      <c r="EH17">
        <v>40.380000000000003</v>
      </c>
      <c r="EI17">
        <v>0</v>
      </c>
      <c r="EJ17">
        <v>1791594113.3</v>
      </c>
      <c r="EK17">
        <v>0</v>
      </c>
      <c r="EL17">
        <v>265.21127999999999</v>
      </c>
      <c r="EM17">
        <v>3.0239230626544198</v>
      </c>
      <c r="EN17">
        <v>5.5146153770855202</v>
      </c>
      <c r="EO17">
        <v>3920.0412000000001</v>
      </c>
      <c r="EP17">
        <v>15</v>
      </c>
      <c r="EQ17">
        <v>1791594053</v>
      </c>
      <c r="ER17" t="s">
        <v>345</v>
      </c>
      <c r="ES17">
        <v>1791594051</v>
      </c>
      <c r="ET17">
        <v>1791594053</v>
      </c>
      <c r="EU17">
        <v>2</v>
      </c>
      <c r="EV17">
        <v>1.6E-2</v>
      </c>
      <c r="EW17">
        <v>0</v>
      </c>
      <c r="EX17">
        <v>-0.79700000000000004</v>
      </c>
      <c r="EY17">
        <v>-0.20300000000000001</v>
      </c>
      <c r="EZ17">
        <v>400</v>
      </c>
      <c r="FA17">
        <v>16</v>
      </c>
      <c r="FB17">
        <v>0.11</v>
      </c>
      <c r="FC17">
        <v>0.05</v>
      </c>
      <c r="FD17">
        <v>28.3508007281531</v>
      </c>
      <c r="FE17">
        <v>0.33998511006042698</v>
      </c>
      <c r="FF17">
        <v>7.7723098447305405E-2</v>
      </c>
      <c r="FG17">
        <v>1</v>
      </c>
      <c r="FH17">
        <v>-12.231394999999999</v>
      </c>
      <c r="FI17">
        <v>-0.189460150375937</v>
      </c>
      <c r="FJ17">
        <v>3.3883277217530199E-2</v>
      </c>
      <c r="FK17">
        <v>1</v>
      </c>
      <c r="FL17">
        <v>265.11932352941199</v>
      </c>
      <c r="FM17">
        <v>0.56612680271617699</v>
      </c>
      <c r="FN17">
        <v>0.45061322404214998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-0.81299999999999994</v>
      </c>
      <c r="FV17">
        <v>-0.19639999999999999</v>
      </c>
      <c r="FW17">
        <v>-1.22201254851521</v>
      </c>
      <c r="FX17">
        <v>7.6835882421071803E-4</v>
      </c>
      <c r="FY17">
        <v>7.9312579872174805E-7</v>
      </c>
      <c r="FZ17">
        <v>-1.5433145656851401E-10</v>
      </c>
      <c r="GA17">
        <v>-4.7803998062256499E-2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</v>
      </c>
      <c r="GJ17">
        <v>1</v>
      </c>
      <c r="GK17">
        <v>1.0376000000000001</v>
      </c>
      <c r="GL17">
        <v>2.6122999999999998</v>
      </c>
      <c r="GM17">
        <v>1.65161</v>
      </c>
      <c r="GN17">
        <v>2.2802699999999998</v>
      </c>
      <c r="GO17">
        <v>1.5979000000000001</v>
      </c>
      <c r="GP17">
        <v>2.4328599999999998</v>
      </c>
      <c r="GQ17">
        <v>32.9315</v>
      </c>
      <c r="GR17">
        <v>15.4367</v>
      </c>
      <c r="GS17">
        <v>18</v>
      </c>
      <c r="GT17">
        <v>503.39800000000002</v>
      </c>
      <c r="GU17">
        <v>549.37099999999998</v>
      </c>
      <c r="GV17">
        <v>22.351900000000001</v>
      </c>
      <c r="GW17">
        <v>29.198599999999999</v>
      </c>
      <c r="GX17">
        <v>30.0001</v>
      </c>
      <c r="GY17">
        <v>29.303000000000001</v>
      </c>
      <c r="GZ17">
        <v>29.354900000000001</v>
      </c>
      <c r="HA17">
        <v>20.748899999999999</v>
      </c>
      <c r="HB17">
        <v>34.415500000000002</v>
      </c>
      <c r="HC17">
        <v>45.371099999999998</v>
      </c>
      <c r="HD17">
        <v>22.349499999999999</v>
      </c>
      <c r="HE17">
        <v>400</v>
      </c>
      <c r="HF17">
        <v>15.6258</v>
      </c>
      <c r="HG17">
        <v>98.223699999999994</v>
      </c>
      <c r="HH17">
        <v>94.746600000000001</v>
      </c>
    </row>
    <row r="18" spans="1:216" x14ac:dyDescent="0.3">
      <c r="A18">
        <v>2</v>
      </c>
      <c r="B18">
        <v>1791594234</v>
      </c>
      <c r="C18">
        <v>121</v>
      </c>
      <c r="D18" t="s">
        <v>347</v>
      </c>
      <c r="E18" t="s">
        <v>348</v>
      </c>
      <c r="F18">
        <v>5</v>
      </c>
      <c r="G18">
        <v>1791594225.5</v>
      </c>
      <c r="H18">
        <f t="shared" si="0"/>
        <v>6.0989770142270234E-3</v>
      </c>
      <c r="I18">
        <f t="shared" si="1"/>
        <v>6.0989770142270237</v>
      </c>
      <c r="J18">
        <f t="shared" si="2"/>
        <v>21.494079135606231</v>
      </c>
      <c r="K18">
        <f t="shared" si="3"/>
        <v>290.68068749999998</v>
      </c>
      <c r="L18">
        <f t="shared" si="4"/>
        <v>208.91604490919875</v>
      </c>
      <c r="M18">
        <f t="shared" si="5"/>
        <v>21.206896720950006</v>
      </c>
      <c r="N18">
        <f t="shared" si="6"/>
        <v>29.506758665982279</v>
      </c>
      <c r="O18">
        <f t="shared" si="7"/>
        <v>0.48442601716510308</v>
      </c>
      <c r="P18">
        <f t="shared" si="8"/>
        <v>3.0344207557477585</v>
      </c>
      <c r="Q18">
        <f t="shared" si="9"/>
        <v>0.44520222158500183</v>
      </c>
      <c r="R18">
        <f t="shared" si="10"/>
        <v>0.28151035582058653</v>
      </c>
      <c r="S18">
        <f t="shared" si="11"/>
        <v>241.73231626558703</v>
      </c>
      <c r="T18">
        <f t="shared" si="12"/>
        <v>25.493147550295227</v>
      </c>
      <c r="U18">
        <f t="shared" si="13"/>
        <v>24.980612499999999</v>
      </c>
      <c r="V18">
        <f t="shared" si="14"/>
        <v>3.1760041671648236</v>
      </c>
      <c r="W18">
        <f t="shared" si="15"/>
        <v>55.060564722717295</v>
      </c>
      <c r="X18">
        <f t="shared" si="16"/>
        <v>1.8196136183287845</v>
      </c>
      <c r="Y18">
        <f t="shared" si="17"/>
        <v>3.3047492837973649</v>
      </c>
      <c r="Z18">
        <f t="shared" si="18"/>
        <v>1.356390548836039</v>
      </c>
      <c r="AA18">
        <f t="shared" si="19"/>
        <v>-268.9648863274117</v>
      </c>
      <c r="AB18">
        <f t="shared" si="20"/>
        <v>109.29356438465871</v>
      </c>
      <c r="AC18">
        <f t="shared" si="21"/>
        <v>7.642832019390327</v>
      </c>
      <c r="AD18">
        <f t="shared" si="22"/>
        <v>89.703826342224374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53868.958757020548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1261.1814750080762</v>
      </c>
      <c r="AW18">
        <f t="shared" si="29"/>
        <v>21.494079135606231</v>
      </c>
      <c r="AX18" t="e">
        <f t="shared" si="30"/>
        <v>#DIV/0!</v>
      </c>
      <c r="AY18">
        <f t="shared" si="31"/>
        <v>1.7042812284781293E-2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1499.964375</v>
      </c>
      <c r="CU18">
        <f t="shared" si="43"/>
        <v>1261.1814750080762</v>
      </c>
      <c r="CV18">
        <f t="shared" si="44"/>
        <v>0.84080761918633973</v>
      </c>
      <c r="CW18">
        <f t="shared" si="45"/>
        <v>0.16115870502963581</v>
      </c>
      <c r="CX18">
        <v>2</v>
      </c>
      <c r="CY18">
        <v>0.5</v>
      </c>
      <c r="CZ18" t="s">
        <v>344</v>
      </c>
      <c r="DA18">
        <v>2</v>
      </c>
      <c r="DB18">
        <v>1791594225.5</v>
      </c>
      <c r="DC18">
        <v>290.68068749999998</v>
      </c>
      <c r="DD18">
        <v>299.98737499999999</v>
      </c>
      <c r="DE18">
        <v>17.925606250000001</v>
      </c>
      <c r="DF18">
        <v>15.529768750000001</v>
      </c>
      <c r="DG18">
        <v>291.43687499999999</v>
      </c>
      <c r="DH18">
        <v>18.121168749999999</v>
      </c>
      <c r="DI18">
        <v>500.00462499999998</v>
      </c>
      <c r="DJ18">
        <v>101.4091875</v>
      </c>
      <c r="DK18">
        <v>9.9994E-2</v>
      </c>
      <c r="DL18">
        <v>25.648700000000002</v>
      </c>
      <c r="DM18">
        <v>24.980612499999999</v>
      </c>
      <c r="DN18">
        <v>999.9</v>
      </c>
      <c r="DO18">
        <v>0</v>
      </c>
      <c r="DP18">
        <v>0</v>
      </c>
      <c r="DQ18">
        <v>10000.778749999999</v>
      </c>
      <c r="DR18">
        <v>0</v>
      </c>
      <c r="DS18">
        <v>8.4701199999999996</v>
      </c>
      <c r="DT18">
        <v>1499.964375</v>
      </c>
      <c r="DU18">
        <v>0.97299118750000002</v>
      </c>
      <c r="DV18">
        <v>2.7008531249999999E-2</v>
      </c>
      <c r="DW18">
        <v>0</v>
      </c>
      <c r="DX18">
        <v>254.32231250000001</v>
      </c>
      <c r="DY18">
        <v>4.9999900000000004</v>
      </c>
      <c r="DZ18">
        <v>3758.2537499999999</v>
      </c>
      <c r="EA18">
        <v>14882.19375</v>
      </c>
      <c r="EB18">
        <v>36.710625</v>
      </c>
      <c r="EC18">
        <v>38.311999999999998</v>
      </c>
      <c r="ED18">
        <v>37.261625000000002</v>
      </c>
      <c r="EE18">
        <v>37.784875</v>
      </c>
      <c r="EF18">
        <v>38.375</v>
      </c>
      <c r="EG18">
        <v>1454.5843749999999</v>
      </c>
      <c r="EH18">
        <v>40.380000000000003</v>
      </c>
      <c r="EI18">
        <v>0</v>
      </c>
      <c r="EJ18">
        <v>1791594234.5</v>
      </c>
      <c r="EK18">
        <v>0</v>
      </c>
      <c r="EL18">
        <v>254.12963999999999</v>
      </c>
      <c r="EM18">
        <v>-1.4525384827141701</v>
      </c>
      <c r="EN18">
        <v>-21.041538383178601</v>
      </c>
      <c r="EO18">
        <v>3757.9391999999998</v>
      </c>
      <c r="EP18">
        <v>15</v>
      </c>
      <c r="EQ18">
        <v>1791594186</v>
      </c>
      <c r="ER18" t="s">
        <v>349</v>
      </c>
      <c r="ES18">
        <v>1791594185</v>
      </c>
      <c r="ET18">
        <v>1791594186</v>
      </c>
      <c r="EU18">
        <v>3</v>
      </c>
      <c r="EV18">
        <v>0.17799999999999999</v>
      </c>
      <c r="EW18">
        <v>0</v>
      </c>
      <c r="EX18">
        <v>-0.745</v>
      </c>
      <c r="EY18">
        <v>-0.20300000000000001</v>
      </c>
      <c r="EZ18">
        <v>300</v>
      </c>
      <c r="FA18">
        <v>16</v>
      </c>
      <c r="FB18">
        <v>0.13</v>
      </c>
      <c r="FC18">
        <v>0.04</v>
      </c>
      <c r="FD18">
        <v>21.4819718013688</v>
      </c>
      <c r="FE18">
        <v>0.203667305061902</v>
      </c>
      <c r="FF18">
        <v>7.6493801868930303E-2</v>
      </c>
      <c r="FG18">
        <v>1</v>
      </c>
      <c r="FH18">
        <v>-9.3035566666666707</v>
      </c>
      <c r="FI18">
        <v>-2.31709090909081E-2</v>
      </c>
      <c r="FJ18">
        <v>2.7745528225426301E-2</v>
      </c>
      <c r="FK18">
        <v>1</v>
      </c>
      <c r="FL18">
        <v>254.284147058824</v>
      </c>
      <c r="FM18">
        <v>-2.0798624911330501</v>
      </c>
      <c r="FN18">
        <v>0.47000895688292099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-0.75600000000000001</v>
      </c>
      <c r="FV18">
        <v>-0.19570000000000001</v>
      </c>
      <c r="FW18">
        <v>-1.04373922394035</v>
      </c>
      <c r="FX18">
        <v>7.6835882421071803E-4</v>
      </c>
      <c r="FY18">
        <v>7.9312579872174805E-7</v>
      </c>
      <c r="FZ18">
        <v>-1.5433145656851401E-10</v>
      </c>
      <c r="GA18">
        <v>-4.7295534619877899E-2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0.8</v>
      </c>
      <c r="GJ18">
        <v>0.8</v>
      </c>
      <c r="GK18">
        <v>0.82885699999999995</v>
      </c>
      <c r="GL18">
        <v>2.6147499999999999</v>
      </c>
      <c r="GM18">
        <v>1.65161</v>
      </c>
      <c r="GN18">
        <v>2.2802699999999998</v>
      </c>
      <c r="GO18">
        <v>1.5979000000000001</v>
      </c>
      <c r="GP18">
        <v>2.6245099999999999</v>
      </c>
      <c r="GQ18">
        <v>32.975999999999999</v>
      </c>
      <c r="GR18">
        <v>15.4192</v>
      </c>
      <c r="GS18">
        <v>18</v>
      </c>
      <c r="GT18">
        <v>503.43799999999999</v>
      </c>
      <c r="GU18">
        <v>548.64599999999996</v>
      </c>
      <c r="GV18">
        <v>22.365600000000001</v>
      </c>
      <c r="GW18">
        <v>29.203600000000002</v>
      </c>
      <c r="GX18">
        <v>29.9999</v>
      </c>
      <c r="GY18">
        <v>29.3155</v>
      </c>
      <c r="GZ18">
        <v>29.3674</v>
      </c>
      <c r="HA18">
        <v>16.566099999999999</v>
      </c>
      <c r="HB18">
        <v>33.713799999999999</v>
      </c>
      <c r="HC18">
        <v>43.502800000000001</v>
      </c>
      <c r="HD18">
        <v>22.392600000000002</v>
      </c>
      <c r="HE18">
        <v>300</v>
      </c>
      <c r="HF18">
        <v>15.601599999999999</v>
      </c>
      <c r="HG18">
        <v>98.221299999999999</v>
      </c>
      <c r="HH18">
        <v>94.745800000000003</v>
      </c>
    </row>
    <row r="19" spans="1:216" x14ac:dyDescent="0.3">
      <c r="A19">
        <v>3</v>
      </c>
      <c r="B19">
        <v>1791594355</v>
      </c>
      <c r="C19">
        <v>242</v>
      </c>
      <c r="D19" t="s">
        <v>350</v>
      </c>
      <c r="E19" t="s">
        <v>351</v>
      </c>
      <c r="F19">
        <v>5</v>
      </c>
      <c r="G19">
        <v>1791594346.5</v>
      </c>
      <c r="H19">
        <f t="shared" si="0"/>
        <v>6.4189093232951333E-3</v>
      </c>
      <c r="I19">
        <f t="shared" si="1"/>
        <v>6.4189093232951331</v>
      </c>
      <c r="J19">
        <f t="shared" si="2"/>
        <v>13.465538498158526</v>
      </c>
      <c r="K19">
        <f t="shared" si="3"/>
        <v>194.11031249999999</v>
      </c>
      <c r="L19">
        <f t="shared" si="4"/>
        <v>145.38036816535532</v>
      </c>
      <c r="M19">
        <f t="shared" si="5"/>
        <v>14.757439271026513</v>
      </c>
      <c r="N19">
        <f t="shared" si="6"/>
        <v>19.703975060377967</v>
      </c>
      <c r="O19">
        <f t="shared" si="7"/>
        <v>0.51637310177394757</v>
      </c>
      <c r="P19">
        <f t="shared" si="8"/>
        <v>3.0329000727995341</v>
      </c>
      <c r="Q19">
        <f t="shared" si="9"/>
        <v>0.47203834155244639</v>
      </c>
      <c r="R19">
        <f t="shared" si="10"/>
        <v>0.29868941252735759</v>
      </c>
      <c r="S19">
        <f t="shared" si="11"/>
        <v>241.74508426558617</v>
      </c>
      <c r="T19">
        <f t="shared" si="12"/>
        <v>25.479860913239541</v>
      </c>
      <c r="U19">
        <f t="shared" si="13"/>
        <v>24.97288125</v>
      </c>
      <c r="V19">
        <f t="shared" si="14"/>
        <v>3.1745403326939221</v>
      </c>
      <c r="W19">
        <f t="shared" si="15"/>
        <v>55.100034130863421</v>
      </c>
      <c r="X19">
        <f t="shared" si="16"/>
        <v>1.8282047414731157</v>
      </c>
      <c r="Y19">
        <f t="shared" si="17"/>
        <v>3.3179738820689324</v>
      </c>
      <c r="Z19">
        <f t="shared" si="18"/>
        <v>1.3463355912208064</v>
      </c>
      <c r="AA19">
        <f t="shared" si="19"/>
        <v>-283.07390115731539</v>
      </c>
      <c r="AB19">
        <f t="shared" si="20"/>
        <v>121.51224003881171</v>
      </c>
      <c r="AC19">
        <f t="shared" si="21"/>
        <v>8.5040875755520382</v>
      </c>
      <c r="AD19">
        <f t="shared" si="22"/>
        <v>88.687510722634528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53809.358660769103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1261.2486750080755</v>
      </c>
      <c r="AW19">
        <f t="shared" si="29"/>
        <v>13.465538498158526</v>
      </c>
      <c r="AX19" t="e">
        <f t="shared" si="30"/>
        <v>#DIV/0!</v>
      </c>
      <c r="AY19">
        <f t="shared" si="31"/>
        <v>1.0676354921104128E-2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1500.0443749999999</v>
      </c>
      <c r="CU19">
        <f t="shared" si="43"/>
        <v>1261.2486750080755</v>
      </c>
      <c r="CV19">
        <f t="shared" si="44"/>
        <v>0.84080757611459034</v>
      </c>
      <c r="CW19">
        <f t="shared" si="45"/>
        <v>0.16115862190115954</v>
      </c>
      <c r="CX19">
        <v>2</v>
      </c>
      <c r="CY19">
        <v>0.5</v>
      </c>
      <c r="CZ19" t="s">
        <v>344</v>
      </c>
      <c r="DA19">
        <v>2</v>
      </c>
      <c r="DB19">
        <v>1791594346.5</v>
      </c>
      <c r="DC19">
        <v>194.11031249999999</v>
      </c>
      <c r="DD19">
        <v>199.9945625</v>
      </c>
      <c r="DE19">
        <v>18.010243750000001</v>
      </c>
      <c r="DF19">
        <v>15.489075</v>
      </c>
      <c r="DG19">
        <v>194.86531249999999</v>
      </c>
      <c r="DH19">
        <v>18.205581250000002</v>
      </c>
      <c r="DI19">
        <v>500.03025000000002</v>
      </c>
      <c r="DJ19">
        <v>101.409125</v>
      </c>
      <c r="DK19">
        <v>0.1000365</v>
      </c>
      <c r="DL19">
        <v>25.71603125</v>
      </c>
      <c r="DM19">
        <v>24.97288125</v>
      </c>
      <c r="DN19">
        <v>999.9</v>
      </c>
      <c r="DO19">
        <v>0</v>
      </c>
      <c r="DP19">
        <v>0</v>
      </c>
      <c r="DQ19">
        <v>9991.5981250000004</v>
      </c>
      <c r="DR19">
        <v>0</v>
      </c>
      <c r="DS19">
        <v>8.4701199999999996</v>
      </c>
      <c r="DT19">
        <v>1500.0443749999999</v>
      </c>
      <c r="DU19">
        <v>0.97299306249999995</v>
      </c>
      <c r="DV19">
        <v>2.7006581250000002E-2</v>
      </c>
      <c r="DW19">
        <v>0</v>
      </c>
      <c r="DX19">
        <v>244.4753125</v>
      </c>
      <c r="DY19">
        <v>4.9999900000000004</v>
      </c>
      <c r="DZ19">
        <v>3621.953125</v>
      </c>
      <c r="EA19">
        <v>14882.981250000001</v>
      </c>
      <c r="EB19">
        <v>36.738187500000002</v>
      </c>
      <c r="EC19">
        <v>38.311999999999998</v>
      </c>
      <c r="ED19">
        <v>37.269374999999997</v>
      </c>
      <c r="EE19">
        <v>37.796500000000002</v>
      </c>
      <c r="EF19">
        <v>38.375</v>
      </c>
      <c r="EG19">
        <v>1454.6643750000001</v>
      </c>
      <c r="EH19">
        <v>40.380000000000003</v>
      </c>
      <c r="EI19">
        <v>0</v>
      </c>
      <c r="EJ19">
        <v>1791594355.0999999</v>
      </c>
      <c r="EK19">
        <v>0</v>
      </c>
      <c r="EL19">
        <v>244.584423076923</v>
      </c>
      <c r="EM19">
        <v>0.80270087668101298</v>
      </c>
      <c r="EN19">
        <v>-17.242393179613</v>
      </c>
      <c r="EO19">
        <v>3621.5961538461502</v>
      </c>
      <c r="EP19">
        <v>15</v>
      </c>
      <c r="EQ19">
        <v>1791594307</v>
      </c>
      <c r="ER19" t="s">
        <v>352</v>
      </c>
      <c r="ES19">
        <v>1791594300</v>
      </c>
      <c r="ET19">
        <v>1791594307</v>
      </c>
      <c r="EU19">
        <v>4</v>
      </c>
      <c r="EV19">
        <v>0.11</v>
      </c>
      <c r="EW19">
        <v>0</v>
      </c>
      <c r="EX19">
        <v>-0.749</v>
      </c>
      <c r="EY19">
        <v>-0.20300000000000001</v>
      </c>
      <c r="EZ19">
        <v>200</v>
      </c>
      <c r="FA19">
        <v>16</v>
      </c>
      <c r="FB19">
        <v>0.35</v>
      </c>
      <c r="FC19">
        <v>0.02</v>
      </c>
      <c r="FD19">
        <v>13.430550535121901</v>
      </c>
      <c r="FE19">
        <v>0.58465627480169102</v>
      </c>
      <c r="FF19">
        <v>7.8648409476433298E-2</v>
      </c>
      <c r="FG19">
        <v>1</v>
      </c>
      <c r="FH19">
        <v>-5.8728590000000001</v>
      </c>
      <c r="FI19">
        <v>-0.237646917293241</v>
      </c>
      <c r="FJ19">
        <v>3.1323320210347998E-2</v>
      </c>
      <c r="FK19">
        <v>1</v>
      </c>
      <c r="FL19">
        <v>244.76588235294099</v>
      </c>
      <c r="FM19">
        <v>-2.3819098475224001</v>
      </c>
      <c r="FN19">
        <v>0.57716756485779397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-0.755</v>
      </c>
      <c r="FV19">
        <v>-0.19539999999999999</v>
      </c>
      <c r="FW19">
        <v>-0.93374619333437003</v>
      </c>
      <c r="FX19">
        <v>7.6835882421071803E-4</v>
      </c>
      <c r="FY19">
        <v>7.9312579872174805E-7</v>
      </c>
      <c r="FZ19">
        <v>-1.5433145656851401E-10</v>
      </c>
      <c r="GA19">
        <v>-4.7484341825669199E-2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0.9</v>
      </c>
      <c r="GJ19">
        <v>0.8</v>
      </c>
      <c r="GK19">
        <v>0.60913099999999998</v>
      </c>
      <c r="GL19">
        <v>2.63184</v>
      </c>
      <c r="GM19">
        <v>1.65161</v>
      </c>
      <c r="GN19">
        <v>2.2802699999999998</v>
      </c>
      <c r="GO19">
        <v>1.5979000000000001</v>
      </c>
      <c r="GP19">
        <v>2.5097700000000001</v>
      </c>
      <c r="GQ19">
        <v>33.042900000000003</v>
      </c>
      <c r="GR19">
        <v>15.3841</v>
      </c>
      <c r="GS19">
        <v>18</v>
      </c>
      <c r="GT19">
        <v>503.40699999999998</v>
      </c>
      <c r="GU19">
        <v>547.91499999999996</v>
      </c>
      <c r="GV19">
        <v>22.580300000000001</v>
      </c>
      <c r="GW19">
        <v>29.214400000000001</v>
      </c>
      <c r="GX19">
        <v>30</v>
      </c>
      <c r="GY19">
        <v>29.328800000000001</v>
      </c>
      <c r="GZ19">
        <v>29.3812</v>
      </c>
      <c r="HA19">
        <v>12.178699999999999</v>
      </c>
      <c r="HB19">
        <v>33.444099999999999</v>
      </c>
      <c r="HC19">
        <v>41.611699999999999</v>
      </c>
      <c r="HD19">
        <v>22.5992</v>
      </c>
      <c r="HE19">
        <v>200</v>
      </c>
      <c r="HF19">
        <v>15.4803</v>
      </c>
      <c r="HG19">
        <v>98.216300000000004</v>
      </c>
      <c r="HH19">
        <v>94.748000000000005</v>
      </c>
    </row>
    <row r="20" spans="1:216" x14ac:dyDescent="0.3">
      <c r="A20">
        <v>4</v>
      </c>
      <c r="B20">
        <v>1791594476</v>
      </c>
      <c r="C20">
        <v>363</v>
      </c>
      <c r="D20" t="s">
        <v>353</v>
      </c>
      <c r="E20" t="s">
        <v>354</v>
      </c>
      <c r="F20">
        <v>5</v>
      </c>
      <c r="G20">
        <v>1791594468</v>
      </c>
      <c r="H20">
        <f t="shared" si="0"/>
        <v>6.7340127507602172E-3</v>
      </c>
      <c r="I20">
        <f t="shared" si="1"/>
        <v>6.7340127507602174</v>
      </c>
      <c r="J20">
        <f t="shared" si="2"/>
        <v>4.2480656965864494</v>
      </c>
      <c r="K20">
        <f t="shared" si="3"/>
        <v>98.026060000000001</v>
      </c>
      <c r="L20">
        <f t="shared" si="4"/>
        <v>82.607726934566116</v>
      </c>
      <c r="M20">
        <f t="shared" si="5"/>
        <v>8.3853919545163276</v>
      </c>
      <c r="N20">
        <f t="shared" si="6"/>
        <v>9.95048484396664</v>
      </c>
      <c r="O20">
        <f t="shared" si="7"/>
        <v>0.54687227289322948</v>
      </c>
      <c r="P20">
        <f t="shared" si="8"/>
        <v>3.0344891385314394</v>
      </c>
      <c r="Q20">
        <f t="shared" si="9"/>
        <v>0.49743737867550247</v>
      </c>
      <c r="R20">
        <f t="shared" si="10"/>
        <v>0.31496665613556912</v>
      </c>
      <c r="S20">
        <f t="shared" si="11"/>
        <v>241.74044921558598</v>
      </c>
      <c r="T20">
        <f t="shared" si="12"/>
        <v>25.484860486707451</v>
      </c>
      <c r="U20">
        <f t="shared" si="13"/>
        <v>24.999606666666701</v>
      </c>
      <c r="V20">
        <f t="shared" si="14"/>
        <v>3.1796030267437847</v>
      </c>
      <c r="W20">
        <f t="shared" si="15"/>
        <v>55.161591990933346</v>
      </c>
      <c r="X20">
        <f t="shared" si="16"/>
        <v>1.8394123740274468</v>
      </c>
      <c r="Y20">
        <f t="shared" si="17"/>
        <v>3.3345889914304552</v>
      </c>
      <c r="Z20">
        <f t="shared" si="18"/>
        <v>1.3401906527163379</v>
      </c>
      <c r="AA20">
        <f t="shared" si="19"/>
        <v>-296.96996230852557</v>
      </c>
      <c r="AB20">
        <f t="shared" si="20"/>
        <v>130.98863824238771</v>
      </c>
      <c r="AC20">
        <f t="shared" si="21"/>
        <v>9.1676129100474242</v>
      </c>
      <c r="AD20">
        <f t="shared" si="22"/>
        <v>84.926738059495563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53843.750269907745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1261.224280008073</v>
      </c>
      <c r="AW20">
        <f t="shared" si="29"/>
        <v>4.2480656965864494</v>
      </c>
      <c r="AX20" t="e">
        <f t="shared" si="30"/>
        <v>#DIV/0!</v>
      </c>
      <c r="AY20">
        <f t="shared" si="31"/>
        <v>3.3682079895887016E-3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1500.0153333333301</v>
      </c>
      <c r="CU20">
        <f t="shared" si="43"/>
        <v>1261.224280008073</v>
      </c>
      <c r="CV20">
        <f t="shared" si="44"/>
        <v>0.84080759175000153</v>
      </c>
      <c r="CW20">
        <f t="shared" si="45"/>
        <v>0.1611586520775031</v>
      </c>
      <c r="CX20">
        <v>2</v>
      </c>
      <c r="CY20">
        <v>0.5</v>
      </c>
      <c r="CZ20" t="s">
        <v>344</v>
      </c>
      <c r="DA20">
        <v>2</v>
      </c>
      <c r="DB20">
        <v>1791594468</v>
      </c>
      <c r="DC20">
        <v>98.026060000000001</v>
      </c>
      <c r="DD20">
        <v>99.989353333333298</v>
      </c>
      <c r="DE20">
        <v>18.120760000000001</v>
      </c>
      <c r="DF20">
        <v>15.4759333333333</v>
      </c>
      <c r="DG20">
        <v>98.693113333333301</v>
      </c>
      <c r="DH20">
        <v>18.318926666666702</v>
      </c>
      <c r="DI20">
        <v>499.99400000000003</v>
      </c>
      <c r="DJ20">
        <v>101.40860000000001</v>
      </c>
      <c r="DK20">
        <v>9.9966639999999996E-2</v>
      </c>
      <c r="DL20">
        <v>25.8002933333333</v>
      </c>
      <c r="DM20">
        <v>24.999606666666701</v>
      </c>
      <c r="DN20">
        <v>999.9</v>
      </c>
      <c r="DO20">
        <v>0</v>
      </c>
      <c r="DP20">
        <v>0</v>
      </c>
      <c r="DQ20">
        <v>10001.25</v>
      </c>
      <c r="DR20">
        <v>0</v>
      </c>
      <c r="DS20">
        <v>8.4738853333333299</v>
      </c>
      <c r="DT20">
        <v>1500.0153333333301</v>
      </c>
      <c r="DU20">
        <v>0.97299233333333301</v>
      </c>
      <c r="DV20">
        <v>2.70073533333333E-2</v>
      </c>
      <c r="DW20">
        <v>0</v>
      </c>
      <c r="DX20">
        <v>242.85746666666699</v>
      </c>
      <c r="DY20">
        <v>4.9999900000000004</v>
      </c>
      <c r="DZ20">
        <v>3593.1260000000002</v>
      </c>
      <c r="EA20">
        <v>14882.7</v>
      </c>
      <c r="EB20">
        <v>36.699599999999997</v>
      </c>
      <c r="EC20">
        <v>38.295466666666698</v>
      </c>
      <c r="ED20">
        <v>37.25</v>
      </c>
      <c r="EE20">
        <v>37.803733333333298</v>
      </c>
      <c r="EF20">
        <v>38.3832666666667</v>
      </c>
      <c r="EG20">
        <v>1454.63533333333</v>
      </c>
      <c r="EH20">
        <v>40.380000000000003</v>
      </c>
      <c r="EI20">
        <v>0</v>
      </c>
      <c r="EJ20">
        <v>1791594476.3</v>
      </c>
      <c r="EK20">
        <v>0</v>
      </c>
      <c r="EL20">
        <v>242.88303846153801</v>
      </c>
      <c r="EM20">
        <v>-1.7699487085348</v>
      </c>
      <c r="EN20">
        <v>-0.43076925118049603</v>
      </c>
      <c r="EO20">
        <v>3593.0538461538499</v>
      </c>
      <c r="EP20">
        <v>15</v>
      </c>
      <c r="EQ20">
        <v>1791594429</v>
      </c>
      <c r="ER20" t="s">
        <v>355</v>
      </c>
      <c r="ES20">
        <v>1791594423</v>
      </c>
      <c r="ET20">
        <v>1791594429</v>
      </c>
      <c r="EU20">
        <v>5</v>
      </c>
      <c r="EV20">
        <v>0.183</v>
      </c>
      <c r="EW20">
        <v>-3.0000000000000001E-3</v>
      </c>
      <c r="EX20">
        <v>-0.66500000000000004</v>
      </c>
      <c r="EY20">
        <v>-0.20599999999999999</v>
      </c>
      <c r="EZ20">
        <v>100</v>
      </c>
      <c r="FA20">
        <v>15</v>
      </c>
      <c r="FB20">
        <v>0.27</v>
      </c>
      <c r="FC20">
        <v>0.03</v>
      </c>
      <c r="FD20">
        <v>4.2449060587875804</v>
      </c>
      <c r="FE20">
        <v>0.16617896956675801</v>
      </c>
      <c r="FF20">
        <v>4.7291737631628097E-2</v>
      </c>
      <c r="FG20">
        <v>1</v>
      </c>
      <c r="FH20">
        <v>-1.9631825000000001</v>
      </c>
      <c r="FI20">
        <v>-1.8080751879698799E-2</v>
      </c>
      <c r="FJ20">
        <v>1.8853195186758102E-2</v>
      </c>
      <c r="FK20">
        <v>1</v>
      </c>
      <c r="FL20">
        <v>242.94988235294099</v>
      </c>
      <c r="FM20">
        <v>-1.30835751561285</v>
      </c>
      <c r="FN20">
        <v>0.43626177817950801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-0.66700000000000004</v>
      </c>
      <c r="FV20">
        <v>-0.19819999999999999</v>
      </c>
      <c r="FW20">
        <v>-0.75046021821978404</v>
      </c>
      <c r="FX20">
        <v>7.6835882421071803E-4</v>
      </c>
      <c r="FY20">
        <v>7.9312579872174805E-7</v>
      </c>
      <c r="FZ20">
        <v>-1.5433145656851401E-10</v>
      </c>
      <c r="GA20">
        <v>-5.0865471244596998E-2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0.9</v>
      </c>
      <c r="GJ20">
        <v>0.8</v>
      </c>
      <c r="GK20">
        <v>0.38207999999999998</v>
      </c>
      <c r="GL20">
        <v>2.6428199999999999</v>
      </c>
      <c r="GM20">
        <v>1.65161</v>
      </c>
      <c r="GN20">
        <v>2.2802699999999998</v>
      </c>
      <c r="GO20">
        <v>1.5979000000000001</v>
      </c>
      <c r="GP20">
        <v>2.47559</v>
      </c>
      <c r="GQ20">
        <v>33.109900000000003</v>
      </c>
      <c r="GR20">
        <v>15.357900000000001</v>
      </c>
      <c r="GS20">
        <v>18</v>
      </c>
      <c r="GT20">
        <v>503.50599999999997</v>
      </c>
      <c r="GU20">
        <v>546.91800000000001</v>
      </c>
      <c r="GV20">
        <v>22.589600000000001</v>
      </c>
      <c r="GW20">
        <v>29.226199999999999</v>
      </c>
      <c r="GX20">
        <v>30</v>
      </c>
      <c r="GY20">
        <v>29.343</v>
      </c>
      <c r="GZ20">
        <v>29.395</v>
      </c>
      <c r="HA20">
        <v>7.6296299999999997</v>
      </c>
      <c r="HB20">
        <v>32.890099999999997</v>
      </c>
      <c r="HC20">
        <v>40.107199999999999</v>
      </c>
      <c r="HD20">
        <v>22.623200000000001</v>
      </c>
      <c r="HE20">
        <v>100</v>
      </c>
      <c r="HF20">
        <v>15.460900000000001</v>
      </c>
      <c r="HG20">
        <v>98.214600000000004</v>
      </c>
      <c r="HH20">
        <v>94.752700000000004</v>
      </c>
    </row>
    <row r="21" spans="1:216" x14ac:dyDescent="0.3">
      <c r="A21">
        <v>5</v>
      </c>
      <c r="B21">
        <v>1791594597</v>
      </c>
      <c r="C21">
        <v>484</v>
      </c>
      <c r="D21" t="s">
        <v>356</v>
      </c>
      <c r="E21" t="s">
        <v>357</v>
      </c>
      <c r="F21">
        <v>5</v>
      </c>
      <c r="G21">
        <v>1791594589</v>
      </c>
      <c r="H21">
        <f t="shared" si="0"/>
        <v>7.1300023633512214E-3</v>
      </c>
      <c r="I21">
        <f t="shared" si="1"/>
        <v>7.1300023633512213</v>
      </c>
      <c r="J21">
        <f t="shared" si="2"/>
        <v>-0.5351277556733689</v>
      </c>
      <c r="K21">
        <f t="shared" si="3"/>
        <v>50.069293333333299</v>
      </c>
      <c r="L21">
        <f t="shared" si="4"/>
        <v>50.596470417924486</v>
      </c>
      <c r="M21">
        <f t="shared" si="5"/>
        <v>5.1358751390314357</v>
      </c>
      <c r="N21">
        <f t="shared" si="6"/>
        <v>5.0823631912561265</v>
      </c>
      <c r="O21">
        <f t="shared" si="7"/>
        <v>0.58354370634402142</v>
      </c>
      <c r="P21">
        <f t="shared" si="8"/>
        <v>3.0341647553544813</v>
      </c>
      <c r="Q21">
        <f t="shared" si="9"/>
        <v>0.52761376173968044</v>
      </c>
      <c r="R21">
        <f t="shared" si="10"/>
        <v>0.33433583154043239</v>
      </c>
      <c r="S21">
        <f t="shared" si="11"/>
        <v>241.73927881558654</v>
      </c>
      <c r="T21">
        <f t="shared" si="12"/>
        <v>25.435241984632938</v>
      </c>
      <c r="U21">
        <f t="shared" si="13"/>
        <v>24.987220000000001</v>
      </c>
      <c r="V21">
        <f t="shared" si="14"/>
        <v>3.1772556983268507</v>
      </c>
      <c r="W21">
        <f t="shared" si="15"/>
        <v>54.998301216906142</v>
      </c>
      <c r="X21">
        <f t="shared" si="16"/>
        <v>1.8394252649578351</v>
      </c>
      <c r="Y21">
        <f t="shared" si="17"/>
        <v>3.3445128745038528</v>
      </c>
      <c r="Z21">
        <f t="shared" si="18"/>
        <v>1.3378304333690156</v>
      </c>
      <c r="AA21">
        <f t="shared" si="19"/>
        <v>-314.43310422378886</v>
      </c>
      <c r="AB21">
        <f t="shared" si="20"/>
        <v>141.20479697598654</v>
      </c>
      <c r="AC21">
        <f t="shared" si="21"/>
        <v>9.8855558076705936</v>
      </c>
      <c r="AD21">
        <f t="shared" si="22"/>
        <v>78.396527375454809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53824.547974133071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1261.2181200080759</v>
      </c>
      <c r="AW21">
        <f t="shared" si="29"/>
        <v>-0.5351277556733689</v>
      </c>
      <c r="AX21" t="e">
        <f t="shared" si="30"/>
        <v>#DIV/0!</v>
      </c>
      <c r="AY21">
        <f t="shared" si="31"/>
        <v>-4.2429437635255538E-4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1500.008</v>
      </c>
      <c r="CU21">
        <f t="shared" si="43"/>
        <v>1261.2181200080759</v>
      </c>
      <c r="CV21">
        <f t="shared" si="44"/>
        <v>0.84080759569820684</v>
      </c>
      <c r="CW21">
        <f t="shared" si="45"/>
        <v>0.16115865969753931</v>
      </c>
      <c r="CX21">
        <v>2</v>
      </c>
      <c r="CY21">
        <v>0.5</v>
      </c>
      <c r="CZ21" t="s">
        <v>344</v>
      </c>
      <c r="DA21">
        <v>2</v>
      </c>
      <c r="DB21">
        <v>1791594589</v>
      </c>
      <c r="DC21">
        <v>50.069293333333299</v>
      </c>
      <c r="DD21">
        <v>49.998046666666703</v>
      </c>
      <c r="DE21">
        <v>18.12124</v>
      </c>
      <c r="DF21">
        <v>15.3211866666667</v>
      </c>
      <c r="DG21">
        <v>50.752406666666701</v>
      </c>
      <c r="DH21">
        <v>18.318653333333302</v>
      </c>
      <c r="DI21">
        <v>500.04746666666699</v>
      </c>
      <c r="DJ21">
        <v>101.406533333333</v>
      </c>
      <c r="DK21">
        <v>0.10005589333333299</v>
      </c>
      <c r="DL21">
        <v>25.850446666666699</v>
      </c>
      <c r="DM21">
        <v>24.987220000000001</v>
      </c>
      <c r="DN21">
        <v>999.9</v>
      </c>
      <c r="DO21">
        <v>0</v>
      </c>
      <c r="DP21">
        <v>0</v>
      </c>
      <c r="DQ21">
        <v>9999.4933333333302</v>
      </c>
      <c r="DR21">
        <v>0</v>
      </c>
      <c r="DS21">
        <v>8.5237660000000002</v>
      </c>
      <c r="DT21">
        <v>1500.008</v>
      </c>
      <c r="DU21">
        <v>0.97299199999999997</v>
      </c>
      <c r="DV21">
        <v>2.7007693333333301E-2</v>
      </c>
      <c r="DW21">
        <v>0</v>
      </c>
      <c r="DX21">
        <v>246.43639999999999</v>
      </c>
      <c r="DY21">
        <v>4.9999900000000004</v>
      </c>
      <c r="DZ21">
        <v>3644.6253333333302</v>
      </c>
      <c r="EA21">
        <v>14882.6266666667</v>
      </c>
      <c r="EB21">
        <v>36.737400000000001</v>
      </c>
      <c r="EC21">
        <v>38.307866666666698</v>
      </c>
      <c r="ED21">
        <v>37.2582666666667</v>
      </c>
      <c r="EE21">
        <v>37.811999999999998</v>
      </c>
      <c r="EF21">
        <v>38.428733333333298</v>
      </c>
      <c r="EG21">
        <v>1454.6279999999999</v>
      </c>
      <c r="EH21">
        <v>40.380000000000003</v>
      </c>
      <c r="EI21">
        <v>0</v>
      </c>
      <c r="EJ21">
        <v>1791594597.5</v>
      </c>
      <c r="EK21">
        <v>0</v>
      </c>
      <c r="EL21">
        <v>246.56676923076901</v>
      </c>
      <c r="EM21">
        <v>0.77025643720868697</v>
      </c>
      <c r="EN21">
        <v>14.671111067566301</v>
      </c>
      <c r="EO21">
        <v>3644.7049999999999</v>
      </c>
      <c r="EP21">
        <v>15</v>
      </c>
      <c r="EQ21">
        <v>1791594540</v>
      </c>
      <c r="ER21" t="s">
        <v>358</v>
      </c>
      <c r="ES21">
        <v>1791594533</v>
      </c>
      <c r="ET21">
        <v>1791594540</v>
      </c>
      <c r="EU21">
        <v>6</v>
      </c>
      <c r="EV21">
        <v>2.5999999999999999E-2</v>
      </c>
      <c r="EW21">
        <v>1E-3</v>
      </c>
      <c r="EX21">
        <v>-0.68300000000000005</v>
      </c>
      <c r="EY21">
        <v>-0.20599999999999999</v>
      </c>
      <c r="EZ21">
        <v>50</v>
      </c>
      <c r="FA21">
        <v>15</v>
      </c>
      <c r="FB21">
        <v>0.31</v>
      </c>
      <c r="FC21">
        <v>0.05</v>
      </c>
      <c r="FD21">
        <v>-0.53046650156681396</v>
      </c>
      <c r="FE21">
        <v>-4.9477647467249799E-3</v>
      </c>
      <c r="FF21">
        <v>6.1350014701437298E-2</v>
      </c>
      <c r="FG21">
        <v>1</v>
      </c>
      <c r="FH21">
        <v>6.5758905000000006E-2</v>
      </c>
      <c r="FI21">
        <v>8.4677237593984794E-2</v>
      </c>
      <c r="FJ21">
        <v>2.20107158771921E-2</v>
      </c>
      <c r="FK21">
        <v>1</v>
      </c>
      <c r="FL21">
        <v>246.49473529411799</v>
      </c>
      <c r="FM21">
        <v>0.64316273375675403</v>
      </c>
      <c r="FN21">
        <v>0.450361247733648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-0.68300000000000005</v>
      </c>
      <c r="FV21">
        <v>-0.19750000000000001</v>
      </c>
      <c r="FW21">
        <v>-0.72415360844975996</v>
      </c>
      <c r="FX21">
        <v>7.6835882421071803E-4</v>
      </c>
      <c r="FY21">
        <v>7.9312579872174805E-7</v>
      </c>
      <c r="FZ21">
        <v>-1.5433145656851401E-10</v>
      </c>
      <c r="GA21">
        <v>-5.0084219314941697E-2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1.1000000000000001</v>
      </c>
      <c r="GJ21">
        <v>0.9</v>
      </c>
      <c r="GK21">
        <v>0.26977499999999999</v>
      </c>
      <c r="GL21">
        <v>2.67578</v>
      </c>
      <c r="GM21">
        <v>1.65161</v>
      </c>
      <c r="GN21">
        <v>2.2802699999999998</v>
      </c>
      <c r="GO21">
        <v>1.5979000000000001</v>
      </c>
      <c r="GP21">
        <v>2.50854</v>
      </c>
      <c r="GQ21">
        <v>33.176900000000003</v>
      </c>
      <c r="GR21">
        <v>15.3316</v>
      </c>
      <c r="GS21">
        <v>18</v>
      </c>
      <c r="GT21">
        <v>503.65800000000002</v>
      </c>
      <c r="GU21">
        <v>546.22900000000004</v>
      </c>
      <c r="GV21">
        <v>22.758299999999998</v>
      </c>
      <c r="GW21">
        <v>29.2362</v>
      </c>
      <c r="GX21">
        <v>30.0001</v>
      </c>
      <c r="GY21">
        <v>29.352599999999999</v>
      </c>
      <c r="GZ21">
        <v>29.405100000000001</v>
      </c>
      <c r="HA21">
        <v>5.3761999999999999</v>
      </c>
      <c r="HB21">
        <v>32.634500000000003</v>
      </c>
      <c r="HC21">
        <v>38.634799999999998</v>
      </c>
      <c r="HD21">
        <v>22.769400000000001</v>
      </c>
      <c r="HE21">
        <v>50</v>
      </c>
      <c r="HF21">
        <v>15.384</v>
      </c>
      <c r="HG21">
        <v>98.210700000000003</v>
      </c>
      <c r="HH21">
        <v>94.753100000000003</v>
      </c>
    </row>
    <row r="22" spans="1:216" x14ac:dyDescent="0.3">
      <c r="A22">
        <v>6</v>
      </c>
      <c r="B22">
        <v>1791594746</v>
      </c>
      <c r="C22">
        <v>633</v>
      </c>
      <c r="D22" t="s">
        <v>359</v>
      </c>
      <c r="E22" t="s">
        <v>360</v>
      </c>
      <c r="F22">
        <v>5</v>
      </c>
      <c r="G22">
        <v>1791594738</v>
      </c>
      <c r="H22">
        <f t="shared" si="0"/>
        <v>7.276309724454276E-3</v>
      </c>
      <c r="I22">
        <f t="shared" si="1"/>
        <v>7.2763097244542756</v>
      </c>
      <c r="J22">
        <f t="shared" si="2"/>
        <v>28.656651940386158</v>
      </c>
      <c r="K22">
        <f t="shared" si="3"/>
        <v>387.39600000000002</v>
      </c>
      <c r="L22">
        <f t="shared" si="4"/>
        <v>296.78930240609674</v>
      </c>
      <c r="M22">
        <f t="shared" si="5"/>
        <v>30.125019096887574</v>
      </c>
      <c r="N22">
        <f t="shared" si="6"/>
        <v>39.321875160073567</v>
      </c>
      <c r="O22">
        <f t="shared" si="7"/>
        <v>0.60151136130191596</v>
      </c>
      <c r="P22">
        <f t="shared" si="8"/>
        <v>3.033446707529122</v>
      </c>
      <c r="Q22">
        <f t="shared" si="9"/>
        <v>0.54225847220947943</v>
      </c>
      <c r="R22">
        <f t="shared" si="10"/>
        <v>0.34374748061775701</v>
      </c>
      <c r="S22">
        <f t="shared" si="11"/>
        <v>241.74491801558568</v>
      </c>
      <c r="T22">
        <f t="shared" si="12"/>
        <v>25.517517058967233</v>
      </c>
      <c r="U22">
        <f t="shared" si="13"/>
        <v>24.98808</v>
      </c>
      <c r="V22">
        <f t="shared" si="14"/>
        <v>3.1774186232169344</v>
      </c>
      <c r="W22">
        <f t="shared" si="15"/>
        <v>54.899488170472466</v>
      </c>
      <c r="X22">
        <f t="shared" si="16"/>
        <v>1.8491216443668088</v>
      </c>
      <c r="Y22">
        <f t="shared" si="17"/>
        <v>3.368194688127081</v>
      </c>
      <c r="Z22">
        <f t="shared" si="18"/>
        <v>1.3282969788501255</v>
      </c>
      <c r="AA22">
        <f t="shared" si="19"/>
        <v>-320.88525884843358</v>
      </c>
      <c r="AB22">
        <f t="shared" si="20"/>
        <v>160.51806513150424</v>
      </c>
      <c r="AC22">
        <f t="shared" si="21"/>
        <v>11.247100806267085</v>
      </c>
      <c r="AD22">
        <f t="shared" si="22"/>
        <v>92.624825104923417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53780.629666706453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1261.2478000080728</v>
      </c>
      <c r="AW22">
        <f t="shared" si="29"/>
        <v>28.656651940386158</v>
      </c>
      <c r="AX22" t="e">
        <f t="shared" si="30"/>
        <v>#DIV/0!</v>
      </c>
      <c r="AY22">
        <f t="shared" si="31"/>
        <v>2.2720873677799666E-2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1500.0433333333301</v>
      </c>
      <c r="CU22">
        <f t="shared" si="43"/>
        <v>1261.2478000080728</v>
      </c>
      <c r="CV22">
        <f t="shared" si="44"/>
        <v>0.84080757667539086</v>
      </c>
      <c r="CW22">
        <f t="shared" si="45"/>
        <v>0.16115862298350461</v>
      </c>
      <c r="CX22">
        <v>2</v>
      </c>
      <c r="CY22">
        <v>0.5</v>
      </c>
      <c r="CZ22" t="s">
        <v>344</v>
      </c>
      <c r="DA22">
        <v>2</v>
      </c>
      <c r="DB22">
        <v>1791594738</v>
      </c>
      <c r="DC22">
        <v>387.39600000000002</v>
      </c>
      <c r="DD22">
        <v>399.98626666666701</v>
      </c>
      <c r="DE22">
        <v>18.217400000000001</v>
      </c>
      <c r="DF22">
        <v>15.35988</v>
      </c>
      <c r="DG22">
        <v>388.11013333333301</v>
      </c>
      <c r="DH22">
        <v>18.415299999999998</v>
      </c>
      <c r="DI22">
        <v>499.99680000000001</v>
      </c>
      <c r="DJ22">
        <v>101.403066666667</v>
      </c>
      <c r="DK22">
        <v>9.9982306666666701E-2</v>
      </c>
      <c r="DL22">
        <v>25.969606666666699</v>
      </c>
      <c r="DM22">
        <v>24.98808</v>
      </c>
      <c r="DN22">
        <v>999.9</v>
      </c>
      <c r="DO22">
        <v>0</v>
      </c>
      <c r="DP22">
        <v>0</v>
      </c>
      <c r="DQ22">
        <v>9995.4966666666696</v>
      </c>
      <c r="DR22">
        <v>0</v>
      </c>
      <c r="DS22">
        <v>8.5265900000000006</v>
      </c>
      <c r="DT22">
        <v>1500.0433333333301</v>
      </c>
      <c r="DU22">
        <v>0.972993</v>
      </c>
      <c r="DV22">
        <v>2.70066533333333E-2</v>
      </c>
      <c r="DW22">
        <v>0</v>
      </c>
      <c r="DX22">
        <v>244.87219999999999</v>
      </c>
      <c r="DY22">
        <v>4.9999900000000004</v>
      </c>
      <c r="DZ22">
        <v>3631.6246666666698</v>
      </c>
      <c r="EA22">
        <v>14882.993333333299</v>
      </c>
      <c r="EB22">
        <v>36.745800000000003</v>
      </c>
      <c r="EC22">
        <v>38.311999999999998</v>
      </c>
      <c r="ED22">
        <v>37.287199999999999</v>
      </c>
      <c r="EE22">
        <v>37.811999999999998</v>
      </c>
      <c r="EF22">
        <v>38.436999999999998</v>
      </c>
      <c r="EG22">
        <v>1454.66333333333</v>
      </c>
      <c r="EH22">
        <v>40.380000000000003</v>
      </c>
      <c r="EI22">
        <v>0</v>
      </c>
      <c r="EJ22">
        <v>1791594746.3</v>
      </c>
      <c r="EK22">
        <v>0</v>
      </c>
      <c r="EL22">
        <v>245.011615384615</v>
      </c>
      <c r="EM22">
        <v>9.3056410610759297</v>
      </c>
      <c r="EN22">
        <v>110.089914572878</v>
      </c>
      <c r="EO22">
        <v>3632.44730769231</v>
      </c>
      <c r="EP22">
        <v>15</v>
      </c>
      <c r="EQ22">
        <v>1791594663</v>
      </c>
      <c r="ER22" t="s">
        <v>361</v>
      </c>
      <c r="ES22">
        <v>1791594663</v>
      </c>
      <c r="ET22">
        <v>1791594663</v>
      </c>
      <c r="EU22">
        <v>7</v>
      </c>
      <c r="EV22">
        <v>-0.39900000000000002</v>
      </c>
      <c r="EW22">
        <v>-1E-3</v>
      </c>
      <c r="EX22">
        <v>-0.69699999999999995</v>
      </c>
      <c r="EY22">
        <v>-0.20699999999999999</v>
      </c>
      <c r="EZ22">
        <v>400</v>
      </c>
      <c r="FA22">
        <v>15</v>
      </c>
      <c r="FB22">
        <v>0.09</v>
      </c>
      <c r="FC22">
        <v>0.02</v>
      </c>
      <c r="FD22">
        <v>28.614008251408201</v>
      </c>
      <c r="FE22">
        <v>0.45650962333307299</v>
      </c>
      <c r="FF22">
        <v>7.7151678336697199E-2</v>
      </c>
      <c r="FG22">
        <v>1</v>
      </c>
      <c r="FH22">
        <v>-12.574276190476199</v>
      </c>
      <c r="FI22">
        <v>-0.21463636363635599</v>
      </c>
      <c r="FJ22">
        <v>3.2542732416110602E-2</v>
      </c>
      <c r="FK22">
        <v>1</v>
      </c>
      <c r="FL22">
        <v>244.55785294117601</v>
      </c>
      <c r="FM22">
        <v>8.4473796872183708</v>
      </c>
      <c r="FN22">
        <v>0.94244775584185503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-0.71399999999999997</v>
      </c>
      <c r="FV22">
        <v>-0.19800000000000001</v>
      </c>
      <c r="FW22">
        <v>-1.12280272982087</v>
      </c>
      <c r="FX22">
        <v>7.6835882421071803E-4</v>
      </c>
      <c r="FY22">
        <v>7.9312579872174805E-7</v>
      </c>
      <c r="FZ22">
        <v>-1.5433145656851401E-10</v>
      </c>
      <c r="GA22">
        <v>-5.1061044086249799E-2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1.4</v>
      </c>
      <c r="GJ22">
        <v>1.4</v>
      </c>
      <c r="GK22">
        <v>1.0388200000000001</v>
      </c>
      <c r="GL22">
        <v>2.6135299999999999</v>
      </c>
      <c r="GM22">
        <v>1.65161</v>
      </c>
      <c r="GN22">
        <v>2.2790499999999998</v>
      </c>
      <c r="GO22">
        <v>1.5979000000000001</v>
      </c>
      <c r="GP22">
        <v>2.6159699999999999</v>
      </c>
      <c r="GQ22">
        <v>33.244</v>
      </c>
      <c r="GR22">
        <v>15.305300000000001</v>
      </c>
      <c r="GS22">
        <v>18</v>
      </c>
      <c r="GT22">
        <v>504.23399999999998</v>
      </c>
      <c r="GU22">
        <v>546.274</v>
      </c>
      <c r="GV22">
        <v>22.9754</v>
      </c>
      <c r="GW22">
        <v>29.248799999999999</v>
      </c>
      <c r="GX22">
        <v>30.0002</v>
      </c>
      <c r="GY22">
        <v>29.365600000000001</v>
      </c>
      <c r="GZ22">
        <v>29.4177</v>
      </c>
      <c r="HA22">
        <v>20.788499999999999</v>
      </c>
      <c r="HB22">
        <v>31.780999999999999</v>
      </c>
      <c r="HC22">
        <v>36.747300000000003</v>
      </c>
      <c r="HD22">
        <v>22.981200000000001</v>
      </c>
      <c r="HE22">
        <v>400</v>
      </c>
      <c r="HF22">
        <v>15.4238</v>
      </c>
      <c r="HG22">
        <v>98.208100000000002</v>
      </c>
      <c r="HH22">
        <v>94.746600000000001</v>
      </c>
    </row>
    <row r="23" spans="1:216" x14ac:dyDescent="0.3">
      <c r="A23">
        <v>7</v>
      </c>
      <c r="B23">
        <v>1791594867</v>
      </c>
      <c r="C23">
        <v>754</v>
      </c>
      <c r="D23" t="s">
        <v>362</v>
      </c>
      <c r="E23" t="s">
        <v>363</v>
      </c>
      <c r="F23">
        <v>5</v>
      </c>
      <c r="G23">
        <v>1791594858.5</v>
      </c>
      <c r="H23">
        <f t="shared" si="0"/>
        <v>7.3506690854744875E-3</v>
      </c>
      <c r="I23">
        <f t="shared" si="1"/>
        <v>7.3506690854744878</v>
      </c>
      <c r="J23">
        <f t="shared" si="2"/>
        <v>29.735071616152577</v>
      </c>
      <c r="K23">
        <f t="shared" si="3"/>
        <v>386.97331250000002</v>
      </c>
      <c r="L23">
        <f t="shared" si="4"/>
        <v>294.6239275487095</v>
      </c>
      <c r="M23">
        <f t="shared" si="5"/>
        <v>29.904604889271283</v>
      </c>
      <c r="N23">
        <f t="shared" si="6"/>
        <v>39.278154049764971</v>
      </c>
      <c r="O23">
        <f t="shared" si="7"/>
        <v>0.61177935857993437</v>
      </c>
      <c r="P23">
        <f t="shared" si="8"/>
        <v>3.0336913248313726</v>
      </c>
      <c r="Q23">
        <f t="shared" si="9"/>
        <v>0.55060061545146888</v>
      </c>
      <c r="R23">
        <f t="shared" si="10"/>
        <v>0.34911081989060316</v>
      </c>
      <c r="S23">
        <f t="shared" si="11"/>
        <v>241.73880001558663</v>
      </c>
      <c r="T23">
        <f t="shared" si="12"/>
        <v>25.514964469159327</v>
      </c>
      <c r="U23">
        <f t="shared" si="13"/>
        <v>25.001862500000001</v>
      </c>
      <c r="V23">
        <f t="shared" si="14"/>
        <v>3.1800306802800309</v>
      </c>
      <c r="W23">
        <f t="shared" si="15"/>
        <v>55.128065580040122</v>
      </c>
      <c r="X23">
        <f t="shared" si="16"/>
        <v>1.8585988937631293</v>
      </c>
      <c r="Y23">
        <f t="shared" si="17"/>
        <v>3.3714204810336401</v>
      </c>
      <c r="Z23">
        <f t="shared" si="18"/>
        <v>1.3214317865169016</v>
      </c>
      <c r="AA23">
        <f t="shared" si="19"/>
        <v>-324.1645066694249</v>
      </c>
      <c r="AB23">
        <f t="shared" si="20"/>
        <v>160.92224020724487</v>
      </c>
      <c r="AC23">
        <f t="shared" si="21"/>
        <v>11.276208764177998</v>
      </c>
      <c r="AD23">
        <f t="shared" si="22"/>
        <v>89.772742317584601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53785.300713607576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1261.2156000080759</v>
      </c>
      <c r="AW23">
        <f t="shared" si="29"/>
        <v>29.735071616152577</v>
      </c>
      <c r="AX23" t="e">
        <f t="shared" si="30"/>
        <v>#DIV/0!</v>
      </c>
      <c r="AY23">
        <f t="shared" si="31"/>
        <v>2.3576517461377879E-2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1500.0050000000001</v>
      </c>
      <c r="CU23">
        <f t="shared" si="43"/>
        <v>1261.2156000080759</v>
      </c>
      <c r="CV23">
        <f t="shared" si="44"/>
        <v>0.84080759731339283</v>
      </c>
      <c r="CW23">
        <f t="shared" si="45"/>
        <v>0.16115866281484836</v>
      </c>
      <c r="CX23">
        <v>2</v>
      </c>
      <c r="CY23">
        <v>0.5</v>
      </c>
      <c r="CZ23" t="s">
        <v>344</v>
      </c>
      <c r="DA23">
        <v>2</v>
      </c>
      <c r="DB23">
        <v>1791594858.5</v>
      </c>
      <c r="DC23">
        <v>386.97331250000002</v>
      </c>
      <c r="DD23">
        <v>400.00462499999998</v>
      </c>
      <c r="DE23">
        <v>18.311150000000001</v>
      </c>
      <c r="DF23">
        <v>15.424837500000001</v>
      </c>
      <c r="DG23">
        <v>387.71125000000001</v>
      </c>
      <c r="DH23">
        <v>18.507181249999999</v>
      </c>
      <c r="DI23">
        <v>500.02</v>
      </c>
      <c r="DJ23">
        <v>101.4009375</v>
      </c>
      <c r="DK23">
        <v>0.1000001125</v>
      </c>
      <c r="DL23">
        <v>25.985781249999999</v>
      </c>
      <c r="DM23">
        <v>25.001862500000001</v>
      </c>
      <c r="DN23">
        <v>999.9</v>
      </c>
      <c r="DO23">
        <v>0</v>
      </c>
      <c r="DP23">
        <v>0</v>
      </c>
      <c r="DQ23">
        <v>9997.1843750000007</v>
      </c>
      <c r="DR23">
        <v>0</v>
      </c>
      <c r="DS23">
        <v>8.5265900000000006</v>
      </c>
      <c r="DT23">
        <v>1500.0050000000001</v>
      </c>
      <c r="DU23">
        <v>0.97299212499999999</v>
      </c>
      <c r="DV23">
        <v>2.7007556249999998E-2</v>
      </c>
      <c r="DW23">
        <v>0</v>
      </c>
      <c r="DX23">
        <v>255.21462500000001</v>
      </c>
      <c r="DY23">
        <v>4.9999900000000004</v>
      </c>
      <c r="DZ23">
        <v>3778.6106249999998</v>
      </c>
      <c r="EA23">
        <v>14882.6</v>
      </c>
      <c r="EB23">
        <v>36.75</v>
      </c>
      <c r="EC23">
        <v>38.331687500000001</v>
      </c>
      <c r="ED23">
        <v>37.311999999999998</v>
      </c>
      <c r="EE23">
        <v>37.811999999999998</v>
      </c>
      <c r="EF23">
        <v>38.436999999999998</v>
      </c>
      <c r="EG23">
        <v>1454.625</v>
      </c>
      <c r="EH23">
        <v>40.380000000000003</v>
      </c>
      <c r="EI23">
        <v>0</v>
      </c>
      <c r="EJ23">
        <v>1791594867.5</v>
      </c>
      <c r="EK23">
        <v>0</v>
      </c>
      <c r="EL23">
        <v>255.232846153846</v>
      </c>
      <c r="EM23">
        <v>2.23535041620279</v>
      </c>
      <c r="EN23">
        <v>40.651623874644798</v>
      </c>
      <c r="EO23">
        <v>3779.35461538462</v>
      </c>
      <c r="EP23">
        <v>15</v>
      </c>
      <c r="EQ23">
        <v>1791594801</v>
      </c>
      <c r="ER23" t="s">
        <v>364</v>
      </c>
      <c r="ES23">
        <v>1791594797</v>
      </c>
      <c r="ET23">
        <v>1791594801</v>
      </c>
      <c r="EU23">
        <v>8</v>
      </c>
      <c r="EV23">
        <v>-2.3E-2</v>
      </c>
      <c r="EW23">
        <v>1E-3</v>
      </c>
      <c r="EX23">
        <v>-0.72099999999999997</v>
      </c>
      <c r="EY23">
        <v>-0.20499999999999999</v>
      </c>
      <c r="EZ23">
        <v>400</v>
      </c>
      <c r="FA23">
        <v>15</v>
      </c>
      <c r="FB23">
        <v>7.0000000000000007E-2</v>
      </c>
      <c r="FC23">
        <v>0.02</v>
      </c>
      <c r="FD23">
        <v>29.730255028552001</v>
      </c>
      <c r="FE23">
        <v>0.17298991057288801</v>
      </c>
      <c r="FF23">
        <v>3.89284040960549E-2</v>
      </c>
      <c r="FG23">
        <v>1</v>
      </c>
      <c r="FH23">
        <v>-13.0309095238095</v>
      </c>
      <c r="FI23">
        <v>-5.2909090909119098E-2</v>
      </c>
      <c r="FJ23">
        <v>1.52079210176146E-2</v>
      </c>
      <c r="FK23">
        <v>1</v>
      </c>
      <c r="FL23">
        <v>255.10347058823501</v>
      </c>
      <c r="FM23">
        <v>2.3871657766833598</v>
      </c>
      <c r="FN23">
        <v>0.397176596912443</v>
      </c>
      <c r="FO23">
        <v>-1</v>
      </c>
      <c r="FP23">
        <v>2</v>
      </c>
      <c r="FQ23">
        <v>2</v>
      </c>
      <c r="FR23" t="s">
        <v>346</v>
      </c>
      <c r="FS23">
        <v>100</v>
      </c>
      <c r="FT23">
        <v>100</v>
      </c>
      <c r="FU23">
        <v>-0.73799999999999999</v>
      </c>
      <c r="FV23">
        <v>-0.1961</v>
      </c>
      <c r="FW23">
        <v>-1.1460593823562699</v>
      </c>
      <c r="FX23">
        <v>7.6835882421071803E-4</v>
      </c>
      <c r="FY23">
        <v>7.9312579872174805E-7</v>
      </c>
      <c r="FZ23">
        <v>-1.5433145656851401E-10</v>
      </c>
      <c r="GA23">
        <v>-4.96497542364868E-2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1.2</v>
      </c>
      <c r="GJ23">
        <v>1.1000000000000001</v>
      </c>
      <c r="GK23">
        <v>1.0400400000000001</v>
      </c>
      <c r="GL23">
        <v>2.6293899999999999</v>
      </c>
      <c r="GM23">
        <v>1.65161</v>
      </c>
      <c r="GN23">
        <v>2.2790499999999998</v>
      </c>
      <c r="GO23">
        <v>1.5979000000000001</v>
      </c>
      <c r="GP23">
        <v>2.4316399999999998</v>
      </c>
      <c r="GQ23">
        <v>33.288699999999999</v>
      </c>
      <c r="GR23">
        <v>15.270300000000001</v>
      </c>
      <c r="GS23">
        <v>18</v>
      </c>
      <c r="GT23">
        <v>503.89400000000001</v>
      </c>
      <c r="GU23">
        <v>546.04999999999995</v>
      </c>
      <c r="GV23">
        <v>22.848600000000001</v>
      </c>
      <c r="GW23">
        <v>29.261399999999998</v>
      </c>
      <c r="GX23">
        <v>29.9999</v>
      </c>
      <c r="GY23">
        <v>29.3764</v>
      </c>
      <c r="GZ23">
        <v>29.430199999999999</v>
      </c>
      <c r="HA23">
        <v>20.7911</v>
      </c>
      <c r="HB23">
        <v>31.097799999999999</v>
      </c>
      <c r="HC23">
        <v>35.723799999999997</v>
      </c>
      <c r="HD23">
        <v>22.8537</v>
      </c>
      <c r="HE23">
        <v>400</v>
      </c>
      <c r="HF23">
        <v>15.422800000000001</v>
      </c>
      <c r="HG23">
        <v>98.2042</v>
      </c>
      <c r="HH23">
        <v>94.744500000000002</v>
      </c>
    </row>
    <row r="24" spans="1:216" x14ac:dyDescent="0.3">
      <c r="A24">
        <v>8</v>
      </c>
      <c r="B24">
        <v>1791594989.0999999</v>
      </c>
      <c r="C24">
        <v>876.09999990463302</v>
      </c>
      <c r="D24" t="s">
        <v>365</v>
      </c>
      <c r="E24" t="s">
        <v>366</v>
      </c>
      <c r="F24">
        <v>5</v>
      </c>
      <c r="G24">
        <v>1791594980.5999999</v>
      </c>
      <c r="H24">
        <f t="shared" si="0"/>
        <v>7.4437717285601151E-3</v>
      </c>
      <c r="I24">
        <f t="shared" si="1"/>
        <v>7.4437717285601153</v>
      </c>
      <c r="J24">
        <f t="shared" si="2"/>
        <v>38.729145699959773</v>
      </c>
      <c r="K24">
        <f t="shared" si="3"/>
        <v>682.48856249999994</v>
      </c>
      <c r="L24">
        <f t="shared" si="4"/>
        <v>559.72685317319656</v>
      </c>
      <c r="M24">
        <f t="shared" si="5"/>
        <v>56.811099621455817</v>
      </c>
      <c r="N24">
        <f t="shared" si="6"/>
        <v>69.271155198076841</v>
      </c>
      <c r="O24">
        <f t="shared" si="7"/>
        <v>0.61950776530577978</v>
      </c>
      <c r="P24">
        <f t="shared" si="8"/>
        <v>3.0344831877208844</v>
      </c>
      <c r="Q24">
        <f t="shared" si="9"/>
        <v>0.55687270081094165</v>
      </c>
      <c r="R24">
        <f t="shared" si="10"/>
        <v>0.35314374436198226</v>
      </c>
      <c r="S24">
        <f t="shared" si="11"/>
        <v>241.73720401558668</v>
      </c>
      <c r="T24">
        <f t="shared" si="12"/>
        <v>25.500288640433872</v>
      </c>
      <c r="U24">
        <f t="shared" si="13"/>
        <v>25.023312499999999</v>
      </c>
      <c r="V24">
        <f t="shared" si="14"/>
        <v>3.184099613375146</v>
      </c>
      <c r="W24">
        <f t="shared" si="15"/>
        <v>55.173576150277725</v>
      </c>
      <c r="X24">
        <f t="shared" si="16"/>
        <v>1.8610870447113415</v>
      </c>
      <c r="Y24">
        <f t="shared" si="17"/>
        <v>3.3731492039635955</v>
      </c>
      <c r="Z24">
        <f t="shared" si="18"/>
        <v>1.3230125686638046</v>
      </c>
      <c r="AA24">
        <f t="shared" si="19"/>
        <v>-328.27033322950109</v>
      </c>
      <c r="AB24">
        <f t="shared" si="20"/>
        <v>158.8722727968445</v>
      </c>
      <c r="AC24">
        <f t="shared" si="21"/>
        <v>11.131340983080806</v>
      </c>
      <c r="AD24">
        <f t="shared" si="22"/>
        <v>83.470484566010896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53808.36867438515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1261.2072000080759</v>
      </c>
      <c r="AW24">
        <f t="shared" si="29"/>
        <v>38.729145699959773</v>
      </c>
      <c r="AX24" t="e">
        <f t="shared" si="30"/>
        <v>#DIV/0!</v>
      </c>
      <c r="AY24">
        <f t="shared" si="31"/>
        <v>3.0707996037218768E-2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1499.9949999999999</v>
      </c>
      <c r="CU24">
        <f t="shared" si="43"/>
        <v>1261.2072000080759</v>
      </c>
      <c r="CV24">
        <f t="shared" si="44"/>
        <v>0.84080760269739296</v>
      </c>
      <c r="CW24">
        <f t="shared" si="45"/>
        <v>0.16115867320596849</v>
      </c>
      <c r="CX24">
        <v>2</v>
      </c>
      <c r="CY24">
        <v>0.5</v>
      </c>
      <c r="CZ24" t="s">
        <v>344</v>
      </c>
      <c r="DA24">
        <v>2</v>
      </c>
      <c r="DB24">
        <v>1791594980.5999999</v>
      </c>
      <c r="DC24">
        <v>682.48856249999994</v>
      </c>
      <c r="DD24">
        <v>700.01125000000002</v>
      </c>
      <c r="DE24">
        <v>18.336212499999998</v>
      </c>
      <c r="DF24">
        <v>15.41348125</v>
      </c>
      <c r="DG24">
        <v>682.78268749999995</v>
      </c>
      <c r="DH24">
        <v>18.531725000000002</v>
      </c>
      <c r="DI24">
        <v>500.03100000000001</v>
      </c>
      <c r="DJ24">
        <v>101.397875</v>
      </c>
      <c r="DK24">
        <v>0.10002401875</v>
      </c>
      <c r="DL24">
        <v>25.994443749999999</v>
      </c>
      <c r="DM24">
        <v>25.023312499999999</v>
      </c>
      <c r="DN24">
        <v>999.9</v>
      </c>
      <c r="DO24">
        <v>0</v>
      </c>
      <c r="DP24">
        <v>0</v>
      </c>
      <c r="DQ24">
        <v>10002.271875</v>
      </c>
      <c r="DR24">
        <v>0</v>
      </c>
      <c r="DS24">
        <v>8.5265900000000006</v>
      </c>
      <c r="DT24">
        <v>1499.9949999999999</v>
      </c>
      <c r="DU24">
        <v>0.97299212499999999</v>
      </c>
      <c r="DV24">
        <v>2.7007574999999999E-2</v>
      </c>
      <c r="DW24">
        <v>0</v>
      </c>
      <c r="DX24">
        <v>251.7336875</v>
      </c>
      <c r="DY24">
        <v>4.9999900000000004</v>
      </c>
      <c r="DZ24">
        <v>3734.0875000000001</v>
      </c>
      <c r="EA24">
        <v>14882.49375</v>
      </c>
      <c r="EB24">
        <v>36.75</v>
      </c>
      <c r="EC24">
        <v>38.311999999999998</v>
      </c>
      <c r="ED24">
        <v>37.311999999999998</v>
      </c>
      <c r="EE24">
        <v>37.811999999999998</v>
      </c>
      <c r="EF24">
        <v>38.436999999999998</v>
      </c>
      <c r="EG24">
        <v>1454.615</v>
      </c>
      <c r="EH24">
        <v>40.380000000000003</v>
      </c>
      <c r="EI24">
        <v>0</v>
      </c>
      <c r="EJ24">
        <v>1791594989.3</v>
      </c>
      <c r="EK24">
        <v>0</v>
      </c>
      <c r="EL24">
        <v>251.73071999999999</v>
      </c>
      <c r="EM24">
        <v>-1.5899230781327101</v>
      </c>
      <c r="EN24">
        <v>-63.093846240936003</v>
      </c>
      <c r="EO24">
        <v>3732.9427999999998</v>
      </c>
      <c r="EP24">
        <v>15</v>
      </c>
      <c r="EQ24">
        <v>1791594946</v>
      </c>
      <c r="ER24" t="s">
        <v>367</v>
      </c>
      <c r="ES24">
        <v>1791594936</v>
      </c>
      <c r="ET24">
        <v>1791594946</v>
      </c>
      <c r="EU24">
        <v>9</v>
      </c>
      <c r="EV24">
        <v>7.0000000000000001E-3</v>
      </c>
      <c r="EW24">
        <v>0</v>
      </c>
      <c r="EX24">
        <v>-0.26500000000000001</v>
      </c>
      <c r="EY24">
        <v>-0.20499999999999999</v>
      </c>
      <c r="EZ24">
        <v>700</v>
      </c>
      <c r="FA24">
        <v>15</v>
      </c>
      <c r="FB24">
        <v>0.16</v>
      </c>
      <c r="FC24">
        <v>0.03</v>
      </c>
      <c r="FD24">
        <v>38.735596817200403</v>
      </c>
      <c r="FE24">
        <v>-0.47328445342150799</v>
      </c>
      <c r="FF24">
        <v>0.16884372391417701</v>
      </c>
      <c r="FG24">
        <v>1</v>
      </c>
      <c r="FH24">
        <v>-17.52815</v>
      </c>
      <c r="FI24">
        <v>0.29469473684207398</v>
      </c>
      <c r="FJ24">
        <v>7.2369285612060796E-2</v>
      </c>
      <c r="FK24">
        <v>1</v>
      </c>
      <c r="FL24">
        <v>251.98150000000001</v>
      </c>
      <c r="FM24">
        <v>-3.7187624155158701</v>
      </c>
      <c r="FN24">
        <v>0.57699471146521197</v>
      </c>
      <c r="FO24">
        <v>-1</v>
      </c>
      <c r="FP24">
        <v>2</v>
      </c>
      <c r="FQ24">
        <v>2</v>
      </c>
      <c r="FR24" t="s">
        <v>346</v>
      </c>
      <c r="FS24">
        <v>100</v>
      </c>
      <c r="FT24">
        <v>100</v>
      </c>
      <c r="FU24">
        <v>-0.29399999999999998</v>
      </c>
      <c r="FV24">
        <v>-0.19550000000000001</v>
      </c>
      <c r="FW24">
        <v>-1.1394931450561001</v>
      </c>
      <c r="FX24">
        <v>7.6835882421071803E-4</v>
      </c>
      <c r="FY24">
        <v>7.9312579872174805E-7</v>
      </c>
      <c r="FZ24">
        <v>-1.5433145656851401E-10</v>
      </c>
      <c r="GA24">
        <v>-4.9274355663029297E-2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0.9</v>
      </c>
      <c r="GJ24">
        <v>0.7</v>
      </c>
      <c r="GK24">
        <v>1.62476</v>
      </c>
      <c r="GL24">
        <v>2.6208499999999999</v>
      </c>
      <c r="GM24">
        <v>1.65161</v>
      </c>
      <c r="GN24">
        <v>2.2790499999999998</v>
      </c>
      <c r="GO24">
        <v>1.5979000000000001</v>
      </c>
      <c r="GP24">
        <v>2.6245099999999999</v>
      </c>
      <c r="GQ24">
        <v>33.355899999999998</v>
      </c>
      <c r="GR24">
        <v>15.252800000000001</v>
      </c>
      <c r="GS24">
        <v>18</v>
      </c>
      <c r="GT24">
        <v>503.97500000000002</v>
      </c>
      <c r="GU24">
        <v>545.91700000000003</v>
      </c>
      <c r="GV24">
        <v>22.692699999999999</v>
      </c>
      <c r="GW24">
        <v>29.275400000000001</v>
      </c>
      <c r="GX24">
        <v>30</v>
      </c>
      <c r="GY24">
        <v>29.388200000000001</v>
      </c>
      <c r="GZ24">
        <v>29.440300000000001</v>
      </c>
      <c r="HA24">
        <v>32.475299999999997</v>
      </c>
      <c r="HB24">
        <v>30.638300000000001</v>
      </c>
      <c r="HC24">
        <v>34.3078</v>
      </c>
      <c r="HD24">
        <v>22.676200000000001</v>
      </c>
      <c r="HE24">
        <v>700</v>
      </c>
      <c r="HF24">
        <v>15.44</v>
      </c>
      <c r="HG24">
        <v>98.198800000000006</v>
      </c>
      <c r="HH24">
        <v>94.741799999999998</v>
      </c>
    </row>
    <row r="25" spans="1:216" x14ac:dyDescent="0.3">
      <c r="A25">
        <v>9</v>
      </c>
      <c r="B25">
        <v>1791595112.0999999</v>
      </c>
      <c r="C25">
        <v>999.09999990463302</v>
      </c>
      <c r="D25" t="s">
        <v>368</v>
      </c>
      <c r="E25" t="s">
        <v>369</v>
      </c>
      <c r="F25">
        <v>5</v>
      </c>
      <c r="G25">
        <v>1791595104.0999999</v>
      </c>
      <c r="H25">
        <f t="shared" si="0"/>
        <v>7.3715782137150805E-3</v>
      </c>
      <c r="I25">
        <f t="shared" si="1"/>
        <v>7.3715782137150807</v>
      </c>
      <c r="J25">
        <f t="shared" si="2"/>
        <v>38.274129586811739</v>
      </c>
      <c r="K25">
        <f t="shared" si="3"/>
        <v>981.82839999999999</v>
      </c>
      <c r="L25">
        <f t="shared" si="4"/>
        <v>852.08291335134152</v>
      </c>
      <c r="M25">
        <f t="shared" si="5"/>
        <v>86.480560191380889</v>
      </c>
      <c r="N25">
        <f t="shared" si="6"/>
        <v>99.648835475235529</v>
      </c>
      <c r="O25">
        <f t="shared" si="7"/>
        <v>0.6078824545910787</v>
      </c>
      <c r="P25">
        <f t="shared" si="8"/>
        <v>3.0350491354480154</v>
      </c>
      <c r="Q25">
        <f t="shared" si="9"/>
        <v>0.5474636490162117</v>
      </c>
      <c r="R25">
        <f t="shared" si="10"/>
        <v>0.34709137937454815</v>
      </c>
      <c r="S25">
        <f t="shared" si="11"/>
        <v>241.73566121558628</v>
      </c>
      <c r="T25">
        <f t="shared" si="12"/>
        <v>25.414207250501356</v>
      </c>
      <c r="U25">
        <f t="shared" si="13"/>
        <v>25.016653333333299</v>
      </c>
      <c r="V25">
        <f t="shared" si="14"/>
        <v>3.1828359237203374</v>
      </c>
      <c r="W25">
        <f t="shared" si="15"/>
        <v>55.188134353180928</v>
      </c>
      <c r="X25">
        <f t="shared" si="16"/>
        <v>1.8501189069328625</v>
      </c>
      <c r="Y25">
        <f t="shared" si="17"/>
        <v>3.3523853064009685</v>
      </c>
      <c r="Z25">
        <f t="shared" si="18"/>
        <v>1.3327170167874749</v>
      </c>
      <c r="AA25">
        <f t="shared" si="19"/>
        <v>-325.08659922483503</v>
      </c>
      <c r="AB25">
        <f t="shared" si="20"/>
        <v>142.92475283875612</v>
      </c>
      <c r="AC25">
        <f t="shared" si="21"/>
        <v>10.006528554443092</v>
      </c>
      <c r="AD25">
        <f t="shared" si="22"/>
        <v>69.580343383950463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53844.70042844586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1261.1990800080732</v>
      </c>
      <c r="AW25">
        <f t="shared" si="29"/>
        <v>38.274129586811739</v>
      </c>
      <c r="AX25" t="e">
        <f t="shared" si="30"/>
        <v>#DIV/0!</v>
      </c>
      <c r="AY25">
        <f t="shared" si="31"/>
        <v>3.0347413182831323E-2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1499.9853333333299</v>
      </c>
      <c r="CU25">
        <f t="shared" si="43"/>
        <v>1261.1990800080732</v>
      </c>
      <c r="CV25">
        <f t="shared" si="44"/>
        <v>0.8408076079019946</v>
      </c>
      <c r="CW25">
        <f t="shared" si="45"/>
        <v>0.16115868325084967</v>
      </c>
      <c r="CX25">
        <v>2</v>
      </c>
      <c r="CY25">
        <v>0.5</v>
      </c>
      <c r="CZ25" t="s">
        <v>344</v>
      </c>
      <c r="DA25">
        <v>2</v>
      </c>
      <c r="DB25">
        <v>1791595104.0999999</v>
      </c>
      <c r="DC25">
        <v>981.82839999999999</v>
      </c>
      <c r="DD25">
        <v>1000.03213333333</v>
      </c>
      <c r="DE25">
        <v>18.229006666666699</v>
      </c>
      <c r="DF25">
        <v>15.33428</v>
      </c>
      <c r="DG25">
        <v>981.67179999999996</v>
      </c>
      <c r="DH25">
        <v>18.427813333333301</v>
      </c>
      <c r="DI25">
        <v>500.02659999999997</v>
      </c>
      <c r="DJ25">
        <v>101.393066666667</v>
      </c>
      <c r="DK25">
        <v>0.100061333333333</v>
      </c>
      <c r="DL25">
        <v>25.890139999999999</v>
      </c>
      <c r="DM25">
        <v>25.016653333333299</v>
      </c>
      <c r="DN25">
        <v>999.9</v>
      </c>
      <c r="DO25">
        <v>0</v>
      </c>
      <c r="DP25">
        <v>0</v>
      </c>
      <c r="DQ25">
        <v>10006.168</v>
      </c>
      <c r="DR25">
        <v>0</v>
      </c>
      <c r="DS25">
        <v>8.5265900000000006</v>
      </c>
      <c r="DT25">
        <v>1499.9853333333299</v>
      </c>
      <c r="DU25">
        <v>0.97299199999999997</v>
      </c>
      <c r="DV25">
        <v>2.7007673333333301E-2</v>
      </c>
      <c r="DW25">
        <v>0</v>
      </c>
      <c r="DX25">
        <v>246.47093333333299</v>
      </c>
      <c r="DY25">
        <v>4.9999900000000004</v>
      </c>
      <c r="DZ25">
        <v>3653.73266666667</v>
      </c>
      <c r="EA25">
        <v>14882.42</v>
      </c>
      <c r="EB25">
        <v>36.75</v>
      </c>
      <c r="EC25">
        <v>38.320399999999999</v>
      </c>
      <c r="ED25">
        <v>37.311999999999998</v>
      </c>
      <c r="EE25">
        <v>37.811999999999998</v>
      </c>
      <c r="EF25">
        <v>38.449599999999997</v>
      </c>
      <c r="EG25">
        <v>1454.60533333333</v>
      </c>
      <c r="EH25">
        <v>40.380000000000003</v>
      </c>
      <c r="EI25">
        <v>0</v>
      </c>
      <c r="EJ25">
        <v>1791595112.3</v>
      </c>
      <c r="EK25">
        <v>0</v>
      </c>
      <c r="EL25">
        <v>246.48542307692301</v>
      </c>
      <c r="EM25">
        <v>-9.4117264924698496</v>
      </c>
      <c r="EN25">
        <v>-124.11692318068999</v>
      </c>
      <c r="EO25">
        <v>3653.2353846153801</v>
      </c>
      <c r="EP25">
        <v>15</v>
      </c>
      <c r="EQ25">
        <v>1791595061.0999999</v>
      </c>
      <c r="ER25" t="s">
        <v>370</v>
      </c>
      <c r="ES25">
        <v>1791595057.0999999</v>
      </c>
      <c r="ET25">
        <v>1791595061.0999999</v>
      </c>
      <c r="EU25">
        <v>10</v>
      </c>
      <c r="EV25">
        <v>-7.6999999999999999E-2</v>
      </c>
      <c r="EW25">
        <v>-3.0000000000000001E-3</v>
      </c>
      <c r="EX25">
        <v>0.191</v>
      </c>
      <c r="EY25">
        <v>-0.20799999999999999</v>
      </c>
      <c r="EZ25">
        <v>1000</v>
      </c>
      <c r="FA25">
        <v>15</v>
      </c>
      <c r="FB25">
        <v>0.1</v>
      </c>
      <c r="FC25">
        <v>0.03</v>
      </c>
      <c r="FD25">
        <v>38.179472757258203</v>
      </c>
      <c r="FE25">
        <v>0.22053660752670501</v>
      </c>
      <c r="FF25">
        <v>0.21756558716353</v>
      </c>
      <c r="FG25">
        <v>1</v>
      </c>
      <c r="FH25">
        <v>-18.173635000000001</v>
      </c>
      <c r="FI25">
        <v>-0.462906766917277</v>
      </c>
      <c r="FJ25">
        <v>8.6671502092671604E-2</v>
      </c>
      <c r="FK25">
        <v>1</v>
      </c>
      <c r="FL25">
        <v>247.29682352941199</v>
      </c>
      <c r="FM25">
        <v>-12.1244003042057</v>
      </c>
      <c r="FN25">
        <v>1.27804279295446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0.156</v>
      </c>
      <c r="FV25">
        <v>-0.19900000000000001</v>
      </c>
      <c r="FW25">
        <v>-1.21607517607128</v>
      </c>
      <c r="FX25">
        <v>7.6835882421071803E-4</v>
      </c>
      <c r="FY25">
        <v>7.9312579872174805E-7</v>
      </c>
      <c r="FZ25">
        <v>-1.5433145656851401E-10</v>
      </c>
      <c r="GA25">
        <v>-5.20315948011622E-2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0.9</v>
      </c>
      <c r="GJ25">
        <v>0.8</v>
      </c>
      <c r="GK25">
        <v>2.16797</v>
      </c>
      <c r="GL25">
        <v>2.6037599999999999</v>
      </c>
      <c r="GM25">
        <v>1.65161</v>
      </c>
      <c r="GN25">
        <v>2.2790499999999998</v>
      </c>
      <c r="GO25">
        <v>1.5979000000000001</v>
      </c>
      <c r="GP25">
        <v>2.5512700000000001</v>
      </c>
      <c r="GQ25">
        <v>33.400799999999997</v>
      </c>
      <c r="GR25">
        <v>15.2265</v>
      </c>
      <c r="GS25">
        <v>18</v>
      </c>
      <c r="GT25">
        <v>504.14600000000002</v>
      </c>
      <c r="GU25">
        <v>545.80399999999997</v>
      </c>
      <c r="GV25">
        <v>22.293099999999999</v>
      </c>
      <c r="GW25">
        <v>29.289000000000001</v>
      </c>
      <c r="GX25">
        <v>30.0001</v>
      </c>
      <c r="GY25">
        <v>29.398199999999999</v>
      </c>
      <c r="GZ25">
        <v>29.450399999999998</v>
      </c>
      <c r="HA25">
        <v>43.334499999999998</v>
      </c>
      <c r="HB25">
        <v>30.170400000000001</v>
      </c>
      <c r="HC25">
        <v>33.3872</v>
      </c>
      <c r="HD25">
        <v>22.291399999999999</v>
      </c>
      <c r="HE25">
        <v>1000</v>
      </c>
      <c r="HF25">
        <v>15.404299999999999</v>
      </c>
      <c r="HG25">
        <v>98.198599999999999</v>
      </c>
      <c r="HH25">
        <v>94.741900000000001</v>
      </c>
    </row>
    <row r="26" spans="1:216" x14ac:dyDescent="0.3">
      <c r="A26">
        <v>10</v>
      </c>
      <c r="B26">
        <v>1791595256.0999999</v>
      </c>
      <c r="C26">
        <v>1143.0999999046301</v>
      </c>
      <c r="D26" t="s">
        <v>371</v>
      </c>
      <c r="E26" t="s">
        <v>372</v>
      </c>
      <c r="F26">
        <v>5</v>
      </c>
      <c r="G26">
        <v>1791595247.5999999</v>
      </c>
      <c r="H26">
        <f t="shared" si="0"/>
        <v>7.0550909482804671E-3</v>
      </c>
      <c r="I26">
        <f t="shared" si="1"/>
        <v>7.0550909482804673</v>
      </c>
      <c r="J26">
        <f t="shared" si="2"/>
        <v>39.902921886867482</v>
      </c>
      <c r="K26">
        <f t="shared" si="3"/>
        <v>1180.7175</v>
      </c>
      <c r="L26">
        <f t="shared" si="4"/>
        <v>1035.7513555978874</v>
      </c>
      <c r="M26">
        <f t="shared" si="5"/>
        <v>105.11791764856819</v>
      </c>
      <c r="N26">
        <f t="shared" si="6"/>
        <v>119.83046342196502</v>
      </c>
      <c r="O26">
        <f t="shared" si="7"/>
        <v>0.57377909621301881</v>
      </c>
      <c r="P26">
        <f t="shared" si="8"/>
        <v>3.033511504463867</v>
      </c>
      <c r="Q26">
        <f t="shared" si="9"/>
        <v>0.51960191624331409</v>
      </c>
      <c r="R26">
        <f t="shared" si="10"/>
        <v>0.32919145890113893</v>
      </c>
      <c r="S26">
        <f t="shared" si="11"/>
        <v>241.74029626558649</v>
      </c>
      <c r="T26">
        <f t="shared" si="12"/>
        <v>25.325375624313367</v>
      </c>
      <c r="U26">
        <f t="shared" si="13"/>
        <v>24.99459375</v>
      </c>
      <c r="V26">
        <f t="shared" si="14"/>
        <v>3.1786528742559437</v>
      </c>
      <c r="W26">
        <f t="shared" si="15"/>
        <v>55.276088182165658</v>
      </c>
      <c r="X26">
        <f t="shared" si="16"/>
        <v>1.8346756989963984</v>
      </c>
      <c r="Y26">
        <f t="shared" si="17"/>
        <v>3.3191127652704271</v>
      </c>
      <c r="Z26">
        <f t="shared" si="18"/>
        <v>1.3439771752595453</v>
      </c>
      <c r="AA26">
        <f t="shared" si="19"/>
        <v>-311.12951081916862</v>
      </c>
      <c r="AB26">
        <f t="shared" si="20"/>
        <v>118.93231981148446</v>
      </c>
      <c r="AC26">
        <f t="shared" si="21"/>
        <v>8.3230031494991294</v>
      </c>
      <c r="AD26">
        <f t="shared" si="22"/>
        <v>57.86610840740147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53826.96851935755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1261.2234750080756</v>
      </c>
      <c r="AW26">
        <f t="shared" si="29"/>
        <v>39.902921886867482</v>
      </c>
      <c r="AX26" t="e">
        <f t="shared" si="30"/>
        <v>#DIV/0!</v>
      </c>
      <c r="AY26">
        <f t="shared" si="31"/>
        <v>3.1638264492826682E-2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1500.014375</v>
      </c>
      <c r="CU26">
        <f t="shared" si="43"/>
        <v>1261.2234750080756</v>
      </c>
      <c r="CV26">
        <f t="shared" si="44"/>
        <v>0.84080759226595791</v>
      </c>
      <c r="CW26">
        <f t="shared" si="45"/>
        <v>0.16115865307329905</v>
      </c>
      <c r="CX26">
        <v>2</v>
      </c>
      <c r="CY26">
        <v>0.5</v>
      </c>
      <c r="CZ26" t="s">
        <v>344</v>
      </c>
      <c r="DA26">
        <v>2</v>
      </c>
      <c r="DB26">
        <v>1791595247.5999999</v>
      </c>
      <c r="DC26">
        <v>1180.7175</v>
      </c>
      <c r="DD26">
        <v>1200.0093750000001</v>
      </c>
      <c r="DE26">
        <v>18.0774875</v>
      </c>
      <c r="DF26">
        <v>15.30665625</v>
      </c>
      <c r="DG26">
        <v>1180.224375</v>
      </c>
      <c r="DH26">
        <v>18.275600000000001</v>
      </c>
      <c r="DI26">
        <v>500.03424999999999</v>
      </c>
      <c r="DJ26">
        <v>101.3895</v>
      </c>
      <c r="DK26">
        <v>0.10002939375</v>
      </c>
      <c r="DL26">
        <v>25.721818750000001</v>
      </c>
      <c r="DM26">
        <v>24.99459375</v>
      </c>
      <c r="DN26">
        <v>999.9</v>
      </c>
      <c r="DO26">
        <v>0</v>
      </c>
      <c r="DP26">
        <v>0</v>
      </c>
      <c r="DQ26">
        <v>9997.2256249999991</v>
      </c>
      <c r="DR26">
        <v>0</v>
      </c>
      <c r="DS26">
        <v>8.5265900000000006</v>
      </c>
      <c r="DT26">
        <v>1500.014375</v>
      </c>
      <c r="DU26">
        <v>0.97299243749999997</v>
      </c>
      <c r="DV26">
        <v>2.700724375E-2</v>
      </c>
      <c r="DW26">
        <v>0</v>
      </c>
      <c r="DX26">
        <v>243.99950000000001</v>
      </c>
      <c r="DY26">
        <v>4.9999900000000004</v>
      </c>
      <c r="DZ26">
        <v>3618.3556250000001</v>
      </c>
      <c r="EA26">
        <v>14882.6875</v>
      </c>
      <c r="EB26">
        <v>36.75</v>
      </c>
      <c r="EC26">
        <v>38.323812500000003</v>
      </c>
      <c r="ED26">
        <v>37.311999999999998</v>
      </c>
      <c r="EE26">
        <v>37.811999999999998</v>
      </c>
      <c r="EF26">
        <v>38.436999999999998</v>
      </c>
      <c r="EG26">
        <v>1454.6343750000001</v>
      </c>
      <c r="EH26">
        <v>40.380000000000003</v>
      </c>
      <c r="EI26">
        <v>0</v>
      </c>
      <c r="EJ26">
        <v>1791595256.3</v>
      </c>
      <c r="EK26">
        <v>0</v>
      </c>
      <c r="EL26">
        <v>243.95784615384599</v>
      </c>
      <c r="EM26">
        <v>0.40451282185985499</v>
      </c>
      <c r="EN26">
        <v>-24.0259829335834</v>
      </c>
      <c r="EO26">
        <v>3618.0092307692298</v>
      </c>
      <c r="EP26">
        <v>15</v>
      </c>
      <c r="EQ26">
        <v>1791595184.0999999</v>
      </c>
      <c r="ER26" t="s">
        <v>373</v>
      </c>
      <c r="ES26">
        <v>1791595178.0999999</v>
      </c>
      <c r="ET26">
        <v>1791595184.0999999</v>
      </c>
      <c r="EU26">
        <v>11</v>
      </c>
      <c r="EV26">
        <v>-0.05</v>
      </c>
      <c r="EW26">
        <v>1E-3</v>
      </c>
      <c r="EX26">
        <v>0.53200000000000003</v>
      </c>
      <c r="EY26">
        <v>-0.20599999999999999</v>
      </c>
      <c r="EZ26">
        <v>1200</v>
      </c>
      <c r="FA26">
        <v>15</v>
      </c>
      <c r="FB26">
        <v>0.12</v>
      </c>
      <c r="FC26">
        <v>0.02</v>
      </c>
      <c r="FD26">
        <v>39.872197239495797</v>
      </c>
      <c r="FE26">
        <v>0.58003432354868401</v>
      </c>
      <c r="FF26">
        <v>0.20110352571201201</v>
      </c>
      <c r="FG26">
        <v>1</v>
      </c>
      <c r="FH26">
        <v>-19.30621</v>
      </c>
      <c r="FI26">
        <v>0.16823458646616599</v>
      </c>
      <c r="FJ26">
        <v>5.4326143798359303E-2</v>
      </c>
      <c r="FK26">
        <v>1</v>
      </c>
      <c r="FL26">
        <v>244.13273529411799</v>
      </c>
      <c r="FM26">
        <v>-1.3090756254606799</v>
      </c>
      <c r="FN26">
        <v>0.49820827848835098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0.5</v>
      </c>
      <c r="FV26">
        <v>-0.1981</v>
      </c>
      <c r="FW26">
        <v>-1.26484946900263</v>
      </c>
      <c r="FX26">
        <v>7.6835882421071803E-4</v>
      </c>
      <c r="FY26">
        <v>7.9312579872174805E-7</v>
      </c>
      <c r="FZ26">
        <v>-1.5433145656851401E-10</v>
      </c>
      <c r="GA26">
        <v>-5.0587701617740899E-2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1.3</v>
      </c>
      <c r="GJ26">
        <v>1.2</v>
      </c>
      <c r="GK26">
        <v>2.5134300000000001</v>
      </c>
      <c r="GL26">
        <v>2.6135299999999999</v>
      </c>
      <c r="GM26">
        <v>1.65161</v>
      </c>
      <c r="GN26">
        <v>2.2778299999999998</v>
      </c>
      <c r="GO26">
        <v>1.5979000000000001</v>
      </c>
      <c r="GP26">
        <v>2.4438499999999999</v>
      </c>
      <c r="GQ26">
        <v>33.4681</v>
      </c>
      <c r="GR26">
        <v>15.1915</v>
      </c>
      <c r="GS26">
        <v>18</v>
      </c>
      <c r="GT26">
        <v>504.32799999999997</v>
      </c>
      <c r="GU26">
        <v>545.64200000000005</v>
      </c>
      <c r="GV26">
        <v>22.290299999999998</v>
      </c>
      <c r="GW26">
        <v>29.3066</v>
      </c>
      <c r="GX26">
        <v>30</v>
      </c>
      <c r="GY26">
        <v>29.4133</v>
      </c>
      <c r="GZ26">
        <v>29.465399999999999</v>
      </c>
      <c r="HA26">
        <v>50.253500000000003</v>
      </c>
      <c r="HB26">
        <v>29.806799999999999</v>
      </c>
      <c r="HC26">
        <v>32.254600000000003</v>
      </c>
      <c r="HD26">
        <v>22.259399999999999</v>
      </c>
      <c r="HE26">
        <v>1200</v>
      </c>
      <c r="HF26">
        <v>15.307600000000001</v>
      </c>
      <c r="HG26">
        <v>98.193700000000007</v>
      </c>
      <c r="HH26">
        <v>94.740700000000004</v>
      </c>
    </row>
    <row r="27" spans="1:216" x14ac:dyDescent="0.3">
      <c r="A27">
        <v>11</v>
      </c>
      <c r="B27">
        <v>1791595407.0999999</v>
      </c>
      <c r="C27">
        <v>1294.0999999046301</v>
      </c>
      <c r="D27" t="s">
        <v>374</v>
      </c>
      <c r="E27" t="s">
        <v>375</v>
      </c>
      <c r="F27">
        <v>5</v>
      </c>
      <c r="G27">
        <v>1791595398.5999999</v>
      </c>
      <c r="H27">
        <f t="shared" si="0"/>
        <v>6.6810804825871541E-3</v>
      </c>
      <c r="I27">
        <f t="shared" si="1"/>
        <v>6.6810804825871539</v>
      </c>
      <c r="J27">
        <f t="shared" si="2"/>
        <v>39.7020818110256</v>
      </c>
      <c r="K27">
        <f t="shared" si="3"/>
        <v>1480.1443750000001</v>
      </c>
      <c r="L27">
        <f t="shared" si="4"/>
        <v>1320.1850941200271</v>
      </c>
      <c r="M27">
        <f t="shared" si="5"/>
        <v>133.98047975769208</v>
      </c>
      <c r="N27">
        <f t="shared" si="6"/>
        <v>150.21412857667028</v>
      </c>
      <c r="O27">
        <f t="shared" si="7"/>
        <v>0.5313264557018218</v>
      </c>
      <c r="P27">
        <f t="shared" si="8"/>
        <v>3.0330478860888554</v>
      </c>
      <c r="Q27">
        <f t="shared" si="9"/>
        <v>0.48451339734466031</v>
      </c>
      <c r="R27">
        <f t="shared" si="10"/>
        <v>0.30668239330427816</v>
      </c>
      <c r="S27">
        <f t="shared" si="11"/>
        <v>241.72782751558734</v>
      </c>
      <c r="T27">
        <f t="shared" si="12"/>
        <v>25.308023799758466</v>
      </c>
      <c r="U27">
        <f t="shared" si="13"/>
        <v>25.018912499999999</v>
      </c>
      <c r="V27">
        <f t="shared" si="14"/>
        <v>3.1832645897265262</v>
      </c>
      <c r="W27">
        <f t="shared" si="15"/>
        <v>55.147018572460041</v>
      </c>
      <c r="X27">
        <f t="shared" si="16"/>
        <v>1.8183302124833056</v>
      </c>
      <c r="Y27">
        <f t="shared" si="17"/>
        <v>3.2972411919134363</v>
      </c>
      <c r="Z27">
        <f t="shared" si="18"/>
        <v>1.3649343772432205</v>
      </c>
      <c r="AA27">
        <f t="shared" si="19"/>
        <v>-294.63564928209348</v>
      </c>
      <c r="AB27">
        <f t="shared" si="20"/>
        <v>96.713552422600969</v>
      </c>
      <c r="AC27">
        <f t="shared" si="21"/>
        <v>6.7661778278447331</v>
      </c>
      <c r="AD27">
        <f t="shared" si="22"/>
        <v>50.571908483939552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53832.51358568939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1261.1578500080761</v>
      </c>
      <c r="AW27">
        <f t="shared" si="29"/>
        <v>39.7020818110256</v>
      </c>
      <c r="AX27" t="e">
        <f t="shared" si="30"/>
        <v>#DIV/0!</v>
      </c>
      <c r="AY27">
        <f t="shared" si="31"/>
        <v>3.1480660260546578E-2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1499.93625</v>
      </c>
      <c r="CU27">
        <f t="shared" si="43"/>
        <v>1261.1578500080761</v>
      </c>
      <c r="CV27">
        <f t="shared" si="44"/>
        <v>0.84080763432984318</v>
      </c>
      <c r="CW27">
        <f t="shared" si="45"/>
        <v>0.16115873425659746</v>
      </c>
      <c r="CX27">
        <v>2</v>
      </c>
      <c r="CY27">
        <v>0.5</v>
      </c>
      <c r="CZ27" t="s">
        <v>344</v>
      </c>
      <c r="DA27">
        <v>2</v>
      </c>
      <c r="DB27">
        <v>1791595398.5999999</v>
      </c>
      <c r="DC27">
        <v>1480.1443750000001</v>
      </c>
      <c r="DD27">
        <v>1499.9793749999999</v>
      </c>
      <c r="DE27">
        <v>17.917031250000001</v>
      </c>
      <c r="DF27">
        <v>15.292668750000001</v>
      </c>
      <c r="DG27">
        <v>1479.0631249999999</v>
      </c>
      <c r="DH27">
        <v>18.11776875</v>
      </c>
      <c r="DI27">
        <v>500.03575000000001</v>
      </c>
      <c r="DJ27">
        <v>101.38606249999999</v>
      </c>
      <c r="DK27">
        <v>0.10007028125</v>
      </c>
      <c r="DL27">
        <v>25.610368749999999</v>
      </c>
      <c r="DM27">
        <v>25.018912499999999</v>
      </c>
      <c r="DN27">
        <v>999.9</v>
      </c>
      <c r="DO27">
        <v>0</v>
      </c>
      <c r="DP27">
        <v>0</v>
      </c>
      <c r="DQ27">
        <v>9994.7637500000001</v>
      </c>
      <c r="DR27">
        <v>0</v>
      </c>
      <c r="DS27">
        <v>8.5265900000000006</v>
      </c>
      <c r="DT27">
        <v>1499.93625</v>
      </c>
      <c r="DU27">
        <v>0.97299056250000004</v>
      </c>
      <c r="DV27">
        <v>2.70091875E-2</v>
      </c>
      <c r="DW27">
        <v>0</v>
      </c>
      <c r="DX27">
        <v>241.99250000000001</v>
      </c>
      <c r="DY27">
        <v>4.9999900000000004</v>
      </c>
      <c r="DZ27">
        <v>3588.566875</v>
      </c>
      <c r="EA27">
        <v>14881.90625</v>
      </c>
      <c r="EB27">
        <v>36.75</v>
      </c>
      <c r="EC27">
        <v>38.311999999999998</v>
      </c>
      <c r="ED27">
        <v>37.311999999999998</v>
      </c>
      <c r="EE27">
        <v>37.811999999999998</v>
      </c>
      <c r="EF27">
        <v>38.436999999999998</v>
      </c>
      <c r="EG27">
        <v>1454.5562500000001</v>
      </c>
      <c r="EH27">
        <v>40.380000000000003</v>
      </c>
      <c r="EI27">
        <v>0</v>
      </c>
      <c r="EJ27">
        <v>1791595407.5</v>
      </c>
      <c r="EK27">
        <v>0</v>
      </c>
      <c r="EL27">
        <v>241.918076923077</v>
      </c>
      <c r="EM27">
        <v>0.41770940952500202</v>
      </c>
      <c r="EN27">
        <v>21.981880333956799</v>
      </c>
      <c r="EO27">
        <v>3589.18423076923</v>
      </c>
      <c r="EP27">
        <v>15</v>
      </c>
      <c r="EQ27">
        <v>1791595321.0999999</v>
      </c>
      <c r="ER27" t="s">
        <v>376</v>
      </c>
      <c r="ES27">
        <v>1791595321.0999999</v>
      </c>
      <c r="ET27">
        <v>1791595316.0999999</v>
      </c>
      <c r="EU27">
        <v>12</v>
      </c>
      <c r="EV27">
        <v>-2.8000000000000001E-2</v>
      </c>
      <c r="EW27">
        <v>-2E-3</v>
      </c>
      <c r="EX27">
        <v>1.1240000000000001</v>
      </c>
      <c r="EY27">
        <v>-0.20799999999999999</v>
      </c>
      <c r="EZ27">
        <v>1500</v>
      </c>
      <c r="FA27">
        <v>15</v>
      </c>
      <c r="FB27">
        <v>0.14000000000000001</v>
      </c>
      <c r="FC27">
        <v>0.03</v>
      </c>
      <c r="FD27">
        <v>39.6716798779117</v>
      </c>
      <c r="FE27">
        <v>1.49129055269247</v>
      </c>
      <c r="FF27">
        <v>0.22651593721204499</v>
      </c>
      <c r="FG27">
        <v>0</v>
      </c>
      <c r="FH27">
        <v>-19.831185000000001</v>
      </c>
      <c r="FI27">
        <v>-0.32339097744358303</v>
      </c>
      <c r="FJ27">
        <v>8.67025275006445E-2</v>
      </c>
      <c r="FK27">
        <v>1</v>
      </c>
      <c r="FL27">
        <v>241.92955882352899</v>
      </c>
      <c r="FM27">
        <v>-0.245057296196205</v>
      </c>
      <c r="FN27">
        <v>0.45662935099142399</v>
      </c>
      <c r="FO27">
        <v>-1</v>
      </c>
      <c r="FP27">
        <v>1</v>
      </c>
      <c r="FQ27">
        <v>2</v>
      </c>
      <c r="FR27" t="s">
        <v>377</v>
      </c>
      <c r="FS27">
        <v>100</v>
      </c>
      <c r="FT27">
        <v>100</v>
      </c>
      <c r="FU27">
        <v>1.08</v>
      </c>
      <c r="FV27">
        <v>-0.20069999999999999</v>
      </c>
      <c r="FW27">
        <v>-1.29052927101974</v>
      </c>
      <c r="FX27">
        <v>7.6835882421071803E-4</v>
      </c>
      <c r="FY27">
        <v>7.9312579872174805E-7</v>
      </c>
      <c r="FZ27">
        <v>-1.5433145656851401E-10</v>
      </c>
      <c r="GA27">
        <v>-5.24670113489068E-2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1.4</v>
      </c>
      <c r="GJ27">
        <v>1.5</v>
      </c>
      <c r="GK27">
        <v>3.0139200000000002</v>
      </c>
      <c r="GL27">
        <v>2.6061999999999999</v>
      </c>
      <c r="GM27">
        <v>1.65161</v>
      </c>
      <c r="GN27">
        <v>2.2778299999999998</v>
      </c>
      <c r="GO27">
        <v>1.5979000000000001</v>
      </c>
      <c r="GP27">
        <v>2.4694799999999999</v>
      </c>
      <c r="GQ27">
        <v>33.512999999999998</v>
      </c>
      <c r="GR27">
        <v>15.1652</v>
      </c>
      <c r="GS27">
        <v>18</v>
      </c>
      <c r="GT27">
        <v>504.27600000000001</v>
      </c>
      <c r="GU27">
        <v>545.78300000000002</v>
      </c>
      <c r="GV27">
        <v>21.968</v>
      </c>
      <c r="GW27">
        <v>29.316700000000001</v>
      </c>
      <c r="GX27">
        <v>30.0001</v>
      </c>
      <c r="GY27">
        <v>29.425899999999999</v>
      </c>
      <c r="GZ27">
        <v>29.478100000000001</v>
      </c>
      <c r="HA27">
        <v>60.246099999999998</v>
      </c>
      <c r="HB27">
        <v>29.521599999999999</v>
      </c>
      <c r="HC27">
        <v>30.745799999999999</v>
      </c>
      <c r="HD27">
        <v>21.962700000000002</v>
      </c>
      <c r="HE27">
        <v>1500</v>
      </c>
      <c r="HF27">
        <v>15.286799999999999</v>
      </c>
      <c r="HG27">
        <v>98.1875</v>
      </c>
      <c r="HH27">
        <v>94.738399999999999</v>
      </c>
    </row>
    <row r="28" spans="1:216" x14ac:dyDescent="0.3">
      <c r="A28">
        <v>12</v>
      </c>
      <c r="B28">
        <v>1791595528.0999999</v>
      </c>
      <c r="C28">
        <v>1415.0999999046301</v>
      </c>
      <c r="D28" t="s">
        <v>378</v>
      </c>
      <c r="E28" t="s">
        <v>379</v>
      </c>
      <c r="F28">
        <v>5</v>
      </c>
      <c r="G28">
        <v>1791595519.5999999</v>
      </c>
      <c r="H28">
        <f t="shared" si="0"/>
        <v>6.4982899901389656E-3</v>
      </c>
      <c r="I28">
        <f t="shared" si="1"/>
        <v>6.4982899901389652</v>
      </c>
      <c r="J28">
        <f t="shared" si="2"/>
        <v>38.966348128708653</v>
      </c>
      <c r="K28">
        <f t="shared" si="3"/>
        <v>1779.7962500000001</v>
      </c>
      <c r="L28">
        <f t="shared" si="4"/>
        <v>1610.9597768644883</v>
      </c>
      <c r="M28">
        <f t="shared" si="5"/>
        <v>163.48574622113179</v>
      </c>
      <c r="N28">
        <f t="shared" si="6"/>
        <v>180.61985297929519</v>
      </c>
      <c r="O28">
        <f t="shared" si="7"/>
        <v>0.51142837743946756</v>
      </c>
      <c r="P28">
        <f t="shared" si="8"/>
        <v>3.0338861699984356</v>
      </c>
      <c r="Q28">
        <f t="shared" si="9"/>
        <v>0.46791320130804337</v>
      </c>
      <c r="R28">
        <f t="shared" si="10"/>
        <v>0.29604625810194096</v>
      </c>
      <c r="S28">
        <f t="shared" si="11"/>
        <v>241.73850076558659</v>
      </c>
      <c r="T28">
        <f t="shared" si="12"/>
        <v>25.236740308619286</v>
      </c>
      <c r="U28">
        <f t="shared" si="13"/>
        <v>24.9965875</v>
      </c>
      <c r="V28">
        <f t="shared" si="14"/>
        <v>3.1790307416048771</v>
      </c>
      <c r="W28">
        <f t="shared" si="15"/>
        <v>55.102961888185654</v>
      </c>
      <c r="X28">
        <f t="shared" si="16"/>
        <v>1.8042513162121612</v>
      </c>
      <c r="Y28">
        <f t="shared" si="17"/>
        <v>3.2743272854793699</v>
      </c>
      <c r="Z28">
        <f t="shared" si="18"/>
        <v>1.3747794253927159</v>
      </c>
      <c r="AA28">
        <f t="shared" si="19"/>
        <v>-286.57458856512841</v>
      </c>
      <c r="AB28">
        <f t="shared" si="20"/>
        <v>81.180342046828827</v>
      </c>
      <c r="AC28">
        <f t="shared" si="21"/>
        <v>5.6738980196612951</v>
      </c>
      <c r="AD28">
        <f t="shared" si="22"/>
        <v>42.018152266948306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53879.815918114087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1261.2140250080756</v>
      </c>
      <c r="AW28">
        <f t="shared" si="29"/>
        <v>38.966348128708653</v>
      </c>
      <c r="AX28" t="e">
        <f t="shared" si="30"/>
        <v>#DIV/0!</v>
      </c>
      <c r="AY28">
        <f t="shared" si="31"/>
        <v>3.0895904545986275E-2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1500.003125</v>
      </c>
      <c r="CU28">
        <f t="shared" si="43"/>
        <v>1261.2140250080756</v>
      </c>
      <c r="CV28">
        <f t="shared" si="44"/>
        <v>0.84080759832288732</v>
      </c>
      <c r="CW28">
        <f t="shared" si="45"/>
        <v>0.16115866476317281</v>
      </c>
      <c r="CX28">
        <v>2</v>
      </c>
      <c r="CY28">
        <v>0.5</v>
      </c>
      <c r="CZ28" t="s">
        <v>344</v>
      </c>
      <c r="DA28">
        <v>2</v>
      </c>
      <c r="DB28">
        <v>1791595519.5999999</v>
      </c>
      <c r="DC28">
        <v>1779.7962500000001</v>
      </c>
      <c r="DD28">
        <v>1800.0081250000001</v>
      </c>
      <c r="DE28">
        <v>17.778775</v>
      </c>
      <c r="DF28">
        <v>15.225787499999999</v>
      </c>
      <c r="DG28">
        <v>1778.2550000000001</v>
      </c>
      <c r="DH28">
        <v>17.977331249999999</v>
      </c>
      <c r="DI28">
        <v>500.02268750000002</v>
      </c>
      <c r="DJ28">
        <v>101.3834375</v>
      </c>
      <c r="DK28">
        <v>0.10000645</v>
      </c>
      <c r="DL28">
        <v>25.492912499999999</v>
      </c>
      <c r="DM28">
        <v>24.9965875</v>
      </c>
      <c r="DN28">
        <v>999.9</v>
      </c>
      <c r="DO28">
        <v>0</v>
      </c>
      <c r="DP28">
        <v>0</v>
      </c>
      <c r="DQ28">
        <v>10000.0875</v>
      </c>
      <c r="DR28">
        <v>0</v>
      </c>
      <c r="DS28">
        <v>8.5768756249999996</v>
      </c>
      <c r="DT28">
        <v>1500.003125</v>
      </c>
      <c r="DU28">
        <v>0.97299150000000001</v>
      </c>
      <c r="DV28">
        <v>2.70082E-2</v>
      </c>
      <c r="DW28">
        <v>0</v>
      </c>
      <c r="DX28">
        <v>241.75749999999999</v>
      </c>
      <c r="DY28">
        <v>4.9999900000000004</v>
      </c>
      <c r="DZ28">
        <v>3582.7206249999999</v>
      </c>
      <c r="EA28">
        <v>14882.581249999999</v>
      </c>
      <c r="EB28">
        <v>36.686999999999998</v>
      </c>
      <c r="EC28">
        <v>38.257750000000001</v>
      </c>
      <c r="ED28">
        <v>37.25</v>
      </c>
      <c r="EE28">
        <v>37.75</v>
      </c>
      <c r="EF28">
        <v>38.375</v>
      </c>
      <c r="EG28">
        <v>1454.6231250000001</v>
      </c>
      <c r="EH28">
        <v>40.380000000000003</v>
      </c>
      <c r="EI28">
        <v>0</v>
      </c>
      <c r="EJ28">
        <v>1791595528.7</v>
      </c>
      <c r="EK28">
        <v>0</v>
      </c>
      <c r="EL28">
        <v>241.67188461538501</v>
      </c>
      <c r="EM28">
        <v>-2.6984273441976399</v>
      </c>
      <c r="EN28">
        <v>-26.794188003021901</v>
      </c>
      <c r="EO28">
        <v>3582.2680769230801</v>
      </c>
      <c r="EP28">
        <v>15</v>
      </c>
      <c r="EQ28">
        <v>1791595466.0999999</v>
      </c>
      <c r="ER28" t="s">
        <v>380</v>
      </c>
      <c r="ES28">
        <v>1791595464.0999999</v>
      </c>
      <c r="ET28">
        <v>1791595466.0999999</v>
      </c>
      <c r="EU28">
        <v>13</v>
      </c>
      <c r="EV28">
        <v>-0.17599999999999999</v>
      </c>
      <c r="EW28">
        <v>3.0000000000000001E-3</v>
      </c>
      <c r="EX28">
        <v>1.585</v>
      </c>
      <c r="EY28">
        <v>-0.20499999999999999</v>
      </c>
      <c r="EZ28">
        <v>1800</v>
      </c>
      <c r="FA28">
        <v>15</v>
      </c>
      <c r="FB28">
        <v>0.12</v>
      </c>
      <c r="FC28">
        <v>0.04</v>
      </c>
      <c r="FD28">
        <v>38.979895081678301</v>
      </c>
      <c r="FE28">
        <v>0.17485651498530999</v>
      </c>
      <c r="FF28">
        <v>0.141478362051177</v>
      </c>
      <c r="FG28">
        <v>1</v>
      </c>
      <c r="FH28">
        <v>-20.226669999999999</v>
      </c>
      <c r="FI28">
        <v>9.9437593984921205E-2</v>
      </c>
      <c r="FJ28">
        <v>5.34060867317575E-2</v>
      </c>
      <c r="FK28">
        <v>1</v>
      </c>
      <c r="FL28">
        <v>241.838294117647</v>
      </c>
      <c r="FM28">
        <v>-1.9774789965708599</v>
      </c>
      <c r="FN28">
        <v>0.47824812225035102</v>
      </c>
      <c r="FO28">
        <v>-1</v>
      </c>
      <c r="FP28">
        <v>2</v>
      </c>
      <c r="FQ28">
        <v>2</v>
      </c>
      <c r="FR28" t="s">
        <v>346</v>
      </c>
      <c r="FS28">
        <v>100</v>
      </c>
      <c r="FT28">
        <v>100</v>
      </c>
      <c r="FU28">
        <v>1.54</v>
      </c>
      <c r="FV28">
        <v>-0.1986</v>
      </c>
      <c r="FW28">
        <v>-1.4654623177089501</v>
      </c>
      <c r="FX28">
        <v>7.6835882421071803E-4</v>
      </c>
      <c r="FY28">
        <v>7.9312579872174805E-7</v>
      </c>
      <c r="FZ28">
        <v>-1.5433145656851401E-10</v>
      </c>
      <c r="GA28">
        <v>-4.96431384361216E-2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1.1000000000000001</v>
      </c>
      <c r="GJ28">
        <v>1</v>
      </c>
      <c r="GK28">
        <v>3.4887700000000001</v>
      </c>
      <c r="GL28">
        <v>2.6037599999999999</v>
      </c>
      <c r="GM28">
        <v>1.65161</v>
      </c>
      <c r="GN28">
        <v>2.2778299999999998</v>
      </c>
      <c r="GO28">
        <v>1.5979000000000001</v>
      </c>
      <c r="GP28">
        <v>2.63306</v>
      </c>
      <c r="GQ28">
        <v>33.558</v>
      </c>
      <c r="GR28">
        <v>15.156499999999999</v>
      </c>
      <c r="GS28">
        <v>18</v>
      </c>
      <c r="GT28">
        <v>504.49900000000002</v>
      </c>
      <c r="GU28">
        <v>545.851</v>
      </c>
      <c r="GV28">
        <v>21.964200000000002</v>
      </c>
      <c r="GW28">
        <v>29.316700000000001</v>
      </c>
      <c r="GX28">
        <v>30.000399999999999</v>
      </c>
      <c r="GY28">
        <v>29.430900000000001</v>
      </c>
      <c r="GZ28">
        <v>29.4831</v>
      </c>
      <c r="HA28">
        <v>69.747900000000001</v>
      </c>
      <c r="HB28">
        <v>29.346</v>
      </c>
      <c r="HC28">
        <v>30.045100000000001</v>
      </c>
      <c r="HD28">
        <v>21.948799999999999</v>
      </c>
      <c r="HE28">
        <v>1800</v>
      </c>
      <c r="HF28">
        <v>15.2746</v>
      </c>
      <c r="HG28">
        <v>98.187899999999999</v>
      </c>
      <c r="HH28">
        <v>94.738200000000006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2026-10-10T10:26:20Z</dcterms:created>
  <dcterms:modified xsi:type="dcterms:W3CDTF">2026-10-11T05:56:43Z</dcterms:modified>
</cp:coreProperties>
</file>