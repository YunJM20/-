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7 lettuce park/"/>
    </mc:Choice>
  </mc:AlternateContent>
  <xr:revisionPtr revIDLastSave="0" documentId="11_ACE07100D4539BB9379D6AF111A8C59604E09FB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/>
  <c r="AH25" i="1" s="1"/>
  <c r="Y25" i="1"/>
  <c r="X25" i="1"/>
  <c r="W25" i="1"/>
  <c r="P25" i="1"/>
  <c r="N25" i="1"/>
  <c r="K25" i="1"/>
  <c r="J25" i="1"/>
  <c r="AW25" i="1" s="1"/>
  <c r="I25" i="1"/>
  <c r="H25" i="1" s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Y24" i="1"/>
  <c r="X24" i="1"/>
  <c r="W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/>
  <c r="AH23" i="1" s="1"/>
  <c r="Y23" i="1"/>
  <c r="X23" i="1"/>
  <c r="W23" i="1"/>
  <c r="P23" i="1"/>
  <c r="N23" i="1"/>
  <c r="K23" i="1"/>
  <c r="J23" i="1"/>
  <c r="AW23" i="1" s="1"/>
  <c r="I23" i="1"/>
  <c r="H23" i="1"/>
  <c r="CW22" i="1"/>
  <c r="CV22" i="1"/>
  <c r="CT22" i="1"/>
  <c r="CU22" i="1" s="1"/>
  <c r="AV22" i="1" s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S22" i="1"/>
  <c r="P22" i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/>
  <c r="AH20" i="1" s="1"/>
  <c r="Y20" i="1"/>
  <c r="X20" i="1"/>
  <c r="W20" i="1"/>
  <c r="P20" i="1"/>
  <c r="N20" i="1"/>
  <c r="K20" i="1"/>
  <c r="J20" i="1"/>
  <c r="AW20" i="1" s="1"/>
  <c r="AY20" i="1" s="1"/>
  <c r="I20" i="1"/>
  <c r="H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/>
  <c r="Y18" i="1"/>
  <c r="X18" i="1"/>
  <c r="W18" i="1"/>
  <c r="P18" i="1"/>
  <c r="N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/>
  <c r="AH17" i="1" s="1"/>
  <c r="Y17" i="1"/>
  <c r="X17" i="1"/>
  <c r="W17" i="1"/>
  <c r="S17" i="1"/>
  <c r="P17" i="1"/>
  <c r="N17" i="1"/>
  <c r="K17" i="1"/>
  <c r="J17" i="1"/>
  <c r="AW17" i="1" s="1"/>
  <c r="AY17" i="1" s="1"/>
  <c r="I17" i="1"/>
  <c r="H17" i="1"/>
  <c r="S20" i="1" l="1"/>
  <c r="W19" i="1"/>
  <c r="AH24" i="1"/>
  <c r="N24" i="1"/>
  <c r="K24" i="1"/>
  <c r="J24" i="1"/>
  <c r="AW24" i="1" s="1"/>
  <c r="I24" i="1"/>
  <c r="H24" i="1" s="1"/>
  <c r="CU25" i="1"/>
  <c r="AV25" i="1" s="1"/>
  <c r="S25" i="1"/>
  <c r="BE25" i="1"/>
  <c r="BF25" i="1"/>
  <c r="BJ25" i="1" s="1"/>
  <c r="BK25" i="1" s="1"/>
  <c r="BG25" i="1"/>
  <c r="AA25" i="1"/>
  <c r="CU24" i="1"/>
  <c r="AV24" i="1" s="1"/>
  <c r="S24" i="1"/>
  <c r="BE24" i="1"/>
  <c r="BF24" i="1"/>
  <c r="BJ24" i="1" s="1"/>
  <c r="BK24" i="1" s="1"/>
  <c r="BG24" i="1"/>
  <c r="AA24" i="1"/>
  <c r="CU23" i="1"/>
  <c r="AV23" i="1" s="1"/>
  <c r="S23" i="1"/>
  <c r="BG23" i="1"/>
  <c r="BE23" i="1"/>
  <c r="BF23" i="1"/>
  <c r="BJ23" i="1" s="1"/>
  <c r="BK23" i="1" s="1"/>
  <c r="AA23" i="1"/>
  <c r="BF22" i="1"/>
  <c r="BJ22" i="1" s="1"/>
  <c r="BK22" i="1" s="1"/>
  <c r="BG22" i="1"/>
  <c r="BE22" i="1"/>
  <c r="AH22" i="1"/>
  <c r="N22" i="1"/>
  <c r="K22" i="1"/>
  <c r="J22" i="1"/>
  <c r="AW22" i="1" s="1"/>
  <c r="AY22" i="1" s="1"/>
  <c r="I22" i="1"/>
  <c r="H22" i="1" s="1"/>
  <c r="T22" i="1"/>
  <c r="U22" i="1" s="1"/>
  <c r="BG21" i="1"/>
  <c r="BE21" i="1"/>
  <c r="BF21" i="1"/>
  <c r="BJ21" i="1" s="1"/>
  <c r="BK21" i="1" s="1"/>
  <c r="AH21" i="1"/>
  <c r="I21" i="1"/>
  <c r="H21" i="1" s="1"/>
  <c r="K21" i="1"/>
  <c r="J21" i="1"/>
  <c r="AW21" i="1" s="1"/>
  <c r="AY21" i="1" s="1"/>
  <c r="N21" i="1"/>
  <c r="T21" i="1"/>
  <c r="U21" i="1" s="1"/>
  <c r="T20" i="1"/>
  <c r="U20" i="1" s="1"/>
  <c r="Q20" i="1" s="1"/>
  <c r="O20" i="1" s="1"/>
  <c r="R20" i="1" s="1"/>
  <c r="L20" i="1" s="1"/>
  <c r="M20" i="1" s="1"/>
  <c r="BE20" i="1"/>
  <c r="BF20" i="1"/>
  <c r="BJ20" i="1" s="1"/>
  <c r="BK20" i="1" s="1"/>
  <c r="BG20" i="1"/>
  <c r="AA20" i="1"/>
  <c r="CU19" i="1"/>
  <c r="AV19" i="1" s="1"/>
  <c r="AX19" i="1" s="1"/>
  <c r="S19" i="1"/>
  <c r="BF19" i="1"/>
  <c r="BJ19" i="1" s="1"/>
  <c r="BK19" i="1" s="1"/>
  <c r="BG19" i="1"/>
  <c r="BE19" i="1"/>
  <c r="I19" i="1"/>
  <c r="H19" i="1" s="1"/>
  <c r="J19" i="1"/>
  <c r="AW19" i="1" s="1"/>
  <c r="AY19" i="1" s="1"/>
  <c r="K19" i="1"/>
  <c r="N19" i="1"/>
  <c r="AH19" i="1"/>
  <c r="CU18" i="1"/>
  <c r="AV18" i="1" s="1"/>
  <c r="AX18" i="1" s="1"/>
  <c r="S18" i="1"/>
  <c r="BE18" i="1"/>
  <c r="BF18" i="1"/>
  <c r="BJ18" i="1" s="1"/>
  <c r="BK18" i="1" s="1"/>
  <c r="BG18" i="1"/>
  <c r="K18" i="1"/>
  <c r="J18" i="1"/>
  <c r="AW18" i="1" s="1"/>
  <c r="AY18" i="1" s="1"/>
  <c r="I18" i="1"/>
  <c r="H18" i="1" s="1"/>
  <c r="AH18" i="1"/>
  <c r="BE17" i="1"/>
  <c r="BF17" i="1"/>
  <c r="BJ17" i="1" s="1"/>
  <c r="BK17" i="1" s="1"/>
  <c r="BG17" i="1"/>
  <c r="T17" i="1"/>
  <c r="U17" i="1" s="1"/>
  <c r="Q17" i="1" s="1"/>
  <c r="O17" i="1" s="1"/>
  <c r="R17" i="1" s="1"/>
  <c r="L17" i="1" s="1"/>
  <c r="M17" i="1" s="1"/>
  <c r="AA17" i="1"/>
  <c r="AX22" i="1"/>
  <c r="AY25" i="1" l="1"/>
  <c r="AX25" i="1"/>
  <c r="T25" i="1"/>
  <c r="U25" i="1" s="1"/>
  <c r="AX24" i="1"/>
  <c r="AY24" i="1"/>
  <c r="T24" i="1"/>
  <c r="U24" i="1" s="1"/>
  <c r="AY23" i="1"/>
  <c r="AX23" i="1"/>
  <c r="T23" i="1"/>
  <c r="U23" i="1" s="1"/>
  <c r="Q22" i="1"/>
  <c r="O22" i="1" s="1"/>
  <c r="R22" i="1" s="1"/>
  <c r="L22" i="1" s="1"/>
  <c r="M22" i="1" s="1"/>
  <c r="AA22" i="1"/>
  <c r="AB22" i="1"/>
  <c r="V22" i="1"/>
  <c r="Z22" i="1" s="1"/>
  <c r="AC22" i="1"/>
  <c r="AA21" i="1"/>
  <c r="Q21" i="1"/>
  <c r="O21" i="1" s="1"/>
  <c r="R21" i="1" s="1"/>
  <c r="L21" i="1" s="1"/>
  <c r="M21" i="1" s="1"/>
  <c r="AB21" i="1"/>
  <c r="V21" i="1"/>
  <c r="Z21" i="1" s="1"/>
  <c r="AC21" i="1"/>
  <c r="AB20" i="1"/>
  <c r="V20" i="1"/>
  <c r="Z20" i="1" s="1"/>
  <c r="AC20" i="1"/>
  <c r="AD20" i="1" s="1"/>
  <c r="T19" i="1"/>
  <c r="U19" i="1" s="1"/>
  <c r="Q19" i="1" s="1"/>
  <c r="O19" i="1" s="1"/>
  <c r="R19" i="1" s="1"/>
  <c r="L19" i="1" s="1"/>
  <c r="M19" i="1" s="1"/>
  <c r="AA19" i="1"/>
  <c r="T18" i="1"/>
  <c r="U18" i="1" s="1"/>
  <c r="Q18" i="1" s="1"/>
  <c r="O18" i="1" s="1"/>
  <c r="R18" i="1" s="1"/>
  <c r="L18" i="1" s="1"/>
  <c r="M18" i="1" s="1"/>
  <c r="AA18" i="1"/>
  <c r="AB17" i="1"/>
  <c r="V17" i="1"/>
  <c r="Z17" i="1" s="1"/>
  <c r="AC17" i="1"/>
  <c r="AD17" i="1" s="1"/>
  <c r="Q25" i="1" l="1"/>
  <c r="O25" i="1" s="1"/>
  <c r="R25" i="1" s="1"/>
  <c r="L25" i="1" s="1"/>
  <c r="M25" i="1" s="1"/>
  <c r="AB25" i="1"/>
  <c r="V25" i="1"/>
  <c r="Z25" i="1" s="1"/>
  <c r="AC25" i="1"/>
  <c r="AD25" i="1" s="1"/>
  <c r="Q24" i="1"/>
  <c r="O24" i="1" s="1"/>
  <c r="R24" i="1" s="1"/>
  <c r="L24" i="1" s="1"/>
  <c r="M24" i="1" s="1"/>
  <c r="AB24" i="1"/>
  <c r="V24" i="1"/>
  <c r="Z24" i="1" s="1"/>
  <c r="AC24" i="1"/>
  <c r="AD24" i="1" s="1"/>
  <c r="Q23" i="1"/>
  <c r="O23" i="1" s="1"/>
  <c r="R23" i="1" s="1"/>
  <c r="L23" i="1" s="1"/>
  <c r="M23" i="1" s="1"/>
  <c r="AB23" i="1"/>
  <c r="V23" i="1"/>
  <c r="Z23" i="1" s="1"/>
  <c r="AC23" i="1"/>
  <c r="AD23" i="1" s="1"/>
  <c r="AB19" i="1"/>
  <c r="V19" i="1"/>
  <c r="Z19" i="1" s="1"/>
  <c r="AC19" i="1"/>
  <c r="AD19" i="1" s="1"/>
  <c r="AB18" i="1"/>
  <c r="V18" i="1"/>
  <c r="Z18" i="1" s="1"/>
  <c r="AC18" i="1"/>
  <c r="AD18" i="1" s="1"/>
  <c r="AD22" i="1"/>
  <c r="AD21" i="1"/>
</calcChain>
</file>

<file path=xl/sharedStrings.xml><?xml version="1.0" encoding="utf-8"?>
<sst xmlns="http://schemas.openxmlformats.org/spreadsheetml/2006/main" count="972" uniqueCount="454">
  <si>
    <t>File opened</t>
  </si>
  <si>
    <t>2026-10-17 12:56:12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</si>
  <si>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</si>
  <si>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</si>
  <si>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</si>
  <si>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</si>
  <si>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</si>
  <si>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</si>
  <si>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</si>
  <si>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</si>
  <si>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</si>
  <si>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</si>
  <si>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</si>
  <si>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{"flowmeterzero": "2.5072", "h2oaspan2a": "0.108347", "h2oaspanconc2": "0", "h2oazero": "1.14957", "co2aspanconc2": "1516", "ssa_ref": "32366.8", "co2azero": "1.16194", "co2aspan2b": "0.0924399", "co2bzero": "1.02053", "co2aspan2a": "0.0929659", "oxygen": "21", "co2bspan2a": "0.0952815", "co2aspan1": "0.99333", "co2aspanconc1": "437.6", "h2obspan2": "0", "h2obspanconc1": "21.96", "co2bspan1": "0.993892", "h2obspan2a": "0.112101", "co2bspan2b": "0.0947811", "co2bspanconc2": "1516", "flowbzero": "0.27399", "co2aspan2": "0.0108874", "co2bspan2": "0.00898303", "h2oaspan2b": "0.111609", "ssb_ref": "37478.9", "h2obspan1": "0.995823", "h2oaspanconc1": "21.96", "h2obspan2b": "0.111633", "co2bspanconc1": "437.6", "h2obzero": "1.13925", "h2obspanconc2": "0", "chamberpressurezero": "2.61687", "h2oaspan2": "0", "h2oaspan1": "1.0301", "tazero": "0.0951138", "tbzero": "0.145187", "flowazero": "0.316"}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</si>
  <si>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</si>
  <si>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</si>
  <si>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</si>
  <si>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</si>
  <si>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</si>
  <si>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</si>
  <si>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</si>
  <si>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</si>
  <si>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</si>
  <si>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</si>
  <si>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</si>
  <si>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</si>
  <si>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</si>
  <si>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</si>
  <si>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</si>
  <si>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12:56:12</t>
  </si>
  <si>
    <t>Stability Definition:	F (FlrLS): Slp&lt;1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</si>
  <si>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</si>
  <si>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</si>
  <si>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</si>
  <si>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</si>
  <si>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</si>
  <si>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</si>
  <si>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</si>
  <si>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</si>
  <si>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</si>
  <si>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</si>
  <si>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</si>
  <si>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</si>
  <si>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</si>
  <si>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</si>
  <si>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</si>
  <si>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</si>
  <si>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</si>
  <si>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</si>
  <si>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</si>
  <si>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</si>
  <si>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</si>
  <si>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</si>
  <si>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</si>
  <si>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</si>
  <si>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</si>
  <si>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</si>
  <si>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</si>
  <si>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</si>
  <si>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</si>
  <si>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</si>
  <si>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</si>
  <si>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</si>
  <si>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</si>
  <si>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</si>
  <si>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</si>
  <si>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</si>
  <si>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</si>
  <si>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</si>
  <si>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</si>
  <si>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</si>
  <si>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</si>
  <si>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</si>
  <si>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</si>
  <si>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</si>
  <si>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</si>
  <si>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</si>
  <si>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</si>
  <si>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</si>
  <si>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</si>
  <si>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</si>
  <si>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</si>
  <si>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</si>
  <si>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3.82642 210.635 344.448 576.537 864.353 1069.63 1239.45 1353.65</t>
  </si>
  <si>
    <t>Fs_true</t>
  </si>
  <si>
    <t>0.0458087 241.35 374.672 579.544 813.883 1001.14 1204.16 1400.88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</si>
  <si>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</si>
  <si>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</si>
  <si>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</si>
  <si>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</si>
  <si>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</si>
  <si>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</si>
  <si>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</si>
  <si>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</si>
  <si>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</si>
  <si>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</si>
  <si>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</si>
  <si>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</si>
  <si>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</si>
  <si>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</si>
  <si>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</si>
  <si>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</si>
  <si>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</si>
  <si>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</si>
  <si>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</si>
  <si>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</si>
  <si>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</si>
  <si>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</si>
  <si>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</si>
  <si>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</si>
  <si>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</si>
  <si>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</si>
  <si>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</si>
  <si>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</si>
  <si>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</si>
  <si>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</si>
  <si>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</si>
  <si>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</si>
  <si>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</si>
  <si>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</si>
  <si>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</si>
  <si>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</si>
  <si>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</si>
  <si>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</si>
  <si>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</si>
  <si>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</si>
  <si>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</si>
  <si>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</si>
  <si>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</si>
  <si>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</si>
  <si>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</si>
  <si>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</si>
  <si>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</si>
  <si>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</si>
  <si>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</si>
  <si>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</si>
  <si>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</si>
  <si>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</si>
  <si>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</si>
  <si>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</si>
  <si>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</si>
  <si>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</si>
  <si>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</si>
  <si>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</si>
  <si>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</si>
  <si>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</si>
  <si>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</si>
  <si>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</si>
  <si>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</si>
  <si>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</si>
  <si>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</si>
  <si>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</si>
  <si>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</si>
  <si>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</si>
  <si>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</si>
  <si>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</si>
  <si>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</si>
  <si>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</si>
  <si>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</si>
  <si>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</si>
  <si>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</si>
  <si>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</si>
  <si>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</si>
  <si>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</si>
  <si>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</si>
  <si>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</si>
  <si>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</si>
  <si>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</si>
  <si>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</si>
  <si>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</si>
  <si>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</si>
  <si>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</si>
  <si>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</si>
  <si>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</si>
  <si>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</si>
  <si>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</si>
  <si>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</si>
  <si>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</si>
  <si>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</si>
  <si>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</si>
  <si>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</si>
  <si>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</si>
  <si>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</si>
  <si>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</si>
  <si>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</si>
  <si>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</si>
  <si>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</si>
  <si>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</si>
  <si>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</si>
  <si>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</si>
  <si>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</si>
  <si>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</si>
  <si>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</si>
  <si>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</si>
  <si>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</si>
  <si>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</si>
  <si>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</si>
  <si>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</si>
  <si>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</si>
  <si>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</si>
  <si>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</si>
  <si>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</si>
  <si>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</si>
  <si>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</si>
  <si>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</si>
  <si>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</si>
  <si>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</si>
  <si>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</si>
  <si>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</si>
  <si>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</si>
  <si>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</si>
  <si>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</si>
  <si>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</si>
  <si>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</si>
  <si>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</si>
  <si>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</si>
  <si>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</si>
  <si>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</si>
  <si>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</si>
  <si>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</si>
  <si>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</si>
  <si>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</si>
  <si>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</si>
  <si>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</si>
  <si>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</si>
  <si>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</si>
  <si>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</si>
  <si>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</si>
  <si>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</si>
  <si>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</si>
  <si>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</si>
  <si>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</si>
  <si>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</si>
  <si>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</si>
  <si>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</si>
  <si>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</si>
  <si>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</si>
  <si>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</si>
  <si>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</si>
  <si>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</si>
  <si>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</si>
  <si>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</si>
  <si>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</si>
  <si>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</si>
  <si>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</si>
  <si>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</si>
  <si>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</si>
  <si>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</si>
  <si>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</si>
  <si>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</si>
  <si>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</si>
  <si>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</si>
  <si>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</si>
  <si>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</si>
  <si>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</si>
  <si>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</si>
  <si>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</si>
  <si>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</si>
  <si>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</si>
  <si>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</si>
  <si>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</si>
  <si>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</si>
  <si>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</si>
  <si>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</si>
  <si>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</si>
  <si>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</si>
  <si>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</si>
  <si>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</si>
  <si>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</si>
  <si>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</si>
  <si>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</si>
  <si>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</si>
  <si>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</si>
  <si>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</si>
  <si>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</si>
  <si>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</si>
  <si>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</si>
  <si>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</si>
  <si>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</si>
  <si>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</si>
  <si>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</si>
  <si>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</si>
  <si>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</si>
  <si>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</si>
  <si>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</si>
  <si>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</si>
  <si>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</si>
  <si>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</si>
  <si>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</si>
  <si>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</si>
  <si>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</si>
  <si>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</si>
  <si>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</si>
  <si>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</si>
  <si>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</si>
  <si>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</si>
  <si>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</si>
  <si>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</si>
  <si>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</si>
  <si>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</si>
  <si>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</si>
  <si>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</si>
  <si>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</si>
  <si>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</si>
  <si>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</si>
  <si>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</si>
  <si>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</si>
  <si>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</si>
  <si>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</si>
  <si>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</si>
  <si>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</si>
  <si>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</si>
  <si>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</si>
  <si>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</si>
  <si>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</si>
  <si>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</si>
  <si>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</si>
  <si>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</si>
  <si>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</si>
  <si>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</si>
  <si>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</si>
  <si>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</si>
  <si>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</si>
  <si>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</si>
  <si>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</si>
  <si>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</si>
  <si>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</si>
  <si>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</si>
  <si>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</si>
  <si>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</si>
  <si>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</si>
  <si>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</si>
  <si>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</si>
  <si>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</si>
  <si>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</si>
  <si>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</si>
  <si>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</si>
  <si>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</si>
  <si>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</si>
  <si>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</si>
  <si>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</si>
  <si>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</si>
  <si>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</si>
  <si>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</si>
  <si>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</si>
  <si>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</si>
  <si>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</si>
  <si>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</si>
  <si>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</si>
  <si>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</si>
  <si>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</si>
  <si>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</si>
  <si>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</si>
  <si>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</si>
  <si>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</si>
  <si>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</si>
  <si>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</si>
  <si>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</si>
  <si>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</si>
  <si>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</si>
  <si>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</si>
  <si>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</si>
  <si>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</si>
  <si>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</si>
  <si>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</si>
  <si>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</si>
  <si>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</si>
  <si>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</si>
  <si>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</si>
  <si>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</si>
  <si>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</si>
  <si>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</si>
  <si>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</si>
  <si>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</si>
  <si>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</si>
  <si>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</si>
  <si>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</si>
  <si>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</si>
  <si>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</si>
  <si>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</si>
  <si>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</si>
  <si>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</si>
  <si>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</si>
  <si>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</si>
  <si>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</si>
  <si>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</si>
  <si>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</si>
  <si>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</si>
  <si>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</si>
  <si>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</si>
  <si>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</si>
  <si>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</si>
  <si>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</si>
  <si>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</si>
  <si>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</si>
  <si>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</si>
  <si>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</si>
  <si>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</si>
  <si>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</si>
  <si>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</si>
  <si>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</si>
  <si>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</si>
  <si>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</si>
  <si>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</si>
  <si>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</si>
  <si>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</si>
  <si>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</si>
  <si>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</si>
  <si>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</si>
  <si>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</si>
  <si>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</si>
  <si>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</si>
  <si>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</si>
  <si>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</si>
  <si>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20261017 13:17:03</t>
  </si>
  <si>
    <t>13:17:03</t>
  </si>
  <si>
    <t>MPF-1129-20261017-11_31_55</t>
  </si>
  <si>
    <t>MPF-1130-20261017-13_17_07</t>
  </si>
  <si>
    <t>-</t>
  </si>
  <si>
    <t>0: Broadleaf</t>
  </si>
  <si>
    <t>13:11:13</t>
  </si>
  <si>
    <t>3/3</t>
  </si>
  <si>
    <t>11111111</t>
  </si>
  <si>
    <t>oooooooo</t>
  </si>
  <si>
    <t>on</t>
  </si>
  <si>
    <t>20261017 13:19:13</t>
  </si>
  <si>
    <t>13:19:13</t>
  </si>
  <si>
    <t>MPF-1131-20261017-13_19_17</t>
  </si>
  <si>
    <t>20261017 13:21:30</t>
  </si>
  <si>
    <t>13:21:30</t>
  </si>
  <si>
    <t>MPF-1132-20261017-13_21_33</t>
  </si>
  <si>
    <t>20261017 13:23:49</t>
  </si>
  <si>
    <t>13:23:49</t>
  </si>
  <si>
    <t>MPF-1133-20261017-13_23_52</t>
  </si>
  <si>
    <t>20261017 13:25:52</t>
  </si>
  <si>
    <t>13:25:52</t>
  </si>
  <si>
    <t>MPF-1134-20261017-13_25_56</t>
  </si>
  <si>
    <t>20261017 13:28:15</t>
  </si>
  <si>
    <t>13:28:15</t>
  </si>
  <si>
    <t>MPF-1135-20261017-13_28_18</t>
  </si>
  <si>
    <t>13:26:55</t>
  </si>
  <si>
    <t>20261017 13:30:18</t>
  </si>
  <si>
    <t>13:30:18</t>
  </si>
  <si>
    <t>MPF-1136-20261017-13_30_21</t>
  </si>
  <si>
    <t>13:29:32</t>
  </si>
  <si>
    <t>20261017 13:32:32</t>
  </si>
  <si>
    <t>13:32:32</t>
  </si>
  <si>
    <t>MPF-1137-20261017-13_32_36</t>
  </si>
  <si>
    <t>13:31:22</t>
  </si>
  <si>
    <t>20261017 13:35:35</t>
  </si>
  <si>
    <t>13:35:35</t>
  </si>
  <si>
    <t>MPF-1138-20261017-13_35_39</t>
  </si>
  <si>
    <t>13:33:34</t>
  </si>
  <si>
    <t>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</si>
</sst>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5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34</v>
      </c>
    </row>
    <row r="3" spans="1:282" x14ac:dyDescent="0.3">
      <c r="B3" t="s">
        <v>33</v>
      </c>
      <c r="C3">
        <v>21</v>
      </c>
    </row>
    <row r="4" spans="1:282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82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 x14ac:dyDescent="0.3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411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 x14ac:dyDescent="0.3">
      <c r="A17">
        <v>1</v>
      </c>
      <c r="B17">
        <v>1792210623</v>
      </c>
      <c r="C17">
        <v>0</v>
      </c>
      <c r="D17" t="s">
        <v>414</v>
      </c>
      <c r="E17" t="s">
        <v>415</v>
      </c>
      <c r="F17">
        <v>5</v>
      </c>
      <c r="G17">
        <v>1792210619.5</v>
      </c>
      <c r="H17">
        <f t="shared" ref="H17:H25" si="0">(I17)/1000</f>
        <v>2.8774702338701095E-3</v>
      </c>
      <c r="I17">
        <f t="shared" ref="I17:I25" si="1">1000*DI17*AG17*(DE17-DF17)/(100*CX17*(1000-AG17*DE17))</f>
        <v>2.8774702338701097</v>
      </c>
      <c r="J17">
        <f t="shared" ref="J17:J25" si="2">DI17*AG17*(DD17-DC17*(1000-AG17*DF17)/(1000-AG17*DE17))/(100*CX17)</f>
        <v>18.145997602404265</v>
      </c>
      <c r="K17">
        <f t="shared" ref="K17:K25" si="3">DC17 - IF(AG17&gt;1, J17*CX17*100/(AI17), 0)</f>
        <v>399.976</v>
      </c>
      <c r="L17">
        <f t="shared" ref="L17:L25" si="4">((R17-H17/2)*K17-J17)/(R17+H17/2)</f>
        <v>246.55992238651351</v>
      </c>
      <c r="M17">
        <f t="shared" ref="M17:M25" si="5">L17*(DJ17+DK17)/1000</f>
        <v>25.120918182312824</v>
      </c>
      <c r="N17">
        <f t="shared" ref="N17:N25" si="6">(DC17 - IF(AG17&gt;1, J17*CX17*100/(AI17), 0))*(DJ17+DK17)/1000</f>
        <v>40.751815111044799</v>
      </c>
      <c r="O17">
        <f t="shared" ref="O17:O25" si="7">2/((1/Q17-1/P17)+SIGN(Q17)*SQRT((1/Q17-1/P17)*(1/Q17-1/P17) + 4*CY17/((CY17+1)*(CY17+1))*(2*1/Q17*1/P17-1/P17*1/P17)))</f>
        <v>0.20531944159665727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3.0423559745913726</v>
      </c>
      <c r="Q17">
        <f t="shared" ref="Q17:Q25" si="9">H17*(1000-(1000*0.61365*EXP(17.502*U17/(240.97+U17))/(DJ17+DK17)+DE17)/2)/(1000*0.61365*EXP(17.502*U17/(240.97+U17))/(DJ17+DK17)-DE17)</f>
        <v>0.19792046423107787</v>
      </c>
      <c r="R17">
        <f t="shared" ref="R17:R25" si="10">1/((CY17+1)/(O17/1.6)+1/(P17/1.37)) + CY17/((CY17+1)/(O17/1.6) + CY17/(P17/1.37))</f>
        <v>0.12434284486376926</v>
      </c>
      <c r="S17">
        <f t="shared" ref="S17:S25" si="11">(CT17*CW17)</f>
        <v>241.73391700293533</v>
      </c>
      <c r="T17">
        <f t="shared" ref="T17:T25" si="12">(DL17+(S17+2*0.95*0.0000000567*(((DL17+$B$7)+273)^4-(DL17+273)^4)-44100*H17)/(1.84*29.3*P17+8*0.95*0.0000000567*(DL17+273)^3))</f>
        <v>25.595922960178818</v>
      </c>
      <c r="U17">
        <f t="shared" ref="U17:U25" si="13">($C$7*DM17+$D$7*DN17+$E$7*T17)</f>
        <v>24.993316666666701</v>
      </c>
      <c r="V17">
        <f t="shared" ref="V17:V25" si="14">0.61365*EXP(17.502*U17/(240.97+U17))</f>
        <v>3.1784108544557905</v>
      </c>
      <c r="W17">
        <f t="shared" ref="W17:W25" si="15">(X17/Y17*100)</f>
        <v>54.688734688474938</v>
      </c>
      <c r="X17">
        <f t="shared" ref="X17:X25" si="16">DE17*(DJ17+DK17)/1000</f>
        <v>1.7328456793779432</v>
      </c>
      <c r="Y17">
        <f t="shared" ref="Y17:Y25" si="17">0.61365*EXP(17.502*DL17/(240.97+DL17))</f>
        <v>3.1685605623329987</v>
      </c>
      <c r="Z17">
        <f t="shared" ref="Z17:Z25" si="18">(V17-DE17*(DJ17+DK17)/1000)</f>
        <v>1.4455651750778473</v>
      </c>
      <c r="AA17">
        <f t="shared" ref="AA17:AA25" si="19">(-H17*44100)</f>
        <v>-126.89643731367183</v>
      </c>
      <c r="AB17">
        <f t="shared" ref="AB17:AB25" si="20">2*29.3*P17*0.92*(DL17-U17)</f>
        <v>-8.5372147304781603</v>
      </c>
      <c r="AC17">
        <f t="shared" ref="AC17:AC25" si="21">2*0.95*0.0000000567*(((DL17+$B$7)+273)^4-(U17+273)^4)</f>
        <v>-0.5933666986341315</v>
      </c>
      <c r="AD17">
        <f t="shared" ref="AD17:AD25" si="22">S17+AC17+AA17+AB17</f>
        <v>105.70689826015122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54253.997374453211</v>
      </c>
      <c r="AJ17" t="s">
        <v>416</v>
      </c>
      <c r="AK17">
        <v>8118.75</v>
      </c>
      <c r="AL17">
        <v>202.77699999999999</v>
      </c>
      <c r="AM17">
        <v>843.89972736790196</v>
      </c>
      <c r="AN17">
        <f t="shared" ref="AN17:AN25" si="26">1-AL17/AM17</f>
        <v>0.75971434351275902</v>
      </c>
      <c r="AO17">
        <v>-1.44499194741429</v>
      </c>
      <c r="AP17" t="s">
        <v>417</v>
      </c>
      <c r="AQ17">
        <v>8155.98</v>
      </c>
      <c r="AR17">
        <v>323.04273076923101</v>
      </c>
      <c r="AS17">
        <v>410.426893234315</v>
      </c>
      <c r="AT17">
        <f t="shared" ref="AT17:AT25" si="27">1-AR17/AS17</f>
        <v>0.21291042060247223</v>
      </c>
      <c r="AU17">
        <v>0.5</v>
      </c>
      <c r="AV17">
        <f t="shared" ref="AV17:AV25" si="28">CU17</f>
        <v>1261.1953994833887</v>
      </c>
      <c r="AW17">
        <f t="shared" ref="AW17:AW25" si="29">J17</f>
        <v>18.145997602404265</v>
      </c>
      <c r="AX17">
        <f t="shared" ref="AX17:AX25" si="30">AT17*AU17*AV17</f>
        <v>134.26082148295563</v>
      </c>
      <c r="AY17">
        <f t="shared" ref="AY17:AY25" si="31">(AW17-AO17)/AV17</f>
        <v>1.5533667152483607E-2</v>
      </c>
      <c r="AZ17">
        <f t="shared" ref="AZ17:AZ25" si="32">(AM17-AS17)/AS17</f>
        <v>1.0561511472059286</v>
      </c>
      <c r="BA17">
        <f t="shared" ref="BA17:BA25" si="33">AL17/(AN17+AL17/AS17)</f>
        <v>161.73278249256231</v>
      </c>
      <c r="BB17" t="s">
        <v>418</v>
      </c>
      <c r="BC17">
        <v>0</v>
      </c>
      <c r="BD17">
        <f t="shared" ref="BD17:BD25" si="34">IF(BC17&lt;&gt;0, BC17, BA17)</f>
        <v>161.73278249256231</v>
      </c>
      <c r="BE17">
        <f t="shared" ref="BE17:BE25" si="35">1-BD17/AS17</f>
        <v>0.60594009515787706</v>
      </c>
      <c r="BF17">
        <f t="shared" ref="BF17:BF25" si="36">(AS17-AR17)/(AS17-BD17)</f>
        <v>0.3513720618652883</v>
      </c>
      <c r="BG17">
        <f t="shared" ref="BG17:BG25" si="37">(AM17-AS17)/(AM17-BD17)</f>
        <v>0.63543511949673925</v>
      </c>
      <c r="BH17">
        <f t="shared" ref="BH17:BH25" si="38">(AS17-AR17)/(AS17-AL17)</f>
        <v>0.42082449985408127</v>
      </c>
      <c r="BI17">
        <f t="shared" ref="BI17:BI25" si="39">(AM17-AS17)/(AM17-AL17)</f>
        <v>0.67611522042462691</v>
      </c>
      <c r="BJ17">
        <f t="shared" ref="BJ17:BJ25" si="40">(BF17*BD17/AR17)</f>
        <v>0.17591598832854646</v>
      </c>
      <c r="BK17">
        <f t="shared" ref="BK17:BK25" si="41">(1-BJ17)</f>
        <v>0.82408401167145351</v>
      </c>
      <c r="BL17">
        <v>1130</v>
      </c>
      <c r="BM17">
        <v>290</v>
      </c>
      <c r="BN17">
        <v>391.35</v>
      </c>
      <c r="BO17">
        <v>125</v>
      </c>
      <c r="BP17">
        <v>8155.98</v>
      </c>
      <c r="BQ17">
        <v>391.17</v>
      </c>
      <c r="BR17">
        <v>0.18</v>
      </c>
      <c r="BS17">
        <v>300</v>
      </c>
      <c r="BT17">
        <v>19.3</v>
      </c>
      <c r="BU17">
        <v>410.426893234315</v>
      </c>
      <c r="BV17">
        <v>1.7524637331092801</v>
      </c>
      <c r="BW17">
        <v>-15.7084409184733</v>
      </c>
      <c r="BX17">
        <v>1.3052024494519101</v>
      </c>
      <c r="BY17">
        <v>0.83800730512668498</v>
      </c>
      <c r="BZ17">
        <v>-4.4027546162402698E-3</v>
      </c>
      <c r="CA17">
        <v>290</v>
      </c>
      <c r="CB17">
        <v>391.16</v>
      </c>
      <c r="CC17">
        <v>835</v>
      </c>
      <c r="CD17">
        <v>8129.8</v>
      </c>
      <c r="CE17">
        <v>391.1</v>
      </c>
      <c r="CF17">
        <v>0.06</v>
      </c>
      <c r="CT17">
        <f t="shared" ref="CT17:CT25" si="42">$B$11*DR17+$C$11*DS17+$F$11*ED17*(1-EG17)</f>
        <v>1499.98166666667</v>
      </c>
      <c r="CU17">
        <f t="shared" ref="CU17:CU25" si="43">CT17*CV17</f>
        <v>1261.1953994833887</v>
      </c>
      <c r="CV17">
        <f t="shared" ref="CV17:CV25" si="44">($B$11*$D$9+$C$11*$D$9+$F$11*((EQ17+EI17)/MAX(EQ17+EI17+ER17, 0.1)*$I$9+ER17/MAX(EQ17+EI17+ER17, 0.1)*$J$9))/($B$11+$C$11+$F$11)</f>
        <v>0.8408072095214848</v>
      </c>
      <c r="CW17">
        <f t="shared" ref="CW17:CW25" si="45">($B$11*$K$9+$C$11*$K$9+$F$11*((EQ17+EI17)/MAX(EQ17+EI17+ER17, 0.1)*$P$9+ER17/MAX(EQ17+EI17+ER17, 0.1)*$Q$9))/($B$11+$C$11+$F$11)</f>
        <v>0.16115791437646557</v>
      </c>
      <c r="CX17">
        <v>2</v>
      </c>
      <c r="CY17">
        <v>0.5</v>
      </c>
      <c r="CZ17" t="s">
        <v>419</v>
      </c>
      <c r="DA17">
        <v>2</v>
      </c>
      <c r="DB17">
        <v>1792210619.5</v>
      </c>
      <c r="DC17">
        <v>399.976</v>
      </c>
      <c r="DD17">
        <v>407.69400000000002</v>
      </c>
      <c r="DE17">
        <v>17.007750000000001</v>
      </c>
      <c r="DF17">
        <v>15.87645</v>
      </c>
      <c r="DG17">
        <v>399.103833333333</v>
      </c>
      <c r="DH17">
        <v>17.1308333333333</v>
      </c>
      <c r="DI17">
        <v>500.04966666666701</v>
      </c>
      <c r="DJ17">
        <v>101.785666666667</v>
      </c>
      <c r="DK17">
        <v>9.9984249999999997E-2</v>
      </c>
      <c r="DL17">
        <v>24.941266666666699</v>
      </c>
      <c r="DM17">
        <v>24.993316666666701</v>
      </c>
      <c r="DN17">
        <v>999.9</v>
      </c>
      <c r="DO17">
        <v>0</v>
      </c>
      <c r="DP17">
        <v>0</v>
      </c>
      <c r="DQ17">
        <v>10011.6833333333</v>
      </c>
      <c r="DR17">
        <v>0</v>
      </c>
      <c r="DS17">
        <v>7.5293000000000001</v>
      </c>
      <c r="DT17">
        <v>-7.7179000000000002</v>
      </c>
      <c r="DU17">
        <v>406.89666666666699</v>
      </c>
      <c r="DV17">
        <v>414.271166666667</v>
      </c>
      <c r="DW17">
        <v>1.131305</v>
      </c>
      <c r="DX17">
        <v>407.69400000000002</v>
      </c>
      <c r="DY17">
        <v>15.87645</v>
      </c>
      <c r="DZ17">
        <v>1.73115166666667</v>
      </c>
      <c r="EA17">
        <v>1.6160000000000001</v>
      </c>
      <c r="EB17">
        <v>15.178599999999999</v>
      </c>
      <c r="EC17">
        <v>14.1122333333333</v>
      </c>
      <c r="ED17">
        <v>1499.98166666667</v>
      </c>
      <c r="EE17">
        <v>0.97300366666666704</v>
      </c>
      <c r="EF17">
        <v>2.6996333333333299E-2</v>
      </c>
      <c r="EG17">
        <v>0</v>
      </c>
      <c r="EH17">
        <v>323.00466666666699</v>
      </c>
      <c r="EI17">
        <v>5.0006399999999998</v>
      </c>
      <c r="EJ17">
        <v>4987.6033333333298</v>
      </c>
      <c r="EK17">
        <v>15439.0333333333</v>
      </c>
      <c r="EL17">
        <v>39.936999999999998</v>
      </c>
      <c r="EM17">
        <v>40.645666666666699</v>
      </c>
      <c r="EN17">
        <v>40.25</v>
      </c>
      <c r="EO17">
        <v>40.25</v>
      </c>
      <c r="EP17">
        <v>41.5</v>
      </c>
      <c r="EQ17">
        <v>1454.6216666666701</v>
      </c>
      <c r="ER17">
        <v>40.36</v>
      </c>
      <c r="ES17">
        <v>0</v>
      </c>
      <c r="ET17">
        <v>6309.7999999523199</v>
      </c>
      <c r="EU17">
        <v>0</v>
      </c>
      <c r="EV17">
        <v>323.04273076923101</v>
      </c>
      <c r="EW17">
        <v>0.20270084828757601</v>
      </c>
      <c r="EX17">
        <v>-7.7606848132888095E-2</v>
      </c>
      <c r="EY17">
        <v>4987.3850000000002</v>
      </c>
      <c r="EZ17">
        <v>15</v>
      </c>
      <c r="FA17">
        <v>1792210273.0999999</v>
      </c>
      <c r="FB17" t="s">
        <v>420</v>
      </c>
      <c r="FC17">
        <v>1792210271.0999999</v>
      </c>
      <c r="FD17">
        <v>1792210273.0999999</v>
      </c>
      <c r="FE17">
        <v>34</v>
      </c>
      <c r="FF17">
        <v>-0.622</v>
      </c>
      <c r="FG17">
        <v>-8.0000000000000002E-3</v>
      </c>
      <c r="FH17">
        <v>0.875</v>
      </c>
      <c r="FI17">
        <v>-0.161</v>
      </c>
      <c r="FJ17">
        <v>407</v>
      </c>
      <c r="FK17">
        <v>16</v>
      </c>
      <c r="FL17">
        <v>0.31</v>
      </c>
      <c r="FM17">
        <v>0.06</v>
      </c>
      <c r="FN17">
        <v>18.101624225712701</v>
      </c>
      <c r="FO17">
        <v>-7.0441629380106799E-2</v>
      </c>
      <c r="FP17">
        <v>0.12496276823958501</v>
      </c>
      <c r="FQ17">
        <v>1</v>
      </c>
      <c r="FR17">
        <v>-7.7027324999999998</v>
      </c>
      <c r="FS17">
        <v>-5.1787218045123401E-2</v>
      </c>
      <c r="FT17">
        <v>5.2497041047567597E-2</v>
      </c>
      <c r="FU17">
        <v>1</v>
      </c>
      <c r="FV17">
        <v>323.04055882352901</v>
      </c>
      <c r="FW17">
        <v>0.15139800842085099</v>
      </c>
      <c r="FX17">
        <v>0.18622822670622699</v>
      </c>
      <c r="FY17">
        <v>1</v>
      </c>
      <c r="FZ17">
        <v>3</v>
      </c>
      <c r="GA17">
        <v>3</v>
      </c>
      <c r="GB17" t="s">
        <v>421</v>
      </c>
      <c r="GC17">
        <v>3.1236299999999999</v>
      </c>
      <c r="GD17">
        <v>2.76552</v>
      </c>
      <c r="GE17">
        <v>8.8371000000000005E-2</v>
      </c>
      <c r="GF17">
        <v>9.2043799999999995E-2</v>
      </c>
      <c r="GG17">
        <v>9.2235800000000007E-2</v>
      </c>
      <c r="GH17">
        <v>9.0734499999999996E-2</v>
      </c>
      <c r="GI17">
        <v>17783.7</v>
      </c>
      <c r="GJ17">
        <v>26698.7</v>
      </c>
      <c r="GK17">
        <v>22792.400000000001</v>
      </c>
      <c r="GL17">
        <v>30129.3</v>
      </c>
      <c r="GM17">
        <v>33935.199999999997</v>
      </c>
      <c r="GN17">
        <v>34124.9</v>
      </c>
      <c r="GO17">
        <v>43122.6</v>
      </c>
      <c r="GP17">
        <v>42907.1</v>
      </c>
      <c r="GQ17">
        <v>1.97862</v>
      </c>
      <c r="GR17">
        <v>1.8354999999999999</v>
      </c>
      <c r="GS17">
        <v>0.106335</v>
      </c>
      <c r="GT17">
        <v>0</v>
      </c>
      <c r="GU17">
        <v>23.337199999999999</v>
      </c>
      <c r="GV17">
        <v>999.9</v>
      </c>
      <c r="GW17">
        <v>41.326000000000001</v>
      </c>
      <c r="GX17">
        <v>32.045000000000002</v>
      </c>
      <c r="GY17">
        <v>19.435700000000001</v>
      </c>
      <c r="GZ17">
        <v>63.345100000000002</v>
      </c>
      <c r="HA17">
        <v>34.102600000000002</v>
      </c>
      <c r="HB17">
        <v>1</v>
      </c>
      <c r="HC17">
        <v>2.99314E-2</v>
      </c>
      <c r="HD17">
        <v>1.5273099999999999</v>
      </c>
      <c r="HE17">
        <v>20.223700000000001</v>
      </c>
      <c r="HF17">
        <v>5.23271</v>
      </c>
      <c r="HG17">
        <v>11.962</v>
      </c>
      <c r="HH17">
        <v>4.96835</v>
      </c>
      <c r="HI17">
        <v>3.2949999999999999</v>
      </c>
      <c r="HJ17">
        <v>9999</v>
      </c>
      <c r="HK17">
        <v>9999</v>
      </c>
      <c r="HL17">
        <v>9999</v>
      </c>
      <c r="HM17">
        <v>999.9</v>
      </c>
      <c r="HN17">
        <v>4.96861</v>
      </c>
      <c r="HO17">
        <v>1.86249</v>
      </c>
      <c r="HP17">
        <v>1.8640099999999999</v>
      </c>
      <c r="HQ17">
        <v>1.86588</v>
      </c>
      <c r="HR17">
        <v>1.8629500000000001</v>
      </c>
      <c r="HS17">
        <v>1.8666100000000001</v>
      </c>
      <c r="HT17">
        <v>1.8633999999999999</v>
      </c>
      <c r="HU17">
        <v>1.86528</v>
      </c>
      <c r="HV17">
        <v>0</v>
      </c>
      <c r="HW17">
        <v>0</v>
      </c>
      <c r="HX17">
        <v>0</v>
      </c>
      <c r="HY17">
        <v>0</v>
      </c>
      <c r="HZ17" t="s">
        <v>422</v>
      </c>
      <c r="IA17" t="s">
        <v>423</v>
      </c>
      <c r="IB17" t="s">
        <v>424</v>
      </c>
      <c r="IC17" t="s">
        <v>424</v>
      </c>
      <c r="ID17" t="s">
        <v>424</v>
      </c>
      <c r="IE17" t="s">
        <v>424</v>
      </c>
      <c r="IF17">
        <v>0</v>
      </c>
      <c r="IG17">
        <v>100</v>
      </c>
      <c r="IH17">
        <v>100</v>
      </c>
      <c r="II17">
        <v>0.872</v>
      </c>
      <c r="IJ17">
        <v>-0.123</v>
      </c>
      <c r="IK17">
        <v>0.74560285853930497</v>
      </c>
      <c r="IL17">
        <v>2.16929631606078E-4</v>
      </c>
      <c r="IM17">
        <v>2.7226302473163502E-7</v>
      </c>
      <c r="IN17">
        <v>-5.4379205123515401E-11</v>
      </c>
      <c r="IO17">
        <v>-1.820522090803E-2</v>
      </c>
      <c r="IP17">
        <v>-5.8443384954566899E-2</v>
      </c>
      <c r="IQ17">
        <v>3.41568706061026E-3</v>
      </c>
      <c r="IR17">
        <v>-2.10952612506686E-5</v>
      </c>
      <c r="IS17">
        <v>0</v>
      </c>
      <c r="IT17">
        <v>1734</v>
      </c>
      <c r="IU17">
        <v>2</v>
      </c>
      <c r="IV17">
        <v>19</v>
      </c>
      <c r="IW17">
        <v>5.9</v>
      </c>
      <c r="IX17">
        <v>5.8</v>
      </c>
      <c r="IY17">
        <v>1.073</v>
      </c>
      <c r="IZ17">
        <v>2.5671400000000002</v>
      </c>
      <c r="JA17">
        <v>1.3476600000000001</v>
      </c>
      <c r="JB17">
        <v>2.2546400000000002</v>
      </c>
      <c r="JC17">
        <v>1.5502899999999999</v>
      </c>
      <c r="JD17">
        <v>2.4401899999999999</v>
      </c>
      <c r="JE17">
        <v>35.894399999999997</v>
      </c>
      <c r="JF17">
        <v>15.997</v>
      </c>
      <c r="JG17">
        <v>18</v>
      </c>
      <c r="JH17">
        <v>499.95400000000001</v>
      </c>
      <c r="JI17">
        <v>486.59</v>
      </c>
      <c r="JJ17">
        <v>21.823</v>
      </c>
      <c r="JK17">
        <v>27.5212</v>
      </c>
      <c r="JL17">
        <v>30</v>
      </c>
      <c r="JM17">
        <v>27.532699999999998</v>
      </c>
      <c r="JN17">
        <v>27.5486</v>
      </c>
      <c r="JO17">
        <v>21.474</v>
      </c>
      <c r="JP17">
        <v>27.105399999999999</v>
      </c>
      <c r="JQ17">
        <v>46.797199999999997</v>
      </c>
      <c r="JR17">
        <v>21.861799999999999</v>
      </c>
      <c r="JS17">
        <v>407.82499999999999</v>
      </c>
      <c r="JT17">
        <v>15.918699999999999</v>
      </c>
      <c r="JU17">
        <v>101.825</v>
      </c>
      <c r="JV17">
        <v>97.436700000000002</v>
      </c>
    </row>
    <row r="18" spans="1:282" x14ac:dyDescent="0.3">
      <c r="A18">
        <v>2</v>
      </c>
      <c r="B18">
        <v>1792210753</v>
      </c>
      <c r="C18">
        <v>130</v>
      </c>
      <c r="D18" t="s">
        <v>425</v>
      </c>
      <c r="E18" t="s">
        <v>426</v>
      </c>
      <c r="F18">
        <v>5</v>
      </c>
      <c r="G18">
        <v>1792210749.5</v>
      </c>
      <c r="H18">
        <f t="shared" si="0"/>
        <v>2.5295647093879271E-3</v>
      </c>
      <c r="I18">
        <f t="shared" si="1"/>
        <v>2.5295647093879272</v>
      </c>
      <c r="J18">
        <f t="shared" si="2"/>
        <v>18.024400708024896</v>
      </c>
      <c r="K18">
        <f t="shared" si="3"/>
        <v>399.96516666666702</v>
      </c>
      <c r="L18">
        <f t="shared" si="4"/>
        <v>230.99782249001908</v>
      </c>
      <c r="M18">
        <f t="shared" si="5"/>
        <v>23.5342801634403</v>
      </c>
      <c r="N18">
        <f t="shared" si="6"/>
        <v>40.748835579855502</v>
      </c>
      <c r="O18">
        <f t="shared" si="7"/>
        <v>0.18333808778255567</v>
      </c>
      <c r="P18">
        <f t="shared" si="8"/>
        <v>3.0392252984371284</v>
      </c>
      <c r="Q18">
        <f t="shared" si="9"/>
        <v>0.17740808030510233</v>
      </c>
      <c r="R18">
        <f t="shared" si="10"/>
        <v>0.1113968598778306</v>
      </c>
      <c r="S18">
        <f t="shared" si="11"/>
        <v>193.80570278210644</v>
      </c>
      <c r="T18">
        <f t="shared" si="12"/>
        <v>25.618982525812299</v>
      </c>
      <c r="U18">
        <f t="shared" si="13"/>
        <v>24.952116666666701</v>
      </c>
      <c r="V18">
        <f t="shared" si="14"/>
        <v>3.1706116854972359</v>
      </c>
      <c r="W18">
        <f t="shared" si="15"/>
        <v>54.643311547186848</v>
      </c>
      <c r="X18">
        <f t="shared" si="16"/>
        <v>1.7530487172007272</v>
      </c>
      <c r="Y18">
        <f t="shared" si="17"/>
        <v>3.2081670520405674</v>
      </c>
      <c r="Z18">
        <f t="shared" si="18"/>
        <v>1.4175629682965087</v>
      </c>
      <c r="AA18">
        <f t="shared" si="19"/>
        <v>-111.55380368400759</v>
      </c>
      <c r="AB18">
        <f t="shared" si="20"/>
        <v>32.37417029833022</v>
      </c>
      <c r="AC18">
        <f t="shared" si="21"/>
        <v>2.2543344921965853</v>
      </c>
      <c r="AD18">
        <f t="shared" si="22"/>
        <v>116.88040388862566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54117.681750357951</v>
      </c>
      <c r="AJ18" t="s">
        <v>416</v>
      </c>
      <c r="AK18">
        <v>8118.75</v>
      </c>
      <c r="AL18">
        <v>202.77699999999999</v>
      </c>
      <c r="AM18">
        <v>843.89972736790196</v>
      </c>
      <c r="AN18">
        <f t="shared" si="26"/>
        <v>0.75971434351275902</v>
      </c>
      <c r="AO18">
        <v>-1.44499194741429</v>
      </c>
      <c r="AP18" t="s">
        <v>427</v>
      </c>
      <c r="AQ18">
        <v>8146.12</v>
      </c>
      <c r="AR18">
        <v>316.74161538461499</v>
      </c>
      <c r="AS18">
        <v>436.53314619950697</v>
      </c>
      <c r="AT18">
        <f t="shared" si="27"/>
        <v>0.27441565859959727</v>
      </c>
      <c r="AU18">
        <v>0.5</v>
      </c>
      <c r="AV18">
        <f t="shared" si="28"/>
        <v>1009.1943993689645</v>
      </c>
      <c r="AW18">
        <f t="shared" si="29"/>
        <v>18.024400708024896</v>
      </c>
      <c r="AX18">
        <f t="shared" si="30"/>
        <v>138.46937287892968</v>
      </c>
      <c r="AY18">
        <f t="shared" si="31"/>
        <v>1.9292014172505447E-2</v>
      </c>
      <c r="AZ18">
        <f t="shared" si="32"/>
        <v>0.93318590974124538</v>
      </c>
      <c r="BA18">
        <f t="shared" si="33"/>
        <v>165.63619831842792</v>
      </c>
      <c r="BB18" t="s">
        <v>418</v>
      </c>
      <c r="BC18">
        <v>0</v>
      </c>
      <c r="BD18">
        <f t="shared" si="34"/>
        <v>165.63619831842792</v>
      </c>
      <c r="BE18">
        <f t="shared" si="35"/>
        <v>0.62056444107287123</v>
      </c>
      <c r="BF18">
        <f t="shared" si="36"/>
        <v>0.44220332400156537</v>
      </c>
      <c r="BG18">
        <f t="shared" si="37"/>
        <v>0.60060221981754347</v>
      </c>
      <c r="BH18">
        <f t="shared" si="38"/>
        <v>0.51246366250687547</v>
      </c>
      <c r="BI18">
        <f t="shared" si="39"/>
        <v>0.63539563297158197</v>
      </c>
      <c r="BJ18">
        <f t="shared" si="40"/>
        <v>0.23124488199143353</v>
      </c>
      <c r="BK18">
        <f t="shared" si="41"/>
        <v>0.76875511800856644</v>
      </c>
      <c r="BL18">
        <v>1131</v>
      </c>
      <c r="BM18">
        <v>290</v>
      </c>
      <c r="BN18">
        <v>411.3</v>
      </c>
      <c r="BO18">
        <v>265</v>
      </c>
      <c r="BP18">
        <v>8146.12</v>
      </c>
      <c r="BQ18">
        <v>410.77</v>
      </c>
      <c r="BR18">
        <v>0.53</v>
      </c>
      <c r="BS18">
        <v>300</v>
      </c>
      <c r="BT18">
        <v>19.3</v>
      </c>
      <c r="BU18">
        <v>436.53314619950697</v>
      </c>
      <c r="BV18">
        <v>1.9993764885024199</v>
      </c>
      <c r="BW18">
        <v>-20.988995838033102</v>
      </c>
      <c r="BX18">
        <v>1.48279281050926</v>
      </c>
      <c r="BY18">
        <v>0.87738939570437502</v>
      </c>
      <c r="BZ18">
        <v>-4.6047190211346003E-3</v>
      </c>
      <c r="CA18">
        <v>290</v>
      </c>
      <c r="CB18">
        <v>409.48</v>
      </c>
      <c r="CC18">
        <v>665</v>
      </c>
      <c r="CD18">
        <v>8135.51</v>
      </c>
      <c r="CE18">
        <v>410.73</v>
      </c>
      <c r="CF18">
        <v>-1.25</v>
      </c>
      <c r="CT18">
        <f t="shared" si="42"/>
        <v>1200.0133333333299</v>
      </c>
      <c r="CU18">
        <f t="shared" si="43"/>
        <v>1009.1943993689645</v>
      </c>
      <c r="CV18">
        <f t="shared" si="44"/>
        <v>0.84098598851871142</v>
      </c>
      <c r="CW18">
        <f t="shared" si="45"/>
        <v>0.16150295784111315</v>
      </c>
      <c r="CX18">
        <v>2</v>
      </c>
      <c r="CY18">
        <v>0.5</v>
      </c>
      <c r="CZ18" t="s">
        <v>419</v>
      </c>
      <c r="DA18">
        <v>2</v>
      </c>
      <c r="DB18">
        <v>1792210749.5</v>
      </c>
      <c r="DC18">
        <v>399.96516666666702</v>
      </c>
      <c r="DD18">
        <v>407.577333333333</v>
      </c>
      <c r="DE18">
        <v>17.2068333333333</v>
      </c>
      <c r="DF18">
        <v>16.212716666666701</v>
      </c>
      <c r="DG18">
        <v>399.093166666667</v>
      </c>
      <c r="DH18">
        <v>17.322150000000001</v>
      </c>
      <c r="DI18">
        <v>500.15033333333298</v>
      </c>
      <c r="DJ18">
        <v>101.78083333333301</v>
      </c>
      <c r="DK18">
        <v>0.10012775</v>
      </c>
      <c r="DL18">
        <v>25.149699999999999</v>
      </c>
      <c r="DM18">
        <v>24.952116666666701</v>
      </c>
      <c r="DN18">
        <v>999.9</v>
      </c>
      <c r="DO18">
        <v>0</v>
      </c>
      <c r="DP18">
        <v>0</v>
      </c>
      <c r="DQ18">
        <v>9993.2350000000006</v>
      </c>
      <c r="DR18">
        <v>0</v>
      </c>
      <c r="DS18">
        <v>7.5065666666666697</v>
      </c>
      <c r="DT18">
        <v>-7.6123016666666699</v>
      </c>
      <c r="DU18">
        <v>406.96783333333298</v>
      </c>
      <c r="DV18">
        <v>414.29433333333299</v>
      </c>
      <c r="DW18">
        <v>0.99409966666666705</v>
      </c>
      <c r="DX18">
        <v>407.577333333333</v>
      </c>
      <c r="DY18">
        <v>16.212716666666701</v>
      </c>
      <c r="DZ18">
        <v>1.75132666666667</v>
      </c>
      <c r="EA18">
        <v>1.65014833333333</v>
      </c>
      <c r="EB18">
        <v>15.359</v>
      </c>
      <c r="EC18">
        <v>14.435233333333301</v>
      </c>
      <c r="ED18">
        <v>1200.0133333333299</v>
      </c>
      <c r="EE18">
        <v>0.96699433333333296</v>
      </c>
      <c r="EF18">
        <v>3.30055166666667E-2</v>
      </c>
      <c r="EG18">
        <v>0</v>
      </c>
      <c r="EH18">
        <v>316.82600000000002</v>
      </c>
      <c r="EI18">
        <v>5.0006399999999998</v>
      </c>
      <c r="EJ18">
        <v>3900.23</v>
      </c>
      <c r="EK18">
        <v>12322.833333333299</v>
      </c>
      <c r="EL18">
        <v>39.6145</v>
      </c>
      <c r="EM18">
        <v>40.6145</v>
      </c>
      <c r="EN18">
        <v>40.186999999999998</v>
      </c>
      <c r="EO18">
        <v>40.25</v>
      </c>
      <c r="EP18">
        <v>41.311999999999998</v>
      </c>
      <c r="EQ18">
        <v>1155.5733333333301</v>
      </c>
      <c r="ER18">
        <v>39.44</v>
      </c>
      <c r="ES18">
        <v>0</v>
      </c>
      <c r="ET18">
        <v>128.5</v>
      </c>
      <c r="EU18">
        <v>0</v>
      </c>
      <c r="EV18">
        <v>316.74161538461499</v>
      </c>
      <c r="EW18">
        <v>0.85832478711217597</v>
      </c>
      <c r="EX18">
        <v>1.8417094439634301</v>
      </c>
      <c r="EY18">
        <v>3900.0619230769198</v>
      </c>
      <c r="EZ18">
        <v>15</v>
      </c>
      <c r="FA18">
        <v>1792210273.0999999</v>
      </c>
      <c r="FB18" t="s">
        <v>420</v>
      </c>
      <c r="FC18">
        <v>1792210271.0999999</v>
      </c>
      <c r="FD18">
        <v>1792210273.0999999</v>
      </c>
      <c r="FE18">
        <v>34</v>
      </c>
      <c r="FF18">
        <v>-0.622</v>
      </c>
      <c r="FG18">
        <v>-8.0000000000000002E-3</v>
      </c>
      <c r="FH18">
        <v>0.875</v>
      </c>
      <c r="FI18">
        <v>-0.161</v>
      </c>
      <c r="FJ18">
        <v>407</v>
      </c>
      <c r="FK18">
        <v>16</v>
      </c>
      <c r="FL18">
        <v>0.31</v>
      </c>
      <c r="FM18">
        <v>0.06</v>
      </c>
      <c r="FN18">
        <v>17.9661819870066</v>
      </c>
      <c r="FO18">
        <v>-0.42857730805917499</v>
      </c>
      <c r="FP18">
        <v>0.10600184241379799</v>
      </c>
      <c r="FQ18">
        <v>1</v>
      </c>
      <c r="FR18">
        <v>-7.6143019047619003</v>
      </c>
      <c r="FS18">
        <v>0.31140779220778397</v>
      </c>
      <c r="FT18">
        <v>5.4280944443747599E-2</v>
      </c>
      <c r="FU18">
        <v>1</v>
      </c>
      <c r="FV18">
        <v>316.69294117647098</v>
      </c>
      <c r="FW18">
        <v>0.64812834147992004</v>
      </c>
      <c r="FX18">
        <v>0.190805867029124</v>
      </c>
      <c r="FY18">
        <v>1</v>
      </c>
      <c r="FZ18">
        <v>3</v>
      </c>
      <c r="GA18">
        <v>3</v>
      </c>
      <c r="GB18" t="s">
        <v>421</v>
      </c>
      <c r="GC18">
        <v>3.1233399999999998</v>
      </c>
      <c r="GD18">
        <v>2.7652600000000001</v>
      </c>
      <c r="GE18">
        <v>8.8369100000000006E-2</v>
      </c>
      <c r="GF18">
        <v>9.2035699999999998E-2</v>
      </c>
      <c r="GG18">
        <v>9.3064900000000006E-2</v>
      </c>
      <c r="GH18">
        <v>9.21815E-2</v>
      </c>
      <c r="GI18">
        <v>17783</v>
      </c>
      <c r="GJ18">
        <v>26698.1</v>
      </c>
      <c r="GK18">
        <v>22791.5</v>
      </c>
      <c r="GL18">
        <v>30128.400000000001</v>
      </c>
      <c r="GM18">
        <v>33902.1</v>
      </c>
      <c r="GN18">
        <v>34069.199999999997</v>
      </c>
      <c r="GO18">
        <v>43121.1</v>
      </c>
      <c r="GP18">
        <v>42905.7</v>
      </c>
      <c r="GQ18">
        <v>1.9780800000000001</v>
      </c>
      <c r="GR18">
        <v>1.8364799999999999</v>
      </c>
      <c r="GS18">
        <v>8.8784799999999997E-2</v>
      </c>
      <c r="GT18">
        <v>0</v>
      </c>
      <c r="GU18">
        <v>23.480599999999999</v>
      </c>
      <c r="GV18">
        <v>999.9</v>
      </c>
      <c r="GW18">
        <v>41.35</v>
      </c>
      <c r="GX18">
        <v>32.005000000000003</v>
      </c>
      <c r="GY18">
        <v>19.403400000000001</v>
      </c>
      <c r="GZ18">
        <v>63.244999999999997</v>
      </c>
      <c r="HA18">
        <v>34.5593</v>
      </c>
      <c r="HB18">
        <v>1</v>
      </c>
      <c r="HC18">
        <v>3.0807899999999999E-2</v>
      </c>
      <c r="HD18">
        <v>1.4146700000000001</v>
      </c>
      <c r="HE18">
        <v>20.228100000000001</v>
      </c>
      <c r="HF18">
        <v>5.2340600000000004</v>
      </c>
      <c r="HG18">
        <v>11.962</v>
      </c>
      <c r="HH18">
        <v>4.9682500000000003</v>
      </c>
      <c r="HI18">
        <v>3.2950300000000001</v>
      </c>
      <c r="HJ18">
        <v>9999</v>
      </c>
      <c r="HK18">
        <v>9999</v>
      </c>
      <c r="HL18">
        <v>9999</v>
      </c>
      <c r="HM18">
        <v>999.9</v>
      </c>
      <c r="HN18">
        <v>4.9686000000000003</v>
      </c>
      <c r="HO18">
        <v>1.86249</v>
      </c>
      <c r="HP18">
        <v>1.8640099999999999</v>
      </c>
      <c r="HQ18">
        <v>1.86588</v>
      </c>
      <c r="HR18">
        <v>1.8629500000000001</v>
      </c>
      <c r="HS18">
        <v>1.8666100000000001</v>
      </c>
      <c r="HT18">
        <v>1.8633999999999999</v>
      </c>
      <c r="HU18">
        <v>1.8652899999999999</v>
      </c>
      <c r="HV18">
        <v>0</v>
      </c>
      <c r="HW18">
        <v>0</v>
      </c>
      <c r="HX18">
        <v>0</v>
      </c>
      <c r="HY18">
        <v>0</v>
      </c>
      <c r="HZ18" t="s">
        <v>422</v>
      </c>
      <c r="IA18" t="s">
        <v>423</v>
      </c>
      <c r="IB18" t="s">
        <v>424</v>
      </c>
      <c r="IC18" t="s">
        <v>424</v>
      </c>
      <c r="ID18" t="s">
        <v>424</v>
      </c>
      <c r="IE18" t="s">
        <v>424</v>
      </c>
      <c r="IF18">
        <v>0</v>
      </c>
      <c r="IG18">
        <v>100</v>
      </c>
      <c r="IH18">
        <v>100</v>
      </c>
      <c r="II18">
        <v>0.872</v>
      </c>
      <c r="IJ18">
        <v>-0.1143</v>
      </c>
      <c r="IK18">
        <v>0.74560285853930497</v>
      </c>
      <c r="IL18">
        <v>2.16929631606078E-4</v>
      </c>
      <c r="IM18">
        <v>2.7226302473163502E-7</v>
      </c>
      <c r="IN18">
        <v>-5.4379205123515401E-11</v>
      </c>
      <c r="IO18">
        <v>-1.820522090803E-2</v>
      </c>
      <c r="IP18">
        <v>-5.8443384954566899E-2</v>
      </c>
      <c r="IQ18">
        <v>3.41568706061026E-3</v>
      </c>
      <c r="IR18">
        <v>-2.10952612506686E-5</v>
      </c>
      <c r="IS18">
        <v>0</v>
      </c>
      <c r="IT18">
        <v>1734</v>
      </c>
      <c r="IU18">
        <v>2</v>
      </c>
      <c r="IV18">
        <v>19</v>
      </c>
      <c r="IW18">
        <v>8</v>
      </c>
      <c r="IX18">
        <v>8</v>
      </c>
      <c r="IY18">
        <v>1.07178</v>
      </c>
      <c r="IZ18">
        <v>2.5512700000000001</v>
      </c>
      <c r="JA18">
        <v>1.3464400000000001</v>
      </c>
      <c r="JB18">
        <v>2.2546400000000002</v>
      </c>
      <c r="JC18">
        <v>1.5502899999999999</v>
      </c>
      <c r="JD18">
        <v>2.6257299999999999</v>
      </c>
      <c r="JE18">
        <v>35.871099999999998</v>
      </c>
      <c r="JF18">
        <v>16.014600000000002</v>
      </c>
      <c r="JG18">
        <v>18</v>
      </c>
      <c r="JH18">
        <v>499.66</v>
      </c>
      <c r="JI18">
        <v>487.34</v>
      </c>
      <c r="JJ18">
        <v>22.344999999999999</v>
      </c>
      <c r="JK18">
        <v>27.5246</v>
      </c>
      <c r="JL18">
        <v>29.9985</v>
      </c>
      <c r="JM18">
        <v>27.5381</v>
      </c>
      <c r="JN18">
        <v>27.555599999999998</v>
      </c>
      <c r="JO18">
        <v>21.475999999999999</v>
      </c>
      <c r="JP18">
        <v>24.8504</v>
      </c>
      <c r="JQ18">
        <v>46.797199999999997</v>
      </c>
      <c r="JR18">
        <v>22.4666</v>
      </c>
      <c r="JS18">
        <v>407.68400000000003</v>
      </c>
      <c r="JT18">
        <v>16.271999999999998</v>
      </c>
      <c r="JU18">
        <v>101.821</v>
      </c>
      <c r="JV18">
        <v>97.433599999999998</v>
      </c>
    </row>
    <row r="19" spans="1:282" x14ac:dyDescent="0.3">
      <c r="A19">
        <v>3</v>
      </c>
      <c r="B19">
        <v>1792210890</v>
      </c>
      <c r="C19">
        <v>267</v>
      </c>
      <c r="D19" t="s">
        <v>428</v>
      </c>
      <c r="E19" t="s">
        <v>429</v>
      </c>
      <c r="F19">
        <v>5</v>
      </c>
      <c r="G19">
        <v>1792210887</v>
      </c>
      <c r="H19">
        <f t="shared" si="0"/>
        <v>2.3623303157823904E-3</v>
      </c>
      <c r="I19">
        <f t="shared" si="1"/>
        <v>2.3623303157823905</v>
      </c>
      <c r="J19">
        <f t="shared" si="2"/>
        <v>17.626162857524225</v>
      </c>
      <c r="K19">
        <f t="shared" si="3"/>
        <v>399.99020000000002</v>
      </c>
      <c r="L19">
        <f t="shared" si="4"/>
        <v>222.47950945703522</v>
      </c>
      <c r="M19">
        <f t="shared" si="5"/>
        <v>22.665426519065182</v>
      </c>
      <c r="N19">
        <f t="shared" si="6"/>
        <v>40.749588618618304</v>
      </c>
      <c r="O19">
        <f t="shared" si="7"/>
        <v>0.16989083683514522</v>
      </c>
      <c r="P19">
        <f t="shared" si="8"/>
        <v>3.0406893020789365</v>
      </c>
      <c r="Q19">
        <f t="shared" si="9"/>
        <v>0.1647881628525335</v>
      </c>
      <c r="R19">
        <f t="shared" si="10"/>
        <v>0.10343829058415682</v>
      </c>
      <c r="S19">
        <f t="shared" si="11"/>
        <v>145.91118507085483</v>
      </c>
      <c r="T19">
        <f t="shared" si="12"/>
        <v>25.548929092316197</v>
      </c>
      <c r="U19">
        <f t="shared" si="13"/>
        <v>25.094660000000001</v>
      </c>
      <c r="V19">
        <f t="shared" si="14"/>
        <v>3.1976665483381366</v>
      </c>
      <c r="W19">
        <f t="shared" si="15"/>
        <v>54.732327091303965</v>
      </c>
      <c r="X19">
        <f t="shared" si="16"/>
        <v>1.772837987548237</v>
      </c>
      <c r="Y19">
        <f t="shared" si="17"/>
        <v>3.2391058114353601</v>
      </c>
      <c r="Z19">
        <f t="shared" si="18"/>
        <v>1.4248285607898996</v>
      </c>
      <c r="AA19">
        <f t="shared" si="19"/>
        <v>-104.17876692600342</v>
      </c>
      <c r="AB19">
        <f t="shared" si="20"/>
        <v>35.457981489690972</v>
      </c>
      <c r="AC19">
        <f t="shared" si="21"/>
        <v>2.4716582534803662</v>
      </c>
      <c r="AD19">
        <f t="shared" si="22"/>
        <v>79.662057888022758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54134.253421613219</v>
      </c>
      <c r="AJ19" t="s">
        <v>416</v>
      </c>
      <c r="AK19">
        <v>8118.75</v>
      </c>
      <c r="AL19">
        <v>202.77699999999999</v>
      </c>
      <c r="AM19">
        <v>843.89972736790196</v>
      </c>
      <c r="AN19">
        <f t="shared" si="26"/>
        <v>0.75971434351275902</v>
      </c>
      <c r="AO19">
        <v>-1.44499194741429</v>
      </c>
      <c r="AP19" t="s">
        <v>430</v>
      </c>
      <c r="AQ19">
        <v>8159.66</v>
      </c>
      <c r="AR19">
        <v>318.04169230769202</v>
      </c>
      <c r="AS19">
        <v>505.51330502296599</v>
      </c>
      <c r="AT19">
        <f t="shared" si="27"/>
        <v>0.37085396339223342</v>
      </c>
      <c r="AU19">
        <v>0.5</v>
      </c>
      <c r="AV19">
        <f t="shared" si="28"/>
        <v>757.13452217142731</v>
      </c>
      <c r="AW19">
        <f t="shared" si="29"/>
        <v>17.626162857524225</v>
      </c>
      <c r="AX19">
        <f t="shared" si="30"/>
        <v>140.39316918417933</v>
      </c>
      <c r="AY19">
        <f t="shared" si="31"/>
        <v>2.5188594954359381E-2</v>
      </c>
      <c r="AZ19">
        <f t="shared" si="32"/>
        <v>0.66939172319027829</v>
      </c>
      <c r="BA19">
        <f t="shared" si="33"/>
        <v>174.68047834460813</v>
      </c>
      <c r="BB19" t="s">
        <v>418</v>
      </c>
      <c r="BC19">
        <v>0</v>
      </c>
      <c r="BD19">
        <f t="shared" si="34"/>
        <v>174.68047834460813</v>
      </c>
      <c r="BE19">
        <f t="shared" si="35"/>
        <v>0.65444929617298153</v>
      </c>
      <c r="BF19">
        <f t="shared" si="36"/>
        <v>0.56666569214891593</v>
      </c>
      <c r="BG19">
        <f t="shared" si="37"/>
        <v>0.50564358816456811</v>
      </c>
      <c r="BH19">
        <f t="shared" si="38"/>
        <v>0.61925712114723774</v>
      </c>
      <c r="BI19">
        <f t="shared" si="39"/>
        <v>0.52780288063435987</v>
      </c>
      <c r="BJ19">
        <f t="shared" si="40"/>
        <v>0.31123414495696633</v>
      </c>
      <c r="BK19">
        <f t="shared" si="41"/>
        <v>0.68876585504303367</v>
      </c>
      <c r="BL19">
        <v>1132</v>
      </c>
      <c r="BM19">
        <v>290</v>
      </c>
      <c r="BN19">
        <v>462.16</v>
      </c>
      <c r="BO19">
        <v>145</v>
      </c>
      <c r="BP19">
        <v>8159.66</v>
      </c>
      <c r="BQ19">
        <v>460.69</v>
      </c>
      <c r="BR19">
        <v>1.47</v>
      </c>
      <c r="BS19">
        <v>300</v>
      </c>
      <c r="BT19">
        <v>19.3</v>
      </c>
      <c r="BU19">
        <v>505.51330502296599</v>
      </c>
      <c r="BV19">
        <v>1.69384491314279</v>
      </c>
      <c r="BW19">
        <v>-36.575522897461198</v>
      </c>
      <c r="BX19">
        <v>1.25110423068254</v>
      </c>
      <c r="BY19">
        <v>0.96827775719600995</v>
      </c>
      <c r="BZ19">
        <v>-4.8078171301445998E-3</v>
      </c>
      <c r="CA19">
        <v>290</v>
      </c>
      <c r="CB19">
        <v>455.28</v>
      </c>
      <c r="CC19">
        <v>625</v>
      </c>
      <c r="CD19">
        <v>8140.42</v>
      </c>
      <c r="CE19">
        <v>460.58</v>
      </c>
      <c r="CF19">
        <v>-5.3</v>
      </c>
      <c r="CT19">
        <f t="shared" si="42"/>
        <v>899.94420000000002</v>
      </c>
      <c r="CU19">
        <f t="shared" si="43"/>
        <v>757.13452217142731</v>
      </c>
      <c r="CV19">
        <f t="shared" si="44"/>
        <v>0.84131274158045277</v>
      </c>
      <c r="CW19">
        <f t="shared" si="45"/>
        <v>0.16213359125027399</v>
      </c>
      <c r="CX19">
        <v>2</v>
      </c>
      <c r="CY19">
        <v>0.5</v>
      </c>
      <c r="CZ19" t="s">
        <v>419</v>
      </c>
      <c r="DA19">
        <v>2</v>
      </c>
      <c r="DB19">
        <v>1792210887</v>
      </c>
      <c r="DC19">
        <v>399.99020000000002</v>
      </c>
      <c r="DD19">
        <v>407.416</v>
      </c>
      <c r="DE19">
        <v>17.40184</v>
      </c>
      <c r="DF19">
        <v>16.473680000000002</v>
      </c>
      <c r="DG19">
        <v>399.11799999999999</v>
      </c>
      <c r="DH19">
        <v>17.509399999999999</v>
      </c>
      <c r="DI19">
        <v>500.17700000000002</v>
      </c>
      <c r="DJ19">
        <v>101.7766</v>
      </c>
      <c r="DK19">
        <v>9.9867520000000001E-2</v>
      </c>
      <c r="DL19">
        <v>25.310960000000001</v>
      </c>
      <c r="DM19">
        <v>25.094660000000001</v>
      </c>
      <c r="DN19">
        <v>999.9</v>
      </c>
      <c r="DO19">
        <v>0</v>
      </c>
      <c r="DP19">
        <v>0</v>
      </c>
      <c r="DQ19">
        <v>10002.495999999999</v>
      </c>
      <c r="DR19">
        <v>0</v>
      </c>
      <c r="DS19">
        <v>7.5293000000000001</v>
      </c>
      <c r="DT19">
        <v>-7.4262459999999999</v>
      </c>
      <c r="DU19">
        <v>407.0736</v>
      </c>
      <c r="DV19">
        <v>414.24020000000002</v>
      </c>
      <c r="DW19">
        <v>0.92816940000000003</v>
      </c>
      <c r="DX19">
        <v>407.416</v>
      </c>
      <c r="DY19">
        <v>16.473680000000002</v>
      </c>
      <c r="DZ19">
        <v>1.7710999999999999</v>
      </c>
      <c r="EA19">
        <v>1.676634</v>
      </c>
      <c r="EB19">
        <v>15.53402</v>
      </c>
      <c r="EC19">
        <v>14.68178</v>
      </c>
      <c r="ED19">
        <v>899.94420000000002</v>
      </c>
      <c r="EE19">
        <v>0.95600059999999998</v>
      </c>
      <c r="EF19">
        <v>4.3999360000000001E-2</v>
      </c>
      <c r="EG19">
        <v>0</v>
      </c>
      <c r="EH19">
        <v>317.95400000000001</v>
      </c>
      <c r="EI19">
        <v>5.0006399999999998</v>
      </c>
      <c r="EJ19">
        <v>2919.5839999999998</v>
      </c>
      <c r="EK19">
        <v>9203.4380000000001</v>
      </c>
      <c r="EL19">
        <v>38.936999999999998</v>
      </c>
      <c r="EM19">
        <v>40.375</v>
      </c>
      <c r="EN19">
        <v>39.811999999999998</v>
      </c>
      <c r="EO19">
        <v>40.061999999999998</v>
      </c>
      <c r="EP19">
        <v>40.875</v>
      </c>
      <c r="EQ19">
        <v>855.56799999999998</v>
      </c>
      <c r="ER19">
        <v>39.380000000000003</v>
      </c>
      <c r="ES19">
        <v>0</v>
      </c>
      <c r="ET19">
        <v>135.700000047684</v>
      </c>
      <c r="EU19">
        <v>0</v>
      </c>
      <c r="EV19">
        <v>318.04169230769202</v>
      </c>
      <c r="EW19">
        <v>0.28417092909078401</v>
      </c>
      <c r="EX19">
        <v>7.4041025514977301</v>
      </c>
      <c r="EY19">
        <v>2919.1657692307699</v>
      </c>
      <c r="EZ19">
        <v>15</v>
      </c>
      <c r="FA19">
        <v>1792210273.0999999</v>
      </c>
      <c r="FB19" t="s">
        <v>420</v>
      </c>
      <c r="FC19">
        <v>1792210271.0999999</v>
      </c>
      <c r="FD19">
        <v>1792210273.0999999</v>
      </c>
      <c r="FE19">
        <v>34</v>
      </c>
      <c r="FF19">
        <v>-0.622</v>
      </c>
      <c r="FG19">
        <v>-8.0000000000000002E-3</v>
      </c>
      <c r="FH19">
        <v>0.875</v>
      </c>
      <c r="FI19">
        <v>-0.161</v>
      </c>
      <c r="FJ19">
        <v>407</v>
      </c>
      <c r="FK19">
        <v>16</v>
      </c>
      <c r="FL19">
        <v>0.31</v>
      </c>
      <c r="FM19">
        <v>0.06</v>
      </c>
      <c r="FN19">
        <v>17.536668603525701</v>
      </c>
      <c r="FO19">
        <v>0.181569104397136</v>
      </c>
      <c r="FP19">
        <v>9.4602843055815594E-2</v>
      </c>
      <c r="FQ19">
        <v>1</v>
      </c>
      <c r="FR19">
        <v>-7.4224785000000004</v>
      </c>
      <c r="FS19">
        <v>0.21709849624061001</v>
      </c>
      <c r="FT19">
        <v>4.7416654065317601E-2</v>
      </c>
      <c r="FU19">
        <v>1</v>
      </c>
      <c r="FV19">
        <v>317.97211764705901</v>
      </c>
      <c r="FW19">
        <v>0.839663860637613</v>
      </c>
      <c r="FX19">
        <v>0.17760212715768001</v>
      </c>
      <c r="FY19">
        <v>1</v>
      </c>
      <c r="FZ19">
        <v>3</v>
      </c>
      <c r="GA19">
        <v>3</v>
      </c>
      <c r="GB19" t="s">
        <v>421</v>
      </c>
      <c r="GC19">
        <v>3.1234199999999999</v>
      </c>
      <c r="GD19">
        <v>2.7653300000000001</v>
      </c>
      <c r="GE19">
        <v>8.8378999999999999E-2</v>
      </c>
      <c r="GF19">
        <v>9.1988100000000003E-2</v>
      </c>
      <c r="GG19">
        <v>9.3798300000000001E-2</v>
      </c>
      <c r="GH19">
        <v>9.3184600000000006E-2</v>
      </c>
      <c r="GI19">
        <v>17782.7</v>
      </c>
      <c r="GJ19">
        <v>26699</v>
      </c>
      <c r="GK19">
        <v>22791.4</v>
      </c>
      <c r="GL19">
        <v>30127.9</v>
      </c>
      <c r="GM19">
        <v>33873.4</v>
      </c>
      <c r="GN19">
        <v>34030.9</v>
      </c>
      <c r="GO19">
        <v>43120.4</v>
      </c>
      <c r="GP19">
        <v>42905.2</v>
      </c>
      <c r="GQ19">
        <v>1.9777499999999999</v>
      </c>
      <c r="GR19">
        <v>1.8369500000000001</v>
      </c>
      <c r="GS19">
        <v>8.6158499999999999E-2</v>
      </c>
      <c r="GT19">
        <v>0</v>
      </c>
      <c r="GU19">
        <v>23.656199999999998</v>
      </c>
      <c r="GV19">
        <v>999.9</v>
      </c>
      <c r="GW19">
        <v>41.35</v>
      </c>
      <c r="GX19">
        <v>31.984999999999999</v>
      </c>
      <c r="GY19">
        <v>19.384699999999999</v>
      </c>
      <c r="GZ19">
        <v>63.495100000000001</v>
      </c>
      <c r="HA19">
        <v>33.990400000000001</v>
      </c>
      <c r="HB19">
        <v>1</v>
      </c>
      <c r="HC19">
        <v>3.1156E-2</v>
      </c>
      <c r="HD19">
        <v>1.3132600000000001</v>
      </c>
      <c r="HE19">
        <v>20.233000000000001</v>
      </c>
      <c r="HF19">
        <v>5.2292699999999996</v>
      </c>
      <c r="HG19">
        <v>11.962</v>
      </c>
      <c r="HH19">
        <v>4.9694000000000003</v>
      </c>
      <c r="HI19">
        <v>3.2949999999999999</v>
      </c>
      <c r="HJ19">
        <v>9999</v>
      </c>
      <c r="HK19">
        <v>9999</v>
      </c>
      <c r="HL19">
        <v>9999</v>
      </c>
      <c r="HM19">
        <v>999.9</v>
      </c>
      <c r="HN19">
        <v>4.96861</v>
      </c>
      <c r="HO19">
        <v>1.8624799999999999</v>
      </c>
      <c r="HP19">
        <v>1.8640099999999999</v>
      </c>
      <c r="HQ19">
        <v>1.86589</v>
      </c>
      <c r="HR19">
        <v>1.8629500000000001</v>
      </c>
      <c r="HS19">
        <v>1.8666100000000001</v>
      </c>
      <c r="HT19">
        <v>1.8633999999999999</v>
      </c>
      <c r="HU19">
        <v>1.8653599999999999</v>
      </c>
      <c r="HV19">
        <v>0</v>
      </c>
      <c r="HW19">
        <v>0</v>
      </c>
      <c r="HX19">
        <v>0</v>
      </c>
      <c r="HY19">
        <v>0</v>
      </c>
      <c r="HZ19" t="s">
        <v>422</v>
      </c>
      <c r="IA19" t="s">
        <v>423</v>
      </c>
      <c r="IB19" t="s">
        <v>424</v>
      </c>
      <c r="IC19" t="s">
        <v>424</v>
      </c>
      <c r="ID19" t="s">
        <v>424</v>
      </c>
      <c r="IE19" t="s">
        <v>424</v>
      </c>
      <c r="IF19">
        <v>0</v>
      </c>
      <c r="IG19">
        <v>100</v>
      </c>
      <c r="IH19">
        <v>100</v>
      </c>
      <c r="II19">
        <v>0.872</v>
      </c>
      <c r="IJ19">
        <v>-0.10639999999999999</v>
      </c>
      <c r="IK19">
        <v>0.74560285853930497</v>
      </c>
      <c r="IL19">
        <v>2.16929631606078E-4</v>
      </c>
      <c r="IM19">
        <v>2.7226302473163502E-7</v>
      </c>
      <c r="IN19">
        <v>-5.4379205123515401E-11</v>
      </c>
      <c r="IO19">
        <v>-1.820522090803E-2</v>
      </c>
      <c r="IP19">
        <v>-5.8443384954566899E-2</v>
      </c>
      <c r="IQ19">
        <v>3.41568706061026E-3</v>
      </c>
      <c r="IR19">
        <v>-2.10952612506686E-5</v>
      </c>
      <c r="IS19">
        <v>0</v>
      </c>
      <c r="IT19">
        <v>1734</v>
      </c>
      <c r="IU19">
        <v>2</v>
      </c>
      <c r="IV19">
        <v>19</v>
      </c>
      <c r="IW19">
        <v>10.3</v>
      </c>
      <c r="IX19">
        <v>10.3</v>
      </c>
      <c r="IY19">
        <v>1.07178</v>
      </c>
      <c r="IZ19">
        <v>2.5524900000000001</v>
      </c>
      <c r="JA19">
        <v>1.3464400000000001</v>
      </c>
      <c r="JB19">
        <v>2.2534200000000002</v>
      </c>
      <c r="JC19">
        <v>1.5502899999999999</v>
      </c>
      <c r="JD19">
        <v>2.6977500000000001</v>
      </c>
      <c r="JE19">
        <v>35.847700000000003</v>
      </c>
      <c r="JF19">
        <v>16.023299999999999</v>
      </c>
      <c r="JG19">
        <v>18</v>
      </c>
      <c r="JH19">
        <v>499.58</v>
      </c>
      <c r="JI19">
        <v>487.803</v>
      </c>
      <c r="JJ19">
        <v>23.0078</v>
      </c>
      <c r="JK19">
        <v>27.540900000000001</v>
      </c>
      <c r="JL19">
        <v>29.999300000000002</v>
      </c>
      <c r="JM19">
        <v>27.552</v>
      </c>
      <c r="JN19">
        <v>27.569500000000001</v>
      </c>
      <c r="JO19">
        <v>21.4693</v>
      </c>
      <c r="JP19">
        <v>23.365200000000002</v>
      </c>
      <c r="JQ19">
        <v>46.797199999999997</v>
      </c>
      <c r="JR19">
        <v>22.987300000000001</v>
      </c>
      <c r="JS19">
        <v>407.45699999999999</v>
      </c>
      <c r="JT19">
        <v>16.514800000000001</v>
      </c>
      <c r="JU19">
        <v>101.82</v>
      </c>
      <c r="JV19">
        <v>97.432299999999998</v>
      </c>
    </row>
    <row r="20" spans="1:282" x14ac:dyDescent="0.3">
      <c r="A20">
        <v>4</v>
      </c>
      <c r="B20">
        <v>1792211029</v>
      </c>
      <c r="C20">
        <v>406</v>
      </c>
      <c r="D20" t="s">
        <v>431</v>
      </c>
      <c r="E20" t="s">
        <v>432</v>
      </c>
      <c r="F20">
        <v>5</v>
      </c>
      <c r="G20">
        <v>1792211025.5</v>
      </c>
      <c r="H20">
        <f t="shared" si="0"/>
        <v>2.2076067949901991E-3</v>
      </c>
      <c r="I20">
        <f t="shared" si="1"/>
        <v>2.2076067949901992</v>
      </c>
      <c r="J20">
        <f t="shared" si="2"/>
        <v>16.204150853543499</v>
      </c>
      <c r="K20">
        <f t="shared" si="3"/>
        <v>400.00900000000001</v>
      </c>
      <c r="L20">
        <f t="shared" si="4"/>
        <v>228.85283904856598</v>
      </c>
      <c r="M20">
        <f t="shared" si="5"/>
        <v>23.312860793927364</v>
      </c>
      <c r="N20">
        <f t="shared" si="6"/>
        <v>40.748256268470904</v>
      </c>
      <c r="O20">
        <f t="shared" si="7"/>
        <v>0.16196276559978301</v>
      </c>
      <c r="P20">
        <f t="shared" si="8"/>
        <v>3.0409001785043248</v>
      </c>
      <c r="Q20">
        <f t="shared" si="9"/>
        <v>0.15731852262541976</v>
      </c>
      <c r="R20">
        <f t="shared" si="10"/>
        <v>9.8730250749403364E-2</v>
      </c>
      <c r="S20">
        <f t="shared" si="11"/>
        <v>98.059487433042037</v>
      </c>
      <c r="T20">
        <f t="shared" si="12"/>
        <v>25.508530445797174</v>
      </c>
      <c r="U20">
        <f t="shared" si="13"/>
        <v>25.044883333333299</v>
      </c>
      <c r="V20">
        <f t="shared" si="14"/>
        <v>3.1881960551818156</v>
      </c>
      <c r="W20">
        <f t="shared" si="15"/>
        <v>54.741769325103519</v>
      </c>
      <c r="X20">
        <f t="shared" si="16"/>
        <v>1.7936605310078919</v>
      </c>
      <c r="Y20">
        <f t="shared" si="17"/>
        <v>3.2765848695090565</v>
      </c>
      <c r="Z20">
        <f t="shared" si="18"/>
        <v>1.3945355241739237</v>
      </c>
      <c r="AA20">
        <f t="shared" si="19"/>
        <v>-97.355459659067776</v>
      </c>
      <c r="AB20">
        <f t="shared" si="20"/>
        <v>75.352753091010584</v>
      </c>
      <c r="AC20">
        <f t="shared" si="21"/>
        <v>5.2560281022179289</v>
      </c>
      <c r="AD20">
        <f t="shared" si="22"/>
        <v>81.31280896720277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54105.583650954126</v>
      </c>
      <c r="AJ20" t="s">
        <v>416</v>
      </c>
      <c r="AK20">
        <v>8118.75</v>
      </c>
      <c r="AL20">
        <v>202.77699999999999</v>
      </c>
      <c r="AM20">
        <v>843.89972736790196</v>
      </c>
      <c r="AN20">
        <f t="shared" si="26"/>
        <v>0.75971434351275902</v>
      </c>
      <c r="AO20">
        <v>-1.44499194741429</v>
      </c>
      <c r="AP20" t="s">
        <v>433</v>
      </c>
      <c r="AQ20">
        <v>8169.2</v>
      </c>
      <c r="AR20">
        <v>345.62864000000002</v>
      </c>
      <c r="AS20">
        <v>711.22863194264005</v>
      </c>
      <c r="AT20">
        <f t="shared" si="27"/>
        <v>0.51404003652671471</v>
      </c>
      <c r="AU20">
        <v>0.5</v>
      </c>
      <c r="AV20">
        <f t="shared" si="28"/>
        <v>505.14878271142101</v>
      </c>
      <c r="AW20">
        <f t="shared" si="29"/>
        <v>16.204150853543499</v>
      </c>
      <c r="AX20">
        <f t="shared" si="30"/>
        <v>129.83334935820216</v>
      </c>
      <c r="AY20">
        <f t="shared" si="31"/>
        <v>3.4938504070473643E-2</v>
      </c>
      <c r="AZ20">
        <f t="shared" si="32"/>
        <v>0.18653790000394938</v>
      </c>
      <c r="BA20">
        <f t="shared" si="33"/>
        <v>194.0779634314454</v>
      </c>
      <c r="BB20" t="s">
        <v>418</v>
      </c>
      <c r="BC20">
        <v>0</v>
      </c>
      <c r="BD20">
        <f t="shared" si="34"/>
        <v>194.0779634314454</v>
      </c>
      <c r="BE20">
        <f t="shared" si="35"/>
        <v>0.72712296058534154</v>
      </c>
      <c r="BF20">
        <f t="shared" si="36"/>
        <v>0.70695063199889485</v>
      </c>
      <c r="BG20">
        <f t="shared" si="37"/>
        <v>0.20416536162404569</v>
      </c>
      <c r="BH20">
        <f t="shared" si="38"/>
        <v>0.71904576359759709</v>
      </c>
      <c r="BI20">
        <f t="shared" si="39"/>
        <v>0.2069355675003702</v>
      </c>
      <c r="BJ20">
        <f t="shared" si="40"/>
        <v>0.39696808373553394</v>
      </c>
      <c r="BK20">
        <f t="shared" si="41"/>
        <v>0.60303191626446606</v>
      </c>
      <c r="BL20">
        <v>1133</v>
      </c>
      <c r="BM20">
        <v>290</v>
      </c>
      <c r="BN20">
        <v>612.95000000000005</v>
      </c>
      <c r="BO20">
        <v>105</v>
      </c>
      <c r="BP20">
        <v>8169.2</v>
      </c>
      <c r="BQ20">
        <v>607.12</v>
      </c>
      <c r="BR20">
        <v>5.83</v>
      </c>
      <c r="BS20">
        <v>300</v>
      </c>
      <c r="BT20">
        <v>19.3</v>
      </c>
      <c r="BU20">
        <v>711.22863194264005</v>
      </c>
      <c r="BV20">
        <v>1.76706174494677</v>
      </c>
      <c r="BW20">
        <v>-85.046748901506703</v>
      </c>
      <c r="BX20">
        <v>1.30008590331815</v>
      </c>
      <c r="BY20">
        <v>0.993499387169402</v>
      </c>
      <c r="BZ20">
        <v>-5.0126218020022303E-3</v>
      </c>
      <c r="CA20">
        <v>290</v>
      </c>
      <c r="CB20">
        <v>589.08000000000004</v>
      </c>
      <c r="CC20">
        <v>615</v>
      </c>
      <c r="CD20">
        <v>8145.98</v>
      </c>
      <c r="CE20">
        <v>606.83000000000004</v>
      </c>
      <c r="CF20">
        <v>-17.75</v>
      </c>
      <c r="CT20">
        <f t="shared" si="42"/>
        <v>599.94366666666701</v>
      </c>
      <c r="CU20">
        <f t="shared" si="43"/>
        <v>505.14878271142101</v>
      </c>
      <c r="CV20">
        <f t="shared" si="44"/>
        <v>0.84199369170453342</v>
      </c>
      <c r="CW20">
        <f t="shared" si="45"/>
        <v>0.16344782498974955</v>
      </c>
      <c r="CX20">
        <v>2</v>
      </c>
      <c r="CY20">
        <v>0.5</v>
      </c>
      <c r="CZ20" t="s">
        <v>419</v>
      </c>
      <c r="DA20">
        <v>2</v>
      </c>
      <c r="DB20">
        <v>1792211025.5</v>
      </c>
      <c r="DC20">
        <v>400.00900000000001</v>
      </c>
      <c r="DD20">
        <v>406.84366666666699</v>
      </c>
      <c r="DE20">
        <v>17.6076333333333</v>
      </c>
      <c r="DF20">
        <v>16.740166666666699</v>
      </c>
      <c r="DG20">
        <v>399.137</v>
      </c>
      <c r="DH20">
        <v>17.706866666666699</v>
      </c>
      <c r="DI20">
        <v>500.01600000000002</v>
      </c>
      <c r="DJ20">
        <v>101.768333333333</v>
      </c>
      <c r="DK20">
        <v>0.1000153</v>
      </c>
      <c r="DL20">
        <v>25.504516666666699</v>
      </c>
      <c r="DM20">
        <v>25.044883333333299</v>
      </c>
      <c r="DN20">
        <v>999.9</v>
      </c>
      <c r="DO20">
        <v>0</v>
      </c>
      <c r="DP20">
        <v>0</v>
      </c>
      <c r="DQ20">
        <v>10004.583333333299</v>
      </c>
      <c r="DR20">
        <v>0</v>
      </c>
      <c r="DS20">
        <v>7.5215699999999996</v>
      </c>
      <c r="DT20">
        <v>-6.8344516666666699</v>
      </c>
      <c r="DU20">
        <v>407.17849999999999</v>
      </c>
      <c r="DV20">
        <v>413.77016666666702</v>
      </c>
      <c r="DW20">
        <v>0.86745700000000003</v>
      </c>
      <c r="DX20">
        <v>406.84366666666699</v>
      </c>
      <c r="DY20">
        <v>16.740166666666699</v>
      </c>
      <c r="DZ20">
        <v>1.7919016666666701</v>
      </c>
      <c r="EA20">
        <v>1.7036166666666701</v>
      </c>
      <c r="EB20">
        <v>15.7162666666667</v>
      </c>
      <c r="EC20">
        <v>14.9294166666667</v>
      </c>
      <c r="ED20">
        <v>599.94366666666701</v>
      </c>
      <c r="EE20">
        <v>0.93298199999999998</v>
      </c>
      <c r="EF20">
        <v>6.7018166666666698E-2</v>
      </c>
      <c r="EG20">
        <v>0</v>
      </c>
      <c r="EH20">
        <v>345.61866666666702</v>
      </c>
      <c r="EI20">
        <v>5.0006399999999998</v>
      </c>
      <c r="EJ20">
        <v>2090.5133333333301</v>
      </c>
      <c r="EK20">
        <v>6083.30666666667</v>
      </c>
      <c r="EL20">
        <v>38.093499999999999</v>
      </c>
      <c r="EM20">
        <v>40.020666666666699</v>
      </c>
      <c r="EN20">
        <v>39.2603333333333</v>
      </c>
      <c r="EO20">
        <v>39.75</v>
      </c>
      <c r="EP20">
        <v>40.25</v>
      </c>
      <c r="EQ20">
        <v>555.07166666666706</v>
      </c>
      <c r="ER20">
        <v>39.869999999999997</v>
      </c>
      <c r="ES20">
        <v>0</v>
      </c>
      <c r="ET20">
        <v>137.90000009536701</v>
      </c>
      <c r="EU20">
        <v>0</v>
      </c>
      <c r="EV20">
        <v>345.62864000000002</v>
      </c>
      <c r="EW20">
        <v>0.60515385184593196</v>
      </c>
      <c r="EX20">
        <v>0.79615380427831295</v>
      </c>
      <c r="EY20">
        <v>2090.7712000000001</v>
      </c>
      <c r="EZ20">
        <v>15</v>
      </c>
      <c r="FA20">
        <v>1792210273.0999999</v>
      </c>
      <c r="FB20" t="s">
        <v>420</v>
      </c>
      <c r="FC20">
        <v>1792210271.0999999</v>
      </c>
      <c r="FD20">
        <v>1792210273.0999999</v>
      </c>
      <c r="FE20">
        <v>34</v>
      </c>
      <c r="FF20">
        <v>-0.622</v>
      </c>
      <c r="FG20">
        <v>-8.0000000000000002E-3</v>
      </c>
      <c r="FH20">
        <v>0.875</v>
      </c>
      <c r="FI20">
        <v>-0.161</v>
      </c>
      <c r="FJ20">
        <v>407</v>
      </c>
      <c r="FK20">
        <v>16</v>
      </c>
      <c r="FL20">
        <v>0.31</v>
      </c>
      <c r="FM20">
        <v>0.06</v>
      </c>
      <c r="FN20">
        <v>16.1644462694724</v>
      </c>
      <c r="FO20">
        <v>-0.415872619950929</v>
      </c>
      <c r="FP20">
        <v>8.6190544394755902E-2</v>
      </c>
      <c r="FQ20">
        <v>1</v>
      </c>
      <c r="FR20">
        <v>-6.8331</v>
      </c>
      <c r="FS20">
        <v>0.284979740259726</v>
      </c>
      <c r="FT20">
        <v>4.9150930524544202E-2</v>
      </c>
      <c r="FU20">
        <v>1</v>
      </c>
      <c r="FV20">
        <v>345.604088235294</v>
      </c>
      <c r="FW20">
        <v>0.72352941496727496</v>
      </c>
      <c r="FX20">
        <v>0.17288935047783899</v>
      </c>
      <c r="FY20">
        <v>1</v>
      </c>
      <c r="FZ20">
        <v>3</v>
      </c>
      <c r="GA20">
        <v>3</v>
      </c>
      <c r="GB20" t="s">
        <v>421</v>
      </c>
      <c r="GC20">
        <v>3.1238199999999998</v>
      </c>
      <c r="GD20">
        <v>2.7655500000000002</v>
      </c>
      <c r="GE20">
        <v>8.8358099999999995E-2</v>
      </c>
      <c r="GF20">
        <v>9.1889200000000004E-2</v>
      </c>
      <c r="GG20">
        <v>9.4541299999999995E-2</v>
      </c>
      <c r="GH20">
        <v>9.4333200000000006E-2</v>
      </c>
      <c r="GI20">
        <v>17781.599999999999</v>
      </c>
      <c r="GJ20">
        <v>26700.3</v>
      </c>
      <c r="GK20">
        <v>22789.5</v>
      </c>
      <c r="GL20">
        <v>30126.2</v>
      </c>
      <c r="GM20">
        <v>33842.699999999997</v>
      </c>
      <c r="GN20">
        <v>33985.800000000003</v>
      </c>
      <c r="GO20">
        <v>43117.7</v>
      </c>
      <c r="GP20">
        <v>42902.9</v>
      </c>
      <c r="GQ20">
        <v>1.9775499999999999</v>
      </c>
      <c r="GR20">
        <v>1.8372999999999999</v>
      </c>
      <c r="GS20">
        <v>7.3596800000000004E-2</v>
      </c>
      <c r="GT20">
        <v>0</v>
      </c>
      <c r="GU20">
        <v>23.853400000000001</v>
      </c>
      <c r="GV20">
        <v>999.9</v>
      </c>
      <c r="GW20">
        <v>41.545999999999999</v>
      </c>
      <c r="GX20">
        <v>31.945</v>
      </c>
      <c r="GY20">
        <v>19.433599999999998</v>
      </c>
      <c r="GZ20">
        <v>63.275100000000002</v>
      </c>
      <c r="HA20">
        <v>34.178699999999999</v>
      </c>
      <c r="HB20">
        <v>1</v>
      </c>
      <c r="HC20">
        <v>3.24517E-2</v>
      </c>
      <c r="HD20">
        <v>0.86232299999999995</v>
      </c>
      <c r="HE20">
        <v>20.239899999999999</v>
      </c>
      <c r="HF20">
        <v>5.2294200000000002</v>
      </c>
      <c r="HG20">
        <v>11.962</v>
      </c>
      <c r="HH20">
        <v>4.9690500000000002</v>
      </c>
      <c r="HI20">
        <v>3.2949999999999999</v>
      </c>
      <c r="HJ20">
        <v>9999</v>
      </c>
      <c r="HK20">
        <v>9999</v>
      </c>
      <c r="HL20">
        <v>9999</v>
      </c>
      <c r="HM20">
        <v>999.9</v>
      </c>
      <c r="HN20">
        <v>4.96861</v>
      </c>
      <c r="HO20">
        <v>1.86246</v>
      </c>
      <c r="HP20">
        <v>1.8640099999999999</v>
      </c>
      <c r="HQ20">
        <v>1.8658699999999999</v>
      </c>
      <c r="HR20">
        <v>1.8629500000000001</v>
      </c>
      <c r="HS20">
        <v>1.8666100000000001</v>
      </c>
      <c r="HT20">
        <v>1.8633999999999999</v>
      </c>
      <c r="HU20">
        <v>1.86528</v>
      </c>
      <c r="HV20">
        <v>0</v>
      </c>
      <c r="HW20">
        <v>0</v>
      </c>
      <c r="HX20">
        <v>0</v>
      </c>
      <c r="HY20">
        <v>0</v>
      </c>
      <c r="HZ20" t="s">
        <v>422</v>
      </c>
      <c r="IA20" t="s">
        <v>423</v>
      </c>
      <c r="IB20" t="s">
        <v>424</v>
      </c>
      <c r="IC20" t="s">
        <v>424</v>
      </c>
      <c r="ID20" t="s">
        <v>424</v>
      </c>
      <c r="IE20" t="s">
        <v>424</v>
      </c>
      <c r="IF20">
        <v>0</v>
      </c>
      <c r="IG20">
        <v>100</v>
      </c>
      <c r="IH20">
        <v>100</v>
      </c>
      <c r="II20">
        <v>0.872</v>
      </c>
      <c r="IJ20">
        <v>-9.8199999999999996E-2</v>
      </c>
      <c r="IK20">
        <v>0.74560285853930497</v>
      </c>
      <c r="IL20">
        <v>2.16929631606078E-4</v>
      </c>
      <c r="IM20">
        <v>2.7226302473163502E-7</v>
      </c>
      <c r="IN20">
        <v>-5.4379205123515401E-11</v>
      </c>
      <c r="IO20">
        <v>-1.820522090803E-2</v>
      </c>
      <c r="IP20">
        <v>-5.8443384954566899E-2</v>
      </c>
      <c r="IQ20">
        <v>3.41568706061026E-3</v>
      </c>
      <c r="IR20">
        <v>-2.10952612506686E-5</v>
      </c>
      <c r="IS20">
        <v>0</v>
      </c>
      <c r="IT20">
        <v>1734</v>
      </c>
      <c r="IU20">
        <v>2</v>
      </c>
      <c r="IV20">
        <v>19</v>
      </c>
      <c r="IW20">
        <v>12.6</v>
      </c>
      <c r="IX20">
        <v>12.6</v>
      </c>
      <c r="IY20">
        <v>1.07178</v>
      </c>
      <c r="IZ20">
        <v>2.5537100000000001</v>
      </c>
      <c r="JA20">
        <v>1.3464400000000001</v>
      </c>
      <c r="JB20">
        <v>2.2546400000000002</v>
      </c>
      <c r="JC20">
        <v>1.5502899999999999</v>
      </c>
      <c r="JD20">
        <v>2.7404799999999998</v>
      </c>
      <c r="JE20">
        <v>35.777700000000003</v>
      </c>
      <c r="JF20">
        <v>16.023299999999999</v>
      </c>
      <c r="JG20">
        <v>18</v>
      </c>
      <c r="JH20">
        <v>499.61900000000003</v>
      </c>
      <c r="JI20">
        <v>488.2</v>
      </c>
      <c r="JJ20">
        <v>23.525700000000001</v>
      </c>
      <c r="JK20">
        <v>27.562899999999999</v>
      </c>
      <c r="JL20">
        <v>29.999300000000002</v>
      </c>
      <c r="JM20">
        <v>27.570699999999999</v>
      </c>
      <c r="JN20">
        <v>27.585799999999999</v>
      </c>
      <c r="JO20">
        <v>21.456800000000001</v>
      </c>
      <c r="JP20">
        <v>22.4161</v>
      </c>
      <c r="JQ20">
        <v>48.367400000000004</v>
      </c>
      <c r="JR20">
        <v>23.567799999999998</v>
      </c>
      <c r="JS20">
        <v>406.91199999999998</v>
      </c>
      <c r="JT20">
        <v>16.7898</v>
      </c>
      <c r="JU20">
        <v>101.813</v>
      </c>
      <c r="JV20">
        <v>97.426900000000003</v>
      </c>
    </row>
    <row r="21" spans="1:282" x14ac:dyDescent="0.3">
      <c r="A21">
        <v>5</v>
      </c>
      <c r="B21">
        <v>1792211152</v>
      </c>
      <c r="C21">
        <v>529</v>
      </c>
      <c r="D21" t="s">
        <v>434</v>
      </c>
      <c r="E21" t="s">
        <v>435</v>
      </c>
      <c r="F21">
        <v>5</v>
      </c>
      <c r="G21">
        <v>1792211148.5</v>
      </c>
      <c r="H21">
        <f t="shared" si="0"/>
        <v>2.2444797997428086E-3</v>
      </c>
      <c r="I21">
        <f t="shared" si="1"/>
        <v>2.2444797997428085</v>
      </c>
      <c r="J21">
        <f t="shared" si="2"/>
        <v>14.181869812575892</v>
      </c>
      <c r="K21">
        <f t="shared" si="3"/>
        <v>399.99033333333301</v>
      </c>
      <c r="L21">
        <f t="shared" si="4"/>
        <v>253.01793386304539</v>
      </c>
      <c r="M21">
        <f t="shared" si="5"/>
        <v>25.775078342785683</v>
      </c>
      <c r="N21">
        <f t="shared" si="6"/>
        <v>40.747238824597076</v>
      </c>
      <c r="O21">
        <f t="shared" si="7"/>
        <v>0.16658922386108221</v>
      </c>
      <c r="P21">
        <f t="shared" si="8"/>
        <v>3.0414695376498075</v>
      </c>
      <c r="Q21">
        <f t="shared" si="9"/>
        <v>0.16168108523016916</v>
      </c>
      <c r="R21">
        <f t="shared" si="10"/>
        <v>0.10147960976839571</v>
      </c>
      <c r="S21">
        <f t="shared" si="11"/>
        <v>66.127221573878217</v>
      </c>
      <c r="T21">
        <f t="shared" si="12"/>
        <v>25.321908651328826</v>
      </c>
      <c r="U21">
        <f t="shared" si="13"/>
        <v>25.012250000000002</v>
      </c>
      <c r="V21">
        <f t="shared" si="14"/>
        <v>3.182000557380396</v>
      </c>
      <c r="W21">
        <f t="shared" si="15"/>
        <v>54.99374341079151</v>
      </c>
      <c r="X21">
        <f t="shared" si="16"/>
        <v>1.8024161733192594</v>
      </c>
      <c r="Y21">
        <f t="shared" si="17"/>
        <v>3.2774931501854603</v>
      </c>
      <c r="Z21">
        <f t="shared" si="18"/>
        <v>1.3795843840611366</v>
      </c>
      <c r="AA21">
        <f t="shared" si="19"/>
        <v>-98.981559168657853</v>
      </c>
      <c r="AB21">
        <f t="shared" si="20"/>
        <v>81.483006292693673</v>
      </c>
      <c r="AC21">
        <f t="shared" si="21"/>
        <v>5.6817648158001592</v>
      </c>
      <c r="AD21">
        <f t="shared" si="22"/>
        <v>54.310433513714202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54122.643413619582</v>
      </c>
      <c r="AJ21" t="s">
        <v>416</v>
      </c>
      <c r="AK21">
        <v>8118.75</v>
      </c>
      <c r="AL21">
        <v>202.77699999999999</v>
      </c>
      <c r="AM21">
        <v>843.89972736790196</v>
      </c>
      <c r="AN21">
        <f t="shared" si="26"/>
        <v>0.75971434351275902</v>
      </c>
      <c r="AO21">
        <v>-1.44499194741429</v>
      </c>
      <c r="AP21" t="s">
        <v>436</v>
      </c>
      <c r="AQ21">
        <v>8173.4</v>
      </c>
      <c r="AR21">
        <v>373.33300000000003</v>
      </c>
      <c r="AS21">
        <v>977.35996653017503</v>
      </c>
      <c r="AT21">
        <f t="shared" si="27"/>
        <v>0.61801893592449109</v>
      </c>
      <c r="AU21">
        <v>0.5</v>
      </c>
      <c r="AV21">
        <f t="shared" si="28"/>
        <v>337.18319563413377</v>
      </c>
      <c r="AW21">
        <f t="shared" si="29"/>
        <v>14.181869812575892</v>
      </c>
      <c r="AX21">
        <f t="shared" si="30"/>
        <v>104.19279988871342</v>
      </c>
      <c r="AY21">
        <f t="shared" si="31"/>
        <v>4.6345316025020317E-2</v>
      </c>
      <c r="AZ21">
        <f t="shared" si="32"/>
        <v>-0.13655177593991683</v>
      </c>
      <c r="BA21">
        <f t="shared" si="33"/>
        <v>209.65611768492204</v>
      </c>
      <c r="BB21" t="s">
        <v>418</v>
      </c>
      <c r="BC21">
        <v>0</v>
      </c>
      <c r="BD21">
        <f t="shared" si="34"/>
        <v>209.65611768492204</v>
      </c>
      <c r="BE21">
        <f t="shared" si="35"/>
        <v>0.78548730778359632</v>
      </c>
      <c r="BF21">
        <f t="shared" si="36"/>
        <v>0.78679684547462714</v>
      </c>
      <c r="BG21">
        <f t="shared" si="37"/>
        <v>-0.21042425516747704</v>
      </c>
      <c r="BH21">
        <f t="shared" si="38"/>
        <v>0.77980925559979275</v>
      </c>
      <c r="BI21">
        <f t="shared" si="39"/>
        <v>-0.208166445307886</v>
      </c>
      <c r="BJ21">
        <f t="shared" si="40"/>
        <v>0.44184889101406477</v>
      </c>
      <c r="BK21">
        <f t="shared" si="41"/>
        <v>0.55815110898593523</v>
      </c>
      <c r="BL21">
        <v>1134</v>
      </c>
      <c r="BM21">
        <v>290</v>
      </c>
      <c r="BN21">
        <v>831.7</v>
      </c>
      <c r="BO21">
        <v>105</v>
      </c>
      <c r="BP21">
        <v>8173.4</v>
      </c>
      <c r="BQ21">
        <v>822.92</v>
      </c>
      <c r="BR21">
        <v>8.7799999999999994</v>
      </c>
      <c r="BS21">
        <v>300</v>
      </c>
      <c r="BT21">
        <v>19.3</v>
      </c>
      <c r="BU21">
        <v>977.35996653017503</v>
      </c>
      <c r="BV21">
        <v>2.1066406715538699</v>
      </c>
      <c r="BW21">
        <v>-126.23393019092001</v>
      </c>
      <c r="BX21">
        <v>1.5460095397346401</v>
      </c>
      <c r="BY21">
        <v>0.99581774965657799</v>
      </c>
      <c r="BZ21">
        <v>-5.1494587319243596E-3</v>
      </c>
      <c r="CA21">
        <v>290</v>
      </c>
      <c r="CB21">
        <v>793.29</v>
      </c>
      <c r="CC21">
        <v>625</v>
      </c>
      <c r="CD21">
        <v>8149.79</v>
      </c>
      <c r="CE21">
        <v>822.47</v>
      </c>
      <c r="CF21">
        <v>-29.18</v>
      </c>
      <c r="CT21">
        <f t="shared" si="42"/>
        <v>399.9975</v>
      </c>
      <c r="CU21">
        <f t="shared" si="43"/>
        <v>337.18319563413377</v>
      </c>
      <c r="CV21">
        <f t="shared" si="44"/>
        <v>0.84296325760569446</v>
      </c>
      <c r="CW21">
        <f t="shared" si="45"/>
        <v>0.16531908717899041</v>
      </c>
      <c r="CX21">
        <v>2</v>
      </c>
      <c r="CY21">
        <v>0.5</v>
      </c>
      <c r="CZ21" t="s">
        <v>419</v>
      </c>
      <c r="DA21">
        <v>2</v>
      </c>
      <c r="DB21">
        <v>1792211148.5</v>
      </c>
      <c r="DC21">
        <v>399.99033333333301</v>
      </c>
      <c r="DD21">
        <v>406.02316666666701</v>
      </c>
      <c r="DE21">
        <v>17.693200000000001</v>
      </c>
      <c r="DF21">
        <v>16.811150000000001</v>
      </c>
      <c r="DG21">
        <v>399.118333333333</v>
      </c>
      <c r="DH21">
        <v>17.788916666666701</v>
      </c>
      <c r="DI21">
        <v>499.91899999999998</v>
      </c>
      <c r="DJ21">
        <v>101.770666666667</v>
      </c>
      <c r="DK21">
        <v>9.9892266666666701E-2</v>
      </c>
      <c r="DL21">
        <v>25.509183333333301</v>
      </c>
      <c r="DM21">
        <v>25.012250000000002</v>
      </c>
      <c r="DN21">
        <v>999.9</v>
      </c>
      <c r="DO21">
        <v>0</v>
      </c>
      <c r="DP21">
        <v>0</v>
      </c>
      <c r="DQ21">
        <v>10007.7966666667</v>
      </c>
      <c r="DR21">
        <v>0</v>
      </c>
      <c r="DS21">
        <v>7.5838599999999996</v>
      </c>
      <c r="DT21">
        <v>-6.0327366666666702</v>
      </c>
      <c r="DU21">
        <v>407.19516666666698</v>
      </c>
      <c r="DV21">
        <v>412.965666666667</v>
      </c>
      <c r="DW21">
        <v>0.88204666666666698</v>
      </c>
      <c r="DX21">
        <v>406.02316666666701</v>
      </c>
      <c r="DY21">
        <v>16.811150000000001</v>
      </c>
      <c r="DZ21">
        <v>1.8006500000000001</v>
      </c>
      <c r="EA21">
        <v>1.71088333333333</v>
      </c>
      <c r="EB21">
        <v>15.7924333333333</v>
      </c>
      <c r="EC21">
        <v>14.99555</v>
      </c>
      <c r="ED21">
        <v>399.9975</v>
      </c>
      <c r="EE21">
        <v>0.89998066666666698</v>
      </c>
      <c r="EF21">
        <v>0.10001930000000001</v>
      </c>
      <c r="EG21">
        <v>0</v>
      </c>
      <c r="EH21">
        <v>373.437833333333</v>
      </c>
      <c r="EI21">
        <v>5.0006399999999998</v>
      </c>
      <c r="EJ21">
        <v>1488.5716666666699</v>
      </c>
      <c r="EK21">
        <v>4005.5549999999998</v>
      </c>
      <c r="EL21">
        <v>37.343499999999999</v>
      </c>
      <c r="EM21">
        <v>39.625</v>
      </c>
      <c r="EN21">
        <v>38.718499999999999</v>
      </c>
      <c r="EO21">
        <v>39.375</v>
      </c>
      <c r="EP21">
        <v>39.686999999999998</v>
      </c>
      <c r="EQ21">
        <v>355.488333333333</v>
      </c>
      <c r="ER21">
        <v>39.51</v>
      </c>
      <c r="ES21">
        <v>0</v>
      </c>
      <c r="ET21">
        <v>121.700000047684</v>
      </c>
      <c r="EU21">
        <v>0</v>
      </c>
      <c r="EV21">
        <v>373.33300000000003</v>
      </c>
      <c r="EW21">
        <v>-5.9487111988894299E-3</v>
      </c>
      <c r="EX21">
        <v>-2.4297435737873401</v>
      </c>
      <c r="EY21">
        <v>1488.8080769230801</v>
      </c>
      <c r="EZ21">
        <v>15</v>
      </c>
      <c r="FA21">
        <v>1792210273.0999999</v>
      </c>
      <c r="FB21" t="s">
        <v>420</v>
      </c>
      <c r="FC21">
        <v>1792210271.0999999</v>
      </c>
      <c r="FD21">
        <v>1792210273.0999999</v>
      </c>
      <c r="FE21">
        <v>34</v>
      </c>
      <c r="FF21">
        <v>-0.622</v>
      </c>
      <c r="FG21">
        <v>-8.0000000000000002E-3</v>
      </c>
      <c r="FH21">
        <v>0.875</v>
      </c>
      <c r="FI21">
        <v>-0.161</v>
      </c>
      <c r="FJ21">
        <v>407</v>
      </c>
      <c r="FK21">
        <v>16</v>
      </c>
      <c r="FL21">
        <v>0.31</v>
      </c>
      <c r="FM21">
        <v>0.06</v>
      </c>
      <c r="FN21">
        <v>14.1560610282976</v>
      </c>
      <c r="FO21">
        <v>-0.15855562765845099</v>
      </c>
      <c r="FP21">
        <v>0.11269837339333399</v>
      </c>
      <c r="FQ21">
        <v>1</v>
      </c>
      <c r="FR21">
        <v>-6.0252438095238103</v>
      </c>
      <c r="FS21">
        <v>8.8207012987003397E-2</v>
      </c>
      <c r="FT21">
        <v>4.5739747586722099E-2</v>
      </c>
      <c r="FU21">
        <v>1</v>
      </c>
      <c r="FV21">
        <v>373.37532352941201</v>
      </c>
      <c r="FW21">
        <v>-0.421191747284623</v>
      </c>
      <c r="FX21">
        <v>0.18237013438870101</v>
      </c>
      <c r="FY21">
        <v>1</v>
      </c>
      <c r="FZ21">
        <v>3</v>
      </c>
      <c r="GA21">
        <v>3</v>
      </c>
      <c r="GB21" t="s">
        <v>421</v>
      </c>
      <c r="GC21">
        <v>3.1236600000000001</v>
      </c>
      <c r="GD21">
        <v>2.7652999999999999</v>
      </c>
      <c r="GE21">
        <v>8.8361800000000004E-2</v>
      </c>
      <c r="GF21">
        <v>9.1743000000000005E-2</v>
      </c>
      <c r="GG21">
        <v>9.4750899999999999E-2</v>
      </c>
      <c r="GH21">
        <v>9.4501699999999994E-2</v>
      </c>
      <c r="GI21">
        <v>17781.099999999999</v>
      </c>
      <c r="GJ21">
        <v>26703.599999999999</v>
      </c>
      <c r="GK21">
        <v>22789.1</v>
      </c>
      <c r="GL21">
        <v>30125.200000000001</v>
      </c>
      <c r="GM21">
        <v>33834.199999999997</v>
      </c>
      <c r="GN21">
        <v>33978.199999999997</v>
      </c>
      <c r="GO21">
        <v>43117</v>
      </c>
      <c r="GP21">
        <v>42901.4</v>
      </c>
      <c r="GQ21">
        <v>1.9775499999999999</v>
      </c>
      <c r="GR21">
        <v>1.83727</v>
      </c>
      <c r="GS21">
        <v>6.3247999999999999E-2</v>
      </c>
      <c r="GT21">
        <v>0</v>
      </c>
      <c r="GU21">
        <v>23.967500000000001</v>
      </c>
      <c r="GV21">
        <v>999.9</v>
      </c>
      <c r="GW21">
        <v>41.93</v>
      </c>
      <c r="GX21">
        <v>31.923999999999999</v>
      </c>
      <c r="GY21">
        <v>19.590499999999999</v>
      </c>
      <c r="GZ21">
        <v>63.575099999999999</v>
      </c>
      <c r="HA21">
        <v>34.647399999999998</v>
      </c>
      <c r="HB21">
        <v>1</v>
      </c>
      <c r="HC21">
        <v>3.3163100000000001E-2</v>
      </c>
      <c r="HD21">
        <v>0.70467299999999999</v>
      </c>
      <c r="HE21">
        <v>20.243500000000001</v>
      </c>
      <c r="HF21">
        <v>5.2330100000000002</v>
      </c>
      <c r="HG21">
        <v>11.962</v>
      </c>
      <c r="HH21">
        <v>4.9682000000000004</v>
      </c>
      <c r="HI21">
        <v>3.2949999999999999</v>
      </c>
      <c r="HJ21">
        <v>9999</v>
      </c>
      <c r="HK21">
        <v>9999</v>
      </c>
      <c r="HL21">
        <v>9999</v>
      </c>
      <c r="HM21">
        <v>999.9</v>
      </c>
      <c r="HN21">
        <v>4.9686199999999996</v>
      </c>
      <c r="HO21">
        <v>1.86249</v>
      </c>
      <c r="HP21">
        <v>1.8640099999999999</v>
      </c>
      <c r="HQ21">
        <v>1.86595</v>
      </c>
      <c r="HR21">
        <v>1.86297</v>
      </c>
      <c r="HS21">
        <v>1.8666100000000001</v>
      </c>
      <c r="HT21">
        <v>1.8633999999999999</v>
      </c>
      <c r="HU21">
        <v>1.8653299999999999</v>
      </c>
      <c r="HV21">
        <v>0</v>
      </c>
      <c r="HW21">
        <v>0</v>
      </c>
      <c r="HX21">
        <v>0</v>
      </c>
      <c r="HY21">
        <v>0</v>
      </c>
      <c r="HZ21" t="s">
        <v>422</v>
      </c>
      <c r="IA21" t="s">
        <v>423</v>
      </c>
      <c r="IB21" t="s">
        <v>424</v>
      </c>
      <c r="IC21" t="s">
        <v>424</v>
      </c>
      <c r="ID21" t="s">
        <v>424</v>
      </c>
      <c r="IE21" t="s">
        <v>424</v>
      </c>
      <c r="IF21">
        <v>0</v>
      </c>
      <c r="IG21">
        <v>100</v>
      </c>
      <c r="IH21">
        <v>100</v>
      </c>
      <c r="II21">
        <v>0.872</v>
      </c>
      <c r="IJ21">
        <v>-9.5799999999999996E-2</v>
      </c>
      <c r="IK21">
        <v>0.74560285853930497</v>
      </c>
      <c r="IL21">
        <v>2.16929631606078E-4</v>
      </c>
      <c r="IM21">
        <v>2.7226302473163502E-7</v>
      </c>
      <c r="IN21">
        <v>-5.4379205123515401E-11</v>
      </c>
      <c r="IO21">
        <v>-1.820522090803E-2</v>
      </c>
      <c r="IP21">
        <v>-5.8443384954566899E-2</v>
      </c>
      <c r="IQ21">
        <v>3.41568706061026E-3</v>
      </c>
      <c r="IR21">
        <v>-2.10952612506686E-5</v>
      </c>
      <c r="IS21">
        <v>0</v>
      </c>
      <c r="IT21">
        <v>1734</v>
      </c>
      <c r="IU21">
        <v>2</v>
      </c>
      <c r="IV21">
        <v>19</v>
      </c>
      <c r="IW21">
        <v>14.7</v>
      </c>
      <c r="IX21">
        <v>14.6</v>
      </c>
      <c r="IY21">
        <v>1.06934</v>
      </c>
      <c r="IZ21">
        <v>2.5524900000000001</v>
      </c>
      <c r="JA21">
        <v>1.3464400000000001</v>
      </c>
      <c r="JB21">
        <v>2.2546400000000002</v>
      </c>
      <c r="JC21">
        <v>1.5502899999999999</v>
      </c>
      <c r="JD21">
        <v>2.7429199999999998</v>
      </c>
      <c r="JE21">
        <v>35.777700000000003</v>
      </c>
      <c r="JF21">
        <v>16.023299999999999</v>
      </c>
      <c r="JG21">
        <v>18</v>
      </c>
      <c r="JH21">
        <v>499.74099999999999</v>
      </c>
      <c r="JI21">
        <v>488.31299999999999</v>
      </c>
      <c r="JJ21">
        <v>23.751100000000001</v>
      </c>
      <c r="JK21">
        <v>27.584</v>
      </c>
      <c r="JL21">
        <v>29.9998</v>
      </c>
      <c r="JM21">
        <v>27.584700000000002</v>
      </c>
      <c r="JN21">
        <v>27.6</v>
      </c>
      <c r="JO21">
        <v>21.4207</v>
      </c>
      <c r="JP21">
        <v>23.2484</v>
      </c>
      <c r="JQ21">
        <v>50.254899999999999</v>
      </c>
      <c r="JR21">
        <v>23.764800000000001</v>
      </c>
      <c r="JS21">
        <v>406.096</v>
      </c>
      <c r="JT21">
        <v>16.7608</v>
      </c>
      <c r="JU21">
        <v>101.81100000000001</v>
      </c>
      <c r="JV21">
        <v>97.423599999999993</v>
      </c>
    </row>
    <row r="22" spans="1:282" x14ac:dyDescent="0.3">
      <c r="A22">
        <v>6</v>
      </c>
      <c r="B22">
        <v>1792211295</v>
      </c>
      <c r="C22">
        <v>672</v>
      </c>
      <c r="D22" t="s">
        <v>437</v>
      </c>
      <c r="E22" t="s">
        <v>438</v>
      </c>
      <c r="F22">
        <v>5</v>
      </c>
      <c r="G22">
        <v>1792211291.5</v>
      </c>
      <c r="H22">
        <f t="shared" si="0"/>
        <v>1.6211310205360972E-3</v>
      </c>
      <c r="I22">
        <f t="shared" si="1"/>
        <v>1.6211310205360971</v>
      </c>
      <c r="J22">
        <f t="shared" si="2"/>
        <v>8.359923451384736</v>
      </c>
      <c r="K22">
        <f t="shared" si="3"/>
        <v>400.08533333333298</v>
      </c>
      <c r="L22">
        <f t="shared" si="4"/>
        <v>276.81818025519453</v>
      </c>
      <c r="M22">
        <f t="shared" si="5"/>
        <v>28.199731465845179</v>
      </c>
      <c r="N22">
        <f t="shared" si="6"/>
        <v>40.757073661210278</v>
      </c>
      <c r="O22">
        <f t="shared" si="7"/>
        <v>0.11776104912704359</v>
      </c>
      <c r="P22">
        <f t="shared" si="8"/>
        <v>3.0395474913346452</v>
      </c>
      <c r="Q22">
        <f t="shared" si="9"/>
        <v>0.11528389466472623</v>
      </c>
      <c r="R22">
        <f t="shared" si="10"/>
        <v>7.2270656625222279E-2</v>
      </c>
      <c r="S22">
        <f t="shared" si="11"/>
        <v>33.05587146854991</v>
      </c>
      <c r="T22">
        <f t="shared" si="12"/>
        <v>25.284978760782227</v>
      </c>
      <c r="U22">
        <f t="shared" si="13"/>
        <v>25.041783333333299</v>
      </c>
      <c r="V22">
        <f t="shared" si="14"/>
        <v>3.1876070617641239</v>
      </c>
      <c r="W22">
        <f t="shared" si="15"/>
        <v>54.633772280495009</v>
      </c>
      <c r="X22">
        <f t="shared" si="16"/>
        <v>1.7900882479239</v>
      </c>
      <c r="Y22">
        <f t="shared" si="17"/>
        <v>3.2765232441454266</v>
      </c>
      <c r="Z22">
        <f t="shared" si="18"/>
        <v>1.3975188138402239</v>
      </c>
      <c r="AA22">
        <f t="shared" si="19"/>
        <v>-71.49187800564188</v>
      </c>
      <c r="AB22">
        <f t="shared" si="20"/>
        <v>75.775333339495091</v>
      </c>
      <c r="AC22">
        <f t="shared" si="21"/>
        <v>5.2877654331777535</v>
      </c>
      <c r="AD22">
        <f t="shared" si="22"/>
        <v>42.627092235580875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54063.295947462117</v>
      </c>
      <c r="AJ22" t="s">
        <v>416</v>
      </c>
      <c r="AK22">
        <v>8118.75</v>
      </c>
      <c r="AL22">
        <v>202.77699999999999</v>
      </c>
      <c r="AM22">
        <v>843.89972736790196</v>
      </c>
      <c r="AN22">
        <f t="shared" si="26"/>
        <v>0.75971434351275902</v>
      </c>
      <c r="AO22">
        <v>-1.44499194741429</v>
      </c>
      <c r="AP22" t="s">
        <v>439</v>
      </c>
      <c r="AQ22">
        <v>8154.76</v>
      </c>
      <c r="AR22">
        <v>349.89620000000002</v>
      </c>
      <c r="AS22">
        <v>1110.96107851736</v>
      </c>
      <c r="AT22">
        <f t="shared" si="27"/>
        <v>0.68505089263166963</v>
      </c>
      <c r="AU22">
        <v>0.5</v>
      </c>
      <c r="AV22">
        <f t="shared" si="28"/>
        <v>168.61907910287536</v>
      </c>
      <c r="AW22">
        <f t="shared" si="29"/>
        <v>8.359923451384736</v>
      </c>
      <c r="AX22">
        <f t="shared" si="30"/>
        <v>57.756325327077441</v>
      </c>
      <c r="AY22">
        <f t="shared" si="31"/>
        <v>5.8148315427680612E-2</v>
      </c>
      <c r="AZ22">
        <f t="shared" si="32"/>
        <v>-0.24038767542231668</v>
      </c>
      <c r="BA22">
        <f t="shared" si="33"/>
        <v>215.20776881838054</v>
      </c>
      <c r="BB22" t="s">
        <v>418</v>
      </c>
      <c r="BC22">
        <v>0</v>
      </c>
      <c r="BD22">
        <f t="shared" si="34"/>
        <v>215.20776881838054</v>
      </c>
      <c r="BE22">
        <f t="shared" si="35"/>
        <v>0.80628685110590248</v>
      </c>
      <c r="BF22">
        <f t="shared" si="36"/>
        <v>0.84963669157205579</v>
      </c>
      <c r="BG22">
        <f t="shared" si="37"/>
        <v>-0.42478887715631863</v>
      </c>
      <c r="BH22">
        <f t="shared" si="38"/>
        <v>0.83800729006373154</v>
      </c>
      <c r="BI22">
        <f t="shared" si="39"/>
        <v>-0.4165526189437479</v>
      </c>
      <c r="BJ22">
        <f t="shared" si="40"/>
        <v>0.52257902972210812</v>
      </c>
      <c r="BK22">
        <f t="shared" si="41"/>
        <v>0.47742097027789188</v>
      </c>
      <c r="BL22">
        <v>1135</v>
      </c>
      <c r="BM22">
        <v>290</v>
      </c>
      <c r="BN22">
        <v>1012.55</v>
      </c>
      <c r="BO22">
        <v>135</v>
      </c>
      <c r="BP22">
        <v>8154.76</v>
      </c>
      <c r="BQ22">
        <v>1010.84</v>
      </c>
      <c r="BR22">
        <v>1.71</v>
      </c>
      <c r="BS22">
        <v>300</v>
      </c>
      <c r="BT22">
        <v>19.3</v>
      </c>
      <c r="BU22">
        <v>1110.96107851736</v>
      </c>
      <c r="BV22">
        <v>2.2153288584317101</v>
      </c>
      <c r="BW22">
        <v>-81.643279909154799</v>
      </c>
      <c r="BX22">
        <v>1.6178093449839901</v>
      </c>
      <c r="BY22">
        <v>0.98912515513042798</v>
      </c>
      <c r="BZ22">
        <v>-5.2726324805339297E-3</v>
      </c>
      <c r="CA22">
        <v>290</v>
      </c>
      <c r="CB22">
        <v>995.2</v>
      </c>
      <c r="CC22">
        <v>625</v>
      </c>
      <c r="CD22">
        <v>8134.8</v>
      </c>
      <c r="CE22">
        <v>1010.6</v>
      </c>
      <c r="CF22">
        <v>-15.4</v>
      </c>
      <c r="CT22">
        <f t="shared" si="42"/>
        <v>200.040333333333</v>
      </c>
      <c r="CU22">
        <f t="shared" si="43"/>
        <v>168.61907910287536</v>
      </c>
      <c r="CV22">
        <f t="shared" si="44"/>
        <v>0.84292540555759077</v>
      </c>
      <c r="CW22">
        <f t="shared" si="45"/>
        <v>0.16524603272615007</v>
      </c>
      <c r="CX22">
        <v>2</v>
      </c>
      <c r="CY22">
        <v>0.5</v>
      </c>
      <c r="CZ22" t="s">
        <v>419</v>
      </c>
      <c r="DA22">
        <v>2</v>
      </c>
      <c r="DB22">
        <v>1792211291.5</v>
      </c>
      <c r="DC22">
        <v>400.08533333333298</v>
      </c>
      <c r="DD22">
        <v>403.68916666666701</v>
      </c>
      <c r="DE22">
        <v>17.572116666666702</v>
      </c>
      <c r="DF22">
        <v>16.9349833333333</v>
      </c>
      <c r="DG22">
        <v>399.17566666666698</v>
      </c>
      <c r="DH22">
        <v>17.680783333333299</v>
      </c>
      <c r="DI22">
        <v>499.94066666666703</v>
      </c>
      <c r="DJ22">
        <v>101.771</v>
      </c>
      <c r="DK22">
        <v>9.9951683333333305E-2</v>
      </c>
      <c r="DL22">
        <v>25.504200000000001</v>
      </c>
      <c r="DM22">
        <v>25.041783333333299</v>
      </c>
      <c r="DN22">
        <v>999.9</v>
      </c>
      <c r="DO22">
        <v>0</v>
      </c>
      <c r="DP22">
        <v>0</v>
      </c>
      <c r="DQ22">
        <v>9996.1466666666693</v>
      </c>
      <c r="DR22">
        <v>0</v>
      </c>
      <c r="DS22">
        <v>7.5293000000000001</v>
      </c>
      <c r="DT22">
        <v>-3.6040066666666699</v>
      </c>
      <c r="DU22">
        <v>407.24133333333299</v>
      </c>
      <c r="DV22">
        <v>410.64333333333298</v>
      </c>
      <c r="DW22">
        <v>0.63714016666666695</v>
      </c>
      <c r="DX22">
        <v>403.68916666666701</v>
      </c>
      <c r="DY22">
        <v>16.9349833333333</v>
      </c>
      <c r="DZ22">
        <v>1.788335</v>
      </c>
      <c r="EA22">
        <v>1.72349</v>
      </c>
      <c r="EB22">
        <v>15.685183333333301</v>
      </c>
      <c r="EC22">
        <v>15.109633333333299</v>
      </c>
      <c r="ED22">
        <v>200.040333333333</v>
      </c>
      <c r="EE22">
        <v>0.89999433333333301</v>
      </c>
      <c r="EF22">
        <v>0.100005583333333</v>
      </c>
      <c r="EG22">
        <v>0</v>
      </c>
      <c r="EH22">
        <v>349.89083333333298</v>
      </c>
      <c r="EI22">
        <v>5.0006399999999998</v>
      </c>
      <c r="EJ22">
        <v>691.27283333333298</v>
      </c>
      <c r="EK22">
        <v>1977.85</v>
      </c>
      <c r="EL22">
        <v>36.436999999999998</v>
      </c>
      <c r="EM22">
        <v>39.051666666666698</v>
      </c>
      <c r="EN22">
        <v>38</v>
      </c>
      <c r="EO22">
        <v>38.875</v>
      </c>
      <c r="EP22">
        <v>38.936999999999998</v>
      </c>
      <c r="EQ22">
        <v>175.53333333333299</v>
      </c>
      <c r="ER22">
        <v>19.5066666666667</v>
      </c>
      <c r="ES22">
        <v>0</v>
      </c>
      <c r="ET22">
        <v>141.90000009536701</v>
      </c>
      <c r="EU22">
        <v>0</v>
      </c>
      <c r="EV22">
        <v>349.89620000000002</v>
      </c>
      <c r="EW22">
        <v>-0.74353846207699403</v>
      </c>
      <c r="EX22">
        <v>-4.1398461758491898</v>
      </c>
      <c r="EY22">
        <v>691.45204000000001</v>
      </c>
      <c r="EZ22">
        <v>15</v>
      </c>
      <c r="FA22">
        <v>1792211215</v>
      </c>
      <c r="FB22" t="s">
        <v>440</v>
      </c>
      <c r="FC22">
        <v>1792211213</v>
      </c>
      <c r="FD22">
        <v>1792211215</v>
      </c>
      <c r="FE22">
        <v>35</v>
      </c>
      <c r="FF22">
        <v>3.6999999999999998E-2</v>
      </c>
      <c r="FG22">
        <v>-8.0000000000000002E-3</v>
      </c>
      <c r="FH22">
        <v>0.91100000000000003</v>
      </c>
      <c r="FI22">
        <v>-0.13800000000000001</v>
      </c>
      <c r="FJ22">
        <v>404</v>
      </c>
      <c r="FK22">
        <v>17</v>
      </c>
      <c r="FL22">
        <v>0.19</v>
      </c>
      <c r="FM22">
        <v>0.03</v>
      </c>
      <c r="FN22">
        <v>8.4825707801272401</v>
      </c>
      <c r="FO22">
        <v>-0.35379843534590799</v>
      </c>
      <c r="FP22">
        <v>0.107391896928745</v>
      </c>
      <c r="FQ22">
        <v>1</v>
      </c>
      <c r="FR22">
        <v>-3.6578614285714299</v>
      </c>
      <c r="FS22">
        <v>0.21484129870129101</v>
      </c>
      <c r="FT22">
        <v>4.5170019691290399E-2</v>
      </c>
      <c r="FU22">
        <v>1</v>
      </c>
      <c r="FV22">
        <v>349.95932352941202</v>
      </c>
      <c r="FW22">
        <v>-0.47702062514895799</v>
      </c>
      <c r="FX22">
        <v>0.15741752660253699</v>
      </c>
      <c r="FY22">
        <v>1</v>
      </c>
      <c r="FZ22">
        <v>3</v>
      </c>
      <c r="GA22">
        <v>3</v>
      </c>
      <c r="GB22" t="s">
        <v>421</v>
      </c>
      <c r="GC22">
        <v>3.1234799999999998</v>
      </c>
      <c r="GD22">
        <v>2.76512</v>
      </c>
      <c r="GE22">
        <v>8.8366600000000003E-2</v>
      </c>
      <c r="GF22">
        <v>9.1326299999999999E-2</v>
      </c>
      <c r="GG22">
        <v>9.4305600000000003E-2</v>
      </c>
      <c r="GH22">
        <v>9.5074199999999998E-2</v>
      </c>
      <c r="GI22">
        <v>17780.3</v>
      </c>
      <c r="GJ22">
        <v>26715.9</v>
      </c>
      <c r="GK22">
        <v>22788.2</v>
      </c>
      <c r="GL22">
        <v>30125.3</v>
      </c>
      <c r="GM22">
        <v>33850.300000000003</v>
      </c>
      <c r="GN22">
        <v>33957.1</v>
      </c>
      <c r="GO22">
        <v>43115.7</v>
      </c>
      <c r="GP22">
        <v>42902</v>
      </c>
      <c r="GQ22">
        <v>1.9767699999999999</v>
      </c>
      <c r="GR22">
        <v>1.8378000000000001</v>
      </c>
      <c r="GS22">
        <v>5.9112900000000003E-2</v>
      </c>
      <c r="GT22">
        <v>0</v>
      </c>
      <c r="GU22">
        <v>24.081299999999999</v>
      </c>
      <c r="GV22">
        <v>999.9</v>
      </c>
      <c r="GW22">
        <v>42.472999999999999</v>
      </c>
      <c r="GX22">
        <v>31.873999999999999</v>
      </c>
      <c r="GY22">
        <v>19.789000000000001</v>
      </c>
      <c r="GZ22">
        <v>63.405099999999997</v>
      </c>
      <c r="HA22">
        <v>34.483199999999997</v>
      </c>
      <c r="HB22">
        <v>1</v>
      </c>
      <c r="HC22">
        <v>3.4771299999999998E-2</v>
      </c>
      <c r="HD22">
        <v>0.857873</v>
      </c>
      <c r="HE22">
        <v>20.2455</v>
      </c>
      <c r="HF22">
        <v>5.2333100000000004</v>
      </c>
      <c r="HG22">
        <v>11.9626</v>
      </c>
      <c r="HH22">
        <v>4.9687999999999999</v>
      </c>
      <c r="HI22">
        <v>3.2950300000000001</v>
      </c>
      <c r="HJ22">
        <v>9999</v>
      </c>
      <c r="HK22">
        <v>9999</v>
      </c>
      <c r="HL22">
        <v>9999</v>
      </c>
      <c r="HM22">
        <v>999.9</v>
      </c>
      <c r="HN22">
        <v>4.9686399999999997</v>
      </c>
      <c r="HO22">
        <v>1.8624799999999999</v>
      </c>
      <c r="HP22">
        <v>1.8640099999999999</v>
      </c>
      <c r="HQ22">
        <v>1.86588</v>
      </c>
      <c r="HR22">
        <v>1.8629500000000001</v>
      </c>
      <c r="HS22">
        <v>1.8666199999999999</v>
      </c>
      <c r="HT22">
        <v>1.8633999999999999</v>
      </c>
      <c r="HU22">
        <v>1.86534</v>
      </c>
      <c r="HV22">
        <v>0</v>
      </c>
      <c r="HW22">
        <v>0</v>
      </c>
      <c r="HX22">
        <v>0</v>
      </c>
      <c r="HY22">
        <v>0</v>
      </c>
      <c r="HZ22" t="s">
        <v>422</v>
      </c>
      <c r="IA22" t="s">
        <v>423</v>
      </c>
      <c r="IB22" t="s">
        <v>424</v>
      </c>
      <c r="IC22" t="s">
        <v>424</v>
      </c>
      <c r="ID22" t="s">
        <v>424</v>
      </c>
      <c r="IE22" t="s">
        <v>424</v>
      </c>
      <c r="IF22">
        <v>0</v>
      </c>
      <c r="IG22">
        <v>100</v>
      </c>
      <c r="IH22">
        <v>100</v>
      </c>
      <c r="II22">
        <v>0.90900000000000003</v>
      </c>
      <c r="IJ22">
        <v>-0.109</v>
      </c>
      <c r="IK22">
        <v>0.78292552470277799</v>
      </c>
      <c r="IL22">
        <v>2.16929631606078E-4</v>
      </c>
      <c r="IM22">
        <v>2.7226302473163502E-7</v>
      </c>
      <c r="IN22">
        <v>-5.4379205123515401E-11</v>
      </c>
      <c r="IO22">
        <v>-2.6532742528403E-2</v>
      </c>
      <c r="IP22">
        <v>-5.8443384954566899E-2</v>
      </c>
      <c r="IQ22">
        <v>3.41568706061026E-3</v>
      </c>
      <c r="IR22">
        <v>-2.10952612506686E-5</v>
      </c>
      <c r="IS22">
        <v>0</v>
      </c>
      <c r="IT22">
        <v>1734</v>
      </c>
      <c r="IU22">
        <v>2</v>
      </c>
      <c r="IV22">
        <v>19</v>
      </c>
      <c r="IW22">
        <v>1.4</v>
      </c>
      <c r="IX22">
        <v>1.3</v>
      </c>
      <c r="IY22">
        <v>1.0644499999999999</v>
      </c>
      <c r="IZ22">
        <v>2.5476100000000002</v>
      </c>
      <c r="JA22">
        <v>1.3464400000000001</v>
      </c>
      <c r="JB22">
        <v>2.2534200000000002</v>
      </c>
      <c r="JC22">
        <v>1.5502899999999999</v>
      </c>
      <c r="JD22">
        <v>2.65259</v>
      </c>
      <c r="JE22">
        <v>35.731099999999998</v>
      </c>
      <c r="JF22">
        <v>16.023299999999999</v>
      </c>
      <c r="JG22">
        <v>18</v>
      </c>
      <c r="JH22">
        <v>499.423</v>
      </c>
      <c r="JI22">
        <v>488.85300000000001</v>
      </c>
      <c r="JJ22">
        <v>23.770099999999999</v>
      </c>
      <c r="JK22">
        <v>27.606200000000001</v>
      </c>
      <c r="JL22">
        <v>30.0002</v>
      </c>
      <c r="JM22">
        <v>27.603400000000001</v>
      </c>
      <c r="JN22">
        <v>27.618400000000001</v>
      </c>
      <c r="JO22">
        <v>21.322600000000001</v>
      </c>
      <c r="JP22">
        <v>23.577500000000001</v>
      </c>
      <c r="JQ22">
        <v>51.8583</v>
      </c>
      <c r="JR22">
        <v>23.734400000000001</v>
      </c>
      <c r="JS22">
        <v>403.67899999999997</v>
      </c>
      <c r="JT22">
        <v>16.9861</v>
      </c>
      <c r="JU22">
        <v>101.80800000000001</v>
      </c>
      <c r="JV22">
        <v>97.424499999999995</v>
      </c>
    </row>
    <row r="23" spans="1:282" x14ac:dyDescent="0.3">
      <c r="A23">
        <v>7</v>
      </c>
      <c r="B23">
        <v>1792211418</v>
      </c>
      <c r="C23">
        <v>795</v>
      </c>
      <c r="D23" t="s">
        <v>441</v>
      </c>
      <c r="E23" t="s">
        <v>442</v>
      </c>
      <c r="F23">
        <v>5</v>
      </c>
      <c r="G23">
        <v>1792211414.5</v>
      </c>
      <c r="H23">
        <f t="shared" si="0"/>
        <v>6.9969677731948805E-4</v>
      </c>
      <c r="I23">
        <f t="shared" si="1"/>
        <v>0.69969677731948809</v>
      </c>
      <c r="J23">
        <f t="shared" si="2"/>
        <v>3.1602675342922759</v>
      </c>
      <c r="K23">
        <f t="shared" si="3"/>
        <v>400.09416666666698</v>
      </c>
      <c r="L23">
        <f t="shared" si="4"/>
        <v>290.9280199047642</v>
      </c>
      <c r="M23">
        <f t="shared" si="5"/>
        <v>29.637461156768307</v>
      </c>
      <c r="N23">
        <f t="shared" si="6"/>
        <v>40.758450586899784</v>
      </c>
      <c r="O23">
        <f t="shared" si="7"/>
        <v>5.0253620165893922E-2</v>
      </c>
      <c r="P23">
        <f t="shared" si="8"/>
        <v>3.0411003416027835</v>
      </c>
      <c r="Q23">
        <f t="shared" si="9"/>
        <v>4.9796796336898937E-2</v>
      </c>
      <c r="R23">
        <f t="shared" si="10"/>
        <v>3.1163695281948636E-2</v>
      </c>
      <c r="S23">
        <f t="shared" si="11"/>
        <v>16.511603028563275</v>
      </c>
      <c r="T23">
        <f t="shared" si="12"/>
        <v>25.269913461559799</v>
      </c>
      <c r="U23">
        <f t="shared" si="13"/>
        <v>24.9927833333333</v>
      </c>
      <c r="V23">
        <f t="shared" si="14"/>
        <v>3.1783097873321227</v>
      </c>
      <c r="W23">
        <f t="shared" si="15"/>
        <v>54.874265712392415</v>
      </c>
      <c r="X23">
        <f t="shared" si="16"/>
        <v>1.7817471954641382</v>
      </c>
      <c r="Y23">
        <f t="shared" si="17"/>
        <v>3.2469631663094147</v>
      </c>
      <c r="Z23">
        <f t="shared" si="18"/>
        <v>1.3965625918679845</v>
      </c>
      <c r="AA23">
        <f t="shared" si="19"/>
        <v>-30.856627879789421</v>
      </c>
      <c r="AB23">
        <f t="shared" si="20"/>
        <v>58.845034130190598</v>
      </c>
      <c r="AC23">
        <f t="shared" si="21"/>
        <v>4.1000774948207557</v>
      </c>
      <c r="AD23">
        <f t="shared" si="22"/>
        <v>48.600086773785208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54139.660108735436</v>
      </c>
      <c r="AJ23" t="s">
        <v>416</v>
      </c>
      <c r="AK23">
        <v>8118.75</v>
      </c>
      <c r="AL23">
        <v>202.77699999999999</v>
      </c>
      <c r="AM23">
        <v>843.89972736790196</v>
      </c>
      <c r="AN23">
        <f t="shared" si="26"/>
        <v>0.75971434351275902</v>
      </c>
      <c r="AO23">
        <v>-1.44499194741429</v>
      </c>
      <c r="AP23" t="s">
        <v>443</v>
      </c>
      <c r="AQ23">
        <v>8137.5</v>
      </c>
      <c r="AR23">
        <v>329.84173076923099</v>
      </c>
      <c r="AS23">
        <v>1155.29671031219</v>
      </c>
      <c r="AT23">
        <f t="shared" si="27"/>
        <v>0.71449608760670702</v>
      </c>
      <c r="AU23">
        <v>0.5</v>
      </c>
      <c r="AV23">
        <f t="shared" si="28"/>
        <v>84.293112678012065</v>
      </c>
      <c r="AW23">
        <f t="shared" si="29"/>
        <v>3.1602675342922759</v>
      </c>
      <c r="AX23">
        <f t="shared" si="30"/>
        <v>30.113549610315467</v>
      </c>
      <c r="AY23">
        <f t="shared" si="31"/>
        <v>5.46338761898379E-2</v>
      </c>
      <c r="AZ23">
        <f t="shared" si="32"/>
        <v>-0.26953853513539466</v>
      </c>
      <c r="BA23">
        <f t="shared" si="33"/>
        <v>216.81959047084439</v>
      </c>
      <c r="BB23" t="s">
        <v>418</v>
      </c>
      <c r="BC23">
        <v>0</v>
      </c>
      <c r="BD23">
        <f t="shared" si="34"/>
        <v>216.81959047084439</v>
      </c>
      <c r="BE23">
        <f t="shared" si="35"/>
        <v>0.81232562290231547</v>
      </c>
      <c r="BF23">
        <f t="shared" si="36"/>
        <v>0.87956857134940747</v>
      </c>
      <c r="BG23">
        <f t="shared" si="37"/>
        <v>-0.49658243758948384</v>
      </c>
      <c r="BH23">
        <f t="shared" si="38"/>
        <v>0.86660146830181062</v>
      </c>
      <c r="BI23">
        <f t="shared" si="39"/>
        <v>-0.4857057309802652</v>
      </c>
      <c r="BJ23">
        <f t="shared" si="40"/>
        <v>0.57817941042890686</v>
      </c>
      <c r="BK23">
        <f t="shared" si="41"/>
        <v>0.42182058957109314</v>
      </c>
      <c r="BL23">
        <v>1136</v>
      </c>
      <c r="BM23">
        <v>290</v>
      </c>
      <c r="BN23">
        <v>1063.4100000000001</v>
      </c>
      <c r="BO23">
        <v>245</v>
      </c>
      <c r="BP23">
        <v>8137.5</v>
      </c>
      <c r="BQ23">
        <v>1063.3599999999999</v>
      </c>
      <c r="BR23">
        <v>0.05</v>
      </c>
      <c r="BS23">
        <v>300</v>
      </c>
      <c r="BT23">
        <v>19.3</v>
      </c>
      <c r="BU23">
        <v>1155.29671031219</v>
      </c>
      <c r="BV23">
        <v>2.5654346653611699</v>
      </c>
      <c r="BW23">
        <v>-74.815522662064296</v>
      </c>
      <c r="BX23">
        <v>1.8688228645446101</v>
      </c>
      <c r="BY23">
        <v>0.98282926209890697</v>
      </c>
      <c r="BZ23">
        <v>-5.3346104560622904E-3</v>
      </c>
      <c r="CA23">
        <v>290</v>
      </c>
      <c r="CB23">
        <v>1047</v>
      </c>
      <c r="CC23">
        <v>625</v>
      </c>
      <c r="CD23">
        <v>8127.16</v>
      </c>
      <c r="CE23">
        <v>1063.24</v>
      </c>
      <c r="CF23">
        <v>-16.239999999999998</v>
      </c>
      <c r="CT23">
        <f t="shared" si="42"/>
        <v>100.00964999999999</v>
      </c>
      <c r="CU23">
        <f t="shared" si="43"/>
        <v>84.293112678012065</v>
      </c>
      <c r="CV23">
        <f t="shared" si="44"/>
        <v>0.84284979177521435</v>
      </c>
      <c r="CW23">
        <f t="shared" si="45"/>
        <v>0.16510009812616358</v>
      </c>
      <c r="CX23">
        <v>2</v>
      </c>
      <c r="CY23">
        <v>0.5</v>
      </c>
      <c r="CZ23" t="s">
        <v>419</v>
      </c>
      <c r="DA23">
        <v>2</v>
      </c>
      <c r="DB23">
        <v>1792211414.5</v>
      </c>
      <c r="DC23">
        <v>400.09416666666698</v>
      </c>
      <c r="DD23">
        <v>401.47016666666701</v>
      </c>
      <c r="DE23">
        <v>17.490033333333301</v>
      </c>
      <c r="DF23">
        <v>17.215066666666701</v>
      </c>
      <c r="DG23">
        <v>399.196666666667</v>
      </c>
      <c r="DH23">
        <v>17.6050166666667</v>
      </c>
      <c r="DI23">
        <v>500.03083333333302</v>
      </c>
      <c r="DJ23">
        <v>101.772166666667</v>
      </c>
      <c r="DK23">
        <v>9.9977399999999994E-2</v>
      </c>
      <c r="DL23">
        <v>25.351700000000001</v>
      </c>
      <c r="DM23">
        <v>24.9927833333333</v>
      </c>
      <c r="DN23">
        <v>999.9</v>
      </c>
      <c r="DO23">
        <v>0</v>
      </c>
      <c r="DP23">
        <v>0</v>
      </c>
      <c r="DQ23">
        <v>10005.416666666701</v>
      </c>
      <c r="DR23">
        <v>0</v>
      </c>
      <c r="DS23">
        <v>7.5293000000000001</v>
      </c>
      <c r="DT23">
        <v>-1.3759016666666699</v>
      </c>
      <c r="DU23">
        <v>407.21633333333301</v>
      </c>
      <c r="DV23">
        <v>408.50233333333301</v>
      </c>
      <c r="DW23">
        <v>0.27495866666666702</v>
      </c>
      <c r="DX23">
        <v>401.47016666666701</v>
      </c>
      <c r="DY23">
        <v>17.215066666666701</v>
      </c>
      <c r="DZ23">
        <v>1.77999666666667</v>
      </c>
      <c r="EA23">
        <v>1.7520150000000001</v>
      </c>
      <c r="EB23">
        <v>15.6122333333333</v>
      </c>
      <c r="EC23">
        <v>15.365133333333301</v>
      </c>
      <c r="ED23">
        <v>100.00964999999999</v>
      </c>
      <c r="EE23">
        <v>0.89998666666666705</v>
      </c>
      <c r="EF23">
        <v>0.100013266666667</v>
      </c>
      <c r="EG23">
        <v>0</v>
      </c>
      <c r="EH23">
        <v>329.80933333333297</v>
      </c>
      <c r="EI23">
        <v>5.0006399999999998</v>
      </c>
      <c r="EJ23">
        <v>318.13299999999998</v>
      </c>
      <c r="EK23">
        <v>963.4615</v>
      </c>
      <c r="EL23">
        <v>35.75</v>
      </c>
      <c r="EM23">
        <v>38.572499999999998</v>
      </c>
      <c r="EN23">
        <v>37.436999999999998</v>
      </c>
      <c r="EO23">
        <v>38.478999999999999</v>
      </c>
      <c r="EP23">
        <v>38.375</v>
      </c>
      <c r="EQ23">
        <v>85.506666666666703</v>
      </c>
      <c r="ER23">
        <v>9.5</v>
      </c>
      <c r="ES23">
        <v>0</v>
      </c>
      <c r="ET23">
        <v>121.700000047684</v>
      </c>
      <c r="EU23">
        <v>0</v>
      </c>
      <c r="EV23">
        <v>329.84173076923099</v>
      </c>
      <c r="EW23">
        <v>-0.49015384500014503</v>
      </c>
      <c r="EX23">
        <v>-1.54017091438576</v>
      </c>
      <c r="EY23">
        <v>318.17169230769201</v>
      </c>
      <c r="EZ23">
        <v>15</v>
      </c>
      <c r="FA23">
        <v>1792211372</v>
      </c>
      <c r="FB23" t="s">
        <v>444</v>
      </c>
      <c r="FC23">
        <v>1792211372</v>
      </c>
      <c r="FD23">
        <v>1792211363</v>
      </c>
      <c r="FE23">
        <v>36</v>
      </c>
      <c r="FF23">
        <v>-1.2E-2</v>
      </c>
      <c r="FG23">
        <v>-3.0000000000000001E-3</v>
      </c>
      <c r="FH23">
        <v>0.89800000000000002</v>
      </c>
      <c r="FI23">
        <v>-0.125</v>
      </c>
      <c r="FJ23">
        <v>402</v>
      </c>
      <c r="FK23">
        <v>17</v>
      </c>
      <c r="FL23">
        <v>0.5</v>
      </c>
      <c r="FM23">
        <v>0.11</v>
      </c>
      <c r="FN23">
        <v>3.22312296997683</v>
      </c>
      <c r="FO23">
        <v>-0.40302567265628902</v>
      </c>
      <c r="FP23">
        <v>0.102416826402794</v>
      </c>
      <c r="FQ23">
        <v>1</v>
      </c>
      <c r="FR23">
        <v>-1.40588714285714</v>
      </c>
      <c r="FS23">
        <v>0.200192727272725</v>
      </c>
      <c r="FT23">
        <v>4.4129747567918001E-2</v>
      </c>
      <c r="FU23">
        <v>1</v>
      </c>
      <c r="FV23">
        <v>329.86226470588201</v>
      </c>
      <c r="FW23">
        <v>-0.34070282424767101</v>
      </c>
      <c r="FX23">
        <v>0.13879890422171601</v>
      </c>
      <c r="FY23">
        <v>1</v>
      </c>
      <c r="FZ23">
        <v>3</v>
      </c>
      <c r="GA23">
        <v>3</v>
      </c>
      <c r="GB23" t="s">
        <v>421</v>
      </c>
      <c r="GC23">
        <v>3.1236700000000002</v>
      </c>
      <c r="GD23">
        <v>2.7653599999999998</v>
      </c>
      <c r="GE23">
        <v>8.8361300000000004E-2</v>
      </c>
      <c r="GF23">
        <v>9.0944700000000003E-2</v>
      </c>
      <c r="GG23">
        <v>9.4024099999999999E-2</v>
      </c>
      <c r="GH23">
        <v>9.6176600000000001E-2</v>
      </c>
      <c r="GI23">
        <v>17780.3</v>
      </c>
      <c r="GJ23">
        <v>26726.7</v>
      </c>
      <c r="GK23">
        <v>22788.3</v>
      </c>
      <c r="GL23">
        <v>30124.799999999999</v>
      </c>
      <c r="GM23">
        <v>33860.9</v>
      </c>
      <c r="GN23">
        <v>33915.300000000003</v>
      </c>
      <c r="GO23">
        <v>43115.3</v>
      </c>
      <c r="GP23">
        <v>42901.7</v>
      </c>
      <c r="GQ23">
        <v>1.9762500000000001</v>
      </c>
      <c r="GR23">
        <v>1.83812</v>
      </c>
      <c r="GS23">
        <v>5.57601E-2</v>
      </c>
      <c r="GT23">
        <v>0</v>
      </c>
      <c r="GU23">
        <v>24.064399999999999</v>
      </c>
      <c r="GV23">
        <v>999.9</v>
      </c>
      <c r="GW23">
        <v>42.87</v>
      </c>
      <c r="GX23">
        <v>31.864000000000001</v>
      </c>
      <c r="GY23">
        <v>19.959700000000002</v>
      </c>
      <c r="GZ23">
        <v>63.345100000000002</v>
      </c>
      <c r="HA23">
        <v>34.507199999999997</v>
      </c>
      <c r="HB23">
        <v>1</v>
      </c>
      <c r="HC23">
        <v>3.4812000000000003E-2</v>
      </c>
      <c r="HD23">
        <v>0.69675399999999998</v>
      </c>
      <c r="HE23">
        <v>20.2484</v>
      </c>
      <c r="HF23">
        <v>5.2340600000000004</v>
      </c>
      <c r="HG23">
        <v>11.962199999999999</v>
      </c>
      <c r="HH23">
        <v>4.9695499999999999</v>
      </c>
      <c r="HI23">
        <v>3.2950300000000001</v>
      </c>
      <c r="HJ23">
        <v>9999</v>
      </c>
      <c r="HK23">
        <v>9999</v>
      </c>
      <c r="HL23">
        <v>9999</v>
      </c>
      <c r="HM23">
        <v>999.9</v>
      </c>
      <c r="HN23">
        <v>4.9686599999999999</v>
      </c>
      <c r="HO23">
        <v>1.8624700000000001</v>
      </c>
      <c r="HP23">
        <v>1.8640099999999999</v>
      </c>
      <c r="HQ23">
        <v>1.8658999999999999</v>
      </c>
      <c r="HR23">
        <v>1.8629500000000001</v>
      </c>
      <c r="HS23">
        <v>1.8666100000000001</v>
      </c>
      <c r="HT23">
        <v>1.8633999999999999</v>
      </c>
      <c r="HU23">
        <v>1.8653200000000001</v>
      </c>
      <c r="HV23">
        <v>0</v>
      </c>
      <c r="HW23">
        <v>0</v>
      </c>
      <c r="HX23">
        <v>0</v>
      </c>
      <c r="HY23">
        <v>0</v>
      </c>
      <c r="HZ23" t="s">
        <v>422</v>
      </c>
      <c r="IA23" t="s">
        <v>423</v>
      </c>
      <c r="IB23" t="s">
        <v>424</v>
      </c>
      <c r="IC23" t="s">
        <v>424</v>
      </c>
      <c r="ID23" t="s">
        <v>424</v>
      </c>
      <c r="IE23" t="s">
        <v>424</v>
      </c>
      <c r="IF23">
        <v>0</v>
      </c>
      <c r="IG23">
        <v>100</v>
      </c>
      <c r="IH23">
        <v>100</v>
      </c>
      <c r="II23">
        <v>0.89700000000000002</v>
      </c>
      <c r="IJ23">
        <v>-0.11509999999999999</v>
      </c>
      <c r="IK23">
        <v>0.77082107423344703</v>
      </c>
      <c r="IL23">
        <v>2.16929631606078E-4</v>
      </c>
      <c r="IM23">
        <v>2.7226302473163502E-7</v>
      </c>
      <c r="IN23">
        <v>-5.4379205123515401E-11</v>
      </c>
      <c r="IO23">
        <v>-2.9594509100540199E-2</v>
      </c>
      <c r="IP23">
        <v>-5.8443384954566899E-2</v>
      </c>
      <c r="IQ23">
        <v>3.41568706061026E-3</v>
      </c>
      <c r="IR23">
        <v>-2.10952612506686E-5</v>
      </c>
      <c r="IS23">
        <v>0</v>
      </c>
      <c r="IT23">
        <v>1734</v>
      </c>
      <c r="IU23">
        <v>2</v>
      </c>
      <c r="IV23">
        <v>19</v>
      </c>
      <c r="IW23">
        <v>0.8</v>
      </c>
      <c r="IX23">
        <v>0.9</v>
      </c>
      <c r="IY23">
        <v>1.0607899999999999</v>
      </c>
      <c r="IZ23">
        <v>2.5512700000000001</v>
      </c>
      <c r="JA23">
        <v>1.3464400000000001</v>
      </c>
      <c r="JB23">
        <v>2.2534200000000002</v>
      </c>
      <c r="JC23">
        <v>1.5502899999999999</v>
      </c>
      <c r="JD23">
        <v>2.67578</v>
      </c>
      <c r="JE23">
        <v>35.707799999999999</v>
      </c>
      <c r="JF23">
        <v>16.014600000000002</v>
      </c>
      <c r="JG23">
        <v>18</v>
      </c>
      <c r="JH23">
        <v>499.21800000000002</v>
      </c>
      <c r="JI23">
        <v>489.19</v>
      </c>
      <c r="JJ23">
        <v>23.7866</v>
      </c>
      <c r="JK23">
        <v>27.6205</v>
      </c>
      <c r="JL23">
        <v>30</v>
      </c>
      <c r="JM23">
        <v>27.6173</v>
      </c>
      <c r="JN23">
        <v>27.630099999999999</v>
      </c>
      <c r="JO23">
        <v>21.240100000000002</v>
      </c>
      <c r="JP23">
        <v>23.551500000000001</v>
      </c>
      <c r="JQ23">
        <v>53.781500000000001</v>
      </c>
      <c r="JR23">
        <v>23.788</v>
      </c>
      <c r="JS23">
        <v>401.43299999999999</v>
      </c>
      <c r="JT23">
        <v>17.246200000000002</v>
      </c>
      <c r="JU23">
        <v>101.807</v>
      </c>
      <c r="JV23">
        <v>97.423500000000004</v>
      </c>
    </row>
    <row r="24" spans="1:282" x14ac:dyDescent="0.3">
      <c r="A24">
        <v>8</v>
      </c>
      <c r="B24">
        <v>1792211552</v>
      </c>
      <c r="C24">
        <v>929</v>
      </c>
      <c r="D24" t="s">
        <v>445</v>
      </c>
      <c r="E24" t="s">
        <v>446</v>
      </c>
      <c r="F24">
        <v>5</v>
      </c>
      <c r="G24">
        <v>1792211548.5</v>
      </c>
      <c r="H24">
        <f t="shared" si="0"/>
        <v>3.3974169621063229E-4</v>
      </c>
      <c r="I24">
        <f t="shared" si="1"/>
        <v>0.33974169621063227</v>
      </c>
      <c r="J24">
        <f t="shared" si="2"/>
        <v>1.0022616151645469</v>
      </c>
      <c r="K24">
        <f t="shared" si="3"/>
        <v>400.05283333333301</v>
      </c>
      <c r="L24">
        <f t="shared" si="4"/>
        <v>325.74669712377766</v>
      </c>
      <c r="M24">
        <f t="shared" si="5"/>
        <v>33.182374416845555</v>
      </c>
      <c r="N24">
        <f t="shared" si="6"/>
        <v>40.751611664514982</v>
      </c>
      <c r="O24">
        <f t="shared" si="7"/>
        <v>2.4328414340797935E-2</v>
      </c>
      <c r="P24">
        <f t="shared" si="8"/>
        <v>3.035245270494547</v>
      </c>
      <c r="Q24">
        <f t="shared" si="9"/>
        <v>2.4220599583868834E-2</v>
      </c>
      <c r="R24">
        <f t="shared" si="10"/>
        <v>1.5147521515363045E-2</v>
      </c>
      <c r="S24">
        <f t="shared" si="11"/>
        <v>8.2392638070893582</v>
      </c>
      <c r="T24">
        <f t="shared" si="12"/>
        <v>25.277183352690095</v>
      </c>
      <c r="U24">
        <f t="shared" si="13"/>
        <v>24.998416666666699</v>
      </c>
      <c r="V24">
        <f t="shared" si="14"/>
        <v>3.179377450668921</v>
      </c>
      <c r="W24">
        <f t="shared" si="15"/>
        <v>55.102505035335859</v>
      </c>
      <c r="X24">
        <f t="shared" si="16"/>
        <v>1.7853317101775461</v>
      </c>
      <c r="Y24">
        <f t="shared" si="17"/>
        <v>3.2400191407498764</v>
      </c>
      <c r="Z24">
        <f t="shared" si="18"/>
        <v>1.3940457404913749</v>
      </c>
      <c r="AA24">
        <f t="shared" si="19"/>
        <v>-14.982608802888883</v>
      </c>
      <c r="AB24">
        <f t="shared" si="20"/>
        <v>51.91902091211103</v>
      </c>
      <c r="AC24">
        <f t="shared" si="21"/>
        <v>3.6239259800772508</v>
      </c>
      <c r="AD24">
        <f t="shared" si="22"/>
        <v>48.799601896388758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53962.550694026744</v>
      </c>
      <c r="AJ24" t="s">
        <v>416</v>
      </c>
      <c r="AK24">
        <v>8118.75</v>
      </c>
      <c r="AL24">
        <v>202.77699999999999</v>
      </c>
      <c r="AM24">
        <v>843.89972736790196</v>
      </c>
      <c r="AN24">
        <f t="shared" si="26"/>
        <v>0.75971434351275902</v>
      </c>
      <c r="AO24">
        <v>-1.44499194741429</v>
      </c>
      <c r="AP24" t="s">
        <v>447</v>
      </c>
      <c r="AQ24">
        <v>8139.69</v>
      </c>
      <c r="AR24">
        <v>321.00192307692299</v>
      </c>
      <c r="AS24">
        <v>1173.50954266809</v>
      </c>
      <c r="AT24">
        <f t="shared" si="27"/>
        <v>0.72645989537750721</v>
      </c>
      <c r="AU24">
        <v>0.5</v>
      </c>
      <c r="AV24">
        <f t="shared" si="28"/>
        <v>42.128199402636973</v>
      </c>
      <c r="AW24">
        <f t="shared" si="29"/>
        <v>1.0022616151645469</v>
      </c>
      <c r="AX24">
        <f t="shared" si="30"/>
        <v>15.302223665241209</v>
      </c>
      <c r="AY24">
        <f t="shared" si="31"/>
        <v>5.8090628065761894E-2</v>
      </c>
      <c r="AZ24">
        <f t="shared" si="32"/>
        <v>-0.2808752748194851</v>
      </c>
      <c r="BA24">
        <f t="shared" si="33"/>
        <v>217.45296585840802</v>
      </c>
      <c r="BB24" t="s">
        <v>418</v>
      </c>
      <c r="BC24">
        <v>0</v>
      </c>
      <c r="BD24">
        <f t="shared" si="34"/>
        <v>217.45296585840802</v>
      </c>
      <c r="BE24">
        <f t="shared" si="35"/>
        <v>0.81469859600459049</v>
      </c>
      <c r="BF24">
        <f t="shared" si="36"/>
        <v>0.89169160096774469</v>
      </c>
      <c r="BG24">
        <f t="shared" si="37"/>
        <v>-0.52615774484324274</v>
      </c>
      <c r="BH24">
        <f t="shared" si="38"/>
        <v>0.87821061118237786</v>
      </c>
      <c r="BI24">
        <f t="shared" si="39"/>
        <v>-0.51411344697353822</v>
      </c>
      <c r="BJ24">
        <f t="shared" si="40"/>
        <v>0.60404928856143614</v>
      </c>
      <c r="BK24">
        <f t="shared" si="41"/>
        <v>0.39595071143856386</v>
      </c>
      <c r="BL24">
        <v>1137</v>
      </c>
      <c r="BM24">
        <v>290</v>
      </c>
      <c r="BN24">
        <v>1102.94</v>
      </c>
      <c r="BO24">
        <v>175</v>
      </c>
      <c r="BP24">
        <v>8139.69</v>
      </c>
      <c r="BQ24">
        <v>1101.42</v>
      </c>
      <c r="BR24">
        <v>1.52</v>
      </c>
      <c r="BS24">
        <v>300</v>
      </c>
      <c r="BT24">
        <v>19.3</v>
      </c>
      <c r="BU24">
        <v>1173.50954266809</v>
      </c>
      <c r="BV24">
        <v>1.76317683259512</v>
      </c>
      <c r="BW24">
        <v>-58.681444486192397</v>
      </c>
      <c r="BX24">
        <v>1.2829232192936</v>
      </c>
      <c r="BY24">
        <v>0.98679361057709003</v>
      </c>
      <c r="BZ24">
        <v>-5.3654164627363696E-3</v>
      </c>
      <c r="CA24">
        <v>290</v>
      </c>
      <c r="CB24">
        <v>1087.44</v>
      </c>
      <c r="CC24">
        <v>615</v>
      </c>
      <c r="CD24">
        <v>8124.44</v>
      </c>
      <c r="CE24">
        <v>1101.28</v>
      </c>
      <c r="CF24">
        <v>-13.84</v>
      </c>
      <c r="CT24">
        <f t="shared" si="42"/>
        <v>49.991900000000001</v>
      </c>
      <c r="CU24">
        <f t="shared" si="43"/>
        <v>42.128199402636973</v>
      </c>
      <c r="CV24">
        <f t="shared" si="44"/>
        <v>0.84270050553463605</v>
      </c>
      <c r="CW24">
        <f t="shared" si="45"/>
        <v>0.16481197568184763</v>
      </c>
      <c r="CX24">
        <v>2</v>
      </c>
      <c r="CY24">
        <v>0.5</v>
      </c>
      <c r="CZ24" t="s">
        <v>419</v>
      </c>
      <c r="DA24">
        <v>2</v>
      </c>
      <c r="DB24">
        <v>1792211548.5</v>
      </c>
      <c r="DC24">
        <v>400.05283333333301</v>
      </c>
      <c r="DD24">
        <v>400.50816666666702</v>
      </c>
      <c r="DE24">
        <v>17.526350000000001</v>
      </c>
      <c r="DF24">
        <v>17.3928166666667</v>
      </c>
      <c r="DG24">
        <v>399.19866666666701</v>
      </c>
      <c r="DH24">
        <v>17.6397166666667</v>
      </c>
      <c r="DI24">
        <v>499.93099999999998</v>
      </c>
      <c r="DJ24">
        <v>101.7655</v>
      </c>
      <c r="DK24">
        <v>0.100074416666667</v>
      </c>
      <c r="DL24">
        <v>25.3157</v>
      </c>
      <c r="DM24">
        <v>24.998416666666699</v>
      </c>
      <c r="DN24">
        <v>999.9</v>
      </c>
      <c r="DO24">
        <v>0</v>
      </c>
      <c r="DP24">
        <v>0</v>
      </c>
      <c r="DQ24">
        <v>9970.73</v>
      </c>
      <c r="DR24">
        <v>0</v>
      </c>
      <c r="DS24">
        <v>7.5493016666666701</v>
      </c>
      <c r="DT24">
        <v>-0.45504266666666698</v>
      </c>
      <c r="DU24">
        <v>407.18933333333302</v>
      </c>
      <c r="DV24">
        <v>407.59716666666702</v>
      </c>
      <c r="DW24">
        <v>0.1335345</v>
      </c>
      <c r="DX24">
        <v>400.50816666666702</v>
      </c>
      <c r="DY24">
        <v>17.3928166666667</v>
      </c>
      <c r="DZ24">
        <v>1.7835766666666699</v>
      </c>
      <c r="EA24">
        <v>1.76999</v>
      </c>
      <c r="EB24">
        <v>15.6435833333333</v>
      </c>
      <c r="EC24">
        <v>15.524233333333299</v>
      </c>
      <c r="ED24">
        <v>49.991900000000001</v>
      </c>
      <c r="EE24">
        <v>0.89993000000000001</v>
      </c>
      <c r="EF24">
        <v>0.10007000000000001</v>
      </c>
      <c r="EG24">
        <v>0</v>
      </c>
      <c r="EH24">
        <v>320.99849999999998</v>
      </c>
      <c r="EI24">
        <v>5.0006399999999998</v>
      </c>
      <c r="EJ24">
        <v>145.51466666666701</v>
      </c>
      <c r="EK24">
        <v>456.238333333333</v>
      </c>
      <c r="EL24">
        <v>35.125</v>
      </c>
      <c r="EM24">
        <v>38.072499999999998</v>
      </c>
      <c r="EN24">
        <v>36.8645</v>
      </c>
      <c r="EO24">
        <v>38</v>
      </c>
      <c r="EP24">
        <v>37.811999999999998</v>
      </c>
      <c r="EQ24">
        <v>40.49</v>
      </c>
      <c r="ER24">
        <v>4.5</v>
      </c>
      <c r="ES24">
        <v>0</v>
      </c>
      <c r="ET24">
        <v>132.90000009536701</v>
      </c>
      <c r="EU24">
        <v>0</v>
      </c>
      <c r="EV24">
        <v>321.00192307692299</v>
      </c>
      <c r="EW24">
        <v>0.124034198527706</v>
      </c>
      <c r="EX24">
        <v>1.4800341783111299</v>
      </c>
      <c r="EY24">
        <v>145.46326923076899</v>
      </c>
      <c r="EZ24">
        <v>15</v>
      </c>
      <c r="FA24">
        <v>1792211482</v>
      </c>
      <c r="FB24" t="s">
        <v>448</v>
      </c>
      <c r="FC24">
        <v>1792211482</v>
      </c>
      <c r="FD24">
        <v>1792211478</v>
      </c>
      <c r="FE24">
        <v>37</v>
      </c>
      <c r="FF24">
        <v>-4.2999999999999997E-2</v>
      </c>
      <c r="FG24">
        <v>0</v>
      </c>
      <c r="FH24">
        <v>0.85399999999999998</v>
      </c>
      <c r="FI24">
        <v>-0.122</v>
      </c>
      <c r="FJ24">
        <v>401</v>
      </c>
      <c r="FK24">
        <v>17</v>
      </c>
      <c r="FL24">
        <v>0.25</v>
      </c>
      <c r="FM24">
        <v>0.17</v>
      </c>
      <c r="FN24">
        <v>1.0848782927551199</v>
      </c>
      <c r="FO24">
        <v>0.23290767556498801</v>
      </c>
      <c r="FP24">
        <v>0.10208100680115299</v>
      </c>
      <c r="FQ24">
        <v>1</v>
      </c>
      <c r="FR24">
        <v>-0.49022369999999998</v>
      </c>
      <c r="FS24">
        <v>-5.1298105263157499E-2</v>
      </c>
      <c r="FT24">
        <v>4.42069467245816E-2</v>
      </c>
      <c r="FU24">
        <v>1</v>
      </c>
      <c r="FV24">
        <v>320.96726470588197</v>
      </c>
      <c r="FW24">
        <v>0.94837280562236803</v>
      </c>
      <c r="FX24">
        <v>0.18171621521474901</v>
      </c>
      <c r="FY24">
        <v>1</v>
      </c>
      <c r="FZ24">
        <v>3</v>
      </c>
      <c r="GA24">
        <v>3</v>
      </c>
      <c r="GB24" t="s">
        <v>421</v>
      </c>
      <c r="GC24">
        <v>3.1236600000000001</v>
      </c>
      <c r="GD24">
        <v>2.7650199999999998</v>
      </c>
      <c r="GE24">
        <v>8.8359800000000002E-2</v>
      </c>
      <c r="GF24">
        <v>9.07752E-2</v>
      </c>
      <c r="GG24">
        <v>9.4167600000000004E-2</v>
      </c>
      <c r="GH24">
        <v>9.6853099999999998E-2</v>
      </c>
      <c r="GI24">
        <v>17779.599999999999</v>
      </c>
      <c r="GJ24">
        <v>26731.200000000001</v>
      </c>
      <c r="GK24">
        <v>22787.3</v>
      </c>
      <c r="GL24">
        <v>30124.400000000001</v>
      </c>
      <c r="GM24">
        <v>33854.199999999997</v>
      </c>
      <c r="GN24">
        <v>33889.300000000003</v>
      </c>
      <c r="GO24">
        <v>43113.8</v>
      </c>
      <c r="GP24">
        <v>42901.1</v>
      </c>
      <c r="GQ24">
        <v>1.9763500000000001</v>
      </c>
      <c r="GR24">
        <v>1.8386499999999999</v>
      </c>
      <c r="GS24">
        <v>5.6274200000000003E-2</v>
      </c>
      <c r="GT24">
        <v>0</v>
      </c>
      <c r="GU24">
        <v>24.069400000000002</v>
      </c>
      <c r="GV24">
        <v>999.9</v>
      </c>
      <c r="GW24">
        <v>43.261000000000003</v>
      </c>
      <c r="GX24">
        <v>31.824000000000002</v>
      </c>
      <c r="GY24">
        <v>20.097200000000001</v>
      </c>
      <c r="GZ24">
        <v>63.445099999999996</v>
      </c>
      <c r="HA24">
        <v>34.491199999999999</v>
      </c>
      <c r="HB24">
        <v>1</v>
      </c>
      <c r="HC24">
        <v>3.6123000000000002E-2</v>
      </c>
      <c r="HD24">
        <v>0.92139400000000005</v>
      </c>
      <c r="HE24">
        <v>20.247499999999999</v>
      </c>
      <c r="HF24">
        <v>5.2333100000000004</v>
      </c>
      <c r="HG24">
        <v>11.962300000000001</v>
      </c>
      <c r="HH24">
        <v>4.9687999999999999</v>
      </c>
      <c r="HI24">
        <v>3.2950499999999998</v>
      </c>
      <c r="HJ24">
        <v>9999</v>
      </c>
      <c r="HK24">
        <v>9999</v>
      </c>
      <c r="HL24">
        <v>9999</v>
      </c>
      <c r="HM24">
        <v>999.9</v>
      </c>
      <c r="HN24">
        <v>4.9686500000000002</v>
      </c>
      <c r="HO24">
        <v>1.8624799999999999</v>
      </c>
      <c r="HP24">
        <v>1.8640099999999999</v>
      </c>
      <c r="HQ24">
        <v>1.86589</v>
      </c>
      <c r="HR24">
        <v>1.8629500000000001</v>
      </c>
      <c r="HS24">
        <v>1.8666100000000001</v>
      </c>
      <c r="HT24">
        <v>1.8633999999999999</v>
      </c>
      <c r="HU24">
        <v>1.8653200000000001</v>
      </c>
      <c r="HV24">
        <v>0</v>
      </c>
      <c r="HW24">
        <v>0</v>
      </c>
      <c r="HX24">
        <v>0</v>
      </c>
      <c r="HY24">
        <v>0</v>
      </c>
      <c r="HZ24" t="s">
        <v>422</v>
      </c>
      <c r="IA24" t="s">
        <v>423</v>
      </c>
      <c r="IB24" t="s">
        <v>424</v>
      </c>
      <c r="IC24" t="s">
        <v>424</v>
      </c>
      <c r="ID24" t="s">
        <v>424</v>
      </c>
      <c r="IE24" t="s">
        <v>424</v>
      </c>
      <c r="IF24">
        <v>0</v>
      </c>
      <c r="IG24">
        <v>100</v>
      </c>
      <c r="IH24">
        <v>100</v>
      </c>
      <c r="II24">
        <v>0.85399999999999998</v>
      </c>
      <c r="IJ24">
        <v>-0.1134</v>
      </c>
      <c r="IK24">
        <v>0.72757584998106095</v>
      </c>
      <c r="IL24">
        <v>2.16929631606078E-4</v>
      </c>
      <c r="IM24">
        <v>2.7226302473163502E-7</v>
      </c>
      <c r="IN24">
        <v>-5.4379205123515401E-11</v>
      </c>
      <c r="IO24">
        <v>-2.9484000038882199E-2</v>
      </c>
      <c r="IP24">
        <v>-5.8443384954566899E-2</v>
      </c>
      <c r="IQ24">
        <v>3.41568706061026E-3</v>
      </c>
      <c r="IR24">
        <v>-2.10952612506686E-5</v>
      </c>
      <c r="IS24">
        <v>0</v>
      </c>
      <c r="IT24">
        <v>1734</v>
      </c>
      <c r="IU24">
        <v>2</v>
      </c>
      <c r="IV24">
        <v>19</v>
      </c>
      <c r="IW24">
        <v>1.2</v>
      </c>
      <c r="IX24">
        <v>1.2</v>
      </c>
      <c r="IY24">
        <v>1.0595699999999999</v>
      </c>
      <c r="IZ24">
        <v>2.5647000000000002</v>
      </c>
      <c r="JA24">
        <v>1.3464400000000001</v>
      </c>
      <c r="JB24">
        <v>2.2534200000000002</v>
      </c>
      <c r="JC24">
        <v>1.5502899999999999</v>
      </c>
      <c r="JD24">
        <v>2.5317400000000001</v>
      </c>
      <c r="JE24">
        <v>35.6845</v>
      </c>
      <c r="JF24">
        <v>16.005800000000001</v>
      </c>
      <c r="JG24">
        <v>18</v>
      </c>
      <c r="JH24">
        <v>499.36200000000002</v>
      </c>
      <c r="JI24">
        <v>489.66899999999998</v>
      </c>
      <c r="JJ24">
        <v>23.956900000000001</v>
      </c>
      <c r="JK24">
        <v>27.629899999999999</v>
      </c>
      <c r="JL24">
        <v>30.0001</v>
      </c>
      <c r="JM24">
        <v>27.6267</v>
      </c>
      <c r="JN24">
        <v>27.6417</v>
      </c>
      <c r="JO24">
        <v>21.205200000000001</v>
      </c>
      <c r="JP24">
        <v>23.551500000000001</v>
      </c>
      <c r="JQ24">
        <v>56.425600000000003</v>
      </c>
      <c r="JR24">
        <v>23.9467</v>
      </c>
      <c r="JS24">
        <v>400.59500000000003</v>
      </c>
      <c r="JT24">
        <v>17.3111</v>
      </c>
      <c r="JU24">
        <v>101.804</v>
      </c>
      <c r="JV24">
        <v>97.422200000000004</v>
      </c>
    </row>
    <row r="25" spans="1:282" x14ac:dyDescent="0.3">
      <c r="A25">
        <v>9</v>
      </c>
      <c r="B25">
        <v>1792211735</v>
      </c>
      <c r="C25">
        <v>1112</v>
      </c>
      <c r="D25" t="s">
        <v>449</v>
      </c>
      <c r="E25" t="s">
        <v>450</v>
      </c>
      <c r="F25">
        <v>5</v>
      </c>
      <c r="G25">
        <v>1792211732</v>
      </c>
      <c r="H25">
        <f t="shared" si="0"/>
        <v>2.5969429009459384E-4</v>
      </c>
      <c r="I25">
        <f t="shared" si="1"/>
        <v>0.25969429009459383</v>
      </c>
      <c r="J25">
        <f t="shared" si="2"/>
        <v>-1.833105213217127</v>
      </c>
      <c r="K25">
        <f t="shared" si="3"/>
        <v>399.9896</v>
      </c>
      <c r="L25">
        <f t="shared" si="4"/>
        <v>549.05744801940432</v>
      </c>
      <c r="M25">
        <f t="shared" si="5"/>
        <v>55.931035408455443</v>
      </c>
      <c r="N25">
        <f t="shared" si="6"/>
        <v>40.745886539405035</v>
      </c>
      <c r="O25">
        <f t="shared" si="7"/>
        <v>1.8405562810321303E-2</v>
      </c>
      <c r="P25">
        <f t="shared" si="8"/>
        <v>3.0394258780977883</v>
      </c>
      <c r="Q25">
        <f t="shared" si="9"/>
        <v>1.8343866479925208E-2</v>
      </c>
      <c r="R25">
        <f t="shared" si="10"/>
        <v>1.1470442394081293E-2</v>
      </c>
      <c r="S25">
        <f t="shared" si="11"/>
        <v>6.3856599478895988E-4</v>
      </c>
      <c r="T25">
        <f t="shared" si="12"/>
        <v>25.270574102772642</v>
      </c>
      <c r="U25">
        <f t="shared" si="13"/>
        <v>25.030899999999999</v>
      </c>
      <c r="V25">
        <f t="shared" si="14"/>
        <v>3.1855400043638205</v>
      </c>
      <c r="W25">
        <f t="shared" si="15"/>
        <v>54.827010890776897</v>
      </c>
      <c r="X25">
        <f t="shared" si="16"/>
        <v>1.7785410333877618</v>
      </c>
      <c r="Y25">
        <f t="shared" si="17"/>
        <v>3.2439139112122404</v>
      </c>
      <c r="Z25">
        <f t="shared" si="18"/>
        <v>1.4069989709760586</v>
      </c>
      <c r="AA25">
        <f t="shared" si="19"/>
        <v>-11.452518193171588</v>
      </c>
      <c r="AB25">
        <f t="shared" si="20"/>
        <v>49.977766021702386</v>
      </c>
      <c r="AC25">
        <f t="shared" si="21"/>
        <v>3.4845523330555288</v>
      </c>
      <c r="AD25">
        <f t="shared" si="22"/>
        <v>42.010438727581118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54089.907731457541</v>
      </c>
      <c r="AJ25" t="s">
        <v>451</v>
      </c>
      <c r="AK25">
        <v>8137.14</v>
      </c>
      <c r="AL25">
        <v>339.64800000000002</v>
      </c>
      <c r="AM25">
        <v>1291.7890306731799</v>
      </c>
      <c r="AN25">
        <f t="shared" si="26"/>
        <v>0.73707161778343799</v>
      </c>
      <c r="AO25">
        <v>-1.8331052132171299</v>
      </c>
      <c r="AP25" t="s">
        <v>418</v>
      </c>
      <c r="AQ25" t="s">
        <v>418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3.3608736567839995E-3</v>
      </c>
      <c r="AW25">
        <f t="shared" si="29"/>
        <v>-1.833105213217127</v>
      </c>
      <c r="AX25" t="e">
        <f t="shared" si="30"/>
        <v>#DIV/0!</v>
      </c>
      <c r="AY25">
        <f t="shared" si="31"/>
        <v>8.5887782725743953E-13</v>
      </c>
      <c r="AZ25" t="e">
        <f t="shared" si="32"/>
        <v>#DIV/0!</v>
      </c>
      <c r="BA25" t="e">
        <f t="shared" si="33"/>
        <v>#DIV/0!</v>
      </c>
      <c r="BB25" t="s">
        <v>418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1.3567202641817286</v>
      </c>
      <c r="BJ25" t="e">
        <f t="shared" si="40"/>
        <v>#DIV/0!</v>
      </c>
      <c r="BK25" t="e">
        <f t="shared" si="41"/>
        <v>#DIV/0!</v>
      </c>
      <c r="BL25">
        <v>1138</v>
      </c>
      <c r="BM25">
        <v>290</v>
      </c>
      <c r="BN25">
        <v>1235.3699999999999</v>
      </c>
      <c r="BO25">
        <v>145</v>
      </c>
      <c r="BP25">
        <v>8137.14</v>
      </c>
      <c r="BQ25">
        <v>1226.99</v>
      </c>
      <c r="BR25">
        <v>8.3800000000000008</v>
      </c>
      <c r="BS25">
        <v>300</v>
      </c>
      <c r="BT25">
        <v>19.3</v>
      </c>
      <c r="BU25">
        <v>1291.7890306731799</v>
      </c>
      <c r="BV25">
        <v>2.4733662300604902</v>
      </c>
      <c r="BW25">
        <v>-52.725713425130103</v>
      </c>
      <c r="BX25">
        <v>1.7971348198971</v>
      </c>
      <c r="BY25">
        <v>0.96849553969215396</v>
      </c>
      <c r="BZ25">
        <v>-5.3927486095661902E-3</v>
      </c>
      <c r="CA25">
        <v>290</v>
      </c>
      <c r="CB25">
        <v>1210.3699999999999</v>
      </c>
      <c r="CC25">
        <v>615</v>
      </c>
      <c r="CD25">
        <v>8118.65</v>
      </c>
      <c r="CE25">
        <v>1226.8499999999999</v>
      </c>
      <c r="CF25">
        <v>-16.48</v>
      </c>
      <c r="CT25">
        <f t="shared" si="42"/>
        <v>2.0002599999999999E-2</v>
      </c>
      <c r="CU25">
        <f t="shared" si="43"/>
        <v>3.3608736567839995E-3</v>
      </c>
      <c r="CV25">
        <f t="shared" si="44"/>
        <v>0.16802183999999998</v>
      </c>
      <c r="CW25">
        <f t="shared" si="45"/>
        <v>3.1924149599999993E-2</v>
      </c>
      <c r="CX25">
        <v>2</v>
      </c>
      <c r="CY25">
        <v>0.5</v>
      </c>
      <c r="CZ25" t="s">
        <v>419</v>
      </c>
      <c r="DA25">
        <v>2</v>
      </c>
      <c r="DB25">
        <v>1792211732</v>
      </c>
      <c r="DC25">
        <v>399.9896</v>
      </c>
      <c r="DD25">
        <v>399.2978</v>
      </c>
      <c r="DE25">
        <v>17.459379999999999</v>
      </c>
      <c r="DF25">
        <v>17.357299999999999</v>
      </c>
      <c r="DG25">
        <v>399.10739999999998</v>
      </c>
      <c r="DH25">
        <v>17.576239999999999</v>
      </c>
      <c r="DI25">
        <v>499.92200000000003</v>
      </c>
      <c r="DJ25">
        <v>101.7676</v>
      </c>
      <c r="DK25">
        <v>9.9764900000000004E-2</v>
      </c>
      <c r="DL25">
        <v>25.335899999999999</v>
      </c>
      <c r="DM25">
        <v>25.030899999999999</v>
      </c>
      <c r="DN25">
        <v>999.9</v>
      </c>
      <c r="DO25">
        <v>0</v>
      </c>
      <c r="DP25">
        <v>0</v>
      </c>
      <c r="DQ25">
        <v>9995.7459999999992</v>
      </c>
      <c r="DR25">
        <v>0</v>
      </c>
      <c r="DS25">
        <v>7.5293000000000001</v>
      </c>
      <c r="DT25">
        <v>0.69199219999999995</v>
      </c>
      <c r="DU25">
        <v>407.09699999999998</v>
      </c>
      <c r="DV25">
        <v>406.35079999999999</v>
      </c>
      <c r="DW25">
        <v>0.10207912</v>
      </c>
      <c r="DX25">
        <v>399.2978</v>
      </c>
      <c r="DY25">
        <v>17.357299999999999</v>
      </c>
      <c r="DZ25">
        <v>1.776796</v>
      </c>
      <c r="EA25">
        <v>1.7664059999999999</v>
      </c>
      <c r="EB25">
        <v>15.58414</v>
      </c>
      <c r="EC25">
        <v>15.492660000000001</v>
      </c>
      <c r="ED25">
        <v>2.0002599999999999E-2</v>
      </c>
      <c r="EE25">
        <v>0</v>
      </c>
      <c r="EF25">
        <v>0</v>
      </c>
      <c r="EG25">
        <v>0</v>
      </c>
      <c r="EH25">
        <v>338.63499999999999</v>
      </c>
      <c r="EI25">
        <v>2.0002599999999999E-2</v>
      </c>
      <c r="EJ25">
        <v>-6.2850000000000001</v>
      </c>
      <c r="EK25">
        <v>1.1200000000000001</v>
      </c>
      <c r="EL25">
        <v>35.811999999999998</v>
      </c>
      <c r="EM25">
        <v>41.099800000000002</v>
      </c>
      <c r="EN25">
        <v>38.549599999999998</v>
      </c>
      <c r="EO25">
        <v>41.912199999999999</v>
      </c>
      <c r="EP25">
        <v>39.1374</v>
      </c>
      <c r="EQ25">
        <v>0</v>
      </c>
      <c r="ER25">
        <v>0</v>
      </c>
      <c r="ES25">
        <v>0</v>
      </c>
      <c r="ET25">
        <v>181.799999952316</v>
      </c>
      <c r="EU25">
        <v>0</v>
      </c>
      <c r="EV25">
        <v>339.64800000000002</v>
      </c>
      <c r="EW25">
        <v>-6.8307692111485503</v>
      </c>
      <c r="EX25">
        <v>4.8173074819103299</v>
      </c>
      <c r="EY25">
        <v>-7.9390000000000001</v>
      </c>
      <c r="EZ25">
        <v>15</v>
      </c>
      <c r="FA25">
        <v>1792211614</v>
      </c>
      <c r="FB25" t="s">
        <v>452</v>
      </c>
      <c r="FC25">
        <v>1792211613</v>
      </c>
      <c r="FD25">
        <v>1792211614</v>
      </c>
      <c r="FE25">
        <v>38</v>
      </c>
      <c r="FF25">
        <v>2.8000000000000001E-2</v>
      </c>
      <c r="FG25">
        <v>-1E-3</v>
      </c>
      <c r="FH25">
        <v>0.88200000000000001</v>
      </c>
      <c r="FI25">
        <v>-0.121</v>
      </c>
      <c r="FJ25">
        <v>400</v>
      </c>
      <c r="FK25">
        <v>17</v>
      </c>
      <c r="FL25">
        <v>0.48</v>
      </c>
      <c r="FM25">
        <v>0.15</v>
      </c>
      <c r="FN25">
        <v>-1.8498515512046401</v>
      </c>
      <c r="FO25">
        <v>3.6998043562920198E-2</v>
      </c>
      <c r="FP25">
        <v>7.1331817733890801E-2</v>
      </c>
      <c r="FQ25">
        <v>1</v>
      </c>
      <c r="FR25">
        <v>0.70509489999999997</v>
      </c>
      <c r="FS25">
        <v>4.2068661654135399E-2</v>
      </c>
      <c r="FT25">
        <v>2.9491259671129699E-2</v>
      </c>
      <c r="FU25">
        <v>1</v>
      </c>
      <c r="FV25">
        <v>339.81691176470599</v>
      </c>
      <c r="FW25">
        <v>-5.3388081739838</v>
      </c>
      <c r="FX25">
        <v>2.8920957226006698</v>
      </c>
      <c r="FY25">
        <v>0</v>
      </c>
      <c r="FZ25">
        <v>2</v>
      </c>
      <c r="GA25">
        <v>3</v>
      </c>
      <c r="GB25" t="s">
        <v>453</v>
      </c>
      <c r="GC25">
        <v>3.1236799999999998</v>
      </c>
      <c r="GD25">
        <v>2.7651500000000002</v>
      </c>
      <c r="GE25">
        <v>8.8345599999999996E-2</v>
      </c>
      <c r="GF25">
        <v>9.0568800000000005E-2</v>
      </c>
      <c r="GG25">
        <v>9.3903100000000003E-2</v>
      </c>
      <c r="GH25">
        <v>9.6643499999999993E-2</v>
      </c>
      <c r="GI25">
        <v>17779.3</v>
      </c>
      <c r="GJ25">
        <v>26735.9</v>
      </c>
      <c r="GK25">
        <v>22786.7</v>
      </c>
      <c r="GL25">
        <v>30122.9</v>
      </c>
      <c r="GM25">
        <v>33863.4</v>
      </c>
      <c r="GN25">
        <v>33895.300000000003</v>
      </c>
      <c r="GO25">
        <v>43112.4</v>
      </c>
      <c r="GP25">
        <v>42898.7</v>
      </c>
      <c r="GQ25">
        <v>1.9758199999999999</v>
      </c>
      <c r="GR25">
        <v>1.8388500000000001</v>
      </c>
      <c r="GS25">
        <v>5.5238599999999999E-2</v>
      </c>
      <c r="GT25">
        <v>0</v>
      </c>
      <c r="GU25">
        <v>24.114999999999998</v>
      </c>
      <c r="GV25">
        <v>999.9</v>
      </c>
      <c r="GW25">
        <v>43.871000000000002</v>
      </c>
      <c r="GX25">
        <v>31.773</v>
      </c>
      <c r="GY25">
        <v>20.321899999999999</v>
      </c>
      <c r="GZ25">
        <v>63.595100000000002</v>
      </c>
      <c r="HA25">
        <v>34.138599999999997</v>
      </c>
      <c r="HB25">
        <v>1</v>
      </c>
      <c r="HC25">
        <v>3.6773399999999998E-2</v>
      </c>
      <c r="HD25">
        <v>0.74569399999999997</v>
      </c>
      <c r="HE25">
        <v>20.251899999999999</v>
      </c>
      <c r="HF25">
        <v>5.2345100000000002</v>
      </c>
      <c r="HG25">
        <v>11.962899999999999</v>
      </c>
      <c r="HH25">
        <v>4.9686000000000003</v>
      </c>
      <c r="HI25">
        <v>3.2951000000000001</v>
      </c>
      <c r="HJ25">
        <v>9999</v>
      </c>
      <c r="HK25">
        <v>9999</v>
      </c>
      <c r="HL25">
        <v>9999</v>
      </c>
      <c r="HM25">
        <v>999.9</v>
      </c>
      <c r="HN25">
        <v>4.96868</v>
      </c>
      <c r="HO25">
        <v>1.8624700000000001</v>
      </c>
      <c r="HP25">
        <v>1.8640099999999999</v>
      </c>
      <c r="HQ25">
        <v>1.8659600000000001</v>
      </c>
      <c r="HR25">
        <v>1.8629500000000001</v>
      </c>
      <c r="HS25">
        <v>1.8666199999999999</v>
      </c>
      <c r="HT25">
        <v>1.8633999999999999</v>
      </c>
      <c r="HU25">
        <v>1.86531</v>
      </c>
      <c r="HV25">
        <v>0</v>
      </c>
      <c r="HW25">
        <v>0</v>
      </c>
      <c r="HX25">
        <v>0</v>
      </c>
      <c r="HY25">
        <v>0</v>
      </c>
      <c r="HZ25" t="s">
        <v>422</v>
      </c>
      <c r="IA25" t="s">
        <v>423</v>
      </c>
      <c r="IB25" t="s">
        <v>424</v>
      </c>
      <c r="IC25" t="s">
        <v>424</v>
      </c>
      <c r="ID25" t="s">
        <v>424</v>
      </c>
      <c r="IE25" t="s">
        <v>424</v>
      </c>
      <c r="IF25">
        <v>0</v>
      </c>
      <c r="IG25">
        <v>100</v>
      </c>
      <c r="IH25">
        <v>100</v>
      </c>
      <c r="II25">
        <v>0.88200000000000001</v>
      </c>
      <c r="IJ25">
        <v>-0.1171</v>
      </c>
      <c r="IK25">
        <v>0.75592838362738501</v>
      </c>
      <c r="IL25">
        <v>2.16929631606078E-4</v>
      </c>
      <c r="IM25">
        <v>2.7226302473163502E-7</v>
      </c>
      <c r="IN25">
        <v>-5.4379205123515401E-11</v>
      </c>
      <c r="IO25">
        <v>-3.03297708909098E-2</v>
      </c>
      <c r="IP25">
        <v>-5.8443384954566899E-2</v>
      </c>
      <c r="IQ25">
        <v>3.41568706061026E-3</v>
      </c>
      <c r="IR25">
        <v>-2.10952612506686E-5</v>
      </c>
      <c r="IS25">
        <v>0</v>
      </c>
      <c r="IT25">
        <v>1734</v>
      </c>
      <c r="IU25">
        <v>2</v>
      </c>
      <c r="IV25">
        <v>19</v>
      </c>
      <c r="IW25">
        <v>2</v>
      </c>
      <c r="IX25">
        <v>2</v>
      </c>
      <c r="IY25">
        <v>1.0559099999999999</v>
      </c>
      <c r="IZ25">
        <v>2.5524900000000001</v>
      </c>
      <c r="JA25">
        <v>1.3464400000000001</v>
      </c>
      <c r="JB25">
        <v>2.2534200000000002</v>
      </c>
      <c r="JC25">
        <v>1.5502899999999999</v>
      </c>
      <c r="JD25">
        <v>2.6355</v>
      </c>
      <c r="JE25">
        <v>35.661299999999997</v>
      </c>
      <c r="JF25">
        <v>16.014600000000002</v>
      </c>
      <c r="JG25">
        <v>18</v>
      </c>
      <c r="JH25">
        <v>499.15800000000002</v>
      </c>
      <c r="JI25">
        <v>489.93900000000002</v>
      </c>
      <c r="JJ25">
        <v>24.050599999999999</v>
      </c>
      <c r="JK25">
        <v>27.643999999999998</v>
      </c>
      <c r="JL25">
        <v>30.000299999999999</v>
      </c>
      <c r="JM25">
        <v>27.640699999999999</v>
      </c>
      <c r="JN25">
        <v>27.6557</v>
      </c>
      <c r="JO25">
        <v>21.154900000000001</v>
      </c>
      <c r="JP25">
        <v>24.935500000000001</v>
      </c>
      <c r="JQ25">
        <v>58.324399999999997</v>
      </c>
      <c r="JR25">
        <v>24.023599999999998</v>
      </c>
      <c r="JS25">
        <v>399.26299999999998</v>
      </c>
      <c r="JT25">
        <v>17.311499999999999</v>
      </c>
      <c r="JU25">
        <v>101.8</v>
      </c>
      <c r="JV25">
        <v>97.417000000000002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2026-10-17T13:38:59Z</dcterms:created>
  <dcterms:modified xsi:type="dcterms:W3CDTF">2026-10-17T10:09:57Z</dcterms:modified>
</cp:coreProperties>
</file>