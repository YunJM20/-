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0 lettuce park/"/>
    </mc:Choice>
  </mc:AlternateContent>
  <xr:revisionPtr revIDLastSave="0" documentId="11_ACE07100DA8B97E6053FE1C3B9CADD9604E095A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9" i="1" l="1"/>
  <c r="CV29" i="1"/>
  <c r="CT29" i="1"/>
  <c r="CU29" i="1" s="1"/>
  <c r="AV29" i="1" s="1"/>
  <c r="BI29" i="1"/>
  <c r="BH29" i="1"/>
  <c r="AZ29" i="1"/>
  <c r="AT29" i="1"/>
  <c r="AX29" i="1" s="1"/>
  <c r="AN29" i="1"/>
  <c r="BA29" i="1" s="1"/>
  <c r="BD29" i="1" s="1"/>
  <c r="AI29" i="1"/>
  <c r="AG29" i="1"/>
  <c r="Y29" i="1"/>
  <c r="X29" i="1"/>
  <c r="W29" i="1" s="1"/>
  <c r="S29" i="1"/>
  <c r="P29" i="1"/>
  <c r="CW28" i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W28" i="1"/>
  <c r="P28" i="1"/>
  <c r="CW27" i="1"/>
  <c r="CV27" i="1"/>
  <c r="CT27" i="1"/>
  <c r="BI27" i="1"/>
  <c r="BH27" i="1"/>
  <c r="AZ27" i="1"/>
  <c r="AT27" i="1"/>
  <c r="AX27" i="1" s="1"/>
  <c r="AN27" i="1"/>
  <c r="BA27" i="1" s="1"/>
  <c r="BD27" i="1" s="1"/>
  <c r="AI27" i="1"/>
  <c r="AG27" i="1"/>
  <c r="Y27" i="1"/>
  <c r="X27" i="1"/>
  <c r="W27" i="1"/>
  <c r="P27" i="1"/>
  <c r="CW26" i="1"/>
  <c r="CV26" i="1"/>
  <c r="CT26" i="1"/>
  <c r="BI26" i="1"/>
  <c r="BH26" i="1"/>
  <c r="AZ26" i="1"/>
  <c r="AT26" i="1"/>
  <c r="AN26" i="1"/>
  <c r="BA26" i="1" s="1"/>
  <c r="BD26" i="1" s="1"/>
  <c r="AI26" i="1"/>
  <c r="AG26" i="1" s="1"/>
  <c r="Y26" i="1"/>
  <c r="X26" i="1"/>
  <c r="W26" i="1"/>
  <c r="P26" i="1"/>
  <c r="CW25" i="1"/>
  <c r="CV25" i="1"/>
  <c r="CT25" i="1"/>
  <c r="CU25" i="1" s="1"/>
  <c r="AV25" i="1" s="1"/>
  <c r="BI25" i="1"/>
  <c r="BH25" i="1"/>
  <c r="AZ25" i="1"/>
  <c r="AT25" i="1"/>
  <c r="AX25" i="1" s="1"/>
  <c r="AN25" i="1"/>
  <c r="BA25" i="1" s="1"/>
  <c r="BD25" i="1" s="1"/>
  <c r="AI25" i="1"/>
  <c r="AG25" i="1" s="1"/>
  <c r="Y25" i="1"/>
  <c r="X25" i="1"/>
  <c r="W25" i="1" s="1"/>
  <c r="S25" i="1"/>
  <c r="P25" i="1"/>
  <c r="CW24" i="1"/>
  <c r="CV24" i="1"/>
  <c r="CT24" i="1"/>
  <c r="CU24" i="1" s="1"/>
  <c r="AV24" i="1" s="1"/>
  <c r="BI24" i="1"/>
  <c r="BH24" i="1"/>
  <c r="AZ24" i="1"/>
  <c r="AT24" i="1"/>
  <c r="AX24" i="1" s="1"/>
  <c r="AN24" i="1"/>
  <c r="BA24" i="1" s="1"/>
  <c r="BD24" i="1" s="1"/>
  <c r="AI24" i="1"/>
  <c r="AG24" i="1" s="1"/>
  <c r="Y24" i="1"/>
  <c r="X24" i="1"/>
  <c r="W24" i="1" s="1"/>
  <c r="S24" i="1"/>
  <c r="P24" i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 s="1"/>
  <c r="Y23" i="1"/>
  <c r="X23" i="1"/>
  <c r="W23" i="1" s="1"/>
  <c r="S23" i="1"/>
  <c r="P23" i="1"/>
  <c r="CW22" i="1"/>
  <c r="S22" i="1" s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 s="1"/>
  <c r="P22" i="1"/>
  <c r="CW21" i="1"/>
  <c r="CV21" i="1"/>
  <c r="CT21" i="1"/>
  <c r="CU21" i="1" s="1"/>
  <c r="AV21" i="1" s="1"/>
  <c r="BI21" i="1"/>
  <c r="BH21" i="1"/>
  <c r="AZ21" i="1"/>
  <c r="AT21" i="1"/>
  <c r="AX21" i="1" s="1"/>
  <c r="AN21" i="1"/>
  <c r="BA21" i="1" s="1"/>
  <c r="BD21" i="1" s="1"/>
  <c r="AI21" i="1"/>
  <c r="AG21" i="1" s="1"/>
  <c r="Y21" i="1"/>
  <c r="X21" i="1"/>
  <c r="W21" i="1" s="1"/>
  <c r="S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 s="1"/>
  <c r="P20" i="1"/>
  <c r="CW19" i="1"/>
  <c r="CV19" i="1"/>
  <c r="CT19" i="1"/>
  <c r="CU19" i="1" s="1"/>
  <c r="AV19" i="1" s="1"/>
  <c r="BI19" i="1"/>
  <c r="BH19" i="1"/>
  <c r="AZ19" i="1"/>
  <c r="AT19" i="1"/>
  <c r="AX19" i="1" s="1"/>
  <c r="AN19" i="1"/>
  <c r="BA19" i="1" s="1"/>
  <c r="BD19" i="1" s="1"/>
  <c r="AI19" i="1"/>
  <c r="AG19" i="1" s="1"/>
  <c r="Y19" i="1"/>
  <c r="X19" i="1"/>
  <c r="W19" i="1" s="1"/>
  <c r="S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X18" i="1"/>
  <c r="W18" i="1" s="1"/>
  <c r="P18" i="1"/>
  <c r="CW17" i="1"/>
  <c r="CV17" i="1"/>
  <c r="CT17" i="1"/>
  <c r="CU17" i="1" s="1"/>
  <c r="AV17" i="1" s="1"/>
  <c r="BI17" i="1"/>
  <c r="BH17" i="1"/>
  <c r="AZ17" i="1"/>
  <c r="AT17" i="1"/>
  <c r="AX17" i="1" s="1"/>
  <c r="AN17" i="1"/>
  <c r="BA17" i="1" s="1"/>
  <c r="BD17" i="1" s="1"/>
  <c r="AI17" i="1"/>
  <c r="AG17" i="1" s="1"/>
  <c r="Y17" i="1"/>
  <c r="X17" i="1"/>
  <c r="W17" i="1" s="1"/>
  <c r="S17" i="1"/>
  <c r="P17" i="1"/>
  <c r="CU23" i="1" l="1"/>
  <c r="AV23" i="1" s="1"/>
  <c r="AX23" i="1" s="1"/>
  <c r="CU22" i="1"/>
  <c r="AV22" i="1" s="1"/>
  <c r="AX22" i="1" s="1"/>
  <c r="CU27" i="1"/>
  <c r="AV27" i="1" s="1"/>
  <c r="S27" i="1"/>
  <c r="T27" i="1" s="1"/>
  <c r="U27" i="1" s="1"/>
  <c r="Q27" i="1" s="1"/>
  <c r="O27" i="1" s="1"/>
  <c r="R27" i="1" s="1"/>
  <c r="L27" i="1" s="1"/>
  <c r="M27" i="1" s="1"/>
  <c r="AH27" i="1"/>
  <c r="N27" i="1"/>
  <c r="K27" i="1"/>
  <c r="J27" i="1"/>
  <c r="AW27" i="1" s="1"/>
  <c r="AY27" i="1" s="1"/>
  <c r="I27" i="1"/>
  <c r="H27" i="1" s="1"/>
  <c r="I26" i="1"/>
  <c r="H26" i="1" s="1"/>
  <c r="J26" i="1"/>
  <c r="AW26" i="1" s="1"/>
  <c r="K26" i="1"/>
  <c r="N26" i="1"/>
  <c r="AH26" i="1"/>
  <c r="K19" i="1"/>
  <c r="I19" i="1"/>
  <c r="H19" i="1" s="1"/>
  <c r="N19" i="1"/>
  <c r="J19" i="1"/>
  <c r="AW19" i="1" s="1"/>
  <c r="AY19" i="1" s="1"/>
  <c r="AH19" i="1"/>
  <c r="K18" i="1"/>
  <c r="I18" i="1"/>
  <c r="H18" i="1" s="1"/>
  <c r="J18" i="1"/>
  <c r="AW18" i="1" s="1"/>
  <c r="N18" i="1"/>
  <c r="AH18" i="1"/>
  <c r="BE29" i="1"/>
  <c r="BF29" i="1"/>
  <c r="BJ29" i="1" s="1"/>
  <c r="BK29" i="1" s="1"/>
  <c r="BG29" i="1"/>
  <c r="AH29" i="1"/>
  <c r="I29" i="1"/>
  <c r="H29" i="1" s="1"/>
  <c r="J29" i="1"/>
  <c r="AW29" i="1" s="1"/>
  <c r="AY29" i="1" s="1"/>
  <c r="K29" i="1"/>
  <c r="N29" i="1"/>
  <c r="T29" i="1"/>
  <c r="U29" i="1" s="1"/>
  <c r="CU28" i="1"/>
  <c r="AV28" i="1" s="1"/>
  <c r="AX28" i="1" s="1"/>
  <c r="S28" i="1"/>
  <c r="BE28" i="1"/>
  <c r="BF28" i="1"/>
  <c r="BJ28" i="1" s="1"/>
  <c r="BK28" i="1" s="1"/>
  <c r="BG28" i="1"/>
  <c r="AH28" i="1"/>
  <c r="I28" i="1"/>
  <c r="H28" i="1" s="1"/>
  <c r="N28" i="1"/>
  <c r="K28" i="1"/>
  <c r="J28" i="1"/>
  <c r="AW28" i="1" s="1"/>
  <c r="BE27" i="1"/>
  <c r="BF27" i="1"/>
  <c r="BJ27" i="1" s="1"/>
  <c r="BK27" i="1" s="1"/>
  <c r="BG27" i="1"/>
  <c r="AA27" i="1"/>
  <c r="CU26" i="1"/>
  <c r="AV26" i="1" s="1"/>
  <c r="S26" i="1"/>
  <c r="BF26" i="1"/>
  <c r="BJ26" i="1" s="1"/>
  <c r="BK26" i="1" s="1"/>
  <c r="BE26" i="1"/>
  <c r="BG26" i="1"/>
  <c r="AA26" i="1"/>
  <c r="BE25" i="1"/>
  <c r="BF25" i="1"/>
  <c r="BJ25" i="1" s="1"/>
  <c r="BK25" i="1" s="1"/>
  <c r="BG25" i="1"/>
  <c r="K25" i="1"/>
  <c r="AH25" i="1"/>
  <c r="I25" i="1"/>
  <c r="H25" i="1" s="1"/>
  <c r="J25" i="1"/>
  <c r="AW25" i="1" s="1"/>
  <c r="AY25" i="1" s="1"/>
  <c r="N25" i="1"/>
  <c r="T25" i="1"/>
  <c r="U25" i="1" s="1"/>
  <c r="BF24" i="1"/>
  <c r="BJ24" i="1" s="1"/>
  <c r="BK24" i="1" s="1"/>
  <c r="BG24" i="1"/>
  <c r="BE24" i="1"/>
  <c r="I24" i="1"/>
  <c r="H24" i="1" s="1"/>
  <c r="K24" i="1"/>
  <c r="N24" i="1"/>
  <c r="J24" i="1"/>
  <c r="AW24" i="1" s="1"/>
  <c r="AY24" i="1" s="1"/>
  <c r="AH24" i="1"/>
  <c r="T24" i="1"/>
  <c r="U24" i="1" s="1"/>
  <c r="BF23" i="1"/>
  <c r="BJ23" i="1" s="1"/>
  <c r="BK23" i="1" s="1"/>
  <c r="BE23" i="1"/>
  <c r="BG23" i="1"/>
  <c r="K23" i="1"/>
  <c r="AH23" i="1"/>
  <c r="J23" i="1"/>
  <c r="AW23" i="1" s="1"/>
  <c r="I23" i="1"/>
  <c r="H23" i="1" s="1"/>
  <c r="N23" i="1"/>
  <c r="T23" i="1"/>
  <c r="U23" i="1" s="1"/>
  <c r="BE22" i="1"/>
  <c r="BF22" i="1"/>
  <c r="BJ22" i="1" s="1"/>
  <c r="BK22" i="1" s="1"/>
  <c r="BG22" i="1"/>
  <c r="I22" i="1"/>
  <c r="H22" i="1" s="1"/>
  <c r="AH22" i="1"/>
  <c r="J22" i="1"/>
  <c r="AW22" i="1" s="1"/>
  <c r="N22" i="1"/>
  <c r="K22" i="1"/>
  <c r="T22" i="1"/>
  <c r="U22" i="1" s="1"/>
  <c r="BF21" i="1"/>
  <c r="BJ21" i="1" s="1"/>
  <c r="BK21" i="1" s="1"/>
  <c r="BE21" i="1"/>
  <c r="BG21" i="1"/>
  <c r="AH21" i="1"/>
  <c r="J21" i="1"/>
  <c r="AW21" i="1" s="1"/>
  <c r="AY21" i="1" s="1"/>
  <c r="N21" i="1"/>
  <c r="I21" i="1"/>
  <c r="H21" i="1" s="1"/>
  <c r="T21" i="1" s="1"/>
  <c r="U21" i="1" s="1"/>
  <c r="K21" i="1"/>
  <c r="S20" i="1"/>
  <c r="CU20" i="1"/>
  <c r="AV20" i="1" s="1"/>
  <c r="AX20" i="1" s="1"/>
  <c r="BE20" i="1"/>
  <c r="BG20" i="1"/>
  <c r="BF20" i="1"/>
  <c r="BJ20" i="1" s="1"/>
  <c r="BK20" i="1" s="1"/>
  <c r="I20" i="1"/>
  <c r="H20" i="1" s="1"/>
  <c r="J20" i="1"/>
  <c r="AW20" i="1" s="1"/>
  <c r="AY20" i="1" s="1"/>
  <c r="K20" i="1"/>
  <c r="N20" i="1"/>
  <c r="AH20" i="1"/>
  <c r="BE19" i="1"/>
  <c r="BF19" i="1"/>
  <c r="BJ19" i="1" s="1"/>
  <c r="BK19" i="1" s="1"/>
  <c r="BG19" i="1"/>
  <c r="T19" i="1"/>
  <c r="U19" i="1" s="1"/>
  <c r="Q19" i="1" s="1"/>
  <c r="O19" i="1" s="1"/>
  <c r="R19" i="1" s="1"/>
  <c r="L19" i="1" s="1"/>
  <c r="M19" i="1" s="1"/>
  <c r="AA19" i="1"/>
  <c r="CU18" i="1"/>
  <c r="AV18" i="1" s="1"/>
  <c r="S18" i="1"/>
  <c r="BF18" i="1"/>
  <c r="BJ18" i="1" s="1"/>
  <c r="BK18" i="1" s="1"/>
  <c r="BE18" i="1"/>
  <c r="BG18" i="1"/>
  <c r="AA18" i="1"/>
  <c r="BE17" i="1"/>
  <c r="BF17" i="1"/>
  <c r="BJ17" i="1" s="1"/>
  <c r="BK17" i="1" s="1"/>
  <c r="BG17" i="1"/>
  <c r="I17" i="1"/>
  <c r="H17" i="1" s="1"/>
  <c r="AH17" i="1"/>
  <c r="J17" i="1"/>
  <c r="AW17" i="1" s="1"/>
  <c r="AY17" i="1" s="1"/>
  <c r="K17" i="1"/>
  <c r="N17" i="1"/>
  <c r="T17" i="1"/>
  <c r="U17" i="1" s="1"/>
  <c r="AY28" i="1" l="1"/>
  <c r="AY23" i="1"/>
  <c r="AY22" i="1"/>
  <c r="Q29" i="1"/>
  <c r="O29" i="1" s="1"/>
  <c r="R29" i="1" s="1"/>
  <c r="L29" i="1" s="1"/>
  <c r="M29" i="1" s="1"/>
  <c r="AA29" i="1"/>
  <c r="V29" i="1"/>
  <c r="Z29" i="1" s="1"/>
  <c r="AB29" i="1"/>
  <c r="AC29" i="1"/>
  <c r="AD29" i="1" s="1"/>
  <c r="T28" i="1"/>
  <c r="U28" i="1" s="1"/>
  <c r="Q28" i="1" s="1"/>
  <c r="O28" i="1" s="1"/>
  <c r="R28" i="1" s="1"/>
  <c r="L28" i="1" s="1"/>
  <c r="M28" i="1" s="1"/>
  <c r="AA28" i="1"/>
  <c r="AB27" i="1"/>
  <c r="V27" i="1"/>
  <c r="Z27" i="1" s="1"/>
  <c r="AC27" i="1"/>
  <c r="AY26" i="1"/>
  <c r="AX26" i="1"/>
  <c r="T26" i="1"/>
  <c r="U26" i="1" s="1"/>
  <c r="Q25" i="1"/>
  <c r="O25" i="1" s="1"/>
  <c r="R25" i="1" s="1"/>
  <c r="L25" i="1" s="1"/>
  <c r="M25" i="1" s="1"/>
  <c r="AA25" i="1"/>
  <c r="AB25" i="1"/>
  <c r="V25" i="1"/>
  <c r="Z25" i="1" s="1"/>
  <c r="AC25" i="1"/>
  <c r="AD25" i="1" s="1"/>
  <c r="Q24" i="1"/>
  <c r="O24" i="1" s="1"/>
  <c r="R24" i="1" s="1"/>
  <c r="L24" i="1" s="1"/>
  <c r="M24" i="1" s="1"/>
  <c r="AA24" i="1"/>
  <c r="AB24" i="1"/>
  <c r="V24" i="1"/>
  <c r="Z24" i="1" s="1"/>
  <c r="AC24" i="1"/>
  <c r="Q23" i="1"/>
  <c r="O23" i="1" s="1"/>
  <c r="R23" i="1" s="1"/>
  <c r="L23" i="1" s="1"/>
  <c r="M23" i="1" s="1"/>
  <c r="AA23" i="1"/>
  <c r="AB23" i="1"/>
  <c r="V23" i="1"/>
  <c r="Z23" i="1" s="1"/>
  <c r="AC23" i="1"/>
  <c r="AD23" i="1" s="1"/>
  <c r="Q22" i="1"/>
  <c r="O22" i="1" s="1"/>
  <c r="R22" i="1" s="1"/>
  <c r="L22" i="1" s="1"/>
  <c r="M22" i="1" s="1"/>
  <c r="AA22" i="1"/>
  <c r="AB22" i="1"/>
  <c r="AC22" i="1"/>
  <c r="AD22" i="1" s="1"/>
  <c r="V22" i="1"/>
  <c r="Z22" i="1" s="1"/>
  <c r="Q21" i="1"/>
  <c r="O21" i="1" s="1"/>
  <c r="R21" i="1" s="1"/>
  <c r="L21" i="1" s="1"/>
  <c r="M21" i="1" s="1"/>
  <c r="AA21" i="1"/>
  <c r="AB21" i="1"/>
  <c r="V21" i="1"/>
  <c r="Z21" i="1" s="1"/>
  <c r="AC21" i="1"/>
  <c r="AD21" i="1" s="1"/>
  <c r="T20" i="1"/>
  <c r="U20" i="1" s="1"/>
  <c r="Q20" i="1" s="1"/>
  <c r="O20" i="1" s="1"/>
  <c r="R20" i="1" s="1"/>
  <c r="L20" i="1" s="1"/>
  <c r="M20" i="1" s="1"/>
  <c r="AA20" i="1"/>
  <c r="AB19" i="1"/>
  <c r="V19" i="1"/>
  <c r="Z19" i="1" s="1"/>
  <c r="AC19" i="1"/>
  <c r="AD19" i="1" s="1"/>
  <c r="AY18" i="1"/>
  <c r="AX18" i="1"/>
  <c r="T18" i="1"/>
  <c r="U18" i="1" s="1"/>
  <c r="Q17" i="1"/>
  <c r="O17" i="1" s="1"/>
  <c r="R17" i="1" s="1"/>
  <c r="L17" i="1" s="1"/>
  <c r="M17" i="1" s="1"/>
  <c r="AA17" i="1"/>
  <c r="AB17" i="1"/>
  <c r="AC17" i="1"/>
  <c r="AD17" i="1" s="1"/>
  <c r="V17" i="1"/>
  <c r="Z17" i="1" s="1"/>
  <c r="V28" i="1" l="1"/>
  <c r="Z28" i="1" s="1"/>
  <c r="AB28" i="1"/>
  <c r="AC28" i="1"/>
  <c r="AD28" i="1" s="1"/>
  <c r="Q26" i="1"/>
  <c r="O26" i="1" s="1"/>
  <c r="R26" i="1" s="1"/>
  <c r="L26" i="1" s="1"/>
  <c r="M26" i="1" s="1"/>
  <c r="AB26" i="1"/>
  <c r="V26" i="1"/>
  <c r="Z26" i="1" s="1"/>
  <c r="AC26" i="1"/>
  <c r="AC20" i="1"/>
  <c r="V20" i="1"/>
  <c r="Z20" i="1" s="1"/>
  <c r="AB20" i="1"/>
  <c r="Q18" i="1"/>
  <c r="O18" i="1" s="1"/>
  <c r="R18" i="1" s="1"/>
  <c r="L18" i="1" s="1"/>
  <c r="M18" i="1" s="1"/>
  <c r="AB18" i="1"/>
  <c r="V18" i="1"/>
  <c r="Z18" i="1" s="1"/>
  <c r="AC18" i="1"/>
  <c r="AD27" i="1"/>
  <c r="AD24" i="1"/>
  <c r="AD26" i="1" l="1"/>
  <c r="AD20" i="1"/>
  <c r="AD18" i="1"/>
</calcChain>
</file>

<file path=xl/sharedStrings.xml><?xml version="1.0" encoding="utf-8"?>
<sst xmlns="http://schemas.openxmlformats.org/spreadsheetml/2006/main" count="796" uniqueCount="384">
  <si>
    <t>File opened</t>
  </si>
  <si>
    <t>2026-10-10 14:05:12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</si>
  <si>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</si>
  <si>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</si>
  <si>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</si>
  <si>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</si>
  <si>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</si>
  <si>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</si>
  <si>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</si>
  <si>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</si>
  <si>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</si>
  <si>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</si>
  <si>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</si>
  <si>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{"co2bzero": "0.953041", "co2aspan2a": "0.106022", "h2oazero": "1.03097", "chamberpressurezero": "2.71033", "h2oaspan2a": "0.0964052", "oxygen": "21", "ssb_ref": "36242.9", "co2bspan2": "-0.00857283", "co2aspanconc1": "437.6", "co2aspan2b": "0.105998", "h2obspanconc2": "0", "flowazero": "0.276", "h2obspan1": "1.01044", "h2oaspan2b": "0.0986302", "h2oaspanconc2": "0", "tazero": "0.15448", "co2bspan2b": "0.105618", "h2oaspan2": "0", "ssa_ref": "37830.5", "co2bspanconc2": "1516", "co2bspanconc1": "437.6", "co2bspan1": "1.00005", "h2obspan2a": "0.0961931", "co2bspan2a": "0.105708", "flowmeterzero": "2.483", "co2aspan2": "-0.00988168", "h2oaspanconc1": "17.96", "tbzero": "0.143742", "co2azero": "0.931334", "h2obspanconc1": "17.96", "co2aspan1": "1.00082", "h2oaspan1": "1.02308", "h2obspan2b": "0.0971974", "h2obspan2": "0", "co2aspanconc2": "1516", "h2obzero": "1.01897", "flowbzero": "0.30473"}</t>
  </si>
  <si>
    <t>Factory cal date</t>
  </si>
  <si>
    <t>14 Dec 2023</t>
  </si>
  <si>
    <t>CO2 rangematch</t>
  </si>
  <si>
    <t>Mon Sep 14 10:06</t>
  </si>
  <si>
    <t>H2O rangematch</t>
  </si>
  <si>
    <t>Mon Sep 14 10:14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</si>
  <si>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</si>
  <si>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</si>
  <si>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</si>
  <si>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</si>
  <si>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</si>
  <si>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</si>
  <si>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</si>
  <si>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</si>
  <si>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</si>
  <si>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14:05:12</t>
  </si>
  <si>
    <t>Stability Definition:	F (FlrLS): Per=20	A (GasEx): Slp&lt;0.6 Per=20	ΔCO2 (Meas2): Slp&lt;0.5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</si>
  <si>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</si>
  <si>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</si>
  <si>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</si>
  <si>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</si>
  <si>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</si>
  <si>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</si>
  <si>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</si>
  <si>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</si>
  <si>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</si>
  <si>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</si>
  <si>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</si>
  <si>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</si>
  <si>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</si>
  <si>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</si>
  <si>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</si>
  <si>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</si>
  <si>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</si>
  <si>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</si>
  <si>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</si>
  <si>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</si>
  <si>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</si>
  <si>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</si>
  <si>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</si>
  <si>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</si>
  <si>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</si>
  <si>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</si>
  <si>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</si>
  <si>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</si>
  <si>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</si>
  <si>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</si>
  <si>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</si>
  <si>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</si>
  <si>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</si>
  <si>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</si>
  <si>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</si>
  <si>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</si>
  <si>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</si>
  <si>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</si>
  <si>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</si>
  <si>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</si>
  <si>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</si>
  <si>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</si>
  <si>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</si>
  <si>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</si>
  <si>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</si>
  <si>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</si>
  <si>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</si>
  <si>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</si>
  <si>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</si>
  <si>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</si>
  <si>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</si>
  <si>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</si>
  <si>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4.75784 201.711 358.252 588.927 851.19 1062.43 1252.37 1365.43</t>
  </si>
  <si>
    <t>Fs_true</t>
  </si>
  <si>
    <t>0.181028 227.625 384.88 589.265 811.095 1001.86 1203.08 1400.96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</si>
  <si>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</si>
  <si>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</si>
  <si>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</si>
  <si>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</si>
  <si>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</si>
  <si>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</si>
  <si>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</si>
  <si>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</si>
  <si>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</si>
  <si>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</si>
  <si>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</si>
  <si>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</si>
  <si>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</si>
  <si>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</si>
  <si>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</si>
  <si>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</si>
  <si>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</si>
  <si>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</si>
  <si>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</si>
  <si>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</si>
  <si>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</si>
  <si>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</si>
  <si>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</si>
  <si>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</si>
  <si>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</si>
  <si>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</si>
  <si>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</si>
  <si>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</si>
  <si>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</si>
  <si>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</si>
  <si>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</si>
  <si>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</si>
  <si>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</si>
  <si>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</si>
  <si>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</si>
  <si>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</si>
  <si>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</si>
  <si>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</si>
  <si>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</si>
  <si>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</si>
  <si>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</si>
  <si>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</si>
  <si>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</si>
  <si>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</si>
  <si>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</si>
  <si>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</si>
  <si>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</si>
  <si>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</si>
  <si>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</si>
  <si>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</si>
  <si>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</si>
  <si>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</si>
  <si>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</si>
  <si>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</si>
  <si>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</si>
  <si>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</si>
  <si>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</si>
  <si>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</si>
  <si>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</si>
  <si>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</si>
  <si>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</si>
  <si>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</si>
  <si>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</si>
  <si>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</si>
  <si>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</si>
  <si>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</si>
  <si>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</si>
  <si>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</si>
  <si>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</si>
  <si>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</si>
  <si>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</si>
  <si>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</si>
  <si>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</si>
  <si>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</si>
  <si>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</si>
  <si>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</si>
  <si>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</si>
  <si>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</si>
  <si>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</si>
  <si>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</si>
  <si>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</si>
  <si>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</si>
  <si>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</si>
  <si>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</si>
  <si>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</si>
  <si>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</si>
  <si>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</si>
  <si>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</si>
  <si>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</si>
  <si>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</si>
  <si>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</si>
  <si>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</si>
  <si>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</si>
  <si>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</si>
  <si>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</si>
  <si>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</si>
  <si>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</si>
  <si>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</si>
  <si>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</si>
  <si>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</si>
  <si>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</si>
  <si>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</si>
  <si>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</si>
  <si>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</si>
  <si>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</si>
  <si>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</si>
  <si>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</si>
  <si>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</si>
  <si>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</si>
  <si>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</si>
  <si>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</si>
  <si>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</si>
  <si>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</si>
  <si>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</si>
  <si>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</si>
  <si>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</si>
  <si>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</si>
  <si>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</si>
  <si>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</si>
  <si>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</si>
  <si>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</si>
  <si>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</si>
  <si>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</si>
  <si>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</si>
  <si>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</si>
  <si>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</si>
  <si>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</si>
  <si>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</si>
  <si>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</si>
  <si>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</si>
  <si>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</si>
  <si>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</si>
  <si>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</si>
  <si>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</si>
  <si>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</si>
  <si>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</si>
  <si>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</si>
  <si>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</si>
  <si>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</si>
  <si>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</si>
  <si>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</si>
  <si>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</si>
  <si>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</si>
  <si>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</si>
  <si>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</si>
  <si>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</si>
  <si>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</si>
  <si>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</si>
  <si>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</si>
  <si>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</si>
  <si>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</si>
  <si>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</si>
  <si>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</si>
  <si>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</si>
  <si>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</si>
  <si>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</si>
  <si>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</si>
  <si>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</si>
  <si>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</si>
  <si>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</si>
  <si>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</si>
  <si>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</si>
  <si>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</si>
  <si>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</si>
  <si>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</si>
  <si>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</si>
  <si>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</si>
  <si>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</si>
  <si>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</si>
  <si>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</si>
  <si>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</si>
  <si>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</si>
  <si>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</si>
  <si>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</si>
  <si>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</si>
  <si>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</si>
  <si>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</si>
  <si>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</si>
  <si>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</si>
  <si>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</si>
  <si>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</si>
  <si>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</si>
  <si>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</si>
  <si>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</si>
  <si>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</si>
  <si>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</si>
  <si>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</si>
  <si>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</si>
  <si>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</si>
  <si>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</si>
  <si>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</si>
  <si>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</si>
  <si>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</si>
  <si>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</si>
  <si>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</si>
  <si>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</si>
  <si>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</si>
  <si>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</si>
  <si>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</si>
  <si>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</si>
  <si>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</si>
  <si>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</si>
  <si>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</si>
  <si>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</si>
  <si>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</si>
  <si>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</si>
  <si>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</si>
  <si>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</si>
  <si>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</si>
  <si>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</si>
  <si>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</si>
  <si>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</si>
  <si>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</si>
  <si>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</si>
  <si>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</si>
  <si>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</si>
  <si>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</si>
  <si>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</si>
  <si>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</si>
  <si>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</si>
  <si>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</si>
  <si>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</si>
  <si>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</si>
  <si>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</si>
  <si>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</si>
  <si>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</si>
  <si>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</si>
  <si>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</si>
  <si>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</si>
  <si>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</si>
  <si>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</si>
  <si>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</si>
  <si>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</si>
  <si>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</si>
  <si>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</si>
  <si>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</si>
  <si>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</si>
  <si>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</si>
  <si>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</si>
  <si>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</si>
  <si>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</si>
  <si>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</si>
  <si>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</si>
  <si>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</si>
  <si>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</si>
  <si>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</si>
  <si>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</si>
  <si>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</si>
  <si>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</si>
  <si>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</si>
  <si>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</si>
  <si>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</si>
  <si>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</si>
  <si>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</si>
  <si>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</si>
  <si>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20261010 14:51:09</t>
  </si>
  <si>
    <t>14:51:09</t>
  </si>
  <si>
    <t>-</t>
  </si>
  <si>
    <t>0: Broadleaf</t>
  </si>
  <si>
    <t>14:50:10</t>
  </si>
  <si>
    <t>2/2</t>
  </si>
  <si>
    <t>20261010 14:53:10</t>
  </si>
  <si>
    <t>14:53:10</t>
  </si>
  <si>
    <t>14:52:15</t>
  </si>
  <si>
    <t>20261010 14:55:11</t>
  </si>
  <si>
    <t>14:55:11</t>
  </si>
  <si>
    <t>14:54:15</t>
  </si>
  <si>
    <t>20261010 14:57:12</t>
  </si>
  <si>
    <t>14:57:12</t>
  </si>
  <si>
    <t>14:56:17</t>
  </si>
  <si>
    <t>20261010 14:59:13</t>
  </si>
  <si>
    <t>14:59:13</t>
  </si>
  <si>
    <t>14:58:14</t>
  </si>
  <si>
    <t>20261010 15:01:32</t>
  </si>
  <si>
    <t>15:01:32</t>
  </si>
  <si>
    <t>15:00:34</t>
  </si>
  <si>
    <t>20261010 15:03:33</t>
  </si>
  <si>
    <t>15:03:33</t>
  </si>
  <si>
    <t>15:02:25</t>
  </si>
  <si>
    <t>20261010 15:05:38</t>
  </si>
  <si>
    <t>15:05:38</t>
  </si>
  <si>
    <t>15:04:32</t>
  </si>
  <si>
    <t>20261010 15:08:02</t>
  </si>
  <si>
    <t>15:08:02</t>
  </si>
  <si>
    <t>15:06:40</t>
  </si>
  <si>
    <t>20261010 15:10:04</t>
  </si>
  <si>
    <t>15:10:04</t>
  </si>
  <si>
    <t>15:09:00</t>
  </si>
  <si>
    <t>20261010 15:12:05</t>
  </si>
  <si>
    <t>15:12:05</t>
  </si>
  <si>
    <t>15:11:00</t>
  </si>
  <si>
    <t>1/2</t>
  </si>
  <si>
    <t>20261010 15:14:06</t>
  </si>
  <si>
    <t>15:14:06</t>
  </si>
  <si>
    <t>15:13:08</t>
  </si>
  <si>
    <t>20261010 15:16:11</t>
  </si>
  <si>
    <t>15:16:11</t>
  </si>
  <si>
    <t>15:15:09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</si>
</sst>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9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34</v>
      </c>
    </row>
    <row r="3" spans="1:216" x14ac:dyDescent="0.3">
      <c r="B3" t="s">
        <v>33</v>
      </c>
      <c r="C3">
        <v>21</v>
      </c>
    </row>
    <row r="4" spans="1:216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3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3">
      <c r="A17">
        <v>1</v>
      </c>
      <c r="B17">
        <v>1791611469.0999999</v>
      </c>
      <c r="C17">
        <v>0</v>
      </c>
      <c r="D17" t="s">
        <v>341</v>
      </c>
      <c r="E17" t="s">
        <v>342</v>
      </c>
      <c r="F17">
        <v>5</v>
      </c>
      <c r="G17">
        <v>1791611466.0999999</v>
      </c>
      <c r="H17">
        <f t="shared" ref="H17:H29" si="0">(I17)/1000</f>
        <v>3.7719871439002143E-3</v>
      </c>
      <c r="I17">
        <f t="shared" ref="I17:I29" si="1">1000*DI17*AG17*(DE17-DF17)/(100*CX17*(1000-AG17*DE17))</f>
        <v>3.7719871439002142</v>
      </c>
      <c r="J17">
        <f t="shared" ref="J17:J29" si="2">DI17*AG17*(DD17-DC17*(1000-AG17*DF17)/(1000-AG17*DE17))/(100*CX17)</f>
        <v>19.711833445427732</v>
      </c>
      <c r="K17">
        <f t="shared" ref="K17:K29" si="3">DC17 - IF(AG17&gt;1, J17*CX17*100/(AI17), 0)</f>
        <v>391.5206</v>
      </c>
      <c r="L17">
        <f t="shared" ref="L17:L29" si="4">((R17-H17/2)*K17-J17)/(R17+H17/2)</f>
        <v>264.98171036016112</v>
      </c>
      <c r="M17">
        <f t="shared" ref="M17:M29" si="5">L17*(DJ17+DK17)/1000</f>
        <v>26.816701172542206</v>
      </c>
      <c r="N17">
        <f t="shared" ref="N17:N29" si="6">(DC17 - IF(AG17&gt;1, J17*CX17*100/(AI17), 0))*(DJ17+DK17)/1000</f>
        <v>39.622700445339689</v>
      </c>
      <c r="O17">
        <f t="shared" ref="O17:O29" si="7">2/((1/Q17-1/P17)+SIGN(Q17)*SQRT((1/Q17-1/P17)*(1/Q17-1/P17) + 4*CY17/((CY17+1)*(CY17+1))*(2*1/Q17*1/P17-1/P17*1/P17)))</f>
        <v>0.27635314932141797</v>
      </c>
      <c r="P17">
        <f t="shared" ref="P17:P29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3.0299751621092215</v>
      </c>
      <c r="Q17">
        <f t="shared" ref="Q17:Q29" si="9">H17*(1000-(1000*0.61365*EXP(17.502*U17/(240.97+U17))/(DJ17+DK17)+DE17)/2)/(1000*0.61365*EXP(17.502*U17/(240.97+U17))/(DJ17+DK17)-DE17)</f>
        <v>0.2630750090295283</v>
      </c>
      <c r="R17">
        <f t="shared" ref="R17:R29" si="10">1/((CY17+1)/(O17/1.6)+1/(P17/1.37)) + CY17/((CY17+1)/(O17/1.6) + CY17/(P17/1.37))</f>
        <v>0.16556169129005524</v>
      </c>
      <c r="S17">
        <f t="shared" ref="S17:S29" si="11">(CT17*CW17)</f>
        <v>241.73652481557897</v>
      </c>
      <c r="T17">
        <f t="shared" ref="T17:T29" si="12">(DL17+(S17+2*0.95*0.0000000567*(((DL17+$B$7)+273)^4-(DL17+273)^4)-44100*H17)/(1.84*29.3*P17+8*0.95*0.0000000567*(DL17+273)^3))</f>
        <v>25.561636103391375</v>
      </c>
      <c r="U17">
        <f t="shared" ref="U17:U29" si="13">($C$7*DM17+$D$7*DN17+$E$7*T17)</f>
        <v>25.003360000000001</v>
      </c>
      <c r="V17">
        <f t="shared" ref="V17:V29" si="14">0.61365*EXP(17.502*U17/(240.97+U17))</f>
        <v>3.1803145992106652</v>
      </c>
      <c r="W17">
        <f t="shared" ref="W17:W29" si="15">(X17/Y17*100)</f>
        <v>55.070941887179472</v>
      </c>
      <c r="X17">
        <f t="shared" ref="X17:X29" si="16">DE17*(DJ17+DK17)/1000</f>
        <v>1.7647234749325176</v>
      </c>
      <c r="Y17">
        <f t="shared" ref="Y17:Y29" si="17">0.61365*EXP(17.502*DL17/(240.97+DL17))</f>
        <v>3.2044548621445417</v>
      </c>
      <c r="Z17">
        <f t="shared" ref="Z17:Z29" si="18">(V17-DE17*(DJ17+DK17)/1000)</f>
        <v>1.4155911242781476</v>
      </c>
      <c r="AA17">
        <f t="shared" ref="AA17:AA29" si="19">(-H17*44100)</f>
        <v>-166.34463304599944</v>
      </c>
      <c r="AB17">
        <f t="shared" ref="AB17:AB29" si="20">2*29.3*P17*0.92*(DL17-U17)</f>
        <v>20.729371457239203</v>
      </c>
      <c r="AC17">
        <f t="shared" ref="AC17:AC29" si="21">2*0.95*0.0000000567*(((DL17+$B$7)+273)^4-(U17+273)^4)</f>
        <v>1.4481019952012879</v>
      </c>
      <c r="AD17">
        <f t="shared" ref="AD17:AD29" si="22">S17+AC17+AA17+AB17</f>
        <v>97.569365222020025</v>
      </c>
      <c r="AE17">
        <v>0</v>
      </c>
      <c r="AF17">
        <v>0</v>
      </c>
      <c r="AG17">
        <f t="shared" ref="AG17:AG29" si="23">IF(AE17*$H$13&gt;=AI17,1,(AI17/(AI17-AE17*$H$13)))</f>
        <v>1</v>
      </c>
      <c r="AH17">
        <f t="shared" ref="AH17:AH29" si="24">(AG17-1)*100</f>
        <v>0</v>
      </c>
      <c r="AI17">
        <f t="shared" ref="AI17:AI29" si="25">MAX(0,($B$13+$C$13*DQ17)/(1+$D$13*DQ17)*DJ17/(DL17+273)*$E$13)</f>
        <v>53817.084732394527</v>
      </c>
      <c r="AJ17" t="s">
        <v>343</v>
      </c>
      <c r="AK17" t="s">
        <v>343</v>
      </c>
      <c r="AL17">
        <v>0</v>
      </c>
      <c r="AM17">
        <v>0</v>
      </c>
      <c r="AN17" t="e">
        <f t="shared" ref="AN17:AN29" si="26">1-AL17/AM17</f>
        <v>#DIV/0!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 t="e">
        <f t="shared" ref="AT17:AT29" si="27">1-AR17/AS17</f>
        <v>#DIV/0!</v>
      </c>
      <c r="AU17">
        <v>0.5</v>
      </c>
      <c r="AV17">
        <f t="shared" ref="AV17:AV29" si="28">CU17</f>
        <v>1261.209120008072</v>
      </c>
      <c r="AW17">
        <f t="shared" ref="AW17:AW29" si="29">J17</f>
        <v>19.711833445427732</v>
      </c>
      <c r="AX17" t="e">
        <f t="shared" ref="AX17:AX29" si="30">AT17*AU17*AV17</f>
        <v>#DIV/0!</v>
      </c>
      <c r="AY17">
        <f t="shared" ref="AY17:AY29" si="31">(AW17-AO17)/AV17</f>
        <v>1.5629314070692395E-2</v>
      </c>
      <c r="AZ17" t="e">
        <f t="shared" ref="AZ17:AZ29" si="32">(AM17-AS17)/AS17</f>
        <v>#DIV/0!</v>
      </c>
      <c r="BA17" t="e">
        <f t="shared" ref="BA17:BA29" si="33">AL17/(AN17+AL17/AS17)</f>
        <v>#DIV/0!</v>
      </c>
      <c r="BB17" t="s">
        <v>343</v>
      </c>
      <c r="BC17">
        <v>0</v>
      </c>
      <c r="BD17" t="e">
        <f t="shared" ref="BD17:BD29" si="34">IF(BC17&lt;&gt;0, BC17, BA17)</f>
        <v>#DIV/0!</v>
      </c>
      <c r="BE17" t="e">
        <f t="shared" ref="BE17:BE29" si="35">1-BD17/AS17</f>
        <v>#DIV/0!</v>
      </c>
      <c r="BF17" t="e">
        <f t="shared" ref="BF17:BF29" si="36">(AS17-AR17)/(AS17-BD17)</f>
        <v>#DIV/0!</v>
      </c>
      <c r="BG17" t="e">
        <f t="shared" ref="BG17:BG29" si="37">(AM17-AS17)/(AM17-BD17)</f>
        <v>#DIV/0!</v>
      </c>
      <c r="BH17" t="e">
        <f t="shared" ref="BH17:BH29" si="38">(AS17-AR17)/(AS17-AL17)</f>
        <v>#DIV/0!</v>
      </c>
      <c r="BI17" t="e">
        <f t="shared" ref="BI17:BI29" si="39">(AM17-AS17)/(AM17-AL17)</f>
        <v>#DIV/0!</v>
      </c>
      <c r="BJ17" t="e">
        <f t="shared" ref="BJ17:BJ29" si="40">(BF17*BD17/AR17)</f>
        <v>#DIV/0!</v>
      </c>
      <c r="BK17" t="e">
        <f t="shared" ref="BK17:BK29" si="41">(1-BJ17)</f>
        <v>#DIV/0!</v>
      </c>
      <c r="CT17">
        <f t="shared" ref="CT17:CT29" si="42">$B$11*DR17+$C$11*DS17+$F$11*DT17*(1-DW17)</f>
        <v>1499.998</v>
      </c>
      <c r="CU17">
        <f t="shared" ref="CU17:CU29" si="43">CT17*CV17</f>
        <v>1261.209120008072</v>
      </c>
      <c r="CV17">
        <f t="shared" ref="CV17:CV29" si="44">($B$11*$D$9+$C$11*$D$9+$F$11*((EG17+DY17)/MAX(EG17+DY17+EH17, 0.1)*$I$9+EH17/MAX(EG17+DY17+EH17, 0.1)*$J$9))/($B$11+$C$11+$F$11)</f>
        <v>0.84080720108164941</v>
      </c>
      <c r="CW17">
        <f t="shared" ref="CW17:CW29" si="45">($B$11*$K$9+$C$11*$K$9+$F$11*((EG17+DY17)/MAX(EG17+DY17+EH17, 0.1)*$P$9+EH17/MAX(EG17+DY17+EH17, 0.1)*$Q$9))/($B$11+$C$11+$F$11)</f>
        <v>0.16115789808758343</v>
      </c>
      <c r="CX17">
        <v>2</v>
      </c>
      <c r="CY17">
        <v>0.5</v>
      </c>
      <c r="CZ17" t="s">
        <v>344</v>
      </c>
      <c r="DA17">
        <v>2</v>
      </c>
      <c r="DB17">
        <v>1791611466.0999999</v>
      </c>
      <c r="DC17">
        <v>391.5206</v>
      </c>
      <c r="DD17">
        <v>399.99579999999997</v>
      </c>
      <c r="DE17">
        <v>17.437619999999999</v>
      </c>
      <c r="DF17">
        <v>15.95518</v>
      </c>
      <c r="DG17">
        <v>391.92200000000003</v>
      </c>
      <c r="DH17">
        <v>17.614740000000001</v>
      </c>
      <c r="DI17">
        <v>500.01519999999999</v>
      </c>
      <c r="DJ17">
        <v>101.1022</v>
      </c>
      <c r="DK17">
        <v>9.9883479999999997E-2</v>
      </c>
      <c r="DL17">
        <v>25.13026</v>
      </c>
      <c r="DM17">
        <v>25.003360000000001</v>
      </c>
      <c r="DN17">
        <v>999.9</v>
      </c>
      <c r="DO17">
        <v>0</v>
      </c>
      <c r="DP17">
        <v>0</v>
      </c>
      <c r="DQ17">
        <v>10004.23</v>
      </c>
      <c r="DR17">
        <v>0</v>
      </c>
      <c r="DS17">
        <v>8.1335700000000006</v>
      </c>
      <c r="DT17">
        <v>1499.998</v>
      </c>
      <c r="DU17">
        <v>0.97300299999999995</v>
      </c>
      <c r="DV17">
        <v>2.6996920000000001E-2</v>
      </c>
      <c r="DW17">
        <v>0</v>
      </c>
      <c r="DX17">
        <v>263.57639999999998</v>
      </c>
      <c r="DY17">
        <v>4.9999900000000004</v>
      </c>
      <c r="DZ17">
        <v>3904.944</v>
      </c>
      <c r="EA17">
        <v>14882.58</v>
      </c>
      <c r="EB17">
        <v>36.875</v>
      </c>
      <c r="EC17">
        <v>38.487400000000001</v>
      </c>
      <c r="ED17">
        <v>37.436999999999998</v>
      </c>
      <c r="EE17">
        <v>37.949599999999997</v>
      </c>
      <c r="EF17">
        <v>38.5</v>
      </c>
      <c r="EG17">
        <v>1454.6379999999999</v>
      </c>
      <c r="EH17">
        <v>40.36</v>
      </c>
      <c r="EI17">
        <v>0</v>
      </c>
      <c r="EJ17">
        <v>1791611470.0999999</v>
      </c>
      <c r="EK17">
        <v>0</v>
      </c>
      <c r="EL17">
        <v>263.56768</v>
      </c>
      <c r="EM17">
        <v>2.5253076849939098</v>
      </c>
      <c r="EN17">
        <v>-3.0092307545268899</v>
      </c>
      <c r="EO17">
        <v>3905.1723999999999</v>
      </c>
      <c r="EP17">
        <v>15</v>
      </c>
      <c r="EQ17">
        <v>1791611410.0999999</v>
      </c>
      <c r="ER17" t="s">
        <v>345</v>
      </c>
      <c r="ES17">
        <v>1791611410.0999999</v>
      </c>
      <c r="ET17">
        <v>1791611407.0999999</v>
      </c>
      <c r="EU17">
        <v>56</v>
      </c>
      <c r="EV17">
        <v>2.5000000000000001E-2</v>
      </c>
      <c r="EW17">
        <v>-2E-3</v>
      </c>
      <c r="EX17">
        <v>-0.39</v>
      </c>
      <c r="EY17">
        <v>-0.18099999999999999</v>
      </c>
      <c r="EZ17">
        <v>400</v>
      </c>
      <c r="FA17">
        <v>16</v>
      </c>
      <c r="FB17">
        <v>0.15</v>
      </c>
      <c r="FC17">
        <v>0.05</v>
      </c>
      <c r="FD17">
        <v>19.754957718401499</v>
      </c>
      <c r="FE17">
        <v>-0.58656792684551895</v>
      </c>
      <c r="FF17">
        <v>9.4406455866566694E-2</v>
      </c>
      <c r="FG17">
        <v>1</v>
      </c>
      <c r="FH17">
        <v>-8.4782654999999991</v>
      </c>
      <c r="FI17">
        <v>0.20395624060150799</v>
      </c>
      <c r="FJ17">
        <v>3.5392085199236201E-2</v>
      </c>
      <c r="FK17">
        <v>1</v>
      </c>
      <c r="FL17">
        <v>263.63511764705902</v>
      </c>
      <c r="FM17">
        <v>0.43236057582315301</v>
      </c>
      <c r="FN17">
        <v>0.511952879535856</v>
      </c>
      <c r="FO17">
        <v>-1</v>
      </c>
      <c r="FP17">
        <v>2</v>
      </c>
      <c r="FQ17">
        <v>2</v>
      </c>
      <c r="FR17" t="s">
        <v>346</v>
      </c>
      <c r="FS17">
        <v>100</v>
      </c>
      <c r="FT17">
        <v>100</v>
      </c>
      <c r="FU17">
        <v>-0.40200000000000002</v>
      </c>
      <c r="FV17">
        <v>-0.1772</v>
      </c>
      <c r="FW17">
        <v>-0.81531240981412301</v>
      </c>
      <c r="FX17">
        <v>7.6835882421071803E-4</v>
      </c>
      <c r="FY17">
        <v>7.9312579872174805E-7</v>
      </c>
      <c r="FZ17">
        <v>-1.5433145656851401E-10</v>
      </c>
      <c r="GA17">
        <v>-2.6702892171222799E-2</v>
      </c>
      <c r="GB17">
        <v>-2.1578312386681502E-2</v>
      </c>
      <c r="GC17">
        <v>7.7134661959739901E-4</v>
      </c>
      <c r="GD17">
        <v>-1.7684492548540801E-6</v>
      </c>
      <c r="GE17">
        <v>4</v>
      </c>
      <c r="GF17">
        <v>2093</v>
      </c>
      <c r="GG17">
        <v>1</v>
      </c>
      <c r="GH17">
        <v>31</v>
      </c>
      <c r="GI17">
        <v>1</v>
      </c>
      <c r="GJ17">
        <v>1</v>
      </c>
      <c r="GK17">
        <v>1.0400400000000001</v>
      </c>
      <c r="GL17">
        <v>2.63916</v>
      </c>
      <c r="GM17">
        <v>1.65161</v>
      </c>
      <c r="GN17">
        <v>2.2717299999999998</v>
      </c>
      <c r="GO17">
        <v>1.5979000000000001</v>
      </c>
      <c r="GP17">
        <v>2.63306</v>
      </c>
      <c r="GQ17">
        <v>34.967399999999998</v>
      </c>
      <c r="GR17">
        <v>15.252800000000001</v>
      </c>
      <c r="GS17">
        <v>18</v>
      </c>
      <c r="GT17">
        <v>504.245</v>
      </c>
      <c r="GU17">
        <v>533.58100000000002</v>
      </c>
      <c r="GV17">
        <v>21.262499999999999</v>
      </c>
      <c r="GW17">
        <v>29.433199999999999</v>
      </c>
      <c r="GX17">
        <v>30.0001</v>
      </c>
      <c r="GY17">
        <v>29.557300000000001</v>
      </c>
      <c r="GZ17">
        <v>29.611999999999998</v>
      </c>
      <c r="HA17">
        <v>20.805800000000001</v>
      </c>
      <c r="HB17">
        <v>24.6309</v>
      </c>
      <c r="HC17">
        <v>32.227400000000003</v>
      </c>
      <c r="HD17">
        <v>21.262</v>
      </c>
      <c r="HE17">
        <v>400</v>
      </c>
      <c r="HF17">
        <v>15.9549</v>
      </c>
      <c r="HG17">
        <v>98.083200000000005</v>
      </c>
      <c r="HH17">
        <v>94.642799999999994</v>
      </c>
    </row>
    <row r="18" spans="1:216" x14ac:dyDescent="0.3">
      <c r="A18">
        <v>2</v>
      </c>
      <c r="B18">
        <v>1791611590.0999999</v>
      </c>
      <c r="C18">
        <v>121</v>
      </c>
      <c r="D18" t="s">
        <v>347</v>
      </c>
      <c r="E18" t="s">
        <v>348</v>
      </c>
      <c r="F18">
        <v>5</v>
      </c>
      <c r="G18">
        <v>1791611587.0999999</v>
      </c>
      <c r="H18">
        <f t="shared" si="0"/>
        <v>3.7249033692310983E-3</v>
      </c>
      <c r="I18">
        <f t="shared" si="1"/>
        <v>3.7249033692310984</v>
      </c>
      <c r="J18">
        <f t="shared" si="2"/>
        <v>14.445106144178972</v>
      </c>
      <c r="K18">
        <f t="shared" si="3"/>
        <v>293.7944</v>
      </c>
      <c r="L18">
        <f t="shared" si="4"/>
        <v>199.86510601264987</v>
      </c>
      <c r="M18">
        <f t="shared" si="5"/>
        <v>20.225745355711624</v>
      </c>
      <c r="N18">
        <f t="shared" si="6"/>
        <v>29.731106344085834</v>
      </c>
      <c r="O18">
        <f t="shared" si="7"/>
        <v>0.2729078511117477</v>
      </c>
      <c r="P18">
        <f t="shared" si="8"/>
        <v>3.0270397295507445</v>
      </c>
      <c r="Q18">
        <f t="shared" si="9"/>
        <v>0.25993846092637035</v>
      </c>
      <c r="R18">
        <f t="shared" si="10"/>
        <v>0.16357541370265088</v>
      </c>
      <c r="S18">
        <f t="shared" si="11"/>
        <v>241.72216081557988</v>
      </c>
      <c r="T18">
        <f t="shared" si="12"/>
        <v>25.567378140235519</v>
      </c>
      <c r="U18">
        <f t="shared" si="13"/>
        <v>24.990459999999999</v>
      </c>
      <c r="V18">
        <f t="shared" si="14"/>
        <v>3.1778695464384268</v>
      </c>
      <c r="W18">
        <f t="shared" si="15"/>
        <v>55.042222452331167</v>
      </c>
      <c r="X18">
        <f t="shared" si="16"/>
        <v>1.7631246426109697</v>
      </c>
      <c r="Y18">
        <f t="shared" si="17"/>
        <v>3.2032221157819492</v>
      </c>
      <c r="Z18">
        <f t="shared" si="18"/>
        <v>1.4147449038274571</v>
      </c>
      <c r="AA18">
        <f t="shared" si="19"/>
        <v>-164.26823858309143</v>
      </c>
      <c r="AB18">
        <f t="shared" si="20"/>
        <v>21.760256745044707</v>
      </c>
      <c r="AC18">
        <f t="shared" si="21"/>
        <v>1.5214429411498995</v>
      </c>
      <c r="AD18">
        <f t="shared" si="22"/>
        <v>100.73562191868305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53726.624952674349</v>
      </c>
      <c r="AJ18" t="s">
        <v>343</v>
      </c>
      <c r="AK18" t="s">
        <v>343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1261.1335200080725</v>
      </c>
      <c r="AW18">
        <f t="shared" si="29"/>
        <v>14.445106144178972</v>
      </c>
      <c r="AX18" t="e">
        <f t="shared" si="30"/>
        <v>#DIV/0!</v>
      </c>
      <c r="AY18">
        <f t="shared" si="31"/>
        <v>1.1454065659983812E-2</v>
      </c>
      <c r="AZ18" t="e">
        <f t="shared" si="32"/>
        <v>#DIV/0!</v>
      </c>
      <c r="BA18" t="e">
        <f t="shared" si="33"/>
        <v>#DIV/0!</v>
      </c>
      <c r="BB18" t="s">
        <v>343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CT18">
        <f t="shared" si="42"/>
        <v>1499.9079999999999</v>
      </c>
      <c r="CU18">
        <f t="shared" si="43"/>
        <v>1261.1335200080725</v>
      </c>
      <c r="CV18">
        <f t="shared" si="44"/>
        <v>0.8408072495166854</v>
      </c>
      <c r="CW18">
        <f t="shared" si="45"/>
        <v>0.16115799156720273</v>
      </c>
      <c r="CX18">
        <v>2</v>
      </c>
      <c r="CY18">
        <v>0.5</v>
      </c>
      <c r="CZ18" t="s">
        <v>344</v>
      </c>
      <c r="DA18">
        <v>2</v>
      </c>
      <c r="DB18">
        <v>1791611587.0999999</v>
      </c>
      <c r="DC18">
        <v>293.7944</v>
      </c>
      <c r="DD18">
        <v>300.01060000000001</v>
      </c>
      <c r="DE18">
        <v>17.422699999999999</v>
      </c>
      <c r="DF18">
        <v>15.958600000000001</v>
      </c>
      <c r="DG18">
        <v>294.22019999999998</v>
      </c>
      <c r="DH18">
        <v>17.59796</v>
      </c>
      <c r="DI18">
        <v>499.96660000000003</v>
      </c>
      <c r="DJ18">
        <v>101.09699999999999</v>
      </c>
      <c r="DK18">
        <v>9.9981100000000003E-2</v>
      </c>
      <c r="DL18">
        <v>25.123799999999999</v>
      </c>
      <c r="DM18">
        <v>24.990459999999999</v>
      </c>
      <c r="DN18">
        <v>999.9</v>
      </c>
      <c r="DO18">
        <v>0</v>
      </c>
      <c r="DP18">
        <v>0</v>
      </c>
      <c r="DQ18">
        <v>9987.01</v>
      </c>
      <c r="DR18">
        <v>0</v>
      </c>
      <c r="DS18">
        <v>8.4701199999999996</v>
      </c>
      <c r="DT18">
        <v>1499.9079999999999</v>
      </c>
      <c r="DU18">
        <v>0.97300200000000003</v>
      </c>
      <c r="DV18">
        <v>2.6997940000000002E-2</v>
      </c>
      <c r="DW18">
        <v>0</v>
      </c>
      <c r="DX18">
        <v>263.12720000000002</v>
      </c>
      <c r="DY18">
        <v>4.9999900000000004</v>
      </c>
      <c r="DZ18">
        <v>3901.0320000000002</v>
      </c>
      <c r="EA18">
        <v>14881.68</v>
      </c>
      <c r="EB18">
        <v>36.875</v>
      </c>
      <c r="EC18">
        <v>38.5</v>
      </c>
      <c r="ED18">
        <v>37.487400000000001</v>
      </c>
      <c r="EE18">
        <v>38</v>
      </c>
      <c r="EF18">
        <v>38.5</v>
      </c>
      <c r="EG18">
        <v>1454.548</v>
      </c>
      <c r="EH18">
        <v>40.36</v>
      </c>
      <c r="EI18">
        <v>0</v>
      </c>
      <c r="EJ18">
        <v>1791611591.3</v>
      </c>
      <c r="EK18">
        <v>0</v>
      </c>
      <c r="EL18">
        <v>263.12691999999998</v>
      </c>
      <c r="EM18">
        <v>0.18015384844705601</v>
      </c>
      <c r="EN18">
        <v>-0.68923076088440605</v>
      </c>
      <c r="EO18">
        <v>3901.3092000000001</v>
      </c>
      <c r="EP18">
        <v>15</v>
      </c>
      <c r="EQ18">
        <v>1791611535.0999999</v>
      </c>
      <c r="ER18" t="s">
        <v>349</v>
      </c>
      <c r="ES18">
        <v>1791611535.0999999</v>
      </c>
      <c r="ET18">
        <v>1791611532.0999999</v>
      </c>
      <c r="EU18">
        <v>57</v>
      </c>
      <c r="EV18">
        <v>9.9000000000000005E-2</v>
      </c>
      <c r="EW18">
        <v>2E-3</v>
      </c>
      <c r="EX18">
        <v>-0.41799999999999998</v>
      </c>
      <c r="EY18">
        <v>-0.18</v>
      </c>
      <c r="EZ18">
        <v>300</v>
      </c>
      <c r="FA18">
        <v>16</v>
      </c>
      <c r="FB18">
        <v>0.4</v>
      </c>
      <c r="FC18">
        <v>0.05</v>
      </c>
      <c r="FD18">
        <v>14.4318744732273</v>
      </c>
      <c r="FE18">
        <v>0.30501958476584101</v>
      </c>
      <c r="FF18">
        <v>5.44719138104693E-2</v>
      </c>
      <c r="FG18">
        <v>1</v>
      </c>
      <c r="FH18">
        <v>-6.2160905</v>
      </c>
      <c r="FI18">
        <v>-9.4850977443607001E-2</v>
      </c>
      <c r="FJ18">
        <v>2.0965747893886399E-2</v>
      </c>
      <c r="FK18">
        <v>1</v>
      </c>
      <c r="FL18">
        <v>263.1875</v>
      </c>
      <c r="FM18">
        <v>-0.25611918223486702</v>
      </c>
      <c r="FN18">
        <v>0.39400009331142899</v>
      </c>
      <c r="FO18">
        <v>-1</v>
      </c>
      <c r="FP18">
        <v>2</v>
      </c>
      <c r="FQ18">
        <v>2</v>
      </c>
      <c r="FR18" t="s">
        <v>346</v>
      </c>
      <c r="FS18">
        <v>100</v>
      </c>
      <c r="FT18">
        <v>100</v>
      </c>
      <c r="FU18">
        <v>-0.42499999999999999</v>
      </c>
      <c r="FV18">
        <v>-0.17530000000000001</v>
      </c>
      <c r="FW18">
        <v>-0.71644809763444495</v>
      </c>
      <c r="FX18">
        <v>7.6835882421071803E-4</v>
      </c>
      <c r="FY18">
        <v>7.9312579872174805E-7</v>
      </c>
      <c r="FZ18">
        <v>-1.5433145656851401E-10</v>
      </c>
      <c r="GA18">
        <v>-2.4794806136748698E-2</v>
      </c>
      <c r="GB18">
        <v>-2.1578312386681502E-2</v>
      </c>
      <c r="GC18">
        <v>7.7134661959739901E-4</v>
      </c>
      <c r="GD18">
        <v>-1.7684492548540801E-6</v>
      </c>
      <c r="GE18">
        <v>4</v>
      </c>
      <c r="GF18">
        <v>2093</v>
      </c>
      <c r="GG18">
        <v>1</v>
      </c>
      <c r="GH18">
        <v>31</v>
      </c>
      <c r="GI18">
        <v>0.9</v>
      </c>
      <c r="GJ18">
        <v>1</v>
      </c>
      <c r="GK18">
        <v>0.83007799999999998</v>
      </c>
      <c r="GL18">
        <v>2.65015</v>
      </c>
      <c r="GM18">
        <v>1.65161</v>
      </c>
      <c r="GN18">
        <v>2.2717299999999998</v>
      </c>
      <c r="GO18">
        <v>1.5979000000000001</v>
      </c>
      <c r="GP18">
        <v>2.5671400000000002</v>
      </c>
      <c r="GQ18">
        <v>34.967399999999998</v>
      </c>
      <c r="GR18">
        <v>15.2265</v>
      </c>
      <c r="GS18">
        <v>18</v>
      </c>
      <c r="GT18">
        <v>504.03899999999999</v>
      </c>
      <c r="GU18">
        <v>533.23900000000003</v>
      </c>
      <c r="GV18">
        <v>21.1511</v>
      </c>
      <c r="GW18">
        <v>29.4556</v>
      </c>
      <c r="GX18">
        <v>30.0001</v>
      </c>
      <c r="GY18">
        <v>29.577200000000001</v>
      </c>
      <c r="GZ18">
        <v>29.629799999999999</v>
      </c>
      <c r="HA18">
        <v>16.592300000000002</v>
      </c>
      <c r="HB18">
        <v>24.3901</v>
      </c>
      <c r="HC18">
        <v>32.109099999999998</v>
      </c>
      <c r="HD18">
        <v>21.155000000000001</v>
      </c>
      <c r="HE18">
        <v>300</v>
      </c>
      <c r="HF18">
        <v>15.963800000000001</v>
      </c>
      <c r="HG18">
        <v>98.076800000000006</v>
      </c>
      <c r="HH18">
        <v>94.643299999999996</v>
      </c>
    </row>
    <row r="19" spans="1:216" x14ac:dyDescent="0.3">
      <c r="A19">
        <v>3</v>
      </c>
      <c r="B19">
        <v>1791611711.0999999</v>
      </c>
      <c r="C19">
        <v>242</v>
      </c>
      <c r="D19" t="s">
        <v>350</v>
      </c>
      <c r="E19" t="s">
        <v>351</v>
      </c>
      <c r="F19">
        <v>5</v>
      </c>
      <c r="G19">
        <v>1791611707.5999999</v>
      </c>
      <c r="H19">
        <f t="shared" si="0"/>
        <v>3.8034584589999561E-3</v>
      </c>
      <c r="I19">
        <f t="shared" si="1"/>
        <v>3.8034584589999563</v>
      </c>
      <c r="J19">
        <f t="shared" si="2"/>
        <v>8.579846943867306</v>
      </c>
      <c r="K19">
        <f t="shared" si="3"/>
        <v>196.244</v>
      </c>
      <c r="L19">
        <f t="shared" si="4"/>
        <v>141.08935801254154</v>
      </c>
      <c r="M19">
        <f t="shared" si="5"/>
        <v>14.277894399065506</v>
      </c>
      <c r="N19">
        <f t="shared" si="6"/>
        <v>19.859407881075935</v>
      </c>
      <c r="O19">
        <f t="shared" si="7"/>
        <v>0.2792064760274624</v>
      </c>
      <c r="P19">
        <f t="shared" si="8"/>
        <v>3.0261942950825489</v>
      </c>
      <c r="Q19">
        <f t="shared" si="9"/>
        <v>0.26564390760151946</v>
      </c>
      <c r="R19">
        <f t="shared" si="10"/>
        <v>0.16719107075306486</v>
      </c>
      <c r="S19">
        <f t="shared" si="11"/>
        <v>241.73684401557895</v>
      </c>
      <c r="T19">
        <f t="shared" si="12"/>
        <v>25.531770771453697</v>
      </c>
      <c r="U19">
        <f t="shared" si="13"/>
        <v>24.9818</v>
      </c>
      <c r="V19">
        <f t="shared" si="14"/>
        <v>3.1762290606039967</v>
      </c>
      <c r="W19">
        <f t="shared" si="15"/>
        <v>55.079822355580291</v>
      </c>
      <c r="X19">
        <f t="shared" si="16"/>
        <v>1.7626518136200573</v>
      </c>
      <c r="Y19">
        <f t="shared" si="17"/>
        <v>3.2001770126287963</v>
      </c>
      <c r="Z19">
        <f t="shared" si="18"/>
        <v>1.4135772469839394</v>
      </c>
      <c r="AA19">
        <f t="shared" si="19"/>
        <v>-167.73251804189806</v>
      </c>
      <c r="AB19">
        <f t="shared" si="20"/>
        <v>20.562109814286924</v>
      </c>
      <c r="AC19">
        <f t="shared" si="21"/>
        <v>1.4378938073637126</v>
      </c>
      <c r="AD19">
        <f t="shared" si="22"/>
        <v>96.004329595331527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53703.172149149439</v>
      </c>
      <c r="AJ19" t="s">
        <v>343</v>
      </c>
      <c r="AK19" t="s">
        <v>343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1261.2108000080721</v>
      </c>
      <c r="AW19">
        <f t="shared" si="29"/>
        <v>8.579846943867306</v>
      </c>
      <c r="AX19" t="e">
        <f t="shared" si="30"/>
        <v>#DIV/0!</v>
      </c>
      <c r="AY19">
        <f t="shared" si="31"/>
        <v>6.8028651069372325E-3</v>
      </c>
      <c r="AZ19" t="e">
        <f t="shared" si="32"/>
        <v>#DIV/0!</v>
      </c>
      <c r="BA19" t="e">
        <f t="shared" si="33"/>
        <v>#DIV/0!</v>
      </c>
      <c r="BB19" t="s">
        <v>343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CT19">
        <f t="shared" si="42"/>
        <v>1500</v>
      </c>
      <c r="CU19">
        <f t="shared" si="43"/>
        <v>1261.2108000080721</v>
      </c>
      <c r="CV19">
        <f t="shared" si="44"/>
        <v>0.84080720000538134</v>
      </c>
      <c r="CW19">
        <f t="shared" si="45"/>
        <v>0.16115789601038596</v>
      </c>
      <c r="CX19">
        <v>2</v>
      </c>
      <c r="CY19">
        <v>0.5</v>
      </c>
      <c r="CZ19" t="s">
        <v>344</v>
      </c>
      <c r="DA19">
        <v>2</v>
      </c>
      <c r="DB19">
        <v>1791611707.5999999</v>
      </c>
      <c r="DC19">
        <v>196.244</v>
      </c>
      <c r="DD19">
        <v>199.974166666667</v>
      </c>
      <c r="DE19">
        <v>17.417933333333298</v>
      </c>
      <c r="DF19">
        <v>15.9231833333333</v>
      </c>
      <c r="DG19">
        <v>196.66749999999999</v>
      </c>
      <c r="DH19">
        <v>17.597283333333301</v>
      </c>
      <c r="DI19">
        <v>500.04483333333297</v>
      </c>
      <c r="DJ19">
        <v>101.097333333333</v>
      </c>
      <c r="DK19">
        <v>0.100195666666667</v>
      </c>
      <c r="DL19">
        <v>25.1078333333333</v>
      </c>
      <c r="DM19">
        <v>24.9818</v>
      </c>
      <c r="DN19">
        <v>999.9</v>
      </c>
      <c r="DO19">
        <v>0</v>
      </c>
      <c r="DP19">
        <v>0</v>
      </c>
      <c r="DQ19">
        <v>9981.875</v>
      </c>
      <c r="DR19">
        <v>0</v>
      </c>
      <c r="DS19">
        <v>8.4367066666666695</v>
      </c>
      <c r="DT19">
        <v>1500</v>
      </c>
      <c r="DU19">
        <v>0.97300316666666697</v>
      </c>
      <c r="DV19">
        <v>2.699675E-2</v>
      </c>
      <c r="DW19">
        <v>0</v>
      </c>
      <c r="DX19">
        <v>264.17283333333302</v>
      </c>
      <c r="DY19">
        <v>4.9999900000000004</v>
      </c>
      <c r="DZ19">
        <v>3910.7716666666702</v>
      </c>
      <c r="EA19">
        <v>14882.6166666667</v>
      </c>
      <c r="EB19">
        <v>36.875</v>
      </c>
      <c r="EC19">
        <v>38.5</v>
      </c>
      <c r="ED19">
        <v>37.5</v>
      </c>
      <c r="EE19">
        <v>38</v>
      </c>
      <c r="EF19">
        <v>38.5</v>
      </c>
      <c r="EG19">
        <v>1454.64</v>
      </c>
      <c r="EH19">
        <v>40.36</v>
      </c>
      <c r="EI19">
        <v>0</v>
      </c>
      <c r="EJ19">
        <v>1791611711.9000001</v>
      </c>
      <c r="EK19">
        <v>0</v>
      </c>
      <c r="EL19">
        <v>264.16023076923102</v>
      </c>
      <c r="EM19">
        <v>-2.5796239597417898</v>
      </c>
      <c r="EN19">
        <v>0.93846156444592599</v>
      </c>
      <c r="EO19">
        <v>3910.9196153846201</v>
      </c>
      <c r="EP19">
        <v>15</v>
      </c>
      <c r="EQ19">
        <v>1791611655.0999999</v>
      </c>
      <c r="ER19" t="s">
        <v>352</v>
      </c>
      <c r="ES19">
        <v>1791611655.0999999</v>
      </c>
      <c r="ET19">
        <v>1791611654.0999999</v>
      </c>
      <c r="EU19">
        <v>58</v>
      </c>
      <c r="EV19">
        <v>0.112</v>
      </c>
      <c r="EW19">
        <v>-4.0000000000000001E-3</v>
      </c>
      <c r="EX19">
        <v>-0.41899999999999998</v>
      </c>
      <c r="EY19">
        <v>-0.184</v>
      </c>
      <c r="EZ19">
        <v>200</v>
      </c>
      <c r="FA19">
        <v>16</v>
      </c>
      <c r="FB19">
        <v>0.4</v>
      </c>
      <c r="FC19">
        <v>0.04</v>
      </c>
      <c r="FD19">
        <v>8.6152560560091693</v>
      </c>
      <c r="FE19">
        <v>-0.15338522652332101</v>
      </c>
      <c r="FF19">
        <v>3.3337036594549702E-2</v>
      </c>
      <c r="FG19">
        <v>1</v>
      </c>
      <c r="FH19">
        <v>-3.7460152380952398</v>
      </c>
      <c r="FI19">
        <v>8.4426233766233705E-2</v>
      </c>
      <c r="FJ19">
        <v>1.3895840288527399E-2</v>
      </c>
      <c r="FK19">
        <v>1</v>
      </c>
      <c r="FL19">
        <v>264.202294117647</v>
      </c>
      <c r="FM19">
        <v>-0.113307875191341</v>
      </c>
      <c r="FN19">
        <v>0.44645430102819</v>
      </c>
      <c r="FO19">
        <v>-1</v>
      </c>
      <c r="FP19">
        <v>2</v>
      </c>
      <c r="FQ19">
        <v>2</v>
      </c>
      <c r="FR19" t="s">
        <v>346</v>
      </c>
      <c r="FS19">
        <v>100</v>
      </c>
      <c r="FT19">
        <v>100</v>
      </c>
      <c r="FU19">
        <v>-0.42299999999999999</v>
      </c>
      <c r="FV19">
        <v>-0.1794</v>
      </c>
      <c r="FW19">
        <v>-0.60405363556012903</v>
      </c>
      <c r="FX19">
        <v>7.6835882421071803E-4</v>
      </c>
      <c r="FY19">
        <v>7.9312579872174805E-7</v>
      </c>
      <c r="FZ19">
        <v>-1.5433145656851401E-10</v>
      </c>
      <c r="GA19">
        <v>-2.8824709666447901E-2</v>
      </c>
      <c r="GB19">
        <v>-2.1578312386681502E-2</v>
      </c>
      <c r="GC19">
        <v>7.7134661959739901E-4</v>
      </c>
      <c r="GD19">
        <v>-1.7684492548540801E-6</v>
      </c>
      <c r="GE19">
        <v>4</v>
      </c>
      <c r="GF19">
        <v>2093</v>
      </c>
      <c r="GG19">
        <v>1</v>
      </c>
      <c r="GH19">
        <v>31</v>
      </c>
      <c r="GI19">
        <v>0.9</v>
      </c>
      <c r="GJ19">
        <v>0.9</v>
      </c>
      <c r="GK19">
        <v>0.60913099999999998</v>
      </c>
      <c r="GL19">
        <v>2.65503</v>
      </c>
      <c r="GM19">
        <v>1.65161</v>
      </c>
      <c r="GN19">
        <v>2.2717299999999998</v>
      </c>
      <c r="GO19">
        <v>1.5979000000000001</v>
      </c>
      <c r="GP19">
        <v>2.5402800000000001</v>
      </c>
      <c r="GQ19">
        <v>34.967399999999998</v>
      </c>
      <c r="GR19">
        <v>15.2003</v>
      </c>
      <c r="GS19">
        <v>18</v>
      </c>
      <c r="GT19">
        <v>504.03800000000001</v>
      </c>
      <c r="GU19">
        <v>533.08399999999995</v>
      </c>
      <c r="GV19">
        <v>21.161100000000001</v>
      </c>
      <c r="GW19">
        <v>29.4633</v>
      </c>
      <c r="GX19">
        <v>30</v>
      </c>
      <c r="GY19">
        <v>29.584800000000001</v>
      </c>
      <c r="GZ19">
        <v>29.6374</v>
      </c>
      <c r="HA19">
        <v>12.1838</v>
      </c>
      <c r="HB19">
        <v>24.572600000000001</v>
      </c>
      <c r="HC19">
        <v>32.043900000000001</v>
      </c>
      <c r="HD19">
        <v>21.178599999999999</v>
      </c>
      <c r="HE19">
        <v>200</v>
      </c>
      <c r="HF19">
        <v>15.937200000000001</v>
      </c>
      <c r="HG19">
        <v>98.076800000000006</v>
      </c>
      <c r="HH19">
        <v>94.643699999999995</v>
      </c>
    </row>
    <row r="20" spans="1:216" x14ac:dyDescent="0.3">
      <c r="A20">
        <v>4</v>
      </c>
      <c r="B20">
        <v>1791611832.0999999</v>
      </c>
      <c r="C20">
        <v>363</v>
      </c>
      <c r="D20" t="s">
        <v>353</v>
      </c>
      <c r="E20" t="s">
        <v>354</v>
      </c>
      <c r="F20">
        <v>5</v>
      </c>
      <c r="G20">
        <v>1791611829.0999999</v>
      </c>
      <c r="H20">
        <f t="shared" si="0"/>
        <v>3.8916894157381547E-3</v>
      </c>
      <c r="I20">
        <f t="shared" si="1"/>
        <v>3.8916894157381545</v>
      </c>
      <c r="J20">
        <f t="shared" si="2"/>
        <v>2.4424905237474017</v>
      </c>
      <c r="K20">
        <f t="shared" si="3"/>
        <v>98.838579999999993</v>
      </c>
      <c r="L20">
        <f t="shared" si="4"/>
        <v>82.481955504406201</v>
      </c>
      <c r="M20">
        <f t="shared" si="5"/>
        <v>8.3468154172701716</v>
      </c>
      <c r="N20">
        <f t="shared" si="6"/>
        <v>10.002034727717145</v>
      </c>
      <c r="O20">
        <f t="shared" si="7"/>
        <v>0.28565735072142245</v>
      </c>
      <c r="P20">
        <f t="shared" si="8"/>
        <v>3.0298737289078814</v>
      </c>
      <c r="Q20">
        <f t="shared" si="9"/>
        <v>0.27149423352839691</v>
      </c>
      <c r="R20">
        <f t="shared" si="10"/>
        <v>0.1708978603097264</v>
      </c>
      <c r="S20">
        <f t="shared" si="11"/>
        <v>241.74386641557854</v>
      </c>
      <c r="T20">
        <f t="shared" si="12"/>
        <v>25.51339088517495</v>
      </c>
      <c r="U20">
        <f t="shared" si="13"/>
        <v>24.996860000000002</v>
      </c>
      <c r="V20">
        <f t="shared" si="14"/>
        <v>3.1790823904734409</v>
      </c>
      <c r="W20">
        <f t="shared" si="15"/>
        <v>55.105789802985569</v>
      </c>
      <c r="X20">
        <f t="shared" si="16"/>
        <v>1.7639373942588861</v>
      </c>
      <c r="Y20">
        <f t="shared" si="17"/>
        <v>3.2010019284095588</v>
      </c>
      <c r="Z20">
        <f t="shared" si="18"/>
        <v>1.4151449962145548</v>
      </c>
      <c r="AA20">
        <f t="shared" si="19"/>
        <v>-171.62350323405263</v>
      </c>
      <c r="AB20">
        <f t="shared" si="20"/>
        <v>18.833857500122893</v>
      </c>
      <c r="AC20">
        <f t="shared" si="21"/>
        <v>1.3155672935032545</v>
      </c>
      <c r="AD20">
        <f t="shared" si="22"/>
        <v>90.269787975152042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53817.04848723115</v>
      </c>
      <c r="AJ20" t="s">
        <v>343</v>
      </c>
      <c r="AK20" t="s">
        <v>343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1261.247760008072</v>
      </c>
      <c r="AW20">
        <f t="shared" si="29"/>
        <v>2.4424905237474017</v>
      </c>
      <c r="AX20" t="e">
        <f t="shared" si="30"/>
        <v>#DIV/0!</v>
      </c>
      <c r="AY20">
        <f t="shared" si="31"/>
        <v>1.9365667882191282E-3</v>
      </c>
      <c r="AZ20" t="e">
        <f t="shared" si="32"/>
        <v>#DIV/0!</v>
      </c>
      <c r="BA20" t="e">
        <f t="shared" si="33"/>
        <v>#DIV/0!</v>
      </c>
      <c r="BB20" t="s">
        <v>343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CT20">
        <f t="shared" si="42"/>
        <v>1500.0440000000001</v>
      </c>
      <c r="CU20">
        <f t="shared" si="43"/>
        <v>1261.247760008072</v>
      </c>
      <c r="CV20">
        <f t="shared" si="44"/>
        <v>0.840807176328209</v>
      </c>
      <c r="CW20">
        <f t="shared" si="45"/>
        <v>0.16115785031344315</v>
      </c>
      <c r="CX20">
        <v>2</v>
      </c>
      <c r="CY20">
        <v>0.5</v>
      </c>
      <c r="CZ20" t="s">
        <v>344</v>
      </c>
      <c r="DA20">
        <v>2</v>
      </c>
      <c r="DB20">
        <v>1791611829.0999999</v>
      </c>
      <c r="DC20">
        <v>98.838579999999993</v>
      </c>
      <c r="DD20">
        <v>99.96942</v>
      </c>
      <c r="DE20">
        <v>17.430959999999999</v>
      </c>
      <c r="DF20">
        <v>15.901439999999999</v>
      </c>
      <c r="DG20">
        <v>99.213859999999997</v>
      </c>
      <c r="DH20">
        <v>17.609860000000001</v>
      </c>
      <c r="DI20">
        <v>500.00700000000001</v>
      </c>
      <c r="DJ20">
        <v>101.0958</v>
      </c>
      <c r="DK20">
        <v>9.9853839999999999E-2</v>
      </c>
      <c r="DL20">
        <v>25.112159999999999</v>
      </c>
      <c r="DM20">
        <v>24.996860000000002</v>
      </c>
      <c r="DN20">
        <v>999.9</v>
      </c>
      <c r="DO20">
        <v>0</v>
      </c>
      <c r="DP20">
        <v>0</v>
      </c>
      <c r="DQ20">
        <v>10004.25</v>
      </c>
      <c r="DR20">
        <v>0</v>
      </c>
      <c r="DS20">
        <v>8.4136500000000005</v>
      </c>
      <c r="DT20">
        <v>1500.0440000000001</v>
      </c>
      <c r="DU20">
        <v>0.97300399999999998</v>
      </c>
      <c r="DV20">
        <v>2.69959E-2</v>
      </c>
      <c r="DW20">
        <v>0</v>
      </c>
      <c r="DX20">
        <v>265.7226</v>
      </c>
      <c r="DY20">
        <v>4.9999900000000004</v>
      </c>
      <c r="DZ20">
        <v>3933.1680000000001</v>
      </c>
      <c r="EA20">
        <v>14883.04</v>
      </c>
      <c r="EB20">
        <v>36.875</v>
      </c>
      <c r="EC20">
        <v>38.436999999999998</v>
      </c>
      <c r="ED20">
        <v>37.436999999999998</v>
      </c>
      <c r="EE20">
        <v>37.936999999999998</v>
      </c>
      <c r="EF20">
        <v>38.5</v>
      </c>
      <c r="EG20">
        <v>1454.684</v>
      </c>
      <c r="EH20">
        <v>40.36</v>
      </c>
      <c r="EI20">
        <v>0</v>
      </c>
      <c r="EJ20">
        <v>1791611833.0999999</v>
      </c>
      <c r="EK20">
        <v>0</v>
      </c>
      <c r="EL20">
        <v>265.96688461538503</v>
      </c>
      <c r="EM20">
        <v>0.62601710257370902</v>
      </c>
      <c r="EN20">
        <v>-8.51829058653035</v>
      </c>
      <c r="EO20">
        <v>3933.5738461538499</v>
      </c>
      <c r="EP20">
        <v>15</v>
      </c>
      <c r="EQ20">
        <v>1791611777.0999999</v>
      </c>
      <c r="ER20" t="s">
        <v>355</v>
      </c>
      <c r="ES20">
        <v>1791611774.0999999</v>
      </c>
      <c r="ET20">
        <v>1791611777.0999999</v>
      </c>
      <c r="EU20">
        <v>59</v>
      </c>
      <c r="EV20">
        <v>0.14499999999999999</v>
      </c>
      <c r="EW20">
        <v>0</v>
      </c>
      <c r="EX20">
        <v>-0.374</v>
      </c>
      <c r="EY20">
        <v>-0.183</v>
      </c>
      <c r="EZ20">
        <v>100</v>
      </c>
      <c r="FA20">
        <v>16</v>
      </c>
      <c r="FB20">
        <v>0.25</v>
      </c>
      <c r="FC20">
        <v>0.05</v>
      </c>
      <c r="FD20">
        <v>2.4956420918448301</v>
      </c>
      <c r="FE20">
        <v>-0.13973243365457599</v>
      </c>
      <c r="FF20">
        <v>5.8814508052869502E-2</v>
      </c>
      <c r="FG20">
        <v>1</v>
      </c>
      <c r="FH20">
        <v>-1.1492640000000001</v>
      </c>
      <c r="FI20">
        <v>8.4256240601504301E-2</v>
      </c>
      <c r="FJ20">
        <v>2.5556489273763701E-2</v>
      </c>
      <c r="FK20">
        <v>1</v>
      </c>
      <c r="FL20">
        <v>265.98597058823498</v>
      </c>
      <c r="FM20">
        <v>-1.2362566775803401</v>
      </c>
      <c r="FN20">
        <v>0.45062658894516799</v>
      </c>
      <c r="FO20">
        <v>-1</v>
      </c>
      <c r="FP20">
        <v>2</v>
      </c>
      <c r="FQ20">
        <v>2</v>
      </c>
      <c r="FR20" t="s">
        <v>346</v>
      </c>
      <c r="FS20">
        <v>100</v>
      </c>
      <c r="FT20">
        <v>100</v>
      </c>
      <c r="FU20">
        <v>-0.375</v>
      </c>
      <c r="FV20">
        <v>-0.1789</v>
      </c>
      <c r="FW20">
        <v>-0.459169493843191</v>
      </c>
      <c r="FX20">
        <v>7.6835882421071803E-4</v>
      </c>
      <c r="FY20">
        <v>7.9312579872174805E-7</v>
      </c>
      <c r="FZ20">
        <v>-1.5433145656851401E-10</v>
      </c>
      <c r="GA20">
        <v>-2.84448338336632E-2</v>
      </c>
      <c r="GB20">
        <v>-2.1578312386681502E-2</v>
      </c>
      <c r="GC20">
        <v>7.7134661959739901E-4</v>
      </c>
      <c r="GD20">
        <v>-1.7684492548540801E-6</v>
      </c>
      <c r="GE20">
        <v>4</v>
      </c>
      <c r="GF20">
        <v>2093</v>
      </c>
      <c r="GG20">
        <v>1</v>
      </c>
      <c r="GH20">
        <v>31</v>
      </c>
      <c r="GI20">
        <v>1</v>
      </c>
      <c r="GJ20">
        <v>0.9</v>
      </c>
      <c r="GK20">
        <v>0.380859</v>
      </c>
      <c r="GL20">
        <v>2.67456</v>
      </c>
      <c r="GM20">
        <v>1.65161</v>
      </c>
      <c r="GN20">
        <v>2.2729499999999998</v>
      </c>
      <c r="GO20">
        <v>1.5979000000000001</v>
      </c>
      <c r="GP20">
        <v>2.6269499999999999</v>
      </c>
      <c r="GQ20">
        <v>34.944400000000002</v>
      </c>
      <c r="GR20">
        <v>15.182700000000001</v>
      </c>
      <c r="GS20">
        <v>18</v>
      </c>
      <c r="GT20">
        <v>504.09399999999999</v>
      </c>
      <c r="GU20">
        <v>533.09900000000005</v>
      </c>
      <c r="GV20">
        <v>21.209800000000001</v>
      </c>
      <c r="GW20">
        <v>29.453099999999999</v>
      </c>
      <c r="GX20">
        <v>30.000399999999999</v>
      </c>
      <c r="GY20">
        <v>29.5823</v>
      </c>
      <c r="GZ20">
        <v>29.634899999999998</v>
      </c>
      <c r="HA20">
        <v>7.6147900000000002</v>
      </c>
      <c r="HB20">
        <v>24.5594</v>
      </c>
      <c r="HC20">
        <v>31.873000000000001</v>
      </c>
      <c r="HD20">
        <v>21.208300000000001</v>
      </c>
      <c r="HE20">
        <v>100</v>
      </c>
      <c r="HF20">
        <v>15.8713</v>
      </c>
      <c r="HG20">
        <v>98.080299999999994</v>
      </c>
      <c r="HH20">
        <v>94.648099999999999</v>
      </c>
    </row>
    <row r="21" spans="1:216" x14ac:dyDescent="0.3">
      <c r="A21">
        <v>5</v>
      </c>
      <c r="B21">
        <v>1791611953.0999999</v>
      </c>
      <c r="C21">
        <v>484</v>
      </c>
      <c r="D21" t="s">
        <v>356</v>
      </c>
      <c r="E21" t="s">
        <v>357</v>
      </c>
      <c r="F21">
        <v>5</v>
      </c>
      <c r="G21">
        <v>1791611950.0999999</v>
      </c>
      <c r="H21">
        <f t="shared" si="0"/>
        <v>4.0185176647130278E-3</v>
      </c>
      <c r="I21">
        <f t="shared" si="1"/>
        <v>4.0185176647130278</v>
      </c>
      <c r="J21">
        <f t="shared" si="2"/>
        <v>-0.56583918881337292</v>
      </c>
      <c r="K21">
        <f t="shared" si="3"/>
        <v>50.149320000000003</v>
      </c>
      <c r="L21">
        <f t="shared" si="4"/>
        <v>52.18743838049312</v>
      </c>
      <c r="M21">
        <f t="shared" si="5"/>
        <v>5.2809862635825358</v>
      </c>
      <c r="N21">
        <f t="shared" si="6"/>
        <v>5.0747436215799651</v>
      </c>
      <c r="O21">
        <f t="shared" si="7"/>
        <v>0.29588196056023114</v>
      </c>
      <c r="P21">
        <f t="shared" si="8"/>
        <v>3.0280855768217134</v>
      </c>
      <c r="Q21">
        <f t="shared" si="9"/>
        <v>0.28070725888839687</v>
      </c>
      <c r="R21">
        <f t="shared" si="10"/>
        <v>0.17674054491156627</v>
      </c>
      <c r="S21">
        <f t="shared" si="11"/>
        <v>241.7326944155792</v>
      </c>
      <c r="T21">
        <f t="shared" si="12"/>
        <v>25.509139959264413</v>
      </c>
      <c r="U21">
        <f t="shared" si="13"/>
        <v>24.990300000000001</v>
      </c>
      <c r="V21">
        <f t="shared" si="14"/>
        <v>3.1778392305190191</v>
      </c>
      <c r="W21">
        <f t="shared" si="15"/>
        <v>55.035048216303991</v>
      </c>
      <c r="X21">
        <f t="shared" si="16"/>
        <v>1.7645735043793667</v>
      </c>
      <c r="Y21">
        <f t="shared" si="17"/>
        <v>3.2062722965991992</v>
      </c>
      <c r="Z21">
        <f t="shared" si="18"/>
        <v>1.4132657261396524</v>
      </c>
      <c r="AA21">
        <f t="shared" si="19"/>
        <v>-177.21662901384451</v>
      </c>
      <c r="AB21">
        <f t="shared" si="20"/>
        <v>24.40263236484018</v>
      </c>
      <c r="AC21">
        <f t="shared" si="21"/>
        <v>1.7057402193452642</v>
      </c>
      <c r="AD21">
        <f t="shared" si="22"/>
        <v>90.624437985920139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53756.240059538315</v>
      </c>
      <c r="AJ21" t="s">
        <v>343</v>
      </c>
      <c r="AK21" t="s">
        <v>343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1261.1889600080719</v>
      </c>
      <c r="AW21">
        <f t="shared" si="29"/>
        <v>-0.56583918881337292</v>
      </c>
      <c r="AX21" t="e">
        <f t="shared" si="30"/>
        <v>#DIV/0!</v>
      </c>
      <c r="AY21">
        <f t="shared" si="31"/>
        <v>-4.4865536153262188E-4</v>
      </c>
      <c r="AZ21" t="e">
        <f t="shared" si="32"/>
        <v>#DIV/0!</v>
      </c>
      <c r="BA21" t="e">
        <f t="shared" si="33"/>
        <v>#DIV/0!</v>
      </c>
      <c r="BB21" t="s">
        <v>343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CT21">
        <f t="shared" si="42"/>
        <v>1499.9739999999999</v>
      </c>
      <c r="CU21">
        <f t="shared" si="43"/>
        <v>1261.1889600080719</v>
      </c>
      <c r="CV21">
        <f t="shared" si="44"/>
        <v>0.84080721399709069</v>
      </c>
      <c r="CW21">
        <f t="shared" si="45"/>
        <v>0.16115792301438506</v>
      </c>
      <c r="CX21">
        <v>2</v>
      </c>
      <c r="CY21">
        <v>0.5</v>
      </c>
      <c r="CZ21" t="s">
        <v>344</v>
      </c>
      <c r="DA21">
        <v>2</v>
      </c>
      <c r="DB21">
        <v>1791611950.0999999</v>
      </c>
      <c r="DC21">
        <v>50.149320000000003</v>
      </c>
      <c r="DD21">
        <v>50.003599999999999</v>
      </c>
      <c r="DE21">
        <v>17.437760000000001</v>
      </c>
      <c r="DF21">
        <v>15.85844</v>
      </c>
      <c r="DG21">
        <v>50.615879999999997</v>
      </c>
      <c r="DH21">
        <v>17.614360000000001</v>
      </c>
      <c r="DI21">
        <v>500.01819999999998</v>
      </c>
      <c r="DJ21">
        <v>101.0926</v>
      </c>
      <c r="DK21">
        <v>0.10007064</v>
      </c>
      <c r="DL21">
        <v>25.139779999999998</v>
      </c>
      <c r="DM21">
        <v>24.990300000000001</v>
      </c>
      <c r="DN21">
        <v>999.9</v>
      </c>
      <c r="DO21">
        <v>0</v>
      </c>
      <c r="DP21">
        <v>0</v>
      </c>
      <c r="DQ21">
        <v>9993.76</v>
      </c>
      <c r="DR21">
        <v>0</v>
      </c>
      <c r="DS21">
        <v>8.356052</v>
      </c>
      <c r="DT21">
        <v>1499.9739999999999</v>
      </c>
      <c r="DU21">
        <v>0.97300299999999995</v>
      </c>
      <c r="DV21">
        <v>2.6996920000000001E-2</v>
      </c>
      <c r="DW21">
        <v>0</v>
      </c>
      <c r="DX21">
        <v>267.85180000000003</v>
      </c>
      <c r="DY21">
        <v>4.9999900000000004</v>
      </c>
      <c r="DZ21">
        <v>3958.2359999999999</v>
      </c>
      <c r="EA21">
        <v>14882.34</v>
      </c>
      <c r="EB21">
        <v>36.875</v>
      </c>
      <c r="EC21">
        <v>38.5</v>
      </c>
      <c r="ED21">
        <v>37.436999999999998</v>
      </c>
      <c r="EE21">
        <v>37.949599999999997</v>
      </c>
      <c r="EF21">
        <v>38.5</v>
      </c>
      <c r="EG21">
        <v>1454.614</v>
      </c>
      <c r="EH21">
        <v>40.36</v>
      </c>
      <c r="EI21">
        <v>0</v>
      </c>
      <c r="EJ21">
        <v>1791611954.3</v>
      </c>
      <c r="EK21">
        <v>0</v>
      </c>
      <c r="EL21">
        <v>267.94761538461501</v>
      </c>
      <c r="EM21">
        <v>0.126495746308356</v>
      </c>
      <c r="EN21">
        <v>-1.3682051494485901</v>
      </c>
      <c r="EO21">
        <v>3958.35538461538</v>
      </c>
      <c r="EP21">
        <v>15</v>
      </c>
      <c r="EQ21">
        <v>1791611894.0999999</v>
      </c>
      <c r="ER21" t="s">
        <v>358</v>
      </c>
      <c r="ES21">
        <v>1791611888.0999999</v>
      </c>
      <c r="ET21">
        <v>1791611894.0999999</v>
      </c>
      <c r="EU21">
        <v>60</v>
      </c>
      <c r="EV21">
        <v>-4.8000000000000001E-2</v>
      </c>
      <c r="EW21">
        <v>2E-3</v>
      </c>
      <c r="EX21">
        <v>-0.46700000000000003</v>
      </c>
      <c r="EY21">
        <v>-0.18099999999999999</v>
      </c>
      <c r="EZ21">
        <v>50</v>
      </c>
      <c r="FA21">
        <v>16</v>
      </c>
      <c r="FB21">
        <v>0.21</v>
      </c>
      <c r="FC21">
        <v>0.05</v>
      </c>
      <c r="FD21">
        <v>-0.57076161077465004</v>
      </c>
      <c r="FE21">
        <v>6.5596893169686296E-2</v>
      </c>
      <c r="FF21">
        <v>3.8309372310177101E-2</v>
      </c>
      <c r="FG21">
        <v>1</v>
      </c>
      <c r="FH21">
        <v>0.14913195000000001</v>
      </c>
      <c r="FI21">
        <v>-1.6116766917293301E-2</v>
      </c>
      <c r="FJ21">
        <v>1.5925174857674199E-2</v>
      </c>
      <c r="FK21">
        <v>1</v>
      </c>
      <c r="FL21">
        <v>267.83438235294102</v>
      </c>
      <c r="FM21">
        <v>0.473506499548288</v>
      </c>
      <c r="FN21">
        <v>0.45230306177227803</v>
      </c>
      <c r="FO21">
        <v>-1</v>
      </c>
      <c r="FP21">
        <v>2</v>
      </c>
      <c r="FQ21">
        <v>2</v>
      </c>
      <c r="FR21" t="s">
        <v>346</v>
      </c>
      <c r="FS21">
        <v>100</v>
      </c>
      <c r="FT21">
        <v>100</v>
      </c>
      <c r="FU21">
        <v>-0.46700000000000003</v>
      </c>
      <c r="FV21">
        <v>-0.17660000000000001</v>
      </c>
      <c r="FW21">
        <v>-0.50743381028720802</v>
      </c>
      <c r="FX21">
        <v>7.6835882421071803E-4</v>
      </c>
      <c r="FY21">
        <v>7.9312579872174805E-7</v>
      </c>
      <c r="FZ21">
        <v>-1.5433145656851401E-10</v>
      </c>
      <c r="GA21">
        <v>-2.6166507146746801E-2</v>
      </c>
      <c r="GB21">
        <v>-2.1578312386681502E-2</v>
      </c>
      <c r="GC21">
        <v>7.7134661959739901E-4</v>
      </c>
      <c r="GD21">
        <v>-1.7684492548540801E-6</v>
      </c>
      <c r="GE21">
        <v>4</v>
      </c>
      <c r="GF21">
        <v>2093</v>
      </c>
      <c r="GG21">
        <v>1</v>
      </c>
      <c r="GH21">
        <v>31</v>
      </c>
      <c r="GI21">
        <v>1.1000000000000001</v>
      </c>
      <c r="GJ21">
        <v>1</v>
      </c>
      <c r="GK21">
        <v>0.26855499999999999</v>
      </c>
      <c r="GL21">
        <v>2.7075200000000001</v>
      </c>
      <c r="GM21">
        <v>1.65161</v>
      </c>
      <c r="GN21">
        <v>2.2729499999999998</v>
      </c>
      <c r="GO21">
        <v>1.5979000000000001</v>
      </c>
      <c r="GP21">
        <v>2.49878</v>
      </c>
      <c r="GQ21">
        <v>34.944400000000002</v>
      </c>
      <c r="GR21">
        <v>15.1477</v>
      </c>
      <c r="GS21">
        <v>18</v>
      </c>
      <c r="GT21">
        <v>504.29300000000001</v>
      </c>
      <c r="GU21">
        <v>532.976</v>
      </c>
      <c r="GV21">
        <v>21.371099999999998</v>
      </c>
      <c r="GW21">
        <v>29.4404</v>
      </c>
      <c r="GX21">
        <v>30</v>
      </c>
      <c r="GY21">
        <v>29.5746</v>
      </c>
      <c r="GZ21">
        <v>29.629799999999999</v>
      </c>
      <c r="HA21">
        <v>5.3508100000000001</v>
      </c>
      <c r="HB21">
        <v>24.659199999999998</v>
      </c>
      <c r="HC21">
        <v>31.721800000000002</v>
      </c>
      <c r="HD21">
        <v>21.375699999999998</v>
      </c>
      <c r="HE21">
        <v>50</v>
      </c>
      <c r="HF21">
        <v>15.8407</v>
      </c>
      <c r="HG21">
        <v>98.081599999999995</v>
      </c>
      <c r="HH21">
        <v>94.651300000000006</v>
      </c>
    </row>
    <row r="22" spans="1:216" x14ac:dyDescent="0.3">
      <c r="A22">
        <v>6</v>
      </c>
      <c r="B22">
        <v>1791612092</v>
      </c>
      <c r="C22">
        <v>622.90000009536698</v>
      </c>
      <c r="D22" t="s">
        <v>359</v>
      </c>
      <c r="E22" t="s">
        <v>360</v>
      </c>
      <c r="F22">
        <v>5</v>
      </c>
      <c r="G22">
        <v>1791612088.5</v>
      </c>
      <c r="H22">
        <f t="shared" si="0"/>
        <v>4.1198761427052926E-3</v>
      </c>
      <c r="I22">
        <f t="shared" si="1"/>
        <v>4.1198761427052926</v>
      </c>
      <c r="J22">
        <f t="shared" si="2"/>
        <v>20.071695736038411</v>
      </c>
      <c r="K22">
        <f t="shared" si="3"/>
        <v>391.32566666666702</v>
      </c>
      <c r="L22">
        <f t="shared" si="4"/>
        <v>273.72861356792441</v>
      </c>
      <c r="M22">
        <f t="shared" si="5"/>
        <v>27.699293978718206</v>
      </c>
      <c r="N22">
        <f t="shared" si="6"/>
        <v>39.599238607651607</v>
      </c>
      <c r="O22">
        <f t="shared" si="7"/>
        <v>0.30568728684379437</v>
      </c>
      <c r="P22">
        <f t="shared" si="8"/>
        <v>3.0282905943662453</v>
      </c>
      <c r="Q22">
        <f t="shared" si="9"/>
        <v>0.28952070582473183</v>
      </c>
      <c r="R22">
        <f t="shared" si="10"/>
        <v>0.18233166395254624</v>
      </c>
      <c r="S22">
        <f t="shared" si="11"/>
        <v>241.73790801557942</v>
      </c>
      <c r="T22">
        <f t="shared" si="12"/>
        <v>25.549179265936594</v>
      </c>
      <c r="U22">
        <f t="shared" si="13"/>
        <v>24.978533333333299</v>
      </c>
      <c r="V22">
        <f t="shared" si="14"/>
        <v>3.1756104398824565</v>
      </c>
      <c r="W22">
        <f t="shared" si="15"/>
        <v>55.014934303107879</v>
      </c>
      <c r="X22">
        <f t="shared" si="16"/>
        <v>1.7708357384029698</v>
      </c>
      <c r="Y22">
        <f t="shared" si="17"/>
        <v>3.2188273254066808</v>
      </c>
      <c r="Z22">
        <f t="shared" si="18"/>
        <v>1.4047747014794867</v>
      </c>
      <c r="AA22">
        <f t="shared" si="19"/>
        <v>-181.68653789330341</v>
      </c>
      <c r="AB22">
        <f t="shared" si="20"/>
        <v>37.041245832544988</v>
      </c>
      <c r="AC22">
        <f t="shared" si="21"/>
        <v>2.5897042025739179</v>
      </c>
      <c r="AD22">
        <f t="shared" si="22"/>
        <v>99.682320157394926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53750.794627202449</v>
      </c>
      <c r="AJ22" t="s">
        <v>343</v>
      </c>
      <c r="AK22" t="s">
        <v>343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1261.2164000080747</v>
      </c>
      <c r="AW22">
        <f t="shared" si="29"/>
        <v>20.071695736038411</v>
      </c>
      <c r="AX22" t="e">
        <f t="shared" si="30"/>
        <v>#DIV/0!</v>
      </c>
      <c r="AY22">
        <f t="shared" si="31"/>
        <v>1.5914553391400479E-2</v>
      </c>
      <c r="AZ22" t="e">
        <f t="shared" si="32"/>
        <v>#DIV/0!</v>
      </c>
      <c r="BA22" t="e">
        <f t="shared" si="33"/>
        <v>#DIV/0!</v>
      </c>
      <c r="BB22" t="s">
        <v>343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CT22">
        <f t="shared" si="42"/>
        <v>1500.0066666666701</v>
      </c>
      <c r="CU22">
        <f t="shared" si="43"/>
        <v>1261.2164000080747</v>
      </c>
      <c r="CV22">
        <f t="shared" si="44"/>
        <v>0.84080719641784163</v>
      </c>
      <c r="CW22">
        <f t="shared" si="45"/>
        <v>0.16115788908643441</v>
      </c>
      <c r="CX22">
        <v>2</v>
      </c>
      <c r="CY22">
        <v>0.5</v>
      </c>
      <c r="CZ22" t="s">
        <v>344</v>
      </c>
      <c r="DA22">
        <v>2</v>
      </c>
      <c r="DB22">
        <v>1791612088.5</v>
      </c>
      <c r="DC22">
        <v>391.32566666666702</v>
      </c>
      <c r="DD22">
        <v>399.99916666666701</v>
      </c>
      <c r="DE22">
        <v>17.499666666666698</v>
      </c>
      <c r="DF22">
        <v>15.8805666666667</v>
      </c>
      <c r="DG22">
        <v>391.72216666666702</v>
      </c>
      <c r="DH22">
        <v>17.676666666666701</v>
      </c>
      <c r="DI22">
        <v>500.00366666666702</v>
      </c>
      <c r="DJ22">
        <v>101.0925</v>
      </c>
      <c r="DK22">
        <v>0.10004109999999999</v>
      </c>
      <c r="DL22">
        <v>25.2054166666667</v>
      </c>
      <c r="DM22">
        <v>24.978533333333299</v>
      </c>
      <c r="DN22">
        <v>999.9</v>
      </c>
      <c r="DO22">
        <v>0</v>
      </c>
      <c r="DP22">
        <v>0</v>
      </c>
      <c r="DQ22">
        <v>9995.0083333333296</v>
      </c>
      <c r="DR22">
        <v>0</v>
      </c>
      <c r="DS22">
        <v>8.1877800000000001</v>
      </c>
      <c r="DT22">
        <v>1500.0066666666701</v>
      </c>
      <c r="DU22">
        <v>0.97300399999999998</v>
      </c>
      <c r="DV22">
        <v>2.69959E-2</v>
      </c>
      <c r="DW22">
        <v>0</v>
      </c>
      <c r="DX22">
        <v>256.70800000000003</v>
      </c>
      <c r="DY22">
        <v>4.9999900000000004</v>
      </c>
      <c r="DZ22">
        <v>3807.5183333333298</v>
      </c>
      <c r="EA22">
        <v>14882.666666666701</v>
      </c>
      <c r="EB22">
        <v>36.875</v>
      </c>
      <c r="EC22">
        <v>38.447499999999998</v>
      </c>
      <c r="ED22">
        <v>37.436999999999998</v>
      </c>
      <c r="EE22">
        <v>37.936999999999998</v>
      </c>
      <c r="EF22">
        <v>38.5</v>
      </c>
      <c r="EG22">
        <v>1454.6466666666699</v>
      </c>
      <c r="EH22">
        <v>40.36</v>
      </c>
      <c r="EI22">
        <v>0</v>
      </c>
      <c r="EJ22">
        <v>1791612092.9000001</v>
      </c>
      <c r="EK22">
        <v>0</v>
      </c>
      <c r="EL22">
        <v>256.31768</v>
      </c>
      <c r="EM22">
        <v>5.5863076958834599</v>
      </c>
      <c r="EN22">
        <v>67.019999900607004</v>
      </c>
      <c r="EO22">
        <v>3803.1228000000001</v>
      </c>
      <c r="EP22">
        <v>15</v>
      </c>
      <c r="EQ22">
        <v>1791612034</v>
      </c>
      <c r="ER22" t="s">
        <v>361</v>
      </c>
      <c r="ES22">
        <v>1791612034</v>
      </c>
      <c r="ET22">
        <v>1791612022</v>
      </c>
      <c r="EU22">
        <v>61</v>
      </c>
      <c r="EV22">
        <v>-0.30299999999999999</v>
      </c>
      <c r="EW22">
        <v>-1E-3</v>
      </c>
      <c r="EX22">
        <v>-0.38500000000000001</v>
      </c>
      <c r="EY22">
        <v>-0.182</v>
      </c>
      <c r="EZ22">
        <v>400</v>
      </c>
      <c r="FA22">
        <v>16</v>
      </c>
      <c r="FB22">
        <v>0.21</v>
      </c>
      <c r="FC22">
        <v>0.03</v>
      </c>
      <c r="FD22">
        <v>19.981470349313</v>
      </c>
      <c r="FE22">
        <v>0.38401492266801002</v>
      </c>
      <c r="FF22">
        <v>7.8928129213252901E-2</v>
      </c>
      <c r="FG22">
        <v>1</v>
      </c>
      <c r="FH22">
        <v>-8.6471640000000001</v>
      </c>
      <c r="FI22">
        <v>-0.121401203007521</v>
      </c>
      <c r="FJ22">
        <v>2.9243211246373201E-2</v>
      </c>
      <c r="FK22">
        <v>1</v>
      </c>
      <c r="FL22">
        <v>255.94982352941199</v>
      </c>
      <c r="FM22">
        <v>4.9284644848121797</v>
      </c>
      <c r="FN22">
        <v>0.66292455744083501</v>
      </c>
      <c r="FO22">
        <v>-1</v>
      </c>
      <c r="FP22">
        <v>2</v>
      </c>
      <c r="FQ22">
        <v>2</v>
      </c>
      <c r="FR22" t="s">
        <v>346</v>
      </c>
      <c r="FS22">
        <v>100</v>
      </c>
      <c r="FT22">
        <v>100</v>
      </c>
      <c r="FU22">
        <v>-0.39700000000000002</v>
      </c>
      <c r="FV22">
        <v>-0.17699999999999999</v>
      </c>
      <c r="FW22">
        <v>-0.81021726625631296</v>
      </c>
      <c r="FX22">
        <v>7.6835882421071803E-4</v>
      </c>
      <c r="FY22">
        <v>7.9312579872174805E-7</v>
      </c>
      <c r="FZ22">
        <v>-1.5433145656851401E-10</v>
      </c>
      <c r="GA22">
        <v>-2.6837629312001801E-2</v>
      </c>
      <c r="GB22">
        <v>-2.1578312386681502E-2</v>
      </c>
      <c r="GC22">
        <v>7.7134661959739901E-4</v>
      </c>
      <c r="GD22">
        <v>-1.7684492548540801E-6</v>
      </c>
      <c r="GE22">
        <v>4</v>
      </c>
      <c r="GF22">
        <v>2093</v>
      </c>
      <c r="GG22">
        <v>1</v>
      </c>
      <c r="GH22">
        <v>31</v>
      </c>
      <c r="GI22">
        <v>1</v>
      </c>
      <c r="GJ22">
        <v>1.2</v>
      </c>
      <c r="GK22">
        <v>1.0400400000000001</v>
      </c>
      <c r="GL22">
        <v>2.65991</v>
      </c>
      <c r="GM22">
        <v>1.65161</v>
      </c>
      <c r="GN22">
        <v>2.2717299999999998</v>
      </c>
      <c r="GO22">
        <v>1.5979000000000001</v>
      </c>
      <c r="GP22">
        <v>2.4560499999999998</v>
      </c>
      <c r="GQ22">
        <v>34.944400000000002</v>
      </c>
      <c r="GR22">
        <v>15.121499999999999</v>
      </c>
      <c r="GS22">
        <v>18</v>
      </c>
      <c r="GT22">
        <v>504.23200000000003</v>
      </c>
      <c r="GU22">
        <v>533.65300000000002</v>
      </c>
      <c r="GV22">
        <v>21.440799999999999</v>
      </c>
      <c r="GW22">
        <v>29.437899999999999</v>
      </c>
      <c r="GX22">
        <v>29.999700000000001</v>
      </c>
      <c r="GY22">
        <v>29.5746</v>
      </c>
      <c r="GZ22">
        <v>29.629799999999999</v>
      </c>
      <c r="HA22">
        <v>20.805399999999999</v>
      </c>
      <c r="HB22">
        <v>24.431000000000001</v>
      </c>
      <c r="HC22">
        <v>31.520499999999998</v>
      </c>
      <c r="HD22">
        <v>21.4663</v>
      </c>
      <c r="HE22">
        <v>400</v>
      </c>
      <c r="HF22">
        <v>15.8674</v>
      </c>
      <c r="HG22">
        <v>98.079400000000007</v>
      </c>
      <c r="HH22">
        <v>94.644900000000007</v>
      </c>
    </row>
    <row r="23" spans="1:216" x14ac:dyDescent="0.3">
      <c r="A23">
        <v>7</v>
      </c>
      <c r="B23">
        <v>1791612213</v>
      </c>
      <c r="C23">
        <v>743.90000009536698</v>
      </c>
      <c r="D23" t="s">
        <v>362</v>
      </c>
      <c r="E23" t="s">
        <v>363</v>
      </c>
      <c r="F23">
        <v>5</v>
      </c>
      <c r="G23">
        <v>1791612209.5</v>
      </c>
      <c r="H23">
        <f t="shared" si="0"/>
        <v>4.1037363715140558E-3</v>
      </c>
      <c r="I23">
        <f t="shared" si="1"/>
        <v>4.1037363715140556</v>
      </c>
      <c r="J23">
        <f t="shared" si="2"/>
        <v>20.587173070057339</v>
      </c>
      <c r="K23">
        <f t="shared" si="3"/>
        <v>391.11216666666701</v>
      </c>
      <c r="L23">
        <f t="shared" si="4"/>
        <v>270.04870121189339</v>
      </c>
      <c r="M23">
        <f t="shared" si="5"/>
        <v>27.325943313776875</v>
      </c>
      <c r="N23">
        <f t="shared" si="6"/>
        <v>39.576227723738818</v>
      </c>
      <c r="O23">
        <f t="shared" si="7"/>
        <v>0.3037912753407605</v>
      </c>
      <c r="P23">
        <f t="shared" si="8"/>
        <v>3.0307467453990462</v>
      </c>
      <c r="Q23">
        <f t="shared" si="9"/>
        <v>0.28783120453765793</v>
      </c>
      <c r="R23">
        <f t="shared" si="10"/>
        <v>0.18125854846541239</v>
      </c>
      <c r="S23">
        <f t="shared" si="11"/>
        <v>241.7323220155798</v>
      </c>
      <c r="T23">
        <f t="shared" si="12"/>
        <v>25.568121523609872</v>
      </c>
      <c r="U23">
        <f t="shared" si="13"/>
        <v>25.006316666666699</v>
      </c>
      <c r="V23">
        <f t="shared" si="14"/>
        <v>3.180875234297905</v>
      </c>
      <c r="W23">
        <f t="shared" si="15"/>
        <v>55.047930306946213</v>
      </c>
      <c r="X23">
        <f t="shared" si="16"/>
        <v>1.7734981724924099</v>
      </c>
      <c r="Y23">
        <f t="shared" si="17"/>
        <v>3.2217345186338848</v>
      </c>
      <c r="Z23">
        <f t="shared" si="18"/>
        <v>1.407377061805495</v>
      </c>
      <c r="AA23">
        <f t="shared" si="19"/>
        <v>-180.97477398376986</v>
      </c>
      <c r="AB23">
        <f t="shared" si="20"/>
        <v>35.009805998721177</v>
      </c>
      <c r="AC23">
        <f t="shared" si="21"/>
        <v>2.4462229274353802</v>
      </c>
      <c r="AD23">
        <f t="shared" si="22"/>
        <v>98.213576957966481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53824.561106089008</v>
      </c>
      <c r="AJ23" t="s">
        <v>343</v>
      </c>
      <c r="AK23" t="s">
        <v>343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1261.1870000080751</v>
      </c>
      <c r="AW23">
        <f t="shared" si="29"/>
        <v>20.587173070057339</v>
      </c>
      <c r="AX23" t="e">
        <f t="shared" si="30"/>
        <v>#DIV/0!</v>
      </c>
      <c r="AY23">
        <f t="shared" si="31"/>
        <v>1.6323648332821006E-2</v>
      </c>
      <c r="AZ23" t="e">
        <f t="shared" si="32"/>
        <v>#DIV/0!</v>
      </c>
      <c r="BA23" t="e">
        <f t="shared" si="33"/>
        <v>#DIV/0!</v>
      </c>
      <c r="BB23" t="s">
        <v>343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CT23">
        <f t="shared" si="42"/>
        <v>1499.97166666667</v>
      </c>
      <c r="CU23">
        <f t="shared" si="43"/>
        <v>1261.1870000080751</v>
      </c>
      <c r="CV23">
        <f t="shared" si="44"/>
        <v>0.84080721525278068</v>
      </c>
      <c r="CW23">
        <f t="shared" si="45"/>
        <v>0.16115792543786667</v>
      </c>
      <c r="CX23">
        <v>2</v>
      </c>
      <c r="CY23">
        <v>0.5</v>
      </c>
      <c r="CZ23" t="s">
        <v>344</v>
      </c>
      <c r="DA23">
        <v>2</v>
      </c>
      <c r="DB23">
        <v>1791612209.5</v>
      </c>
      <c r="DC23">
        <v>391.11216666666701</v>
      </c>
      <c r="DD23">
        <v>399.98899999999998</v>
      </c>
      <c r="DE23">
        <v>17.526599999999998</v>
      </c>
      <c r="DF23">
        <v>15.913883333333301</v>
      </c>
      <c r="DG23">
        <v>391.470666666667</v>
      </c>
      <c r="DH23">
        <v>17.702483333333301</v>
      </c>
      <c r="DI23">
        <v>500.0025</v>
      </c>
      <c r="DJ23">
        <v>101.089</v>
      </c>
      <c r="DK23">
        <v>9.9945516666666706E-2</v>
      </c>
      <c r="DL23">
        <v>25.220583333333298</v>
      </c>
      <c r="DM23">
        <v>25.006316666666699</v>
      </c>
      <c r="DN23">
        <v>999.9</v>
      </c>
      <c r="DO23">
        <v>0</v>
      </c>
      <c r="DP23">
        <v>0</v>
      </c>
      <c r="DQ23">
        <v>10010.2033333333</v>
      </c>
      <c r="DR23">
        <v>0</v>
      </c>
      <c r="DS23">
        <v>8.1877800000000001</v>
      </c>
      <c r="DT23">
        <v>1499.97166666667</v>
      </c>
      <c r="DU23">
        <v>0.97300316666666697</v>
      </c>
      <c r="DV23">
        <v>2.699675E-2</v>
      </c>
      <c r="DW23">
        <v>0</v>
      </c>
      <c r="DX23">
        <v>259.36349999999999</v>
      </c>
      <c r="DY23">
        <v>4.9999900000000004</v>
      </c>
      <c r="DZ23">
        <v>3841.7950000000001</v>
      </c>
      <c r="EA23">
        <v>14882.3166666667</v>
      </c>
      <c r="EB23">
        <v>36.875</v>
      </c>
      <c r="EC23">
        <v>38.436999999999998</v>
      </c>
      <c r="ED23">
        <v>37.436999999999998</v>
      </c>
      <c r="EE23">
        <v>37.957999999999998</v>
      </c>
      <c r="EF23">
        <v>38.5</v>
      </c>
      <c r="EG23">
        <v>1454.6116666666701</v>
      </c>
      <c r="EH23">
        <v>40.36</v>
      </c>
      <c r="EI23">
        <v>0</v>
      </c>
      <c r="EJ23">
        <v>1791612214.0999999</v>
      </c>
      <c r="EK23">
        <v>0</v>
      </c>
      <c r="EL23">
        <v>259.22055999999998</v>
      </c>
      <c r="EM23">
        <v>-0.44876924148853597</v>
      </c>
      <c r="EN23">
        <v>-9.5169230866278998</v>
      </c>
      <c r="EO23">
        <v>3842.6095999999998</v>
      </c>
      <c r="EP23">
        <v>15</v>
      </c>
      <c r="EQ23">
        <v>1791612145</v>
      </c>
      <c r="ER23" t="s">
        <v>364</v>
      </c>
      <c r="ES23">
        <v>1791612141</v>
      </c>
      <c r="ET23">
        <v>1791612145</v>
      </c>
      <c r="EU23">
        <v>62</v>
      </c>
      <c r="EV23">
        <v>3.9E-2</v>
      </c>
      <c r="EW23">
        <v>1E-3</v>
      </c>
      <c r="EX23">
        <v>-0.34699999999999998</v>
      </c>
      <c r="EY23">
        <v>-0.18099999999999999</v>
      </c>
      <c r="EZ23">
        <v>400</v>
      </c>
      <c r="FA23">
        <v>16</v>
      </c>
      <c r="FB23">
        <v>0.16</v>
      </c>
      <c r="FC23">
        <v>0.04</v>
      </c>
      <c r="FD23">
        <v>20.548759357462099</v>
      </c>
      <c r="FE23">
        <v>-0.136859192200458</v>
      </c>
      <c r="FF23">
        <v>8.2603301920312094E-2</v>
      </c>
      <c r="FG23">
        <v>1</v>
      </c>
      <c r="FH23">
        <v>-8.8655276190476204</v>
      </c>
      <c r="FI23">
        <v>2.66384415584403E-2</v>
      </c>
      <c r="FJ23">
        <v>3.3872341421559302E-2</v>
      </c>
      <c r="FK23">
        <v>1</v>
      </c>
      <c r="FL23">
        <v>259.26100000000002</v>
      </c>
      <c r="FM23">
        <v>0.29054240073010001</v>
      </c>
      <c r="FN23">
        <v>0.41568242968994801</v>
      </c>
      <c r="FO23">
        <v>-1</v>
      </c>
      <c r="FP23">
        <v>2</v>
      </c>
      <c r="FQ23">
        <v>2</v>
      </c>
      <c r="FR23" t="s">
        <v>346</v>
      </c>
      <c r="FS23">
        <v>100</v>
      </c>
      <c r="FT23">
        <v>100</v>
      </c>
      <c r="FU23">
        <v>-0.35799999999999998</v>
      </c>
      <c r="FV23">
        <v>-0.1759</v>
      </c>
      <c r="FW23">
        <v>-0.77160084512615701</v>
      </c>
      <c r="FX23">
        <v>7.6835882421071803E-4</v>
      </c>
      <c r="FY23">
        <v>7.9312579872174805E-7</v>
      </c>
      <c r="FZ23">
        <v>-1.5433145656851401E-10</v>
      </c>
      <c r="GA23">
        <v>-2.58106634751997E-2</v>
      </c>
      <c r="GB23">
        <v>-2.1578312386681502E-2</v>
      </c>
      <c r="GC23">
        <v>7.7134661959739901E-4</v>
      </c>
      <c r="GD23">
        <v>-1.7684492548540801E-6</v>
      </c>
      <c r="GE23">
        <v>4</v>
      </c>
      <c r="GF23">
        <v>2093</v>
      </c>
      <c r="GG23">
        <v>1</v>
      </c>
      <c r="GH23">
        <v>31</v>
      </c>
      <c r="GI23">
        <v>1.2</v>
      </c>
      <c r="GJ23">
        <v>1.1000000000000001</v>
      </c>
      <c r="GK23">
        <v>1.0400400000000001</v>
      </c>
      <c r="GL23">
        <v>2.66357</v>
      </c>
      <c r="GM23">
        <v>1.65161</v>
      </c>
      <c r="GN23">
        <v>2.2717299999999998</v>
      </c>
      <c r="GO23">
        <v>1.5979000000000001</v>
      </c>
      <c r="GP23">
        <v>2.4621599999999999</v>
      </c>
      <c r="GQ23">
        <v>34.967399999999998</v>
      </c>
      <c r="GR23">
        <v>15.0952</v>
      </c>
      <c r="GS23">
        <v>18</v>
      </c>
      <c r="GT23">
        <v>504.31200000000001</v>
      </c>
      <c r="GU23">
        <v>533.61599999999999</v>
      </c>
      <c r="GV23">
        <v>21.359300000000001</v>
      </c>
      <c r="GW23">
        <v>29.450600000000001</v>
      </c>
      <c r="GX23">
        <v>30.0001</v>
      </c>
      <c r="GY23">
        <v>29.584800000000001</v>
      </c>
      <c r="GZ23">
        <v>29.639900000000001</v>
      </c>
      <c r="HA23">
        <v>20.7988</v>
      </c>
      <c r="HB23">
        <v>24.206600000000002</v>
      </c>
      <c r="HC23">
        <v>31.405899999999999</v>
      </c>
      <c r="HD23">
        <v>21.3596</v>
      </c>
      <c r="HE23">
        <v>400</v>
      </c>
      <c r="HF23">
        <v>15.9102</v>
      </c>
      <c r="HG23">
        <v>98.074200000000005</v>
      </c>
      <c r="HH23">
        <v>94.638900000000007</v>
      </c>
    </row>
    <row r="24" spans="1:216" x14ac:dyDescent="0.3">
      <c r="A24">
        <v>8</v>
      </c>
      <c r="B24">
        <v>1791612338</v>
      </c>
      <c r="C24">
        <v>868.90000009536698</v>
      </c>
      <c r="D24" t="s">
        <v>365</v>
      </c>
      <c r="E24" t="s">
        <v>366</v>
      </c>
      <c r="F24">
        <v>5</v>
      </c>
      <c r="G24">
        <v>1791612334.5</v>
      </c>
      <c r="H24">
        <f t="shared" si="0"/>
        <v>3.9633430336182369E-3</v>
      </c>
      <c r="I24">
        <f t="shared" si="1"/>
        <v>3.9633430336182371</v>
      </c>
      <c r="J24">
        <f t="shared" si="2"/>
        <v>29.666123486899941</v>
      </c>
      <c r="K24">
        <f t="shared" si="3"/>
        <v>687.01199999999994</v>
      </c>
      <c r="L24">
        <f t="shared" si="4"/>
        <v>503.55035583085436</v>
      </c>
      <c r="M24">
        <f t="shared" si="5"/>
        <v>50.95292402513207</v>
      </c>
      <c r="N24">
        <f t="shared" si="6"/>
        <v>69.516920870000362</v>
      </c>
      <c r="O24">
        <f t="shared" si="7"/>
        <v>0.29207071511648208</v>
      </c>
      <c r="P24">
        <f t="shared" si="8"/>
        <v>3.0276196667122921</v>
      </c>
      <c r="Q24">
        <f t="shared" si="9"/>
        <v>0.27727177255450897</v>
      </c>
      <c r="R24">
        <f t="shared" si="10"/>
        <v>0.17456197529173301</v>
      </c>
      <c r="S24">
        <f t="shared" si="11"/>
        <v>241.73711001557947</v>
      </c>
      <c r="T24">
        <f t="shared" si="12"/>
        <v>25.591220141960981</v>
      </c>
      <c r="U24">
        <f t="shared" si="13"/>
        <v>25.0050833333333</v>
      </c>
      <c r="V24">
        <f t="shared" si="14"/>
        <v>3.1806413624893337</v>
      </c>
      <c r="W24">
        <f t="shared" si="15"/>
        <v>54.96982711475944</v>
      </c>
      <c r="X24">
        <f t="shared" si="16"/>
        <v>1.7696418817729083</v>
      </c>
      <c r="Y24">
        <f t="shared" si="17"/>
        <v>3.219296793636373</v>
      </c>
      <c r="Z24">
        <f t="shared" si="18"/>
        <v>1.4109994807164254</v>
      </c>
      <c r="AA24">
        <f t="shared" si="19"/>
        <v>-174.78342778256425</v>
      </c>
      <c r="AB24">
        <f t="shared" si="20"/>
        <v>33.099315965299354</v>
      </c>
      <c r="AC24">
        <f t="shared" si="21"/>
        <v>2.3149583763208215</v>
      </c>
      <c r="AD24">
        <f t="shared" si="22"/>
        <v>102.3679565746354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53729.336009116108</v>
      </c>
      <c r="AJ24" t="s">
        <v>343</v>
      </c>
      <c r="AK24" t="s">
        <v>343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1261.2122000080749</v>
      </c>
      <c r="AW24">
        <f t="shared" si="29"/>
        <v>29.666123486899941</v>
      </c>
      <c r="AX24" t="e">
        <f t="shared" si="30"/>
        <v>#DIV/0!</v>
      </c>
      <c r="AY24">
        <f t="shared" si="31"/>
        <v>2.3521912876128225E-2</v>
      </c>
      <c r="AZ24" t="e">
        <f t="shared" si="32"/>
        <v>#DIV/0!</v>
      </c>
      <c r="BA24" t="e">
        <f t="shared" si="33"/>
        <v>#DIV/0!</v>
      </c>
      <c r="BB24" t="s">
        <v>343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CT24">
        <f t="shared" si="42"/>
        <v>1500.00166666667</v>
      </c>
      <c r="CU24">
        <f t="shared" si="43"/>
        <v>1261.2122000080749</v>
      </c>
      <c r="CV24">
        <f t="shared" si="44"/>
        <v>0.84080719910849344</v>
      </c>
      <c r="CW24">
        <f t="shared" si="45"/>
        <v>0.16115789427939231</v>
      </c>
      <c r="CX24">
        <v>2</v>
      </c>
      <c r="CY24">
        <v>0.5</v>
      </c>
      <c r="CZ24" t="s">
        <v>344</v>
      </c>
      <c r="DA24">
        <v>2</v>
      </c>
      <c r="DB24">
        <v>1791612334.5</v>
      </c>
      <c r="DC24">
        <v>687.01199999999994</v>
      </c>
      <c r="DD24">
        <v>699.96666666666704</v>
      </c>
      <c r="DE24">
        <v>17.488766666666699</v>
      </c>
      <c r="DF24">
        <v>15.9312666666667</v>
      </c>
      <c r="DG24">
        <v>686.91416666666703</v>
      </c>
      <c r="DH24">
        <v>17.667733333333299</v>
      </c>
      <c r="DI24">
        <v>500.03583333333302</v>
      </c>
      <c r="DJ24">
        <v>101.08733333333301</v>
      </c>
      <c r="DK24">
        <v>0.10001255000000001</v>
      </c>
      <c r="DL24">
        <v>25.2078666666667</v>
      </c>
      <c r="DM24">
        <v>25.0050833333333</v>
      </c>
      <c r="DN24">
        <v>999.9</v>
      </c>
      <c r="DO24">
        <v>0</v>
      </c>
      <c r="DP24">
        <v>0</v>
      </c>
      <c r="DQ24">
        <v>9991.4666666666708</v>
      </c>
      <c r="DR24">
        <v>0</v>
      </c>
      <c r="DS24">
        <v>8.2329550000000005</v>
      </c>
      <c r="DT24">
        <v>1500.00166666667</v>
      </c>
      <c r="DU24">
        <v>0.97300399999999998</v>
      </c>
      <c r="DV24">
        <v>2.69959E-2</v>
      </c>
      <c r="DW24">
        <v>0</v>
      </c>
      <c r="DX24">
        <v>256.71899999999999</v>
      </c>
      <c r="DY24">
        <v>4.9999900000000004</v>
      </c>
      <c r="DZ24">
        <v>3805.1283333333299</v>
      </c>
      <c r="EA24">
        <v>14882.6166666667</v>
      </c>
      <c r="EB24">
        <v>36.822499999999998</v>
      </c>
      <c r="EC24">
        <v>38.436999999999998</v>
      </c>
      <c r="ED24">
        <v>37.436999999999998</v>
      </c>
      <c r="EE24">
        <v>37.936999999999998</v>
      </c>
      <c r="EF24">
        <v>38.457999999999998</v>
      </c>
      <c r="EG24">
        <v>1454.6416666666701</v>
      </c>
      <c r="EH24">
        <v>40.36</v>
      </c>
      <c r="EI24">
        <v>0</v>
      </c>
      <c r="EJ24">
        <v>1791612338.9000001</v>
      </c>
      <c r="EK24">
        <v>0</v>
      </c>
      <c r="EL24">
        <v>256.47627999999997</v>
      </c>
      <c r="EM24">
        <v>0.98892310098271397</v>
      </c>
      <c r="EN24">
        <v>1.4446153876674801</v>
      </c>
      <c r="EO24">
        <v>3805.0652</v>
      </c>
      <c r="EP24">
        <v>15</v>
      </c>
      <c r="EQ24">
        <v>1791612272</v>
      </c>
      <c r="ER24" t="s">
        <v>367</v>
      </c>
      <c r="ES24">
        <v>1791612271</v>
      </c>
      <c r="ET24">
        <v>1791612272</v>
      </c>
      <c r="EU24">
        <v>63</v>
      </c>
      <c r="EV24">
        <v>1.7000000000000001E-2</v>
      </c>
      <c r="EW24">
        <v>-3.0000000000000001E-3</v>
      </c>
      <c r="EX24">
        <v>0.11899999999999999</v>
      </c>
      <c r="EY24">
        <v>-0.184</v>
      </c>
      <c r="EZ24">
        <v>700</v>
      </c>
      <c r="FA24">
        <v>16</v>
      </c>
      <c r="FB24">
        <v>0.09</v>
      </c>
      <c r="FC24">
        <v>0.04</v>
      </c>
      <c r="FD24">
        <v>29.6989977385978</v>
      </c>
      <c r="FE24">
        <v>0.27857395134091301</v>
      </c>
      <c r="FF24">
        <v>0.12914096028700101</v>
      </c>
      <c r="FG24">
        <v>1</v>
      </c>
      <c r="FH24">
        <v>-12.975095</v>
      </c>
      <c r="FI24">
        <v>2.2750375939850999E-2</v>
      </c>
      <c r="FJ24">
        <v>5.1597485161585299E-2</v>
      </c>
      <c r="FK24">
        <v>1</v>
      </c>
      <c r="FL24">
        <v>256.40388235294103</v>
      </c>
      <c r="FM24">
        <v>7.0649361023309903E-2</v>
      </c>
      <c r="FN24">
        <v>0.42500641965434099</v>
      </c>
      <c r="FO24">
        <v>-1</v>
      </c>
      <c r="FP24">
        <v>2</v>
      </c>
      <c r="FQ24">
        <v>2</v>
      </c>
      <c r="FR24" t="s">
        <v>346</v>
      </c>
      <c r="FS24">
        <v>100</v>
      </c>
      <c r="FT24">
        <v>100</v>
      </c>
      <c r="FU24">
        <v>9.8000000000000004E-2</v>
      </c>
      <c r="FV24">
        <v>-0.17899999999999999</v>
      </c>
      <c r="FW24">
        <v>-0.75438043749616901</v>
      </c>
      <c r="FX24">
        <v>7.6835882421071803E-4</v>
      </c>
      <c r="FY24">
        <v>7.9312579872174805E-7</v>
      </c>
      <c r="FZ24">
        <v>-1.5433145656851401E-10</v>
      </c>
      <c r="GA24">
        <v>-2.8770255833950799E-2</v>
      </c>
      <c r="GB24">
        <v>-2.1578312386681502E-2</v>
      </c>
      <c r="GC24">
        <v>7.7134661959739901E-4</v>
      </c>
      <c r="GD24">
        <v>-1.7684492548540801E-6</v>
      </c>
      <c r="GE24">
        <v>4</v>
      </c>
      <c r="GF24">
        <v>2093</v>
      </c>
      <c r="GG24">
        <v>1</v>
      </c>
      <c r="GH24">
        <v>31</v>
      </c>
      <c r="GI24">
        <v>1.1000000000000001</v>
      </c>
      <c r="GJ24">
        <v>1.1000000000000001</v>
      </c>
      <c r="GK24">
        <v>1.62598</v>
      </c>
      <c r="GL24">
        <v>2.63916</v>
      </c>
      <c r="GM24">
        <v>1.65161</v>
      </c>
      <c r="GN24">
        <v>2.2729499999999998</v>
      </c>
      <c r="GO24">
        <v>1.5979000000000001</v>
      </c>
      <c r="GP24">
        <v>2.65259</v>
      </c>
      <c r="GQ24">
        <v>34.990400000000001</v>
      </c>
      <c r="GR24">
        <v>15.086399999999999</v>
      </c>
      <c r="GS24">
        <v>18</v>
      </c>
      <c r="GT24">
        <v>504.58199999999999</v>
      </c>
      <c r="GU24">
        <v>534.09699999999998</v>
      </c>
      <c r="GV24">
        <v>21.398700000000002</v>
      </c>
      <c r="GW24">
        <v>29.4556</v>
      </c>
      <c r="GX24">
        <v>30.0001</v>
      </c>
      <c r="GY24">
        <v>29.5898</v>
      </c>
      <c r="GZ24">
        <v>29.645</v>
      </c>
      <c r="HA24">
        <v>32.502000000000002</v>
      </c>
      <c r="HB24">
        <v>24.246400000000001</v>
      </c>
      <c r="HC24">
        <v>31.3843</v>
      </c>
      <c r="HD24">
        <v>21.391300000000001</v>
      </c>
      <c r="HE24">
        <v>700</v>
      </c>
      <c r="HF24">
        <v>15.948700000000001</v>
      </c>
      <c r="HG24">
        <v>98.075000000000003</v>
      </c>
      <c r="HH24">
        <v>94.635999999999996</v>
      </c>
    </row>
    <row r="25" spans="1:216" x14ac:dyDescent="0.3">
      <c r="A25">
        <v>9</v>
      </c>
      <c r="B25">
        <v>1791612482</v>
      </c>
      <c r="C25">
        <v>1012.90000009537</v>
      </c>
      <c r="D25" t="s">
        <v>368</v>
      </c>
      <c r="E25" t="s">
        <v>369</v>
      </c>
      <c r="F25">
        <v>5</v>
      </c>
      <c r="G25">
        <v>1791612478.5</v>
      </c>
      <c r="H25">
        <f t="shared" si="0"/>
        <v>3.6047410181124073E-3</v>
      </c>
      <c r="I25">
        <f t="shared" si="1"/>
        <v>3.6047410181124073</v>
      </c>
      <c r="J25">
        <f t="shared" si="2"/>
        <v>31.842655900293188</v>
      </c>
      <c r="K25">
        <f t="shared" si="3"/>
        <v>985.84066666666695</v>
      </c>
      <c r="L25">
        <f t="shared" si="4"/>
        <v>764.10359943601975</v>
      </c>
      <c r="M25">
        <f t="shared" si="5"/>
        <v>77.317052393591538</v>
      </c>
      <c r="N25">
        <f t="shared" si="6"/>
        <v>99.753874386482565</v>
      </c>
      <c r="O25">
        <f t="shared" si="7"/>
        <v>0.26292188263657318</v>
      </c>
      <c r="P25">
        <f t="shared" si="8"/>
        <v>3.0288480271331513</v>
      </c>
      <c r="Q25">
        <f t="shared" si="9"/>
        <v>0.2508685623251945</v>
      </c>
      <c r="R25">
        <f t="shared" si="10"/>
        <v>0.15782974076050935</v>
      </c>
      <c r="S25">
        <f t="shared" si="11"/>
        <v>241.73790801557942</v>
      </c>
      <c r="T25">
        <f t="shared" si="12"/>
        <v>25.633107659297039</v>
      </c>
      <c r="U25">
        <f t="shared" si="13"/>
        <v>25.004249999999999</v>
      </c>
      <c r="V25">
        <f t="shared" si="14"/>
        <v>3.1804833495037586</v>
      </c>
      <c r="W25">
        <f t="shared" si="15"/>
        <v>54.891913860312727</v>
      </c>
      <c r="X25">
        <f t="shared" si="16"/>
        <v>1.7620383179881101</v>
      </c>
      <c r="Y25">
        <f t="shared" si="17"/>
        <v>3.2100143610807446</v>
      </c>
      <c r="Z25">
        <f t="shared" si="18"/>
        <v>1.4184450315156485</v>
      </c>
      <c r="AA25">
        <f t="shared" si="19"/>
        <v>-158.96907889875715</v>
      </c>
      <c r="AB25">
        <f t="shared" si="20"/>
        <v>25.329195146417703</v>
      </c>
      <c r="AC25">
        <f t="shared" si="21"/>
        <v>1.770359887302867</v>
      </c>
      <c r="AD25">
        <f t="shared" si="22"/>
        <v>109.86838415054285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53776.345751045294</v>
      </c>
      <c r="AJ25" t="s">
        <v>343</v>
      </c>
      <c r="AK25" t="s">
        <v>343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1261.2164000080747</v>
      </c>
      <c r="AW25">
        <f t="shared" si="29"/>
        <v>31.842655900293188</v>
      </c>
      <c r="AX25" t="e">
        <f t="shared" si="30"/>
        <v>#DIV/0!</v>
      </c>
      <c r="AY25">
        <f t="shared" si="31"/>
        <v>2.5247575198109794E-2</v>
      </c>
      <c r="AZ25" t="e">
        <f t="shared" si="32"/>
        <v>#DIV/0!</v>
      </c>
      <c r="BA25" t="e">
        <f t="shared" si="33"/>
        <v>#DIV/0!</v>
      </c>
      <c r="BB25" t="s">
        <v>343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CT25">
        <f t="shared" si="42"/>
        <v>1500.0066666666701</v>
      </c>
      <c r="CU25">
        <f t="shared" si="43"/>
        <v>1261.2164000080747</v>
      </c>
      <c r="CV25">
        <f t="shared" si="44"/>
        <v>0.84080719641784163</v>
      </c>
      <c r="CW25">
        <f t="shared" si="45"/>
        <v>0.16115788908643441</v>
      </c>
      <c r="CX25">
        <v>2</v>
      </c>
      <c r="CY25">
        <v>0.5</v>
      </c>
      <c r="CZ25" t="s">
        <v>344</v>
      </c>
      <c r="DA25">
        <v>2</v>
      </c>
      <c r="DB25">
        <v>1791612478.5</v>
      </c>
      <c r="DC25">
        <v>985.84066666666695</v>
      </c>
      <c r="DD25">
        <v>999.99916666666695</v>
      </c>
      <c r="DE25">
        <v>17.41375</v>
      </c>
      <c r="DF25">
        <v>15.996966666666699</v>
      </c>
      <c r="DG25">
        <v>985.34050000000002</v>
      </c>
      <c r="DH25">
        <v>17.595783333333301</v>
      </c>
      <c r="DI25">
        <v>500.00150000000002</v>
      </c>
      <c r="DJ25">
        <v>101.086666666667</v>
      </c>
      <c r="DK25">
        <v>9.9942649999999994E-2</v>
      </c>
      <c r="DL25">
        <v>25.159366666666699</v>
      </c>
      <c r="DM25">
        <v>25.004249999999999</v>
      </c>
      <c r="DN25">
        <v>999.9</v>
      </c>
      <c r="DO25">
        <v>0</v>
      </c>
      <c r="DP25">
        <v>0</v>
      </c>
      <c r="DQ25">
        <v>9998.9533333333293</v>
      </c>
      <c r="DR25">
        <v>0</v>
      </c>
      <c r="DS25">
        <v>8.2442499999999992</v>
      </c>
      <c r="DT25">
        <v>1500.0066666666701</v>
      </c>
      <c r="DU25">
        <v>0.97300399999999998</v>
      </c>
      <c r="DV25">
        <v>2.69959E-2</v>
      </c>
      <c r="DW25">
        <v>0</v>
      </c>
      <c r="DX25">
        <v>256.0265</v>
      </c>
      <c r="DY25">
        <v>4.9999900000000004</v>
      </c>
      <c r="DZ25">
        <v>3798.1833333333302</v>
      </c>
      <c r="EA25">
        <v>14882.666666666701</v>
      </c>
      <c r="EB25">
        <v>36.832999999999998</v>
      </c>
      <c r="EC25">
        <v>38.436999999999998</v>
      </c>
      <c r="ED25">
        <v>37.426666666666698</v>
      </c>
      <c r="EE25">
        <v>37.936999999999998</v>
      </c>
      <c r="EF25">
        <v>38.5</v>
      </c>
      <c r="EG25">
        <v>1454.6466666666699</v>
      </c>
      <c r="EH25">
        <v>40.36</v>
      </c>
      <c r="EI25">
        <v>0</v>
      </c>
      <c r="EJ25">
        <v>1791612482.9000001</v>
      </c>
      <c r="EK25">
        <v>0</v>
      </c>
      <c r="EL25">
        <v>255.85731999999999</v>
      </c>
      <c r="EM25">
        <v>2.2051538356482601</v>
      </c>
      <c r="EN25">
        <v>12.3699999946564</v>
      </c>
      <c r="EO25">
        <v>3797.3751999999999</v>
      </c>
      <c r="EP25">
        <v>15</v>
      </c>
      <c r="EQ25">
        <v>1791612400</v>
      </c>
      <c r="ER25" t="s">
        <v>370</v>
      </c>
      <c r="ES25">
        <v>1791612400</v>
      </c>
      <c r="ET25">
        <v>1791612394</v>
      </c>
      <c r="EU25">
        <v>64</v>
      </c>
      <c r="EV25">
        <v>-0.125</v>
      </c>
      <c r="EW25">
        <v>-3.0000000000000001E-3</v>
      </c>
      <c r="EX25">
        <v>0.52700000000000002</v>
      </c>
      <c r="EY25">
        <v>-0.186</v>
      </c>
      <c r="EZ25">
        <v>1000</v>
      </c>
      <c r="FA25">
        <v>16</v>
      </c>
      <c r="FB25">
        <v>0.06</v>
      </c>
      <c r="FC25">
        <v>0.05</v>
      </c>
      <c r="FD25">
        <v>31.950901056665501</v>
      </c>
      <c r="FE25">
        <v>0.179263238343328</v>
      </c>
      <c r="FF25">
        <v>0.137519280725107</v>
      </c>
      <c r="FG25">
        <v>1</v>
      </c>
      <c r="FH25">
        <v>-14.215635000000001</v>
      </c>
      <c r="FI25">
        <v>9.5787969924823205E-2</v>
      </c>
      <c r="FJ25">
        <v>5.7150846669143801E-2</v>
      </c>
      <c r="FK25">
        <v>1</v>
      </c>
      <c r="FL25">
        <v>255.79858823529401</v>
      </c>
      <c r="FM25">
        <v>1.8800611179986</v>
      </c>
      <c r="FN25">
        <v>0.48982590650671298</v>
      </c>
      <c r="FO25">
        <v>-1</v>
      </c>
      <c r="FP25">
        <v>2</v>
      </c>
      <c r="FQ25">
        <v>2</v>
      </c>
      <c r="FR25" t="s">
        <v>346</v>
      </c>
      <c r="FS25">
        <v>100</v>
      </c>
      <c r="FT25">
        <v>100</v>
      </c>
      <c r="FU25">
        <v>0.501</v>
      </c>
      <c r="FV25">
        <v>-0.182</v>
      </c>
      <c r="FW25">
        <v>-0.87942132762756298</v>
      </c>
      <c r="FX25">
        <v>7.6835882421071803E-4</v>
      </c>
      <c r="FY25">
        <v>7.9312579872174805E-7</v>
      </c>
      <c r="FZ25">
        <v>-1.5433145656851401E-10</v>
      </c>
      <c r="GA25">
        <v>-3.1510998486501303E-2</v>
      </c>
      <c r="GB25">
        <v>-2.1578312386681502E-2</v>
      </c>
      <c r="GC25">
        <v>7.7134661959739901E-4</v>
      </c>
      <c r="GD25">
        <v>-1.7684492548540801E-6</v>
      </c>
      <c r="GE25">
        <v>4</v>
      </c>
      <c r="GF25">
        <v>2093</v>
      </c>
      <c r="GG25">
        <v>1</v>
      </c>
      <c r="GH25">
        <v>31</v>
      </c>
      <c r="GI25">
        <v>1.4</v>
      </c>
      <c r="GJ25">
        <v>1.5</v>
      </c>
      <c r="GK25">
        <v>2.16919</v>
      </c>
      <c r="GL25">
        <v>2.6257299999999999</v>
      </c>
      <c r="GM25">
        <v>1.65161</v>
      </c>
      <c r="GN25">
        <v>2.2717299999999998</v>
      </c>
      <c r="GO25">
        <v>1.5979000000000001</v>
      </c>
      <c r="GP25">
        <v>2.6025399999999999</v>
      </c>
      <c r="GQ25">
        <v>35.013399999999997</v>
      </c>
      <c r="GR25">
        <v>15.051399999999999</v>
      </c>
      <c r="GS25">
        <v>18</v>
      </c>
      <c r="GT25">
        <v>504.51900000000001</v>
      </c>
      <c r="GU25">
        <v>534.71500000000003</v>
      </c>
      <c r="GV25">
        <v>21.323599999999999</v>
      </c>
      <c r="GW25">
        <v>29.460699999999999</v>
      </c>
      <c r="GX25">
        <v>30.0002</v>
      </c>
      <c r="GY25">
        <v>29.595199999999998</v>
      </c>
      <c r="GZ25">
        <v>29.6526</v>
      </c>
      <c r="HA25">
        <v>43.373800000000003</v>
      </c>
      <c r="HB25">
        <v>23.613499999999998</v>
      </c>
      <c r="HC25">
        <v>31.247900000000001</v>
      </c>
      <c r="HD25">
        <v>21.319099999999999</v>
      </c>
      <c r="HE25">
        <v>1000</v>
      </c>
      <c r="HF25">
        <v>16.098400000000002</v>
      </c>
      <c r="HG25">
        <v>98.070700000000002</v>
      </c>
      <c r="HH25">
        <v>94.633499999999998</v>
      </c>
    </row>
    <row r="26" spans="1:216" x14ac:dyDescent="0.3">
      <c r="A26">
        <v>10</v>
      </c>
      <c r="B26">
        <v>1791612604</v>
      </c>
      <c r="C26">
        <v>1134.9000000953699</v>
      </c>
      <c r="D26" t="s">
        <v>371</v>
      </c>
      <c r="E26" t="s">
        <v>372</v>
      </c>
      <c r="F26">
        <v>5</v>
      </c>
      <c r="G26">
        <v>1791612600.5</v>
      </c>
      <c r="H26">
        <f t="shared" si="0"/>
        <v>3.1643122092907933E-3</v>
      </c>
      <c r="I26">
        <f t="shared" si="1"/>
        <v>3.1643122092907934</v>
      </c>
      <c r="J26">
        <f t="shared" si="2"/>
        <v>31.950766712078575</v>
      </c>
      <c r="K26">
        <f t="shared" si="3"/>
        <v>1185.66166666667</v>
      </c>
      <c r="L26">
        <f t="shared" si="4"/>
        <v>929.64069326749768</v>
      </c>
      <c r="M26">
        <f t="shared" si="5"/>
        <v>94.067824935489526</v>
      </c>
      <c r="N26">
        <f t="shared" si="6"/>
        <v>119.97389410817058</v>
      </c>
      <c r="O26">
        <f t="shared" si="7"/>
        <v>0.22848292551409446</v>
      </c>
      <c r="P26">
        <f t="shared" si="8"/>
        <v>3.0296497328297134</v>
      </c>
      <c r="Q26">
        <f t="shared" si="9"/>
        <v>0.21932360109303578</v>
      </c>
      <c r="R26">
        <f t="shared" si="10"/>
        <v>0.13786958461010743</v>
      </c>
      <c r="S26">
        <f t="shared" si="11"/>
        <v>241.7387060155794</v>
      </c>
      <c r="T26">
        <f t="shared" si="12"/>
        <v>25.676580434070676</v>
      </c>
      <c r="U26">
        <f t="shared" si="13"/>
        <v>25.0253333333333</v>
      </c>
      <c r="V26">
        <f t="shared" si="14"/>
        <v>3.1844831874287962</v>
      </c>
      <c r="W26">
        <f t="shared" si="15"/>
        <v>55.057834926484993</v>
      </c>
      <c r="X26">
        <f t="shared" si="16"/>
        <v>1.7602642625384761</v>
      </c>
      <c r="Y26">
        <f t="shared" si="17"/>
        <v>3.1971185661202224</v>
      </c>
      <c r="Z26">
        <f t="shared" si="18"/>
        <v>1.4242189248903201</v>
      </c>
      <c r="AA26">
        <f t="shared" si="19"/>
        <v>-139.54616842972399</v>
      </c>
      <c r="AB26">
        <f t="shared" si="20"/>
        <v>10.853575956535114</v>
      </c>
      <c r="AC26">
        <f t="shared" si="21"/>
        <v>0.75822208714857242</v>
      </c>
      <c r="AD26">
        <f t="shared" si="22"/>
        <v>113.80433562953908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53813.551629076355</v>
      </c>
      <c r="AJ26" t="s">
        <v>343</v>
      </c>
      <c r="AK26" t="s">
        <v>343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1261.2206000080748</v>
      </c>
      <c r="AW26">
        <f t="shared" si="29"/>
        <v>31.950766712078575</v>
      </c>
      <c r="AX26" t="e">
        <f t="shared" si="30"/>
        <v>#DIV/0!</v>
      </c>
      <c r="AY26">
        <f t="shared" si="31"/>
        <v>2.5333210313781756E-2</v>
      </c>
      <c r="AZ26" t="e">
        <f t="shared" si="32"/>
        <v>#DIV/0!</v>
      </c>
      <c r="BA26" t="e">
        <f t="shared" si="33"/>
        <v>#DIV/0!</v>
      </c>
      <c r="BB26" t="s">
        <v>343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CT26">
        <f t="shared" si="42"/>
        <v>1500.01166666667</v>
      </c>
      <c r="CU26">
        <f t="shared" si="43"/>
        <v>1261.2206000080748</v>
      </c>
      <c r="CV26">
        <f t="shared" si="44"/>
        <v>0.84080719372720791</v>
      </c>
      <c r="CW26">
        <f t="shared" si="45"/>
        <v>0.16115788389351118</v>
      </c>
      <c r="CX26">
        <v>2</v>
      </c>
      <c r="CY26">
        <v>0.5</v>
      </c>
      <c r="CZ26" t="s">
        <v>344</v>
      </c>
      <c r="DA26">
        <v>2</v>
      </c>
      <c r="DB26">
        <v>1791612600.5</v>
      </c>
      <c r="DC26">
        <v>1185.66166666667</v>
      </c>
      <c r="DD26">
        <v>1199.94166666667</v>
      </c>
      <c r="DE26">
        <v>17.396100000000001</v>
      </c>
      <c r="DF26">
        <v>16.152483333333301</v>
      </c>
      <c r="DG26">
        <v>1184.7916666666699</v>
      </c>
      <c r="DH26">
        <v>17.5772333333333</v>
      </c>
      <c r="DI26">
        <v>500.036</v>
      </c>
      <c r="DJ26">
        <v>101.087166666667</v>
      </c>
      <c r="DK26">
        <v>0.100126033333333</v>
      </c>
      <c r="DL26">
        <v>25.0917833333333</v>
      </c>
      <c r="DM26">
        <v>25.0253333333333</v>
      </c>
      <c r="DN26">
        <v>999.9</v>
      </c>
      <c r="DO26">
        <v>0</v>
      </c>
      <c r="DP26">
        <v>0</v>
      </c>
      <c r="DQ26">
        <v>10003.75</v>
      </c>
      <c r="DR26">
        <v>0</v>
      </c>
      <c r="DS26">
        <v>8.3007200000000001</v>
      </c>
      <c r="DT26">
        <v>1500.01166666667</v>
      </c>
      <c r="DU26">
        <v>0.97300399999999998</v>
      </c>
      <c r="DV26">
        <v>2.69959E-2</v>
      </c>
      <c r="DW26">
        <v>0</v>
      </c>
      <c r="DX26">
        <v>255.541333333333</v>
      </c>
      <c r="DY26">
        <v>4.9999900000000004</v>
      </c>
      <c r="DZ26">
        <v>3788.3916666666701</v>
      </c>
      <c r="EA26">
        <v>14882.7166666667</v>
      </c>
      <c r="EB26">
        <v>36.811999999999998</v>
      </c>
      <c r="EC26">
        <v>38.426666666666698</v>
      </c>
      <c r="ED26">
        <v>37.395666666666699</v>
      </c>
      <c r="EE26">
        <v>37.936999999999998</v>
      </c>
      <c r="EF26">
        <v>38.436999999999998</v>
      </c>
      <c r="EG26">
        <v>1454.6516666666701</v>
      </c>
      <c r="EH26">
        <v>40.36</v>
      </c>
      <c r="EI26">
        <v>0</v>
      </c>
      <c r="EJ26">
        <v>1791612605.3</v>
      </c>
      <c r="EK26">
        <v>0</v>
      </c>
      <c r="EL26">
        <v>255.41916000000001</v>
      </c>
      <c r="EM26">
        <v>0.78792308077407103</v>
      </c>
      <c r="EN26">
        <v>5.3346153881364504</v>
      </c>
      <c r="EO26">
        <v>3788.2148000000002</v>
      </c>
      <c r="EP26">
        <v>15</v>
      </c>
      <c r="EQ26">
        <v>1791612540</v>
      </c>
      <c r="ER26" t="s">
        <v>373</v>
      </c>
      <c r="ES26">
        <v>1791612540</v>
      </c>
      <c r="ET26">
        <v>1791612538</v>
      </c>
      <c r="EU26">
        <v>65</v>
      </c>
      <c r="EV26">
        <v>-1.7000000000000001E-2</v>
      </c>
      <c r="EW26">
        <v>1E-3</v>
      </c>
      <c r="EX26">
        <v>0.89800000000000002</v>
      </c>
      <c r="EY26">
        <v>-0.185</v>
      </c>
      <c r="EZ26">
        <v>1200</v>
      </c>
      <c r="FA26">
        <v>16</v>
      </c>
      <c r="FB26">
        <v>0.23</v>
      </c>
      <c r="FC26">
        <v>0.05</v>
      </c>
      <c r="FD26">
        <v>32.072847495417399</v>
      </c>
      <c r="FE26">
        <v>0.34394691645224701</v>
      </c>
      <c r="FF26">
        <v>0.15643338876850499</v>
      </c>
      <c r="FG26">
        <v>1</v>
      </c>
      <c r="FH26">
        <v>-14.342510000000001</v>
      </c>
      <c r="FI26">
        <v>3.7317293233087002E-2</v>
      </c>
      <c r="FJ26">
        <v>6.4040868982236807E-2</v>
      </c>
      <c r="FK26">
        <v>1</v>
      </c>
      <c r="FL26">
        <v>255.429176470588</v>
      </c>
      <c r="FM26">
        <v>-0.275233007059836</v>
      </c>
      <c r="FN26">
        <v>0.37517333018441101</v>
      </c>
      <c r="FO26">
        <v>-1</v>
      </c>
      <c r="FP26">
        <v>2</v>
      </c>
      <c r="FQ26">
        <v>2</v>
      </c>
      <c r="FR26" t="s">
        <v>346</v>
      </c>
      <c r="FS26">
        <v>100</v>
      </c>
      <c r="FT26">
        <v>100</v>
      </c>
      <c r="FU26">
        <v>0.87</v>
      </c>
      <c r="FV26">
        <v>-0.18110000000000001</v>
      </c>
      <c r="FW26">
        <v>-0.89761198929017705</v>
      </c>
      <c r="FX26">
        <v>7.6835882421071803E-4</v>
      </c>
      <c r="FY26">
        <v>7.9312579872174805E-7</v>
      </c>
      <c r="FZ26">
        <v>-1.5433145656851401E-10</v>
      </c>
      <c r="GA26">
        <v>-3.0545694606081201E-2</v>
      </c>
      <c r="GB26">
        <v>-2.1578312386681502E-2</v>
      </c>
      <c r="GC26">
        <v>7.7134661959739901E-4</v>
      </c>
      <c r="GD26">
        <v>-1.7684492548540801E-6</v>
      </c>
      <c r="GE26">
        <v>4</v>
      </c>
      <c r="GF26">
        <v>2093</v>
      </c>
      <c r="GG26">
        <v>1</v>
      </c>
      <c r="GH26">
        <v>31</v>
      </c>
      <c r="GI26">
        <v>1.1000000000000001</v>
      </c>
      <c r="GJ26">
        <v>1.1000000000000001</v>
      </c>
      <c r="GK26">
        <v>2.5158700000000001</v>
      </c>
      <c r="GL26">
        <v>2.63794</v>
      </c>
      <c r="GM26">
        <v>1.65161</v>
      </c>
      <c r="GN26">
        <v>2.2729499999999998</v>
      </c>
      <c r="GO26">
        <v>1.5979000000000001</v>
      </c>
      <c r="GP26">
        <v>2.63794</v>
      </c>
      <c r="GQ26">
        <v>35.013399999999997</v>
      </c>
      <c r="GR26">
        <v>15.0251</v>
      </c>
      <c r="GS26">
        <v>18</v>
      </c>
      <c r="GT26">
        <v>504.5</v>
      </c>
      <c r="GU26">
        <v>535.178</v>
      </c>
      <c r="GV26">
        <v>21.089600000000001</v>
      </c>
      <c r="GW26">
        <v>29.465699999999998</v>
      </c>
      <c r="GX26">
        <v>30.0001</v>
      </c>
      <c r="GY26">
        <v>29.602499999999999</v>
      </c>
      <c r="GZ26">
        <v>29.657699999999998</v>
      </c>
      <c r="HA26">
        <v>50.301200000000001</v>
      </c>
      <c r="HB26">
        <v>23.283100000000001</v>
      </c>
      <c r="HC26">
        <v>31.2714</v>
      </c>
      <c r="HD26">
        <v>21.0776</v>
      </c>
      <c r="HE26">
        <v>1200</v>
      </c>
      <c r="HF26">
        <v>16.143999999999998</v>
      </c>
      <c r="HG26">
        <v>98.069000000000003</v>
      </c>
      <c r="HH26">
        <v>94.633300000000006</v>
      </c>
    </row>
    <row r="27" spans="1:216" x14ac:dyDescent="0.3">
      <c r="A27">
        <v>11</v>
      </c>
      <c r="B27">
        <v>1791612725</v>
      </c>
      <c r="C27">
        <v>1255.9000000953699</v>
      </c>
      <c r="D27" t="s">
        <v>374</v>
      </c>
      <c r="E27" t="s">
        <v>375</v>
      </c>
      <c r="F27">
        <v>5</v>
      </c>
      <c r="G27">
        <v>1791612722</v>
      </c>
      <c r="H27">
        <f t="shared" si="0"/>
        <v>2.7669637670100218E-3</v>
      </c>
      <c r="I27">
        <f t="shared" si="1"/>
        <v>2.7669637670100218</v>
      </c>
      <c r="J27">
        <f t="shared" si="2"/>
        <v>32.172552733483208</v>
      </c>
      <c r="K27">
        <f t="shared" si="3"/>
        <v>1485.538</v>
      </c>
      <c r="L27">
        <f t="shared" si="4"/>
        <v>1186.4936851458087</v>
      </c>
      <c r="M27">
        <f t="shared" si="5"/>
        <v>120.0567244634654</v>
      </c>
      <c r="N27">
        <f t="shared" si="6"/>
        <v>150.31586647179677</v>
      </c>
      <c r="O27">
        <f t="shared" si="7"/>
        <v>0.19785940108851471</v>
      </c>
      <c r="P27">
        <f t="shared" si="8"/>
        <v>3.0308375495741222</v>
      </c>
      <c r="Q27">
        <f t="shared" si="9"/>
        <v>0.19095346130555504</v>
      </c>
      <c r="R27">
        <f t="shared" si="10"/>
        <v>0.11994630354207879</v>
      </c>
      <c r="S27">
        <f t="shared" si="11"/>
        <v>241.73429041557912</v>
      </c>
      <c r="T27">
        <f t="shared" si="12"/>
        <v>25.685597634129753</v>
      </c>
      <c r="U27">
        <f t="shared" si="13"/>
        <v>24.99682</v>
      </c>
      <c r="V27">
        <f t="shared" si="14"/>
        <v>3.1790748089422287</v>
      </c>
      <c r="W27">
        <f t="shared" si="15"/>
        <v>54.989354348271135</v>
      </c>
      <c r="X27">
        <f t="shared" si="16"/>
        <v>1.7485634033626334</v>
      </c>
      <c r="Y27">
        <f t="shared" si="17"/>
        <v>3.1798216656413758</v>
      </c>
      <c r="Z27">
        <f t="shared" si="18"/>
        <v>1.4305114055795953</v>
      </c>
      <c r="AA27">
        <f t="shared" si="19"/>
        <v>-122.02310212514196</v>
      </c>
      <c r="AB27">
        <f t="shared" si="20"/>
        <v>0.64379014505221088</v>
      </c>
      <c r="AC27">
        <f t="shared" si="21"/>
        <v>4.492999549052893E-2</v>
      </c>
      <c r="AD27">
        <f t="shared" si="22"/>
        <v>120.39990843097989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53867.03856366418</v>
      </c>
      <c r="AJ27" t="s">
        <v>343</v>
      </c>
      <c r="AK27" t="s">
        <v>343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1261.1973600080721</v>
      </c>
      <c r="AW27">
        <f t="shared" si="29"/>
        <v>32.172552733483208</v>
      </c>
      <c r="AX27" t="e">
        <f t="shared" si="30"/>
        <v>#DIV/0!</v>
      </c>
      <c r="AY27">
        <f t="shared" si="31"/>
        <v>2.5509530667965633E-2</v>
      </c>
      <c r="AZ27" t="e">
        <f t="shared" si="32"/>
        <v>#DIV/0!</v>
      </c>
      <c r="BA27" t="e">
        <f t="shared" si="33"/>
        <v>#DIV/0!</v>
      </c>
      <c r="BB27" t="s">
        <v>343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CT27">
        <f t="shared" si="42"/>
        <v>1499.9839999999999</v>
      </c>
      <c r="CU27">
        <f t="shared" si="43"/>
        <v>1261.1973600080721</v>
      </c>
      <c r="CV27">
        <f t="shared" si="44"/>
        <v>0.84080720861560665</v>
      </c>
      <c r="CW27">
        <f t="shared" si="45"/>
        <v>0.16115791262812079</v>
      </c>
      <c r="CX27">
        <v>2</v>
      </c>
      <c r="CY27">
        <v>0.5</v>
      </c>
      <c r="CZ27" t="s">
        <v>344</v>
      </c>
      <c r="DA27">
        <v>2</v>
      </c>
      <c r="DB27">
        <v>1791612722</v>
      </c>
      <c r="DC27">
        <v>1485.538</v>
      </c>
      <c r="DD27">
        <v>1500.0519999999999</v>
      </c>
      <c r="DE27">
        <v>17.280660000000001</v>
      </c>
      <c r="DF27">
        <v>16.19294</v>
      </c>
      <c r="DG27">
        <v>1484.0640000000001</v>
      </c>
      <c r="DH27">
        <v>17.460899999999999</v>
      </c>
      <c r="DI27">
        <v>499.97219999999999</v>
      </c>
      <c r="DJ27">
        <v>101.08620000000001</v>
      </c>
      <c r="DK27">
        <v>9.9947019999999998E-2</v>
      </c>
      <c r="DL27">
        <v>25.00076</v>
      </c>
      <c r="DM27">
        <v>24.99682</v>
      </c>
      <c r="DN27">
        <v>999.9</v>
      </c>
      <c r="DO27">
        <v>0</v>
      </c>
      <c r="DP27">
        <v>0</v>
      </c>
      <c r="DQ27">
        <v>10011.030000000001</v>
      </c>
      <c r="DR27">
        <v>0</v>
      </c>
      <c r="DS27">
        <v>8.2442499999999992</v>
      </c>
      <c r="DT27">
        <v>1499.9839999999999</v>
      </c>
      <c r="DU27">
        <v>0.97300399999999998</v>
      </c>
      <c r="DV27">
        <v>2.69959E-2</v>
      </c>
      <c r="DW27">
        <v>0</v>
      </c>
      <c r="DX27">
        <v>255.80099999999999</v>
      </c>
      <c r="DY27">
        <v>4.9999900000000004</v>
      </c>
      <c r="DZ27">
        <v>3792.2280000000001</v>
      </c>
      <c r="EA27">
        <v>14882.44</v>
      </c>
      <c r="EB27">
        <v>36.811999999999998</v>
      </c>
      <c r="EC27">
        <v>38.3874</v>
      </c>
      <c r="ED27">
        <v>37.375</v>
      </c>
      <c r="EE27">
        <v>37.924599999999998</v>
      </c>
      <c r="EF27">
        <v>38.436999999999998</v>
      </c>
      <c r="EG27">
        <v>1454.624</v>
      </c>
      <c r="EH27">
        <v>40.36</v>
      </c>
      <c r="EI27">
        <v>0</v>
      </c>
      <c r="EJ27">
        <v>1791612725.9000001</v>
      </c>
      <c r="EK27">
        <v>0</v>
      </c>
      <c r="EL27">
        <v>255.75173076923099</v>
      </c>
      <c r="EM27">
        <v>-0.28331623484105301</v>
      </c>
      <c r="EN27">
        <v>-32.806837601317802</v>
      </c>
      <c r="EO27">
        <v>3795.1523076923099</v>
      </c>
      <c r="EP27">
        <v>15</v>
      </c>
      <c r="EQ27">
        <v>1791612660</v>
      </c>
      <c r="ER27" t="s">
        <v>376</v>
      </c>
      <c r="ES27">
        <v>1791612660</v>
      </c>
      <c r="ET27">
        <v>1791612659</v>
      </c>
      <c r="EU27">
        <v>66</v>
      </c>
      <c r="EV27">
        <v>-8.9999999999999993E-3</v>
      </c>
      <c r="EW27">
        <v>1E-3</v>
      </c>
      <c r="EX27">
        <v>1.506</v>
      </c>
      <c r="EY27">
        <v>-0.184</v>
      </c>
      <c r="EZ27">
        <v>1500</v>
      </c>
      <c r="FA27">
        <v>16</v>
      </c>
      <c r="FB27">
        <v>0.12</v>
      </c>
      <c r="FC27">
        <v>0.09</v>
      </c>
      <c r="FD27">
        <v>31.921125701634601</v>
      </c>
      <c r="FE27">
        <v>0.779023531430175</v>
      </c>
      <c r="FF27">
        <v>0.18680761862537801</v>
      </c>
      <c r="FG27">
        <v>0</v>
      </c>
      <c r="FH27">
        <v>-14.45116</v>
      </c>
      <c r="FI27">
        <v>-9.7587969924795903E-2</v>
      </c>
      <c r="FJ27">
        <v>7.0933055763867797E-2</v>
      </c>
      <c r="FK27">
        <v>1</v>
      </c>
      <c r="FL27">
        <v>255.828</v>
      </c>
      <c r="FM27">
        <v>-1.82203208632241</v>
      </c>
      <c r="FN27">
        <v>0.48600066569792</v>
      </c>
      <c r="FO27">
        <v>-1</v>
      </c>
      <c r="FP27">
        <v>1</v>
      </c>
      <c r="FQ27">
        <v>2</v>
      </c>
      <c r="FR27" t="s">
        <v>377</v>
      </c>
      <c r="FS27">
        <v>100</v>
      </c>
      <c r="FT27">
        <v>100</v>
      </c>
      <c r="FU27">
        <v>1.48</v>
      </c>
      <c r="FV27">
        <v>-0.18029999999999999</v>
      </c>
      <c r="FW27">
        <v>-0.90759975386950897</v>
      </c>
      <c r="FX27">
        <v>7.6835882421071803E-4</v>
      </c>
      <c r="FY27">
        <v>7.9312579872174805E-7</v>
      </c>
      <c r="FZ27">
        <v>-1.5433145656851401E-10</v>
      </c>
      <c r="GA27">
        <v>-2.92490946874523E-2</v>
      </c>
      <c r="GB27">
        <v>-2.1578312386681502E-2</v>
      </c>
      <c r="GC27">
        <v>7.7134661959739901E-4</v>
      </c>
      <c r="GD27">
        <v>-1.7684492548540801E-6</v>
      </c>
      <c r="GE27">
        <v>4</v>
      </c>
      <c r="GF27">
        <v>2093</v>
      </c>
      <c r="GG27">
        <v>1</v>
      </c>
      <c r="GH27">
        <v>31</v>
      </c>
      <c r="GI27">
        <v>1.1000000000000001</v>
      </c>
      <c r="GJ27">
        <v>1.1000000000000001</v>
      </c>
      <c r="GK27">
        <v>3.0163600000000002</v>
      </c>
      <c r="GL27">
        <v>2.63062</v>
      </c>
      <c r="GM27">
        <v>1.65161</v>
      </c>
      <c r="GN27">
        <v>2.2717299999999998</v>
      </c>
      <c r="GO27">
        <v>1.5979000000000001</v>
      </c>
      <c r="GP27">
        <v>2.47681</v>
      </c>
      <c r="GQ27">
        <v>35.013399999999997</v>
      </c>
      <c r="GR27">
        <v>14.9901</v>
      </c>
      <c r="GS27">
        <v>18</v>
      </c>
      <c r="GT27">
        <v>504.55099999999999</v>
      </c>
      <c r="GU27">
        <v>535.82399999999996</v>
      </c>
      <c r="GV27">
        <v>20.873799999999999</v>
      </c>
      <c r="GW27">
        <v>29.468299999999999</v>
      </c>
      <c r="GX27">
        <v>30</v>
      </c>
      <c r="GY27">
        <v>29.605</v>
      </c>
      <c r="GZ27">
        <v>29.6602</v>
      </c>
      <c r="HA27">
        <v>60.290199999999999</v>
      </c>
      <c r="HB27">
        <v>23.321999999999999</v>
      </c>
      <c r="HC27">
        <v>31.5717</v>
      </c>
      <c r="HD27">
        <v>20.8781</v>
      </c>
      <c r="HE27">
        <v>1500</v>
      </c>
      <c r="HF27">
        <v>16.246099999999998</v>
      </c>
      <c r="HG27">
        <v>98.067899999999995</v>
      </c>
      <c r="HH27">
        <v>94.633600000000001</v>
      </c>
    </row>
    <row r="28" spans="1:216" x14ac:dyDescent="0.3">
      <c r="A28">
        <v>12</v>
      </c>
      <c r="B28">
        <v>1791612846</v>
      </c>
      <c r="C28">
        <v>1376.9000000953699</v>
      </c>
      <c r="D28" t="s">
        <v>378</v>
      </c>
      <c r="E28" t="s">
        <v>379</v>
      </c>
      <c r="F28">
        <v>5</v>
      </c>
      <c r="G28">
        <v>1791612842.5</v>
      </c>
      <c r="H28">
        <f t="shared" si="0"/>
        <v>2.3202941608624905E-3</v>
      </c>
      <c r="I28">
        <f t="shared" si="1"/>
        <v>2.3202941608624905</v>
      </c>
      <c r="J28">
        <f t="shared" si="2"/>
        <v>32.271354420389613</v>
      </c>
      <c r="K28">
        <f t="shared" si="3"/>
        <v>1785.46166666667</v>
      </c>
      <c r="L28">
        <f t="shared" si="4"/>
        <v>1423.8654126453514</v>
      </c>
      <c r="M28">
        <f t="shared" si="5"/>
        <v>144.07527431108952</v>
      </c>
      <c r="N28">
        <f t="shared" si="6"/>
        <v>180.66376015062855</v>
      </c>
      <c r="O28">
        <f t="shared" si="7"/>
        <v>0.16334569360569265</v>
      </c>
      <c r="P28">
        <f t="shared" si="8"/>
        <v>3.0303568351625056</v>
      </c>
      <c r="Q28">
        <f t="shared" si="9"/>
        <v>0.15860712872518568</v>
      </c>
      <c r="R28">
        <f t="shared" si="10"/>
        <v>9.954374654412286E-2</v>
      </c>
      <c r="S28">
        <f t="shared" si="11"/>
        <v>241.73285401557919</v>
      </c>
      <c r="T28">
        <f t="shared" si="12"/>
        <v>25.721875829643043</v>
      </c>
      <c r="U28">
        <f t="shared" si="13"/>
        <v>25.0239333333333</v>
      </c>
      <c r="V28">
        <f t="shared" si="14"/>
        <v>3.1842174493546955</v>
      </c>
      <c r="W28">
        <f t="shared" si="15"/>
        <v>54.96938784709868</v>
      </c>
      <c r="X28">
        <f t="shared" si="16"/>
        <v>1.7399661328404323</v>
      </c>
      <c r="Y28">
        <f t="shared" si="17"/>
        <v>3.1653365645625771</v>
      </c>
      <c r="Z28">
        <f t="shared" si="18"/>
        <v>1.4442513165142632</v>
      </c>
      <c r="AA28">
        <f t="shared" si="19"/>
        <v>-102.32497249403583</v>
      </c>
      <c r="AB28">
        <f t="shared" si="20"/>
        <v>-16.293693743670215</v>
      </c>
      <c r="AC28">
        <f t="shared" si="21"/>
        <v>-1.137031253259537</v>
      </c>
      <c r="AD28">
        <f t="shared" si="22"/>
        <v>121.9771565246136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53865.868073761892</v>
      </c>
      <c r="AJ28" t="s">
        <v>343</v>
      </c>
      <c r="AK28" t="s">
        <v>343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1261.1898000080721</v>
      </c>
      <c r="AW28">
        <f t="shared" si="29"/>
        <v>32.271354420389613</v>
      </c>
      <c r="AX28" t="e">
        <f t="shared" si="30"/>
        <v>#DIV/0!</v>
      </c>
      <c r="AY28">
        <f t="shared" si="31"/>
        <v>2.5588023642581843E-2</v>
      </c>
      <c r="AZ28" t="e">
        <f t="shared" si="32"/>
        <v>#DIV/0!</v>
      </c>
      <c r="BA28" t="e">
        <f t="shared" si="33"/>
        <v>#DIV/0!</v>
      </c>
      <c r="BB28" t="s">
        <v>343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CT28">
        <f t="shared" si="42"/>
        <v>1499.9749999999999</v>
      </c>
      <c r="CU28">
        <f t="shared" si="43"/>
        <v>1261.1898000080721</v>
      </c>
      <c r="CV28">
        <f t="shared" si="44"/>
        <v>0.84080721345893905</v>
      </c>
      <c r="CW28">
        <f t="shared" si="45"/>
        <v>0.16115792197575241</v>
      </c>
      <c r="CX28">
        <v>2</v>
      </c>
      <c r="CY28">
        <v>0.5</v>
      </c>
      <c r="CZ28" t="s">
        <v>344</v>
      </c>
      <c r="DA28">
        <v>2</v>
      </c>
      <c r="DB28">
        <v>1791612842.5</v>
      </c>
      <c r="DC28">
        <v>1785.46166666667</v>
      </c>
      <c r="DD28">
        <v>1800.0266666666701</v>
      </c>
      <c r="DE28">
        <v>17.195716666666701</v>
      </c>
      <c r="DF28">
        <v>16.2836</v>
      </c>
      <c r="DG28">
        <v>1783.50833333333</v>
      </c>
      <c r="DH28">
        <v>17.373950000000001</v>
      </c>
      <c r="DI28">
        <v>500.02266666666702</v>
      </c>
      <c r="DJ28">
        <v>101.086</v>
      </c>
      <c r="DK28">
        <v>0.100020133333333</v>
      </c>
      <c r="DL28">
        <v>24.924199999999999</v>
      </c>
      <c r="DM28">
        <v>25.0239333333333</v>
      </c>
      <c r="DN28">
        <v>999.9</v>
      </c>
      <c r="DO28">
        <v>0</v>
      </c>
      <c r="DP28">
        <v>0</v>
      </c>
      <c r="DQ28">
        <v>10008.141666666699</v>
      </c>
      <c r="DR28">
        <v>0</v>
      </c>
      <c r="DS28">
        <v>8.1971933333333293</v>
      </c>
      <c r="DT28">
        <v>1499.9749999999999</v>
      </c>
      <c r="DU28">
        <v>0.97300399999999998</v>
      </c>
      <c r="DV28">
        <v>2.69959E-2</v>
      </c>
      <c r="DW28">
        <v>0</v>
      </c>
      <c r="DX28">
        <v>256.965666666667</v>
      </c>
      <c r="DY28">
        <v>4.9999900000000004</v>
      </c>
      <c r="DZ28">
        <v>3811.4833333333299</v>
      </c>
      <c r="EA28">
        <v>14882.35</v>
      </c>
      <c r="EB28">
        <v>36.811999999999998</v>
      </c>
      <c r="EC28">
        <v>38.426666666666698</v>
      </c>
      <c r="ED28">
        <v>37.375</v>
      </c>
      <c r="EE28">
        <v>37.936999999999998</v>
      </c>
      <c r="EF28">
        <v>38.436999999999998</v>
      </c>
      <c r="EG28">
        <v>1454.615</v>
      </c>
      <c r="EH28">
        <v>40.36</v>
      </c>
      <c r="EI28">
        <v>0</v>
      </c>
      <c r="EJ28">
        <v>1791612847.0999999</v>
      </c>
      <c r="EK28">
        <v>0</v>
      </c>
      <c r="EL28">
        <v>256.98211538461499</v>
      </c>
      <c r="EM28">
        <v>0.11169230843840799</v>
      </c>
      <c r="EN28">
        <v>9.9764102500495593</v>
      </c>
      <c r="EO28">
        <v>3810.9111538461498</v>
      </c>
      <c r="EP28">
        <v>15</v>
      </c>
      <c r="EQ28">
        <v>1791612788</v>
      </c>
      <c r="ER28" t="s">
        <v>380</v>
      </c>
      <c r="ES28">
        <v>1791612788</v>
      </c>
      <c r="ET28">
        <v>1791612785</v>
      </c>
      <c r="EU28">
        <v>67</v>
      </c>
      <c r="EV28">
        <v>-0.153</v>
      </c>
      <c r="EW28">
        <v>2E-3</v>
      </c>
      <c r="EX28">
        <v>1.986</v>
      </c>
      <c r="EY28">
        <v>-0.18099999999999999</v>
      </c>
      <c r="EZ28">
        <v>1800</v>
      </c>
      <c r="FA28">
        <v>16</v>
      </c>
      <c r="FB28">
        <v>0.17</v>
      </c>
      <c r="FC28">
        <v>7.0000000000000007E-2</v>
      </c>
      <c r="FD28">
        <v>32.206452046330902</v>
      </c>
      <c r="FE28">
        <v>8.88430958122403E-2</v>
      </c>
      <c r="FF28">
        <v>0.26661831233897698</v>
      </c>
      <c r="FG28">
        <v>1</v>
      </c>
      <c r="FH28">
        <v>-14.5786571428571</v>
      </c>
      <c r="FI28">
        <v>0.19378441558440701</v>
      </c>
      <c r="FJ28">
        <v>0.106136132581962</v>
      </c>
      <c r="FK28">
        <v>1</v>
      </c>
      <c r="FL28">
        <v>256.98185294117599</v>
      </c>
      <c r="FM28">
        <v>8.9671507996759894E-2</v>
      </c>
      <c r="FN28">
        <v>0.38811301661734798</v>
      </c>
      <c r="FO28">
        <v>-1</v>
      </c>
      <c r="FP28">
        <v>2</v>
      </c>
      <c r="FQ28">
        <v>2</v>
      </c>
      <c r="FR28" t="s">
        <v>346</v>
      </c>
      <c r="FS28">
        <v>100</v>
      </c>
      <c r="FT28">
        <v>100</v>
      </c>
      <c r="FU28">
        <v>1.95</v>
      </c>
      <c r="FV28">
        <v>-0.1782</v>
      </c>
      <c r="FW28">
        <v>-1.06268271081564</v>
      </c>
      <c r="FX28">
        <v>7.6835882421071803E-4</v>
      </c>
      <c r="FY28">
        <v>7.9312579872174805E-7</v>
      </c>
      <c r="FZ28">
        <v>-1.5433145656851401E-10</v>
      </c>
      <c r="GA28">
        <v>-2.6864665038993998E-2</v>
      </c>
      <c r="GB28">
        <v>-2.1578312386681502E-2</v>
      </c>
      <c r="GC28">
        <v>7.7134661959739901E-4</v>
      </c>
      <c r="GD28">
        <v>-1.7684492548540801E-6</v>
      </c>
      <c r="GE28">
        <v>4</v>
      </c>
      <c r="GF28">
        <v>2093</v>
      </c>
      <c r="GG28">
        <v>1</v>
      </c>
      <c r="GH28">
        <v>31</v>
      </c>
      <c r="GI28">
        <v>1</v>
      </c>
      <c r="GJ28">
        <v>1</v>
      </c>
      <c r="GK28">
        <v>3.4924300000000001</v>
      </c>
      <c r="GL28">
        <v>2.6355</v>
      </c>
      <c r="GM28">
        <v>1.65161</v>
      </c>
      <c r="GN28">
        <v>2.2717299999999998</v>
      </c>
      <c r="GO28">
        <v>1.5979000000000001</v>
      </c>
      <c r="GP28">
        <v>2.5305200000000001</v>
      </c>
      <c r="GQ28">
        <v>35.013399999999997</v>
      </c>
      <c r="GR28">
        <v>14.963800000000001</v>
      </c>
      <c r="GS28">
        <v>18</v>
      </c>
      <c r="GT28">
        <v>504.85</v>
      </c>
      <c r="GU28">
        <v>536.11699999999996</v>
      </c>
      <c r="GV28">
        <v>20.786100000000001</v>
      </c>
      <c r="GW28">
        <v>29.470500000000001</v>
      </c>
      <c r="GX28">
        <v>30.000299999999999</v>
      </c>
      <c r="GY28">
        <v>29.610099999999999</v>
      </c>
      <c r="GZ28">
        <v>29.665299999999998</v>
      </c>
      <c r="HA28">
        <v>69.797499999999999</v>
      </c>
      <c r="HB28">
        <v>22.755600000000001</v>
      </c>
      <c r="HC28">
        <v>31.381</v>
      </c>
      <c r="HD28">
        <v>20.7591</v>
      </c>
      <c r="HE28">
        <v>1800</v>
      </c>
      <c r="HF28">
        <v>16.352399999999999</v>
      </c>
      <c r="HG28">
        <v>98.066900000000004</v>
      </c>
      <c r="HH28">
        <v>94.628200000000007</v>
      </c>
    </row>
    <row r="29" spans="1:216" x14ac:dyDescent="0.3">
      <c r="A29">
        <v>13</v>
      </c>
      <c r="B29">
        <v>1791612971</v>
      </c>
      <c r="C29">
        <v>1501.9000000953699</v>
      </c>
      <c r="D29" t="s">
        <v>381</v>
      </c>
      <c r="E29" t="s">
        <v>382</v>
      </c>
      <c r="F29">
        <v>5</v>
      </c>
      <c r="G29">
        <v>1791612967.5</v>
      </c>
      <c r="H29">
        <f t="shared" si="0"/>
        <v>1.926886575906466E-3</v>
      </c>
      <c r="I29">
        <f t="shared" si="1"/>
        <v>1.9268865759064659</v>
      </c>
      <c r="J29">
        <f t="shared" si="2"/>
        <v>12.995974896541888</v>
      </c>
      <c r="K29">
        <f t="shared" si="3"/>
        <v>394.45433333333301</v>
      </c>
      <c r="L29">
        <f t="shared" si="4"/>
        <v>229.50354275599247</v>
      </c>
      <c r="M29">
        <f t="shared" si="5"/>
        <v>23.222547286560857</v>
      </c>
      <c r="N29">
        <f t="shared" si="6"/>
        <v>39.91325928228175</v>
      </c>
      <c r="O29">
        <f t="shared" si="7"/>
        <v>0.13467286071816684</v>
      </c>
      <c r="P29">
        <f t="shared" si="8"/>
        <v>3.0313883874943244</v>
      </c>
      <c r="Q29">
        <f t="shared" si="9"/>
        <v>0.13143516632487509</v>
      </c>
      <c r="R29">
        <f t="shared" si="10"/>
        <v>8.2431389850480416E-2</v>
      </c>
      <c r="S29">
        <f t="shared" si="11"/>
        <v>241.74003601557874</v>
      </c>
      <c r="T29">
        <f t="shared" si="12"/>
        <v>25.684499095732786</v>
      </c>
      <c r="U29">
        <f t="shared" si="13"/>
        <v>25.002966666666701</v>
      </c>
      <c r="V29">
        <f t="shared" si="14"/>
        <v>3.1802400229225518</v>
      </c>
      <c r="W29">
        <f t="shared" si="15"/>
        <v>55.191717639050509</v>
      </c>
      <c r="X29">
        <f t="shared" si="16"/>
        <v>1.7328306222036656</v>
      </c>
      <c r="Y29">
        <f t="shared" si="17"/>
        <v>3.13965699262386</v>
      </c>
      <c r="Z29">
        <f t="shared" si="18"/>
        <v>1.4474094007188862</v>
      </c>
      <c r="AA29">
        <f t="shared" si="19"/>
        <v>-84.975697997475152</v>
      </c>
      <c r="AB29">
        <f t="shared" si="20"/>
        <v>-35.177922363204537</v>
      </c>
      <c r="AC29">
        <f t="shared" si="21"/>
        <v>-2.4520594983382153</v>
      </c>
      <c r="AD29">
        <f t="shared" si="22"/>
        <v>119.13435615656081</v>
      </c>
      <c r="AE29">
        <v>0</v>
      </c>
      <c r="AF29">
        <v>0</v>
      </c>
      <c r="AG29">
        <f t="shared" si="23"/>
        <v>1</v>
      </c>
      <c r="AH29">
        <f t="shared" si="24"/>
        <v>0</v>
      </c>
      <c r="AI29">
        <f t="shared" si="25"/>
        <v>53922.785069965314</v>
      </c>
      <c r="AJ29" t="s">
        <v>343</v>
      </c>
      <c r="AK29" t="s">
        <v>343</v>
      </c>
      <c r="AL29">
        <v>0</v>
      </c>
      <c r="AM29">
        <v>0</v>
      </c>
      <c r="AN29" t="e">
        <f t="shared" si="26"/>
        <v>#DIV/0!</v>
      </c>
      <c r="AO29">
        <v>0</v>
      </c>
      <c r="AP29" t="s">
        <v>343</v>
      </c>
      <c r="AQ29" t="s">
        <v>343</v>
      </c>
      <c r="AR29">
        <v>0</v>
      </c>
      <c r="AS29">
        <v>0</v>
      </c>
      <c r="AT29" t="e">
        <f t="shared" si="27"/>
        <v>#DIV/0!</v>
      </c>
      <c r="AU29">
        <v>0.5</v>
      </c>
      <c r="AV29">
        <f t="shared" si="28"/>
        <v>1261.2276000080719</v>
      </c>
      <c r="AW29">
        <f t="shared" si="29"/>
        <v>12.995974896541888</v>
      </c>
      <c r="AX29" t="e">
        <f t="shared" si="30"/>
        <v>#DIV/0!</v>
      </c>
      <c r="AY29">
        <f t="shared" si="31"/>
        <v>1.0304226530135173E-2</v>
      </c>
      <c r="AZ29" t="e">
        <f t="shared" si="32"/>
        <v>#DIV/0!</v>
      </c>
      <c r="BA29" t="e">
        <f t="shared" si="33"/>
        <v>#DIV/0!</v>
      </c>
      <c r="BB29" t="s">
        <v>343</v>
      </c>
      <c r="BC29">
        <v>0</v>
      </c>
      <c r="BD29" t="e">
        <f t="shared" si="34"/>
        <v>#DIV/0!</v>
      </c>
      <c r="BE29" t="e">
        <f t="shared" si="35"/>
        <v>#DIV/0!</v>
      </c>
      <c r="BF29" t="e">
        <f t="shared" si="36"/>
        <v>#DIV/0!</v>
      </c>
      <c r="BG29" t="e">
        <f t="shared" si="37"/>
        <v>#DIV/0!</v>
      </c>
      <c r="BH29" t="e">
        <f t="shared" si="38"/>
        <v>#DIV/0!</v>
      </c>
      <c r="BI29" t="e">
        <f t="shared" si="39"/>
        <v>#DIV/0!</v>
      </c>
      <c r="BJ29" t="e">
        <f t="shared" si="40"/>
        <v>#DIV/0!</v>
      </c>
      <c r="BK29" t="e">
        <f t="shared" si="41"/>
        <v>#DIV/0!</v>
      </c>
      <c r="CT29">
        <f t="shared" si="42"/>
        <v>1500.02</v>
      </c>
      <c r="CU29">
        <f t="shared" si="43"/>
        <v>1261.2276000080719</v>
      </c>
      <c r="CV29">
        <f t="shared" si="44"/>
        <v>0.84080718924285802</v>
      </c>
      <c r="CW29">
        <f t="shared" si="45"/>
        <v>0.16115787523871597</v>
      </c>
      <c r="CX29">
        <v>2</v>
      </c>
      <c r="CY29">
        <v>0.5</v>
      </c>
      <c r="CZ29" t="s">
        <v>344</v>
      </c>
      <c r="DA29">
        <v>2</v>
      </c>
      <c r="DB29">
        <v>1791612967.5</v>
      </c>
      <c r="DC29">
        <v>394.45433333333301</v>
      </c>
      <c r="DD29">
        <v>399.95683333333301</v>
      </c>
      <c r="DE29">
        <v>17.1252</v>
      </c>
      <c r="DF29">
        <v>16.367633333333298</v>
      </c>
      <c r="DG29">
        <v>395.00633333333298</v>
      </c>
      <c r="DH29">
        <v>17.2992666666667</v>
      </c>
      <c r="DI29">
        <v>499.99250000000001</v>
      </c>
      <c r="DJ29">
        <v>101.086166666667</v>
      </c>
      <c r="DK29">
        <v>9.9841216666666704E-2</v>
      </c>
      <c r="DL29">
        <v>24.7877166666667</v>
      </c>
      <c r="DM29">
        <v>25.002966666666701</v>
      </c>
      <c r="DN29">
        <v>999.9</v>
      </c>
      <c r="DO29">
        <v>0</v>
      </c>
      <c r="DP29">
        <v>0</v>
      </c>
      <c r="DQ29">
        <v>10014.3666666667</v>
      </c>
      <c r="DR29">
        <v>0</v>
      </c>
      <c r="DS29">
        <v>8.1877800000000001</v>
      </c>
      <c r="DT29">
        <v>1500.02</v>
      </c>
      <c r="DU29">
        <v>0.97300399999999998</v>
      </c>
      <c r="DV29">
        <v>2.69959E-2</v>
      </c>
      <c r="DW29">
        <v>0</v>
      </c>
      <c r="DX29">
        <v>260.09100000000001</v>
      </c>
      <c r="DY29">
        <v>4.9999900000000004</v>
      </c>
      <c r="DZ29">
        <v>3849.67</v>
      </c>
      <c r="EA29">
        <v>14882.8</v>
      </c>
      <c r="EB29">
        <v>36.811999999999998</v>
      </c>
      <c r="EC29">
        <v>38.375</v>
      </c>
      <c r="ED29">
        <v>37.375</v>
      </c>
      <c r="EE29">
        <v>37.905999999999999</v>
      </c>
      <c r="EF29">
        <v>38.3853333333333</v>
      </c>
      <c r="EG29">
        <v>1454.66</v>
      </c>
      <c r="EH29">
        <v>40.36</v>
      </c>
      <c r="EI29">
        <v>0</v>
      </c>
      <c r="EJ29">
        <v>1791612971.9000001</v>
      </c>
      <c r="EK29">
        <v>0</v>
      </c>
      <c r="EL29">
        <v>260.26019230769202</v>
      </c>
      <c r="EM29">
        <v>-4.1538803384265801</v>
      </c>
      <c r="EN29">
        <v>-56.7576068204962</v>
      </c>
      <c r="EO29">
        <v>3853.6107692307701</v>
      </c>
      <c r="EP29">
        <v>15</v>
      </c>
      <c r="EQ29">
        <v>1791612909</v>
      </c>
      <c r="ER29" t="s">
        <v>383</v>
      </c>
      <c r="ES29">
        <v>1791612904</v>
      </c>
      <c r="ET29">
        <v>1791612909</v>
      </c>
      <c r="EU29">
        <v>68</v>
      </c>
      <c r="EV29">
        <v>9.2999999999999999E-2</v>
      </c>
      <c r="EW29">
        <v>4.0000000000000001E-3</v>
      </c>
      <c r="EX29">
        <v>-0.54500000000000004</v>
      </c>
      <c r="EY29">
        <v>-0.17599999999999999</v>
      </c>
      <c r="EZ29">
        <v>399</v>
      </c>
      <c r="FA29">
        <v>16</v>
      </c>
      <c r="FB29">
        <v>0.12</v>
      </c>
      <c r="FC29">
        <v>0.14000000000000001</v>
      </c>
      <c r="FD29">
        <v>12.978286348187</v>
      </c>
      <c r="FE29">
        <v>0.37374030011870402</v>
      </c>
      <c r="FF29">
        <v>5.3436511065205999E-2</v>
      </c>
      <c r="FG29">
        <v>1</v>
      </c>
      <c r="FH29">
        <v>-5.4980157142857102</v>
      </c>
      <c r="FI29">
        <v>-0.12133168831168099</v>
      </c>
      <c r="FJ29">
        <v>2.0101200999757499E-2</v>
      </c>
      <c r="FK29">
        <v>1</v>
      </c>
      <c r="FL29">
        <v>260.562558823529</v>
      </c>
      <c r="FM29">
        <v>-4.1760886183877099</v>
      </c>
      <c r="FN29">
        <v>0.58327267315181897</v>
      </c>
      <c r="FO29">
        <v>-1</v>
      </c>
      <c r="FP29">
        <v>2</v>
      </c>
      <c r="FQ29">
        <v>2</v>
      </c>
      <c r="FR29" t="s">
        <v>346</v>
      </c>
      <c r="FS29">
        <v>100</v>
      </c>
      <c r="FT29">
        <v>100</v>
      </c>
      <c r="FU29">
        <v>-0.55200000000000005</v>
      </c>
      <c r="FV29">
        <v>-0.1741</v>
      </c>
      <c r="FW29">
        <v>-0.96982996134975696</v>
      </c>
      <c r="FX29">
        <v>7.6835882421071803E-4</v>
      </c>
      <c r="FY29">
        <v>7.9312579872174805E-7</v>
      </c>
      <c r="FZ29">
        <v>-1.5433145656851401E-10</v>
      </c>
      <c r="GA29">
        <v>-2.2463251825020999E-2</v>
      </c>
      <c r="GB29">
        <v>-2.1578312386681502E-2</v>
      </c>
      <c r="GC29">
        <v>7.7134661959739901E-4</v>
      </c>
      <c r="GD29">
        <v>-1.7684492548540801E-6</v>
      </c>
      <c r="GE29">
        <v>4</v>
      </c>
      <c r="GF29">
        <v>2093</v>
      </c>
      <c r="GG29">
        <v>1</v>
      </c>
      <c r="GH29">
        <v>31</v>
      </c>
      <c r="GI29">
        <v>1.1000000000000001</v>
      </c>
      <c r="GJ29">
        <v>1</v>
      </c>
      <c r="GK29">
        <v>1.0388200000000001</v>
      </c>
      <c r="GL29">
        <v>2.63062</v>
      </c>
      <c r="GM29">
        <v>1.65161</v>
      </c>
      <c r="GN29">
        <v>2.2717299999999998</v>
      </c>
      <c r="GO29">
        <v>1.5979000000000001</v>
      </c>
      <c r="GP29">
        <v>2.64771</v>
      </c>
      <c r="GQ29">
        <v>35.013399999999997</v>
      </c>
      <c r="GR29">
        <v>14.946300000000001</v>
      </c>
      <c r="GS29">
        <v>18</v>
      </c>
      <c r="GT29">
        <v>504.05200000000002</v>
      </c>
      <c r="GU29">
        <v>533.71900000000005</v>
      </c>
      <c r="GV29">
        <v>20.617899999999999</v>
      </c>
      <c r="GW29">
        <v>29.481000000000002</v>
      </c>
      <c r="GX29">
        <v>30.000499999999999</v>
      </c>
      <c r="GY29">
        <v>29.615200000000002</v>
      </c>
      <c r="GZ29">
        <v>29.672899999999998</v>
      </c>
      <c r="HA29">
        <v>20.782599999999999</v>
      </c>
      <c r="HB29">
        <v>22.372199999999999</v>
      </c>
      <c r="HC29">
        <v>31.444500000000001</v>
      </c>
      <c r="HD29">
        <v>20.599900000000002</v>
      </c>
      <c r="HE29">
        <v>400</v>
      </c>
      <c r="HF29">
        <v>16.375</v>
      </c>
      <c r="HG29">
        <v>98.065200000000004</v>
      </c>
      <c r="HH29">
        <v>94.624200000000002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2026-10-10T15:18:07Z</dcterms:created>
  <dcterms:modified xsi:type="dcterms:W3CDTF">2026-10-11T05:59:44Z</dcterms:modified>
</cp:coreProperties>
</file>