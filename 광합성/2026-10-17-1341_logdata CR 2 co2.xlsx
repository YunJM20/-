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jbnuackr-my.sharepoint.com/personal/eunbin23_jbnu_ac_kr/Documents/바탕 화면/CEPLAB/과제 및 실험/개인실험/260708-2601023 상추_재해처리 실험/작기2 (260822-261023)/광합성/RAW/2026-10-17 lettuce park/"/>
    </mc:Choice>
  </mc:AlternateContent>
  <xr:revisionPtr revIDLastSave="0" documentId="11_ACE0710053AB9DEBB3DF75D2654BD49604E07286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easurements" sheetId="1" r:id="rId1"/>
    <sheet name="Remark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W29" i="1" l="1"/>
  <c r="CV29" i="1"/>
  <c r="CT29" i="1"/>
  <c r="CU29" i="1" s="1"/>
  <c r="AV29" i="1" s="1"/>
  <c r="BI29" i="1"/>
  <c r="BH29" i="1"/>
  <c r="AZ29" i="1"/>
  <c r="AT29" i="1"/>
  <c r="AX29" i="1" s="1"/>
  <c r="AN29" i="1"/>
  <c r="BA29" i="1" s="1"/>
  <c r="BD29" i="1" s="1"/>
  <c r="AI29" i="1"/>
  <c r="AG29" i="1"/>
  <c r="Y29" i="1"/>
  <c r="X29" i="1"/>
  <c r="W29" i="1"/>
  <c r="S29" i="1"/>
  <c r="P29" i="1"/>
  <c r="CW28" i="1"/>
  <c r="CV28" i="1"/>
  <c r="CT28" i="1"/>
  <c r="BI28" i="1"/>
  <c r="BH28" i="1"/>
  <c r="AZ28" i="1"/>
  <c r="AT28" i="1"/>
  <c r="AN28" i="1"/>
  <c r="BA28" i="1" s="1"/>
  <c r="BD28" i="1" s="1"/>
  <c r="AI28" i="1"/>
  <c r="AG28" i="1"/>
  <c r="Y28" i="1"/>
  <c r="X28" i="1"/>
  <c r="W28" i="1"/>
  <c r="P28" i="1"/>
  <c r="CW27" i="1"/>
  <c r="CV27" i="1"/>
  <c r="CT27" i="1"/>
  <c r="BI27" i="1"/>
  <c r="BH27" i="1"/>
  <c r="AZ27" i="1"/>
  <c r="AT27" i="1"/>
  <c r="AX27" i="1" s="1"/>
  <c r="AN27" i="1"/>
  <c r="BA27" i="1" s="1"/>
  <c r="BD27" i="1" s="1"/>
  <c r="AI27" i="1"/>
  <c r="AG27" i="1"/>
  <c r="Y27" i="1"/>
  <c r="X27" i="1"/>
  <c r="W27" i="1"/>
  <c r="P27" i="1"/>
  <c r="CW26" i="1"/>
  <c r="CV26" i="1"/>
  <c r="CT26" i="1"/>
  <c r="BI26" i="1"/>
  <c r="BH26" i="1"/>
  <c r="AZ26" i="1"/>
  <c r="AT26" i="1"/>
  <c r="AN26" i="1"/>
  <c r="BA26" i="1" s="1"/>
  <c r="BD26" i="1" s="1"/>
  <c r="AI26" i="1"/>
  <c r="AG26" i="1"/>
  <c r="Y26" i="1"/>
  <c r="X26" i="1"/>
  <c r="W26" i="1" s="1"/>
  <c r="P26" i="1"/>
  <c r="CW25" i="1"/>
  <c r="CV25" i="1"/>
  <c r="CT25" i="1"/>
  <c r="CU25" i="1" s="1"/>
  <c r="AV25" i="1" s="1"/>
  <c r="BI25" i="1"/>
  <c r="BH25" i="1"/>
  <c r="AZ25" i="1"/>
  <c r="AT25" i="1"/>
  <c r="AN25" i="1"/>
  <c r="BA25" i="1" s="1"/>
  <c r="BD25" i="1" s="1"/>
  <c r="AI25" i="1"/>
  <c r="AG25" i="1" s="1"/>
  <c r="N25" i="1" s="1"/>
  <c r="Y25" i="1"/>
  <c r="X25" i="1"/>
  <c r="W25" i="1" s="1"/>
  <c r="S25" i="1"/>
  <c r="P25" i="1"/>
  <c r="CW24" i="1"/>
  <c r="CV24" i="1"/>
  <c r="CT24" i="1"/>
  <c r="CU24" i="1" s="1"/>
  <c r="AV24" i="1" s="1"/>
  <c r="BI24" i="1"/>
  <c r="BH24" i="1"/>
  <c r="AZ24" i="1"/>
  <c r="AT24" i="1"/>
  <c r="AX24" i="1" s="1"/>
  <c r="AN24" i="1"/>
  <c r="BA24" i="1" s="1"/>
  <c r="BD24" i="1" s="1"/>
  <c r="AI24" i="1"/>
  <c r="AG24" i="1" s="1"/>
  <c r="Y24" i="1"/>
  <c r="X24" i="1"/>
  <c r="W24" i="1" s="1"/>
  <c r="S24" i="1"/>
  <c r="P24" i="1"/>
  <c r="CW23" i="1"/>
  <c r="CV23" i="1"/>
  <c r="CT23" i="1"/>
  <c r="BI23" i="1"/>
  <c r="BH23" i="1"/>
  <c r="AZ23" i="1"/>
  <c r="AT23" i="1"/>
  <c r="AN23" i="1"/>
  <c r="BA23" i="1" s="1"/>
  <c r="BD23" i="1" s="1"/>
  <c r="AI23" i="1"/>
  <c r="AG23" i="1" s="1"/>
  <c r="Y23" i="1"/>
  <c r="X23" i="1"/>
  <c r="W23" i="1" s="1"/>
  <c r="S23" i="1"/>
  <c r="P23" i="1"/>
  <c r="CW22" i="1"/>
  <c r="CV22" i="1"/>
  <c r="CT22" i="1"/>
  <c r="BI22" i="1"/>
  <c r="BH22" i="1"/>
  <c r="AZ22" i="1"/>
  <c r="AT22" i="1"/>
  <c r="AN22" i="1"/>
  <c r="BA22" i="1" s="1"/>
  <c r="BD22" i="1" s="1"/>
  <c r="AI22" i="1"/>
  <c r="AG22" i="1" s="1"/>
  <c r="Y22" i="1"/>
  <c r="X22" i="1"/>
  <c r="W22" i="1" s="1"/>
  <c r="S22" i="1"/>
  <c r="P22" i="1"/>
  <c r="CW21" i="1"/>
  <c r="CV21" i="1"/>
  <c r="CT21" i="1"/>
  <c r="BI21" i="1"/>
  <c r="BH21" i="1"/>
  <c r="AZ21" i="1"/>
  <c r="AT21" i="1"/>
  <c r="AN21" i="1"/>
  <c r="BA21" i="1" s="1"/>
  <c r="BD21" i="1" s="1"/>
  <c r="AI21" i="1"/>
  <c r="AG21" i="1" s="1"/>
  <c r="Y21" i="1"/>
  <c r="X21" i="1"/>
  <c r="W21" i="1" s="1"/>
  <c r="S21" i="1"/>
  <c r="P21" i="1"/>
  <c r="CW20" i="1"/>
  <c r="CV20" i="1"/>
  <c r="CT20" i="1"/>
  <c r="CU20" i="1" s="1"/>
  <c r="AV20" i="1" s="1"/>
  <c r="BI20" i="1"/>
  <c r="BH20" i="1"/>
  <c r="AZ20" i="1"/>
  <c r="AT20" i="1"/>
  <c r="AX20" i="1" s="1"/>
  <c r="AN20" i="1"/>
  <c r="BA20" i="1" s="1"/>
  <c r="BD20" i="1" s="1"/>
  <c r="AI20" i="1"/>
  <c r="AG20" i="1" s="1"/>
  <c r="Y20" i="1"/>
  <c r="X20" i="1"/>
  <c r="S20" i="1"/>
  <c r="P20" i="1"/>
  <c r="CW19" i="1"/>
  <c r="CV19" i="1"/>
  <c r="CT19" i="1"/>
  <c r="CU19" i="1" s="1"/>
  <c r="AV19" i="1" s="1"/>
  <c r="BI19" i="1"/>
  <c r="BH19" i="1"/>
  <c r="AZ19" i="1"/>
  <c r="AT19" i="1"/>
  <c r="AN19" i="1"/>
  <c r="BA19" i="1" s="1"/>
  <c r="BD19" i="1" s="1"/>
  <c r="AI19" i="1"/>
  <c r="AG19" i="1" s="1"/>
  <c r="Y19" i="1"/>
  <c r="X19" i="1"/>
  <c r="W19" i="1" s="1"/>
  <c r="S19" i="1"/>
  <c r="P19" i="1"/>
  <c r="CW18" i="1"/>
  <c r="CV18" i="1"/>
  <c r="CT18" i="1"/>
  <c r="BI18" i="1"/>
  <c r="BH18" i="1"/>
  <c r="AZ18" i="1"/>
  <c r="AT18" i="1"/>
  <c r="AN18" i="1"/>
  <c r="BA18" i="1" s="1"/>
  <c r="BD18" i="1" s="1"/>
  <c r="AI18" i="1"/>
  <c r="AG18" i="1" s="1"/>
  <c r="Y18" i="1"/>
  <c r="X18" i="1"/>
  <c r="W18" i="1" s="1"/>
  <c r="S18" i="1"/>
  <c r="P18" i="1"/>
  <c r="CW17" i="1"/>
  <c r="CV17" i="1"/>
  <c r="CT17" i="1"/>
  <c r="CU17" i="1" s="1"/>
  <c r="AV17" i="1" s="1"/>
  <c r="BI17" i="1"/>
  <c r="BH17" i="1"/>
  <c r="AZ17" i="1"/>
  <c r="AT17" i="1"/>
  <c r="AX17" i="1" s="1"/>
  <c r="AN17" i="1"/>
  <c r="BA17" i="1" s="1"/>
  <c r="BD17" i="1" s="1"/>
  <c r="AI17" i="1"/>
  <c r="AG17" i="1" s="1"/>
  <c r="Y17" i="1"/>
  <c r="X17" i="1"/>
  <c r="W17" i="1" s="1"/>
  <c r="S17" i="1"/>
  <c r="P17" i="1"/>
  <c r="CU21" i="1" l="1"/>
  <c r="AV21" i="1" s="1"/>
  <c r="AX21" i="1" s="1"/>
  <c r="AX19" i="1"/>
  <c r="CU18" i="1"/>
  <c r="AV18" i="1" s="1"/>
  <c r="AX18" i="1" s="1"/>
  <c r="CU23" i="1"/>
  <c r="AV23" i="1" s="1"/>
  <c r="AX23" i="1" s="1"/>
  <c r="W20" i="1"/>
  <c r="AX25" i="1"/>
  <c r="CU22" i="1"/>
  <c r="AV22" i="1" s="1"/>
  <c r="AX22" i="1" s="1"/>
  <c r="CU27" i="1"/>
  <c r="AV27" i="1" s="1"/>
  <c r="S27" i="1"/>
  <c r="T27" i="1" s="1"/>
  <c r="U27" i="1" s="1"/>
  <c r="CU26" i="1"/>
  <c r="AV26" i="1" s="1"/>
  <c r="AX26" i="1" s="1"/>
  <c r="S26" i="1"/>
  <c r="T26" i="1" s="1"/>
  <c r="U26" i="1" s="1"/>
  <c r="BE29" i="1"/>
  <c r="BF29" i="1"/>
  <c r="BJ29" i="1" s="1"/>
  <c r="BK29" i="1" s="1"/>
  <c r="BG29" i="1"/>
  <c r="AH29" i="1"/>
  <c r="N29" i="1"/>
  <c r="K29" i="1"/>
  <c r="J29" i="1"/>
  <c r="AW29" i="1" s="1"/>
  <c r="AY29" i="1" s="1"/>
  <c r="I29" i="1"/>
  <c r="H29" i="1" s="1"/>
  <c r="T29" i="1" s="1"/>
  <c r="U29" i="1" s="1"/>
  <c r="S28" i="1"/>
  <c r="CU28" i="1"/>
  <c r="AV28" i="1" s="1"/>
  <c r="AX28" i="1" s="1"/>
  <c r="BE28" i="1"/>
  <c r="BF28" i="1"/>
  <c r="BJ28" i="1" s="1"/>
  <c r="BK28" i="1" s="1"/>
  <c r="BG28" i="1"/>
  <c r="N28" i="1"/>
  <c r="K28" i="1"/>
  <c r="J28" i="1"/>
  <c r="AW28" i="1" s="1"/>
  <c r="AY28" i="1" s="1"/>
  <c r="I28" i="1"/>
  <c r="H28" i="1" s="1"/>
  <c r="AH28" i="1"/>
  <c r="BE27" i="1"/>
  <c r="BF27" i="1"/>
  <c r="BJ27" i="1" s="1"/>
  <c r="BK27" i="1" s="1"/>
  <c r="BG27" i="1"/>
  <c r="K27" i="1"/>
  <c r="AH27" i="1"/>
  <c r="N27" i="1"/>
  <c r="I27" i="1"/>
  <c r="H27" i="1" s="1"/>
  <c r="J27" i="1"/>
  <c r="AW27" i="1" s="1"/>
  <c r="AY27" i="1" s="1"/>
  <c r="BE26" i="1"/>
  <c r="BF26" i="1"/>
  <c r="BJ26" i="1" s="1"/>
  <c r="BK26" i="1" s="1"/>
  <c r="BG26" i="1"/>
  <c r="N26" i="1"/>
  <c r="I26" i="1"/>
  <c r="H26" i="1" s="1"/>
  <c r="AH26" i="1"/>
  <c r="J26" i="1"/>
  <c r="AW26" i="1" s="1"/>
  <c r="AY26" i="1" s="1"/>
  <c r="K26" i="1"/>
  <c r="BE25" i="1"/>
  <c r="BF25" i="1"/>
  <c r="BJ25" i="1" s="1"/>
  <c r="BK25" i="1" s="1"/>
  <c r="BG25" i="1"/>
  <c r="I25" i="1"/>
  <c r="H25" i="1" s="1"/>
  <c r="J25" i="1"/>
  <c r="AW25" i="1" s="1"/>
  <c r="AY25" i="1" s="1"/>
  <c r="K25" i="1"/>
  <c r="AH25" i="1"/>
  <c r="T25" i="1"/>
  <c r="U25" i="1" s="1"/>
  <c r="BE24" i="1"/>
  <c r="BF24" i="1"/>
  <c r="BJ24" i="1" s="1"/>
  <c r="BK24" i="1" s="1"/>
  <c r="BG24" i="1"/>
  <c r="K24" i="1"/>
  <c r="J24" i="1"/>
  <c r="AW24" i="1" s="1"/>
  <c r="AY24" i="1" s="1"/>
  <c r="N24" i="1"/>
  <c r="I24" i="1"/>
  <c r="H24" i="1" s="1"/>
  <c r="AH24" i="1"/>
  <c r="BE23" i="1"/>
  <c r="BF23" i="1"/>
  <c r="BJ23" i="1" s="1"/>
  <c r="BK23" i="1" s="1"/>
  <c r="BG23" i="1"/>
  <c r="K23" i="1"/>
  <c r="AH23" i="1"/>
  <c r="I23" i="1"/>
  <c r="H23" i="1" s="1"/>
  <c r="N23" i="1"/>
  <c r="J23" i="1"/>
  <c r="AW23" i="1" s="1"/>
  <c r="T23" i="1"/>
  <c r="U23" i="1" s="1"/>
  <c r="BG22" i="1"/>
  <c r="BE22" i="1"/>
  <c r="BF22" i="1"/>
  <c r="BJ22" i="1" s="1"/>
  <c r="BK22" i="1" s="1"/>
  <c r="I22" i="1"/>
  <c r="H22" i="1" s="1"/>
  <c r="T22" i="1" s="1"/>
  <c r="U22" i="1" s="1"/>
  <c r="K22" i="1"/>
  <c r="N22" i="1"/>
  <c r="AH22" i="1"/>
  <c r="J22" i="1"/>
  <c r="AW22" i="1" s="1"/>
  <c r="BF21" i="1"/>
  <c r="BJ21" i="1" s="1"/>
  <c r="BK21" i="1" s="1"/>
  <c r="BE21" i="1"/>
  <c r="BG21" i="1"/>
  <c r="K21" i="1"/>
  <c r="I21" i="1"/>
  <c r="H21" i="1" s="1"/>
  <c r="T21" i="1" s="1"/>
  <c r="U21" i="1" s="1"/>
  <c r="N21" i="1"/>
  <c r="AH21" i="1"/>
  <c r="J21" i="1"/>
  <c r="AW21" i="1" s="1"/>
  <c r="BG20" i="1"/>
  <c r="BE20" i="1"/>
  <c r="BF20" i="1"/>
  <c r="BJ20" i="1" s="1"/>
  <c r="BK20" i="1" s="1"/>
  <c r="N20" i="1"/>
  <c r="K20" i="1"/>
  <c r="I20" i="1"/>
  <c r="H20" i="1" s="1"/>
  <c r="J20" i="1"/>
  <c r="AW20" i="1" s="1"/>
  <c r="AY20" i="1" s="1"/>
  <c r="AH20" i="1"/>
  <c r="T20" i="1"/>
  <c r="U20" i="1" s="1"/>
  <c r="BE19" i="1"/>
  <c r="BF19" i="1"/>
  <c r="BJ19" i="1" s="1"/>
  <c r="BK19" i="1" s="1"/>
  <c r="BG19" i="1"/>
  <c r="J19" i="1"/>
  <c r="AW19" i="1" s="1"/>
  <c r="AY19" i="1" s="1"/>
  <c r="I19" i="1"/>
  <c r="H19" i="1" s="1"/>
  <c r="K19" i="1"/>
  <c r="N19" i="1"/>
  <c r="AH19" i="1"/>
  <c r="T19" i="1"/>
  <c r="U19" i="1" s="1"/>
  <c r="BE18" i="1"/>
  <c r="BF18" i="1"/>
  <c r="BJ18" i="1" s="1"/>
  <c r="BK18" i="1" s="1"/>
  <c r="BG18" i="1"/>
  <c r="K18" i="1"/>
  <c r="N18" i="1"/>
  <c r="I18" i="1"/>
  <c r="H18" i="1" s="1"/>
  <c r="J18" i="1"/>
  <c r="AW18" i="1" s="1"/>
  <c r="AH18" i="1"/>
  <c r="T18" i="1"/>
  <c r="U18" i="1" s="1"/>
  <c r="BG17" i="1"/>
  <c r="BF17" i="1"/>
  <c r="BJ17" i="1" s="1"/>
  <c r="BK17" i="1" s="1"/>
  <c r="BE17" i="1"/>
  <c r="K17" i="1"/>
  <c r="N17" i="1"/>
  <c r="I17" i="1"/>
  <c r="H17" i="1" s="1"/>
  <c r="T17" i="1" s="1"/>
  <c r="U17" i="1" s="1"/>
  <c r="AH17" i="1"/>
  <c r="J17" i="1"/>
  <c r="AW17" i="1" s="1"/>
  <c r="AY17" i="1" s="1"/>
  <c r="AY23" i="1" l="1"/>
  <c r="AY22" i="1"/>
  <c r="AY21" i="1"/>
  <c r="AY18" i="1"/>
  <c r="Q29" i="1"/>
  <c r="O29" i="1" s="1"/>
  <c r="R29" i="1" s="1"/>
  <c r="L29" i="1" s="1"/>
  <c r="M29" i="1" s="1"/>
  <c r="AA29" i="1"/>
  <c r="V29" i="1"/>
  <c r="Z29" i="1" s="1"/>
  <c r="AB29" i="1"/>
  <c r="AC29" i="1"/>
  <c r="AD29" i="1" s="1"/>
  <c r="T28" i="1"/>
  <c r="U28" i="1" s="1"/>
  <c r="Q28" i="1" s="1"/>
  <c r="O28" i="1" s="1"/>
  <c r="R28" i="1" s="1"/>
  <c r="L28" i="1" s="1"/>
  <c r="M28" i="1" s="1"/>
  <c r="AA28" i="1"/>
  <c r="Q27" i="1"/>
  <c r="O27" i="1" s="1"/>
  <c r="R27" i="1" s="1"/>
  <c r="L27" i="1" s="1"/>
  <c r="M27" i="1" s="1"/>
  <c r="AA27" i="1"/>
  <c r="AB27" i="1"/>
  <c r="V27" i="1"/>
  <c r="Z27" i="1" s="1"/>
  <c r="AC27" i="1"/>
  <c r="AD27" i="1" s="1"/>
  <c r="Q26" i="1"/>
  <c r="O26" i="1" s="1"/>
  <c r="R26" i="1" s="1"/>
  <c r="L26" i="1" s="1"/>
  <c r="M26" i="1" s="1"/>
  <c r="AA26" i="1"/>
  <c r="AB26" i="1"/>
  <c r="AC26" i="1"/>
  <c r="AD26" i="1" s="1"/>
  <c r="V26" i="1"/>
  <c r="Z26" i="1" s="1"/>
  <c r="AA25" i="1"/>
  <c r="Q25" i="1"/>
  <c r="O25" i="1" s="1"/>
  <c r="R25" i="1" s="1"/>
  <c r="L25" i="1" s="1"/>
  <c r="M25" i="1" s="1"/>
  <c r="AB25" i="1"/>
  <c r="AC25" i="1"/>
  <c r="AD25" i="1" s="1"/>
  <c r="V25" i="1"/>
  <c r="Z25" i="1" s="1"/>
  <c r="T24" i="1"/>
  <c r="U24" i="1" s="1"/>
  <c r="AA24" i="1"/>
  <c r="Q24" i="1"/>
  <c r="O24" i="1" s="1"/>
  <c r="R24" i="1" s="1"/>
  <c r="L24" i="1" s="1"/>
  <c r="M24" i="1" s="1"/>
  <c r="Q23" i="1"/>
  <c r="O23" i="1" s="1"/>
  <c r="R23" i="1" s="1"/>
  <c r="L23" i="1" s="1"/>
  <c r="M23" i="1" s="1"/>
  <c r="AA23" i="1"/>
  <c r="AB23" i="1"/>
  <c r="V23" i="1"/>
  <c r="Z23" i="1" s="1"/>
  <c r="AC23" i="1"/>
  <c r="AD23" i="1" s="1"/>
  <c r="Q22" i="1"/>
  <c r="O22" i="1" s="1"/>
  <c r="R22" i="1" s="1"/>
  <c r="L22" i="1" s="1"/>
  <c r="M22" i="1" s="1"/>
  <c r="AA22" i="1"/>
  <c r="AB22" i="1"/>
  <c r="V22" i="1"/>
  <c r="Z22" i="1" s="1"/>
  <c r="AC22" i="1"/>
  <c r="AD22" i="1" s="1"/>
  <c r="AA21" i="1"/>
  <c r="Q21" i="1"/>
  <c r="O21" i="1" s="1"/>
  <c r="R21" i="1" s="1"/>
  <c r="L21" i="1" s="1"/>
  <c r="M21" i="1" s="1"/>
  <c r="AB21" i="1"/>
  <c r="AC21" i="1"/>
  <c r="AD21" i="1" s="1"/>
  <c r="V21" i="1"/>
  <c r="Z21" i="1" s="1"/>
  <c r="AA20" i="1"/>
  <c r="Q20" i="1"/>
  <c r="O20" i="1" s="1"/>
  <c r="R20" i="1" s="1"/>
  <c r="L20" i="1" s="1"/>
  <c r="M20" i="1" s="1"/>
  <c r="AB20" i="1"/>
  <c r="V20" i="1"/>
  <c r="Z20" i="1" s="1"/>
  <c r="AC20" i="1"/>
  <c r="AD20" i="1" s="1"/>
  <c r="AA19" i="1"/>
  <c r="Q19" i="1"/>
  <c r="O19" i="1" s="1"/>
  <c r="R19" i="1" s="1"/>
  <c r="L19" i="1" s="1"/>
  <c r="M19" i="1" s="1"/>
  <c r="AB19" i="1"/>
  <c r="V19" i="1"/>
  <c r="Z19" i="1" s="1"/>
  <c r="AC19" i="1"/>
  <c r="AA18" i="1"/>
  <c r="Q18" i="1"/>
  <c r="O18" i="1" s="1"/>
  <c r="R18" i="1" s="1"/>
  <c r="L18" i="1" s="1"/>
  <c r="M18" i="1" s="1"/>
  <c r="AB18" i="1"/>
  <c r="V18" i="1"/>
  <c r="Z18" i="1" s="1"/>
  <c r="AC18" i="1"/>
  <c r="AD18" i="1" s="1"/>
  <c r="Q17" i="1"/>
  <c r="O17" i="1" s="1"/>
  <c r="R17" i="1" s="1"/>
  <c r="L17" i="1" s="1"/>
  <c r="M17" i="1" s="1"/>
  <c r="AA17" i="1"/>
  <c r="AB17" i="1"/>
  <c r="AC17" i="1"/>
  <c r="AD17" i="1" s="1"/>
  <c r="V17" i="1"/>
  <c r="Z17" i="1" s="1"/>
  <c r="V28" i="1" l="1"/>
  <c r="Z28" i="1" s="1"/>
  <c r="AB28" i="1"/>
  <c r="AC28" i="1"/>
  <c r="AD28" i="1" s="1"/>
  <c r="AC24" i="1"/>
  <c r="V24" i="1"/>
  <c r="Z24" i="1" s="1"/>
  <c r="AB24" i="1"/>
  <c r="AD19" i="1"/>
  <c r="AD24" i="1" l="1"/>
</calcChain>
</file>

<file path=xl/sharedStrings.xml><?xml version="1.0" encoding="utf-8"?>
<sst xmlns="http://schemas.openxmlformats.org/spreadsheetml/2006/main" count="1053" uniqueCount="461">
  <si>
    <t>File opened</t>
  </si>
  <si>
    <t>2026-10-17 13:42:07</t>
  </si>
  <si>
    <t>Console s/n</t>
  </si>
  <si>
    <t>68C-812349</t>
  </si>
  <si>
    <t>Console ver</t>
  </si>
  <si>
    <t>Bluestem v.2.1.13</t>
  </si>
  <si>
    <t>Scripts ver</t>
  </si>
  <si>
    <t>2024.01  2.1.13, Apr 2024</t>
  </si>
  <si>
    <t>Head s/n</t>
  </si>
  <si>
    <t>68H-982339</t>
  </si>
  <si>
    <t>Head ver</t>
  </si>
  <si>
    <t>1.4.23</t>
  </si>
  <si>
    <t>Head cal</t>
  </si>
  <si>
    <t>{"flowmeterzero": "2.5072", "h2oaspan2a": "0.108347", "h2oaspanconc2": "0", "h2oazero": "1.14957", "co2aspanconc2": "1516", "ssa_ref": "32366.8", "co2azero": "1.16194", "co2aspan2b": "0.0924399", "co2bzero": "1.02053", "co2aspan2a": "0.0929659", "oxygen": "21", "co2bspan2a": "0.0952815", "co2aspan1": "0.99333", "co2aspanconc1": "437.6", "h2obspan2": "0", "h2obspanconc1": "21.96", "co2bspan1": "0.993892", "h2obspan2a": "0.112101", "co2bspan2b": "0.0947811", "co2bspanconc2": "1516", "flowbzero": "0.27399", "co2aspan2": "0.0108874", "co2bspan2": "0.00898303", "h2oaspan2b": "0.111609", "ssb_ref": "37478.9", "h2obspan1": "0.995823", "h2oaspanconc1": "21.96", "h2obspan2b": "0.111633", "co2bspanconc1": "437.6", "h2obzero": "1.13925", "h2obspanconc2": "0", "chamberpressurezero": "2.61687", "h2oaspan2": "0", "h2oaspan1": "1.0301", "tazero": "0.0951138", "tbzero": "0.145187", "flowazero": "0.316"}</t>
  </si>
  <si>
    <t>Factory cal date</t>
  </si>
  <si>
    <t>04 Oct 2022</t>
  </si>
  <si>
    <t>CO2 rangematch</t>
  </si>
  <si>
    <t>Fri Oct 16 09:52</t>
  </si>
  <si>
    <t>H2O rangematch</t>
  </si>
  <si>
    <t>Fri Oct 16 09:57</t>
  </si>
  <si>
    <t>Chamber type</t>
  </si>
  <si>
    <t>6800-01A</t>
  </si>
  <si>
    <t>Chamber s/n</t>
  </si>
  <si>
    <t>MPF-282040</t>
  </si>
  <si>
    <t>Chamber rev</t>
  </si>
  <si>
    <t>0</t>
  </si>
  <si>
    <t>Chamber cal</t>
  </si>
  <si>
    <t>Fluorometer</t>
  </si>
  <si>
    <t>Flr. Version</t>
  </si>
  <si>
    <t>13:42:07</t>
  </si>
  <si>
    <t>Stability Definition:	F (FlrLS): Slp&lt;1 Per=20	A (GasEx): Slp&lt;0.6 Per=20	ΔCO2 (Meas2): Slp&lt;0.5 Per=20</t>
  </si>
  <si>
    <t>SysConst</t>
  </si>
  <si>
    <t>AvgTime</t>
  </si>
  <si>
    <t>4</t>
  </si>
  <si>
    <t>Oxygen</t>
  </si>
  <si>
    <t>ChambConst</t>
  </si>
  <si>
    <t>Chamber</t>
  </si>
  <si>
    <t>Aperture</t>
  </si>
  <si>
    <t>2 cm²</t>
  </si>
  <si>
    <t>blc_a</t>
  </si>
  <si>
    <t>blc_b</t>
  </si>
  <si>
    <t>blc_c</t>
  </si>
  <si>
    <t>blc_d</t>
  </si>
  <si>
    <t>blc_e</t>
  </si>
  <si>
    <t>blc_minS</t>
  </si>
  <si>
    <t>blc_maxS</t>
  </si>
  <si>
    <t>blc_Po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</si>
  <si>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</si>
  <si>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</si>
  <si>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</si>
  <si>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</si>
  <si>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</si>
  <si>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</si>
  <si>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</si>
  <si>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</si>
  <si>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</si>
  <si>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Sun+Sky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</si>
  <si>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</si>
  <si>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</si>
  <si>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</si>
  <si>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</si>
  <si>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</si>
  <si>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</si>
  <si>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</si>
  <si>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</si>
  <si>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</si>
  <si>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</si>
  <si>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</si>
  <si>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</si>
  <si>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</si>
  <si>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</si>
  <si>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</si>
  <si>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</si>
  <si>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</si>
  <si>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</si>
  <si>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</si>
  <si>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</si>
  <si>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</si>
  <si>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</si>
  <si>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</si>
  <si>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</si>
  <si>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</si>
  <si>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</si>
  <si>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3.82642 210.635 344.448 576.537 864.353 1069.63 1239.45 1353.65</t>
  </si>
  <si>
    <t>Fs_true</t>
  </si>
  <si>
    <t>0.0458087 241.35 374.672 579.544 813.883 1001.14 1204.16 1400.88</t>
  </si>
  <si>
    <t>leak_wt</t>
  </si>
  <si>
    <t>SysObs</t>
  </si>
  <si>
    <t>GasEx</t>
  </si>
  <si>
    <t>Leak</t>
  </si>
  <si>
    <t>FLR</t>
  </si>
  <si>
    <t>MPF</t>
  </si>
  <si>
    <t>FastKntcs</t>
  </si>
  <si>
    <t>LeafQ</t>
  </si>
  <si>
    <t>Const</t>
  </si>
  <si>
    <t>Meas</t>
  </si>
  <si>
    <t>Meas2</t>
  </si>
  <si>
    <t>FlrLS</t>
  </si>
  <si>
    <t>FlrStats</t>
  </si>
  <si>
    <t>MchEvent</t>
  </si>
  <si>
    <t>Stability</t>
  </si>
  <si>
    <t>Raw</t>
  </si>
  <si>
    <t>Status2</t>
  </si>
  <si>
    <t>Auxiliary</t>
  </si>
  <si>
    <t>MchStatus</t>
  </si>
  <si>
    <t>ConStatus</t>
  </si>
  <si>
    <t>Status</t>
  </si>
  <si>
    <t>obs</t>
  </si>
  <si>
    <t>time</t>
  </si>
  <si>
    <t>elapsed</t>
  </si>
  <si>
    <t>date</t>
  </si>
  <si>
    <t>hhmmss</t>
  </si>
  <si>
    <t>averaging</t>
  </si>
  <si>
    <t>TIME</t>
  </si>
  <si>
    <t>E</t>
  </si>
  <si>
    <t>Emm</t>
  </si>
  <si>
    <t>A</t>
  </si>
  <si>
    <t>Ca</t>
  </si>
  <si>
    <t>Ci</t>
  </si>
  <si>
    <t>Pci</t>
  </si>
  <si>
    <t>Pca</t>
  </si>
  <si>
    <t>gsw</t>
  </si>
  <si>
    <t>gbw</t>
  </si>
  <si>
    <t>gtw</t>
  </si>
  <si>
    <t>gtc</t>
  </si>
  <si>
    <t>Rabs</t>
  </si>
  <si>
    <t>TleafEB</t>
  </si>
  <si>
    <t>TleafCnd</t>
  </si>
  <si>
    <t>SVPleaf</t>
  </si>
  <si>
    <t>RHcham</t>
  </si>
  <si>
    <t>VPcham</t>
  </si>
  <si>
    <t>SVPcham</t>
  </si>
  <si>
    <t>VPDleaf</t>
  </si>
  <si>
    <t>LatHFlux</t>
  </si>
  <si>
    <t>SenHFlux</t>
  </si>
  <si>
    <t>NetTherm</t>
  </si>
  <si>
    <t>EBSum</t>
  </si>
  <si>
    <t>LeakPct</t>
  </si>
  <si>
    <t>CorrFact</t>
  </si>
  <si>
    <t>CorrFactPct</t>
  </si>
  <si>
    <t>Fan</t>
  </si>
  <si>
    <t>DarkAdaptedID</t>
  </si>
  <si>
    <t>Qmax_d</t>
  </si>
  <si>
    <t>Fo</t>
  </si>
  <si>
    <t>Fm</t>
  </si>
  <si>
    <t>Fv/Fm</t>
  </si>
  <si>
    <t>A_dark</t>
  </si>
  <si>
    <t>LightAdaptedID</t>
  </si>
  <si>
    <t>Qmax</t>
  </si>
  <si>
    <t>Fs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</si>
  <si>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</si>
  <si>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</si>
  <si>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</si>
  <si>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</si>
  <si>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</si>
  <si>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</si>
  <si>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</si>
  <si>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</si>
  <si>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</si>
  <si>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</si>
  <si>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</si>
  <si>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</si>
  <si>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</si>
  <si>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</si>
  <si>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</si>
  <si>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</si>
  <si>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</si>
  <si>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</si>
  <si>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</si>
  <si>
    <t>ID</t>
  </si>
  <si>
    <t>P1_dur</t>
  </si>
  <si>
    <t>P1_Fmax</t>
  </si>
  <si>
    <t>T@P1_Fmax</t>
  </si>
  <si>
    <t>Q@P1_Fmax</t>
  </si>
  <si>
    <t>P1_PredF</t>
  </si>
  <si>
    <t>P1_ΔF</t>
  </si>
  <si>
    <t>P2_dur</t>
  </si>
  <si>
    <t>P2_ramp</t>
  </si>
  <si>
    <t>P2_int</t>
  </si>
  <si>
    <t>P2_int_se</t>
  </si>
  <si>
    <t>P2_slp</t>
  </si>
  <si>
    <t>P2_slp_se</t>
  </si>
  <si>
    <t>P2_R2</t>
  </si>
  <si>
    <t>P2_dQdt</t>
  </si>
  <si>
    <t>P3_dur</t>
  </si>
  <si>
    <t>P3_Fmax</t>
  </si>
  <si>
    <t>T@P3_Fmax</t>
  </si>
  <si>
    <t>Q@P3_Fmax</t>
  </si>
  <si>
    <t>P3_PredF</t>
  </si>
  <si>
    <t>P3_ΔF</t>
  </si>
  <si>
    <t>Dur</t>
  </si>
  <si>
    <t>DCo</t>
  </si>
  <si>
    <t>InitSlope</t>
  </si>
  <si>
    <t>F1</t>
  </si>
  <si>
    <t>T@F1</t>
  </si>
  <si>
    <t>T@HIR</t>
  </si>
  <si>
    <t>F2</t>
  </si>
  <si>
    <t>T@F2</t>
  </si>
  <si>
    <t>DCmax</t>
  </si>
  <si>
    <t>T@DCmax</t>
  </si>
  <si>
    <t>PhiPS2_dc</t>
  </si>
  <si>
    <t>Qin</t>
  </si>
  <si>
    <t>Qabs</t>
  </si>
  <si>
    <t>alpha</t>
  </si>
  <si>
    <t>convert</t>
  </si>
  <si>
    <t>S</t>
  </si>
  <si>
    <t>K</t>
  </si>
  <si>
    <t>Geometry</t>
  </si>
  <si>
    <t>Custom</t>
  </si>
  <si>
    <t>CO2_s</t>
  </si>
  <si>
    <t>CO2_r</t>
  </si>
  <si>
    <t>H2O_s</t>
  </si>
  <si>
    <t>H2O_r</t>
  </si>
  <si>
    <t>CO2_a</t>
  </si>
  <si>
    <t>H2O_a</t>
  </si>
  <si>
    <t>Flow</t>
  </si>
  <si>
    <t>Pa</t>
  </si>
  <si>
    <t>ΔPcham</t>
  </si>
  <si>
    <t>Tair</t>
  </si>
  <si>
    <t>Tleaf</t>
  </si>
  <si>
    <t>Tleaf2</t>
  </si>
  <si>
    <t>Offset</t>
  </si>
  <si>
    <t>Offset2</t>
  </si>
  <si>
    <t>Fan_speed</t>
  </si>
  <si>
    <t>Qamb_in</t>
  </si>
  <si>
    <t>Qamb_out</t>
  </si>
  <si>
    <t>ΔCO2</t>
  </si>
  <si>
    <t>CO2_s_d</t>
  </si>
  <si>
    <t>CO2_r_d</t>
  </si>
  <si>
    <t>ΔH2O</t>
  </si>
  <si>
    <t>CO2_b</t>
  </si>
  <si>
    <t>H2O_b</t>
  </si>
  <si>
    <t>e_s</t>
  </si>
  <si>
    <t>e_r</t>
  </si>
  <si>
    <t>Td_s</t>
  </si>
  <si>
    <t>Td_r</t>
  </si>
  <si>
    <t>Q</t>
  </si>
  <si>
    <t>f_red</t>
  </si>
  <si>
    <t>f_blue</t>
  </si>
  <si>
    <t>f_farred</t>
  </si>
  <si>
    <t>F</t>
  </si>
  <si>
    <t>Q_modavg</t>
  </si>
  <si>
    <t>F_dc</t>
  </si>
  <si>
    <t>Pc</t>
  </si>
  <si>
    <t>Tled</t>
  </si>
  <si>
    <t>TDigital</t>
  </si>
  <si>
    <t>TPreamp</t>
  </si>
  <si>
    <t>TPwrSpy</t>
  </si>
  <si>
    <t>TDrive</t>
  </si>
  <si>
    <t>Q_red</t>
  </si>
  <si>
    <t>Q_blue</t>
  </si>
  <si>
    <t>Q_farred</t>
  </si>
  <si>
    <t>TSPF</t>
  </si>
  <si>
    <t>state</t>
  </si>
  <si>
    <t>F_avg</t>
  </si>
  <si>
    <t>dF/dt</t>
  </si>
  <si>
    <t>dF_dc/dt</t>
  </si>
  <si>
    <t>F_dc_avg</t>
  </si>
  <si>
    <t>period</t>
  </si>
  <si>
    <t>co2_t</t>
  </si>
  <si>
    <t>h2o_t</t>
  </si>
  <si>
    <t>count</t>
  </si>
  <si>
    <t>co2_adj</t>
  </si>
  <si>
    <t>h2o_adj</t>
  </si>
  <si>
    <t>co2_match</t>
  </si>
  <si>
    <t>h2o_match</t>
  </si>
  <si>
    <t>co2_at</t>
  </si>
  <si>
    <t>h2o_at</t>
  </si>
  <si>
    <t>co2_cv</t>
  </si>
  <si>
    <t>h2o_cv</t>
  </si>
  <si>
    <t>A:MN</t>
  </si>
  <si>
    <t>A:SLP</t>
  </si>
  <si>
    <t>A:SD</t>
  </si>
  <si>
    <t>A:OK</t>
  </si>
  <si>
    <t>ΔCO2:MN</t>
  </si>
  <si>
    <t>ΔCO2:SLP</t>
  </si>
  <si>
    <t>ΔCO2:SD</t>
  </si>
  <si>
    <t>ΔCO2:OK</t>
  </si>
  <si>
    <t>F:MN</t>
  </si>
  <si>
    <t>F:SLP</t>
  </si>
  <si>
    <t>F:SD</t>
  </si>
  <si>
    <t>F:OK</t>
  </si>
  <si>
    <t>Stable</t>
  </si>
  <si>
    <t>Total</t>
  </si>
  <si>
    <t>State</t>
  </si>
  <si>
    <t>Vflow</t>
  </si>
  <si>
    <t>VPchamber</t>
  </si>
  <si>
    <t>abs_c_a</t>
  </si>
  <si>
    <t>abs_c_b</t>
  </si>
  <si>
    <t>abs_h_a</t>
  </si>
  <si>
    <t>abs_h_b</t>
  </si>
  <si>
    <t>Wc_s</t>
  </si>
  <si>
    <t>Wc_r</t>
  </si>
  <si>
    <t>Wco_s</t>
  </si>
  <si>
    <t>Wco_r</t>
  </si>
  <si>
    <t>Ww_s</t>
  </si>
  <si>
    <t>Ww_r</t>
  </si>
  <si>
    <t>Wwo_s</t>
  </si>
  <si>
    <t>Wwo_r</t>
  </si>
  <si>
    <t>Flow_s_v</t>
  </si>
  <si>
    <t>Flow_r_v</t>
  </si>
  <si>
    <t>Tleaf_mv</t>
  </si>
  <si>
    <t>Tleaf2_mv</t>
  </si>
  <si>
    <t>Tleaf_j</t>
  </si>
  <si>
    <t>Tleaf2_j</t>
  </si>
  <si>
    <t>Console_RH</t>
  </si>
  <si>
    <t>Console_T</t>
  </si>
  <si>
    <t>Console_H2O</t>
  </si>
  <si>
    <t>Fan_%</t>
  </si>
  <si>
    <t>Flow_%</t>
  </si>
  <si>
    <t>Pump</t>
  </si>
  <si>
    <t>Tchp_pwm</t>
  </si>
  <si>
    <t>Txchg_pwm</t>
  </si>
  <si>
    <t>diag_20v</t>
  </si>
  <si>
    <t>diag_5_4v</t>
  </si>
  <si>
    <t>diag_12v</t>
  </si>
  <si>
    <t>diag_5va</t>
  </si>
  <si>
    <t>diag_3_3vf</t>
  </si>
  <si>
    <t>AccH2O_hum</t>
  </si>
  <si>
    <t>AccCO2_soda</t>
  </si>
  <si>
    <t>AccH2O_des</t>
  </si>
  <si>
    <t>CO2_hrs</t>
  </si>
  <si>
    <t>ADC_CH1</t>
  </si>
  <si>
    <t>ADC_CH2</t>
  </si>
  <si>
    <t>ADC_CH3</t>
  </si>
  <si>
    <t>ADC_CH4</t>
  </si>
  <si>
    <t>ADC_CH5</t>
  </si>
  <si>
    <t>ADC_CH6</t>
  </si>
  <si>
    <t>ADC_CH7</t>
  </si>
  <si>
    <t>ADC_CH8</t>
  </si>
  <si>
    <t>DAC_1</t>
  </si>
  <si>
    <t>DAC_2</t>
  </si>
  <si>
    <t>DAC_3</t>
  </si>
  <si>
    <t>DAC_4</t>
  </si>
  <si>
    <t>GPIO</t>
  </si>
  <si>
    <t>GPIO_dir</t>
  </si>
  <si>
    <t>excit_5v</t>
  </si>
  <si>
    <t>power_12v</t>
  </si>
  <si>
    <t>power_5v</t>
  </si>
  <si>
    <t>ch1_pullup</t>
  </si>
  <si>
    <t>AuxPower</t>
  </si>
  <si>
    <t>MatchValveR</t>
  </si>
  <si>
    <t>MatchValveS</t>
  </si>
  <si>
    <t>MatchCO2</t>
  </si>
  <si>
    <t>MatchH2O</t>
  </si>
  <si>
    <t>cf_co2_a</t>
  </si>
  <si>
    <t>cf_co2_b</t>
  </si>
  <si>
    <t>cf_co2_c</t>
  </si>
  <si>
    <t>cf_co2_d</t>
  </si>
  <si>
    <t>cf_h2o_a</t>
  </si>
  <si>
    <t>cf_h2o_b</t>
  </si>
  <si>
    <t>cf_h2o_c</t>
  </si>
  <si>
    <t>cf_h2o_d</t>
  </si>
  <si>
    <t>co2_fit_low</t>
  </si>
  <si>
    <t>co2_fit_high</t>
  </si>
  <si>
    <t>h2o_fit_low</t>
  </si>
  <si>
    <t>h2o_fit_high</t>
  </si>
  <si>
    <t>co2_elapsed</t>
  </si>
  <si>
    <t>h2o_elapsed</t>
  </si>
  <si>
    <t>CO2_f</t>
  </si>
  <si>
    <t>CO2_f_s</t>
  </si>
  <si>
    <t>Pump_f</t>
  </si>
  <si>
    <t>Pump_f_s</t>
  </si>
  <si>
    <t>Pump_p</t>
  </si>
  <si>
    <t>Pump_p_s</t>
  </si>
  <si>
    <t>Tboard</t>
  </si>
  <si>
    <t>V_system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</si>
  <si>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</si>
  <si>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</si>
  <si>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</si>
  <si>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</si>
  <si>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</si>
  <si>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</si>
  <si>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</si>
  <si>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</si>
  <si>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</si>
  <si>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</si>
  <si>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</si>
  <si>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</si>
  <si>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</si>
  <si>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</si>
  <si>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</si>
  <si>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</si>
  <si>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s</t>
  </si>
  <si>
    <t>mol m⁻² s⁻¹</t>
  </si>
  <si>
    <t>mmol m⁻² s⁻¹</t>
  </si>
  <si>
    <t>µmol m⁻² s⁻¹</t>
  </si>
  <si>
    <t>µmol mol⁻¹</t>
  </si>
  <si>
    <t>W m⁻²</t>
  </si>
  <si>
    <t>°C</t>
  </si>
  <si>
    <t>kPa</t>
  </si>
  <si>
    <t>%</t>
  </si>
  <si>
    <t>µmol s⁻¹</t>
  </si>
  <si>
    <t>µmol µmol⁻¹</t>
  </si>
  <si>
    <t>ms</t>
  </si>
  <si>
    <t>centimol m⁻² s⁻¹</t>
  </si>
  <si>
    <t>mol m⁻² s⁻²</t>
  </si>
  <si>
    <t>s⁻¹</t>
  </si>
  <si>
    <t>J/µmol</t>
  </si>
  <si>
    <t>cm²</t>
  </si>
  <si>
    <t>mmol mol⁻¹</t>
  </si>
  <si>
    <t>rpm</t>
  </si>
  <si>
    <t>min⁻¹</t>
  </si>
  <si>
    <t>secs</t>
  </si>
  <si>
    <t>µmol/mol</t>
  </si>
  <si>
    <t>mmol/mol</t>
  </si>
  <si>
    <t>µmol m⁻² s⁻¹ min⁻¹</t>
  </si>
  <si>
    <t>µmol mol⁻¹ min⁻¹</t>
  </si>
  <si>
    <t xml:space="preserve"> min⁻¹</t>
  </si>
  <si>
    <t>V</t>
  </si>
  <si>
    <t>mV</t>
  </si>
  <si>
    <t>mg</t>
  </si>
  <si>
    <t>hrs</t>
  </si>
  <si>
    <t>min</t>
  </si>
  <si>
    <t>20261017 14:45:25</t>
  </si>
  <si>
    <t>14:45:25</t>
  </si>
  <si>
    <t>-</t>
  </si>
  <si>
    <t>0: Broadleaf</t>
  </si>
  <si>
    <t>14:44:14</t>
  </si>
  <si>
    <t>3/3</t>
  </si>
  <si>
    <t>11111111</t>
  </si>
  <si>
    <t>oooooooo</t>
  </si>
  <si>
    <t>on</t>
  </si>
  <si>
    <t>20261017 14:47:26</t>
  </si>
  <si>
    <t>14:47:26</t>
  </si>
  <si>
    <t>14:46:32</t>
  </si>
  <si>
    <t>20261017 14:49:27</t>
  </si>
  <si>
    <t>14:49:27</t>
  </si>
  <si>
    <t>14:48:40</t>
  </si>
  <si>
    <t>20261017 14:51:28</t>
  </si>
  <si>
    <t>14:51:28</t>
  </si>
  <si>
    <t>14:50:36</t>
  </si>
  <si>
    <t>20261017 14:53:29</t>
  </si>
  <si>
    <t>14:53:29</t>
  </si>
  <si>
    <t>14:52:32</t>
  </si>
  <si>
    <t>20261017 14:56:00</t>
  </si>
  <si>
    <t>14:56:00</t>
  </si>
  <si>
    <t>14:54:30</t>
  </si>
  <si>
    <t>1/3</t>
  </si>
  <si>
    <t>20261017 14:58:06</t>
  </si>
  <si>
    <t>14:58:06</t>
  </si>
  <si>
    <t>14:56:59</t>
  </si>
  <si>
    <t>20261017 15:00:08</t>
  </si>
  <si>
    <t>15:00:08</t>
  </si>
  <si>
    <t>14:59:13</t>
  </si>
  <si>
    <t>20261017 15:02:39</t>
  </si>
  <si>
    <t>15:02:39</t>
  </si>
  <si>
    <t>15:01:16</t>
  </si>
  <si>
    <t>2/3</t>
  </si>
  <si>
    <t>20261017 15:04:46</t>
  </si>
  <si>
    <t>15:04:46</t>
  </si>
  <si>
    <t>15:03:53</t>
  </si>
  <si>
    <t>20261017 15:07:17</t>
  </si>
  <si>
    <t>15:07:17</t>
  </si>
  <si>
    <t>15:06:00</t>
  </si>
  <si>
    <t>20261017 15:09:31</t>
  </si>
  <si>
    <t>15:09:31</t>
  </si>
  <si>
    <t>15:08:30</t>
  </si>
  <si>
    <t>20261017 15:11:46</t>
  </si>
  <si>
    <t>15:11:46</t>
  </si>
  <si>
    <t>15:11:06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</si>
</sst>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JV29"/>
  <sheetViews>
    <sheetView tabSelected="1" workbookViewId="0"/>
  </sheetViews>
  <sheetFormatPr defaultRowHeight="16.5" x14ac:dyDescent="0.3"/>
  <sheetData>
    <row r="2" spans="1:282" x14ac:dyDescent="0.3">
      <c r="A2" t="s">
        <v>31</v>
      </c>
      <c r="B2" t="s">
        <v>32</v>
      </c>
      <c r="C2" t="s">
        <v>34</v>
      </c>
    </row>
    <row r="3" spans="1:282" x14ac:dyDescent="0.3">
      <c r="B3" t="s">
        <v>33</v>
      </c>
      <c r="C3">
        <v>21</v>
      </c>
    </row>
    <row r="4" spans="1:282" x14ac:dyDescent="0.3">
      <c r="A4" t="s">
        <v>35</v>
      </c>
      <c r="B4" t="s">
        <v>36</v>
      </c>
      <c r="C4" t="s">
        <v>37</v>
      </c>
      <c r="D4" t="s">
        <v>39</v>
      </c>
      <c r="E4" t="s">
        <v>40</v>
      </c>
      <c r="F4" t="s">
        <v>41</v>
      </c>
      <c r="G4" t="s">
        <v>42</v>
      </c>
      <c r="H4" t="s">
        <v>43</v>
      </c>
      <c r="I4" t="s">
        <v>44</v>
      </c>
      <c r="J4" t="s">
        <v>45</v>
      </c>
      <c r="K4" t="s">
        <v>46</v>
      </c>
    </row>
    <row r="5" spans="1:282" x14ac:dyDescent="0.3">
      <c r="B5" t="s">
        <v>21</v>
      </c>
      <c r="C5" t="s">
        <v>38</v>
      </c>
      <c r="D5">
        <v>0.57199999999999995</v>
      </c>
      <c r="E5">
        <v>0.38727420000000001</v>
      </c>
      <c r="F5">
        <v>-1.8705840000000001E-2</v>
      </c>
      <c r="G5">
        <v>0</v>
      </c>
      <c r="H5">
        <v>-7.3738900000000001E-3</v>
      </c>
      <c r="I5">
        <v>1</v>
      </c>
      <c r="J5">
        <v>2</v>
      </c>
      <c r="K5">
        <v>96.9</v>
      </c>
    </row>
    <row r="6" spans="1:282" x14ac:dyDescent="0.3">
      <c r="A6" t="s">
        <v>47</v>
      </c>
      <c r="B6" t="s">
        <v>48</v>
      </c>
      <c r="C6" t="s">
        <v>49</v>
      </c>
      <c r="D6" t="s">
        <v>50</v>
      </c>
      <c r="E6" t="s">
        <v>51</v>
      </c>
    </row>
    <row r="7" spans="1:282" x14ac:dyDescent="0.3">
      <c r="B7">
        <v>0</v>
      </c>
      <c r="C7">
        <v>1</v>
      </c>
      <c r="D7">
        <v>0</v>
      </c>
      <c r="E7">
        <v>0</v>
      </c>
    </row>
    <row r="8" spans="1:282" x14ac:dyDescent="0.3">
      <c r="A8" t="s">
        <v>52</v>
      </c>
      <c r="B8" t="s">
        <v>53</v>
      </c>
      <c r="C8" t="s">
        <v>55</v>
      </c>
      <c r="D8" t="s">
        <v>57</v>
      </c>
      <c r="E8" t="s">
        <v>58</v>
      </c>
      <c r="F8" t="s">
        <v>59</v>
      </c>
      <c r="G8" t="s">
        <v>60</v>
      </c>
      <c r="H8" t="s">
        <v>61</v>
      </c>
      <c r="I8" t="s">
        <v>62</v>
      </c>
      <c r="J8" t="s">
        <v>63</v>
      </c>
      <c r="K8" t="s">
        <v>64</v>
      </c>
      <c r="L8" t="s">
        <v>65</v>
      </c>
      <c r="M8" t="s">
        <v>66</v>
      </c>
      <c r="N8" t="s">
        <v>67</v>
      </c>
      <c r="O8" t="s">
        <v>68</v>
      </c>
      <c r="P8" t="s">
        <v>69</v>
      </c>
      <c r="Q8" t="s">
        <v>70</v>
      </c>
    </row>
    <row r="9" spans="1:282" x14ac:dyDescent="0.3">
      <c r="B9" t="s">
        <v>54</v>
      </c>
      <c r="C9" t="s">
        <v>56</v>
      </c>
      <c r="D9">
        <v>0.8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0.19109999999999999</v>
      </c>
      <c r="L9">
        <v>0.1512</v>
      </c>
      <c r="M9">
        <v>0.161</v>
      </c>
      <c r="N9">
        <v>0.22620000000000001</v>
      </c>
      <c r="O9">
        <v>0.1575</v>
      </c>
      <c r="P9">
        <v>0.15959999999999999</v>
      </c>
      <c r="Q9">
        <v>0.2175</v>
      </c>
    </row>
    <row r="10" spans="1:282" x14ac:dyDescent="0.3">
      <c r="A10" t="s">
        <v>71</v>
      </c>
      <c r="B10" t="s">
        <v>72</v>
      </c>
      <c r="C10" t="s">
        <v>73</v>
      </c>
      <c r="D10" t="s">
        <v>74</v>
      </c>
      <c r="E10" t="s">
        <v>75</v>
      </c>
      <c r="F10" t="s">
        <v>76</v>
      </c>
    </row>
    <row r="11" spans="1:282" x14ac:dyDescent="0.3">
      <c r="B11">
        <v>0</v>
      </c>
      <c r="C11">
        <v>0</v>
      </c>
      <c r="D11">
        <v>0</v>
      </c>
      <c r="E11">
        <v>0</v>
      </c>
      <c r="F11">
        <v>1</v>
      </c>
    </row>
    <row r="12" spans="1:282" x14ac:dyDescent="0.3">
      <c r="A12" t="s">
        <v>77</v>
      </c>
      <c r="B12" t="s">
        <v>78</v>
      </c>
      <c r="C12" t="s">
        <v>79</v>
      </c>
      <c r="D12" t="s">
        <v>80</v>
      </c>
      <c r="E12" t="s">
        <v>81</v>
      </c>
      <c r="F12" t="s">
        <v>82</v>
      </c>
      <c r="G12" t="s">
        <v>84</v>
      </c>
      <c r="H12" t="s">
        <v>86</v>
      </c>
    </row>
    <row r="13" spans="1:282" x14ac:dyDescent="0.3">
      <c r="B13">
        <v>-6276</v>
      </c>
      <c r="C13">
        <v>6.6</v>
      </c>
      <c r="D13">
        <v>1.7090000000000001E-5</v>
      </c>
      <c r="E13">
        <v>3.11</v>
      </c>
      <c r="F13" t="s">
        <v>83</v>
      </c>
      <c r="G13" t="s">
        <v>85</v>
      </c>
      <c r="H13">
        <v>0</v>
      </c>
    </row>
    <row r="14" spans="1:282" x14ac:dyDescent="0.3">
      <c r="A14" t="s">
        <v>87</v>
      </c>
      <c r="B14" t="s">
        <v>87</v>
      </c>
      <c r="C14" t="s">
        <v>87</v>
      </c>
      <c r="D14" t="s">
        <v>87</v>
      </c>
      <c r="E14" t="s">
        <v>87</v>
      </c>
      <c r="F14" t="s">
        <v>87</v>
      </c>
      <c r="G14" t="s">
        <v>88</v>
      </c>
      <c r="H14" t="s">
        <v>88</v>
      </c>
      <c r="I14" t="s">
        <v>88</v>
      </c>
      <c r="J14" t="s">
        <v>88</v>
      </c>
      <c r="K14" t="s">
        <v>88</v>
      </c>
      <c r="L14" t="s">
        <v>88</v>
      </c>
      <c r="M14" t="s">
        <v>88</v>
      </c>
      <c r="N14" t="s">
        <v>88</v>
      </c>
      <c r="O14" t="s">
        <v>88</v>
      </c>
      <c r="P14" t="s">
        <v>88</v>
      </c>
      <c r="Q14" t="s">
        <v>88</v>
      </c>
      <c r="R14" t="s">
        <v>88</v>
      </c>
      <c r="S14" t="s">
        <v>88</v>
      </c>
      <c r="T14" t="s">
        <v>88</v>
      </c>
      <c r="U14" t="s">
        <v>88</v>
      </c>
      <c r="V14" t="s">
        <v>88</v>
      </c>
      <c r="W14" t="s">
        <v>88</v>
      </c>
      <c r="X14" t="s">
        <v>88</v>
      </c>
      <c r="Y14" t="s">
        <v>88</v>
      </c>
      <c r="Z14" t="s">
        <v>88</v>
      </c>
      <c r="AA14" t="s">
        <v>88</v>
      </c>
      <c r="AB14" t="s">
        <v>88</v>
      </c>
      <c r="AC14" t="s">
        <v>88</v>
      </c>
      <c r="AD14" t="s">
        <v>88</v>
      </c>
      <c r="AE14" t="s">
        <v>89</v>
      </c>
      <c r="AF14" t="s">
        <v>89</v>
      </c>
      <c r="AG14" t="s">
        <v>89</v>
      </c>
      <c r="AH14" t="s">
        <v>89</v>
      </c>
      <c r="AI14" t="s">
        <v>89</v>
      </c>
      <c r="AJ14" t="s">
        <v>90</v>
      </c>
      <c r="AK14" t="s">
        <v>90</v>
      </c>
      <c r="AL14" t="s">
        <v>90</v>
      </c>
      <c r="AM14" t="s">
        <v>90</v>
      </c>
      <c r="AN14" t="s">
        <v>90</v>
      </c>
      <c r="AO14" t="s">
        <v>90</v>
      </c>
      <c r="AP14" t="s">
        <v>90</v>
      </c>
      <c r="AQ14" t="s">
        <v>90</v>
      </c>
      <c r="AR14" t="s">
        <v>90</v>
      </c>
      <c r="AS14" t="s">
        <v>90</v>
      </c>
      <c r="AT14" t="s">
        <v>90</v>
      </c>
      <c r="AU14" t="s">
        <v>90</v>
      </c>
      <c r="AV14" t="s">
        <v>90</v>
      </c>
      <c r="AW14" t="s">
        <v>90</v>
      </c>
      <c r="AX14" t="s">
        <v>90</v>
      </c>
      <c r="AY14" t="s">
        <v>90</v>
      </c>
      <c r="AZ14" t="s">
        <v>90</v>
      </c>
      <c r="BA14" t="s">
        <v>90</v>
      </c>
      <c r="BB14" t="s">
        <v>90</v>
      </c>
      <c r="BC14" t="s">
        <v>90</v>
      </c>
      <c r="BD14" t="s">
        <v>90</v>
      </c>
      <c r="BE14" t="s">
        <v>90</v>
      </c>
      <c r="BF14" t="s">
        <v>90</v>
      </c>
      <c r="BG14" t="s">
        <v>90</v>
      </c>
      <c r="BH14" t="s">
        <v>90</v>
      </c>
      <c r="BI14" t="s">
        <v>90</v>
      </c>
      <c r="BJ14" t="s">
        <v>90</v>
      </c>
      <c r="BK14" t="s">
        <v>90</v>
      </c>
      <c r="BL14" t="s">
        <v>91</v>
      </c>
      <c r="BM14" t="s">
        <v>91</v>
      </c>
      <c r="BN14" t="s">
        <v>91</v>
      </c>
      <c r="BO14" t="s">
        <v>91</v>
      </c>
      <c r="BP14" t="s">
        <v>91</v>
      </c>
      <c r="BQ14" t="s">
        <v>91</v>
      </c>
      <c r="BR14" t="s">
        <v>91</v>
      </c>
      <c r="BS14" t="s">
        <v>91</v>
      </c>
      <c r="BT14" t="s">
        <v>91</v>
      </c>
      <c r="BU14" t="s">
        <v>91</v>
      </c>
      <c r="BV14" t="s">
        <v>91</v>
      </c>
      <c r="BW14" t="s">
        <v>91</v>
      </c>
      <c r="BX14" t="s">
        <v>91</v>
      </c>
      <c r="BY14" t="s">
        <v>91</v>
      </c>
      <c r="BZ14" t="s">
        <v>91</v>
      </c>
      <c r="CA14" t="s">
        <v>91</v>
      </c>
      <c r="CB14" t="s">
        <v>91</v>
      </c>
      <c r="CC14" t="s">
        <v>91</v>
      </c>
      <c r="CD14" t="s">
        <v>91</v>
      </c>
      <c r="CE14" t="s">
        <v>91</v>
      </c>
      <c r="CF14" t="s">
        <v>91</v>
      </c>
      <c r="CG14" t="s">
        <v>92</v>
      </c>
      <c r="CH14" t="s">
        <v>92</v>
      </c>
      <c r="CI14" t="s">
        <v>92</v>
      </c>
      <c r="CJ14" t="s">
        <v>92</v>
      </c>
      <c r="CK14" t="s">
        <v>92</v>
      </c>
      <c r="CL14" t="s">
        <v>92</v>
      </c>
      <c r="CM14" t="s">
        <v>92</v>
      </c>
      <c r="CN14" t="s">
        <v>92</v>
      </c>
      <c r="CO14" t="s">
        <v>92</v>
      </c>
      <c r="CP14" t="s">
        <v>92</v>
      </c>
      <c r="CQ14" t="s">
        <v>92</v>
      </c>
      <c r="CR14" t="s">
        <v>92</v>
      </c>
      <c r="CS14" t="s">
        <v>92</v>
      </c>
      <c r="CT14" t="s">
        <v>93</v>
      </c>
      <c r="CU14" t="s">
        <v>93</v>
      </c>
      <c r="CV14" t="s">
        <v>93</v>
      </c>
      <c r="CW14" t="s">
        <v>93</v>
      </c>
      <c r="CX14" t="s">
        <v>94</v>
      </c>
      <c r="CY14" t="s">
        <v>94</v>
      </c>
      <c r="CZ14" t="s">
        <v>94</v>
      </c>
      <c r="DA14" t="s">
        <v>94</v>
      </c>
      <c r="DB14" t="s">
        <v>95</v>
      </c>
      <c r="DC14" t="s">
        <v>95</v>
      </c>
      <c r="DD14" t="s">
        <v>95</v>
      </c>
      <c r="DE14" t="s">
        <v>95</v>
      </c>
      <c r="DF14" t="s">
        <v>95</v>
      </c>
      <c r="DG14" t="s">
        <v>95</v>
      </c>
      <c r="DH14" t="s">
        <v>95</v>
      </c>
      <c r="DI14" t="s">
        <v>95</v>
      </c>
      <c r="DJ14" t="s">
        <v>95</v>
      </c>
      <c r="DK14" t="s">
        <v>95</v>
      </c>
      <c r="DL14" t="s">
        <v>95</v>
      </c>
      <c r="DM14" t="s">
        <v>95</v>
      </c>
      <c r="DN14" t="s">
        <v>95</v>
      </c>
      <c r="DO14" t="s">
        <v>95</v>
      </c>
      <c r="DP14" t="s">
        <v>95</v>
      </c>
      <c r="DQ14" t="s">
        <v>95</v>
      </c>
      <c r="DR14" t="s">
        <v>95</v>
      </c>
      <c r="DS14" t="s">
        <v>95</v>
      </c>
      <c r="DT14" t="s">
        <v>96</v>
      </c>
      <c r="DU14" t="s">
        <v>96</v>
      </c>
      <c r="DV14" t="s">
        <v>96</v>
      </c>
      <c r="DW14" t="s">
        <v>96</v>
      </c>
      <c r="DX14" t="s">
        <v>96</v>
      </c>
      <c r="DY14" t="s">
        <v>96</v>
      </c>
      <c r="DZ14" t="s">
        <v>96</v>
      </c>
      <c r="EA14" t="s">
        <v>96</v>
      </c>
      <c r="EB14" t="s">
        <v>96</v>
      </c>
      <c r="EC14" t="s">
        <v>96</v>
      </c>
      <c r="ED14" t="s">
        <v>97</v>
      </c>
      <c r="EE14" t="s">
        <v>97</v>
      </c>
      <c r="EF14" t="s">
        <v>97</v>
      </c>
      <c r="EG14" t="s">
        <v>97</v>
      </c>
      <c r="EH14" t="s">
        <v>97</v>
      </c>
      <c r="EI14" t="s">
        <v>97</v>
      </c>
      <c r="EJ14" t="s">
        <v>97</v>
      </c>
      <c r="EK14" t="s">
        <v>97</v>
      </c>
      <c r="EL14" t="s">
        <v>97</v>
      </c>
      <c r="EM14" t="s">
        <v>97</v>
      </c>
      <c r="EN14" t="s">
        <v>97</v>
      </c>
      <c r="EO14" t="s">
        <v>97</v>
      </c>
      <c r="EP14" t="s">
        <v>97</v>
      </c>
      <c r="EQ14" t="s">
        <v>97</v>
      </c>
      <c r="ER14" t="s">
        <v>97</v>
      </c>
      <c r="ES14" t="s">
        <v>97</v>
      </c>
      <c r="ET14" t="s">
        <v>97</v>
      </c>
      <c r="EU14" t="s">
        <v>97</v>
      </c>
      <c r="EV14" t="s">
        <v>98</v>
      </c>
      <c r="EW14" t="s">
        <v>98</v>
      </c>
      <c r="EX14" t="s">
        <v>98</v>
      </c>
      <c r="EY14" t="s">
        <v>98</v>
      </c>
      <c r="EZ14" t="s">
        <v>98</v>
      </c>
      <c r="FA14" t="s">
        <v>99</v>
      </c>
      <c r="FB14" t="s">
        <v>99</v>
      </c>
      <c r="FC14" t="s">
        <v>99</v>
      </c>
      <c r="FD14" t="s">
        <v>99</v>
      </c>
      <c r="FE14" t="s">
        <v>99</v>
      </c>
      <c r="FF14" t="s">
        <v>99</v>
      </c>
      <c r="FG14" t="s">
        <v>99</v>
      </c>
      <c r="FH14" t="s">
        <v>99</v>
      </c>
      <c r="FI14" t="s">
        <v>99</v>
      </c>
      <c r="FJ14" t="s">
        <v>99</v>
      </c>
      <c r="FK14" t="s">
        <v>99</v>
      </c>
      <c r="FL14" t="s">
        <v>99</v>
      </c>
      <c r="FM14" t="s">
        <v>99</v>
      </c>
      <c r="FN14" t="s">
        <v>100</v>
      </c>
      <c r="FO14" t="s">
        <v>100</v>
      </c>
      <c r="FP14" t="s">
        <v>100</v>
      </c>
      <c r="FQ14" t="s">
        <v>100</v>
      </c>
      <c r="FR14" t="s">
        <v>100</v>
      </c>
      <c r="FS14" t="s">
        <v>100</v>
      </c>
      <c r="FT14" t="s">
        <v>100</v>
      </c>
      <c r="FU14" t="s">
        <v>100</v>
      </c>
      <c r="FV14" t="s">
        <v>100</v>
      </c>
      <c r="FW14" t="s">
        <v>100</v>
      </c>
      <c r="FX14" t="s">
        <v>100</v>
      </c>
      <c r="FY14" t="s">
        <v>100</v>
      </c>
      <c r="FZ14" t="s">
        <v>100</v>
      </c>
      <c r="GA14" t="s">
        <v>100</v>
      </c>
      <c r="GB14" t="s">
        <v>100</v>
      </c>
      <c r="GC14" t="s">
        <v>101</v>
      </c>
      <c r="GD14" t="s">
        <v>101</v>
      </c>
      <c r="GE14" t="s">
        <v>101</v>
      </c>
      <c r="GF14" t="s">
        <v>101</v>
      </c>
      <c r="GG14" t="s">
        <v>101</v>
      </c>
      <c r="GH14" t="s">
        <v>101</v>
      </c>
      <c r="GI14" t="s">
        <v>101</v>
      </c>
      <c r="GJ14" t="s">
        <v>101</v>
      </c>
      <c r="GK14" t="s">
        <v>101</v>
      </c>
      <c r="GL14" t="s">
        <v>101</v>
      </c>
      <c r="GM14" t="s">
        <v>101</v>
      </c>
      <c r="GN14" t="s">
        <v>101</v>
      </c>
      <c r="GO14" t="s">
        <v>101</v>
      </c>
      <c r="GP14" t="s">
        <v>101</v>
      </c>
      <c r="GQ14" t="s">
        <v>101</v>
      </c>
      <c r="GR14" t="s">
        <v>101</v>
      </c>
      <c r="GS14" t="s">
        <v>101</v>
      </c>
      <c r="GT14" t="s">
        <v>101</v>
      </c>
      <c r="GU14" t="s">
        <v>102</v>
      </c>
      <c r="GV14" t="s">
        <v>102</v>
      </c>
      <c r="GW14" t="s">
        <v>102</v>
      </c>
      <c r="GX14" t="s">
        <v>102</v>
      </c>
      <c r="GY14" t="s">
        <v>102</v>
      </c>
      <c r="GZ14" t="s">
        <v>102</v>
      </c>
      <c r="HA14" t="s">
        <v>102</v>
      </c>
      <c r="HB14" t="s">
        <v>102</v>
      </c>
      <c r="HC14" t="s">
        <v>102</v>
      </c>
      <c r="HD14" t="s">
        <v>102</v>
      </c>
      <c r="HE14" t="s">
        <v>102</v>
      </c>
      <c r="HF14" t="s">
        <v>102</v>
      </c>
      <c r="HG14" t="s">
        <v>102</v>
      </c>
      <c r="HH14" t="s">
        <v>102</v>
      </c>
      <c r="HI14" t="s">
        <v>102</v>
      </c>
      <c r="HJ14" t="s">
        <v>102</v>
      </c>
      <c r="HK14" t="s">
        <v>102</v>
      </c>
      <c r="HL14" t="s">
        <v>102</v>
      </c>
      <c r="HM14" t="s">
        <v>102</v>
      </c>
      <c r="HN14" t="s">
        <v>103</v>
      </c>
      <c r="HO14" t="s">
        <v>103</v>
      </c>
      <c r="HP14" t="s">
        <v>103</v>
      </c>
      <c r="HQ14" t="s">
        <v>103</v>
      </c>
      <c r="HR14" t="s">
        <v>103</v>
      </c>
      <c r="HS14" t="s">
        <v>103</v>
      </c>
      <c r="HT14" t="s">
        <v>103</v>
      </c>
      <c r="HU14" t="s">
        <v>103</v>
      </c>
      <c r="HV14" t="s">
        <v>103</v>
      </c>
      <c r="HW14" t="s">
        <v>103</v>
      </c>
      <c r="HX14" t="s">
        <v>103</v>
      </c>
      <c r="HY14" t="s">
        <v>103</v>
      </c>
      <c r="HZ14" t="s">
        <v>103</v>
      </c>
      <c r="IA14" t="s">
        <v>103</v>
      </c>
      <c r="IB14" t="s">
        <v>103</v>
      </c>
      <c r="IC14" t="s">
        <v>103</v>
      </c>
      <c r="ID14" t="s">
        <v>103</v>
      </c>
      <c r="IE14" t="s">
        <v>103</v>
      </c>
      <c r="IF14" t="s">
        <v>103</v>
      </c>
      <c r="IG14" t="s">
        <v>104</v>
      </c>
      <c r="IH14" t="s">
        <v>104</v>
      </c>
      <c r="II14" t="s">
        <v>104</v>
      </c>
      <c r="IJ14" t="s">
        <v>104</v>
      </c>
      <c r="IK14" t="s">
        <v>104</v>
      </c>
      <c r="IL14" t="s">
        <v>104</v>
      </c>
      <c r="IM14" t="s">
        <v>104</v>
      </c>
      <c r="IN14" t="s">
        <v>104</v>
      </c>
      <c r="IO14" t="s">
        <v>104</v>
      </c>
      <c r="IP14" t="s">
        <v>104</v>
      </c>
      <c r="IQ14" t="s">
        <v>104</v>
      </c>
      <c r="IR14" t="s">
        <v>104</v>
      </c>
      <c r="IS14" t="s">
        <v>104</v>
      </c>
      <c r="IT14" t="s">
        <v>104</v>
      </c>
      <c r="IU14" t="s">
        <v>104</v>
      </c>
      <c r="IV14" t="s">
        <v>104</v>
      </c>
      <c r="IW14" t="s">
        <v>104</v>
      </c>
      <c r="IX14" t="s">
        <v>104</v>
      </c>
      <c r="IY14" t="s">
        <v>105</v>
      </c>
      <c r="IZ14" t="s">
        <v>105</v>
      </c>
      <c r="JA14" t="s">
        <v>105</v>
      </c>
      <c r="JB14" t="s">
        <v>105</v>
      </c>
      <c r="JC14" t="s">
        <v>105</v>
      </c>
      <c r="JD14" t="s">
        <v>105</v>
      </c>
      <c r="JE14" t="s">
        <v>105</v>
      </c>
      <c r="JF14" t="s">
        <v>105</v>
      </c>
      <c r="JG14" t="s">
        <v>106</v>
      </c>
      <c r="JH14" t="s">
        <v>106</v>
      </c>
      <c r="JI14" t="s">
        <v>106</v>
      </c>
      <c r="JJ14" t="s">
        <v>106</v>
      </c>
      <c r="JK14" t="s">
        <v>106</v>
      </c>
      <c r="JL14" t="s">
        <v>106</v>
      </c>
      <c r="JM14" t="s">
        <v>106</v>
      </c>
      <c r="JN14" t="s">
        <v>106</v>
      </c>
      <c r="JO14" t="s">
        <v>106</v>
      </c>
      <c r="JP14" t="s">
        <v>106</v>
      </c>
      <c r="JQ14" t="s">
        <v>106</v>
      </c>
      <c r="JR14" t="s">
        <v>106</v>
      </c>
      <c r="JS14" t="s">
        <v>106</v>
      </c>
      <c r="JT14" t="s">
        <v>106</v>
      </c>
      <c r="JU14" t="s">
        <v>106</v>
      </c>
      <c r="JV14" t="s">
        <v>106</v>
      </c>
    </row>
    <row r="15" spans="1:282" x14ac:dyDescent="0.3">
      <c r="A15" t="s">
        <v>107</v>
      </c>
      <c r="B15" t="s">
        <v>108</v>
      </c>
      <c r="C15" t="s">
        <v>109</v>
      </c>
      <c r="D15" t="s">
        <v>110</v>
      </c>
      <c r="E15" t="s">
        <v>111</v>
      </c>
      <c r="F15" t="s">
        <v>112</v>
      </c>
      <c r="G15" t="s">
        <v>113</v>
      </c>
      <c r="H15" t="s">
        <v>114</v>
      </c>
      <c r="I15" t="s">
        <v>115</v>
      </c>
      <c r="J15" t="s">
        <v>116</v>
      </c>
      <c r="K15" t="s">
        <v>117</v>
      </c>
      <c r="L15" t="s">
        <v>118</v>
      </c>
      <c r="M15" t="s">
        <v>119</v>
      </c>
      <c r="N15" t="s">
        <v>120</v>
      </c>
      <c r="O15" t="s">
        <v>121</v>
      </c>
      <c r="P15" t="s">
        <v>122</v>
      </c>
      <c r="Q15" t="s">
        <v>123</v>
      </c>
      <c r="R15" t="s">
        <v>124</v>
      </c>
      <c r="S15" t="s">
        <v>125</v>
      </c>
      <c r="T15" t="s">
        <v>126</v>
      </c>
      <c r="U15" t="s">
        <v>127</v>
      </c>
      <c r="V15" t="s">
        <v>128</v>
      </c>
      <c r="W15" t="s">
        <v>129</v>
      </c>
      <c r="X15" t="s">
        <v>130</v>
      </c>
      <c r="Y15" t="s">
        <v>131</v>
      </c>
      <c r="Z15" t="s">
        <v>132</v>
      </c>
      <c r="AA15" t="s">
        <v>133</v>
      </c>
      <c r="AB15" t="s">
        <v>134</v>
      </c>
      <c r="AC15" t="s">
        <v>135</v>
      </c>
      <c r="AD15" t="s">
        <v>136</v>
      </c>
      <c r="AE15" t="s">
        <v>89</v>
      </c>
      <c r="AF15" t="s">
        <v>137</v>
      </c>
      <c r="AG15" t="s">
        <v>138</v>
      </c>
      <c r="AH15" t="s">
        <v>139</v>
      </c>
      <c r="AI15" t="s">
        <v>140</v>
      </c>
      <c r="AJ15" t="s">
        <v>141</v>
      </c>
      <c r="AK15" t="s">
        <v>142</v>
      </c>
      <c r="AL15" t="s">
        <v>143</v>
      </c>
      <c r="AM15" t="s">
        <v>144</v>
      </c>
      <c r="AN15" t="s">
        <v>145</v>
      </c>
      <c r="AO15" t="s">
        <v>146</v>
      </c>
      <c r="AP15" t="s">
        <v>147</v>
      </c>
      <c r="AQ15" t="s">
        <v>148</v>
      </c>
      <c r="AR15" t="s">
        <v>149</v>
      </c>
      <c r="AS15" t="s">
        <v>150</v>
      </c>
      <c r="AT15" t="s">
        <v>151</v>
      </c>
      <c r="AU15" t="s">
        <v>152</v>
      </c>
      <c r="AV15" t="s">
        <v>153</v>
      </c>
      <c r="AW15" t="s">
        <v>154</v>
      </c>
      <c r="AX15" t="s">
        <v>155</v>
      </c>
      <c r="AY15" t="s">
        <v>156</v>
      </c>
      <c r="AZ15" t="s">
        <v>157</v>
      </c>
      <c r="BA15" t="s">
        <v>158</v>
      </c>
      <c r="BB15" t="s">
        <v>159</v>
      </c>
      <c r="BC15" t="s">
        <v>160</v>
      </c>
      <c r="BD15" t="s">
        <v>161</v>
      </c>
      <c r="BE15" t="s">
        <v>162</v>
      </c>
      <c r="BF15" t="s">
        <v>163</v>
      </c>
      <c r="BG15" t="s">
        <v>164</v>
      </c>
      <c r="BH15" t="s">
        <v>165</v>
      </c>
      <c r="BI15" t="s">
        <v>166</v>
      </c>
      <c r="BJ15" t="s">
        <v>167</v>
      </c>
      <c r="BK15" t="s">
        <v>168</v>
      </c>
      <c r="BL15" t="s">
        <v>169</v>
      </c>
      <c r="BM15" t="s">
        <v>170</v>
      </c>
      <c r="BN15" t="s">
        <v>171</v>
      </c>
      <c r="BO15" t="s">
        <v>172</v>
      </c>
      <c r="BP15" t="s">
        <v>173</v>
      </c>
      <c r="BQ15" t="s">
        <v>174</v>
      </c>
      <c r="BR15" t="s">
        <v>175</v>
      </c>
      <c r="BS15" t="s">
        <v>176</v>
      </c>
      <c r="BT15" t="s">
        <v>177</v>
      </c>
      <c r="BU15" t="s">
        <v>178</v>
      </c>
      <c r="BV15" t="s">
        <v>179</v>
      </c>
      <c r="BW15" t="s">
        <v>180</v>
      </c>
      <c r="BX15" t="s">
        <v>181</v>
      </c>
      <c r="BY15" t="s">
        <v>182</v>
      </c>
      <c r="BZ15" t="s">
        <v>183</v>
      </c>
      <c r="CA15" t="s">
        <v>184</v>
      </c>
      <c r="CB15" t="s">
        <v>185</v>
      </c>
      <c r="CC15" t="s">
        <v>186</v>
      </c>
      <c r="CD15" t="s">
        <v>187</v>
      </c>
      <c r="CE15" t="s">
        <v>188</v>
      </c>
      <c r="CF15" t="s">
        <v>189</v>
      </c>
      <c r="CG15" t="s">
        <v>169</v>
      </c>
      <c r="CH15" t="s">
        <v>190</v>
      </c>
      <c r="CI15" t="s">
        <v>191</v>
      </c>
      <c r="CJ15" t="s">
        <v>192</v>
      </c>
      <c r="CK15" t="s">
        <v>143</v>
      </c>
      <c r="CL15" t="s">
        <v>193</v>
      </c>
      <c r="CM15" t="s">
        <v>194</v>
      </c>
      <c r="CN15" t="s">
        <v>195</v>
      </c>
      <c r="CO15" t="s">
        <v>196</v>
      </c>
      <c r="CP15" t="s">
        <v>197</v>
      </c>
      <c r="CQ15" t="s">
        <v>198</v>
      </c>
      <c r="CR15" t="s">
        <v>199</v>
      </c>
      <c r="CS15" t="s">
        <v>200</v>
      </c>
      <c r="CT15" t="s">
        <v>201</v>
      </c>
      <c r="CU15" t="s">
        <v>202</v>
      </c>
      <c r="CV15" t="s">
        <v>203</v>
      </c>
      <c r="CW15" t="s">
        <v>204</v>
      </c>
      <c r="CX15" t="s">
        <v>205</v>
      </c>
      <c r="CY15" t="s">
        <v>206</v>
      </c>
      <c r="CZ15" t="s">
        <v>207</v>
      </c>
      <c r="DA15" t="s">
        <v>208</v>
      </c>
      <c r="DB15" t="s">
        <v>113</v>
      </c>
      <c r="DC15" t="s">
        <v>209</v>
      </c>
      <c r="DD15" t="s">
        <v>210</v>
      </c>
      <c r="DE15" t="s">
        <v>211</v>
      </c>
      <c r="DF15" t="s">
        <v>212</v>
      </c>
      <c r="DG15" t="s">
        <v>213</v>
      </c>
      <c r="DH15" t="s">
        <v>214</v>
      </c>
      <c r="DI15" t="s">
        <v>215</v>
      </c>
      <c r="DJ15" t="s">
        <v>216</v>
      </c>
      <c r="DK15" t="s">
        <v>217</v>
      </c>
      <c r="DL15" t="s">
        <v>218</v>
      </c>
      <c r="DM15" t="s">
        <v>219</v>
      </c>
      <c r="DN15" t="s">
        <v>220</v>
      </c>
      <c r="DO15" t="s">
        <v>221</v>
      </c>
      <c r="DP15" t="s">
        <v>222</v>
      </c>
      <c r="DQ15" t="s">
        <v>223</v>
      </c>
      <c r="DR15" t="s">
        <v>224</v>
      </c>
      <c r="DS15" t="s">
        <v>225</v>
      </c>
      <c r="DT15" t="s">
        <v>226</v>
      </c>
      <c r="DU15" t="s">
        <v>227</v>
      </c>
      <c r="DV15" t="s">
        <v>228</v>
      </c>
      <c r="DW15" t="s">
        <v>229</v>
      </c>
      <c r="DX15" t="s">
        <v>230</v>
      </c>
      <c r="DY15" t="s">
        <v>231</v>
      </c>
      <c r="DZ15" t="s">
        <v>232</v>
      </c>
      <c r="EA15" t="s">
        <v>233</v>
      </c>
      <c r="EB15" t="s">
        <v>234</v>
      </c>
      <c r="EC15" t="s">
        <v>235</v>
      </c>
      <c r="ED15" t="s">
        <v>236</v>
      </c>
      <c r="EE15" t="s">
        <v>237</v>
      </c>
      <c r="EF15" t="s">
        <v>238</v>
      </c>
      <c r="EG15" t="s">
        <v>239</v>
      </c>
      <c r="EH15" t="s">
        <v>240</v>
      </c>
      <c r="EI15" t="s">
        <v>241</v>
      </c>
      <c r="EJ15" t="s">
        <v>242</v>
      </c>
      <c r="EK15" t="s">
        <v>243</v>
      </c>
      <c r="EL15" t="s">
        <v>244</v>
      </c>
      <c r="EM15" t="s">
        <v>245</v>
      </c>
      <c r="EN15" t="s">
        <v>246</v>
      </c>
      <c r="EO15" t="s">
        <v>247</v>
      </c>
      <c r="EP15" t="s">
        <v>248</v>
      </c>
      <c r="EQ15" t="s">
        <v>249</v>
      </c>
      <c r="ER15" t="s">
        <v>250</v>
      </c>
      <c r="ES15" t="s">
        <v>251</v>
      </c>
      <c r="ET15" t="s">
        <v>252</v>
      </c>
      <c r="EU15" t="s">
        <v>253</v>
      </c>
      <c r="EV15" t="s">
        <v>254</v>
      </c>
      <c r="EW15" t="s">
        <v>255</v>
      </c>
      <c r="EX15" t="s">
        <v>256</v>
      </c>
      <c r="EY15" t="s">
        <v>257</v>
      </c>
      <c r="EZ15" t="s">
        <v>258</v>
      </c>
      <c r="FA15" t="s">
        <v>108</v>
      </c>
      <c r="FB15" t="s">
        <v>111</v>
      </c>
      <c r="FC15" t="s">
        <v>259</v>
      </c>
      <c r="FD15" t="s">
        <v>260</v>
      </c>
      <c r="FE15" t="s">
        <v>261</v>
      </c>
      <c r="FF15" t="s">
        <v>262</v>
      </c>
      <c r="FG15" t="s">
        <v>263</v>
      </c>
      <c r="FH15" t="s">
        <v>264</v>
      </c>
      <c r="FI15" t="s">
        <v>265</v>
      </c>
      <c r="FJ15" t="s">
        <v>266</v>
      </c>
      <c r="FK15" t="s">
        <v>267</v>
      </c>
      <c r="FL15" t="s">
        <v>268</v>
      </c>
      <c r="FM15" t="s">
        <v>269</v>
      </c>
      <c r="FN15" t="s">
        <v>270</v>
      </c>
      <c r="FO15" t="s">
        <v>271</v>
      </c>
      <c r="FP15" t="s">
        <v>272</v>
      </c>
      <c r="FQ15" t="s">
        <v>273</v>
      </c>
      <c r="FR15" t="s">
        <v>274</v>
      </c>
      <c r="FS15" t="s">
        <v>275</v>
      </c>
      <c r="FT15" t="s">
        <v>276</v>
      </c>
      <c r="FU15" t="s">
        <v>277</v>
      </c>
      <c r="FV15" t="s">
        <v>278</v>
      </c>
      <c r="FW15" t="s">
        <v>279</v>
      </c>
      <c r="FX15" t="s">
        <v>280</v>
      </c>
      <c r="FY15" t="s">
        <v>281</v>
      </c>
      <c r="FZ15" t="s">
        <v>282</v>
      </c>
      <c r="GA15" t="s">
        <v>283</v>
      </c>
      <c r="GB15" t="s">
        <v>284</v>
      </c>
      <c r="GC15" t="s">
        <v>285</v>
      </c>
      <c r="GD15" t="s">
        <v>286</v>
      </c>
      <c r="GE15" t="s">
        <v>287</v>
      </c>
      <c r="GF15" t="s">
        <v>288</v>
      </c>
      <c r="GG15" t="s">
        <v>289</v>
      </c>
      <c r="GH15" t="s">
        <v>290</v>
      </c>
      <c r="GI15" t="s">
        <v>291</v>
      </c>
      <c r="GJ15" t="s">
        <v>292</v>
      </c>
      <c r="GK15" t="s">
        <v>293</v>
      </c>
      <c r="GL15" t="s">
        <v>294</v>
      </c>
      <c r="GM15" t="s">
        <v>295</v>
      </c>
      <c r="GN15" t="s">
        <v>296</v>
      </c>
      <c r="GO15" t="s">
        <v>297</v>
      </c>
      <c r="GP15" t="s">
        <v>298</v>
      </c>
      <c r="GQ15" t="s">
        <v>299</v>
      </c>
      <c r="GR15" t="s">
        <v>300</v>
      </c>
      <c r="GS15" t="s">
        <v>301</v>
      </c>
      <c r="GT15" t="s">
        <v>302</v>
      </c>
      <c r="GU15" t="s">
        <v>303</v>
      </c>
      <c r="GV15" t="s">
        <v>304</v>
      </c>
      <c r="GW15" t="s">
        <v>305</v>
      </c>
      <c r="GX15" t="s">
        <v>306</v>
      </c>
      <c r="GY15" t="s">
        <v>307</v>
      </c>
      <c r="GZ15" t="s">
        <v>308</v>
      </c>
      <c r="HA15" t="s">
        <v>309</v>
      </c>
      <c r="HB15" t="s">
        <v>310</v>
      </c>
      <c r="HC15" t="s">
        <v>311</v>
      </c>
      <c r="HD15" t="s">
        <v>312</v>
      </c>
      <c r="HE15" t="s">
        <v>313</v>
      </c>
      <c r="HF15" t="s">
        <v>314</v>
      </c>
      <c r="HG15" t="s">
        <v>315</v>
      </c>
      <c r="HH15" t="s">
        <v>316</v>
      </c>
      <c r="HI15" t="s">
        <v>317</v>
      </c>
      <c r="HJ15" t="s">
        <v>318</v>
      </c>
      <c r="HK15" t="s">
        <v>319</v>
      </c>
      <c r="HL15" t="s">
        <v>320</v>
      </c>
      <c r="HM15" t="s">
        <v>321</v>
      </c>
      <c r="HN15" t="s">
        <v>322</v>
      </c>
      <c r="HO15" t="s">
        <v>323</v>
      </c>
      <c r="HP15" t="s">
        <v>324</v>
      </c>
      <c r="HQ15" t="s">
        <v>325</v>
      </c>
      <c r="HR15" t="s">
        <v>326</v>
      </c>
      <c r="HS15" t="s">
        <v>327</v>
      </c>
      <c r="HT15" t="s">
        <v>328</v>
      </c>
      <c r="HU15" t="s">
        <v>329</v>
      </c>
      <c r="HV15" t="s">
        <v>330</v>
      </c>
      <c r="HW15" t="s">
        <v>331</v>
      </c>
      <c r="HX15" t="s">
        <v>332</v>
      </c>
      <c r="HY15" t="s">
        <v>333</v>
      </c>
      <c r="HZ15" t="s">
        <v>334</v>
      </c>
      <c r="IA15" t="s">
        <v>335</v>
      </c>
      <c r="IB15" t="s">
        <v>336</v>
      </c>
      <c r="IC15" t="s">
        <v>337</v>
      </c>
      <c r="ID15" t="s">
        <v>338</v>
      </c>
      <c r="IE15" t="s">
        <v>339</v>
      </c>
      <c r="IF15" t="s">
        <v>340</v>
      </c>
      <c r="IG15" t="s">
        <v>341</v>
      </c>
      <c r="IH15" t="s">
        <v>342</v>
      </c>
      <c r="II15" t="s">
        <v>343</v>
      </c>
      <c r="IJ15" t="s">
        <v>344</v>
      </c>
      <c r="IK15" t="s">
        <v>345</v>
      </c>
      <c r="IL15" t="s">
        <v>346</v>
      </c>
      <c r="IM15" t="s">
        <v>347</v>
      </c>
      <c r="IN15" t="s">
        <v>348</v>
      </c>
      <c r="IO15" t="s">
        <v>349</v>
      </c>
      <c r="IP15" t="s">
        <v>350</v>
      </c>
      <c r="IQ15" t="s">
        <v>351</v>
      </c>
      <c r="IR15" t="s">
        <v>352</v>
      </c>
      <c r="IS15" t="s">
        <v>353</v>
      </c>
      <c r="IT15" t="s">
        <v>354</v>
      </c>
      <c r="IU15" t="s">
        <v>355</v>
      </c>
      <c r="IV15" t="s">
        <v>356</v>
      </c>
      <c r="IW15" t="s">
        <v>357</v>
      </c>
      <c r="IX15" t="s">
        <v>358</v>
      </c>
      <c r="IY15" t="s">
        <v>359</v>
      </c>
      <c r="IZ15" t="s">
        <v>360</v>
      </c>
      <c r="JA15" t="s">
        <v>361</v>
      </c>
      <c r="JB15" t="s">
        <v>362</v>
      </c>
      <c r="JC15" t="s">
        <v>363</v>
      </c>
      <c r="JD15" t="s">
        <v>364</v>
      </c>
      <c r="JE15" t="s">
        <v>365</v>
      </c>
      <c r="JF15" t="s">
        <v>366</v>
      </c>
      <c r="JG15" t="s">
        <v>367</v>
      </c>
      <c r="JH15" t="s">
        <v>368</v>
      </c>
      <c r="JI15" t="s">
        <v>369</v>
      </c>
      <c r="JJ15" t="s">
        <v>370</v>
      </c>
      <c r="JK15" t="s">
        <v>371</v>
      </c>
      <c r="JL15" t="s">
        <v>372</v>
      </c>
      <c r="JM15" t="s">
        <v>373</v>
      </c>
      <c r="JN15" t="s">
        <v>374</v>
      </c>
      <c r="JO15" t="s">
        <v>375</v>
      </c>
      <c r="JP15" t="s">
        <v>376</v>
      </c>
      <c r="JQ15" t="s">
        <v>377</v>
      </c>
      <c r="JR15" t="s">
        <v>378</v>
      </c>
      <c r="JS15" t="s">
        <v>379</v>
      </c>
      <c r="JT15" t="s">
        <v>380</v>
      </c>
      <c r="JU15" t="s">
        <v>381</v>
      </c>
      <c r="JV15" t="s">
        <v>382</v>
      </c>
    </row>
    <row r="16" spans="1:282" x14ac:dyDescent="0.3">
      <c r="B16" t="s">
        <v>383</v>
      </c>
      <c r="C16" t="s">
        <v>383</v>
      </c>
      <c r="F16" t="s">
        <v>383</v>
      </c>
      <c r="G16" t="s">
        <v>383</v>
      </c>
      <c r="H16" t="s">
        <v>384</v>
      </c>
      <c r="I16" t="s">
        <v>385</v>
      </c>
      <c r="J16" t="s">
        <v>386</v>
      </c>
      <c r="K16" t="s">
        <v>387</v>
      </c>
      <c r="L16" t="s">
        <v>387</v>
      </c>
      <c r="M16" t="s">
        <v>216</v>
      </c>
      <c r="N16" t="s">
        <v>216</v>
      </c>
      <c r="O16" t="s">
        <v>384</v>
      </c>
      <c r="P16" t="s">
        <v>384</v>
      </c>
      <c r="Q16" t="s">
        <v>384</v>
      </c>
      <c r="R16" t="s">
        <v>384</v>
      </c>
      <c r="S16" t="s">
        <v>388</v>
      </c>
      <c r="T16" t="s">
        <v>389</v>
      </c>
      <c r="U16" t="s">
        <v>389</v>
      </c>
      <c r="V16" t="s">
        <v>390</v>
      </c>
      <c r="W16" t="s">
        <v>391</v>
      </c>
      <c r="X16" t="s">
        <v>390</v>
      </c>
      <c r="Y16" t="s">
        <v>390</v>
      </c>
      <c r="Z16" t="s">
        <v>390</v>
      </c>
      <c r="AA16" t="s">
        <v>388</v>
      </c>
      <c r="AB16" t="s">
        <v>388</v>
      </c>
      <c r="AC16" t="s">
        <v>388</v>
      </c>
      <c r="AD16" t="s">
        <v>388</v>
      </c>
      <c r="AE16" t="s">
        <v>392</v>
      </c>
      <c r="AF16" t="s">
        <v>391</v>
      </c>
      <c r="AH16" t="s">
        <v>391</v>
      </c>
      <c r="AI16" t="s">
        <v>392</v>
      </c>
      <c r="AO16" t="s">
        <v>386</v>
      </c>
      <c r="AV16" t="s">
        <v>386</v>
      </c>
      <c r="AW16" t="s">
        <v>386</v>
      </c>
      <c r="AX16" t="s">
        <v>386</v>
      </c>
      <c r="AY16" t="s">
        <v>393</v>
      </c>
      <c r="BM16" t="s">
        <v>394</v>
      </c>
      <c r="BO16" t="s">
        <v>394</v>
      </c>
      <c r="BP16" t="s">
        <v>386</v>
      </c>
      <c r="BS16" t="s">
        <v>394</v>
      </c>
      <c r="BT16" t="s">
        <v>391</v>
      </c>
      <c r="BW16" t="s">
        <v>395</v>
      </c>
      <c r="BX16" t="s">
        <v>395</v>
      </c>
      <c r="BZ16" t="s">
        <v>396</v>
      </c>
      <c r="CA16" t="s">
        <v>394</v>
      </c>
      <c r="CC16" t="s">
        <v>394</v>
      </c>
      <c r="CD16" t="s">
        <v>386</v>
      </c>
      <c r="CH16" t="s">
        <v>394</v>
      </c>
      <c r="CJ16" t="s">
        <v>397</v>
      </c>
      <c r="CM16" t="s">
        <v>394</v>
      </c>
      <c r="CN16" t="s">
        <v>394</v>
      </c>
      <c r="CP16" t="s">
        <v>394</v>
      </c>
      <c r="CR16" t="s">
        <v>394</v>
      </c>
      <c r="CT16" t="s">
        <v>386</v>
      </c>
      <c r="CU16" t="s">
        <v>386</v>
      </c>
      <c r="CW16" t="s">
        <v>398</v>
      </c>
      <c r="CX16" t="s">
        <v>399</v>
      </c>
      <c r="DA16" t="s">
        <v>384</v>
      </c>
      <c r="DB16" t="s">
        <v>383</v>
      </c>
      <c r="DC16" t="s">
        <v>387</v>
      </c>
      <c r="DD16" t="s">
        <v>387</v>
      </c>
      <c r="DE16" t="s">
        <v>400</v>
      </c>
      <c r="DF16" t="s">
        <v>400</v>
      </c>
      <c r="DG16" t="s">
        <v>387</v>
      </c>
      <c r="DH16" t="s">
        <v>400</v>
      </c>
      <c r="DI16" t="s">
        <v>392</v>
      </c>
      <c r="DJ16" t="s">
        <v>390</v>
      </c>
      <c r="DK16" t="s">
        <v>390</v>
      </c>
      <c r="DL16" t="s">
        <v>389</v>
      </c>
      <c r="DM16" t="s">
        <v>389</v>
      </c>
      <c r="DN16" t="s">
        <v>389</v>
      </c>
      <c r="DO16" t="s">
        <v>389</v>
      </c>
      <c r="DP16" t="s">
        <v>389</v>
      </c>
      <c r="DQ16" t="s">
        <v>401</v>
      </c>
      <c r="DR16" t="s">
        <v>386</v>
      </c>
      <c r="DS16" t="s">
        <v>386</v>
      </c>
      <c r="DT16" t="s">
        <v>387</v>
      </c>
      <c r="DU16" t="s">
        <v>387</v>
      </c>
      <c r="DV16" t="s">
        <v>387</v>
      </c>
      <c r="DW16" t="s">
        <v>400</v>
      </c>
      <c r="DX16" t="s">
        <v>387</v>
      </c>
      <c r="DY16" t="s">
        <v>400</v>
      </c>
      <c r="DZ16" t="s">
        <v>390</v>
      </c>
      <c r="EA16" t="s">
        <v>390</v>
      </c>
      <c r="EB16" t="s">
        <v>389</v>
      </c>
      <c r="EC16" t="s">
        <v>389</v>
      </c>
      <c r="ED16" t="s">
        <v>386</v>
      </c>
      <c r="EI16" t="s">
        <v>386</v>
      </c>
      <c r="EL16" t="s">
        <v>389</v>
      </c>
      <c r="EM16" t="s">
        <v>389</v>
      </c>
      <c r="EN16" t="s">
        <v>389</v>
      </c>
      <c r="EO16" t="s">
        <v>389</v>
      </c>
      <c r="EP16" t="s">
        <v>389</v>
      </c>
      <c r="EQ16" t="s">
        <v>386</v>
      </c>
      <c r="ER16" t="s">
        <v>386</v>
      </c>
      <c r="ES16" t="s">
        <v>386</v>
      </c>
      <c r="ET16" t="s">
        <v>383</v>
      </c>
      <c r="EW16" t="s">
        <v>402</v>
      </c>
      <c r="EX16" t="s">
        <v>402</v>
      </c>
      <c r="EZ16" t="s">
        <v>383</v>
      </c>
      <c r="FA16" t="s">
        <v>403</v>
      </c>
      <c r="FC16" t="s">
        <v>383</v>
      </c>
      <c r="FD16" t="s">
        <v>383</v>
      </c>
      <c r="FF16" t="s">
        <v>404</v>
      </c>
      <c r="FG16" t="s">
        <v>405</v>
      </c>
      <c r="FH16" t="s">
        <v>404</v>
      </c>
      <c r="FI16" t="s">
        <v>405</v>
      </c>
      <c r="FJ16" t="s">
        <v>404</v>
      </c>
      <c r="FK16" t="s">
        <v>405</v>
      </c>
      <c r="FL16" t="s">
        <v>391</v>
      </c>
      <c r="FM16" t="s">
        <v>391</v>
      </c>
      <c r="FN16" t="s">
        <v>386</v>
      </c>
      <c r="FO16" t="s">
        <v>406</v>
      </c>
      <c r="FP16" t="s">
        <v>386</v>
      </c>
      <c r="FR16" t="s">
        <v>387</v>
      </c>
      <c r="FS16" t="s">
        <v>407</v>
      </c>
      <c r="FT16" t="s">
        <v>387</v>
      </c>
      <c r="FW16" t="s">
        <v>408</v>
      </c>
      <c r="GC16" t="s">
        <v>409</v>
      </c>
      <c r="GD16" t="s">
        <v>409</v>
      </c>
      <c r="GQ16" t="s">
        <v>409</v>
      </c>
      <c r="GR16" t="s">
        <v>409</v>
      </c>
      <c r="GS16" t="s">
        <v>410</v>
      </c>
      <c r="GT16" t="s">
        <v>410</v>
      </c>
      <c r="GU16" t="s">
        <v>389</v>
      </c>
      <c r="GV16" t="s">
        <v>389</v>
      </c>
      <c r="GW16" t="s">
        <v>391</v>
      </c>
      <c r="GX16" t="s">
        <v>389</v>
      </c>
      <c r="GY16" t="s">
        <v>400</v>
      </c>
      <c r="GZ16" t="s">
        <v>391</v>
      </c>
      <c r="HA16" t="s">
        <v>391</v>
      </c>
      <c r="HC16" t="s">
        <v>409</v>
      </c>
      <c r="HD16" t="s">
        <v>409</v>
      </c>
      <c r="HE16" t="s">
        <v>409</v>
      </c>
      <c r="HF16" t="s">
        <v>409</v>
      </c>
      <c r="HG16" t="s">
        <v>409</v>
      </c>
      <c r="HH16" t="s">
        <v>409</v>
      </c>
      <c r="HI16" t="s">
        <v>409</v>
      </c>
      <c r="HJ16" t="s">
        <v>411</v>
      </c>
      <c r="HK16" t="s">
        <v>411</v>
      </c>
      <c r="HL16" t="s">
        <v>411</v>
      </c>
      <c r="HM16" t="s">
        <v>412</v>
      </c>
      <c r="HN16" t="s">
        <v>409</v>
      </c>
      <c r="HO16" t="s">
        <v>409</v>
      </c>
      <c r="HP16" t="s">
        <v>409</v>
      </c>
      <c r="HQ16" t="s">
        <v>409</v>
      </c>
      <c r="HR16" t="s">
        <v>409</v>
      </c>
      <c r="HS16" t="s">
        <v>409</v>
      </c>
      <c r="HT16" t="s">
        <v>409</v>
      </c>
      <c r="HU16" t="s">
        <v>409</v>
      </c>
      <c r="HV16" t="s">
        <v>409</v>
      </c>
      <c r="HW16" t="s">
        <v>409</v>
      </c>
      <c r="HX16" t="s">
        <v>409</v>
      </c>
      <c r="HY16" t="s">
        <v>409</v>
      </c>
      <c r="IF16" t="s">
        <v>409</v>
      </c>
      <c r="IG16" t="s">
        <v>391</v>
      </c>
      <c r="IH16" t="s">
        <v>391</v>
      </c>
      <c r="II16" t="s">
        <v>404</v>
      </c>
      <c r="IJ16" t="s">
        <v>405</v>
      </c>
      <c r="IK16" t="s">
        <v>404</v>
      </c>
      <c r="IO16" t="s">
        <v>405</v>
      </c>
      <c r="IS16" t="s">
        <v>387</v>
      </c>
      <c r="IT16" t="s">
        <v>387</v>
      </c>
      <c r="IU16" t="s">
        <v>400</v>
      </c>
      <c r="IV16" t="s">
        <v>400</v>
      </c>
      <c r="IW16" t="s">
        <v>413</v>
      </c>
      <c r="IX16" t="s">
        <v>413</v>
      </c>
      <c r="IY16" t="s">
        <v>409</v>
      </c>
      <c r="IZ16" t="s">
        <v>409</v>
      </c>
      <c r="JA16" t="s">
        <v>409</v>
      </c>
      <c r="JB16" t="s">
        <v>409</v>
      </c>
      <c r="JC16" t="s">
        <v>409</v>
      </c>
      <c r="JD16" t="s">
        <v>409</v>
      </c>
      <c r="JE16" t="s">
        <v>389</v>
      </c>
      <c r="JF16" t="s">
        <v>409</v>
      </c>
      <c r="JH16" t="s">
        <v>392</v>
      </c>
      <c r="JI16" t="s">
        <v>392</v>
      </c>
      <c r="JJ16" t="s">
        <v>389</v>
      </c>
      <c r="JK16" t="s">
        <v>389</v>
      </c>
      <c r="JL16" t="s">
        <v>389</v>
      </c>
      <c r="JM16" t="s">
        <v>389</v>
      </c>
      <c r="JN16" t="s">
        <v>389</v>
      </c>
      <c r="JO16" t="s">
        <v>391</v>
      </c>
      <c r="JP16" t="s">
        <v>391</v>
      </c>
      <c r="JQ16" t="s">
        <v>391</v>
      </c>
      <c r="JR16" t="s">
        <v>389</v>
      </c>
      <c r="JS16" t="s">
        <v>387</v>
      </c>
      <c r="JT16" t="s">
        <v>400</v>
      </c>
      <c r="JU16" t="s">
        <v>391</v>
      </c>
      <c r="JV16" t="s">
        <v>391</v>
      </c>
    </row>
    <row r="17" spans="1:282" x14ac:dyDescent="0.3">
      <c r="A17">
        <v>1</v>
      </c>
      <c r="B17">
        <v>1792215925.0999999</v>
      </c>
      <c r="C17">
        <v>0</v>
      </c>
      <c r="D17" t="s">
        <v>414</v>
      </c>
      <c r="E17" t="s">
        <v>415</v>
      </c>
      <c r="F17">
        <v>5</v>
      </c>
      <c r="G17">
        <v>1792215922.0999999</v>
      </c>
      <c r="H17">
        <f t="shared" ref="H17:H29" si="0">(I17)/1000</f>
        <v>4.2243920757750741E-3</v>
      </c>
      <c r="I17">
        <f t="shared" ref="I17:I29" si="1">1000*DI17*AG17*(DE17-DF17)/(100*CX17*(1000-AG17*DE17))</f>
        <v>4.2243920757750741</v>
      </c>
      <c r="J17">
        <f t="shared" ref="J17:J29" si="2">DI17*AG17*(DD17-DC17*(1000-AG17*DF17)/(1000-AG17*DE17))/(100*CX17)</f>
        <v>22.063648551826518</v>
      </c>
      <c r="K17">
        <f t="shared" ref="K17:K29" si="3">DC17 - IF(AG17&gt;1, J17*CX17*100/(AI17), 0)</f>
        <v>390.51220000000001</v>
      </c>
      <c r="L17">
        <f t="shared" ref="L17:L29" si="4">((R17-H17/2)*K17-J17)/(R17+H17/2)</f>
        <v>266.51908207929023</v>
      </c>
      <c r="M17">
        <f t="shared" ref="M17:M29" si="5">L17*(DJ17+DK17)/1000</f>
        <v>27.12786967423316</v>
      </c>
      <c r="N17">
        <f t="shared" ref="N17:N29" si="6">(DC17 - IF(AG17&gt;1, J17*CX17*100/(AI17), 0))*(DJ17+DK17)/1000</f>
        <v>39.748613814625095</v>
      </c>
      <c r="O17">
        <f t="shared" ref="O17:O29" si="7">2/((1/Q17-1/P17)+SIGN(Q17)*SQRT((1/Q17-1/P17)*(1/Q17-1/P17) + 4*CY17/((CY17+1)*(CY17+1))*(2*1/Q17*1/P17-1/P17*1/P17)))</f>
        <v>0.31761117525013532</v>
      </c>
      <c r="P17">
        <f t="shared" ref="P17:P29" si="8">IF(LEFT(CZ17,1)&lt;&gt;"0",IF(LEFT(CZ17,1)="1",3,DA17),$D$5+$E$5*(DQ17*DJ17/($K$5*1000))+$F$5*(DQ17*DJ17/($K$5*1000))*MAX(MIN(CX17,$J$5),$I$5)*MAX(MIN(CX17,$J$5),$I$5)+$G$5*MAX(MIN(CX17,$J$5),$I$5)*(DQ17*DJ17/($K$5*1000))+$H$5*(DQ17*DJ17/($K$5*1000))*(DQ17*DJ17/($K$5*1000)))</f>
        <v>3.0373484700205466</v>
      </c>
      <c r="Q17">
        <f t="shared" ref="Q17:Q29" si="9">H17*(1000-(1000*0.61365*EXP(17.502*U17/(240.97+U17))/(DJ17+DK17)+DE17)/2)/(1000*0.61365*EXP(17.502*U17/(240.97+U17))/(DJ17+DK17)-DE17)</f>
        <v>0.30024623921879801</v>
      </c>
      <c r="R17">
        <f t="shared" ref="R17:R29" si="10">1/((CY17+1)/(O17/1.6)+1/(P17/1.37)) + CY17/((CY17+1)/(O17/1.6) + CY17/(P17/1.37))</f>
        <v>0.18913491180695294</v>
      </c>
      <c r="S17">
        <f t="shared" ref="S17:S29" si="11">(CT17*CW17)</f>
        <v>241.73556620294167</v>
      </c>
      <c r="T17">
        <f t="shared" ref="T17:T29" si="12">(DL17+(S17+2*0.95*0.0000000567*(((DL17+$B$7)+273)^4-(DL17+273)^4)-44100*H17)/(1.84*29.3*P17+8*0.95*0.0000000567*(DL17+273)^3))</f>
        <v>25.650832724122438</v>
      </c>
      <c r="U17">
        <f t="shared" ref="U17:U29" si="13">($C$7*DM17+$D$7*DN17+$E$7*T17)</f>
        <v>24.996200000000002</v>
      </c>
      <c r="V17">
        <f t="shared" ref="V17:V29" si="14">0.61365*EXP(17.502*U17/(240.97+U17))</f>
        <v>3.1789572972288549</v>
      </c>
      <c r="W17">
        <f t="shared" ref="W17:W29" si="15">(X17/Y17*100)</f>
        <v>54.930992871136716</v>
      </c>
      <c r="X17">
        <f t="shared" ref="X17:X29" si="16">DE17*(DJ17+DK17)/1000</f>
        <v>1.781753053901791</v>
      </c>
      <c r="Y17">
        <f t="shared" ref="Y17:Y29" si="17">0.61365*EXP(17.502*DL17/(240.97+DL17))</f>
        <v>3.2436206971201611</v>
      </c>
      <c r="Z17">
        <f t="shared" ref="Z17:Z29" si="18">(V17-DE17*(DJ17+DK17)/1000)</f>
        <v>1.3972042433270639</v>
      </c>
      <c r="AA17">
        <f t="shared" ref="AA17:AA29" si="19">(-H17*44100)</f>
        <v>-186.29569054168076</v>
      </c>
      <c r="AB17">
        <f t="shared" ref="AB17:AB29" si="20">2*29.3*P17*0.92*(DL17-U17)</f>
        <v>55.376816297451192</v>
      </c>
      <c r="AC17">
        <f t="shared" ref="AC17:AC29" si="21">2*0.95*0.0000000567*(((DL17+$B$7)+273)^4-(U17+273)^4)</f>
        <v>3.862922237141158</v>
      </c>
      <c r="AD17">
        <f t="shared" ref="AD17:AD29" si="22">S17+AC17+AA17+AB17</f>
        <v>114.67961419585328</v>
      </c>
      <c r="AE17">
        <v>0</v>
      </c>
      <c r="AF17">
        <v>0</v>
      </c>
      <c r="AG17">
        <f t="shared" ref="AG17:AG29" si="23">IF(AE17*$H$13&gt;=AI17,1,(AI17/(AI17-AE17*$H$13)))</f>
        <v>1</v>
      </c>
      <c r="AH17">
        <f t="shared" ref="AH17:AH29" si="24">(AG17-1)*100</f>
        <v>0</v>
      </c>
      <c r="AI17">
        <f t="shared" ref="AI17:AI29" si="25">MAX(0,($B$13+$C$13*DQ17)/(1+$D$13*DQ17)*DJ17/(DL17+273)*$E$13)</f>
        <v>54023.313274071836</v>
      </c>
      <c r="AJ17" t="s">
        <v>416</v>
      </c>
      <c r="AK17" t="s">
        <v>416</v>
      </c>
      <c r="AL17">
        <v>0</v>
      </c>
      <c r="AM17">
        <v>0</v>
      </c>
      <c r="AN17" t="e">
        <f t="shared" ref="AN17:AN29" si="26">1-AL17/AM17</f>
        <v>#DIV/0!</v>
      </c>
      <c r="AO17">
        <v>0</v>
      </c>
      <c r="AP17" t="s">
        <v>416</v>
      </c>
      <c r="AQ17" t="s">
        <v>416</v>
      </c>
      <c r="AR17">
        <v>0</v>
      </c>
      <c r="AS17">
        <v>0</v>
      </c>
      <c r="AT17" t="e">
        <f t="shared" ref="AT17:AT29" si="27">1-AR17/AS17</f>
        <v>#DIV/0!</v>
      </c>
      <c r="AU17">
        <v>0.5</v>
      </c>
      <c r="AV17">
        <f t="shared" ref="AV17:AV29" si="28">CU17</f>
        <v>1261.2040794833895</v>
      </c>
      <c r="AW17">
        <f t="shared" ref="AW17:AW29" si="29">J17</f>
        <v>22.063648551826518</v>
      </c>
      <c r="AX17" t="e">
        <f t="shared" ref="AX17:AX29" si="30">AT17*AU17*AV17</f>
        <v>#DIV/0!</v>
      </c>
      <c r="AY17">
        <f t="shared" ref="AY17:AY29" si="31">(AW17-AO17)/AV17</f>
        <v>1.7494114482141668E-2</v>
      </c>
      <c r="AZ17" t="e">
        <f t="shared" ref="AZ17:AZ29" si="32">(AM17-AS17)/AS17</f>
        <v>#DIV/0!</v>
      </c>
      <c r="BA17" t="e">
        <f t="shared" ref="BA17:BA29" si="33">AL17/(AN17+AL17/AS17)</f>
        <v>#DIV/0!</v>
      </c>
      <c r="BB17" t="s">
        <v>416</v>
      </c>
      <c r="BC17">
        <v>0</v>
      </c>
      <c r="BD17" t="e">
        <f t="shared" ref="BD17:BD29" si="34">IF(BC17&lt;&gt;0, BC17, BA17)</f>
        <v>#DIV/0!</v>
      </c>
      <c r="BE17" t="e">
        <f t="shared" ref="BE17:BE29" si="35">1-BD17/AS17</f>
        <v>#DIV/0!</v>
      </c>
      <c r="BF17" t="e">
        <f t="shared" ref="BF17:BF29" si="36">(AS17-AR17)/(AS17-BD17)</f>
        <v>#DIV/0!</v>
      </c>
      <c r="BG17" t="e">
        <f t="shared" ref="BG17:BG29" si="37">(AM17-AS17)/(AM17-BD17)</f>
        <v>#DIV/0!</v>
      </c>
      <c r="BH17" t="e">
        <f t="shared" ref="BH17:BH29" si="38">(AS17-AR17)/(AS17-AL17)</f>
        <v>#DIV/0!</v>
      </c>
      <c r="BI17" t="e">
        <f t="shared" ref="BI17:BI29" si="39">(AM17-AS17)/(AM17-AL17)</f>
        <v>#DIV/0!</v>
      </c>
      <c r="BJ17" t="e">
        <f t="shared" ref="BJ17:BJ29" si="40">(BF17*BD17/AR17)</f>
        <v>#DIV/0!</v>
      </c>
      <c r="BK17" t="e">
        <f t="shared" ref="BK17:BK29" si="41">(1-BJ17)</f>
        <v>#DIV/0!</v>
      </c>
      <c r="BL17">
        <v>1138</v>
      </c>
      <c r="BM17">
        <v>290</v>
      </c>
      <c r="BN17">
        <v>1235.3699999999999</v>
      </c>
      <c r="BO17">
        <v>145</v>
      </c>
      <c r="BP17">
        <v>8137.14</v>
      </c>
      <c r="BQ17">
        <v>1226.99</v>
      </c>
      <c r="BR17">
        <v>8.3800000000000008</v>
      </c>
      <c r="BS17">
        <v>300</v>
      </c>
      <c r="BT17">
        <v>19.3</v>
      </c>
      <c r="BU17">
        <v>1291.7890306731799</v>
      </c>
      <c r="BV17">
        <v>2.4733662300604902</v>
      </c>
      <c r="BW17">
        <v>-52.725713425130103</v>
      </c>
      <c r="BX17">
        <v>1.7971348198971</v>
      </c>
      <c r="BY17">
        <v>0.96849553969215396</v>
      </c>
      <c r="BZ17">
        <v>-5.3927486095661902E-3</v>
      </c>
      <c r="CA17">
        <v>290</v>
      </c>
      <c r="CB17">
        <v>1210.3699999999999</v>
      </c>
      <c r="CC17">
        <v>615</v>
      </c>
      <c r="CD17">
        <v>8118.65</v>
      </c>
      <c r="CE17">
        <v>1226.8499999999999</v>
      </c>
      <c r="CF17">
        <v>-16.48</v>
      </c>
      <c r="CT17">
        <f t="shared" ref="CT17:CT29" si="42">$B$11*DR17+$C$11*DS17+$F$11*ED17*(1-EG17)</f>
        <v>1499.992</v>
      </c>
      <c r="CU17">
        <f t="shared" ref="CU17:CU29" si="43">CT17*CV17</f>
        <v>1261.2040794833895</v>
      </c>
      <c r="CV17">
        <f t="shared" ref="CV17:CV29" si="44">($B$11*$D$9+$C$11*$D$9+$F$11*((EQ17+EI17)/MAX(EQ17+EI17+ER17, 0.1)*$I$9+ER17/MAX(EQ17+EI17+ER17, 0.1)*$J$9))/($B$11+$C$11+$F$11)</f>
        <v>0.84080720396068076</v>
      </c>
      <c r="CW17">
        <f t="shared" ref="CW17:CW29" si="45">($B$11*$K$9+$C$11*$K$9+$F$11*((EQ17+EI17)/MAX(EQ17+EI17+ER17, 0.1)*$P$9+ER17/MAX(EQ17+EI17+ER17, 0.1)*$Q$9))/($B$11+$C$11+$F$11)</f>
        <v>0.16115790364411389</v>
      </c>
      <c r="CX17">
        <v>2</v>
      </c>
      <c r="CY17">
        <v>0.5</v>
      </c>
      <c r="CZ17" t="s">
        <v>417</v>
      </c>
      <c r="DA17">
        <v>2</v>
      </c>
      <c r="DB17">
        <v>1792215922.0999999</v>
      </c>
      <c r="DC17">
        <v>390.51220000000001</v>
      </c>
      <c r="DD17">
        <v>399.99720000000002</v>
      </c>
      <c r="DE17">
        <v>17.504919999999998</v>
      </c>
      <c r="DF17">
        <v>15.844799999999999</v>
      </c>
      <c r="DG17">
        <v>389.87119999999999</v>
      </c>
      <c r="DH17">
        <v>17.608920000000001</v>
      </c>
      <c r="DI17">
        <v>500.01740000000001</v>
      </c>
      <c r="DJ17">
        <v>101.6858</v>
      </c>
      <c r="DK17">
        <v>0.10004386</v>
      </c>
      <c r="DL17">
        <v>25.334379999999999</v>
      </c>
      <c r="DM17">
        <v>24.996200000000002</v>
      </c>
      <c r="DN17">
        <v>999.9</v>
      </c>
      <c r="DO17">
        <v>0</v>
      </c>
      <c r="DP17">
        <v>0</v>
      </c>
      <c r="DQ17">
        <v>9991.2360000000008</v>
      </c>
      <c r="DR17">
        <v>0</v>
      </c>
      <c r="DS17">
        <v>7.4201800000000002</v>
      </c>
      <c r="DT17">
        <v>-9.4850659999999998</v>
      </c>
      <c r="DU17">
        <v>397.46960000000001</v>
      </c>
      <c r="DV17">
        <v>406.43700000000001</v>
      </c>
      <c r="DW17">
        <v>1.66015</v>
      </c>
      <c r="DX17">
        <v>399.99720000000002</v>
      </c>
      <c r="DY17">
        <v>15.844799999999999</v>
      </c>
      <c r="DZ17">
        <v>1.7800039999999999</v>
      </c>
      <c r="EA17">
        <v>1.6111899999999999</v>
      </c>
      <c r="EB17">
        <v>15.61228</v>
      </c>
      <c r="EC17">
        <v>14.066240000000001</v>
      </c>
      <c r="ED17">
        <v>1499.992</v>
      </c>
      <c r="EE17">
        <v>0.97300439999999999</v>
      </c>
      <c r="EF17">
        <v>2.6995519999999999E-2</v>
      </c>
      <c r="EG17">
        <v>0</v>
      </c>
      <c r="EH17">
        <v>309.09820000000002</v>
      </c>
      <c r="EI17">
        <v>5.0006399999999998</v>
      </c>
      <c r="EJ17">
        <v>4804.558</v>
      </c>
      <c r="EK17">
        <v>15439.14</v>
      </c>
      <c r="EL17">
        <v>41.125</v>
      </c>
      <c r="EM17">
        <v>41.811999999999998</v>
      </c>
      <c r="EN17">
        <v>41.474800000000002</v>
      </c>
      <c r="EO17">
        <v>41.474800000000002</v>
      </c>
      <c r="EP17">
        <v>42.625</v>
      </c>
      <c r="EQ17">
        <v>1454.6320000000001</v>
      </c>
      <c r="ER17">
        <v>40.36</v>
      </c>
      <c r="ES17">
        <v>0</v>
      </c>
      <c r="ET17">
        <v>4189.1000001430502</v>
      </c>
      <c r="EU17">
        <v>0</v>
      </c>
      <c r="EV17">
        <v>309.04852</v>
      </c>
      <c r="EW17">
        <v>0.48123077611138299</v>
      </c>
      <c r="EX17">
        <v>5.8538461503344497</v>
      </c>
      <c r="EY17">
        <v>4804.134</v>
      </c>
      <c r="EZ17">
        <v>15</v>
      </c>
      <c r="FA17">
        <v>1792215854.0999999</v>
      </c>
      <c r="FB17" t="s">
        <v>418</v>
      </c>
      <c r="FC17">
        <v>1792215851.0999999</v>
      </c>
      <c r="FD17">
        <v>1792215854.0999999</v>
      </c>
      <c r="FE17">
        <v>40</v>
      </c>
      <c r="FF17">
        <v>-3.3000000000000002E-2</v>
      </c>
      <c r="FG17">
        <v>0</v>
      </c>
      <c r="FH17">
        <v>0.64500000000000002</v>
      </c>
      <c r="FI17">
        <v>-0.16400000000000001</v>
      </c>
      <c r="FJ17">
        <v>400</v>
      </c>
      <c r="FK17">
        <v>16</v>
      </c>
      <c r="FL17">
        <v>0.22</v>
      </c>
      <c r="FM17">
        <v>0.05</v>
      </c>
      <c r="FN17">
        <v>22.040786088756501</v>
      </c>
      <c r="FO17">
        <v>0.45986057899243399</v>
      </c>
      <c r="FP17">
        <v>7.8780629511764094E-2</v>
      </c>
      <c r="FQ17">
        <v>1</v>
      </c>
      <c r="FR17">
        <v>-9.4738338095238106</v>
      </c>
      <c r="FS17">
        <v>-0.20445506493507001</v>
      </c>
      <c r="FT17">
        <v>3.5822829974644699E-2</v>
      </c>
      <c r="FU17">
        <v>1</v>
      </c>
      <c r="FV17">
        <v>309.053529411765</v>
      </c>
      <c r="FW17">
        <v>-0.30780748210347902</v>
      </c>
      <c r="FX17">
        <v>0.22659645852771401</v>
      </c>
      <c r="FY17">
        <v>1</v>
      </c>
      <c r="FZ17">
        <v>3</v>
      </c>
      <c r="GA17">
        <v>3</v>
      </c>
      <c r="GB17" t="s">
        <v>419</v>
      </c>
      <c r="GC17">
        <v>3.12317</v>
      </c>
      <c r="GD17">
        <v>2.7653400000000001</v>
      </c>
      <c r="GE17">
        <v>8.6515999999999996E-2</v>
      </c>
      <c r="GF17">
        <v>9.0415800000000004E-2</v>
      </c>
      <c r="GG17">
        <v>9.3763200000000005E-2</v>
      </c>
      <c r="GH17">
        <v>9.0320999999999999E-2</v>
      </c>
      <c r="GI17">
        <v>17780.8</v>
      </c>
      <c r="GJ17">
        <v>26697.200000000001</v>
      </c>
      <c r="GK17">
        <v>22746.3</v>
      </c>
      <c r="GL17">
        <v>30077</v>
      </c>
      <c r="GM17">
        <v>33816.9</v>
      </c>
      <c r="GN17">
        <v>34090.5</v>
      </c>
      <c r="GO17">
        <v>43043.7</v>
      </c>
      <c r="GP17">
        <v>42843.4</v>
      </c>
      <c r="GQ17">
        <v>1.9528700000000001</v>
      </c>
      <c r="GR17">
        <v>1.8250200000000001</v>
      </c>
      <c r="GS17">
        <v>6.7967899999999998E-2</v>
      </c>
      <c r="GT17">
        <v>0</v>
      </c>
      <c r="GU17">
        <v>23.8796</v>
      </c>
      <c r="GV17">
        <v>999.9</v>
      </c>
      <c r="GW17">
        <v>43.133000000000003</v>
      </c>
      <c r="GX17">
        <v>31.481000000000002</v>
      </c>
      <c r="GY17">
        <v>19.668299999999999</v>
      </c>
      <c r="GZ17">
        <v>63.256500000000003</v>
      </c>
      <c r="HA17">
        <v>33.605800000000002</v>
      </c>
      <c r="HB17">
        <v>1</v>
      </c>
      <c r="HC17">
        <v>0.101979</v>
      </c>
      <c r="HD17">
        <v>2.1067200000000001</v>
      </c>
      <c r="HE17">
        <v>20.222200000000001</v>
      </c>
      <c r="HF17">
        <v>5.2309200000000002</v>
      </c>
      <c r="HG17">
        <v>11.962</v>
      </c>
      <c r="HH17">
        <v>4.9684999999999997</v>
      </c>
      <c r="HI17">
        <v>3.29508</v>
      </c>
      <c r="HJ17">
        <v>9999</v>
      </c>
      <c r="HK17">
        <v>9999</v>
      </c>
      <c r="HL17">
        <v>9999</v>
      </c>
      <c r="HM17">
        <v>999.9</v>
      </c>
      <c r="HN17">
        <v>4.9685600000000001</v>
      </c>
      <c r="HO17">
        <v>1.86243</v>
      </c>
      <c r="HP17">
        <v>1.86398</v>
      </c>
      <c r="HQ17">
        <v>1.86585</v>
      </c>
      <c r="HR17">
        <v>1.8629500000000001</v>
      </c>
      <c r="HS17">
        <v>1.8666100000000001</v>
      </c>
      <c r="HT17">
        <v>1.8633999999999999</v>
      </c>
      <c r="HU17">
        <v>1.8652299999999999</v>
      </c>
      <c r="HV17">
        <v>0</v>
      </c>
      <c r="HW17">
        <v>0</v>
      </c>
      <c r="HX17">
        <v>0</v>
      </c>
      <c r="HY17">
        <v>0</v>
      </c>
      <c r="HZ17" t="s">
        <v>420</v>
      </c>
      <c r="IA17" t="s">
        <v>421</v>
      </c>
      <c r="IB17" t="s">
        <v>422</v>
      </c>
      <c r="IC17" t="s">
        <v>422</v>
      </c>
      <c r="ID17" t="s">
        <v>422</v>
      </c>
      <c r="IE17" t="s">
        <v>422</v>
      </c>
      <c r="IF17">
        <v>0</v>
      </c>
      <c r="IG17">
        <v>100</v>
      </c>
      <c r="IH17">
        <v>100</v>
      </c>
      <c r="II17">
        <v>0.64100000000000001</v>
      </c>
      <c r="IJ17">
        <v>-0.1043</v>
      </c>
      <c r="IK17">
        <v>0.518116671587875</v>
      </c>
      <c r="IL17">
        <v>2.16929631606078E-4</v>
      </c>
      <c r="IM17">
        <v>2.7226302473163502E-7</v>
      </c>
      <c r="IN17">
        <v>-5.4379205123515401E-11</v>
      </c>
      <c r="IO17">
        <v>-1.88003860593388E-2</v>
      </c>
      <c r="IP17">
        <v>-5.8443384954566899E-2</v>
      </c>
      <c r="IQ17">
        <v>3.41568706061026E-3</v>
      </c>
      <c r="IR17">
        <v>-2.10952612506686E-5</v>
      </c>
      <c r="IS17">
        <v>0</v>
      </c>
      <c r="IT17">
        <v>1734</v>
      </c>
      <c r="IU17">
        <v>2</v>
      </c>
      <c r="IV17">
        <v>19</v>
      </c>
      <c r="IW17">
        <v>1.2</v>
      </c>
      <c r="IX17">
        <v>1.2</v>
      </c>
      <c r="IY17">
        <v>1.0571299999999999</v>
      </c>
      <c r="IZ17">
        <v>2.5647000000000002</v>
      </c>
      <c r="JA17">
        <v>1.3464400000000001</v>
      </c>
      <c r="JB17">
        <v>2.2558600000000002</v>
      </c>
      <c r="JC17">
        <v>1.5502899999999999</v>
      </c>
      <c r="JD17">
        <v>2.5793499999999998</v>
      </c>
      <c r="JE17">
        <v>35.731099999999998</v>
      </c>
      <c r="JF17">
        <v>15.1652</v>
      </c>
      <c r="JG17">
        <v>18</v>
      </c>
      <c r="JH17">
        <v>492.15699999999998</v>
      </c>
      <c r="JI17">
        <v>487.80599999999998</v>
      </c>
      <c r="JJ17">
        <v>21.869199999999999</v>
      </c>
      <c r="JK17">
        <v>28.499700000000001</v>
      </c>
      <c r="JL17">
        <v>30.0001</v>
      </c>
      <c r="JM17">
        <v>28.481000000000002</v>
      </c>
      <c r="JN17">
        <v>28.494</v>
      </c>
      <c r="JO17">
        <v>21.1571</v>
      </c>
      <c r="JP17">
        <v>28.040099999999999</v>
      </c>
      <c r="JQ17">
        <v>47.897399999999998</v>
      </c>
      <c r="JR17">
        <v>21.8718</v>
      </c>
      <c r="JS17">
        <v>400</v>
      </c>
      <c r="JT17">
        <v>15.921900000000001</v>
      </c>
      <c r="JU17">
        <v>101.63200000000001</v>
      </c>
      <c r="JV17">
        <v>97.281899999999993</v>
      </c>
    </row>
    <row r="18" spans="1:282" x14ac:dyDescent="0.3">
      <c r="A18">
        <v>2</v>
      </c>
      <c r="B18">
        <v>1792216046.0999999</v>
      </c>
      <c r="C18">
        <v>121</v>
      </c>
      <c r="D18" t="s">
        <v>423</v>
      </c>
      <c r="E18" t="s">
        <v>424</v>
      </c>
      <c r="F18">
        <v>5</v>
      </c>
      <c r="G18">
        <v>1792216042.5999999</v>
      </c>
      <c r="H18">
        <f t="shared" si="0"/>
        <v>4.2720988852053259E-3</v>
      </c>
      <c r="I18">
        <f t="shared" si="1"/>
        <v>4.2720988852053257</v>
      </c>
      <c r="J18">
        <f t="shared" si="2"/>
        <v>15.916091070382713</v>
      </c>
      <c r="K18">
        <f t="shared" si="3"/>
        <v>293.13850000000002</v>
      </c>
      <c r="L18">
        <f t="shared" si="4"/>
        <v>204.51298414191302</v>
      </c>
      <c r="M18">
        <f t="shared" si="5"/>
        <v>20.817136843880053</v>
      </c>
      <c r="N18">
        <f t="shared" si="6"/>
        <v>29.8382241807948</v>
      </c>
      <c r="O18">
        <f t="shared" si="7"/>
        <v>0.32192062917877573</v>
      </c>
      <c r="P18">
        <f t="shared" si="8"/>
        <v>3.038554951262542</v>
      </c>
      <c r="Q18">
        <f t="shared" si="9"/>
        <v>0.30410212416522309</v>
      </c>
      <c r="R18">
        <f t="shared" si="10"/>
        <v>0.19158251527565129</v>
      </c>
      <c r="S18">
        <f t="shared" si="11"/>
        <v>241.72939500291542</v>
      </c>
      <c r="T18">
        <f t="shared" si="12"/>
        <v>25.637762407024798</v>
      </c>
      <c r="U18">
        <f t="shared" si="13"/>
        <v>25.0017666666667</v>
      </c>
      <c r="V18">
        <f t="shared" si="14"/>
        <v>3.1800125114865625</v>
      </c>
      <c r="W18">
        <f t="shared" si="15"/>
        <v>55.032026561919501</v>
      </c>
      <c r="X18">
        <f t="shared" si="16"/>
        <v>1.7849332511968041</v>
      </c>
      <c r="Y18">
        <f t="shared" si="17"/>
        <v>3.2434445225971817</v>
      </c>
      <c r="Z18">
        <f t="shared" si="18"/>
        <v>1.3950792602897584</v>
      </c>
      <c r="AA18">
        <f t="shared" si="19"/>
        <v>-188.39956083755487</v>
      </c>
      <c r="AB18">
        <f t="shared" si="20"/>
        <v>54.337294372418683</v>
      </c>
      <c r="AC18">
        <f t="shared" si="21"/>
        <v>3.7889919167299499</v>
      </c>
      <c r="AD18">
        <f t="shared" si="22"/>
        <v>111.45612045450918</v>
      </c>
      <c r="AE18">
        <v>0</v>
      </c>
      <c r="AF18">
        <v>0</v>
      </c>
      <c r="AG18">
        <f t="shared" si="23"/>
        <v>1</v>
      </c>
      <c r="AH18">
        <f t="shared" si="24"/>
        <v>0</v>
      </c>
      <c r="AI18">
        <f t="shared" si="25"/>
        <v>54061.341113542134</v>
      </c>
      <c r="AJ18" t="s">
        <v>416</v>
      </c>
      <c r="AK18" t="s">
        <v>416</v>
      </c>
      <c r="AL18">
        <v>0</v>
      </c>
      <c r="AM18">
        <v>0</v>
      </c>
      <c r="AN18" t="e">
        <f t="shared" si="26"/>
        <v>#DIV/0!</v>
      </c>
      <c r="AO18">
        <v>0</v>
      </c>
      <c r="AP18" t="s">
        <v>416</v>
      </c>
      <c r="AQ18" t="s">
        <v>416</v>
      </c>
      <c r="AR18">
        <v>0</v>
      </c>
      <c r="AS18">
        <v>0</v>
      </c>
      <c r="AT18" t="e">
        <f t="shared" si="27"/>
        <v>#DIV/0!</v>
      </c>
      <c r="AU18">
        <v>0.5</v>
      </c>
      <c r="AV18">
        <f t="shared" si="28"/>
        <v>1261.1715994833735</v>
      </c>
      <c r="AW18">
        <f t="shared" si="29"/>
        <v>15.916091070382713</v>
      </c>
      <c r="AX18" t="e">
        <f t="shared" si="30"/>
        <v>#DIV/0!</v>
      </c>
      <c r="AY18">
        <f t="shared" si="31"/>
        <v>1.2620083640404354E-2</v>
      </c>
      <c r="AZ18" t="e">
        <f t="shared" si="32"/>
        <v>#DIV/0!</v>
      </c>
      <c r="BA18" t="e">
        <f t="shared" si="33"/>
        <v>#DIV/0!</v>
      </c>
      <c r="BB18" t="s">
        <v>416</v>
      </c>
      <c r="BC18">
        <v>0</v>
      </c>
      <c r="BD18" t="e">
        <f t="shared" si="34"/>
        <v>#DIV/0!</v>
      </c>
      <c r="BE18" t="e">
        <f t="shared" si="35"/>
        <v>#DIV/0!</v>
      </c>
      <c r="BF18" t="e">
        <f t="shared" si="36"/>
        <v>#DIV/0!</v>
      </c>
      <c r="BG18" t="e">
        <f t="shared" si="37"/>
        <v>#DIV/0!</v>
      </c>
      <c r="BH18" t="e">
        <f t="shared" si="38"/>
        <v>#DIV/0!</v>
      </c>
      <c r="BI18" t="e">
        <f t="shared" si="39"/>
        <v>#DIV/0!</v>
      </c>
      <c r="BJ18" t="e">
        <f t="shared" si="40"/>
        <v>#DIV/0!</v>
      </c>
      <c r="BK18" t="e">
        <f t="shared" si="41"/>
        <v>#DIV/0!</v>
      </c>
      <c r="BL18">
        <v>1138</v>
      </c>
      <c r="BM18">
        <v>290</v>
      </c>
      <c r="BN18">
        <v>1235.3699999999999</v>
      </c>
      <c r="BO18">
        <v>145</v>
      </c>
      <c r="BP18">
        <v>8137.14</v>
      </c>
      <c r="BQ18">
        <v>1226.99</v>
      </c>
      <c r="BR18">
        <v>8.3800000000000008</v>
      </c>
      <c r="BS18">
        <v>300</v>
      </c>
      <c r="BT18">
        <v>19.3</v>
      </c>
      <c r="BU18">
        <v>1291.7890306731799</v>
      </c>
      <c r="BV18">
        <v>2.4733662300604902</v>
      </c>
      <c r="BW18">
        <v>-52.725713425130103</v>
      </c>
      <c r="BX18">
        <v>1.7971348198971</v>
      </c>
      <c r="BY18">
        <v>0.96849553969215396</v>
      </c>
      <c r="BZ18">
        <v>-5.3927486095661902E-3</v>
      </c>
      <c r="CA18">
        <v>290</v>
      </c>
      <c r="CB18">
        <v>1210.3699999999999</v>
      </c>
      <c r="CC18">
        <v>615</v>
      </c>
      <c r="CD18">
        <v>8118.65</v>
      </c>
      <c r="CE18">
        <v>1226.8499999999999</v>
      </c>
      <c r="CF18">
        <v>-16.48</v>
      </c>
      <c r="CT18">
        <f t="shared" si="42"/>
        <v>1499.95333333333</v>
      </c>
      <c r="CU18">
        <f t="shared" si="43"/>
        <v>1261.1715994833735</v>
      </c>
      <c r="CV18">
        <f t="shared" si="44"/>
        <v>0.84080722476924363</v>
      </c>
      <c r="CW18">
        <f t="shared" si="45"/>
        <v>0.16115794380464013</v>
      </c>
      <c r="CX18">
        <v>2</v>
      </c>
      <c r="CY18">
        <v>0.5</v>
      </c>
      <c r="CZ18" t="s">
        <v>417</v>
      </c>
      <c r="DA18">
        <v>2</v>
      </c>
      <c r="DB18">
        <v>1792216042.5999999</v>
      </c>
      <c r="DC18">
        <v>293.13850000000002</v>
      </c>
      <c r="DD18">
        <v>300.00583333333299</v>
      </c>
      <c r="DE18">
        <v>17.53565</v>
      </c>
      <c r="DF18">
        <v>15.856783333333301</v>
      </c>
      <c r="DG18">
        <v>292.64066666666702</v>
      </c>
      <c r="DH18">
        <v>17.643049999999999</v>
      </c>
      <c r="DI18">
        <v>500.00216666666699</v>
      </c>
      <c r="DJ18">
        <v>101.68883333333299</v>
      </c>
      <c r="DK18">
        <v>9.9994066666666701E-2</v>
      </c>
      <c r="DL18">
        <v>25.333466666666698</v>
      </c>
      <c r="DM18">
        <v>25.0017666666667</v>
      </c>
      <c r="DN18">
        <v>999.9</v>
      </c>
      <c r="DO18">
        <v>0</v>
      </c>
      <c r="DP18">
        <v>0</v>
      </c>
      <c r="DQ18">
        <v>9998.2250000000004</v>
      </c>
      <c r="DR18">
        <v>0</v>
      </c>
      <c r="DS18">
        <v>7.4201800000000002</v>
      </c>
      <c r="DT18">
        <v>-6.8671366666666698</v>
      </c>
      <c r="DU18">
        <v>298.37033333333301</v>
      </c>
      <c r="DV18">
        <v>304.83949999999999</v>
      </c>
      <c r="DW18">
        <v>1.6788733333333301</v>
      </c>
      <c r="DX18">
        <v>300.00583333333299</v>
      </c>
      <c r="DY18">
        <v>15.856783333333301</v>
      </c>
      <c r="DZ18">
        <v>1.78318</v>
      </c>
      <c r="EA18">
        <v>1.61245833333333</v>
      </c>
      <c r="EB18">
        <v>15.64015</v>
      </c>
      <c r="EC18">
        <v>14.078383333333299</v>
      </c>
      <c r="ED18">
        <v>1499.95333333333</v>
      </c>
      <c r="EE18">
        <v>0.97300399999999998</v>
      </c>
      <c r="EF18">
        <v>2.6995849999999998E-2</v>
      </c>
      <c r="EG18">
        <v>0</v>
      </c>
      <c r="EH18">
        <v>305.57783333333299</v>
      </c>
      <c r="EI18">
        <v>5.0006399999999998</v>
      </c>
      <c r="EJ18">
        <v>4752.8666666666704</v>
      </c>
      <c r="EK18">
        <v>15438.7833333333</v>
      </c>
      <c r="EL18">
        <v>41.186999999999998</v>
      </c>
      <c r="EM18">
        <v>41.822499999999998</v>
      </c>
      <c r="EN18">
        <v>41.5</v>
      </c>
      <c r="EO18">
        <v>41.5</v>
      </c>
      <c r="EP18">
        <v>42.686999999999998</v>
      </c>
      <c r="EQ18">
        <v>1454.5933333333301</v>
      </c>
      <c r="ER18">
        <v>40.36</v>
      </c>
      <c r="ES18">
        <v>0</v>
      </c>
      <c r="ET18">
        <v>4309.7000000476801</v>
      </c>
      <c r="EU18">
        <v>0</v>
      </c>
      <c r="EV18">
        <v>305.59926923076898</v>
      </c>
      <c r="EW18">
        <v>-0.58109402283859302</v>
      </c>
      <c r="EX18">
        <v>2.42735044819853</v>
      </c>
      <c r="EY18">
        <v>4752.6115384615396</v>
      </c>
      <c r="EZ18">
        <v>15</v>
      </c>
      <c r="FA18">
        <v>1792215992.0999999</v>
      </c>
      <c r="FB18" t="s">
        <v>425</v>
      </c>
      <c r="FC18">
        <v>1792215992.0999999</v>
      </c>
      <c r="FD18">
        <v>1792215986.0999999</v>
      </c>
      <c r="FE18">
        <v>41</v>
      </c>
      <c r="FF18">
        <v>-0.106</v>
      </c>
      <c r="FG18">
        <v>-5.0000000000000001E-3</v>
      </c>
      <c r="FH18">
        <v>0.5</v>
      </c>
      <c r="FI18">
        <v>-0.16600000000000001</v>
      </c>
      <c r="FJ18">
        <v>300</v>
      </c>
      <c r="FK18">
        <v>16</v>
      </c>
      <c r="FL18">
        <v>0.2</v>
      </c>
      <c r="FM18">
        <v>7.0000000000000007E-2</v>
      </c>
      <c r="FN18">
        <v>15.9157157752032</v>
      </c>
      <c r="FO18">
        <v>-0.234731948876298</v>
      </c>
      <c r="FP18">
        <v>0.111673138904753</v>
      </c>
      <c r="FQ18">
        <v>1</v>
      </c>
      <c r="FR18">
        <v>-6.8645866666666704</v>
      </c>
      <c r="FS18">
        <v>5.2140000000006001E-2</v>
      </c>
      <c r="FT18">
        <v>4.1957809345572E-2</v>
      </c>
      <c r="FU18">
        <v>1</v>
      </c>
      <c r="FV18">
        <v>305.62549999999999</v>
      </c>
      <c r="FW18">
        <v>-0.20267380195885501</v>
      </c>
      <c r="FX18">
        <v>0.16790775653877099</v>
      </c>
      <c r="FY18">
        <v>1</v>
      </c>
      <c r="FZ18">
        <v>3</v>
      </c>
      <c r="GA18">
        <v>3</v>
      </c>
      <c r="GB18" t="s">
        <v>419</v>
      </c>
      <c r="GC18">
        <v>3.1230500000000001</v>
      </c>
      <c r="GD18">
        <v>2.76525</v>
      </c>
      <c r="GE18">
        <v>6.8981899999999999E-2</v>
      </c>
      <c r="GF18">
        <v>7.2106199999999995E-2</v>
      </c>
      <c r="GG18">
        <v>9.3846899999999997E-2</v>
      </c>
      <c r="GH18">
        <v>9.0356699999999998E-2</v>
      </c>
      <c r="GI18">
        <v>18122.5</v>
      </c>
      <c r="GJ18">
        <v>27234.1</v>
      </c>
      <c r="GK18">
        <v>22746.799999999999</v>
      </c>
      <c r="GL18">
        <v>30076.400000000001</v>
      </c>
      <c r="GM18">
        <v>33812.800000000003</v>
      </c>
      <c r="GN18">
        <v>34087.599999999999</v>
      </c>
      <c r="GO18">
        <v>43043.8</v>
      </c>
      <c r="GP18">
        <v>42842.9</v>
      </c>
      <c r="GQ18">
        <v>1.9520299999999999</v>
      </c>
      <c r="GR18">
        <v>1.8244</v>
      </c>
      <c r="GS18">
        <v>6.8265900000000004E-2</v>
      </c>
      <c r="GT18">
        <v>0</v>
      </c>
      <c r="GU18">
        <v>23.8675</v>
      </c>
      <c r="GV18">
        <v>999.9</v>
      </c>
      <c r="GW18">
        <v>43.046999999999997</v>
      </c>
      <c r="GX18">
        <v>31.521000000000001</v>
      </c>
      <c r="GY18">
        <v>19.672899999999998</v>
      </c>
      <c r="GZ18">
        <v>63.366500000000002</v>
      </c>
      <c r="HA18">
        <v>33.641800000000003</v>
      </c>
      <c r="HB18">
        <v>1</v>
      </c>
      <c r="HC18">
        <v>0.103293</v>
      </c>
      <c r="HD18">
        <v>2.1114799999999998</v>
      </c>
      <c r="HE18">
        <v>20.220199999999998</v>
      </c>
      <c r="HF18">
        <v>5.2340600000000004</v>
      </c>
      <c r="HG18">
        <v>11.962199999999999</v>
      </c>
      <c r="HH18">
        <v>4.9687999999999999</v>
      </c>
      <c r="HI18">
        <v>3.2949999999999999</v>
      </c>
      <c r="HJ18">
        <v>9999</v>
      </c>
      <c r="HK18">
        <v>9999</v>
      </c>
      <c r="HL18">
        <v>9999</v>
      </c>
      <c r="HM18">
        <v>999.9</v>
      </c>
      <c r="HN18">
        <v>4.9685300000000003</v>
      </c>
      <c r="HO18">
        <v>1.8624099999999999</v>
      </c>
      <c r="HP18">
        <v>1.86389</v>
      </c>
      <c r="HQ18">
        <v>1.8658399999999999</v>
      </c>
      <c r="HR18">
        <v>1.86293</v>
      </c>
      <c r="HS18">
        <v>1.8666</v>
      </c>
      <c r="HT18">
        <v>1.86338</v>
      </c>
      <c r="HU18">
        <v>1.8652299999999999</v>
      </c>
      <c r="HV18">
        <v>0</v>
      </c>
      <c r="HW18">
        <v>0</v>
      </c>
      <c r="HX18">
        <v>0</v>
      </c>
      <c r="HY18">
        <v>0</v>
      </c>
      <c r="HZ18" t="s">
        <v>420</v>
      </c>
      <c r="IA18" t="s">
        <v>421</v>
      </c>
      <c r="IB18" t="s">
        <v>422</v>
      </c>
      <c r="IC18" t="s">
        <v>422</v>
      </c>
      <c r="ID18" t="s">
        <v>422</v>
      </c>
      <c r="IE18" t="s">
        <v>422</v>
      </c>
      <c r="IF18">
        <v>0</v>
      </c>
      <c r="IG18">
        <v>100</v>
      </c>
      <c r="IH18">
        <v>100</v>
      </c>
      <c r="II18">
        <v>0.498</v>
      </c>
      <c r="IJ18">
        <v>-0.108</v>
      </c>
      <c r="IK18">
        <v>0.41238577865056503</v>
      </c>
      <c r="IL18">
        <v>2.16929631606078E-4</v>
      </c>
      <c r="IM18">
        <v>2.7226302473163502E-7</v>
      </c>
      <c r="IN18">
        <v>-5.4379205123515401E-11</v>
      </c>
      <c r="IO18">
        <v>-2.3627406515726701E-2</v>
      </c>
      <c r="IP18">
        <v>-5.8443384954566899E-2</v>
      </c>
      <c r="IQ18">
        <v>3.41568706061026E-3</v>
      </c>
      <c r="IR18">
        <v>-2.10952612506686E-5</v>
      </c>
      <c r="IS18">
        <v>0</v>
      </c>
      <c r="IT18">
        <v>1734</v>
      </c>
      <c r="IU18">
        <v>2</v>
      </c>
      <c r="IV18">
        <v>19</v>
      </c>
      <c r="IW18">
        <v>0.9</v>
      </c>
      <c r="IX18">
        <v>1</v>
      </c>
      <c r="IY18">
        <v>0.84960899999999995</v>
      </c>
      <c r="IZ18">
        <v>2.5573700000000001</v>
      </c>
      <c r="JA18">
        <v>1.3464400000000001</v>
      </c>
      <c r="JB18">
        <v>2.2558600000000002</v>
      </c>
      <c r="JC18">
        <v>1.5502899999999999</v>
      </c>
      <c r="JD18">
        <v>2.7197300000000002</v>
      </c>
      <c r="JE18">
        <v>35.754399999999997</v>
      </c>
      <c r="JF18">
        <v>15.2003</v>
      </c>
      <c r="JG18">
        <v>18</v>
      </c>
      <c r="JH18">
        <v>491.91699999999997</v>
      </c>
      <c r="JI18">
        <v>487.65199999999999</v>
      </c>
      <c r="JJ18">
        <v>21.878299999999999</v>
      </c>
      <c r="JK18">
        <v>28.526499999999999</v>
      </c>
      <c r="JL18">
        <v>30.0002</v>
      </c>
      <c r="JM18">
        <v>28.514600000000002</v>
      </c>
      <c r="JN18">
        <v>28.526</v>
      </c>
      <c r="JO18">
        <v>17.033899999999999</v>
      </c>
      <c r="JP18">
        <v>28.2714</v>
      </c>
      <c r="JQ18">
        <v>47.839199999999998</v>
      </c>
      <c r="JR18">
        <v>21.878699999999998</v>
      </c>
      <c r="JS18">
        <v>300</v>
      </c>
      <c r="JT18">
        <v>15.884399999999999</v>
      </c>
      <c r="JU18">
        <v>101.633</v>
      </c>
      <c r="JV18">
        <v>97.280600000000007</v>
      </c>
    </row>
    <row r="19" spans="1:282" x14ac:dyDescent="0.3">
      <c r="A19">
        <v>3</v>
      </c>
      <c r="B19">
        <v>1792216167.0999999</v>
      </c>
      <c r="C19">
        <v>242</v>
      </c>
      <c r="D19" t="s">
        <v>426</v>
      </c>
      <c r="E19" t="s">
        <v>427</v>
      </c>
      <c r="F19">
        <v>5</v>
      </c>
      <c r="G19">
        <v>1792216164.0999999</v>
      </c>
      <c r="H19">
        <f t="shared" si="0"/>
        <v>4.2937740293161053E-3</v>
      </c>
      <c r="I19">
        <f t="shared" si="1"/>
        <v>4.2937740293161051</v>
      </c>
      <c r="J19">
        <f t="shared" si="2"/>
        <v>9.532895773867951</v>
      </c>
      <c r="K19">
        <f t="shared" si="3"/>
        <v>195.84960000000001</v>
      </c>
      <c r="L19">
        <f t="shared" si="4"/>
        <v>142.67053624636577</v>
      </c>
      <c r="M19">
        <f t="shared" si="5"/>
        <v>14.522391896578755</v>
      </c>
      <c r="N19">
        <f t="shared" si="6"/>
        <v>19.935473145462723</v>
      </c>
      <c r="O19">
        <f t="shared" si="7"/>
        <v>0.32429081623240674</v>
      </c>
      <c r="P19">
        <f t="shared" si="8"/>
        <v>3.0389676845633828</v>
      </c>
      <c r="Q19">
        <f t="shared" si="9"/>
        <v>0.30621917827800921</v>
      </c>
      <c r="R19">
        <f t="shared" si="10"/>
        <v>0.19292668081006623</v>
      </c>
      <c r="S19">
        <f t="shared" si="11"/>
        <v>241.72694780290578</v>
      </c>
      <c r="T19">
        <f t="shared" si="12"/>
        <v>25.641447898840898</v>
      </c>
      <c r="U19">
        <f t="shared" si="13"/>
        <v>25.019739999999999</v>
      </c>
      <c r="V19">
        <f t="shared" si="14"/>
        <v>3.1834216164939937</v>
      </c>
      <c r="W19">
        <f t="shared" si="15"/>
        <v>55.18927056792846</v>
      </c>
      <c r="X19">
        <f t="shared" si="16"/>
        <v>1.7910122655267542</v>
      </c>
      <c r="Y19">
        <f t="shared" si="17"/>
        <v>3.245218222847007</v>
      </c>
      <c r="Z19">
        <f t="shared" si="18"/>
        <v>1.3924093509672395</v>
      </c>
      <c r="AA19">
        <f t="shared" si="19"/>
        <v>-189.35543469284025</v>
      </c>
      <c r="AB19">
        <f t="shared" si="20"/>
        <v>52.906187790623662</v>
      </c>
      <c r="AC19">
        <f t="shared" si="21"/>
        <v>3.6892025221936229</v>
      </c>
      <c r="AD19">
        <f t="shared" si="22"/>
        <v>108.96690342288282</v>
      </c>
      <c r="AE19">
        <v>0</v>
      </c>
      <c r="AF19">
        <v>0</v>
      </c>
      <c r="AG19">
        <f t="shared" si="23"/>
        <v>1</v>
      </c>
      <c r="AH19">
        <f t="shared" si="24"/>
        <v>0</v>
      </c>
      <c r="AI19">
        <f t="shared" si="25"/>
        <v>54072.630415217369</v>
      </c>
      <c r="AJ19" t="s">
        <v>416</v>
      </c>
      <c r="AK19" t="s">
        <v>416</v>
      </c>
      <c r="AL19">
        <v>0</v>
      </c>
      <c r="AM19">
        <v>0</v>
      </c>
      <c r="AN19" t="e">
        <f t="shared" si="26"/>
        <v>#DIV/0!</v>
      </c>
      <c r="AO19">
        <v>0</v>
      </c>
      <c r="AP19" t="s">
        <v>416</v>
      </c>
      <c r="AQ19" t="s">
        <v>416</v>
      </c>
      <c r="AR19">
        <v>0</v>
      </c>
      <c r="AS19">
        <v>0</v>
      </c>
      <c r="AT19" t="e">
        <f t="shared" si="27"/>
        <v>#DIV/0!</v>
      </c>
      <c r="AU19">
        <v>0.5</v>
      </c>
      <c r="AV19">
        <f t="shared" si="28"/>
        <v>1261.158719483371</v>
      </c>
      <c r="AW19">
        <f t="shared" si="29"/>
        <v>9.532895773867951</v>
      </c>
      <c r="AX19" t="e">
        <f t="shared" si="30"/>
        <v>#DIV/0!</v>
      </c>
      <c r="AY19">
        <f t="shared" si="31"/>
        <v>7.5588390474539691E-3</v>
      </c>
      <c r="AZ19" t="e">
        <f t="shared" si="32"/>
        <v>#DIV/0!</v>
      </c>
      <c r="BA19" t="e">
        <f t="shared" si="33"/>
        <v>#DIV/0!</v>
      </c>
      <c r="BB19" t="s">
        <v>416</v>
      </c>
      <c r="BC19">
        <v>0</v>
      </c>
      <c r="BD19" t="e">
        <f t="shared" si="34"/>
        <v>#DIV/0!</v>
      </c>
      <c r="BE19" t="e">
        <f t="shared" si="35"/>
        <v>#DIV/0!</v>
      </c>
      <c r="BF19" t="e">
        <f t="shared" si="36"/>
        <v>#DIV/0!</v>
      </c>
      <c r="BG19" t="e">
        <f t="shared" si="37"/>
        <v>#DIV/0!</v>
      </c>
      <c r="BH19" t="e">
        <f t="shared" si="38"/>
        <v>#DIV/0!</v>
      </c>
      <c r="BI19" t="e">
        <f t="shared" si="39"/>
        <v>#DIV/0!</v>
      </c>
      <c r="BJ19" t="e">
        <f t="shared" si="40"/>
        <v>#DIV/0!</v>
      </c>
      <c r="BK19" t="e">
        <f t="shared" si="41"/>
        <v>#DIV/0!</v>
      </c>
      <c r="BL19">
        <v>1138</v>
      </c>
      <c r="BM19">
        <v>290</v>
      </c>
      <c r="BN19">
        <v>1235.3699999999999</v>
      </c>
      <c r="BO19">
        <v>145</v>
      </c>
      <c r="BP19">
        <v>8137.14</v>
      </c>
      <c r="BQ19">
        <v>1226.99</v>
      </c>
      <c r="BR19">
        <v>8.3800000000000008</v>
      </c>
      <c r="BS19">
        <v>300</v>
      </c>
      <c r="BT19">
        <v>19.3</v>
      </c>
      <c r="BU19">
        <v>1291.7890306731799</v>
      </c>
      <c r="BV19">
        <v>2.4733662300604902</v>
      </c>
      <c r="BW19">
        <v>-52.725713425130103</v>
      </c>
      <c r="BX19">
        <v>1.7971348198971</v>
      </c>
      <c r="BY19">
        <v>0.96849553969215396</v>
      </c>
      <c r="BZ19">
        <v>-5.3927486095661902E-3</v>
      </c>
      <c r="CA19">
        <v>290</v>
      </c>
      <c r="CB19">
        <v>1210.3699999999999</v>
      </c>
      <c r="CC19">
        <v>615</v>
      </c>
      <c r="CD19">
        <v>8118.65</v>
      </c>
      <c r="CE19">
        <v>1226.8499999999999</v>
      </c>
      <c r="CF19">
        <v>-16.48</v>
      </c>
      <c r="CT19">
        <f t="shared" si="42"/>
        <v>1499.9380000000001</v>
      </c>
      <c r="CU19">
        <f t="shared" si="43"/>
        <v>1261.158719483371</v>
      </c>
      <c r="CV19">
        <f t="shared" si="44"/>
        <v>0.84080723302121207</v>
      </c>
      <c r="CW19">
        <f t="shared" si="45"/>
        <v>0.16115795973093938</v>
      </c>
      <c r="CX19">
        <v>2</v>
      </c>
      <c r="CY19">
        <v>0.5</v>
      </c>
      <c r="CZ19" t="s">
        <v>417</v>
      </c>
      <c r="DA19">
        <v>2</v>
      </c>
      <c r="DB19">
        <v>1792216164.0999999</v>
      </c>
      <c r="DC19">
        <v>195.84960000000001</v>
      </c>
      <c r="DD19">
        <v>199.99959999999999</v>
      </c>
      <c r="DE19">
        <v>17.595220000000001</v>
      </c>
      <c r="DF19">
        <v>15.90774</v>
      </c>
      <c r="DG19">
        <v>195.52119999999999</v>
      </c>
      <c r="DH19">
        <v>17.701239999999999</v>
      </c>
      <c r="DI19">
        <v>499.9436</v>
      </c>
      <c r="DJ19">
        <v>101.68980000000001</v>
      </c>
      <c r="DK19">
        <v>9.99057E-2</v>
      </c>
      <c r="DL19">
        <v>25.342659999999999</v>
      </c>
      <c r="DM19">
        <v>25.019739999999999</v>
      </c>
      <c r="DN19">
        <v>999.9</v>
      </c>
      <c r="DO19">
        <v>0</v>
      </c>
      <c r="DP19">
        <v>0</v>
      </c>
      <c r="DQ19">
        <v>10000.624</v>
      </c>
      <c r="DR19">
        <v>0</v>
      </c>
      <c r="DS19">
        <v>7.4048980000000002</v>
      </c>
      <c r="DT19">
        <v>-4.15036</v>
      </c>
      <c r="DU19">
        <v>199.357</v>
      </c>
      <c r="DV19">
        <v>203.2328</v>
      </c>
      <c r="DW19">
        <v>1.6874560000000001</v>
      </c>
      <c r="DX19">
        <v>199.99959999999999</v>
      </c>
      <c r="DY19">
        <v>15.90774</v>
      </c>
      <c r="DZ19">
        <v>1.789256</v>
      </c>
      <c r="EA19">
        <v>1.617658</v>
      </c>
      <c r="EB19">
        <v>15.693239999999999</v>
      </c>
      <c r="EC19">
        <v>14.12804</v>
      </c>
      <c r="ED19">
        <v>1499.9380000000001</v>
      </c>
      <c r="EE19">
        <v>0.97300359999999997</v>
      </c>
      <c r="EF19">
        <v>2.6996260000000001E-2</v>
      </c>
      <c r="EG19">
        <v>0</v>
      </c>
      <c r="EH19">
        <v>305.50979999999998</v>
      </c>
      <c r="EI19">
        <v>5.0006399999999998</v>
      </c>
      <c r="EJ19">
        <v>4750.5619999999999</v>
      </c>
      <c r="EK19">
        <v>15438.62</v>
      </c>
      <c r="EL19">
        <v>41.186999999999998</v>
      </c>
      <c r="EM19">
        <v>41.875</v>
      </c>
      <c r="EN19">
        <v>41.524799999999999</v>
      </c>
      <c r="EO19">
        <v>41.5</v>
      </c>
      <c r="EP19">
        <v>42.686999999999998</v>
      </c>
      <c r="EQ19">
        <v>1454.578</v>
      </c>
      <c r="ER19">
        <v>40.36</v>
      </c>
      <c r="ES19">
        <v>0</v>
      </c>
      <c r="ET19">
        <v>4430.9000000953702</v>
      </c>
      <c r="EU19">
        <v>0</v>
      </c>
      <c r="EV19">
        <v>305.45453846153799</v>
      </c>
      <c r="EW19">
        <v>0.67261539900249001</v>
      </c>
      <c r="EX19">
        <v>10.987692283547799</v>
      </c>
      <c r="EY19">
        <v>4749.88807692308</v>
      </c>
      <c r="EZ19">
        <v>15</v>
      </c>
      <c r="FA19">
        <v>1792216120.0999999</v>
      </c>
      <c r="FB19" t="s">
        <v>428</v>
      </c>
      <c r="FC19">
        <v>1792216120.0999999</v>
      </c>
      <c r="FD19">
        <v>1792216108.0999999</v>
      </c>
      <c r="FE19">
        <v>42</v>
      </c>
      <c r="FF19">
        <v>-0.13700000000000001</v>
      </c>
      <c r="FG19">
        <v>-1E-3</v>
      </c>
      <c r="FH19">
        <v>0.32900000000000001</v>
      </c>
      <c r="FI19">
        <v>-0.17100000000000001</v>
      </c>
      <c r="FJ19">
        <v>200</v>
      </c>
      <c r="FK19">
        <v>16</v>
      </c>
      <c r="FL19">
        <v>0.34</v>
      </c>
      <c r="FM19">
        <v>0.04</v>
      </c>
      <c r="FN19">
        <v>9.4608062067213403</v>
      </c>
      <c r="FO19">
        <v>2.6623122545082301E-2</v>
      </c>
      <c r="FP19">
        <v>7.0475823905325793E-2</v>
      </c>
      <c r="FQ19">
        <v>1</v>
      </c>
      <c r="FR19">
        <v>-4.1230460000000004</v>
      </c>
      <c r="FS19">
        <v>-6.4038496240594003E-2</v>
      </c>
      <c r="FT19">
        <v>3.0299983729368599E-2</v>
      </c>
      <c r="FU19">
        <v>1</v>
      </c>
      <c r="FV19">
        <v>305.43676470588201</v>
      </c>
      <c r="FW19">
        <v>0.26239878509474202</v>
      </c>
      <c r="FX19">
        <v>0.206013857161504</v>
      </c>
      <c r="FY19">
        <v>1</v>
      </c>
      <c r="FZ19">
        <v>3</v>
      </c>
      <c r="GA19">
        <v>3</v>
      </c>
      <c r="GB19" t="s">
        <v>419</v>
      </c>
      <c r="GC19">
        <v>3.12331</v>
      </c>
      <c r="GD19">
        <v>2.76545</v>
      </c>
      <c r="GE19">
        <v>4.9076500000000002E-2</v>
      </c>
      <c r="GF19">
        <v>5.1299699999999997E-2</v>
      </c>
      <c r="GG19">
        <v>9.4107399999999994E-2</v>
      </c>
      <c r="GH19">
        <v>9.0573600000000004E-2</v>
      </c>
      <c r="GI19">
        <v>18508.599999999999</v>
      </c>
      <c r="GJ19">
        <v>27842.7</v>
      </c>
      <c r="GK19">
        <v>22745.200000000001</v>
      </c>
      <c r="GL19">
        <v>30074.2</v>
      </c>
      <c r="GM19">
        <v>33799.4</v>
      </c>
      <c r="GN19">
        <v>34076.199999999997</v>
      </c>
      <c r="GO19">
        <v>43040.9</v>
      </c>
      <c r="GP19">
        <v>42840.7</v>
      </c>
      <c r="GQ19">
        <v>1.9524999999999999</v>
      </c>
      <c r="GR19">
        <v>1.8231299999999999</v>
      </c>
      <c r="GS19">
        <v>6.9532499999999997E-2</v>
      </c>
      <c r="GT19">
        <v>0</v>
      </c>
      <c r="GU19">
        <v>23.871600000000001</v>
      </c>
      <c r="GV19">
        <v>999.9</v>
      </c>
      <c r="GW19">
        <v>42.991999999999997</v>
      </c>
      <c r="GX19">
        <v>31.542000000000002</v>
      </c>
      <c r="GY19">
        <v>19.668800000000001</v>
      </c>
      <c r="GZ19">
        <v>63.266500000000001</v>
      </c>
      <c r="HA19">
        <v>34.274799999999999</v>
      </c>
      <c r="HB19">
        <v>1</v>
      </c>
      <c r="HC19">
        <v>0.105132</v>
      </c>
      <c r="HD19">
        <v>2.1120399999999999</v>
      </c>
      <c r="HE19">
        <v>20.22</v>
      </c>
      <c r="HF19">
        <v>5.23271</v>
      </c>
      <c r="HG19">
        <v>11.962</v>
      </c>
      <c r="HH19">
        <v>4.9686500000000002</v>
      </c>
      <c r="HI19">
        <v>3.29508</v>
      </c>
      <c r="HJ19">
        <v>9999</v>
      </c>
      <c r="HK19">
        <v>9999</v>
      </c>
      <c r="HL19">
        <v>9999</v>
      </c>
      <c r="HM19">
        <v>999.9</v>
      </c>
      <c r="HN19">
        <v>4.9685800000000002</v>
      </c>
      <c r="HO19">
        <v>1.86242</v>
      </c>
      <c r="HP19">
        <v>1.86398</v>
      </c>
      <c r="HQ19">
        <v>1.8658399999999999</v>
      </c>
      <c r="HR19">
        <v>1.8629500000000001</v>
      </c>
      <c r="HS19">
        <v>1.8666100000000001</v>
      </c>
      <c r="HT19">
        <v>1.8633900000000001</v>
      </c>
      <c r="HU19">
        <v>1.8652299999999999</v>
      </c>
      <c r="HV19">
        <v>0</v>
      </c>
      <c r="HW19">
        <v>0</v>
      </c>
      <c r="HX19">
        <v>0</v>
      </c>
      <c r="HY19">
        <v>0</v>
      </c>
      <c r="HZ19" t="s">
        <v>420</v>
      </c>
      <c r="IA19" t="s">
        <v>421</v>
      </c>
      <c r="IB19" t="s">
        <v>422</v>
      </c>
      <c r="IC19" t="s">
        <v>422</v>
      </c>
      <c r="ID19" t="s">
        <v>422</v>
      </c>
      <c r="IE19" t="s">
        <v>422</v>
      </c>
      <c r="IF19">
        <v>0</v>
      </c>
      <c r="IG19">
        <v>100</v>
      </c>
      <c r="IH19">
        <v>100</v>
      </c>
      <c r="II19">
        <v>0.32800000000000001</v>
      </c>
      <c r="IJ19">
        <v>-0.10630000000000001</v>
      </c>
      <c r="IK19">
        <v>0.27579093078599598</v>
      </c>
      <c r="IL19">
        <v>2.16929631606078E-4</v>
      </c>
      <c r="IM19">
        <v>2.7226302473163502E-7</v>
      </c>
      <c r="IN19">
        <v>-5.4379205123515401E-11</v>
      </c>
      <c r="IO19">
        <v>-2.47596480443571E-2</v>
      </c>
      <c r="IP19">
        <v>-5.8443384954566899E-2</v>
      </c>
      <c r="IQ19">
        <v>3.41568706061026E-3</v>
      </c>
      <c r="IR19">
        <v>-2.10952612506686E-5</v>
      </c>
      <c r="IS19">
        <v>0</v>
      </c>
      <c r="IT19">
        <v>1734</v>
      </c>
      <c r="IU19">
        <v>2</v>
      </c>
      <c r="IV19">
        <v>19</v>
      </c>
      <c r="IW19">
        <v>0.8</v>
      </c>
      <c r="IX19">
        <v>1</v>
      </c>
      <c r="IY19">
        <v>0.63598600000000005</v>
      </c>
      <c r="IZ19">
        <v>2.5708000000000002</v>
      </c>
      <c r="JA19">
        <v>1.3464400000000001</v>
      </c>
      <c r="JB19">
        <v>2.2558600000000002</v>
      </c>
      <c r="JC19">
        <v>1.5502899999999999</v>
      </c>
      <c r="JD19">
        <v>2.4853499999999999</v>
      </c>
      <c r="JE19">
        <v>35.777700000000003</v>
      </c>
      <c r="JF19">
        <v>15.1652</v>
      </c>
      <c r="JG19">
        <v>18</v>
      </c>
      <c r="JH19">
        <v>492.44299999999998</v>
      </c>
      <c r="JI19">
        <v>487.01900000000001</v>
      </c>
      <c r="JJ19">
        <v>21.908100000000001</v>
      </c>
      <c r="JK19">
        <v>28.550799999999999</v>
      </c>
      <c r="JL19">
        <v>30.0002</v>
      </c>
      <c r="JM19">
        <v>28.542300000000001</v>
      </c>
      <c r="JN19">
        <v>28.555800000000001</v>
      </c>
      <c r="JO19">
        <v>12.747400000000001</v>
      </c>
      <c r="JP19">
        <v>27.958300000000001</v>
      </c>
      <c r="JQ19">
        <v>47.579500000000003</v>
      </c>
      <c r="JR19">
        <v>21.8994</v>
      </c>
      <c r="JS19">
        <v>200</v>
      </c>
      <c r="JT19">
        <v>15.8497</v>
      </c>
      <c r="JU19">
        <v>101.626</v>
      </c>
      <c r="JV19">
        <v>97.274600000000007</v>
      </c>
    </row>
    <row r="20" spans="1:282" x14ac:dyDescent="0.3">
      <c r="A20">
        <v>4</v>
      </c>
      <c r="B20">
        <v>1792216288.0999999</v>
      </c>
      <c r="C20">
        <v>363</v>
      </c>
      <c r="D20" t="s">
        <v>429</v>
      </c>
      <c r="E20" t="s">
        <v>430</v>
      </c>
      <c r="F20">
        <v>5</v>
      </c>
      <c r="G20">
        <v>1792216284.5999999</v>
      </c>
      <c r="H20">
        <f t="shared" si="0"/>
        <v>4.4221768640022628E-3</v>
      </c>
      <c r="I20">
        <f t="shared" si="1"/>
        <v>4.422176864002263</v>
      </c>
      <c r="J20">
        <f t="shared" si="2"/>
        <v>2.893787961866964</v>
      </c>
      <c r="K20">
        <f t="shared" si="3"/>
        <v>98.658383333333305</v>
      </c>
      <c r="L20">
        <f t="shared" si="4"/>
        <v>82.12678205741868</v>
      </c>
      <c r="M20">
        <f t="shared" si="5"/>
        <v>8.3599809580809392</v>
      </c>
      <c r="N20">
        <f t="shared" si="6"/>
        <v>10.042792197130925</v>
      </c>
      <c r="O20">
        <f t="shared" si="7"/>
        <v>0.33545186705440833</v>
      </c>
      <c r="P20">
        <f t="shared" si="8"/>
        <v>3.0352310014107213</v>
      </c>
      <c r="Q20">
        <f t="shared" si="9"/>
        <v>0.31613232931235025</v>
      </c>
      <c r="R20">
        <f t="shared" si="10"/>
        <v>0.1992257068610947</v>
      </c>
      <c r="S20">
        <f t="shared" si="11"/>
        <v>241.73099100292208</v>
      </c>
      <c r="T20">
        <f t="shared" si="12"/>
        <v>25.621043077503877</v>
      </c>
      <c r="U20">
        <f t="shared" si="13"/>
        <v>24.995466666666701</v>
      </c>
      <c r="V20">
        <f t="shared" si="14"/>
        <v>3.1788183097798024</v>
      </c>
      <c r="W20">
        <f t="shared" si="15"/>
        <v>55.109101762123025</v>
      </c>
      <c r="X20">
        <f t="shared" si="16"/>
        <v>1.7896417978040549</v>
      </c>
      <c r="Y20">
        <f t="shared" si="17"/>
        <v>3.247452309291841</v>
      </c>
      <c r="Z20">
        <f t="shared" si="18"/>
        <v>1.3891765119757475</v>
      </c>
      <c r="AA20">
        <f t="shared" si="19"/>
        <v>-195.01799970249979</v>
      </c>
      <c r="AB20">
        <f t="shared" si="20"/>
        <v>58.706917588332942</v>
      </c>
      <c r="AC20">
        <f t="shared" si="21"/>
        <v>4.0984715267101093</v>
      </c>
      <c r="AD20">
        <f t="shared" si="22"/>
        <v>109.51838041546534</v>
      </c>
      <c r="AE20">
        <v>0</v>
      </c>
      <c r="AF20">
        <v>0</v>
      </c>
      <c r="AG20">
        <f t="shared" si="23"/>
        <v>1</v>
      </c>
      <c r="AH20">
        <f t="shared" si="24"/>
        <v>0</v>
      </c>
      <c r="AI20">
        <f t="shared" si="25"/>
        <v>53953.59767177856</v>
      </c>
      <c r="AJ20" t="s">
        <v>416</v>
      </c>
      <c r="AK20" t="s">
        <v>416</v>
      </c>
      <c r="AL20">
        <v>0</v>
      </c>
      <c r="AM20">
        <v>0</v>
      </c>
      <c r="AN20" t="e">
        <f t="shared" si="26"/>
        <v>#DIV/0!</v>
      </c>
      <c r="AO20">
        <v>0</v>
      </c>
      <c r="AP20" t="s">
        <v>416</v>
      </c>
      <c r="AQ20" t="s">
        <v>416</v>
      </c>
      <c r="AR20">
        <v>0</v>
      </c>
      <c r="AS20">
        <v>0</v>
      </c>
      <c r="AT20" t="e">
        <f t="shared" si="27"/>
        <v>#DIV/0!</v>
      </c>
      <c r="AU20">
        <v>0.5</v>
      </c>
      <c r="AV20">
        <f t="shared" si="28"/>
        <v>1261.1799994833768</v>
      </c>
      <c r="AW20">
        <f t="shared" si="29"/>
        <v>2.893787961866964</v>
      </c>
      <c r="AX20" t="e">
        <f t="shared" si="30"/>
        <v>#DIV/0!</v>
      </c>
      <c r="AY20">
        <f t="shared" si="31"/>
        <v>2.2945082883112323E-3</v>
      </c>
      <c r="AZ20" t="e">
        <f t="shared" si="32"/>
        <v>#DIV/0!</v>
      </c>
      <c r="BA20" t="e">
        <f t="shared" si="33"/>
        <v>#DIV/0!</v>
      </c>
      <c r="BB20" t="s">
        <v>416</v>
      </c>
      <c r="BC20">
        <v>0</v>
      </c>
      <c r="BD20" t="e">
        <f t="shared" si="34"/>
        <v>#DIV/0!</v>
      </c>
      <c r="BE20" t="e">
        <f t="shared" si="35"/>
        <v>#DIV/0!</v>
      </c>
      <c r="BF20" t="e">
        <f t="shared" si="36"/>
        <v>#DIV/0!</v>
      </c>
      <c r="BG20" t="e">
        <f t="shared" si="37"/>
        <v>#DIV/0!</v>
      </c>
      <c r="BH20" t="e">
        <f t="shared" si="38"/>
        <v>#DIV/0!</v>
      </c>
      <c r="BI20" t="e">
        <f t="shared" si="39"/>
        <v>#DIV/0!</v>
      </c>
      <c r="BJ20" t="e">
        <f t="shared" si="40"/>
        <v>#DIV/0!</v>
      </c>
      <c r="BK20" t="e">
        <f t="shared" si="41"/>
        <v>#DIV/0!</v>
      </c>
      <c r="BL20">
        <v>1138</v>
      </c>
      <c r="BM20">
        <v>290</v>
      </c>
      <c r="BN20">
        <v>1235.3699999999999</v>
      </c>
      <c r="BO20">
        <v>145</v>
      </c>
      <c r="BP20">
        <v>8137.14</v>
      </c>
      <c r="BQ20">
        <v>1226.99</v>
      </c>
      <c r="BR20">
        <v>8.3800000000000008</v>
      </c>
      <c r="BS20">
        <v>300</v>
      </c>
      <c r="BT20">
        <v>19.3</v>
      </c>
      <c r="BU20">
        <v>1291.7890306731799</v>
      </c>
      <c r="BV20">
        <v>2.4733662300604902</v>
      </c>
      <c r="BW20">
        <v>-52.725713425130103</v>
      </c>
      <c r="BX20">
        <v>1.7971348198971</v>
      </c>
      <c r="BY20">
        <v>0.96849553969215396</v>
      </c>
      <c r="BZ20">
        <v>-5.3927486095661902E-3</v>
      </c>
      <c r="CA20">
        <v>290</v>
      </c>
      <c r="CB20">
        <v>1210.3699999999999</v>
      </c>
      <c r="CC20">
        <v>615</v>
      </c>
      <c r="CD20">
        <v>8118.65</v>
      </c>
      <c r="CE20">
        <v>1226.8499999999999</v>
      </c>
      <c r="CF20">
        <v>-16.48</v>
      </c>
      <c r="CT20">
        <f t="shared" si="42"/>
        <v>1499.96333333333</v>
      </c>
      <c r="CU20">
        <f t="shared" si="43"/>
        <v>1261.1799994833768</v>
      </c>
      <c r="CV20">
        <f t="shared" si="44"/>
        <v>0.84080721938761593</v>
      </c>
      <c r="CW20">
        <f t="shared" si="45"/>
        <v>0.16115793341809864</v>
      </c>
      <c r="CX20">
        <v>2</v>
      </c>
      <c r="CY20">
        <v>0.5</v>
      </c>
      <c r="CZ20" t="s">
        <v>417</v>
      </c>
      <c r="DA20">
        <v>2</v>
      </c>
      <c r="DB20">
        <v>1792216284.5999999</v>
      </c>
      <c r="DC20">
        <v>98.658383333333305</v>
      </c>
      <c r="DD20">
        <v>99.990216666666697</v>
      </c>
      <c r="DE20">
        <v>17.5810833333333</v>
      </c>
      <c r="DF20">
        <v>15.8435666666667</v>
      </c>
      <c r="DG20">
        <v>98.694283333333303</v>
      </c>
      <c r="DH20">
        <v>17.687650000000001</v>
      </c>
      <c r="DI20">
        <v>500.07350000000002</v>
      </c>
      <c r="DJ20">
        <v>101.6935</v>
      </c>
      <c r="DK20">
        <v>0.10010189999999999</v>
      </c>
      <c r="DL20">
        <v>25.354233333333301</v>
      </c>
      <c r="DM20">
        <v>24.995466666666701</v>
      </c>
      <c r="DN20">
        <v>999.9</v>
      </c>
      <c r="DO20">
        <v>0</v>
      </c>
      <c r="DP20">
        <v>0</v>
      </c>
      <c r="DQ20">
        <v>9977.7033333333293</v>
      </c>
      <c r="DR20">
        <v>0</v>
      </c>
      <c r="DS20">
        <v>7.3656100000000002</v>
      </c>
      <c r="DT20">
        <v>-1.3318099999999999</v>
      </c>
      <c r="DU20">
        <v>100.42400000000001</v>
      </c>
      <c r="DV20">
        <v>101.6</v>
      </c>
      <c r="DW20">
        <v>1.737525</v>
      </c>
      <c r="DX20">
        <v>99.990216666666697</v>
      </c>
      <c r="DY20">
        <v>15.8435666666667</v>
      </c>
      <c r="DZ20">
        <v>1.7878816666666699</v>
      </c>
      <c r="EA20">
        <v>1.6111866666666701</v>
      </c>
      <c r="EB20">
        <v>15.681233333333299</v>
      </c>
      <c r="EC20">
        <v>14.066216666666699</v>
      </c>
      <c r="ED20">
        <v>1499.96333333333</v>
      </c>
      <c r="EE20">
        <v>0.97300399999999998</v>
      </c>
      <c r="EF20">
        <v>2.6995866666666701E-2</v>
      </c>
      <c r="EG20">
        <v>0</v>
      </c>
      <c r="EH20">
        <v>308.67316666666699</v>
      </c>
      <c r="EI20">
        <v>5.0006399999999998</v>
      </c>
      <c r="EJ20">
        <v>4796.2550000000001</v>
      </c>
      <c r="EK20">
        <v>15438.833333333299</v>
      </c>
      <c r="EL20">
        <v>41.197499999999998</v>
      </c>
      <c r="EM20">
        <v>41.875</v>
      </c>
      <c r="EN20">
        <v>41.561999999999998</v>
      </c>
      <c r="EO20">
        <v>41.551666666666698</v>
      </c>
      <c r="EP20">
        <v>42.7395</v>
      </c>
      <c r="EQ20">
        <v>1454.6033333333301</v>
      </c>
      <c r="ER20">
        <v>40.36</v>
      </c>
      <c r="ES20">
        <v>0</v>
      </c>
      <c r="ET20">
        <v>4552.1000001430502</v>
      </c>
      <c r="EU20">
        <v>0</v>
      </c>
      <c r="EV20">
        <v>308.61207692307698</v>
      </c>
      <c r="EW20">
        <v>0.88389744048864405</v>
      </c>
      <c r="EX20">
        <v>2.5890598096237798</v>
      </c>
      <c r="EY20">
        <v>4796.3680769230796</v>
      </c>
      <c r="EZ20">
        <v>15</v>
      </c>
      <c r="FA20">
        <v>1792216236.0999999</v>
      </c>
      <c r="FB20" t="s">
        <v>431</v>
      </c>
      <c r="FC20">
        <v>1792216236.0999999</v>
      </c>
      <c r="FD20">
        <v>1792216236.0999999</v>
      </c>
      <c r="FE20">
        <v>43</v>
      </c>
      <c r="FF20">
        <v>-0.33600000000000002</v>
      </c>
      <c r="FG20">
        <v>0</v>
      </c>
      <c r="FH20">
        <v>-3.5999999999999997E-2</v>
      </c>
      <c r="FI20">
        <v>-0.17299999999999999</v>
      </c>
      <c r="FJ20">
        <v>100</v>
      </c>
      <c r="FK20">
        <v>16</v>
      </c>
      <c r="FL20">
        <v>0.25</v>
      </c>
      <c r="FM20">
        <v>0.05</v>
      </c>
      <c r="FN20">
        <v>2.9177063651474402</v>
      </c>
      <c r="FO20">
        <v>-3.7734505470407298E-2</v>
      </c>
      <c r="FP20">
        <v>5.3781992457400903E-2</v>
      </c>
      <c r="FQ20">
        <v>1</v>
      </c>
      <c r="FR20">
        <v>-1.3434675</v>
      </c>
      <c r="FS20">
        <v>7.0212180451126996E-2</v>
      </c>
      <c r="FT20">
        <v>2.27837950910291E-2</v>
      </c>
      <c r="FU20">
        <v>1</v>
      </c>
      <c r="FV20">
        <v>308.57150000000001</v>
      </c>
      <c r="FW20">
        <v>-8.7074095485090902E-2</v>
      </c>
      <c r="FX20">
        <v>0.173879141596544</v>
      </c>
      <c r="FY20">
        <v>1</v>
      </c>
      <c r="FZ20">
        <v>3</v>
      </c>
      <c r="GA20">
        <v>3</v>
      </c>
      <c r="GB20" t="s">
        <v>419</v>
      </c>
      <c r="GC20">
        <v>3.1231800000000001</v>
      </c>
      <c r="GD20">
        <v>2.7653400000000001</v>
      </c>
      <c r="GE20">
        <v>2.63135E-2</v>
      </c>
      <c r="GF20">
        <v>2.73493E-2</v>
      </c>
      <c r="GG20">
        <v>9.4053999999999999E-2</v>
      </c>
      <c r="GH20">
        <v>9.0300900000000003E-2</v>
      </c>
      <c r="GI20">
        <v>18950.599999999999</v>
      </c>
      <c r="GJ20">
        <v>28543.8</v>
      </c>
      <c r="GK20">
        <v>22744</v>
      </c>
      <c r="GL20">
        <v>30072.3</v>
      </c>
      <c r="GM20">
        <v>33798.400000000001</v>
      </c>
      <c r="GN20">
        <v>34083.1</v>
      </c>
      <c r="GO20">
        <v>43038.6</v>
      </c>
      <c r="GP20">
        <v>42838.5</v>
      </c>
      <c r="GQ20">
        <v>1.95163</v>
      </c>
      <c r="GR20">
        <v>1.82253</v>
      </c>
      <c r="GS20">
        <v>6.7036600000000002E-2</v>
      </c>
      <c r="GT20">
        <v>0</v>
      </c>
      <c r="GU20">
        <v>23.883600000000001</v>
      </c>
      <c r="GV20">
        <v>999.9</v>
      </c>
      <c r="GW20">
        <v>42.918999999999997</v>
      </c>
      <c r="GX20">
        <v>31.562000000000001</v>
      </c>
      <c r="GY20">
        <v>19.6599</v>
      </c>
      <c r="GZ20">
        <v>62.986499999999999</v>
      </c>
      <c r="HA20">
        <v>33.497599999999998</v>
      </c>
      <c r="HB20">
        <v>1</v>
      </c>
      <c r="HC20">
        <v>0.107492</v>
      </c>
      <c r="HD20">
        <v>2.129</v>
      </c>
      <c r="HE20">
        <v>20.220099999999999</v>
      </c>
      <c r="HF20">
        <v>5.2339099999999998</v>
      </c>
      <c r="HG20">
        <v>11.962</v>
      </c>
      <c r="HH20">
        <v>4.9678000000000004</v>
      </c>
      <c r="HI20">
        <v>3.2950499999999998</v>
      </c>
      <c r="HJ20">
        <v>9999</v>
      </c>
      <c r="HK20">
        <v>9999</v>
      </c>
      <c r="HL20">
        <v>9999</v>
      </c>
      <c r="HM20">
        <v>999.9</v>
      </c>
      <c r="HN20">
        <v>4.9685800000000002</v>
      </c>
      <c r="HO20">
        <v>1.8624499999999999</v>
      </c>
      <c r="HP20">
        <v>1.86395</v>
      </c>
      <c r="HQ20">
        <v>1.8658399999999999</v>
      </c>
      <c r="HR20">
        <v>1.8629500000000001</v>
      </c>
      <c r="HS20">
        <v>1.8666100000000001</v>
      </c>
      <c r="HT20">
        <v>1.86338</v>
      </c>
      <c r="HU20">
        <v>1.8652299999999999</v>
      </c>
      <c r="HV20">
        <v>0</v>
      </c>
      <c r="HW20">
        <v>0</v>
      </c>
      <c r="HX20">
        <v>0</v>
      </c>
      <c r="HY20">
        <v>0</v>
      </c>
      <c r="HZ20" t="s">
        <v>420</v>
      </c>
      <c r="IA20" t="s">
        <v>421</v>
      </c>
      <c r="IB20" t="s">
        <v>422</v>
      </c>
      <c r="IC20" t="s">
        <v>422</v>
      </c>
      <c r="ID20" t="s">
        <v>422</v>
      </c>
      <c r="IE20" t="s">
        <v>422</v>
      </c>
      <c r="IF20">
        <v>0</v>
      </c>
      <c r="IG20">
        <v>100</v>
      </c>
      <c r="IH20">
        <v>100</v>
      </c>
      <c r="II20">
        <v>-3.5999999999999997E-2</v>
      </c>
      <c r="IJ20">
        <v>-0.10680000000000001</v>
      </c>
      <c r="IK20">
        <v>-5.9879972308074098E-2</v>
      </c>
      <c r="IL20">
        <v>2.16929631606078E-4</v>
      </c>
      <c r="IM20">
        <v>2.7226302473163502E-7</v>
      </c>
      <c r="IN20">
        <v>-5.4379205123515401E-11</v>
      </c>
      <c r="IO20">
        <v>-2.4706035112957801E-2</v>
      </c>
      <c r="IP20">
        <v>-5.8443384954566899E-2</v>
      </c>
      <c r="IQ20">
        <v>3.41568706061026E-3</v>
      </c>
      <c r="IR20">
        <v>-2.10952612506686E-5</v>
      </c>
      <c r="IS20">
        <v>0</v>
      </c>
      <c r="IT20">
        <v>1734</v>
      </c>
      <c r="IU20">
        <v>2</v>
      </c>
      <c r="IV20">
        <v>19</v>
      </c>
      <c r="IW20">
        <v>0.9</v>
      </c>
      <c r="IX20">
        <v>0.9</v>
      </c>
      <c r="IY20">
        <v>0.41503899999999999</v>
      </c>
      <c r="IZ20">
        <v>2.5683600000000002</v>
      </c>
      <c r="JA20">
        <v>1.3464400000000001</v>
      </c>
      <c r="JB20">
        <v>2.2558600000000002</v>
      </c>
      <c r="JC20">
        <v>1.5502899999999999</v>
      </c>
      <c r="JD20">
        <v>2.7148400000000001</v>
      </c>
      <c r="JE20">
        <v>35.801000000000002</v>
      </c>
      <c r="JF20">
        <v>15.156499999999999</v>
      </c>
      <c r="JG20">
        <v>18</v>
      </c>
      <c r="JH20">
        <v>492.18299999999999</v>
      </c>
      <c r="JI20">
        <v>486.88900000000001</v>
      </c>
      <c r="JJ20">
        <v>21.887</v>
      </c>
      <c r="JK20">
        <v>28.584700000000002</v>
      </c>
      <c r="JL20">
        <v>30</v>
      </c>
      <c r="JM20">
        <v>28.575399999999998</v>
      </c>
      <c r="JN20">
        <v>28.5886</v>
      </c>
      <c r="JO20">
        <v>8.3365399999999994</v>
      </c>
      <c r="JP20">
        <v>28.215199999999999</v>
      </c>
      <c r="JQ20">
        <v>47.313899999999997</v>
      </c>
      <c r="JR20">
        <v>21.886800000000001</v>
      </c>
      <c r="JS20">
        <v>100</v>
      </c>
      <c r="JT20">
        <v>15.825100000000001</v>
      </c>
      <c r="JU20">
        <v>101.621</v>
      </c>
      <c r="JV20">
        <v>97.269199999999998</v>
      </c>
    </row>
    <row r="21" spans="1:282" x14ac:dyDescent="0.3">
      <c r="A21">
        <v>5</v>
      </c>
      <c r="B21">
        <v>1792216409.0999999</v>
      </c>
      <c r="C21">
        <v>484</v>
      </c>
      <c r="D21" t="s">
        <v>432</v>
      </c>
      <c r="E21" t="s">
        <v>433</v>
      </c>
      <c r="F21">
        <v>5</v>
      </c>
      <c r="G21">
        <v>1792216406.0999999</v>
      </c>
      <c r="H21">
        <f t="shared" si="0"/>
        <v>4.6002719327143185E-3</v>
      </c>
      <c r="I21">
        <f t="shared" si="1"/>
        <v>4.6002719327143184</v>
      </c>
      <c r="J21">
        <f t="shared" si="2"/>
        <v>-0.50291557948529697</v>
      </c>
      <c r="K21">
        <f t="shared" si="3"/>
        <v>50.104619999999997</v>
      </c>
      <c r="L21">
        <f t="shared" si="4"/>
        <v>51.40045508987744</v>
      </c>
      <c r="M21">
        <f t="shared" si="5"/>
        <v>5.2323613102383337</v>
      </c>
      <c r="N21">
        <f t="shared" si="6"/>
        <v>5.1004504667084829</v>
      </c>
      <c r="O21">
        <f t="shared" si="7"/>
        <v>0.35088827681135409</v>
      </c>
      <c r="P21">
        <f t="shared" si="8"/>
        <v>3.0376227597554095</v>
      </c>
      <c r="Q21">
        <f t="shared" si="9"/>
        <v>0.32982526508887666</v>
      </c>
      <c r="R21">
        <f t="shared" si="10"/>
        <v>0.20792777384101147</v>
      </c>
      <c r="S21">
        <f t="shared" si="11"/>
        <v>241.74226940296964</v>
      </c>
      <c r="T21">
        <f t="shared" si="12"/>
        <v>25.593488728647714</v>
      </c>
      <c r="U21">
        <f t="shared" si="13"/>
        <v>24.974720000000001</v>
      </c>
      <c r="V21">
        <f t="shared" si="14"/>
        <v>3.1748884280742384</v>
      </c>
      <c r="W21">
        <f t="shared" si="15"/>
        <v>55.053890147797389</v>
      </c>
      <c r="X21">
        <f t="shared" si="16"/>
        <v>1.7897001067628864</v>
      </c>
      <c r="Y21">
        <f t="shared" si="17"/>
        <v>3.2508149777577326</v>
      </c>
      <c r="Z21">
        <f t="shared" si="18"/>
        <v>1.3851883213113521</v>
      </c>
      <c r="AA21">
        <f t="shared" si="19"/>
        <v>-202.87199223270144</v>
      </c>
      <c r="AB21">
        <f t="shared" si="20"/>
        <v>65.001333189443415</v>
      </c>
      <c r="AC21">
        <f t="shared" si="21"/>
        <v>4.5342510001523104</v>
      </c>
      <c r="AD21">
        <f t="shared" si="22"/>
        <v>108.40586135986393</v>
      </c>
      <c r="AE21">
        <v>0</v>
      </c>
      <c r="AF21">
        <v>0</v>
      </c>
      <c r="AG21">
        <f t="shared" si="23"/>
        <v>1</v>
      </c>
      <c r="AH21">
        <f t="shared" si="24"/>
        <v>0</v>
      </c>
      <c r="AI21">
        <f t="shared" si="25"/>
        <v>54025.377627387083</v>
      </c>
      <c r="AJ21" t="s">
        <v>416</v>
      </c>
      <c r="AK21" t="s">
        <v>416</v>
      </c>
      <c r="AL21">
        <v>0</v>
      </c>
      <c r="AM21">
        <v>0</v>
      </c>
      <c r="AN21" t="e">
        <f t="shared" si="26"/>
        <v>#DIV/0!</v>
      </c>
      <c r="AO21">
        <v>0</v>
      </c>
      <c r="AP21" t="s">
        <v>416</v>
      </c>
      <c r="AQ21" t="s">
        <v>416</v>
      </c>
      <c r="AR21">
        <v>0</v>
      </c>
      <c r="AS21">
        <v>0</v>
      </c>
      <c r="AT21" t="e">
        <f t="shared" si="27"/>
        <v>#DIV/0!</v>
      </c>
      <c r="AU21">
        <v>0.5</v>
      </c>
      <c r="AV21">
        <f t="shared" si="28"/>
        <v>1261.2393594834041</v>
      </c>
      <c r="AW21">
        <f t="shared" si="29"/>
        <v>-0.50291557948529697</v>
      </c>
      <c r="AX21" t="e">
        <f t="shared" si="30"/>
        <v>#DIV/0!</v>
      </c>
      <c r="AY21">
        <f t="shared" si="31"/>
        <v>-3.9874713368546328E-4</v>
      </c>
      <c r="AZ21" t="e">
        <f t="shared" si="32"/>
        <v>#DIV/0!</v>
      </c>
      <c r="BA21" t="e">
        <f t="shared" si="33"/>
        <v>#DIV/0!</v>
      </c>
      <c r="BB21" t="s">
        <v>416</v>
      </c>
      <c r="BC21">
        <v>0</v>
      </c>
      <c r="BD21" t="e">
        <f t="shared" si="34"/>
        <v>#DIV/0!</v>
      </c>
      <c r="BE21" t="e">
        <f t="shared" si="35"/>
        <v>#DIV/0!</v>
      </c>
      <c r="BF21" t="e">
        <f t="shared" si="36"/>
        <v>#DIV/0!</v>
      </c>
      <c r="BG21" t="e">
        <f t="shared" si="37"/>
        <v>#DIV/0!</v>
      </c>
      <c r="BH21" t="e">
        <f t="shared" si="38"/>
        <v>#DIV/0!</v>
      </c>
      <c r="BI21" t="e">
        <f t="shared" si="39"/>
        <v>#DIV/0!</v>
      </c>
      <c r="BJ21" t="e">
        <f t="shared" si="40"/>
        <v>#DIV/0!</v>
      </c>
      <c r="BK21" t="e">
        <f t="shared" si="41"/>
        <v>#DIV/0!</v>
      </c>
      <c r="BL21">
        <v>1138</v>
      </c>
      <c r="BM21">
        <v>290</v>
      </c>
      <c r="BN21">
        <v>1235.3699999999999</v>
      </c>
      <c r="BO21">
        <v>145</v>
      </c>
      <c r="BP21">
        <v>8137.14</v>
      </c>
      <c r="BQ21">
        <v>1226.99</v>
      </c>
      <c r="BR21">
        <v>8.3800000000000008</v>
      </c>
      <c r="BS21">
        <v>300</v>
      </c>
      <c r="BT21">
        <v>19.3</v>
      </c>
      <c r="BU21">
        <v>1291.7890306731799</v>
      </c>
      <c r="BV21">
        <v>2.4733662300604902</v>
      </c>
      <c r="BW21">
        <v>-52.725713425130103</v>
      </c>
      <c r="BX21">
        <v>1.7971348198971</v>
      </c>
      <c r="BY21">
        <v>0.96849553969215396</v>
      </c>
      <c r="BZ21">
        <v>-5.3927486095661902E-3</v>
      </c>
      <c r="CA21">
        <v>290</v>
      </c>
      <c r="CB21">
        <v>1210.3699999999999</v>
      </c>
      <c r="CC21">
        <v>615</v>
      </c>
      <c r="CD21">
        <v>8118.65</v>
      </c>
      <c r="CE21">
        <v>1226.8499999999999</v>
      </c>
      <c r="CF21">
        <v>-16.48</v>
      </c>
      <c r="CT21">
        <f t="shared" si="42"/>
        <v>1500.0340000000001</v>
      </c>
      <c r="CU21">
        <f t="shared" si="43"/>
        <v>1261.2393594834041</v>
      </c>
      <c r="CV21">
        <f t="shared" si="44"/>
        <v>0.84080718135949184</v>
      </c>
      <c r="CW21">
        <f t="shared" si="45"/>
        <v>0.16115786002381921</v>
      </c>
      <c r="CX21">
        <v>2</v>
      </c>
      <c r="CY21">
        <v>0.5</v>
      </c>
      <c r="CZ21" t="s">
        <v>417</v>
      </c>
      <c r="DA21">
        <v>2</v>
      </c>
      <c r="DB21">
        <v>1792216406.0999999</v>
      </c>
      <c r="DC21">
        <v>50.104619999999997</v>
      </c>
      <c r="DD21">
        <v>49.995660000000001</v>
      </c>
      <c r="DE21">
        <v>17.581240000000001</v>
      </c>
      <c r="DF21">
        <v>15.773619999999999</v>
      </c>
      <c r="DG21">
        <v>50.180759999999999</v>
      </c>
      <c r="DH21">
        <v>17.689039999999999</v>
      </c>
      <c r="DI21">
        <v>500.03800000000001</v>
      </c>
      <c r="DJ21">
        <v>101.696</v>
      </c>
      <c r="DK21">
        <v>0.10001135999999999</v>
      </c>
      <c r="DL21">
        <v>25.371639999999999</v>
      </c>
      <c r="DM21">
        <v>24.974720000000001</v>
      </c>
      <c r="DN21">
        <v>999.9</v>
      </c>
      <c r="DO21">
        <v>0</v>
      </c>
      <c r="DP21">
        <v>0</v>
      </c>
      <c r="DQ21">
        <v>9991.89</v>
      </c>
      <c r="DR21">
        <v>0</v>
      </c>
      <c r="DS21">
        <v>7.3656100000000002</v>
      </c>
      <c r="DT21">
        <v>0.1089719</v>
      </c>
      <c r="DU21">
        <v>51.001260000000002</v>
      </c>
      <c r="DV21">
        <v>50.796880000000002</v>
      </c>
      <c r="DW21">
        <v>1.807626</v>
      </c>
      <c r="DX21">
        <v>49.995660000000001</v>
      </c>
      <c r="DY21">
        <v>15.773619999999999</v>
      </c>
      <c r="DZ21">
        <v>1.7879419999999999</v>
      </c>
      <c r="EA21">
        <v>1.604112</v>
      </c>
      <c r="EB21">
        <v>15.681760000000001</v>
      </c>
      <c r="EC21">
        <v>13.99836</v>
      </c>
      <c r="ED21">
        <v>1500.0340000000001</v>
      </c>
      <c r="EE21">
        <v>0.97300520000000001</v>
      </c>
      <c r="EF21">
        <v>2.699474E-2</v>
      </c>
      <c r="EG21">
        <v>0</v>
      </c>
      <c r="EH21">
        <v>312.16000000000003</v>
      </c>
      <c r="EI21">
        <v>5.0006399999999998</v>
      </c>
      <c r="EJ21">
        <v>4848.6980000000003</v>
      </c>
      <c r="EK21">
        <v>15439.56</v>
      </c>
      <c r="EL21">
        <v>41.25</v>
      </c>
      <c r="EM21">
        <v>41.8874</v>
      </c>
      <c r="EN21">
        <v>41.561999999999998</v>
      </c>
      <c r="EO21">
        <v>41.561999999999998</v>
      </c>
      <c r="EP21">
        <v>42.75</v>
      </c>
      <c r="EQ21">
        <v>1454.674</v>
      </c>
      <c r="ER21">
        <v>40.36</v>
      </c>
      <c r="ES21">
        <v>0</v>
      </c>
      <c r="ET21">
        <v>4672.7000000476801</v>
      </c>
      <c r="EU21">
        <v>0</v>
      </c>
      <c r="EV21">
        <v>312.18544000000003</v>
      </c>
      <c r="EW21">
        <v>2.8461574732442799E-3</v>
      </c>
      <c r="EX21">
        <v>-0.54000000882683197</v>
      </c>
      <c r="EY21">
        <v>4848.7839999999997</v>
      </c>
      <c r="EZ21">
        <v>15</v>
      </c>
      <c r="FA21">
        <v>1792216352.0999999</v>
      </c>
      <c r="FB21" t="s">
        <v>434</v>
      </c>
      <c r="FC21">
        <v>1792216352.0999999</v>
      </c>
      <c r="FD21">
        <v>1792216350.0999999</v>
      </c>
      <c r="FE21">
        <v>44</v>
      </c>
      <c r="FF21">
        <v>-2.8000000000000001E-2</v>
      </c>
      <c r="FG21">
        <v>-1E-3</v>
      </c>
      <c r="FH21">
        <v>-7.5999999999999998E-2</v>
      </c>
      <c r="FI21">
        <v>-0.17399999999999999</v>
      </c>
      <c r="FJ21">
        <v>50</v>
      </c>
      <c r="FK21">
        <v>16</v>
      </c>
      <c r="FL21">
        <v>0.12</v>
      </c>
      <c r="FM21">
        <v>0.06</v>
      </c>
      <c r="FN21">
        <v>-0.52089740638376902</v>
      </c>
      <c r="FO21">
        <v>0.22149288910343901</v>
      </c>
      <c r="FP21">
        <v>6.2555933057391905E-2</v>
      </c>
      <c r="FQ21">
        <v>1</v>
      </c>
      <c r="FR21">
        <v>0.11706384</v>
      </c>
      <c r="FS21">
        <v>-0.122160261654136</v>
      </c>
      <c r="FT21">
        <v>2.4235964994722199E-2</v>
      </c>
      <c r="FU21">
        <v>1</v>
      </c>
      <c r="FV21">
        <v>312.12764705882398</v>
      </c>
      <c r="FW21">
        <v>0.71367455954428405</v>
      </c>
      <c r="FX21">
        <v>0.209110142994341</v>
      </c>
      <c r="FY21">
        <v>1</v>
      </c>
      <c r="FZ21">
        <v>3</v>
      </c>
      <c r="GA21">
        <v>3</v>
      </c>
      <c r="GB21" t="s">
        <v>419</v>
      </c>
      <c r="GC21">
        <v>3.1231100000000001</v>
      </c>
      <c r="GD21">
        <v>2.76518</v>
      </c>
      <c r="GE21">
        <v>1.3738500000000001E-2</v>
      </c>
      <c r="GF21">
        <v>1.4068199999999999E-2</v>
      </c>
      <c r="GG21">
        <v>9.4071399999999999E-2</v>
      </c>
      <c r="GH21">
        <v>9.0014499999999997E-2</v>
      </c>
      <c r="GI21">
        <v>19194.900000000001</v>
      </c>
      <c r="GJ21">
        <v>28933.200000000001</v>
      </c>
      <c r="GK21">
        <v>22743.5</v>
      </c>
      <c r="GL21">
        <v>30071.9</v>
      </c>
      <c r="GM21">
        <v>33796.5</v>
      </c>
      <c r="GN21">
        <v>34092.699999999997</v>
      </c>
      <c r="GO21">
        <v>43038.1</v>
      </c>
      <c r="GP21">
        <v>42838.1</v>
      </c>
      <c r="GQ21">
        <v>1.9515800000000001</v>
      </c>
      <c r="GR21">
        <v>1.82152</v>
      </c>
      <c r="GS21">
        <v>6.5378800000000001E-2</v>
      </c>
      <c r="GT21">
        <v>0</v>
      </c>
      <c r="GU21">
        <v>23.893599999999999</v>
      </c>
      <c r="GV21">
        <v>999.9</v>
      </c>
      <c r="GW21">
        <v>42.845999999999997</v>
      </c>
      <c r="GX21">
        <v>31.591999999999999</v>
      </c>
      <c r="GY21">
        <v>19.6572</v>
      </c>
      <c r="GZ21">
        <v>63.186500000000002</v>
      </c>
      <c r="HA21">
        <v>34.058500000000002</v>
      </c>
      <c r="HB21">
        <v>1</v>
      </c>
      <c r="HC21">
        <v>0.108834</v>
      </c>
      <c r="HD21">
        <v>2.0943399999999999</v>
      </c>
      <c r="HE21">
        <v>20.220099999999999</v>
      </c>
      <c r="HF21">
        <v>5.2292699999999996</v>
      </c>
      <c r="HG21">
        <v>11.962199999999999</v>
      </c>
      <c r="HH21">
        <v>4.9687999999999999</v>
      </c>
      <c r="HI21">
        <v>3.2950300000000001</v>
      </c>
      <c r="HJ21">
        <v>9999</v>
      </c>
      <c r="HK21">
        <v>9999</v>
      </c>
      <c r="HL21">
        <v>9999</v>
      </c>
      <c r="HM21">
        <v>999.9</v>
      </c>
      <c r="HN21">
        <v>4.9685800000000002</v>
      </c>
      <c r="HO21">
        <v>1.86236</v>
      </c>
      <c r="HP21">
        <v>1.8639399999999999</v>
      </c>
      <c r="HQ21">
        <v>1.8658399999999999</v>
      </c>
      <c r="HR21">
        <v>1.86293</v>
      </c>
      <c r="HS21">
        <v>1.8666100000000001</v>
      </c>
      <c r="HT21">
        <v>1.8633900000000001</v>
      </c>
      <c r="HU21">
        <v>1.8652299999999999</v>
      </c>
      <c r="HV21">
        <v>0</v>
      </c>
      <c r="HW21">
        <v>0</v>
      </c>
      <c r="HX21">
        <v>0</v>
      </c>
      <c r="HY21">
        <v>0</v>
      </c>
      <c r="HZ21" t="s">
        <v>420</v>
      </c>
      <c r="IA21" t="s">
        <v>421</v>
      </c>
      <c r="IB21" t="s">
        <v>422</v>
      </c>
      <c r="IC21" t="s">
        <v>422</v>
      </c>
      <c r="ID21" t="s">
        <v>422</v>
      </c>
      <c r="IE21" t="s">
        <v>422</v>
      </c>
      <c r="IF21">
        <v>0</v>
      </c>
      <c r="IG21">
        <v>100</v>
      </c>
      <c r="IH21">
        <v>100</v>
      </c>
      <c r="II21">
        <v>-7.5999999999999998E-2</v>
      </c>
      <c r="IJ21">
        <v>-0.1079</v>
      </c>
      <c r="IK21">
        <v>-8.7706488773794195E-2</v>
      </c>
      <c r="IL21">
        <v>2.16929631606078E-4</v>
      </c>
      <c r="IM21">
        <v>2.7226302473163502E-7</v>
      </c>
      <c r="IN21">
        <v>-5.4379205123515401E-11</v>
      </c>
      <c r="IO21">
        <v>-2.60226766713565E-2</v>
      </c>
      <c r="IP21">
        <v>-5.8443384954566899E-2</v>
      </c>
      <c r="IQ21">
        <v>3.41568706061026E-3</v>
      </c>
      <c r="IR21">
        <v>-2.10952612506686E-5</v>
      </c>
      <c r="IS21">
        <v>0</v>
      </c>
      <c r="IT21">
        <v>1734</v>
      </c>
      <c r="IU21">
        <v>2</v>
      </c>
      <c r="IV21">
        <v>19</v>
      </c>
      <c r="IW21">
        <v>0.9</v>
      </c>
      <c r="IX21">
        <v>1</v>
      </c>
      <c r="IY21">
        <v>0.30395499999999998</v>
      </c>
      <c r="IZ21">
        <v>2.5976599999999999</v>
      </c>
      <c r="JA21">
        <v>1.3476600000000001</v>
      </c>
      <c r="JB21">
        <v>2.2558600000000002</v>
      </c>
      <c r="JC21">
        <v>1.5502899999999999</v>
      </c>
      <c r="JD21">
        <v>2.5280800000000001</v>
      </c>
      <c r="JE21">
        <v>35.801000000000002</v>
      </c>
      <c r="JF21">
        <v>15.121499999999999</v>
      </c>
      <c r="JG21">
        <v>18</v>
      </c>
      <c r="JH21">
        <v>492.35700000000003</v>
      </c>
      <c r="JI21">
        <v>486.40499999999997</v>
      </c>
      <c r="JJ21">
        <v>21.945699999999999</v>
      </c>
      <c r="JK21">
        <v>28.604600000000001</v>
      </c>
      <c r="JL21">
        <v>30.0001</v>
      </c>
      <c r="JM21">
        <v>28.599699999999999</v>
      </c>
      <c r="JN21">
        <v>28.613299999999999</v>
      </c>
      <c r="JO21">
        <v>6.10154</v>
      </c>
      <c r="JP21">
        <v>28.381</v>
      </c>
      <c r="JQ21">
        <v>47.0261</v>
      </c>
      <c r="JR21">
        <v>21.968</v>
      </c>
      <c r="JS21">
        <v>50</v>
      </c>
      <c r="JT21">
        <v>15.744199999999999</v>
      </c>
      <c r="JU21">
        <v>101.619</v>
      </c>
      <c r="JV21">
        <v>97.268199999999993</v>
      </c>
    </row>
    <row r="22" spans="1:282" x14ac:dyDescent="0.3">
      <c r="A22">
        <v>6</v>
      </c>
      <c r="B22">
        <v>1792216560.0999999</v>
      </c>
      <c r="C22">
        <v>635</v>
      </c>
      <c r="D22" t="s">
        <v>435</v>
      </c>
      <c r="E22" t="s">
        <v>436</v>
      </c>
      <c r="F22">
        <v>5</v>
      </c>
      <c r="G22">
        <v>1792216556.5999999</v>
      </c>
      <c r="H22">
        <f t="shared" si="0"/>
        <v>4.9153848234560274E-3</v>
      </c>
      <c r="I22">
        <f t="shared" si="1"/>
        <v>4.9153848234560273</v>
      </c>
      <c r="J22">
        <f t="shared" si="2"/>
        <v>22.807770591686136</v>
      </c>
      <c r="K22">
        <f t="shared" si="3"/>
        <v>390.14783333333298</v>
      </c>
      <c r="L22">
        <f t="shared" si="4"/>
        <v>279.60628388963289</v>
      </c>
      <c r="M22">
        <f t="shared" si="5"/>
        <v>28.463489865884419</v>
      </c>
      <c r="N22">
        <f t="shared" si="6"/>
        <v>39.716449665571446</v>
      </c>
      <c r="O22">
        <f t="shared" si="7"/>
        <v>0.37461266999652787</v>
      </c>
      <c r="P22">
        <f t="shared" si="8"/>
        <v>3.0387964251606316</v>
      </c>
      <c r="Q22">
        <f t="shared" si="9"/>
        <v>0.35071781428966592</v>
      </c>
      <c r="R22">
        <f t="shared" si="10"/>
        <v>0.22121835930808254</v>
      </c>
      <c r="S22">
        <f t="shared" si="11"/>
        <v>241.7408330029636</v>
      </c>
      <c r="T22">
        <f t="shared" si="12"/>
        <v>25.593102076001156</v>
      </c>
      <c r="U22">
        <f t="shared" si="13"/>
        <v>25.007300000000001</v>
      </c>
      <c r="V22">
        <f t="shared" si="14"/>
        <v>3.1810617104257086</v>
      </c>
      <c r="W22">
        <f t="shared" si="15"/>
        <v>54.779603719059132</v>
      </c>
      <c r="X22">
        <f t="shared" si="16"/>
        <v>1.789163971399905</v>
      </c>
      <c r="Y22">
        <f t="shared" si="17"/>
        <v>3.2661133888002412</v>
      </c>
      <c r="Z22">
        <f t="shared" si="18"/>
        <v>1.3918977390258036</v>
      </c>
      <c r="AA22">
        <f t="shared" si="19"/>
        <v>-216.7684707144108</v>
      </c>
      <c r="AB22">
        <f t="shared" si="20"/>
        <v>72.63023284047307</v>
      </c>
      <c r="AC22">
        <f t="shared" si="21"/>
        <v>5.0673015390898666</v>
      </c>
      <c r="AD22">
        <f t="shared" si="22"/>
        <v>102.66989666811574</v>
      </c>
      <c r="AE22">
        <v>0</v>
      </c>
      <c r="AF22">
        <v>0</v>
      </c>
      <c r="AG22">
        <f t="shared" si="23"/>
        <v>1</v>
      </c>
      <c r="AH22">
        <f t="shared" si="24"/>
        <v>0</v>
      </c>
      <c r="AI22">
        <f t="shared" si="25"/>
        <v>54047.888079434793</v>
      </c>
      <c r="AJ22" t="s">
        <v>416</v>
      </c>
      <c r="AK22" t="s">
        <v>416</v>
      </c>
      <c r="AL22">
        <v>0</v>
      </c>
      <c r="AM22">
        <v>0</v>
      </c>
      <c r="AN22" t="e">
        <f t="shared" si="26"/>
        <v>#DIV/0!</v>
      </c>
      <c r="AO22">
        <v>0</v>
      </c>
      <c r="AP22" t="s">
        <v>416</v>
      </c>
      <c r="AQ22" t="s">
        <v>416</v>
      </c>
      <c r="AR22">
        <v>0</v>
      </c>
      <c r="AS22">
        <v>0</v>
      </c>
      <c r="AT22" t="e">
        <f t="shared" si="27"/>
        <v>#DIV/0!</v>
      </c>
      <c r="AU22">
        <v>0.5</v>
      </c>
      <c r="AV22">
        <f t="shared" si="28"/>
        <v>1261.2317994834009</v>
      </c>
      <c r="AW22">
        <f t="shared" si="29"/>
        <v>22.807770591686136</v>
      </c>
      <c r="AX22" t="e">
        <f t="shared" si="30"/>
        <v>#DIV/0!</v>
      </c>
      <c r="AY22">
        <f t="shared" si="31"/>
        <v>1.8083726243683495E-2</v>
      </c>
      <c r="AZ22" t="e">
        <f t="shared" si="32"/>
        <v>#DIV/0!</v>
      </c>
      <c r="BA22" t="e">
        <f t="shared" si="33"/>
        <v>#DIV/0!</v>
      </c>
      <c r="BB22" t="s">
        <v>416</v>
      </c>
      <c r="BC22">
        <v>0</v>
      </c>
      <c r="BD22" t="e">
        <f t="shared" si="34"/>
        <v>#DIV/0!</v>
      </c>
      <c r="BE22" t="e">
        <f t="shared" si="35"/>
        <v>#DIV/0!</v>
      </c>
      <c r="BF22" t="e">
        <f t="shared" si="36"/>
        <v>#DIV/0!</v>
      </c>
      <c r="BG22" t="e">
        <f t="shared" si="37"/>
        <v>#DIV/0!</v>
      </c>
      <c r="BH22" t="e">
        <f t="shared" si="38"/>
        <v>#DIV/0!</v>
      </c>
      <c r="BI22" t="e">
        <f t="shared" si="39"/>
        <v>#DIV/0!</v>
      </c>
      <c r="BJ22" t="e">
        <f t="shared" si="40"/>
        <v>#DIV/0!</v>
      </c>
      <c r="BK22" t="e">
        <f t="shared" si="41"/>
        <v>#DIV/0!</v>
      </c>
      <c r="BL22">
        <v>1138</v>
      </c>
      <c r="BM22">
        <v>290</v>
      </c>
      <c r="BN22">
        <v>1235.3699999999999</v>
      </c>
      <c r="BO22">
        <v>145</v>
      </c>
      <c r="BP22">
        <v>8137.14</v>
      </c>
      <c r="BQ22">
        <v>1226.99</v>
      </c>
      <c r="BR22">
        <v>8.3800000000000008</v>
      </c>
      <c r="BS22">
        <v>300</v>
      </c>
      <c r="BT22">
        <v>19.3</v>
      </c>
      <c r="BU22">
        <v>1291.7890306731799</v>
      </c>
      <c r="BV22">
        <v>2.4733662300604902</v>
      </c>
      <c r="BW22">
        <v>-52.725713425130103</v>
      </c>
      <c r="BX22">
        <v>1.7971348198971</v>
      </c>
      <c r="BY22">
        <v>0.96849553969215396</v>
      </c>
      <c r="BZ22">
        <v>-5.3927486095661902E-3</v>
      </c>
      <c r="CA22">
        <v>290</v>
      </c>
      <c r="CB22">
        <v>1210.3699999999999</v>
      </c>
      <c r="CC22">
        <v>615</v>
      </c>
      <c r="CD22">
        <v>8118.65</v>
      </c>
      <c r="CE22">
        <v>1226.8499999999999</v>
      </c>
      <c r="CF22">
        <v>-16.48</v>
      </c>
      <c r="CT22">
        <f t="shared" si="42"/>
        <v>1500.0250000000001</v>
      </c>
      <c r="CU22">
        <f t="shared" si="43"/>
        <v>1261.2317994834009</v>
      </c>
      <c r="CV22">
        <f t="shared" si="44"/>
        <v>0.84080718620249717</v>
      </c>
      <c r="CW22">
        <f t="shared" si="45"/>
        <v>0.16115786937081955</v>
      </c>
      <c r="CX22">
        <v>2</v>
      </c>
      <c r="CY22">
        <v>0.5</v>
      </c>
      <c r="CZ22" t="s">
        <v>417</v>
      </c>
      <c r="DA22">
        <v>2</v>
      </c>
      <c r="DB22">
        <v>1792216556.5999999</v>
      </c>
      <c r="DC22">
        <v>390.14783333333298</v>
      </c>
      <c r="DD22">
        <v>400.03616666666699</v>
      </c>
      <c r="DE22">
        <v>17.57555</v>
      </c>
      <c r="DF22">
        <v>15.6443166666667</v>
      </c>
      <c r="DG22">
        <v>389.351333333333</v>
      </c>
      <c r="DH22">
        <v>17.678049999999999</v>
      </c>
      <c r="DI22">
        <v>500.094333333333</v>
      </c>
      <c r="DJ22">
        <v>101.698333333333</v>
      </c>
      <c r="DK22">
        <v>0.100129383333333</v>
      </c>
      <c r="DL22">
        <v>25.4506333333333</v>
      </c>
      <c r="DM22">
        <v>25.007300000000001</v>
      </c>
      <c r="DN22">
        <v>999.9</v>
      </c>
      <c r="DO22">
        <v>0</v>
      </c>
      <c r="DP22">
        <v>0</v>
      </c>
      <c r="DQ22">
        <v>9998.75</v>
      </c>
      <c r="DR22">
        <v>0</v>
      </c>
      <c r="DS22">
        <v>7.3656100000000002</v>
      </c>
      <c r="DT22">
        <v>-9.8882966666666707</v>
      </c>
      <c r="DU22">
        <v>397.12799999999999</v>
      </c>
      <c r="DV22">
        <v>406.39400000000001</v>
      </c>
      <c r="DW22">
        <v>1.93123</v>
      </c>
      <c r="DX22">
        <v>400.03616666666699</v>
      </c>
      <c r="DY22">
        <v>15.6443166666667</v>
      </c>
      <c r="DZ22">
        <v>1.7874016666666701</v>
      </c>
      <c r="EA22">
        <v>1.59099833333333</v>
      </c>
      <c r="EB22">
        <v>15.677049999999999</v>
      </c>
      <c r="EC22">
        <v>13.871883333333299</v>
      </c>
      <c r="ED22">
        <v>1500.0250000000001</v>
      </c>
      <c r="EE22">
        <v>0.97300533333333294</v>
      </c>
      <c r="EF22">
        <v>2.6994566666666699E-2</v>
      </c>
      <c r="EG22">
        <v>0</v>
      </c>
      <c r="EH22">
        <v>306.19483333333301</v>
      </c>
      <c r="EI22">
        <v>5.0006399999999998</v>
      </c>
      <c r="EJ22">
        <v>4762.6516666666703</v>
      </c>
      <c r="EK22">
        <v>15439.5</v>
      </c>
      <c r="EL22">
        <v>41.25</v>
      </c>
      <c r="EM22">
        <v>41.936999999999998</v>
      </c>
      <c r="EN22">
        <v>41.572499999999998</v>
      </c>
      <c r="EO22">
        <v>41.561999999999998</v>
      </c>
      <c r="EP22">
        <v>42.75</v>
      </c>
      <c r="EQ22">
        <v>1454.665</v>
      </c>
      <c r="ER22">
        <v>40.36</v>
      </c>
      <c r="ES22">
        <v>0</v>
      </c>
      <c r="ET22">
        <v>4823.9000000953702</v>
      </c>
      <c r="EU22">
        <v>0</v>
      </c>
      <c r="EV22">
        <v>305.98320000000001</v>
      </c>
      <c r="EW22">
        <v>2.7624615411273101</v>
      </c>
      <c r="EX22">
        <v>37.3961538421757</v>
      </c>
      <c r="EY22">
        <v>4760.0072</v>
      </c>
      <c r="EZ22">
        <v>15</v>
      </c>
      <c r="FA22">
        <v>1792216470.0999999</v>
      </c>
      <c r="FB22" t="s">
        <v>437</v>
      </c>
      <c r="FC22">
        <v>1792216467.0999999</v>
      </c>
      <c r="FD22">
        <v>1792216470.0999999</v>
      </c>
      <c r="FE22">
        <v>45</v>
      </c>
      <c r="FF22">
        <v>0.76200000000000001</v>
      </c>
      <c r="FG22">
        <v>6.0000000000000001E-3</v>
      </c>
      <c r="FH22">
        <v>0.80100000000000005</v>
      </c>
      <c r="FI22">
        <v>-0.17100000000000001</v>
      </c>
      <c r="FJ22">
        <v>400</v>
      </c>
      <c r="FK22">
        <v>16</v>
      </c>
      <c r="FL22">
        <v>0.15</v>
      </c>
      <c r="FM22">
        <v>0.03</v>
      </c>
      <c r="FN22">
        <v>22.6020095356063</v>
      </c>
      <c r="FO22">
        <v>0.95644212243628601</v>
      </c>
      <c r="FP22">
        <v>0.130191738283782</v>
      </c>
      <c r="FQ22">
        <v>0</v>
      </c>
      <c r="FR22">
        <v>-9.8219440000000002</v>
      </c>
      <c r="FS22">
        <v>-0.33427218045113499</v>
      </c>
      <c r="FT22">
        <v>4.7115869768051703E-2</v>
      </c>
      <c r="FU22">
        <v>1</v>
      </c>
      <c r="FV22">
        <v>305.71567647058799</v>
      </c>
      <c r="FW22">
        <v>3.30027501954048</v>
      </c>
      <c r="FX22">
        <v>0.370940673914323</v>
      </c>
      <c r="FY22">
        <v>0</v>
      </c>
      <c r="FZ22">
        <v>1</v>
      </c>
      <c r="GA22">
        <v>3</v>
      </c>
      <c r="GB22" t="s">
        <v>438</v>
      </c>
      <c r="GC22">
        <v>3.1230899999999999</v>
      </c>
      <c r="GD22">
        <v>2.7650999999999999</v>
      </c>
      <c r="GE22">
        <v>8.6419800000000005E-2</v>
      </c>
      <c r="GF22">
        <v>9.0401899999999993E-2</v>
      </c>
      <c r="GG22">
        <v>9.4001000000000001E-2</v>
      </c>
      <c r="GH22">
        <v>8.9480900000000002E-2</v>
      </c>
      <c r="GI22">
        <v>17778.7</v>
      </c>
      <c r="GJ22">
        <v>26692.799999999999</v>
      </c>
      <c r="GK22">
        <v>22741.599999999999</v>
      </c>
      <c r="GL22">
        <v>30071.9</v>
      </c>
      <c r="GM22">
        <v>33801.699999999997</v>
      </c>
      <c r="GN22">
        <v>34117.800000000003</v>
      </c>
      <c r="GO22">
        <v>43035.6</v>
      </c>
      <c r="GP22">
        <v>42837.8</v>
      </c>
      <c r="GQ22">
        <v>1.9517500000000001</v>
      </c>
      <c r="GR22">
        <v>1.8220000000000001</v>
      </c>
      <c r="GS22">
        <v>6.3963199999999998E-2</v>
      </c>
      <c r="GT22">
        <v>0</v>
      </c>
      <c r="GU22">
        <v>23.9359</v>
      </c>
      <c r="GV22">
        <v>999.9</v>
      </c>
      <c r="GW22">
        <v>42.643999999999998</v>
      </c>
      <c r="GX22">
        <v>31.622</v>
      </c>
      <c r="GY22">
        <v>19.598500000000001</v>
      </c>
      <c r="GZ22">
        <v>63.416499999999999</v>
      </c>
      <c r="HA22">
        <v>33.457500000000003</v>
      </c>
      <c r="HB22">
        <v>1</v>
      </c>
      <c r="HC22">
        <v>0.109794</v>
      </c>
      <c r="HD22">
        <v>2.00475</v>
      </c>
      <c r="HE22">
        <v>20.221399999999999</v>
      </c>
      <c r="HF22">
        <v>5.23421</v>
      </c>
      <c r="HG22">
        <v>11.962</v>
      </c>
      <c r="HH22">
        <v>4.9684499999999998</v>
      </c>
      <c r="HI22">
        <v>3.2949999999999999</v>
      </c>
      <c r="HJ22">
        <v>9999</v>
      </c>
      <c r="HK22">
        <v>9999</v>
      </c>
      <c r="HL22">
        <v>9999</v>
      </c>
      <c r="HM22">
        <v>999.9</v>
      </c>
      <c r="HN22">
        <v>4.96854</v>
      </c>
      <c r="HO22">
        <v>1.8623799999999999</v>
      </c>
      <c r="HP22">
        <v>1.8639300000000001</v>
      </c>
      <c r="HQ22">
        <v>1.8658399999999999</v>
      </c>
      <c r="HR22">
        <v>1.8629500000000001</v>
      </c>
      <c r="HS22">
        <v>1.8666100000000001</v>
      </c>
      <c r="HT22">
        <v>1.8633900000000001</v>
      </c>
      <c r="HU22">
        <v>1.8652299999999999</v>
      </c>
      <c r="HV22">
        <v>0</v>
      </c>
      <c r="HW22">
        <v>0</v>
      </c>
      <c r="HX22">
        <v>0</v>
      </c>
      <c r="HY22">
        <v>0</v>
      </c>
      <c r="HZ22" t="s">
        <v>420</v>
      </c>
      <c r="IA22" t="s">
        <v>421</v>
      </c>
      <c r="IB22" t="s">
        <v>422</v>
      </c>
      <c r="IC22" t="s">
        <v>422</v>
      </c>
      <c r="ID22" t="s">
        <v>422</v>
      </c>
      <c r="IE22" t="s">
        <v>422</v>
      </c>
      <c r="IF22">
        <v>0</v>
      </c>
      <c r="IG22">
        <v>100</v>
      </c>
      <c r="IH22">
        <v>100</v>
      </c>
      <c r="II22">
        <v>0.79700000000000004</v>
      </c>
      <c r="IJ22">
        <v>-0.1028</v>
      </c>
      <c r="IK22">
        <v>0.67428825536236203</v>
      </c>
      <c r="IL22">
        <v>2.16929631606078E-4</v>
      </c>
      <c r="IM22">
        <v>2.7226302473163502E-7</v>
      </c>
      <c r="IN22">
        <v>-5.4379205123515401E-11</v>
      </c>
      <c r="IO22">
        <v>-2.0217426539661701E-2</v>
      </c>
      <c r="IP22">
        <v>-5.8443384954566899E-2</v>
      </c>
      <c r="IQ22">
        <v>3.41568706061026E-3</v>
      </c>
      <c r="IR22">
        <v>-2.10952612506686E-5</v>
      </c>
      <c r="IS22">
        <v>0</v>
      </c>
      <c r="IT22">
        <v>1734</v>
      </c>
      <c r="IU22">
        <v>2</v>
      </c>
      <c r="IV22">
        <v>19</v>
      </c>
      <c r="IW22">
        <v>1.6</v>
      </c>
      <c r="IX22">
        <v>1.5</v>
      </c>
      <c r="IY22">
        <v>1.0559099999999999</v>
      </c>
      <c r="IZ22">
        <v>2.5793499999999998</v>
      </c>
      <c r="JA22">
        <v>1.3476600000000001</v>
      </c>
      <c r="JB22">
        <v>2.2558600000000002</v>
      </c>
      <c r="JC22">
        <v>1.5502899999999999</v>
      </c>
      <c r="JD22">
        <v>2.49634</v>
      </c>
      <c r="JE22">
        <v>35.824399999999997</v>
      </c>
      <c r="JF22">
        <v>15.086399999999999</v>
      </c>
      <c r="JG22">
        <v>18</v>
      </c>
      <c r="JH22">
        <v>492.65</v>
      </c>
      <c r="JI22">
        <v>486.96</v>
      </c>
      <c r="JJ22">
        <v>22.0946</v>
      </c>
      <c r="JK22">
        <v>28.621099999999998</v>
      </c>
      <c r="JL22">
        <v>30.0001</v>
      </c>
      <c r="JM22">
        <v>28.621600000000001</v>
      </c>
      <c r="JN22">
        <v>28.637599999999999</v>
      </c>
      <c r="JO22">
        <v>21.147400000000001</v>
      </c>
      <c r="JP22">
        <v>28.799099999999999</v>
      </c>
      <c r="JQ22">
        <v>46.256900000000002</v>
      </c>
      <c r="JR22">
        <v>22.093299999999999</v>
      </c>
      <c r="JS22">
        <v>400</v>
      </c>
      <c r="JT22">
        <v>15.681100000000001</v>
      </c>
      <c r="JU22">
        <v>101.61199999999999</v>
      </c>
      <c r="JV22">
        <v>97.267700000000005</v>
      </c>
    </row>
    <row r="23" spans="1:282" x14ac:dyDescent="0.3">
      <c r="A23">
        <v>7</v>
      </c>
      <c r="B23">
        <v>1792216686.0999999</v>
      </c>
      <c r="C23">
        <v>761</v>
      </c>
      <c r="D23" t="s">
        <v>439</v>
      </c>
      <c r="E23" t="s">
        <v>440</v>
      </c>
      <c r="F23">
        <v>5</v>
      </c>
      <c r="G23">
        <v>1792216683.0999999</v>
      </c>
      <c r="H23">
        <f t="shared" si="0"/>
        <v>4.9633028211297859E-3</v>
      </c>
      <c r="I23">
        <f t="shared" si="1"/>
        <v>4.963302821129786</v>
      </c>
      <c r="J23">
        <f t="shared" si="2"/>
        <v>23.411020082941622</v>
      </c>
      <c r="K23">
        <f t="shared" si="3"/>
        <v>389.88580000000002</v>
      </c>
      <c r="L23">
        <f t="shared" si="4"/>
        <v>278.69980830817195</v>
      </c>
      <c r="M23">
        <f t="shared" si="5"/>
        <v>28.370803689597462</v>
      </c>
      <c r="N23">
        <f t="shared" si="6"/>
        <v>39.689203807885505</v>
      </c>
      <c r="O23">
        <f t="shared" si="7"/>
        <v>0.38226729987233959</v>
      </c>
      <c r="P23">
        <f t="shared" si="8"/>
        <v>3.037450225894109</v>
      </c>
      <c r="Q23">
        <f t="shared" si="9"/>
        <v>0.35741044935282396</v>
      </c>
      <c r="R23">
        <f t="shared" si="10"/>
        <v>0.22547999185337653</v>
      </c>
      <c r="S23">
        <f t="shared" si="11"/>
        <v>241.7390774029563</v>
      </c>
      <c r="T23">
        <f t="shared" si="12"/>
        <v>25.593775822239955</v>
      </c>
      <c r="U23">
        <f t="shared" si="13"/>
        <v>25.007639999999999</v>
      </c>
      <c r="V23">
        <f t="shared" si="14"/>
        <v>3.1811261891399263</v>
      </c>
      <c r="W23">
        <f t="shared" si="15"/>
        <v>55.133724521566648</v>
      </c>
      <c r="X23">
        <f t="shared" si="16"/>
        <v>1.8020878154631002</v>
      </c>
      <c r="Y23">
        <f t="shared" si="17"/>
        <v>3.2685762318817728</v>
      </c>
      <c r="Z23">
        <f t="shared" si="18"/>
        <v>1.3790383736768261</v>
      </c>
      <c r="AA23">
        <f t="shared" si="19"/>
        <v>-218.88165441182355</v>
      </c>
      <c r="AB23">
        <f t="shared" si="20"/>
        <v>74.619885954446929</v>
      </c>
      <c r="AC23">
        <f t="shared" si="21"/>
        <v>5.2087654083924448</v>
      </c>
      <c r="AD23">
        <f t="shared" si="22"/>
        <v>102.68607435397213</v>
      </c>
      <c r="AE23">
        <v>0</v>
      </c>
      <c r="AF23">
        <v>0</v>
      </c>
      <c r="AG23">
        <f t="shared" si="23"/>
        <v>1</v>
      </c>
      <c r="AH23">
        <f t="shared" si="24"/>
        <v>0</v>
      </c>
      <c r="AI23">
        <f t="shared" si="25"/>
        <v>54003.402046537456</v>
      </c>
      <c r="AJ23" t="s">
        <v>416</v>
      </c>
      <c r="AK23" t="s">
        <v>416</v>
      </c>
      <c r="AL23">
        <v>0</v>
      </c>
      <c r="AM23">
        <v>0</v>
      </c>
      <c r="AN23" t="e">
        <f t="shared" si="26"/>
        <v>#DIV/0!</v>
      </c>
      <c r="AO23">
        <v>0</v>
      </c>
      <c r="AP23" t="s">
        <v>416</v>
      </c>
      <c r="AQ23" t="s">
        <v>416</v>
      </c>
      <c r="AR23">
        <v>0</v>
      </c>
      <c r="AS23">
        <v>0</v>
      </c>
      <c r="AT23" t="e">
        <f t="shared" si="27"/>
        <v>#DIV/0!</v>
      </c>
      <c r="AU23">
        <v>0.5</v>
      </c>
      <c r="AV23">
        <f t="shared" si="28"/>
        <v>1261.2225594833972</v>
      </c>
      <c r="AW23">
        <f t="shared" si="29"/>
        <v>23.411020082941622</v>
      </c>
      <c r="AX23" t="e">
        <f t="shared" si="30"/>
        <v>#DIV/0!</v>
      </c>
      <c r="AY23">
        <f t="shared" si="31"/>
        <v>1.8562164073984602E-2</v>
      </c>
      <c r="AZ23" t="e">
        <f t="shared" si="32"/>
        <v>#DIV/0!</v>
      </c>
      <c r="BA23" t="e">
        <f t="shared" si="33"/>
        <v>#DIV/0!</v>
      </c>
      <c r="BB23" t="s">
        <v>416</v>
      </c>
      <c r="BC23">
        <v>0</v>
      </c>
      <c r="BD23" t="e">
        <f t="shared" si="34"/>
        <v>#DIV/0!</v>
      </c>
      <c r="BE23" t="e">
        <f t="shared" si="35"/>
        <v>#DIV/0!</v>
      </c>
      <c r="BF23" t="e">
        <f t="shared" si="36"/>
        <v>#DIV/0!</v>
      </c>
      <c r="BG23" t="e">
        <f t="shared" si="37"/>
        <v>#DIV/0!</v>
      </c>
      <c r="BH23" t="e">
        <f t="shared" si="38"/>
        <v>#DIV/0!</v>
      </c>
      <c r="BI23" t="e">
        <f t="shared" si="39"/>
        <v>#DIV/0!</v>
      </c>
      <c r="BJ23" t="e">
        <f t="shared" si="40"/>
        <v>#DIV/0!</v>
      </c>
      <c r="BK23" t="e">
        <f t="shared" si="41"/>
        <v>#DIV/0!</v>
      </c>
      <c r="BL23">
        <v>1138</v>
      </c>
      <c r="BM23">
        <v>290</v>
      </c>
      <c r="BN23">
        <v>1235.3699999999999</v>
      </c>
      <c r="BO23">
        <v>145</v>
      </c>
      <c r="BP23">
        <v>8137.14</v>
      </c>
      <c r="BQ23">
        <v>1226.99</v>
      </c>
      <c r="BR23">
        <v>8.3800000000000008</v>
      </c>
      <c r="BS23">
        <v>300</v>
      </c>
      <c r="BT23">
        <v>19.3</v>
      </c>
      <c r="BU23">
        <v>1291.7890306731799</v>
      </c>
      <c r="BV23">
        <v>2.4733662300604902</v>
      </c>
      <c r="BW23">
        <v>-52.725713425130103</v>
      </c>
      <c r="BX23">
        <v>1.7971348198971</v>
      </c>
      <c r="BY23">
        <v>0.96849553969215396</v>
      </c>
      <c r="BZ23">
        <v>-5.3927486095661902E-3</v>
      </c>
      <c r="CA23">
        <v>290</v>
      </c>
      <c r="CB23">
        <v>1210.3699999999999</v>
      </c>
      <c r="CC23">
        <v>615</v>
      </c>
      <c r="CD23">
        <v>8118.65</v>
      </c>
      <c r="CE23">
        <v>1226.8499999999999</v>
      </c>
      <c r="CF23">
        <v>-16.48</v>
      </c>
      <c r="CT23">
        <f t="shared" si="42"/>
        <v>1500.0139999999999</v>
      </c>
      <c r="CU23">
        <f t="shared" si="43"/>
        <v>1261.2225594833972</v>
      </c>
      <c r="CV23">
        <f t="shared" si="44"/>
        <v>0.84080719212180499</v>
      </c>
      <c r="CW23">
        <f t="shared" si="45"/>
        <v>0.16115788079508345</v>
      </c>
      <c r="CX23">
        <v>2</v>
      </c>
      <c r="CY23">
        <v>0.5</v>
      </c>
      <c r="CZ23" t="s">
        <v>417</v>
      </c>
      <c r="DA23">
        <v>2</v>
      </c>
      <c r="DB23">
        <v>1792216683.0999999</v>
      </c>
      <c r="DC23">
        <v>389.88580000000002</v>
      </c>
      <c r="DD23">
        <v>400.02480000000003</v>
      </c>
      <c r="DE23">
        <v>17.702760000000001</v>
      </c>
      <c r="DF23">
        <v>15.75248</v>
      </c>
      <c r="DG23">
        <v>389.18700000000001</v>
      </c>
      <c r="DH23">
        <v>17.796980000000001</v>
      </c>
      <c r="DI23">
        <v>499.97320000000002</v>
      </c>
      <c r="DJ23">
        <v>101.697</v>
      </c>
      <c r="DK23">
        <v>9.9997500000000003E-2</v>
      </c>
      <c r="DL23">
        <v>25.46332</v>
      </c>
      <c r="DM23">
        <v>25.007639999999999</v>
      </c>
      <c r="DN23">
        <v>999.9</v>
      </c>
      <c r="DO23">
        <v>0</v>
      </c>
      <c r="DP23">
        <v>0</v>
      </c>
      <c r="DQ23">
        <v>9990.75</v>
      </c>
      <c r="DR23">
        <v>0</v>
      </c>
      <c r="DS23">
        <v>7.3656100000000002</v>
      </c>
      <c r="DT23">
        <v>-10.139379999999999</v>
      </c>
      <c r="DU23">
        <v>396.91199999999998</v>
      </c>
      <c r="DV23">
        <v>406.42700000000002</v>
      </c>
      <c r="DW23">
        <v>1.950288</v>
      </c>
      <c r="DX23">
        <v>400.02480000000003</v>
      </c>
      <c r="DY23">
        <v>15.75248</v>
      </c>
      <c r="DZ23">
        <v>1.800314</v>
      </c>
      <c r="EA23">
        <v>1.6019760000000001</v>
      </c>
      <c r="EB23">
        <v>15.7895</v>
      </c>
      <c r="EC23">
        <v>13.977819999999999</v>
      </c>
      <c r="ED23">
        <v>1500.0139999999999</v>
      </c>
      <c r="EE23">
        <v>0.97300520000000001</v>
      </c>
      <c r="EF23">
        <v>2.699468E-2</v>
      </c>
      <c r="EG23">
        <v>0</v>
      </c>
      <c r="EH23">
        <v>306.3734</v>
      </c>
      <c r="EI23">
        <v>5.0006399999999998</v>
      </c>
      <c r="EJ23">
        <v>4766.232</v>
      </c>
      <c r="EK23">
        <v>15439.4</v>
      </c>
      <c r="EL23">
        <v>41.274799999999999</v>
      </c>
      <c r="EM23">
        <v>41.936999999999998</v>
      </c>
      <c r="EN23">
        <v>41.625</v>
      </c>
      <c r="EO23">
        <v>41.612400000000001</v>
      </c>
      <c r="EP23">
        <v>42.799599999999998</v>
      </c>
      <c r="EQ23">
        <v>1454.654</v>
      </c>
      <c r="ER23">
        <v>40.36</v>
      </c>
      <c r="ES23">
        <v>0</v>
      </c>
      <c r="ET23">
        <v>4949.9000000953702</v>
      </c>
      <c r="EU23">
        <v>0</v>
      </c>
      <c r="EV23">
        <v>306.3288</v>
      </c>
      <c r="EW23">
        <v>0.207923066738426</v>
      </c>
      <c r="EX23">
        <v>12.584615370560201</v>
      </c>
      <c r="EY23">
        <v>4765.3552</v>
      </c>
      <c r="EZ23">
        <v>15</v>
      </c>
      <c r="FA23">
        <v>1792216619.0999999</v>
      </c>
      <c r="FB23" t="s">
        <v>441</v>
      </c>
      <c r="FC23">
        <v>1792216619.0999999</v>
      </c>
      <c r="FD23">
        <v>1792216617.0999999</v>
      </c>
      <c r="FE23">
        <v>46</v>
      </c>
      <c r="FF23">
        <v>-9.9000000000000005E-2</v>
      </c>
      <c r="FG23">
        <v>3.0000000000000001E-3</v>
      </c>
      <c r="FH23">
        <v>0.70199999999999996</v>
      </c>
      <c r="FI23">
        <v>-0.17</v>
      </c>
      <c r="FJ23">
        <v>400</v>
      </c>
      <c r="FK23">
        <v>16</v>
      </c>
      <c r="FL23">
        <v>0.14000000000000001</v>
      </c>
      <c r="FM23">
        <v>0.03</v>
      </c>
      <c r="FN23">
        <v>23.3888630878835</v>
      </c>
      <c r="FO23">
        <v>1.21111829679688E-2</v>
      </c>
      <c r="FP23">
        <v>6.3045360171600104E-2</v>
      </c>
      <c r="FQ23">
        <v>1</v>
      </c>
      <c r="FR23">
        <v>-10.119515</v>
      </c>
      <c r="FS23">
        <v>-9.7700751879680497E-2</v>
      </c>
      <c r="FT23">
        <v>2.50881899506522E-2</v>
      </c>
      <c r="FU23">
        <v>1</v>
      </c>
      <c r="FV23">
        <v>306.26499999999999</v>
      </c>
      <c r="FW23">
        <v>0.70951871011846201</v>
      </c>
      <c r="FX23">
        <v>0.19900694637595201</v>
      </c>
      <c r="FY23">
        <v>1</v>
      </c>
      <c r="FZ23">
        <v>3</v>
      </c>
      <c r="GA23">
        <v>3</v>
      </c>
      <c r="GB23" t="s">
        <v>419</v>
      </c>
      <c r="GC23">
        <v>3.1231800000000001</v>
      </c>
      <c r="GD23">
        <v>2.7653599999999998</v>
      </c>
      <c r="GE23">
        <v>8.6379600000000001E-2</v>
      </c>
      <c r="GF23">
        <v>9.0387200000000001E-2</v>
      </c>
      <c r="GG23">
        <v>9.4454999999999997E-2</v>
      </c>
      <c r="GH23">
        <v>8.9907699999999993E-2</v>
      </c>
      <c r="GI23">
        <v>17779.900000000001</v>
      </c>
      <c r="GJ23">
        <v>26692.5</v>
      </c>
      <c r="GK23">
        <v>22742.2</v>
      </c>
      <c r="GL23">
        <v>30071.200000000001</v>
      </c>
      <c r="GM23">
        <v>33785.300000000003</v>
      </c>
      <c r="GN23">
        <v>34101.1</v>
      </c>
      <c r="GO23">
        <v>43036.7</v>
      </c>
      <c r="GP23">
        <v>42837</v>
      </c>
      <c r="GQ23">
        <v>1.9518500000000001</v>
      </c>
      <c r="GR23">
        <v>1.82185</v>
      </c>
      <c r="GS23">
        <v>6.3031900000000002E-2</v>
      </c>
      <c r="GT23">
        <v>0</v>
      </c>
      <c r="GU23">
        <v>23.966100000000001</v>
      </c>
      <c r="GV23">
        <v>999.9</v>
      </c>
      <c r="GW23">
        <v>42.576999999999998</v>
      </c>
      <c r="GX23">
        <v>31.632000000000001</v>
      </c>
      <c r="GY23">
        <v>19.577500000000001</v>
      </c>
      <c r="GZ23">
        <v>62.936500000000002</v>
      </c>
      <c r="HA23">
        <v>33.866199999999999</v>
      </c>
      <c r="HB23">
        <v>1</v>
      </c>
      <c r="HC23">
        <v>0.11078499999999999</v>
      </c>
      <c r="HD23">
        <v>2.1627399999999999</v>
      </c>
      <c r="HE23">
        <v>20.219200000000001</v>
      </c>
      <c r="HF23">
        <v>5.2337600000000002</v>
      </c>
      <c r="HG23">
        <v>11.962</v>
      </c>
      <c r="HH23">
        <v>4.9686000000000003</v>
      </c>
      <c r="HI23">
        <v>3.2950300000000001</v>
      </c>
      <c r="HJ23">
        <v>9999</v>
      </c>
      <c r="HK23">
        <v>9999</v>
      </c>
      <c r="HL23">
        <v>9999</v>
      </c>
      <c r="HM23">
        <v>999.9</v>
      </c>
      <c r="HN23">
        <v>4.9685600000000001</v>
      </c>
      <c r="HO23">
        <v>1.8623700000000001</v>
      </c>
      <c r="HP23">
        <v>1.86395</v>
      </c>
      <c r="HQ23">
        <v>1.8658399999999999</v>
      </c>
      <c r="HR23">
        <v>1.8629500000000001</v>
      </c>
      <c r="HS23">
        <v>1.8666100000000001</v>
      </c>
      <c r="HT23">
        <v>1.8633900000000001</v>
      </c>
      <c r="HU23">
        <v>1.8652299999999999</v>
      </c>
      <c r="HV23">
        <v>0</v>
      </c>
      <c r="HW23">
        <v>0</v>
      </c>
      <c r="HX23">
        <v>0</v>
      </c>
      <c r="HY23">
        <v>0</v>
      </c>
      <c r="HZ23" t="s">
        <v>420</v>
      </c>
      <c r="IA23" t="s">
        <v>421</v>
      </c>
      <c r="IB23" t="s">
        <v>422</v>
      </c>
      <c r="IC23" t="s">
        <v>422</v>
      </c>
      <c r="ID23" t="s">
        <v>422</v>
      </c>
      <c r="IE23" t="s">
        <v>422</v>
      </c>
      <c r="IF23">
        <v>0</v>
      </c>
      <c r="IG23">
        <v>100</v>
      </c>
      <c r="IH23">
        <v>100</v>
      </c>
      <c r="II23">
        <v>0.69799999999999995</v>
      </c>
      <c r="IJ23">
        <v>-9.4500000000000001E-2</v>
      </c>
      <c r="IK23">
        <v>0.575809940435837</v>
      </c>
      <c r="IL23">
        <v>2.16929631606078E-4</v>
      </c>
      <c r="IM23">
        <v>2.7226302473163502E-7</v>
      </c>
      <c r="IN23">
        <v>-5.4379205123515401E-11</v>
      </c>
      <c r="IO23">
        <v>-1.7039503626892299E-2</v>
      </c>
      <c r="IP23">
        <v>-5.8443384954566899E-2</v>
      </c>
      <c r="IQ23">
        <v>3.41568706061026E-3</v>
      </c>
      <c r="IR23">
        <v>-2.10952612506686E-5</v>
      </c>
      <c r="IS23">
        <v>0</v>
      </c>
      <c r="IT23">
        <v>1734</v>
      </c>
      <c r="IU23">
        <v>2</v>
      </c>
      <c r="IV23">
        <v>19</v>
      </c>
      <c r="IW23">
        <v>1.1000000000000001</v>
      </c>
      <c r="IX23">
        <v>1.1000000000000001</v>
      </c>
      <c r="IY23">
        <v>1.0559099999999999</v>
      </c>
      <c r="IZ23">
        <v>2.5695800000000002</v>
      </c>
      <c r="JA23">
        <v>1.3464400000000001</v>
      </c>
      <c r="JB23">
        <v>2.2558600000000002</v>
      </c>
      <c r="JC23">
        <v>1.5502899999999999</v>
      </c>
      <c r="JD23">
        <v>2.7368199999999998</v>
      </c>
      <c r="JE23">
        <v>35.871099999999998</v>
      </c>
      <c r="JF23">
        <v>15.0777</v>
      </c>
      <c r="JG23">
        <v>18</v>
      </c>
      <c r="JH23">
        <v>492.822</v>
      </c>
      <c r="JI23">
        <v>486.98500000000001</v>
      </c>
      <c r="JJ23">
        <v>22.001200000000001</v>
      </c>
      <c r="JK23">
        <v>28.633600000000001</v>
      </c>
      <c r="JL23">
        <v>30.0002</v>
      </c>
      <c r="JM23">
        <v>28.634699999999999</v>
      </c>
      <c r="JN23">
        <v>28.652200000000001</v>
      </c>
      <c r="JO23">
        <v>21.148099999999999</v>
      </c>
      <c r="JP23">
        <v>28.309699999999999</v>
      </c>
      <c r="JQ23">
        <v>46.133400000000002</v>
      </c>
      <c r="JR23">
        <v>21.989100000000001</v>
      </c>
      <c r="JS23">
        <v>400</v>
      </c>
      <c r="JT23">
        <v>15.7265</v>
      </c>
      <c r="JU23">
        <v>101.61499999999999</v>
      </c>
      <c r="JV23">
        <v>97.265699999999995</v>
      </c>
    </row>
    <row r="24" spans="1:282" x14ac:dyDescent="0.3">
      <c r="A24">
        <v>8</v>
      </c>
      <c r="B24">
        <v>1792216808</v>
      </c>
      <c r="C24">
        <v>882.90000009536698</v>
      </c>
      <c r="D24" t="s">
        <v>442</v>
      </c>
      <c r="E24" t="s">
        <v>443</v>
      </c>
      <c r="F24">
        <v>5</v>
      </c>
      <c r="G24">
        <v>1792216805</v>
      </c>
      <c r="H24">
        <f t="shared" si="0"/>
        <v>4.8474603242008524E-3</v>
      </c>
      <c r="I24">
        <f t="shared" si="1"/>
        <v>4.8474603242008527</v>
      </c>
      <c r="J24">
        <f t="shared" si="2"/>
        <v>32.628969634629044</v>
      </c>
      <c r="K24">
        <f t="shared" si="3"/>
        <v>685.60760000000005</v>
      </c>
      <c r="L24">
        <f t="shared" si="4"/>
        <v>523.37620039006015</v>
      </c>
      <c r="M24">
        <f t="shared" si="5"/>
        <v>53.2776892564478</v>
      </c>
      <c r="N24">
        <f t="shared" si="6"/>
        <v>69.792223332730458</v>
      </c>
      <c r="O24">
        <f t="shared" si="7"/>
        <v>0.37097977717490671</v>
      </c>
      <c r="P24">
        <f t="shared" si="8"/>
        <v>3.0384091649257394</v>
      </c>
      <c r="Q24">
        <f t="shared" si="9"/>
        <v>0.34752778049389976</v>
      </c>
      <c r="R24">
        <f t="shared" si="10"/>
        <v>0.21918827195365292</v>
      </c>
      <c r="S24">
        <f t="shared" si="11"/>
        <v>241.73939660295767</v>
      </c>
      <c r="T24">
        <f t="shared" si="12"/>
        <v>25.61362852348476</v>
      </c>
      <c r="U24">
        <f t="shared" si="13"/>
        <v>25.01014</v>
      </c>
      <c r="V24">
        <f t="shared" si="14"/>
        <v>3.1816003324070676</v>
      </c>
      <c r="W24">
        <f t="shared" si="15"/>
        <v>54.990670336993396</v>
      </c>
      <c r="X24">
        <f t="shared" si="16"/>
        <v>1.7964233639340648</v>
      </c>
      <c r="Y24">
        <f t="shared" si="17"/>
        <v>3.2667784424616704</v>
      </c>
      <c r="Z24">
        <f t="shared" si="18"/>
        <v>1.3851769684730029</v>
      </c>
      <c r="AA24">
        <f t="shared" si="19"/>
        <v>-213.7730002972576</v>
      </c>
      <c r="AB24">
        <f t="shared" si="20"/>
        <v>72.717076878175362</v>
      </c>
      <c r="AC24">
        <f t="shared" si="21"/>
        <v>5.0741670798654575</v>
      </c>
      <c r="AD24">
        <f t="shared" si="22"/>
        <v>105.75764026374088</v>
      </c>
      <c r="AE24">
        <v>0</v>
      </c>
      <c r="AF24">
        <v>0</v>
      </c>
      <c r="AG24">
        <f t="shared" si="23"/>
        <v>1</v>
      </c>
      <c r="AH24">
        <f t="shared" si="24"/>
        <v>0</v>
      </c>
      <c r="AI24">
        <f t="shared" si="25"/>
        <v>54035.090404174036</v>
      </c>
      <c r="AJ24" t="s">
        <v>416</v>
      </c>
      <c r="AK24" t="s">
        <v>416</v>
      </c>
      <c r="AL24">
        <v>0</v>
      </c>
      <c r="AM24">
        <v>0</v>
      </c>
      <c r="AN24" t="e">
        <f t="shared" si="26"/>
        <v>#DIV/0!</v>
      </c>
      <c r="AO24">
        <v>0</v>
      </c>
      <c r="AP24" t="s">
        <v>416</v>
      </c>
      <c r="AQ24" t="s">
        <v>416</v>
      </c>
      <c r="AR24">
        <v>0</v>
      </c>
      <c r="AS24">
        <v>0</v>
      </c>
      <c r="AT24" t="e">
        <f t="shared" si="27"/>
        <v>#DIV/0!</v>
      </c>
      <c r="AU24">
        <v>0.5</v>
      </c>
      <c r="AV24">
        <f t="shared" si="28"/>
        <v>1261.2242394833977</v>
      </c>
      <c r="AW24">
        <f t="shared" si="29"/>
        <v>32.628969634629044</v>
      </c>
      <c r="AX24" t="e">
        <f t="shared" si="30"/>
        <v>#DIV/0!</v>
      </c>
      <c r="AY24">
        <f t="shared" si="31"/>
        <v>2.5870871026070667E-2</v>
      </c>
      <c r="AZ24" t="e">
        <f t="shared" si="32"/>
        <v>#DIV/0!</v>
      </c>
      <c r="BA24" t="e">
        <f t="shared" si="33"/>
        <v>#DIV/0!</v>
      </c>
      <c r="BB24" t="s">
        <v>416</v>
      </c>
      <c r="BC24">
        <v>0</v>
      </c>
      <c r="BD24" t="e">
        <f t="shared" si="34"/>
        <v>#DIV/0!</v>
      </c>
      <c r="BE24" t="e">
        <f t="shared" si="35"/>
        <v>#DIV/0!</v>
      </c>
      <c r="BF24" t="e">
        <f t="shared" si="36"/>
        <v>#DIV/0!</v>
      </c>
      <c r="BG24" t="e">
        <f t="shared" si="37"/>
        <v>#DIV/0!</v>
      </c>
      <c r="BH24" t="e">
        <f t="shared" si="38"/>
        <v>#DIV/0!</v>
      </c>
      <c r="BI24" t="e">
        <f t="shared" si="39"/>
        <v>#DIV/0!</v>
      </c>
      <c r="BJ24" t="e">
        <f t="shared" si="40"/>
        <v>#DIV/0!</v>
      </c>
      <c r="BK24" t="e">
        <f t="shared" si="41"/>
        <v>#DIV/0!</v>
      </c>
      <c r="BL24">
        <v>1138</v>
      </c>
      <c r="BM24">
        <v>290</v>
      </c>
      <c r="BN24">
        <v>1235.3699999999999</v>
      </c>
      <c r="BO24">
        <v>145</v>
      </c>
      <c r="BP24">
        <v>8137.14</v>
      </c>
      <c r="BQ24">
        <v>1226.99</v>
      </c>
      <c r="BR24">
        <v>8.3800000000000008</v>
      </c>
      <c r="BS24">
        <v>300</v>
      </c>
      <c r="BT24">
        <v>19.3</v>
      </c>
      <c r="BU24">
        <v>1291.7890306731799</v>
      </c>
      <c r="BV24">
        <v>2.4733662300604902</v>
      </c>
      <c r="BW24">
        <v>-52.725713425130103</v>
      </c>
      <c r="BX24">
        <v>1.7971348198971</v>
      </c>
      <c r="BY24">
        <v>0.96849553969215396</v>
      </c>
      <c r="BZ24">
        <v>-5.3927486095661902E-3</v>
      </c>
      <c r="CA24">
        <v>290</v>
      </c>
      <c r="CB24">
        <v>1210.3699999999999</v>
      </c>
      <c r="CC24">
        <v>615</v>
      </c>
      <c r="CD24">
        <v>8118.65</v>
      </c>
      <c r="CE24">
        <v>1226.8499999999999</v>
      </c>
      <c r="CF24">
        <v>-16.48</v>
      </c>
      <c r="CT24">
        <f t="shared" si="42"/>
        <v>1500.0160000000001</v>
      </c>
      <c r="CU24">
        <f t="shared" si="43"/>
        <v>1261.2242394833977</v>
      </c>
      <c r="CV24">
        <f t="shared" si="44"/>
        <v>0.84080719104556068</v>
      </c>
      <c r="CW24">
        <f t="shared" si="45"/>
        <v>0.16115787871793211</v>
      </c>
      <c r="CX24">
        <v>2</v>
      </c>
      <c r="CY24">
        <v>0.5</v>
      </c>
      <c r="CZ24" t="s">
        <v>417</v>
      </c>
      <c r="DA24">
        <v>2</v>
      </c>
      <c r="DB24">
        <v>1792216805</v>
      </c>
      <c r="DC24">
        <v>685.60760000000005</v>
      </c>
      <c r="DD24">
        <v>699.98519999999996</v>
      </c>
      <c r="DE24">
        <v>17.647259999999999</v>
      </c>
      <c r="DF24">
        <v>15.742940000000001</v>
      </c>
      <c r="DG24">
        <v>684.77480000000003</v>
      </c>
      <c r="DH24">
        <v>17.741700000000002</v>
      </c>
      <c r="DI24">
        <v>500.11720000000003</v>
      </c>
      <c r="DJ24">
        <v>101.6962</v>
      </c>
      <c r="DK24">
        <v>9.9963479999999993E-2</v>
      </c>
      <c r="DL24">
        <v>25.454059999999998</v>
      </c>
      <c r="DM24">
        <v>25.01014</v>
      </c>
      <c r="DN24">
        <v>999.9</v>
      </c>
      <c r="DO24">
        <v>0</v>
      </c>
      <c r="DP24">
        <v>0</v>
      </c>
      <c r="DQ24">
        <v>9996.6200000000008</v>
      </c>
      <c r="DR24">
        <v>0</v>
      </c>
      <c r="DS24">
        <v>7.3656100000000002</v>
      </c>
      <c r="DT24">
        <v>-14.37768</v>
      </c>
      <c r="DU24">
        <v>697.92420000000004</v>
      </c>
      <c r="DV24">
        <v>711.18140000000005</v>
      </c>
      <c r="DW24">
        <v>1.904326</v>
      </c>
      <c r="DX24">
        <v>699.98519999999996</v>
      </c>
      <c r="DY24">
        <v>15.742940000000001</v>
      </c>
      <c r="DZ24">
        <v>1.7946599999999999</v>
      </c>
      <c r="EA24">
        <v>1.6009960000000001</v>
      </c>
      <c r="EB24">
        <v>15.740320000000001</v>
      </c>
      <c r="EC24">
        <v>13.96838</v>
      </c>
      <c r="ED24">
        <v>1500.0160000000001</v>
      </c>
      <c r="EE24">
        <v>0.97300679999999995</v>
      </c>
      <c r="EF24">
        <v>2.6993119999999999E-2</v>
      </c>
      <c r="EG24">
        <v>0</v>
      </c>
      <c r="EH24">
        <v>306.1078</v>
      </c>
      <c r="EI24">
        <v>5.0006399999999998</v>
      </c>
      <c r="EJ24">
        <v>4766.16</v>
      </c>
      <c r="EK24">
        <v>15439.4</v>
      </c>
      <c r="EL24">
        <v>41.299599999999998</v>
      </c>
      <c r="EM24">
        <v>41.936999999999998</v>
      </c>
      <c r="EN24">
        <v>41.625</v>
      </c>
      <c r="EO24">
        <v>41.625</v>
      </c>
      <c r="EP24">
        <v>42.811999999999998</v>
      </c>
      <c r="EQ24">
        <v>1454.6559999999999</v>
      </c>
      <c r="ER24">
        <v>40.36</v>
      </c>
      <c r="ES24">
        <v>0</v>
      </c>
      <c r="ET24">
        <v>5071.7000000476801</v>
      </c>
      <c r="EU24">
        <v>0</v>
      </c>
      <c r="EV24">
        <v>306.241307692308</v>
      </c>
      <c r="EW24">
        <v>-1.2476581135825</v>
      </c>
      <c r="EX24">
        <v>-17.007179474868298</v>
      </c>
      <c r="EY24">
        <v>4767.5546153846099</v>
      </c>
      <c r="EZ24">
        <v>15</v>
      </c>
      <c r="FA24">
        <v>1792216753</v>
      </c>
      <c r="FB24" t="s">
        <v>444</v>
      </c>
      <c r="FC24">
        <v>1792216753</v>
      </c>
      <c r="FD24">
        <v>1792216747</v>
      </c>
      <c r="FE24">
        <v>47</v>
      </c>
      <c r="FF24">
        <v>-2E-3</v>
      </c>
      <c r="FG24">
        <v>2E-3</v>
      </c>
      <c r="FH24">
        <v>0.84</v>
      </c>
      <c r="FI24">
        <v>-0.16500000000000001</v>
      </c>
      <c r="FJ24">
        <v>700</v>
      </c>
      <c r="FK24">
        <v>16</v>
      </c>
      <c r="FL24">
        <v>0.1</v>
      </c>
      <c r="FM24">
        <v>0.03</v>
      </c>
      <c r="FN24">
        <v>32.448106520705302</v>
      </c>
      <c r="FO24">
        <v>0.204531026295424</v>
      </c>
      <c r="FP24">
        <v>0.16753352554390499</v>
      </c>
      <c r="FQ24">
        <v>1</v>
      </c>
      <c r="FR24">
        <v>-14.3281428571429</v>
      </c>
      <c r="FS24">
        <v>-1.89584415584521E-2</v>
      </c>
      <c r="FT24">
        <v>6.89107813213065E-2</v>
      </c>
      <c r="FU24">
        <v>1</v>
      </c>
      <c r="FV24">
        <v>306.27855882352901</v>
      </c>
      <c r="FW24">
        <v>-0.85538578527906695</v>
      </c>
      <c r="FX24">
        <v>0.21583602043278999</v>
      </c>
      <c r="FY24">
        <v>1</v>
      </c>
      <c r="FZ24">
        <v>3</v>
      </c>
      <c r="GA24">
        <v>3</v>
      </c>
      <c r="GB24" t="s">
        <v>419</v>
      </c>
      <c r="GC24">
        <v>3.1231499999999999</v>
      </c>
      <c r="GD24">
        <v>2.76525</v>
      </c>
      <c r="GE24">
        <v>0.12990499999999999</v>
      </c>
      <c r="GF24">
        <v>0.13517299999999999</v>
      </c>
      <c r="GG24">
        <v>9.4250399999999998E-2</v>
      </c>
      <c r="GH24">
        <v>8.98756E-2</v>
      </c>
      <c r="GI24">
        <v>16931.2</v>
      </c>
      <c r="GJ24">
        <v>25377.200000000001</v>
      </c>
      <c r="GK24">
        <v>22740.2</v>
      </c>
      <c r="GL24">
        <v>30070.1</v>
      </c>
      <c r="GM24">
        <v>33793.300000000003</v>
      </c>
      <c r="GN24">
        <v>34104.800000000003</v>
      </c>
      <c r="GO24">
        <v>43033.5</v>
      </c>
      <c r="GP24">
        <v>42836.3</v>
      </c>
      <c r="GQ24">
        <v>1.9515199999999999</v>
      </c>
      <c r="GR24">
        <v>1.8224</v>
      </c>
      <c r="GS24">
        <v>6.2912700000000002E-2</v>
      </c>
      <c r="GT24">
        <v>0</v>
      </c>
      <c r="GU24">
        <v>23.9742</v>
      </c>
      <c r="GV24">
        <v>999.9</v>
      </c>
      <c r="GW24">
        <v>42.515999999999998</v>
      </c>
      <c r="GX24">
        <v>31.661999999999999</v>
      </c>
      <c r="GY24">
        <v>19.583200000000001</v>
      </c>
      <c r="GZ24">
        <v>63.486499999999999</v>
      </c>
      <c r="HA24">
        <v>34.002400000000002</v>
      </c>
      <c r="HB24">
        <v>1</v>
      </c>
      <c r="HC24">
        <v>0.11151899999999999</v>
      </c>
      <c r="HD24">
        <v>2.1700499999999998</v>
      </c>
      <c r="HE24">
        <v>20.219100000000001</v>
      </c>
      <c r="HF24">
        <v>5.2340600000000004</v>
      </c>
      <c r="HG24">
        <v>11.962199999999999</v>
      </c>
      <c r="HH24">
        <v>4.9689500000000004</v>
      </c>
      <c r="HI24">
        <v>3.2950300000000001</v>
      </c>
      <c r="HJ24">
        <v>9999</v>
      </c>
      <c r="HK24">
        <v>9999</v>
      </c>
      <c r="HL24">
        <v>9999</v>
      </c>
      <c r="HM24">
        <v>999.9</v>
      </c>
      <c r="HN24">
        <v>4.96854</v>
      </c>
      <c r="HO24">
        <v>1.86239</v>
      </c>
      <c r="HP24">
        <v>1.86399</v>
      </c>
      <c r="HQ24">
        <v>1.8658399999999999</v>
      </c>
      <c r="HR24">
        <v>1.86294</v>
      </c>
      <c r="HS24">
        <v>1.8666100000000001</v>
      </c>
      <c r="HT24">
        <v>1.86338</v>
      </c>
      <c r="HU24">
        <v>1.8652299999999999</v>
      </c>
      <c r="HV24">
        <v>0</v>
      </c>
      <c r="HW24">
        <v>0</v>
      </c>
      <c r="HX24">
        <v>0</v>
      </c>
      <c r="HY24">
        <v>0</v>
      </c>
      <c r="HZ24" t="s">
        <v>420</v>
      </c>
      <c r="IA24" t="s">
        <v>421</v>
      </c>
      <c r="IB24" t="s">
        <v>422</v>
      </c>
      <c r="IC24" t="s">
        <v>422</v>
      </c>
      <c r="ID24" t="s">
        <v>422</v>
      </c>
      <c r="IE24" t="s">
        <v>422</v>
      </c>
      <c r="IF24">
        <v>0</v>
      </c>
      <c r="IG24">
        <v>100</v>
      </c>
      <c r="IH24">
        <v>100</v>
      </c>
      <c r="II24">
        <v>0.83199999999999996</v>
      </c>
      <c r="IJ24">
        <v>-9.4700000000000006E-2</v>
      </c>
      <c r="IK24">
        <v>0.57405583501681001</v>
      </c>
      <c r="IL24">
        <v>2.16929631606078E-4</v>
      </c>
      <c r="IM24">
        <v>2.7226302473163502E-7</v>
      </c>
      <c r="IN24">
        <v>-5.4379205123515401E-11</v>
      </c>
      <c r="IO24">
        <v>-1.49119953660469E-2</v>
      </c>
      <c r="IP24">
        <v>-5.8443384954566899E-2</v>
      </c>
      <c r="IQ24">
        <v>3.41568706061026E-3</v>
      </c>
      <c r="IR24">
        <v>-2.10952612506686E-5</v>
      </c>
      <c r="IS24">
        <v>0</v>
      </c>
      <c r="IT24">
        <v>1734</v>
      </c>
      <c r="IU24">
        <v>2</v>
      </c>
      <c r="IV24">
        <v>19</v>
      </c>
      <c r="IW24">
        <v>0.9</v>
      </c>
      <c r="IX24">
        <v>1</v>
      </c>
      <c r="IY24">
        <v>1.63818</v>
      </c>
      <c r="IZ24">
        <v>2.5756800000000002</v>
      </c>
      <c r="JA24">
        <v>1.3476600000000001</v>
      </c>
      <c r="JB24">
        <v>2.2558600000000002</v>
      </c>
      <c r="JC24">
        <v>1.5502899999999999</v>
      </c>
      <c r="JD24">
        <v>2.49634</v>
      </c>
      <c r="JE24">
        <v>35.894399999999997</v>
      </c>
      <c r="JF24">
        <v>15.033899999999999</v>
      </c>
      <c r="JG24">
        <v>18</v>
      </c>
      <c r="JH24">
        <v>492.71600000000001</v>
      </c>
      <c r="JI24">
        <v>487.46199999999999</v>
      </c>
      <c r="JJ24">
        <v>21.954599999999999</v>
      </c>
      <c r="JK24">
        <v>28.641300000000001</v>
      </c>
      <c r="JL24">
        <v>30</v>
      </c>
      <c r="JM24">
        <v>28.646000000000001</v>
      </c>
      <c r="JN24">
        <v>28.661899999999999</v>
      </c>
      <c r="JO24">
        <v>32.797699999999999</v>
      </c>
      <c r="JP24">
        <v>28.298300000000001</v>
      </c>
      <c r="JQ24">
        <v>45.766399999999997</v>
      </c>
      <c r="JR24">
        <v>21.96</v>
      </c>
      <c r="JS24">
        <v>700</v>
      </c>
      <c r="JT24">
        <v>15.7401</v>
      </c>
      <c r="JU24">
        <v>101.607</v>
      </c>
      <c r="JV24">
        <v>97.263300000000001</v>
      </c>
    </row>
    <row r="25" spans="1:282" x14ac:dyDescent="0.3">
      <c r="A25">
        <v>9</v>
      </c>
      <c r="B25">
        <v>1792216959</v>
      </c>
      <c r="C25">
        <v>1033.9000000953699</v>
      </c>
      <c r="D25" t="s">
        <v>445</v>
      </c>
      <c r="E25" t="s">
        <v>446</v>
      </c>
      <c r="F25">
        <v>5</v>
      </c>
      <c r="G25">
        <v>1792216956</v>
      </c>
      <c r="H25">
        <f t="shared" si="0"/>
        <v>4.1908691966970491E-3</v>
      </c>
      <c r="I25">
        <f t="shared" si="1"/>
        <v>4.190869196697049</v>
      </c>
      <c r="J25">
        <f t="shared" si="2"/>
        <v>35.407236571535655</v>
      </c>
      <c r="K25">
        <f t="shared" si="3"/>
        <v>984.16120000000001</v>
      </c>
      <c r="L25">
        <f t="shared" si="4"/>
        <v>776.06189221209797</v>
      </c>
      <c r="M25">
        <f t="shared" si="5"/>
        <v>79.001256967996724</v>
      </c>
      <c r="N25">
        <f t="shared" si="6"/>
        <v>100.1852721276036</v>
      </c>
      <c r="O25">
        <f t="shared" si="7"/>
        <v>0.31536100309314652</v>
      </c>
      <c r="P25">
        <f t="shared" si="8"/>
        <v>3.0417465683018694</v>
      </c>
      <c r="Q25">
        <f t="shared" si="9"/>
        <v>0.29825744408718474</v>
      </c>
      <c r="R25">
        <f t="shared" si="10"/>
        <v>0.18787024981176681</v>
      </c>
      <c r="S25">
        <f t="shared" si="11"/>
        <v>241.74685400293876</v>
      </c>
      <c r="T25">
        <f t="shared" si="12"/>
        <v>25.711845193990076</v>
      </c>
      <c r="U25">
        <f t="shared" si="13"/>
        <v>25.01576</v>
      </c>
      <c r="V25">
        <f t="shared" si="14"/>
        <v>3.1826664319358553</v>
      </c>
      <c r="W25">
        <f t="shared" si="15"/>
        <v>54.925875935122313</v>
      </c>
      <c r="X25">
        <f t="shared" si="16"/>
        <v>1.7872059198202364</v>
      </c>
      <c r="Y25">
        <f t="shared" si="17"/>
        <v>3.2538505565778491</v>
      </c>
      <c r="Z25">
        <f t="shared" si="18"/>
        <v>1.3954605121156189</v>
      </c>
      <c r="AA25">
        <f t="shared" si="19"/>
        <v>-184.81733157433987</v>
      </c>
      <c r="AB25">
        <f t="shared" si="20"/>
        <v>60.934156059171784</v>
      </c>
      <c r="AC25">
        <f t="shared" si="21"/>
        <v>4.2459887552466542</v>
      </c>
      <c r="AD25">
        <f t="shared" si="22"/>
        <v>122.10966724301733</v>
      </c>
      <c r="AE25">
        <v>0</v>
      </c>
      <c r="AF25">
        <v>0</v>
      </c>
      <c r="AG25">
        <f t="shared" si="23"/>
        <v>1</v>
      </c>
      <c r="AH25">
        <f t="shared" si="24"/>
        <v>0</v>
      </c>
      <c r="AI25">
        <f t="shared" si="25"/>
        <v>54151.838935769323</v>
      </c>
      <c r="AJ25" t="s">
        <v>416</v>
      </c>
      <c r="AK25" t="s">
        <v>416</v>
      </c>
      <c r="AL25">
        <v>0</v>
      </c>
      <c r="AM25">
        <v>0</v>
      </c>
      <c r="AN25" t="e">
        <f t="shared" si="26"/>
        <v>#DIV/0!</v>
      </c>
      <c r="AO25">
        <v>0</v>
      </c>
      <c r="AP25" t="s">
        <v>416</v>
      </c>
      <c r="AQ25" t="s">
        <v>416</v>
      </c>
      <c r="AR25">
        <v>0</v>
      </c>
      <c r="AS25">
        <v>0</v>
      </c>
      <c r="AT25" t="e">
        <f t="shared" si="27"/>
        <v>#DIV/0!</v>
      </c>
      <c r="AU25">
        <v>0.5</v>
      </c>
      <c r="AV25">
        <f t="shared" si="28"/>
        <v>1261.2629394833878</v>
      </c>
      <c r="AW25">
        <f t="shared" si="29"/>
        <v>35.407236571535655</v>
      </c>
      <c r="AX25" t="e">
        <f t="shared" si="30"/>
        <v>#DIV/0!</v>
      </c>
      <c r="AY25">
        <f t="shared" si="31"/>
        <v>2.8072843071119197E-2</v>
      </c>
      <c r="AZ25" t="e">
        <f t="shared" si="32"/>
        <v>#DIV/0!</v>
      </c>
      <c r="BA25" t="e">
        <f t="shared" si="33"/>
        <v>#DIV/0!</v>
      </c>
      <c r="BB25" t="s">
        <v>416</v>
      </c>
      <c r="BC25">
        <v>0</v>
      </c>
      <c r="BD25" t="e">
        <f t="shared" si="34"/>
        <v>#DIV/0!</v>
      </c>
      <c r="BE25" t="e">
        <f t="shared" si="35"/>
        <v>#DIV/0!</v>
      </c>
      <c r="BF25" t="e">
        <f t="shared" si="36"/>
        <v>#DIV/0!</v>
      </c>
      <c r="BG25" t="e">
        <f t="shared" si="37"/>
        <v>#DIV/0!</v>
      </c>
      <c r="BH25" t="e">
        <f t="shared" si="38"/>
        <v>#DIV/0!</v>
      </c>
      <c r="BI25" t="e">
        <f t="shared" si="39"/>
        <v>#DIV/0!</v>
      </c>
      <c r="BJ25" t="e">
        <f t="shared" si="40"/>
        <v>#DIV/0!</v>
      </c>
      <c r="BK25" t="e">
        <f t="shared" si="41"/>
        <v>#DIV/0!</v>
      </c>
      <c r="BL25">
        <v>1138</v>
      </c>
      <c r="BM25">
        <v>290</v>
      </c>
      <c r="BN25">
        <v>1235.3699999999999</v>
      </c>
      <c r="BO25">
        <v>145</v>
      </c>
      <c r="BP25">
        <v>8137.14</v>
      </c>
      <c r="BQ25">
        <v>1226.99</v>
      </c>
      <c r="BR25">
        <v>8.3800000000000008</v>
      </c>
      <c r="BS25">
        <v>300</v>
      </c>
      <c r="BT25">
        <v>19.3</v>
      </c>
      <c r="BU25">
        <v>1291.7890306731799</v>
      </c>
      <c r="BV25">
        <v>2.4733662300604902</v>
      </c>
      <c r="BW25">
        <v>-52.725713425130103</v>
      </c>
      <c r="BX25">
        <v>1.7971348198971</v>
      </c>
      <c r="BY25">
        <v>0.96849553969215396</v>
      </c>
      <c r="BZ25">
        <v>-5.3927486095661902E-3</v>
      </c>
      <c r="CA25">
        <v>290</v>
      </c>
      <c r="CB25">
        <v>1210.3699999999999</v>
      </c>
      <c r="CC25">
        <v>615</v>
      </c>
      <c r="CD25">
        <v>8118.65</v>
      </c>
      <c r="CE25">
        <v>1226.8499999999999</v>
      </c>
      <c r="CF25">
        <v>-16.48</v>
      </c>
      <c r="CT25">
        <f t="shared" si="42"/>
        <v>1500.0619999999999</v>
      </c>
      <c r="CU25">
        <f t="shared" si="43"/>
        <v>1261.2629394833878</v>
      </c>
      <c r="CV25">
        <f t="shared" si="44"/>
        <v>0.8408072062910652</v>
      </c>
      <c r="CW25">
        <f t="shared" si="45"/>
        <v>0.16115790814175598</v>
      </c>
      <c r="CX25">
        <v>2</v>
      </c>
      <c r="CY25">
        <v>0.5</v>
      </c>
      <c r="CZ25" t="s">
        <v>417</v>
      </c>
      <c r="DA25">
        <v>2</v>
      </c>
      <c r="DB25">
        <v>1792216956</v>
      </c>
      <c r="DC25">
        <v>984.16120000000001</v>
      </c>
      <c r="DD25">
        <v>999.97199999999998</v>
      </c>
      <c r="DE25">
        <v>17.556460000000001</v>
      </c>
      <c r="DF25">
        <v>15.909739999999999</v>
      </c>
      <c r="DG25">
        <v>983.46079999999995</v>
      </c>
      <c r="DH25">
        <v>17.651959999999999</v>
      </c>
      <c r="DI25">
        <v>500.0598</v>
      </c>
      <c r="DJ25">
        <v>101.6978</v>
      </c>
      <c r="DK25">
        <v>9.9824339999999998E-2</v>
      </c>
      <c r="DL25">
        <v>25.387339999999998</v>
      </c>
      <c r="DM25">
        <v>25.01576</v>
      </c>
      <c r="DN25">
        <v>999.9</v>
      </c>
      <c r="DO25">
        <v>0</v>
      </c>
      <c r="DP25">
        <v>0</v>
      </c>
      <c r="DQ25">
        <v>10016.644</v>
      </c>
      <c r="DR25">
        <v>0</v>
      </c>
      <c r="DS25">
        <v>7.3110600000000003</v>
      </c>
      <c r="DT25">
        <v>-15.81012</v>
      </c>
      <c r="DU25">
        <v>1001.746</v>
      </c>
      <c r="DV25">
        <v>1016.138</v>
      </c>
      <c r="DW25">
        <v>1.646698</v>
      </c>
      <c r="DX25">
        <v>999.97199999999998</v>
      </c>
      <c r="DY25">
        <v>15.909739999999999</v>
      </c>
      <c r="DZ25">
        <v>1.7854479999999999</v>
      </c>
      <c r="EA25">
        <v>1.6179840000000001</v>
      </c>
      <c r="EB25">
        <v>15.65996</v>
      </c>
      <c r="EC25">
        <v>14.131159999999999</v>
      </c>
      <c r="ED25">
        <v>1500.0619999999999</v>
      </c>
      <c r="EE25">
        <v>0.97300240000000005</v>
      </c>
      <c r="EF25">
        <v>2.699754E-2</v>
      </c>
      <c r="EG25">
        <v>0</v>
      </c>
      <c r="EH25">
        <v>303.90100000000001</v>
      </c>
      <c r="EI25">
        <v>5.0006399999999998</v>
      </c>
      <c r="EJ25">
        <v>4733.2759999999998</v>
      </c>
      <c r="EK25">
        <v>15439.88</v>
      </c>
      <c r="EL25">
        <v>41.311999999999998</v>
      </c>
      <c r="EM25">
        <v>42</v>
      </c>
      <c r="EN25">
        <v>41.674599999999998</v>
      </c>
      <c r="EO25">
        <v>41.625</v>
      </c>
      <c r="EP25">
        <v>42.811999999999998</v>
      </c>
      <c r="EQ25">
        <v>1454.7</v>
      </c>
      <c r="ER25">
        <v>40.362000000000002</v>
      </c>
      <c r="ES25">
        <v>0</v>
      </c>
      <c r="ET25">
        <v>5222.9000000953702</v>
      </c>
      <c r="EU25">
        <v>0</v>
      </c>
      <c r="EV25">
        <v>303.73234615384598</v>
      </c>
      <c r="EW25">
        <v>1.20099145932192</v>
      </c>
      <c r="EX25">
        <v>19.216068424509501</v>
      </c>
      <c r="EY25">
        <v>4731.6673076923098</v>
      </c>
      <c r="EZ25">
        <v>15</v>
      </c>
      <c r="FA25">
        <v>1792216876</v>
      </c>
      <c r="FB25" t="s">
        <v>447</v>
      </c>
      <c r="FC25">
        <v>1792216876</v>
      </c>
      <c r="FD25">
        <v>1792216870</v>
      </c>
      <c r="FE25">
        <v>48</v>
      </c>
      <c r="FF25">
        <v>-0.3</v>
      </c>
      <c r="FG25">
        <v>3.0000000000000001E-3</v>
      </c>
      <c r="FH25">
        <v>0.71</v>
      </c>
      <c r="FI25">
        <v>-0.16400000000000001</v>
      </c>
      <c r="FJ25">
        <v>1000</v>
      </c>
      <c r="FK25">
        <v>16</v>
      </c>
      <c r="FL25">
        <v>0.12</v>
      </c>
      <c r="FM25">
        <v>0.04</v>
      </c>
      <c r="FN25">
        <v>35.223080572430398</v>
      </c>
      <c r="FO25">
        <v>1.4528615843595001</v>
      </c>
      <c r="FP25">
        <v>0.18947184420584101</v>
      </c>
      <c r="FQ25">
        <v>0</v>
      </c>
      <c r="FR25">
        <v>-15.77392</v>
      </c>
      <c r="FS25">
        <v>-0.459699248120298</v>
      </c>
      <c r="FT25">
        <v>6.6185765841304797E-2</v>
      </c>
      <c r="FU25">
        <v>1</v>
      </c>
      <c r="FV25">
        <v>303.72335294117602</v>
      </c>
      <c r="FW25">
        <v>0.53650114862447496</v>
      </c>
      <c r="FX25">
        <v>0.22694633757433799</v>
      </c>
      <c r="FY25">
        <v>1</v>
      </c>
      <c r="FZ25">
        <v>2</v>
      </c>
      <c r="GA25">
        <v>3</v>
      </c>
      <c r="GB25" t="s">
        <v>448</v>
      </c>
      <c r="GC25">
        <v>3.1232099999999998</v>
      </c>
      <c r="GD25">
        <v>2.76525</v>
      </c>
      <c r="GE25">
        <v>0.16465099999999999</v>
      </c>
      <c r="GF25">
        <v>0.170603</v>
      </c>
      <c r="GG25">
        <v>9.3894699999999998E-2</v>
      </c>
      <c r="GH25">
        <v>9.0559899999999999E-2</v>
      </c>
      <c r="GI25">
        <v>16252.8</v>
      </c>
      <c r="GJ25">
        <v>24334.5</v>
      </c>
      <c r="GK25">
        <v>22737.3</v>
      </c>
      <c r="GL25">
        <v>30066.7</v>
      </c>
      <c r="GM25">
        <v>33805.5</v>
      </c>
      <c r="GN25">
        <v>34077.9</v>
      </c>
      <c r="GO25">
        <v>43028.9</v>
      </c>
      <c r="GP25">
        <v>42831.7</v>
      </c>
      <c r="GQ25">
        <v>1.9511700000000001</v>
      </c>
      <c r="GR25">
        <v>1.82253</v>
      </c>
      <c r="GS25">
        <v>6.4618900000000007E-2</v>
      </c>
      <c r="GT25">
        <v>0</v>
      </c>
      <c r="GU25">
        <v>23.96</v>
      </c>
      <c r="GV25">
        <v>999.9</v>
      </c>
      <c r="GW25">
        <v>42.350999999999999</v>
      </c>
      <c r="GX25">
        <v>31.683</v>
      </c>
      <c r="GY25">
        <v>19.5307</v>
      </c>
      <c r="GZ25">
        <v>63.0565</v>
      </c>
      <c r="HA25">
        <v>34.198700000000002</v>
      </c>
      <c r="HB25">
        <v>1</v>
      </c>
      <c r="HC25">
        <v>0.116123</v>
      </c>
      <c r="HD25">
        <v>2.5425800000000001</v>
      </c>
      <c r="HE25">
        <v>20.214400000000001</v>
      </c>
      <c r="HF25">
        <v>5.2304700000000004</v>
      </c>
      <c r="HG25">
        <v>11.9625</v>
      </c>
      <c r="HH25">
        <v>4.9653499999999999</v>
      </c>
      <c r="HI25">
        <v>3.2949999999999999</v>
      </c>
      <c r="HJ25">
        <v>9999</v>
      </c>
      <c r="HK25">
        <v>9999</v>
      </c>
      <c r="HL25">
        <v>9999</v>
      </c>
      <c r="HM25">
        <v>999.9</v>
      </c>
      <c r="HN25">
        <v>4.9685300000000003</v>
      </c>
      <c r="HO25">
        <v>1.8623700000000001</v>
      </c>
      <c r="HP25">
        <v>1.8639399999999999</v>
      </c>
      <c r="HQ25">
        <v>1.8658399999999999</v>
      </c>
      <c r="HR25">
        <v>1.86293</v>
      </c>
      <c r="HS25">
        <v>1.8666100000000001</v>
      </c>
      <c r="HT25">
        <v>1.8633599999999999</v>
      </c>
      <c r="HU25">
        <v>1.8652299999999999</v>
      </c>
      <c r="HV25">
        <v>0</v>
      </c>
      <c r="HW25">
        <v>0</v>
      </c>
      <c r="HX25">
        <v>0</v>
      </c>
      <c r="HY25">
        <v>0</v>
      </c>
      <c r="HZ25" t="s">
        <v>420</v>
      </c>
      <c r="IA25" t="s">
        <v>421</v>
      </c>
      <c r="IB25" t="s">
        <v>422</v>
      </c>
      <c r="IC25" t="s">
        <v>422</v>
      </c>
      <c r="ID25" t="s">
        <v>422</v>
      </c>
      <c r="IE25" t="s">
        <v>422</v>
      </c>
      <c r="IF25">
        <v>0</v>
      </c>
      <c r="IG25">
        <v>100</v>
      </c>
      <c r="IH25">
        <v>100</v>
      </c>
      <c r="II25">
        <v>0.7</v>
      </c>
      <c r="IJ25">
        <v>-9.5799999999999996E-2</v>
      </c>
      <c r="IK25">
        <v>0.275567195771248</v>
      </c>
      <c r="IL25">
        <v>2.16929631606078E-4</v>
      </c>
      <c r="IM25">
        <v>2.7226302473163502E-7</v>
      </c>
      <c r="IN25">
        <v>-5.4379205123515401E-11</v>
      </c>
      <c r="IO25">
        <v>-1.21453752616514E-2</v>
      </c>
      <c r="IP25">
        <v>-5.8443384954566899E-2</v>
      </c>
      <c r="IQ25">
        <v>3.41568706061026E-3</v>
      </c>
      <c r="IR25">
        <v>-2.10952612506686E-5</v>
      </c>
      <c r="IS25">
        <v>0</v>
      </c>
      <c r="IT25">
        <v>1734</v>
      </c>
      <c r="IU25">
        <v>2</v>
      </c>
      <c r="IV25">
        <v>19</v>
      </c>
      <c r="IW25">
        <v>1.4</v>
      </c>
      <c r="IX25">
        <v>1.5</v>
      </c>
      <c r="IY25">
        <v>2.18018</v>
      </c>
      <c r="IZ25">
        <v>2.5537100000000001</v>
      </c>
      <c r="JA25">
        <v>1.3464400000000001</v>
      </c>
      <c r="JB25">
        <v>2.2558600000000002</v>
      </c>
      <c r="JC25">
        <v>1.5502899999999999</v>
      </c>
      <c r="JD25">
        <v>2.65137</v>
      </c>
      <c r="JE25">
        <v>35.9178</v>
      </c>
      <c r="JF25">
        <v>15.0076</v>
      </c>
      <c r="JG25">
        <v>18</v>
      </c>
      <c r="JH25">
        <v>492.72699999999998</v>
      </c>
      <c r="JI25">
        <v>487.79700000000003</v>
      </c>
      <c r="JJ25">
        <v>21.598500000000001</v>
      </c>
      <c r="JK25">
        <v>28.676400000000001</v>
      </c>
      <c r="JL25">
        <v>30.000299999999999</v>
      </c>
      <c r="JM25">
        <v>28.672799999999999</v>
      </c>
      <c r="JN25">
        <v>28.689499999999999</v>
      </c>
      <c r="JO25">
        <v>43.631399999999999</v>
      </c>
      <c r="JP25">
        <v>27.388300000000001</v>
      </c>
      <c r="JQ25">
        <v>45.445999999999998</v>
      </c>
      <c r="JR25">
        <v>21.583600000000001</v>
      </c>
      <c r="JS25">
        <v>1000</v>
      </c>
      <c r="JT25">
        <v>15.978999999999999</v>
      </c>
      <c r="JU25">
        <v>101.595</v>
      </c>
      <c r="JV25">
        <v>97.252600000000001</v>
      </c>
    </row>
    <row r="26" spans="1:282" x14ac:dyDescent="0.3">
      <c r="A26">
        <v>10</v>
      </c>
      <c r="B26">
        <v>1792217086</v>
      </c>
      <c r="C26">
        <v>1160.9000000953699</v>
      </c>
      <c r="D26" t="s">
        <v>449</v>
      </c>
      <c r="E26" t="s">
        <v>450</v>
      </c>
      <c r="F26">
        <v>5</v>
      </c>
      <c r="G26">
        <v>1792217083</v>
      </c>
      <c r="H26">
        <f t="shared" si="0"/>
        <v>3.3744094282780698E-3</v>
      </c>
      <c r="I26">
        <f t="shared" si="1"/>
        <v>3.3744094282780699</v>
      </c>
      <c r="J26">
        <f t="shared" si="2"/>
        <v>36.628796539796781</v>
      </c>
      <c r="K26">
        <f t="shared" si="3"/>
        <v>1183.8219999999999</v>
      </c>
      <c r="L26">
        <f t="shared" si="4"/>
        <v>915.53354041547641</v>
      </c>
      <c r="M26">
        <f t="shared" si="5"/>
        <v>93.202218210695918</v>
      </c>
      <c r="N26">
        <f t="shared" si="6"/>
        <v>120.51424824540193</v>
      </c>
      <c r="O26">
        <f t="shared" si="7"/>
        <v>0.24887217261503111</v>
      </c>
      <c r="P26">
        <f t="shared" si="8"/>
        <v>3.039088043915553</v>
      </c>
      <c r="Q26">
        <f t="shared" si="9"/>
        <v>0.23807888834524868</v>
      </c>
      <c r="R26">
        <f t="shared" si="10"/>
        <v>0.14973003000743662</v>
      </c>
      <c r="S26">
        <f t="shared" si="11"/>
        <v>241.72961720286696</v>
      </c>
      <c r="T26">
        <f t="shared" si="12"/>
        <v>25.799518907601026</v>
      </c>
      <c r="U26">
        <f t="shared" si="13"/>
        <v>25.0365</v>
      </c>
      <c r="V26">
        <f t="shared" si="14"/>
        <v>3.1866034587686913</v>
      </c>
      <c r="W26">
        <f t="shared" si="15"/>
        <v>55.055961994437929</v>
      </c>
      <c r="X26">
        <f t="shared" si="16"/>
        <v>1.7789172784374228</v>
      </c>
      <c r="Y26">
        <f t="shared" si="17"/>
        <v>3.2311074295952529</v>
      </c>
      <c r="Z26">
        <f t="shared" si="18"/>
        <v>1.4076861803312686</v>
      </c>
      <c r="AA26">
        <f t="shared" si="19"/>
        <v>-148.81145578706287</v>
      </c>
      <c r="AB26">
        <f t="shared" si="20"/>
        <v>38.159107975830814</v>
      </c>
      <c r="AC26">
        <f t="shared" si="21"/>
        <v>2.6600116464265549</v>
      </c>
      <c r="AD26">
        <f t="shared" si="22"/>
        <v>133.73728103806147</v>
      </c>
      <c r="AE26">
        <v>0</v>
      </c>
      <c r="AF26">
        <v>0</v>
      </c>
      <c r="AG26">
        <f t="shared" si="23"/>
        <v>1</v>
      </c>
      <c r="AH26">
        <f t="shared" si="24"/>
        <v>0</v>
      </c>
      <c r="AI26">
        <f t="shared" si="25"/>
        <v>54089.928319424253</v>
      </c>
      <c r="AJ26" t="s">
        <v>416</v>
      </c>
      <c r="AK26" t="s">
        <v>416</v>
      </c>
      <c r="AL26">
        <v>0</v>
      </c>
      <c r="AM26">
        <v>0</v>
      </c>
      <c r="AN26" t="e">
        <f t="shared" si="26"/>
        <v>#DIV/0!</v>
      </c>
      <c r="AO26">
        <v>0</v>
      </c>
      <c r="AP26" t="s">
        <v>416</v>
      </c>
      <c r="AQ26" t="s">
        <v>416</v>
      </c>
      <c r="AR26">
        <v>0</v>
      </c>
      <c r="AS26">
        <v>0</v>
      </c>
      <c r="AT26" t="e">
        <f t="shared" si="27"/>
        <v>#DIV/0!</v>
      </c>
      <c r="AU26">
        <v>0.5</v>
      </c>
      <c r="AV26">
        <f t="shared" si="28"/>
        <v>1261.1722194833505</v>
      </c>
      <c r="AW26">
        <f t="shared" si="29"/>
        <v>36.628796539796781</v>
      </c>
      <c r="AX26" t="e">
        <f t="shared" si="30"/>
        <v>#DIV/0!</v>
      </c>
      <c r="AY26">
        <f t="shared" si="31"/>
        <v>2.9043453363413019E-2</v>
      </c>
      <c r="AZ26" t="e">
        <f t="shared" si="32"/>
        <v>#DIV/0!</v>
      </c>
      <c r="BA26" t="e">
        <f t="shared" si="33"/>
        <v>#DIV/0!</v>
      </c>
      <c r="BB26" t="s">
        <v>416</v>
      </c>
      <c r="BC26">
        <v>0</v>
      </c>
      <c r="BD26" t="e">
        <f t="shared" si="34"/>
        <v>#DIV/0!</v>
      </c>
      <c r="BE26" t="e">
        <f t="shared" si="35"/>
        <v>#DIV/0!</v>
      </c>
      <c r="BF26" t="e">
        <f t="shared" si="36"/>
        <v>#DIV/0!</v>
      </c>
      <c r="BG26" t="e">
        <f t="shared" si="37"/>
        <v>#DIV/0!</v>
      </c>
      <c r="BH26" t="e">
        <f t="shared" si="38"/>
        <v>#DIV/0!</v>
      </c>
      <c r="BI26" t="e">
        <f t="shared" si="39"/>
        <v>#DIV/0!</v>
      </c>
      <c r="BJ26" t="e">
        <f t="shared" si="40"/>
        <v>#DIV/0!</v>
      </c>
      <c r="BK26" t="e">
        <f t="shared" si="41"/>
        <v>#DIV/0!</v>
      </c>
      <c r="BL26">
        <v>1138</v>
      </c>
      <c r="BM26">
        <v>290</v>
      </c>
      <c r="BN26">
        <v>1235.3699999999999</v>
      </c>
      <c r="BO26">
        <v>145</v>
      </c>
      <c r="BP26">
        <v>8137.14</v>
      </c>
      <c r="BQ26">
        <v>1226.99</v>
      </c>
      <c r="BR26">
        <v>8.3800000000000008</v>
      </c>
      <c r="BS26">
        <v>300</v>
      </c>
      <c r="BT26">
        <v>19.3</v>
      </c>
      <c r="BU26">
        <v>1291.7890306731799</v>
      </c>
      <c r="BV26">
        <v>2.4733662300604902</v>
      </c>
      <c r="BW26">
        <v>-52.725713425130103</v>
      </c>
      <c r="BX26">
        <v>1.7971348198971</v>
      </c>
      <c r="BY26">
        <v>0.96849553969215396</v>
      </c>
      <c r="BZ26">
        <v>-5.3927486095661902E-3</v>
      </c>
      <c r="CA26">
        <v>290</v>
      </c>
      <c r="CB26">
        <v>1210.3699999999999</v>
      </c>
      <c r="CC26">
        <v>615</v>
      </c>
      <c r="CD26">
        <v>8118.65</v>
      </c>
      <c r="CE26">
        <v>1226.8499999999999</v>
      </c>
      <c r="CF26">
        <v>-16.48</v>
      </c>
      <c r="CT26">
        <f t="shared" si="42"/>
        <v>1499.954</v>
      </c>
      <c r="CU26">
        <f t="shared" si="43"/>
        <v>1261.1722194833505</v>
      </c>
      <c r="CV26">
        <f t="shared" si="44"/>
        <v>0.84080726441167575</v>
      </c>
      <c r="CW26">
        <f t="shared" si="45"/>
        <v>0.1611580203145343</v>
      </c>
      <c r="CX26">
        <v>2</v>
      </c>
      <c r="CY26">
        <v>0.5</v>
      </c>
      <c r="CZ26" t="s">
        <v>417</v>
      </c>
      <c r="DA26">
        <v>2</v>
      </c>
      <c r="DB26">
        <v>1792217083</v>
      </c>
      <c r="DC26">
        <v>1183.8219999999999</v>
      </c>
      <c r="DD26">
        <v>1200.068</v>
      </c>
      <c r="DE26">
        <v>17.474460000000001</v>
      </c>
      <c r="DF26">
        <v>16.14856</v>
      </c>
      <c r="DG26">
        <v>1182.6279999999999</v>
      </c>
      <c r="DH26">
        <v>17.574059999999999</v>
      </c>
      <c r="DI26">
        <v>500.1046</v>
      </c>
      <c r="DJ26">
        <v>101.70099999999999</v>
      </c>
      <c r="DK26">
        <v>9.9987179999999995E-2</v>
      </c>
      <c r="DL26">
        <v>25.269400000000001</v>
      </c>
      <c r="DM26">
        <v>25.0365</v>
      </c>
      <c r="DN26">
        <v>999.9</v>
      </c>
      <c r="DO26">
        <v>0</v>
      </c>
      <c r="DP26">
        <v>0</v>
      </c>
      <c r="DQ26">
        <v>10000.25</v>
      </c>
      <c r="DR26">
        <v>0</v>
      </c>
      <c r="DS26">
        <v>7.3110600000000003</v>
      </c>
      <c r="DT26">
        <v>-16.24268</v>
      </c>
      <c r="DU26">
        <v>1204.8800000000001</v>
      </c>
      <c r="DV26">
        <v>1219.7639999999999</v>
      </c>
      <c r="DW26">
        <v>1.3259000000000001</v>
      </c>
      <c r="DX26">
        <v>1200.068</v>
      </c>
      <c r="DY26">
        <v>16.14856</v>
      </c>
      <c r="DZ26">
        <v>1.7771699999999999</v>
      </c>
      <c r="EA26">
        <v>1.6423239999999999</v>
      </c>
      <c r="EB26">
        <v>15.587440000000001</v>
      </c>
      <c r="EC26">
        <v>14.36176</v>
      </c>
      <c r="ED26">
        <v>1499.954</v>
      </c>
      <c r="EE26">
        <v>0.973001</v>
      </c>
      <c r="EF26">
        <v>2.6998959999999999E-2</v>
      </c>
      <c r="EG26">
        <v>0</v>
      </c>
      <c r="EH26">
        <v>303.08699999999999</v>
      </c>
      <c r="EI26">
        <v>5.0006399999999998</v>
      </c>
      <c r="EJ26">
        <v>4725.1620000000003</v>
      </c>
      <c r="EK26">
        <v>15438.76</v>
      </c>
      <c r="EL26">
        <v>41.362400000000001</v>
      </c>
      <c r="EM26">
        <v>42</v>
      </c>
      <c r="EN26">
        <v>41.686999999999998</v>
      </c>
      <c r="EO26">
        <v>41.686999999999998</v>
      </c>
      <c r="EP26">
        <v>42.824599999999997</v>
      </c>
      <c r="EQ26">
        <v>1454.5920000000001</v>
      </c>
      <c r="ER26">
        <v>40.362000000000002</v>
      </c>
      <c r="ES26">
        <v>0</v>
      </c>
      <c r="ET26">
        <v>5350.1000001430502</v>
      </c>
      <c r="EU26">
        <v>0</v>
      </c>
      <c r="EV26">
        <v>303.36746153846201</v>
      </c>
      <c r="EW26">
        <v>-1.47377779241629</v>
      </c>
      <c r="EX26">
        <v>-18.736068377033501</v>
      </c>
      <c r="EY26">
        <v>4727.2588461538498</v>
      </c>
      <c r="EZ26">
        <v>15</v>
      </c>
      <c r="FA26">
        <v>1792217033</v>
      </c>
      <c r="FB26" t="s">
        <v>451</v>
      </c>
      <c r="FC26">
        <v>1792217033</v>
      </c>
      <c r="FD26">
        <v>1792217014</v>
      </c>
      <c r="FE26">
        <v>49</v>
      </c>
      <c r="FF26">
        <v>0.372</v>
      </c>
      <c r="FG26">
        <v>-1E-3</v>
      </c>
      <c r="FH26">
        <v>1.208</v>
      </c>
      <c r="FI26">
        <v>-0.154</v>
      </c>
      <c r="FJ26">
        <v>1200</v>
      </c>
      <c r="FK26">
        <v>16</v>
      </c>
      <c r="FL26">
        <v>0.15</v>
      </c>
      <c r="FM26">
        <v>0.03</v>
      </c>
      <c r="FN26">
        <v>36.574875218145003</v>
      </c>
      <c r="FO26">
        <v>0.23726133405032299</v>
      </c>
      <c r="FP26">
        <v>0.110545708289624</v>
      </c>
      <c r="FQ26">
        <v>1</v>
      </c>
      <c r="FR26">
        <v>-16.266465</v>
      </c>
      <c r="FS26">
        <v>0.138906766917296</v>
      </c>
      <c r="FT26">
        <v>4.8195168585657797E-2</v>
      </c>
      <c r="FU26">
        <v>1</v>
      </c>
      <c r="FV26">
        <v>303.34858823529402</v>
      </c>
      <c r="FW26">
        <v>0.394346826676574</v>
      </c>
      <c r="FX26">
        <v>0.271625728406169</v>
      </c>
      <c r="FY26">
        <v>1</v>
      </c>
      <c r="FZ26">
        <v>3</v>
      </c>
      <c r="GA26">
        <v>3</v>
      </c>
      <c r="GB26" t="s">
        <v>419</v>
      </c>
      <c r="GC26">
        <v>3.1233599999999999</v>
      </c>
      <c r="GD26">
        <v>2.7655400000000001</v>
      </c>
      <c r="GE26">
        <v>0.184613</v>
      </c>
      <c r="GF26">
        <v>0.190973</v>
      </c>
      <c r="GG26">
        <v>9.3561500000000006E-2</v>
      </c>
      <c r="GH26">
        <v>9.1530899999999998E-2</v>
      </c>
      <c r="GI26">
        <v>15863.9</v>
      </c>
      <c r="GJ26">
        <v>23735.599999999999</v>
      </c>
      <c r="GK26">
        <v>22736.7</v>
      </c>
      <c r="GL26">
        <v>30065.4</v>
      </c>
      <c r="GM26">
        <v>33819</v>
      </c>
      <c r="GN26">
        <v>34041.1</v>
      </c>
      <c r="GO26">
        <v>43028.2</v>
      </c>
      <c r="GP26">
        <v>42829.599999999999</v>
      </c>
      <c r="GQ26">
        <v>1.9510000000000001</v>
      </c>
      <c r="GR26">
        <v>1.8227</v>
      </c>
      <c r="GS26">
        <v>6.7494799999999994E-2</v>
      </c>
      <c r="GT26">
        <v>0</v>
      </c>
      <c r="GU26">
        <v>23.8995</v>
      </c>
      <c r="GV26">
        <v>999.9</v>
      </c>
      <c r="GW26">
        <v>42.271999999999998</v>
      </c>
      <c r="GX26">
        <v>31.733000000000001</v>
      </c>
      <c r="GY26">
        <v>19.5503</v>
      </c>
      <c r="GZ26">
        <v>63.496499999999997</v>
      </c>
      <c r="HA26">
        <v>33.729999999999997</v>
      </c>
      <c r="HB26">
        <v>1</v>
      </c>
      <c r="HC26">
        <v>0.117879</v>
      </c>
      <c r="HD26">
        <v>2.64669</v>
      </c>
      <c r="HE26">
        <v>20.212800000000001</v>
      </c>
      <c r="HF26">
        <v>5.2322600000000001</v>
      </c>
      <c r="HG26">
        <v>11.962199999999999</v>
      </c>
      <c r="HH26">
        <v>4.9688999999999997</v>
      </c>
      <c r="HI26">
        <v>3.2949999999999999</v>
      </c>
      <c r="HJ26">
        <v>9999</v>
      </c>
      <c r="HK26">
        <v>9999</v>
      </c>
      <c r="HL26">
        <v>9999</v>
      </c>
      <c r="HM26">
        <v>999.9</v>
      </c>
      <c r="HN26">
        <v>4.9684999999999997</v>
      </c>
      <c r="HO26">
        <v>1.8623799999999999</v>
      </c>
      <c r="HP26">
        <v>1.8639399999999999</v>
      </c>
      <c r="HQ26">
        <v>1.8658399999999999</v>
      </c>
      <c r="HR26">
        <v>1.8629100000000001</v>
      </c>
      <c r="HS26">
        <v>1.8666</v>
      </c>
      <c r="HT26">
        <v>1.86337</v>
      </c>
      <c r="HU26">
        <v>1.8652299999999999</v>
      </c>
      <c r="HV26">
        <v>0</v>
      </c>
      <c r="HW26">
        <v>0</v>
      </c>
      <c r="HX26">
        <v>0</v>
      </c>
      <c r="HY26">
        <v>0</v>
      </c>
      <c r="HZ26" t="s">
        <v>420</v>
      </c>
      <c r="IA26" t="s">
        <v>421</v>
      </c>
      <c r="IB26" t="s">
        <v>422</v>
      </c>
      <c r="IC26" t="s">
        <v>422</v>
      </c>
      <c r="ID26" t="s">
        <v>422</v>
      </c>
      <c r="IE26" t="s">
        <v>422</v>
      </c>
      <c r="IF26">
        <v>0</v>
      </c>
      <c r="IG26">
        <v>100</v>
      </c>
      <c r="IH26">
        <v>100</v>
      </c>
      <c r="II26">
        <v>1.19</v>
      </c>
      <c r="IJ26">
        <v>-0.10009999999999999</v>
      </c>
      <c r="IK26">
        <v>0.65022300896377905</v>
      </c>
      <c r="IL26">
        <v>2.16929631606078E-4</v>
      </c>
      <c r="IM26">
        <v>2.7226302473163502E-7</v>
      </c>
      <c r="IN26">
        <v>-5.4379205123515401E-11</v>
      </c>
      <c r="IO26">
        <v>-1.29266706089416E-2</v>
      </c>
      <c r="IP26">
        <v>-5.8443384954566899E-2</v>
      </c>
      <c r="IQ26">
        <v>3.41568706061026E-3</v>
      </c>
      <c r="IR26">
        <v>-2.10952612506686E-5</v>
      </c>
      <c r="IS26">
        <v>0</v>
      </c>
      <c r="IT26">
        <v>1734</v>
      </c>
      <c r="IU26">
        <v>2</v>
      </c>
      <c r="IV26">
        <v>19</v>
      </c>
      <c r="IW26">
        <v>0.9</v>
      </c>
      <c r="IX26">
        <v>1.2</v>
      </c>
      <c r="IY26">
        <v>2.52197</v>
      </c>
      <c r="IZ26">
        <v>2.5390600000000001</v>
      </c>
      <c r="JA26">
        <v>1.3464400000000001</v>
      </c>
      <c r="JB26">
        <v>2.2558600000000002</v>
      </c>
      <c r="JC26">
        <v>1.5502899999999999</v>
      </c>
      <c r="JD26">
        <v>2.7331500000000002</v>
      </c>
      <c r="JE26">
        <v>35.941200000000002</v>
      </c>
      <c r="JF26">
        <v>14.981400000000001</v>
      </c>
      <c r="JG26">
        <v>18</v>
      </c>
      <c r="JH26">
        <v>492.846</v>
      </c>
      <c r="JI26">
        <v>488.15800000000002</v>
      </c>
      <c r="JJ26">
        <v>21.488800000000001</v>
      </c>
      <c r="JK26">
        <v>28.7075</v>
      </c>
      <c r="JL26">
        <v>30.000499999999999</v>
      </c>
      <c r="JM26">
        <v>28.6997</v>
      </c>
      <c r="JN26">
        <v>28.715599999999998</v>
      </c>
      <c r="JO26">
        <v>50.4895</v>
      </c>
      <c r="JP26">
        <v>25.8169</v>
      </c>
      <c r="JQ26">
        <v>45.279299999999999</v>
      </c>
      <c r="JR26">
        <v>21.444800000000001</v>
      </c>
      <c r="JS26">
        <v>1200</v>
      </c>
      <c r="JT26">
        <v>16.171099999999999</v>
      </c>
      <c r="JU26">
        <v>101.593</v>
      </c>
      <c r="JV26">
        <v>97.248099999999994</v>
      </c>
    </row>
    <row r="27" spans="1:282" x14ac:dyDescent="0.3">
      <c r="A27">
        <v>11</v>
      </c>
      <c r="B27">
        <v>1792217237</v>
      </c>
      <c r="C27">
        <v>1311.9000000953699</v>
      </c>
      <c r="D27" t="s">
        <v>452</v>
      </c>
      <c r="E27" t="s">
        <v>453</v>
      </c>
      <c r="F27">
        <v>5</v>
      </c>
      <c r="G27">
        <v>1792217234</v>
      </c>
      <c r="H27">
        <f t="shared" si="0"/>
        <v>2.4550191629113187E-3</v>
      </c>
      <c r="I27">
        <f t="shared" si="1"/>
        <v>2.4550191629113187</v>
      </c>
      <c r="J27">
        <f t="shared" si="2"/>
        <v>36.230353412967681</v>
      </c>
      <c r="K27">
        <f t="shared" si="3"/>
        <v>1483.962</v>
      </c>
      <c r="L27">
        <f t="shared" si="4"/>
        <v>1119.4049496484072</v>
      </c>
      <c r="M27">
        <f t="shared" si="5"/>
        <v>113.96059380119161</v>
      </c>
      <c r="N27">
        <f t="shared" si="6"/>
        <v>151.07418521913851</v>
      </c>
      <c r="O27">
        <f t="shared" si="7"/>
        <v>0.17784106853072482</v>
      </c>
      <c r="P27">
        <f t="shared" si="8"/>
        <v>3.0400580794272041</v>
      </c>
      <c r="Q27">
        <f t="shared" si="9"/>
        <v>0.1722569765991189</v>
      </c>
      <c r="R27">
        <f t="shared" si="10"/>
        <v>0.10814771309369037</v>
      </c>
      <c r="S27">
        <f t="shared" si="11"/>
        <v>241.73472440288828</v>
      </c>
      <c r="T27">
        <f t="shared" si="12"/>
        <v>25.886231967497739</v>
      </c>
      <c r="U27">
        <f t="shared" si="13"/>
        <v>24.971620000000001</v>
      </c>
      <c r="V27">
        <f t="shared" si="14"/>
        <v>3.1743015836317054</v>
      </c>
      <c r="W27">
        <f t="shared" si="15"/>
        <v>54.895001860620098</v>
      </c>
      <c r="X27">
        <f t="shared" si="16"/>
        <v>1.7585261491535484</v>
      </c>
      <c r="Y27">
        <f t="shared" si="17"/>
        <v>3.2034358130062448</v>
      </c>
      <c r="Z27">
        <f t="shared" si="18"/>
        <v>1.415775434478157</v>
      </c>
      <c r="AA27">
        <f t="shared" si="19"/>
        <v>-108.26634508438916</v>
      </c>
      <c r="AB27">
        <f t="shared" si="20"/>
        <v>25.125197193599249</v>
      </c>
      <c r="AC27">
        <f t="shared" si="21"/>
        <v>1.7490356062208061</v>
      </c>
      <c r="AD27">
        <f t="shared" si="22"/>
        <v>160.34261211831921</v>
      </c>
      <c r="AE27">
        <v>0</v>
      </c>
      <c r="AF27">
        <v>0</v>
      </c>
      <c r="AG27">
        <f t="shared" si="23"/>
        <v>1</v>
      </c>
      <c r="AH27">
        <f t="shared" si="24"/>
        <v>0</v>
      </c>
      <c r="AI27">
        <f t="shared" si="25"/>
        <v>54146.657222913658</v>
      </c>
      <c r="AJ27" t="s">
        <v>416</v>
      </c>
      <c r="AK27" t="s">
        <v>416</v>
      </c>
      <c r="AL27">
        <v>0</v>
      </c>
      <c r="AM27">
        <v>0</v>
      </c>
      <c r="AN27" t="e">
        <f t="shared" si="26"/>
        <v>#DIV/0!</v>
      </c>
      <c r="AO27">
        <v>0</v>
      </c>
      <c r="AP27" t="s">
        <v>416</v>
      </c>
      <c r="AQ27" t="s">
        <v>416</v>
      </c>
      <c r="AR27">
        <v>0</v>
      </c>
      <c r="AS27">
        <v>0</v>
      </c>
      <c r="AT27" t="e">
        <f t="shared" si="27"/>
        <v>#DIV/0!</v>
      </c>
      <c r="AU27">
        <v>0.5</v>
      </c>
      <c r="AV27">
        <f t="shared" si="28"/>
        <v>1261.1990994833618</v>
      </c>
      <c r="AW27">
        <f t="shared" si="29"/>
        <v>36.230353412967681</v>
      </c>
      <c r="AX27" t="e">
        <f t="shared" si="30"/>
        <v>#DIV/0!</v>
      </c>
      <c r="AY27">
        <f t="shared" si="31"/>
        <v>2.8726910309251806E-2</v>
      </c>
      <c r="AZ27" t="e">
        <f t="shared" si="32"/>
        <v>#DIV/0!</v>
      </c>
      <c r="BA27" t="e">
        <f t="shared" si="33"/>
        <v>#DIV/0!</v>
      </c>
      <c r="BB27" t="s">
        <v>416</v>
      </c>
      <c r="BC27">
        <v>0</v>
      </c>
      <c r="BD27" t="e">
        <f t="shared" si="34"/>
        <v>#DIV/0!</v>
      </c>
      <c r="BE27" t="e">
        <f t="shared" si="35"/>
        <v>#DIV/0!</v>
      </c>
      <c r="BF27" t="e">
        <f t="shared" si="36"/>
        <v>#DIV/0!</v>
      </c>
      <c r="BG27" t="e">
        <f t="shared" si="37"/>
        <v>#DIV/0!</v>
      </c>
      <c r="BH27" t="e">
        <f t="shared" si="38"/>
        <v>#DIV/0!</v>
      </c>
      <c r="BI27" t="e">
        <f t="shared" si="39"/>
        <v>#DIV/0!</v>
      </c>
      <c r="BJ27" t="e">
        <f t="shared" si="40"/>
        <v>#DIV/0!</v>
      </c>
      <c r="BK27" t="e">
        <f t="shared" si="41"/>
        <v>#DIV/0!</v>
      </c>
      <c r="BL27">
        <v>1138</v>
      </c>
      <c r="BM27">
        <v>290</v>
      </c>
      <c r="BN27">
        <v>1235.3699999999999</v>
      </c>
      <c r="BO27">
        <v>145</v>
      </c>
      <c r="BP27">
        <v>8137.14</v>
      </c>
      <c r="BQ27">
        <v>1226.99</v>
      </c>
      <c r="BR27">
        <v>8.3800000000000008</v>
      </c>
      <c r="BS27">
        <v>300</v>
      </c>
      <c r="BT27">
        <v>19.3</v>
      </c>
      <c r="BU27">
        <v>1291.7890306731799</v>
      </c>
      <c r="BV27">
        <v>2.4733662300604902</v>
      </c>
      <c r="BW27">
        <v>-52.725713425130103</v>
      </c>
      <c r="BX27">
        <v>1.7971348198971</v>
      </c>
      <c r="BY27">
        <v>0.96849553969215396</v>
      </c>
      <c r="BZ27">
        <v>-5.3927486095661902E-3</v>
      </c>
      <c r="CA27">
        <v>290</v>
      </c>
      <c r="CB27">
        <v>1210.3699999999999</v>
      </c>
      <c r="CC27">
        <v>615</v>
      </c>
      <c r="CD27">
        <v>8118.65</v>
      </c>
      <c r="CE27">
        <v>1226.8499999999999</v>
      </c>
      <c r="CF27">
        <v>-16.48</v>
      </c>
      <c r="CT27">
        <f t="shared" si="42"/>
        <v>1499.9860000000001</v>
      </c>
      <c r="CU27">
        <f t="shared" si="43"/>
        <v>1261.1990994833618</v>
      </c>
      <c r="CV27">
        <f t="shared" si="44"/>
        <v>0.84080724718988165</v>
      </c>
      <c r="CW27">
        <f t="shared" si="45"/>
        <v>0.16115798707647155</v>
      </c>
      <c r="CX27">
        <v>2</v>
      </c>
      <c r="CY27">
        <v>0.5</v>
      </c>
      <c r="CZ27" t="s">
        <v>417</v>
      </c>
      <c r="DA27">
        <v>2</v>
      </c>
      <c r="DB27">
        <v>1792217234</v>
      </c>
      <c r="DC27">
        <v>1483.962</v>
      </c>
      <c r="DD27">
        <v>1499.91</v>
      </c>
      <c r="DE27">
        <v>17.273540000000001</v>
      </c>
      <c r="DF27">
        <v>16.308579999999999</v>
      </c>
      <c r="DG27">
        <v>1482.14</v>
      </c>
      <c r="DH27">
        <v>17.380739999999999</v>
      </c>
      <c r="DI27">
        <v>500.04399999999998</v>
      </c>
      <c r="DJ27">
        <v>101.70480000000001</v>
      </c>
      <c r="DK27">
        <v>9.9818459999999998E-2</v>
      </c>
      <c r="DL27">
        <v>25.124919999999999</v>
      </c>
      <c r="DM27">
        <v>24.971620000000001</v>
      </c>
      <c r="DN27">
        <v>999.9</v>
      </c>
      <c r="DO27">
        <v>0</v>
      </c>
      <c r="DP27">
        <v>0</v>
      </c>
      <c r="DQ27">
        <v>10005.74</v>
      </c>
      <c r="DR27">
        <v>0</v>
      </c>
      <c r="DS27">
        <v>7.2564900000000003</v>
      </c>
      <c r="DT27">
        <v>-15.9458</v>
      </c>
      <c r="DU27">
        <v>1510.05</v>
      </c>
      <c r="DV27">
        <v>1524.7760000000001</v>
      </c>
      <c r="DW27">
        <v>0.96495019999999998</v>
      </c>
      <c r="DX27">
        <v>1499.91</v>
      </c>
      <c r="DY27">
        <v>16.308579999999999</v>
      </c>
      <c r="DZ27">
        <v>1.7567999999999999</v>
      </c>
      <c r="EA27">
        <v>1.6586620000000001</v>
      </c>
      <c r="EB27">
        <v>15.40762</v>
      </c>
      <c r="EC27">
        <v>14.514860000000001</v>
      </c>
      <c r="ED27">
        <v>1499.9860000000001</v>
      </c>
      <c r="EE27">
        <v>0.97300160000000002</v>
      </c>
      <c r="EF27">
        <v>2.6998379999999999E-2</v>
      </c>
      <c r="EG27">
        <v>0</v>
      </c>
      <c r="EH27">
        <v>302.5</v>
      </c>
      <c r="EI27">
        <v>5.0006399999999998</v>
      </c>
      <c r="EJ27">
        <v>4714.6499999999996</v>
      </c>
      <c r="EK27">
        <v>15439.06</v>
      </c>
      <c r="EL27">
        <v>41.375</v>
      </c>
      <c r="EM27">
        <v>42.049599999999998</v>
      </c>
      <c r="EN27">
        <v>41.686999999999998</v>
      </c>
      <c r="EO27">
        <v>41.686999999999998</v>
      </c>
      <c r="EP27">
        <v>42.824599999999997</v>
      </c>
      <c r="EQ27">
        <v>1454.624</v>
      </c>
      <c r="ER27">
        <v>40.362000000000002</v>
      </c>
      <c r="ES27">
        <v>0</v>
      </c>
      <c r="ET27">
        <v>5500.7000000476801</v>
      </c>
      <c r="EU27">
        <v>0</v>
      </c>
      <c r="EV27">
        <v>302.41091999999998</v>
      </c>
      <c r="EW27">
        <v>1.3159230834019999</v>
      </c>
      <c r="EX27">
        <v>2.85846156167743</v>
      </c>
      <c r="EY27">
        <v>4714.4179999999997</v>
      </c>
      <c r="EZ27">
        <v>15</v>
      </c>
      <c r="FA27">
        <v>1792217160</v>
      </c>
      <c r="FB27" t="s">
        <v>454</v>
      </c>
      <c r="FC27">
        <v>1792217160</v>
      </c>
      <c r="FD27">
        <v>1792217153</v>
      </c>
      <c r="FE27">
        <v>50</v>
      </c>
      <c r="FF27">
        <v>0.43</v>
      </c>
      <c r="FG27">
        <v>0</v>
      </c>
      <c r="FH27">
        <v>1.835</v>
      </c>
      <c r="FI27">
        <v>-0.14399999999999999</v>
      </c>
      <c r="FJ27">
        <v>1500</v>
      </c>
      <c r="FK27">
        <v>16</v>
      </c>
      <c r="FL27">
        <v>0.28999999999999998</v>
      </c>
      <c r="FM27">
        <v>0.06</v>
      </c>
      <c r="FN27">
        <v>36.276253949113404</v>
      </c>
      <c r="FO27">
        <v>0.78557758975152503</v>
      </c>
      <c r="FP27">
        <v>0.16569771587229601</v>
      </c>
      <c r="FQ27">
        <v>0</v>
      </c>
      <c r="FR27">
        <v>-16.0088857142857</v>
      </c>
      <c r="FS27">
        <v>1.6807792207784299E-2</v>
      </c>
      <c r="FT27">
        <v>6.8899328116941799E-2</v>
      </c>
      <c r="FU27">
        <v>1</v>
      </c>
      <c r="FV27">
        <v>302.46800000000002</v>
      </c>
      <c r="FW27">
        <v>-1.15682199709804</v>
      </c>
      <c r="FX27">
        <v>0.225964729158181</v>
      </c>
      <c r="FY27">
        <v>0</v>
      </c>
      <c r="FZ27">
        <v>1</v>
      </c>
      <c r="GA27">
        <v>3</v>
      </c>
      <c r="GB27" t="s">
        <v>438</v>
      </c>
      <c r="GC27">
        <v>3.1232500000000001</v>
      </c>
      <c r="GD27">
        <v>2.76539</v>
      </c>
      <c r="GE27">
        <v>0.21119399999999999</v>
      </c>
      <c r="GF27">
        <v>0.218029</v>
      </c>
      <c r="GG27">
        <v>9.2868400000000004E-2</v>
      </c>
      <c r="GH27">
        <v>9.22288E-2</v>
      </c>
      <c r="GI27">
        <v>15346.3</v>
      </c>
      <c r="GJ27">
        <v>22941.599999999999</v>
      </c>
      <c r="GK27">
        <v>22736.3</v>
      </c>
      <c r="GL27">
        <v>30065.200000000001</v>
      </c>
      <c r="GM27">
        <v>33846.6</v>
      </c>
      <c r="GN27">
        <v>34016.800000000003</v>
      </c>
      <c r="GO27">
        <v>43027.5</v>
      </c>
      <c r="GP27">
        <v>42829.7</v>
      </c>
      <c r="GQ27">
        <v>1.9506300000000001</v>
      </c>
      <c r="GR27">
        <v>1.8240700000000001</v>
      </c>
      <c r="GS27">
        <v>7.0862499999999995E-2</v>
      </c>
      <c r="GT27">
        <v>0</v>
      </c>
      <c r="GU27">
        <v>23.8154</v>
      </c>
      <c r="GV27">
        <v>999.9</v>
      </c>
      <c r="GW27">
        <v>42.295999999999999</v>
      </c>
      <c r="GX27">
        <v>31.742999999999999</v>
      </c>
      <c r="GY27">
        <v>19.571100000000001</v>
      </c>
      <c r="GZ27">
        <v>63.246600000000001</v>
      </c>
      <c r="HA27">
        <v>34.110599999999998</v>
      </c>
      <c r="HB27">
        <v>1</v>
      </c>
      <c r="HC27">
        <v>0.118371</v>
      </c>
      <c r="HD27">
        <v>2.4590299999999998</v>
      </c>
      <c r="HE27">
        <v>20.215800000000002</v>
      </c>
      <c r="HF27">
        <v>5.2330100000000002</v>
      </c>
      <c r="HG27">
        <v>11.9625</v>
      </c>
      <c r="HH27">
        <v>4.9677499999999997</v>
      </c>
      <c r="HI27">
        <v>3.2950300000000001</v>
      </c>
      <c r="HJ27">
        <v>9999</v>
      </c>
      <c r="HK27">
        <v>9999</v>
      </c>
      <c r="HL27">
        <v>9999</v>
      </c>
      <c r="HM27">
        <v>999.9</v>
      </c>
      <c r="HN27">
        <v>4.9685199999999998</v>
      </c>
      <c r="HO27">
        <v>1.8624099999999999</v>
      </c>
      <c r="HP27">
        <v>1.8639699999999999</v>
      </c>
      <c r="HQ27">
        <v>1.8658399999999999</v>
      </c>
      <c r="HR27">
        <v>1.86294</v>
      </c>
      <c r="HS27">
        <v>1.8666100000000001</v>
      </c>
      <c r="HT27">
        <v>1.8633999999999999</v>
      </c>
      <c r="HU27">
        <v>1.86524</v>
      </c>
      <c r="HV27">
        <v>0</v>
      </c>
      <c r="HW27">
        <v>0</v>
      </c>
      <c r="HX27">
        <v>0</v>
      </c>
      <c r="HY27">
        <v>0</v>
      </c>
      <c r="HZ27" t="s">
        <v>420</v>
      </c>
      <c r="IA27" t="s">
        <v>421</v>
      </c>
      <c r="IB27" t="s">
        <v>422</v>
      </c>
      <c r="IC27" t="s">
        <v>422</v>
      </c>
      <c r="ID27" t="s">
        <v>422</v>
      </c>
      <c r="IE27" t="s">
        <v>422</v>
      </c>
      <c r="IF27">
        <v>0</v>
      </c>
      <c r="IG27">
        <v>100</v>
      </c>
      <c r="IH27">
        <v>100</v>
      </c>
      <c r="II27">
        <v>1.83</v>
      </c>
      <c r="IJ27">
        <v>-0.1072</v>
      </c>
      <c r="IK27">
        <v>1.0822367879586701</v>
      </c>
      <c r="IL27">
        <v>2.16929631606078E-4</v>
      </c>
      <c r="IM27">
        <v>2.7226302473163502E-7</v>
      </c>
      <c r="IN27">
        <v>-5.4379205123515401E-11</v>
      </c>
      <c r="IO27">
        <v>-1.2513630616486599E-2</v>
      </c>
      <c r="IP27">
        <v>-5.8443384954566899E-2</v>
      </c>
      <c r="IQ27">
        <v>3.41568706061026E-3</v>
      </c>
      <c r="IR27">
        <v>-2.10952612506686E-5</v>
      </c>
      <c r="IS27">
        <v>0</v>
      </c>
      <c r="IT27">
        <v>1734</v>
      </c>
      <c r="IU27">
        <v>2</v>
      </c>
      <c r="IV27">
        <v>19</v>
      </c>
      <c r="IW27">
        <v>1.3</v>
      </c>
      <c r="IX27">
        <v>1.4</v>
      </c>
      <c r="IY27">
        <v>3.0127000000000002</v>
      </c>
      <c r="IZ27">
        <v>2.5512700000000001</v>
      </c>
      <c r="JA27">
        <v>1.3476600000000001</v>
      </c>
      <c r="JB27">
        <v>2.2546400000000002</v>
      </c>
      <c r="JC27">
        <v>1.5502899999999999</v>
      </c>
      <c r="JD27">
        <v>2.4157700000000002</v>
      </c>
      <c r="JE27">
        <v>35.964500000000001</v>
      </c>
      <c r="JF27">
        <v>14.928800000000001</v>
      </c>
      <c r="JG27">
        <v>18</v>
      </c>
      <c r="JH27">
        <v>492.77800000000002</v>
      </c>
      <c r="JI27">
        <v>489.30900000000003</v>
      </c>
      <c r="JJ27">
        <v>21.3276</v>
      </c>
      <c r="JK27">
        <v>28.7271</v>
      </c>
      <c r="JL27">
        <v>30</v>
      </c>
      <c r="JM27">
        <v>28.7193</v>
      </c>
      <c r="JN27">
        <v>28.735099999999999</v>
      </c>
      <c r="JO27">
        <v>60.306100000000001</v>
      </c>
      <c r="JP27">
        <v>24.985800000000001</v>
      </c>
      <c r="JQ27">
        <v>45.419899999999998</v>
      </c>
      <c r="JR27">
        <v>21.336500000000001</v>
      </c>
      <c r="JS27">
        <v>1500</v>
      </c>
      <c r="JT27">
        <v>16.4132</v>
      </c>
      <c r="JU27">
        <v>101.592</v>
      </c>
      <c r="JV27">
        <v>97.248000000000005</v>
      </c>
    </row>
    <row r="28" spans="1:282" x14ac:dyDescent="0.3">
      <c r="A28">
        <v>12</v>
      </c>
      <c r="B28">
        <v>1792217371</v>
      </c>
      <c r="C28">
        <v>1445.9000000953699</v>
      </c>
      <c r="D28" t="s">
        <v>455</v>
      </c>
      <c r="E28" t="s">
        <v>456</v>
      </c>
      <c r="F28">
        <v>5</v>
      </c>
      <c r="G28">
        <v>1792217368</v>
      </c>
      <c r="H28">
        <f t="shared" si="0"/>
        <v>1.9654367275408718E-3</v>
      </c>
      <c r="I28">
        <f t="shared" si="1"/>
        <v>1.9654367275408717</v>
      </c>
      <c r="J28">
        <f t="shared" si="2"/>
        <v>37.081626645983718</v>
      </c>
      <c r="K28">
        <f t="shared" si="3"/>
        <v>1783.73</v>
      </c>
      <c r="L28">
        <f t="shared" si="4"/>
        <v>1316.8281563094351</v>
      </c>
      <c r="M28">
        <f t="shared" si="5"/>
        <v>134.0546990422921</v>
      </c>
      <c r="N28">
        <f t="shared" si="6"/>
        <v>181.58587145710962</v>
      </c>
      <c r="O28">
        <f t="shared" si="7"/>
        <v>0.14053461211847551</v>
      </c>
      <c r="P28">
        <f t="shared" si="8"/>
        <v>3.0386577010707252</v>
      </c>
      <c r="Q28">
        <f t="shared" si="9"/>
        <v>0.13702110465333239</v>
      </c>
      <c r="R28">
        <f t="shared" si="10"/>
        <v>8.5946548779794671E-2</v>
      </c>
      <c r="S28">
        <f t="shared" si="11"/>
        <v>241.74308000262374</v>
      </c>
      <c r="T28">
        <f t="shared" si="12"/>
        <v>25.958184715941744</v>
      </c>
      <c r="U28">
        <f t="shared" si="13"/>
        <v>25.011060000000001</v>
      </c>
      <c r="V28">
        <f t="shared" si="14"/>
        <v>3.1817748326736086</v>
      </c>
      <c r="W28">
        <f t="shared" si="15"/>
        <v>55.014995909906503</v>
      </c>
      <c r="X28">
        <f t="shared" si="16"/>
        <v>1.7569544987186334</v>
      </c>
      <c r="Y28">
        <f t="shared" si="17"/>
        <v>3.1935919828038375</v>
      </c>
      <c r="Z28">
        <f t="shared" si="18"/>
        <v>1.4248203339549752</v>
      </c>
      <c r="AA28">
        <f t="shared" si="19"/>
        <v>-86.675759684552446</v>
      </c>
      <c r="AB28">
        <f t="shared" si="20"/>
        <v>10.189611089563886</v>
      </c>
      <c r="AC28">
        <f t="shared" si="21"/>
        <v>0.70961068647445436</v>
      </c>
      <c r="AD28">
        <f t="shared" si="22"/>
        <v>165.96654209410966</v>
      </c>
      <c r="AE28">
        <v>0</v>
      </c>
      <c r="AF28">
        <v>0</v>
      </c>
      <c r="AG28">
        <f t="shared" si="23"/>
        <v>1</v>
      </c>
      <c r="AH28">
        <f t="shared" si="24"/>
        <v>0</v>
      </c>
      <c r="AI28">
        <f t="shared" si="25"/>
        <v>54112.025950671356</v>
      </c>
      <c r="AJ28" t="s">
        <v>416</v>
      </c>
      <c r="AK28" t="s">
        <v>416</v>
      </c>
      <c r="AL28">
        <v>0</v>
      </c>
      <c r="AM28">
        <v>0</v>
      </c>
      <c r="AN28" t="e">
        <f t="shared" si="26"/>
        <v>#DIV/0!</v>
      </c>
      <c r="AO28">
        <v>0</v>
      </c>
      <c r="AP28" t="s">
        <v>416</v>
      </c>
      <c r="AQ28" t="s">
        <v>416</v>
      </c>
      <c r="AR28">
        <v>0</v>
      </c>
      <c r="AS28">
        <v>0</v>
      </c>
      <c r="AT28" t="e">
        <f t="shared" si="27"/>
        <v>#DIV/0!</v>
      </c>
      <c r="AU28">
        <v>0.5</v>
      </c>
      <c r="AV28">
        <f t="shared" si="28"/>
        <v>1261.2397794832248</v>
      </c>
      <c r="AW28">
        <f t="shared" si="29"/>
        <v>37.081626645983718</v>
      </c>
      <c r="AX28" t="e">
        <f t="shared" si="30"/>
        <v>#DIV/0!</v>
      </c>
      <c r="AY28">
        <f t="shared" si="31"/>
        <v>2.9400933311172116E-2</v>
      </c>
      <c r="AZ28" t="e">
        <f t="shared" si="32"/>
        <v>#DIV/0!</v>
      </c>
      <c r="BA28" t="e">
        <f t="shared" si="33"/>
        <v>#DIV/0!</v>
      </c>
      <c r="BB28" t="s">
        <v>416</v>
      </c>
      <c r="BC28">
        <v>0</v>
      </c>
      <c r="BD28" t="e">
        <f t="shared" si="34"/>
        <v>#DIV/0!</v>
      </c>
      <c r="BE28" t="e">
        <f t="shared" si="35"/>
        <v>#DIV/0!</v>
      </c>
      <c r="BF28" t="e">
        <f t="shared" si="36"/>
        <v>#DIV/0!</v>
      </c>
      <c r="BG28" t="e">
        <f t="shared" si="37"/>
        <v>#DIV/0!</v>
      </c>
      <c r="BH28" t="e">
        <f t="shared" si="38"/>
        <v>#DIV/0!</v>
      </c>
      <c r="BI28" t="e">
        <f t="shared" si="39"/>
        <v>#DIV/0!</v>
      </c>
      <c r="BJ28" t="e">
        <f t="shared" si="40"/>
        <v>#DIV/0!</v>
      </c>
      <c r="BK28" t="e">
        <f t="shared" si="41"/>
        <v>#DIV/0!</v>
      </c>
      <c r="BL28">
        <v>1138</v>
      </c>
      <c r="BM28">
        <v>290</v>
      </c>
      <c r="BN28">
        <v>1235.3699999999999</v>
      </c>
      <c r="BO28">
        <v>145</v>
      </c>
      <c r="BP28">
        <v>8137.14</v>
      </c>
      <c r="BQ28">
        <v>1226.99</v>
      </c>
      <c r="BR28">
        <v>8.3800000000000008</v>
      </c>
      <c r="BS28">
        <v>300</v>
      </c>
      <c r="BT28">
        <v>19.3</v>
      </c>
      <c r="BU28">
        <v>1291.7890306731799</v>
      </c>
      <c r="BV28">
        <v>2.4733662300604902</v>
      </c>
      <c r="BW28">
        <v>-52.725713425130103</v>
      </c>
      <c r="BX28">
        <v>1.7971348198971</v>
      </c>
      <c r="BY28">
        <v>0.96849553969215396</v>
      </c>
      <c r="BZ28">
        <v>-5.3927486095661902E-3</v>
      </c>
      <c r="CA28">
        <v>290</v>
      </c>
      <c r="CB28">
        <v>1210.3699999999999</v>
      </c>
      <c r="CC28">
        <v>615</v>
      </c>
      <c r="CD28">
        <v>8118.65</v>
      </c>
      <c r="CE28">
        <v>1226.8499999999999</v>
      </c>
      <c r="CF28">
        <v>-16.48</v>
      </c>
      <c r="CT28">
        <f t="shared" si="42"/>
        <v>1500.0340000000001</v>
      </c>
      <c r="CU28">
        <f t="shared" si="43"/>
        <v>1261.2397794832248</v>
      </c>
      <c r="CV28">
        <f t="shared" si="44"/>
        <v>0.84080746135302575</v>
      </c>
      <c r="CW28">
        <f t="shared" si="45"/>
        <v>0.16115840041133983</v>
      </c>
      <c r="CX28">
        <v>2</v>
      </c>
      <c r="CY28">
        <v>0.5</v>
      </c>
      <c r="CZ28" t="s">
        <v>417</v>
      </c>
      <c r="DA28">
        <v>2</v>
      </c>
      <c r="DB28">
        <v>1792217368</v>
      </c>
      <c r="DC28">
        <v>1783.73</v>
      </c>
      <c r="DD28">
        <v>1799.9639999999999</v>
      </c>
      <c r="DE28">
        <v>17.258679999999998</v>
      </c>
      <c r="DF28">
        <v>16.48612</v>
      </c>
      <c r="DG28">
        <v>1781.6780000000001</v>
      </c>
      <c r="DH28">
        <v>17.366</v>
      </c>
      <c r="DI28">
        <v>500.03</v>
      </c>
      <c r="DJ28">
        <v>101.7012</v>
      </c>
      <c r="DK28">
        <v>0.10000952</v>
      </c>
      <c r="DL28">
        <v>25.073260000000001</v>
      </c>
      <c r="DM28">
        <v>25.011060000000001</v>
      </c>
      <c r="DN28">
        <v>999.9</v>
      </c>
      <c r="DO28">
        <v>0</v>
      </c>
      <c r="DP28">
        <v>0</v>
      </c>
      <c r="DQ28">
        <v>9997.6299999999992</v>
      </c>
      <c r="DR28">
        <v>0</v>
      </c>
      <c r="DS28">
        <v>7.2564900000000003</v>
      </c>
      <c r="DT28">
        <v>-16.232299999999999</v>
      </c>
      <c r="DU28">
        <v>1815.056</v>
      </c>
      <c r="DV28">
        <v>1830.136</v>
      </c>
      <c r="DW28">
        <v>0.77259639999999996</v>
      </c>
      <c r="DX28">
        <v>1799.9639999999999</v>
      </c>
      <c r="DY28">
        <v>16.48612</v>
      </c>
      <c r="DZ28">
        <v>1.7552319999999999</v>
      </c>
      <c r="EA28">
        <v>1.6766559999999999</v>
      </c>
      <c r="EB28">
        <v>15.39368</v>
      </c>
      <c r="EC28">
        <v>14.68196</v>
      </c>
      <c r="ED28">
        <v>1500.0340000000001</v>
      </c>
      <c r="EE28">
        <v>0.97299579999999997</v>
      </c>
      <c r="EF28">
        <v>2.700412E-2</v>
      </c>
      <c r="EG28">
        <v>0</v>
      </c>
      <c r="EH28">
        <v>302.67959999999999</v>
      </c>
      <c r="EI28">
        <v>5.0006399999999998</v>
      </c>
      <c r="EJ28">
        <v>4721.2560000000003</v>
      </c>
      <c r="EK28">
        <v>15439.54</v>
      </c>
      <c r="EL28">
        <v>41.375</v>
      </c>
      <c r="EM28">
        <v>42.061999999999998</v>
      </c>
      <c r="EN28">
        <v>41.686999999999998</v>
      </c>
      <c r="EO28">
        <v>41.686999999999998</v>
      </c>
      <c r="EP28">
        <v>42.824599999999997</v>
      </c>
      <c r="EQ28">
        <v>1454.66</v>
      </c>
      <c r="ER28">
        <v>40.374000000000002</v>
      </c>
      <c r="ES28">
        <v>0</v>
      </c>
      <c r="ET28">
        <v>5635.1000001430502</v>
      </c>
      <c r="EU28">
        <v>0</v>
      </c>
      <c r="EV28">
        <v>302.92111999999997</v>
      </c>
      <c r="EW28">
        <v>-1.0545384617317799</v>
      </c>
      <c r="EX28">
        <v>-9.8907692054637497</v>
      </c>
      <c r="EY28">
        <v>4722.1891999999998</v>
      </c>
      <c r="EZ28">
        <v>15</v>
      </c>
      <c r="FA28">
        <v>1792217310</v>
      </c>
      <c r="FB28" t="s">
        <v>457</v>
      </c>
      <c r="FC28">
        <v>1792217310</v>
      </c>
      <c r="FD28">
        <v>1792217287</v>
      </c>
      <c r="FE28">
        <v>51</v>
      </c>
      <c r="FF28">
        <v>-1.7999999999999999E-2</v>
      </c>
      <c r="FG28">
        <v>1E-3</v>
      </c>
      <c r="FH28">
        <v>2.0190000000000001</v>
      </c>
      <c r="FI28">
        <v>-0.13800000000000001</v>
      </c>
      <c r="FJ28">
        <v>1800</v>
      </c>
      <c r="FK28">
        <v>16</v>
      </c>
      <c r="FL28">
        <v>0.24</v>
      </c>
      <c r="FM28">
        <v>0.05</v>
      </c>
      <c r="FN28">
        <v>37.009921418322499</v>
      </c>
      <c r="FO28">
        <v>-3.6626189196005701E-2</v>
      </c>
      <c r="FP28">
        <v>0.17342888371826801</v>
      </c>
      <c r="FQ28">
        <v>1</v>
      </c>
      <c r="FR28">
        <v>-16.237857142857099</v>
      </c>
      <c r="FS28">
        <v>0.187667532467506</v>
      </c>
      <c r="FT28">
        <v>7.1673184009937996E-2</v>
      </c>
      <c r="FU28">
        <v>1</v>
      </c>
      <c r="FV28">
        <v>302.86141176470602</v>
      </c>
      <c r="FW28">
        <v>0.439205499605133</v>
      </c>
      <c r="FX28">
        <v>0.19985275721759399</v>
      </c>
      <c r="FY28">
        <v>1</v>
      </c>
      <c r="FZ28">
        <v>3</v>
      </c>
      <c r="GA28">
        <v>3</v>
      </c>
      <c r="GB28" t="s">
        <v>419</v>
      </c>
      <c r="GC28">
        <v>3.1233200000000001</v>
      </c>
      <c r="GD28">
        <v>2.7652299999999999</v>
      </c>
      <c r="GE28">
        <v>0.234654</v>
      </c>
      <c r="GF28">
        <v>0.24191699999999999</v>
      </c>
      <c r="GG28">
        <v>9.2777700000000005E-2</v>
      </c>
      <c r="GH28">
        <v>9.2884400000000006E-2</v>
      </c>
      <c r="GI28">
        <v>14889.8</v>
      </c>
      <c r="GJ28">
        <v>22240.7</v>
      </c>
      <c r="GK28">
        <v>22736.3</v>
      </c>
      <c r="GL28">
        <v>30065.4</v>
      </c>
      <c r="GM28">
        <v>33851.5</v>
      </c>
      <c r="GN28">
        <v>33993.9</v>
      </c>
      <c r="GO28">
        <v>43027.5</v>
      </c>
      <c r="GP28">
        <v>42829.9</v>
      </c>
      <c r="GQ28">
        <v>1.95058</v>
      </c>
      <c r="GR28">
        <v>1.82447</v>
      </c>
      <c r="GS28">
        <v>7.6681399999999997E-2</v>
      </c>
      <c r="GT28">
        <v>0</v>
      </c>
      <c r="GU28">
        <v>23.757300000000001</v>
      </c>
      <c r="GV28">
        <v>999.9</v>
      </c>
      <c r="GW28">
        <v>42.295999999999999</v>
      </c>
      <c r="GX28">
        <v>31.773</v>
      </c>
      <c r="GY28">
        <v>19.605899999999998</v>
      </c>
      <c r="GZ28">
        <v>63.406599999999997</v>
      </c>
      <c r="HA28">
        <v>33.866199999999999</v>
      </c>
      <c r="HB28">
        <v>1</v>
      </c>
      <c r="HC28">
        <v>0.11905499999999999</v>
      </c>
      <c r="HD28">
        <v>2.6125699999999998</v>
      </c>
      <c r="HE28">
        <v>20.2135</v>
      </c>
      <c r="HF28">
        <v>5.2292699999999996</v>
      </c>
      <c r="HG28">
        <v>11.962199999999999</v>
      </c>
      <c r="HH28">
        <v>4.9689500000000004</v>
      </c>
      <c r="HI28">
        <v>3.2950499999999998</v>
      </c>
      <c r="HJ28">
        <v>9999</v>
      </c>
      <c r="HK28">
        <v>9999</v>
      </c>
      <c r="HL28">
        <v>9999</v>
      </c>
      <c r="HM28">
        <v>999.9</v>
      </c>
      <c r="HN28">
        <v>4.96854</v>
      </c>
      <c r="HO28">
        <v>1.8624499999999999</v>
      </c>
      <c r="HP28">
        <v>1.86399</v>
      </c>
      <c r="HQ28">
        <v>1.86585</v>
      </c>
      <c r="HR28">
        <v>1.8629500000000001</v>
      </c>
      <c r="HS28">
        <v>1.8666100000000001</v>
      </c>
      <c r="HT28">
        <v>1.8633999999999999</v>
      </c>
      <c r="HU28">
        <v>1.8652299999999999</v>
      </c>
      <c r="HV28">
        <v>0</v>
      </c>
      <c r="HW28">
        <v>0</v>
      </c>
      <c r="HX28">
        <v>0</v>
      </c>
      <c r="HY28">
        <v>0</v>
      </c>
      <c r="HZ28" t="s">
        <v>420</v>
      </c>
      <c r="IA28" t="s">
        <v>421</v>
      </c>
      <c r="IB28" t="s">
        <v>422</v>
      </c>
      <c r="IC28" t="s">
        <v>422</v>
      </c>
      <c r="ID28" t="s">
        <v>422</v>
      </c>
      <c r="IE28" t="s">
        <v>422</v>
      </c>
      <c r="IF28">
        <v>0</v>
      </c>
      <c r="IG28">
        <v>100</v>
      </c>
      <c r="IH28">
        <v>100</v>
      </c>
      <c r="II28">
        <v>2.0499999999999998</v>
      </c>
      <c r="IJ28">
        <v>-0.1075</v>
      </c>
      <c r="IK28">
        <v>1.10813260564391</v>
      </c>
      <c r="IL28">
        <v>2.16929631606078E-4</v>
      </c>
      <c r="IM28">
        <v>2.7226302473163502E-7</v>
      </c>
      <c r="IN28">
        <v>-5.4379205123515401E-11</v>
      </c>
      <c r="IO28">
        <v>-1.20019400604031E-2</v>
      </c>
      <c r="IP28">
        <v>-5.8443384954566899E-2</v>
      </c>
      <c r="IQ28">
        <v>3.41568706061026E-3</v>
      </c>
      <c r="IR28">
        <v>-2.10952612506686E-5</v>
      </c>
      <c r="IS28">
        <v>0</v>
      </c>
      <c r="IT28">
        <v>1734</v>
      </c>
      <c r="IU28">
        <v>2</v>
      </c>
      <c r="IV28">
        <v>19</v>
      </c>
      <c r="IW28">
        <v>1</v>
      </c>
      <c r="IX28">
        <v>1.4</v>
      </c>
      <c r="IY28">
        <v>3.4777800000000001</v>
      </c>
      <c r="IZ28">
        <v>2.5439500000000002</v>
      </c>
      <c r="JA28">
        <v>1.3464400000000001</v>
      </c>
      <c r="JB28">
        <v>2.2558600000000002</v>
      </c>
      <c r="JC28">
        <v>1.5502899999999999</v>
      </c>
      <c r="JD28">
        <v>2.4206500000000002</v>
      </c>
      <c r="JE28">
        <v>35.964500000000001</v>
      </c>
      <c r="JF28">
        <v>14.9026</v>
      </c>
      <c r="JG28">
        <v>18</v>
      </c>
      <c r="JH28">
        <v>492.83</v>
      </c>
      <c r="JI28">
        <v>489.68099999999998</v>
      </c>
      <c r="JJ28">
        <v>21.2652</v>
      </c>
      <c r="JK28">
        <v>28.729600000000001</v>
      </c>
      <c r="JL28">
        <v>30.0001</v>
      </c>
      <c r="JM28">
        <v>28.728999999999999</v>
      </c>
      <c r="JN28">
        <v>28.744900000000001</v>
      </c>
      <c r="JO28">
        <v>69.604299999999995</v>
      </c>
      <c r="JP28">
        <v>24.526299999999999</v>
      </c>
      <c r="JQ28">
        <v>45.373600000000003</v>
      </c>
      <c r="JR28">
        <v>21.252199999999998</v>
      </c>
      <c r="JS28">
        <v>1800</v>
      </c>
      <c r="JT28">
        <v>16.465599999999998</v>
      </c>
      <c r="JU28">
        <v>101.59099999999999</v>
      </c>
      <c r="JV28">
        <v>97.248400000000004</v>
      </c>
    </row>
    <row r="29" spans="1:282" x14ac:dyDescent="0.3">
      <c r="A29">
        <v>13</v>
      </c>
      <c r="B29">
        <v>1792217506</v>
      </c>
      <c r="C29">
        <v>1580.9000000953699</v>
      </c>
      <c r="D29" t="s">
        <v>458</v>
      </c>
      <c r="E29" t="s">
        <v>459</v>
      </c>
      <c r="F29">
        <v>5</v>
      </c>
      <c r="G29">
        <v>1792217502.5</v>
      </c>
      <c r="H29">
        <f t="shared" si="0"/>
        <v>1.6652897658367446E-3</v>
      </c>
      <c r="I29">
        <f t="shared" si="1"/>
        <v>1.6652897658367447</v>
      </c>
      <c r="J29">
        <f t="shared" si="2"/>
        <v>11.387074106517549</v>
      </c>
      <c r="K29">
        <f t="shared" si="3"/>
        <v>395.15866666666699</v>
      </c>
      <c r="L29">
        <f t="shared" si="4"/>
        <v>230.94982500263572</v>
      </c>
      <c r="M29">
        <f t="shared" si="5"/>
        <v>23.51026564788576</v>
      </c>
      <c r="N29">
        <f t="shared" si="6"/>
        <v>40.226422454711347</v>
      </c>
      <c r="O29">
        <f t="shared" si="7"/>
        <v>0.11817498346066431</v>
      </c>
      <c r="P29">
        <f t="shared" si="8"/>
        <v>3.0389840252761009</v>
      </c>
      <c r="Q29">
        <f t="shared" si="9"/>
        <v>0.11568013058928357</v>
      </c>
      <c r="R29">
        <f t="shared" si="10"/>
        <v>7.2519847394223347E-2</v>
      </c>
      <c r="S29">
        <f t="shared" si="11"/>
        <v>241.73657700294535</v>
      </c>
      <c r="T29">
        <f t="shared" si="12"/>
        <v>25.915052620470522</v>
      </c>
      <c r="U29">
        <f t="shared" si="13"/>
        <v>25.0019833333333</v>
      </c>
      <c r="V29">
        <f t="shared" si="14"/>
        <v>3.1800535888880495</v>
      </c>
      <c r="W29">
        <f t="shared" si="15"/>
        <v>55.188899538379808</v>
      </c>
      <c r="X29">
        <f t="shared" si="16"/>
        <v>1.750090095479349</v>
      </c>
      <c r="Y29">
        <f t="shared" si="17"/>
        <v>3.1710907630297833</v>
      </c>
      <c r="Z29">
        <f t="shared" si="18"/>
        <v>1.4299634934087004</v>
      </c>
      <c r="AA29">
        <f t="shared" si="19"/>
        <v>-73.439278673400437</v>
      </c>
      <c r="AB29">
        <f t="shared" si="20"/>
        <v>-7.754984787140109</v>
      </c>
      <c r="AC29">
        <f t="shared" si="21"/>
        <v>-0.53965689570935971</v>
      </c>
      <c r="AD29">
        <f t="shared" si="22"/>
        <v>160.00265664669544</v>
      </c>
      <c r="AE29">
        <v>0</v>
      </c>
      <c r="AF29">
        <v>0</v>
      </c>
      <c r="AG29">
        <f t="shared" si="23"/>
        <v>1</v>
      </c>
      <c r="AH29">
        <f t="shared" si="24"/>
        <v>0</v>
      </c>
      <c r="AI29">
        <f t="shared" si="25"/>
        <v>54143.741136283163</v>
      </c>
      <c r="AJ29" t="s">
        <v>416</v>
      </c>
      <c r="AK29" t="s">
        <v>416</v>
      </c>
      <c r="AL29">
        <v>0</v>
      </c>
      <c r="AM29">
        <v>0</v>
      </c>
      <c r="AN29" t="e">
        <f t="shared" si="26"/>
        <v>#DIV/0!</v>
      </c>
      <c r="AO29">
        <v>0</v>
      </c>
      <c r="AP29" t="s">
        <v>416</v>
      </c>
      <c r="AQ29" t="s">
        <v>416</v>
      </c>
      <c r="AR29">
        <v>0</v>
      </c>
      <c r="AS29">
        <v>0</v>
      </c>
      <c r="AT29" t="e">
        <f t="shared" si="27"/>
        <v>#DIV/0!</v>
      </c>
      <c r="AU29">
        <v>0.5</v>
      </c>
      <c r="AV29">
        <f t="shared" si="28"/>
        <v>1261.2093994833888</v>
      </c>
      <c r="AW29">
        <f t="shared" si="29"/>
        <v>11.387074106517549</v>
      </c>
      <c r="AX29" t="e">
        <f t="shared" si="30"/>
        <v>#DIV/0!</v>
      </c>
      <c r="AY29">
        <f t="shared" si="31"/>
        <v>9.0286942923053642E-3</v>
      </c>
      <c r="AZ29" t="e">
        <f t="shared" si="32"/>
        <v>#DIV/0!</v>
      </c>
      <c r="BA29" t="e">
        <f t="shared" si="33"/>
        <v>#DIV/0!</v>
      </c>
      <c r="BB29" t="s">
        <v>416</v>
      </c>
      <c r="BC29">
        <v>0</v>
      </c>
      <c r="BD29" t="e">
        <f t="shared" si="34"/>
        <v>#DIV/0!</v>
      </c>
      <c r="BE29" t="e">
        <f t="shared" si="35"/>
        <v>#DIV/0!</v>
      </c>
      <c r="BF29" t="e">
        <f t="shared" si="36"/>
        <v>#DIV/0!</v>
      </c>
      <c r="BG29" t="e">
        <f t="shared" si="37"/>
        <v>#DIV/0!</v>
      </c>
      <c r="BH29" t="e">
        <f t="shared" si="38"/>
        <v>#DIV/0!</v>
      </c>
      <c r="BI29" t="e">
        <f t="shared" si="39"/>
        <v>#DIV/0!</v>
      </c>
      <c r="BJ29" t="e">
        <f t="shared" si="40"/>
        <v>#DIV/0!</v>
      </c>
      <c r="BK29" t="e">
        <f t="shared" si="41"/>
        <v>#DIV/0!</v>
      </c>
      <c r="BL29">
        <v>1138</v>
      </c>
      <c r="BM29">
        <v>290</v>
      </c>
      <c r="BN29">
        <v>1235.3699999999999</v>
      </c>
      <c r="BO29">
        <v>145</v>
      </c>
      <c r="BP29">
        <v>8137.14</v>
      </c>
      <c r="BQ29">
        <v>1226.99</v>
      </c>
      <c r="BR29">
        <v>8.3800000000000008</v>
      </c>
      <c r="BS29">
        <v>300</v>
      </c>
      <c r="BT29">
        <v>19.3</v>
      </c>
      <c r="BU29">
        <v>1291.7890306731799</v>
      </c>
      <c r="BV29">
        <v>2.4733662300604902</v>
      </c>
      <c r="BW29">
        <v>-52.725713425130103</v>
      </c>
      <c r="BX29">
        <v>1.7971348198971</v>
      </c>
      <c r="BY29">
        <v>0.96849553969215396</v>
      </c>
      <c r="BZ29">
        <v>-5.3927486095661902E-3</v>
      </c>
      <c r="CA29">
        <v>290</v>
      </c>
      <c r="CB29">
        <v>1210.3699999999999</v>
      </c>
      <c r="CC29">
        <v>615</v>
      </c>
      <c r="CD29">
        <v>8118.65</v>
      </c>
      <c r="CE29">
        <v>1226.8499999999999</v>
      </c>
      <c r="CF29">
        <v>-16.48</v>
      </c>
      <c r="CT29">
        <f t="shared" si="42"/>
        <v>1499.99833333333</v>
      </c>
      <c r="CU29">
        <f t="shared" si="43"/>
        <v>1261.2093994833888</v>
      </c>
      <c r="CV29">
        <f t="shared" si="44"/>
        <v>0.84080720055248392</v>
      </c>
      <c r="CW29">
        <f t="shared" si="45"/>
        <v>0.16115789706629399</v>
      </c>
      <c r="CX29">
        <v>2</v>
      </c>
      <c r="CY29">
        <v>0.5</v>
      </c>
      <c r="CZ29" t="s">
        <v>417</v>
      </c>
      <c r="DA29">
        <v>2</v>
      </c>
      <c r="DB29">
        <v>1792217502.5</v>
      </c>
      <c r="DC29">
        <v>395.15866666666699</v>
      </c>
      <c r="DD29">
        <v>399.976</v>
      </c>
      <c r="DE29">
        <v>17.191766666666702</v>
      </c>
      <c r="DF29">
        <v>16.537199999999999</v>
      </c>
      <c r="DG29">
        <v>394.61316666666698</v>
      </c>
      <c r="DH29">
        <v>17.3155</v>
      </c>
      <c r="DI29">
        <v>500.0745</v>
      </c>
      <c r="DJ29">
        <v>101.69816666666701</v>
      </c>
      <c r="DK29">
        <v>9.9986450000000004E-2</v>
      </c>
      <c r="DL29">
        <v>24.954650000000001</v>
      </c>
      <c r="DM29">
        <v>25.0019833333333</v>
      </c>
      <c r="DN29">
        <v>999.9</v>
      </c>
      <c r="DO29">
        <v>0</v>
      </c>
      <c r="DP29">
        <v>0</v>
      </c>
      <c r="DQ29">
        <v>9999.9</v>
      </c>
      <c r="DR29">
        <v>0</v>
      </c>
      <c r="DS29">
        <v>7.2560366666666702</v>
      </c>
      <c r="DT29">
        <v>-4.8173216666666701</v>
      </c>
      <c r="DU29">
        <v>402.07100000000003</v>
      </c>
      <c r="DV29">
        <v>406.70166666666699</v>
      </c>
      <c r="DW29">
        <v>0.65455066666666695</v>
      </c>
      <c r="DX29">
        <v>399.976</v>
      </c>
      <c r="DY29">
        <v>16.537199999999999</v>
      </c>
      <c r="DZ29">
        <v>1.74837</v>
      </c>
      <c r="EA29">
        <v>1.68180333333333</v>
      </c>
      <c r="EB29">
        <v>15.3326833333333</v>
      </c>
      <c r="EC29">
        <v>14.729483333333301</v>
      </c>
      <c r="ED29">
        <v>1499.99833333333</v>
      </c>
      <c r="EE29">
        <v>0.97300283333333304</v>
      </c>
      <c r="EF29">
        <v>2.6997E-2</v>
      </c>
      <c r="EG29">
        <v>0</v>
      </c>
      <c r="EH29">
        <v>303.53866666666698</v>
      </c>
      <c r="EI29">
        <v>5.0006399999999998</v>
      </c>
      <c r="EJ29">
        <v>4724.3733333333303</v>
      </c>
      <c r="EK29">
        <v>15439.2166666667</v>
      </c>
      <c r="EL29">
        <v>41.375</v>
      </c>
      <c r="EM29">
        <v>42.061999999999998</v>
      </c>
      <c r="EN29">
        <v>41.728999999999999</v>
      </c>
      <c r="EO29">
        <v>41.697499999999998</v>
      </c>
      <c r="EP29">
        <v>42.853999999999999</v>
      </c>
      <c r="EQ29">
        <v>1454.6383333333299</v>
      </c>
      <c r="ER29">
        <v>40.36</v>
      </c>
      <c r="ES29">
        <v>0</v>
      </c>
      <c r="ET29">
        <v>5770.1000001430502</v>
      </c>
      <c r="EU29">
        <v>0</v>
      </c>
      <c r="EV29">
        <v>303.47688461538502</v>
      </c>
      <c r="EW29">
        <v>6.0478624138854999E-2</v>
      </c>
      <c r="EX29">
        <v>-5.9599999795981304</v>
      </c>
      <c r="EY29">
        <v>4724.7234615384596</v>
      </c>
      <c r="EZ29">
        <v>15</v>
      </c>
      <c r="FA29">
        <v>1792217466</v>
      </c>
      <c r="FB29" t="s">
        <v>460</v>
      </c>
      <c r="FC29">
        <v>1792217466</v>
      </c>
      <c r="FD29">
        <v>1792217452</v>
      </c>
      <c r="FE29">
        <v>52</v>
      </c>
      <c r="FF29">
        <v>-0.68700000000000006</v>
      </c>
      <c r="FG29">
        <v>-1.4E-2</v>
      </c>
      <c r="FH29">
        <v>0.54700000000000004</v>
      </c>
      <c r="FI29">
        <v>-0.14499999999999999</v>
      </c>
      <c r="FJ29">
        <v>400</v>
      </c>
      <c r="FK29">
        <v>17</v>
      </c>
      <c r="FL29">
        <v>0.78</v>
      </c>
      <c r="FM29">
        <v>0.12</v>
      </c>
      <c r="FN29">
        <v>11.472214801150701</v>
      </c>
      <c r="FO29">
        <v>-0.44371896808378802</v>
      </c>
      <c r="FP29">
        <v>9.0483849529826396E-2</v>
      </c>
      <c r="FQ29">
        <v>1</v>
      </c>
      <c r="FR29">
        <v>-4.8489315</v>
      </c>
      <c r="FS29">
        <v>0.129616691729325</v>
      </c>
      <c r="FT29">
        <v>2.1227832737941099E-2</v>
      </c>
      <c r="FU29">
        <v>1</v>
      </c>
      <c r="FV29">
        <v>303.54420588235303</v>
      </c>
      <c r="FW29">
        <v>-0.42354469317328403</v>
      </c>
      <c r="FX29">
        <v>0.20603608756031699</v>
      </c>
      <c r="FY29">
        <v>1</v>
      </c>
      <c r="FZ29">
        <v>3</v>
      </c>
      <c r="GA29">
        <v>3</v>
      </c>
      <c r="GB29" t="s">
        <v>419</v>
      </c>
      <c r="GC29">
        <v>3.1233</v>
      </c>
      <c r="GD29">
        <v>2.7654100000000001</v>
      </c>
      <c r="GE29">
        <v>8.7284299999999995E-2</v>
      </c>
      <c r="GF29">
        <v>9.0373099999999998E-2</v>
      </c>
      <c r="GG29">
        <v>9.2575099999999994E-2</v>
      </c>
      <c r="GH29">
        <v>9.3085799999999996E-2</v>
      </c>
      <c r="GI29">
        <v>17758.5</v>
      </c>
      <c r="GJ29">
        <v>26688.3</v>
      </c>
      <c r="GK29">
        <v>22737.8</v>
      </c>
      <c r="GL29">
        <v>30066.400000000001</v>
      </c>
      <c r="GM29">
        <v>33851.300000000003</v>
      </c>
      <c r="GN29">
        <v>33976.699999999997</v>
      </c>
      <c r="GO29">
        <v>43028.800000000003</v>
      </c>
      <c r="GP29">
        <v>42830.9</v>
      </c>
      <c r="GQ29">
        <v>1.94947</v>
      </c>
      <c r="GR29">
        <v>1.8206800000000001</v>
      </c>
      <c r="GS29">
        <v>8.0883499999999997E-2</v>
      </c>
      <c r="GT29">
        <v>0</v>
      </c>
      <c r="GU29">
        <v>23.6874</v>
      </c>
      <c r="GV29">
        <v>999.9</v>
      </c>
      <c r="GW29">
        <v>42.332999999999998</v>
      </c>
      <c r="GX29">
        <v>31.792999999999999</v>
      </c>
      <c r="GY29">
        <v>19.644100000000002</v>
      </c>
      <c r="GZ29">
        <v>63.316600000000001</v>
      </c>
      <c r="HA29">
        <v>33.954300000000003</v>
      </c>
      <c r="HB29">
        <v>1</v>
      </c>
      <c r="HC29">
        <v>0.11884699999999999</v>
      </c>
      <c r="HD29">
        <v>2.62236</v>
      </c>
      <c r="HE29">
        <v>20.213200000000001</v>
      </c>
      <c r="HF29">
        <v>5.2336099999999997</v>
      </c>
      <c r="HG29">
        <v>11.962199999999999</v>
      </c>
      <c r="HH29">
        <v>4.9688499999999998</v>
      </c>
      <c r="HI29">
        <v>3.29508</v>
      </c>
      <c r="HJ29">
        <v>9999</v>
      </c>
      <c r="HK29">
        <v>9999</v>
      </c>
      <c r="HL29">
        <v>9999</v>
      </c>
      <c r="HM29">
        <v>999.9</v>
      </c>
      <c r="HN29">
        <v>4.96854</v>
      </c>
      <c r="HO29">
        <v>1.86243</v>
      </c>
      <c r="HP29">
        <v>1.86398</v>
      </c>
      <c r="HQ29">
        <v>1.8658399999999999</v>
      </c>
      <c r="HR29">
        <v>1.86293</v>
      </c>
      <c r="HS29">
        <v>1.8666100000000001</v>
      </c>
      <c r="HT29">
        <v>1.8633999999999999</v>
      </c>
      <c r="HU29">
        <v>1.86524</v>
      </c>
      <c r="HV29">
        <v>0</v>
      </c>
      <c r="HW29">
        <v>0</v>
      </c>
      <c r="HX29">
        <v>0</v>
      </c>
      <c r="HY29">
        <v>0</v>
      </c>
      <c r="HZ29" t="s">
        <v>420</v>
      </c>
      <c r="IA29" t="s">
        <v>421</v>
      </c>
      <c r="IB29" t="s">
        <v>422</v>
      </c>
      <c r="IC29" t="s">
        <v>422</v>
      </c>
      <c r="ID29" t="s">
        <v>422</v>
      </c>
      <c r="IE29" t="s">
        <v>422</v>
      </c>
      <c r="IF29">
        <v>0</v>
      </c>
      <c r="IG29">
        <v>100</v>
      </c>
      <c r="IH29">
        <v>100</v>
      </c>
      <c r="II29">
        <v>0.54600000000000004</v>
      </c>
      <c r="IJ29">
        <v>-0.1241</v>
      </c>
      <c r="IK29">
        <v>0.42078985066890201</v>
      </c>
      <c r="IL29">
        <v>2.16929631606078E-4</v>
      </c>
      <c r="IM29">
        <v>2.7226302473163502E-7</v>
      </c>
      <c r="IN29">
        <v>-5.4379205123515401E-11</v>
      </c>
      <c r="IO29">
        <v>-2.6375409782449E-2</v>
      </c>
      <c r="IP29">
        <v>-5.8443384954566899E-2</v>
      </c>
      <c r="IQ29">
        <v>3.41568706061026E-3</v>
      </c>
      <c r="IR29">
        <v>-2.10952612506686E-5</v>
      </c>
      <c r="IS29">
        <v>0</v>
      </c>
      <c r="IT29">
        <v>1734</v>
      </c>
      <c r="IU29">
        <v>2</v>
      </c>
      <c r="IV29">
        <v>19</v>
      </c>
      <c r="IW29">
        <v>0.7</v>
      </c>
      <c r="IX29">
        <v>0.9</v>
      </c>
      <c r="IY29">
        <v>1.0559099999999999</v>
      </c>
      <c r="IZ29">
        <v>2.5647000000000002</v>
      </c>
      <c r="JA29">
        <v>1.3476600000000001</v>
      </c>
      <c r="JB29">
        <v>2.2546400000000002</v>
      </c>
      <c r="JC29">
        <v>1.5502899999999999</v>
      </c>
      <c r="JD29">
        <v>2.51831</v>
      </c>
      <c r="JE29">
        <v>35.987900000000003</v>
      </c>
      <c r="JF29">
        <v>14.876300000000001</v>
      </c>
      <c r="JG29">
        <v>18</v>
      </c>
      <c r="JH29">
        <v>492.19</v>
      </c>
      <c r="JI29">
        <v>487.03</v>
      </c>
      <c r="JJ29">
        <v>21.046600000000002</v>
      </c>
      <c r="JK29">
        <v>28.732099999999999</v>
      </c>
      <c r="JL29">
        <v>30.0002</v>
      </c>
      <c r="JM29">
        <v>28.734000000000002</v>
      </c>
      <c r="JN29">
        <v>28.7498</v>
      </c>
      <c r="JO29">
        <v>21.1297</v>
      </c>
      <c r="JP29">
        <v>24.193200000000001</v>
      </c>
      <c r="JQ29">
        <v>45.772599999999997</v>
      </c>
      <c r="JR29">
        <v>21.0474</v>
      </c>
      <c r="JS29">
        <v>400</v>
      </c>
      <c r="JT29">
        <v>16.507400000000001</v>
      </c>
      <c r="JU29">
        <v>101.596</v>
      </c>
      <c r="JV29">
        <v>97.251099999999994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7"/>
  <sheetViews>
    <sheetView workbookViewId="0"/>
  </sheetViews>
  <sheetFormatPr defaultRowHeight="16.5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19</v>
      </c>
    </row>
    <row r="11" spans="1:2" x14ac:dyDescent="0.3">
      <c r="A11" t="s">
        <v>20</v>
      </c>
      <c r="B11" t="s">
        <v>21</v>
      </c>
    </row>
    <row r="12" spans="1:2" x14ac:dyDescent="0.3">
      <c r="A12" t="s">
        <v>22</v>
      </c>
      <c r="B12" t="s">
        <v>23</v>
      </c>
    </row>
    <row r="13" spans="1:2" x14ac:dyDescent="0.3">
      <c r="A13" t="s">
        <v>24</v>
      </c>
      <c r="B13" t="s">
        <v>25</v>
      </c>
    </row>
    <row r="14" spans="1:2" x14ac:dyDescent="0.3">
      <c r="A14" t="s">
        <v>26</v>
      </c>
      <c r="B14" t="s">
        <v>25</v>
      </c>
    </row>
    <row r="15" spans="1:2" x14ac:dyDescent="0.3">
      <c r="A15" t="s">
        <v>27</v>
      </c>
      <c r="B15" t="s">
        <v>23</v>
      </c>
    </row>
    <row r="16" spans="1:2" x14ac:dyDescent="0.3">
      <c r="A16" t="s">
        <v>28</v>
      </c>
      <c r="B16" t="s">
        <v>11</v>
      </c>
    </row>
    <row r="17" spans="1:2" x14ac:dyDescent="0.3">
      <c r="A17" t="s">
        <v>29</v>
      </c>
      <c r="B17" t="s">
        <v>30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박은빈</cp:lastModifiedBy>
  <dcterms:created xsi:type="dcterms:W3CDTF">2026-10-17T15:18:34Z</dcterms:created>
  <dcterms:modified xsi:type="dcterms:W3CDTF">2026-10-17T10:10:25Z</dcterms:modified>
</cp:coreProperties>
</file>