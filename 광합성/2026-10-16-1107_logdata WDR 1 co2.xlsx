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6 lettuce yun/"/>
    </mc:Choice>
  </mc:AlternateContent>
  <xr:revisionPtr revIDLastSave="0" documentId="11_ACE0710088DBDF8A377F72CE216ACF9604E00981" xr6:coauthVersionLast="47" xr6:coauthVersionMax="47" xr10:uidLastSave="{00000000-0000-0000-0000-000000000000}"/>
  <bookViews>
    <workbookView xWindow="780" yWindow="780" windowWidth="21600" windowHeight="111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8" i="1" l="1"/>
  <c r="CV28" i="1"/>
  <c r="CT28" i="1"/>
  <c r="BI28" i="1"/>
  <c r="BH28" i="1"/>
  <c r="AZ28" i="1"/>
  <c r="AT28" i="1"/>
  <c r="AN28" i="1"/>
  <c r="BA28" i="1" s="1"/>
  <c r="BD28" i="1" s="1"/>
  <c r="AI28" i="1"/>
  <c r="AG28" i="1" s="1"/>
  <c r="Y28" i="1"/>
  <c r="X28" i="1"/>
  <c r="W28" i="1" s="1"/>
  <c r="P28" i="1"/>
  <c r="CW27" i="1"/>
  <c r="CV27" i="1"/>
  <c r="CT27" i="1"/>
  <c r="BI27" i="1"/>
  <c r="BH27" i="1"/>
  <c r="AZ27" i="1"/>
  <c r="AT27" i="1"/>
  <c r="AN27" i="1"/>
  <c r="BA27" i="1" s="1"/>
  <c r="BD27" i="1" s="1"/>
  <c r="AI27" i="1"/>
  <c r="AG27" i="1"/>
  <c r="Y27" i="1"/>
  <c r="X27" i="1"/>
  <c r="W27" i="1"/>
  <c r="P27" i="1"/>
  <c r="CW26" i="1"/>
  <c r="CV26" i="1"/>
  <c r="CT26" i="1"/>
  <c r="CU26" i="1" s="1"/>
  <c r="AV26" i="1" s="1"/>
  <c r="BI26" i="1"/>
  <c r="BH26" i="1"/>
  <c r="AZ26" i="1"/>
  <c r="AT26" i="1"/>
  <c r="AX26" i="1" s="1"/>
  <c r="AN26" i="1"/>
  <c r="BA26" i="1" s="1"/>
  <c r="BD26" i="1" s="1"/>
  <c r="AI26" i="1"/>
  <c r="AG26" i="1" s="1"/>
  <c r="Y26" i="1"/>
  <c r="W26" i="1" s="1"/>
  <c r="X26" i="1"/>
  <c r="S26" i="1"/>
  <c r="P26" i="1"/>
  <c r="CW25" i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W25" i="1" s="1"/>
  <c r="X25" i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/>
  <c r="Y24" i="1"/>
  <c r="X24" i="1"/>
  <c r="W24" i="1"/>
  <c r="P24" i="1"/>
  <c r="CW23" i="1"/>
  <c r="S23" i="1" s="1"/>
  <c r="CV23" i="1"/>
  <c r="CT23" i="1"/>
  <c r="CU23" i="1" s="1"/>
  <c r="AV23" i="1" s="1"/>
  <c r="BI23" i="1"/>
  <c r="BH23" i="1"/>
  <c r="AZ23" i="1"/>
  <c r="AT23" i="1"/>
  <c r="AN23" i="1"/>
  <c r="BA23" i="1" s="1"/>
  <c r="BD23" i="1" s="1"/>
  <c r="AI23" i="1"/>
  <c r="AG23" i="1" s="1"/>
  <c r="Y23" i="1"/>
  <c r="X23" i="1"/>
  <c r="W23" i="1" s="1"/>
  <c r="P23" i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 s="1"/>
  <c r="Y22" i="1"/>
  <c r="W22" i="1" s="1"/>
  <c r="X22" i="1"/>
  <c r="S22" i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X21" i="1"/>
  <c r="W21" i="1" s="1"/>
  <c r="S21" i="1"/>
  <c r="P21" i="1"/>
  <c r="CW20" i="1"/>
  <c r="CV20" i="1"/>
  <c r="CT20" i="1"/>
  <c r="BI20" i="1"/>
  <c r="BH20" i="1"/>
  <c r="AZ20" i="1"/>
  <c r="AT20" i="1"/>
  <c r="AN20" i="1"/>
  <c r="BA20" i="1" s="1"/>
  <c r="BD20" i="1" s="1"/>
  <c r="AI20" i="1"/>
  <c r="AG20" i="1" s="1"/>
  <c r="Y20" i="1"/>
  <c r="X20" i="1"/>
  <c r="W20" i="1" s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 s="1"/>
  <c r="P19" i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/>
  <c r="Y18" i="1"/>
  <c r="X18" i="1"/>
  <c r="W18" i="1"/>
  <c r="P18" i="1"/>
  <c r="CW17" i="1"/>
  <c r="CV17" i="1"/>
  <c r="CT17" i="1"/>
  <c r="CU17" i="1" s="1"/>
  <c r="AV17" i="1" s="1"/>
  <c r="BI17" i="1"/>
  <c r="BH17" i="1"/>
  <c r="AZ17" i="1"/>
  <c r="AT17" i="1"/>
  <c r="AN17" i="1"/>
  <c r="BA17" i="1" s="1"/>
  <c r="BD17" i="1" s="1"/>
  <c r="AI17" i="1"/>
  <c r="AG17" i="1"/>
  <c r="AH17" i="1" s="1"/>
  <c r="Y17" i="1"/>
  <c r="X17" i="1"/>
  <c r="W17" i="1"/>
  <c r="S17" i="1"/>
  <c r="P17" i="1"/>
  <c r="N17" i="1"/>
  <c r="K17" i="1"/>
  <c r="J17" i="1"/>
  <c r="AW17" i="1" s="1"/>
  <c r="AY17" i="1" s="1"/>
  <c r="I17" i="1"/>
  <c r="H17" i="1" s="1"/>
  <c r="CU21" i="1" l="1"/>
  <c r="AV21" i="1" s="1"/>
  <c r="AX21" i="1" s="1"/>
  <c r="AX17" i="1"/>
  <c r="CU22" i="1"/>
  <c r="AV22" i="1" s="1"/>
  <c r="I20" i="1"/>
  <c r="H20" i="1" s="1"/>
  <c r="J20" i="1"/>
  <c r="AW20" i="1" s="1"/>
  <c r="K20" i="1"/>
  <c r="N20" i="1"/>
  <c r="AH20" i="1"/>
  <c r="S28" i="1"/>
  <c r="CU28" i="1"/>
  <c r="AV28" i="1" s="1"/>
  <c r="AX28" i="1" s="1"/>
  <c r="BF28" i="1"/>
  <c r="BJ28" i="1" s="1"/>
  <c r="BK28" i="1" s="1"/>
  <c r="BG28" i="1"/>
  <c r="BE28" i="1"/>
  <c r="I28" i="1"/>
  <c r="H28" i="1" s="1"/>
  <c r="J28" i="1"/>
  <c r="AW28" i="1" s="1"/>
  <c r="AY28" i="1" s="1"/>
  <c r="K28" i="1"/>
  <c r="N28" i="1"/>
  <c r="AH28" i="1"/>
  <c r="CU27" i="1"/>
  <c r="AV27" i="1" s="1"/>
  <c r="AX27" i="1" s="1"/>
  <c r="S27" i="1"/>
  <c r="BE27" i="1"/>
  <c r="BF27" i="1"/>
  <c r="BJ27" i="1" s="1"/>
  <c r="BK27" i="1" s="1"/>
  <c r="BG27" i="1"/>
  <c r="AH27" i="1"/>
  <c r="N27" i="1"/>
  <c r="K27" i="1"/>
  <c r="J27" i="1"/>
  <c r="AW27" i="1" s="1"/>
  <c r="I27" i="1"/>
  <c r="H27" i="1" s="1"/>
  <c r="BE26" i="1"/>
  <c r="BF26" i="1"/>
  <c r="BJ26" i="1" s="1"/>
  <c r="BK26" i="1" s="1"/>
  <c r="BG26" i="1"/>
  <c r="AH26" i="1"/>
  <c r="N26" i="1"/>
  <c r="K26" i="1"/>
  <c r="I26" i="1"/>
  <c r="H26" i="1" s="1"/>
  <c r="J26" i="1"/>
  <c r="AW26" i="1" s="1"/>
  <c r="AY26" i="1" s="1"/>
  <c r="T26" i="1"/>
  <c r="U26" i="1" s="1"/>
  <c r="CU25" i="1"/>
  <c r="AV25" i="1" s="1"/>
  <c r="AX25" i="1" s="1"/>
  <c r="S25" i="1"/>
  <c r="BE25" i="1"/>
  <c r="BF25" i="1"/>
  <c r="BJ25" i="1" s="1"/>
  <c r="BK25" i="1" s="1"/>
  <c r="BG25" i="1"/>
  <c r="AH25" i="1"/>
  <c r="N25" i="1"/>
  <c r="K25" i="1"/>
  <c r="J25" i="1"/>
  <c r="AW25" i="1" s="1"/>
  <c r="AY25" i="1" s="1"/>
  <c r="I25" i="1"/>
  <c r="H25" i="1" s="1"/>
  <c r="CU24" i="1"/>
  <c r="AV24" i="1" s="1"/>
  <c r="AX24" i="1" s="1"/>
  <c r="S24" i="1"/>
  <c r="BE24" i="1"/>
  <c r="BF24" i="1"/>
  <c r="BJ24" i="1" s="1"/>
  <c r="BK24" i="1" s="1"/>
  <c r="BG24" i="1"/>
  <c r="I24" i="1"/>
  <c r="H24" i="1" s="1"/>
  <c r="N24" i="1"/>
  <c r="K24" i="1"/>
  <c r="J24" i="1"/>
  <c r="AW24" i="1" s="1"/>
  <c r="AY24" i="1" s="1"/>
  <c r="AH24" i="1"/>
  <c r="BE23" i="1"/>
  <c r="BF23" i="1"/>
  <c r="BJ23" i="1" s="1"/>
  <c r="BK23" i="1" s="1"/>
  <c r="BG23" i="1"/>
  <c r="AH23" i="1"/>
  <c r="K23" i="1"/>
  <c r="I23" i="1"/>
  <c r="H23" i="1" s="1"/>
  <c r="J23" i="1"/>
  <c r="AW23" i="1" s="1"/>
  <c r="AY23" i="1" s="1"/>
  <c r="N23" i="1"/>
  <c r="T23" i="1"/>
  <c r="U23" i="1" s="1"/>
  <c r="BE22" i="1"/>
  <c r="BF22" i="1"/>
  <c r="BJ22" i="1" s="1"/>
  <c r="BK22" i="1" s="1"/>
  <c r="BG22" i="1"/>
  <c r="K22" i="1"/>
  <c r="AH22" i="1"/>
  <c r="I22" i="1"/>
  <c r="H22" i="1" s="1"/>
  <c r="N22" i="1"/>
  <c r="J22" i="1"/>
  <c r="AW22" i="1" s="1"/>
  <c r="AY22" i="1" s="1"/>
  <c r="T22" i="1"/>
  <c r="U22" i="1" s="1"/>
  <c r="BF21" i="1"/>
  <c r="BJ21" i="1" s="1"/>
  <c r="BK21" i="1" s="1"/>
  <c r="BE21" i="1"/>
  <c r="BG21" i="1"/>
  <c r="AH21" i="1"/>
  <c r="I21" i="1"/>
  <c r="H21" i="1" s="1"/>
  <c r="J21" i="1"/>
  <c r="AW21" i="1" s="1"/>
  <c r="AY21" i="1" s="1"/>
  <c r="N21" i="1"/>
  <c r="K21" i="1"/>
  <c r="T21" i="1"/>
  <c r="U21" i="1" s="1"/>
  <c r="CU20" i="1"/>
  <c r="AV20" i="1" s="1"/>
  <c r="S20" i="1"/>
  <c r="BF20" i="1"/>
  <c r="BJ20" i="1" s="1"/>
  <c r="BK20" i="1" s="1"/>
  <c r="BE20" i="1"/>
  <c r="BG20" i="1"/>
  <c r="AA20" i="1"/>
  <c r="CU19" i="1"/>
  <c r="AV19" i="1" s="1"/>
  <c r="AX19" i="1" s="1"/>
  <c r="S19" i="1"/>
  <c r="BE19" i="1"/>
  <c r="BG19" i="1"/>
  <c r="BF19" i="1"/>
  <c r="BJ19" i="1" s="1"/>
  <c r="BK19" i="1" s="1"/>
  <c r="I19" i="1"/>
  <c r="H19" i="1" s="1"/>
  <c r="J19" i="1"/>
  <c r="AW19" i="1" s="1"/>
  <c r="AY19" i="1" s="1"/>
  <c r="K19" i="1"/>
  <c r="N19" i="1"/>
  <c r="AH19" i="1"/>
  <c r="CU18" i="1"/>
  <c r="AV18" i="1" s="1"/>
  <c r="AX18" i="1" s="1"/>
  <c r="S18" i="1"/>
  <c r="BE18" i="1"/>
  <c r="BF18" i="1"/>
  <c r="BJ18" i="1" s="1"/>
  <c r="BK18" i="1" s="1"/>
  <c r="BG18" i="1"/>
  <c r="AH18" i="1"/>
  <c r="N18" i="1"/>
  <c r="K18" i="1"/>
  <c r="J18" i="1"/>
  <c r="AW18" i="1" s="1"/>
  <c r="AY18" i="1" s="1"/>
  <c r="I18" i="1"/>
  <c r="H18" i="1" s="1"/>
  <c r="BE17" i="1"/>
  <c r="BF17" i="1"/>
  <c r="BJ17" i="1" s="1"/>
  <c r="BK17" i="1" s="1"/>
  <c r="BG17" i="1"/>
  <c r="T17" i="1"/>
  <c r="U17" i="1" s="1"/>
  <c r="Q17" i="1" s="1"/>
  <c r="O17" i="1" s="1"/>
  <c r="R17" i="1" s="1"/>
  <c r="L17" i="1" s="1"/>
  <c r="M17" i="1" s="1"/>
  <c r="AA17" i="1"/>
  <c r="AX23" i="1"/>
  <c r="AX22" i="1"/>
  <c r="T28" i="1" l="1"/>
  <c r="U28" i="1" s="1"/>
  <c r="Q28" i="1" s="1"/>
  <c r="O28" i="1" s="1"/>
  <c r="R28" i="1" s="1"/>
  <c r="L28" i="1" s="1"/>
  <c r="M28" i="1" s="1"/>
  <c r="AA28" i="1"/>
  <c r="T27" i="1"/>
  <c r="U27" i="1" s="1"/>
  <c r="Q27" i="1"/>
  <c r="O27" i="1" s="1"/>
  <c r="R27" i="1" s="1"/>
  <c r="L27" i="1" s="1"/>
  <c r="M27" i="1" s="1"/>
  <c r="AA27" i="1"/>
  <c r="Q26" i="1"/>
  <c r="O26" i="1" s="1"/>
  <c r="R26" i="1" s="1"/>
  <c r="L26" i="1" s="1"/>
  <c r="M26" i="1" s="1"/>
  <c r="AA26" i="1"/>
  <c r="AB26" i="1"/>
  <c r="V26" i="1"/>
  <c r="Z26" i="1" s="1"/>
  <c r="AC26" i="1"/>
  <c r="AD26" i="1" s="1"/>
  <c r="T25" i="1"/>
  <c r="U25" i="1" s="1"/>
  <c r="Q25" i="1" s="1"/>
  <c r="O25" i="1" s="1"/>
  <c r="R25" i="1" s="1"/>
  <c r="L25" i="1" s="1"/>
  <c r="M25" i="1" s="1"/>
  <c r="AA25" i="1"/>
  <c r="T24" i="1"/>
  <c r="U24" i="1" s="1"/>
  <c r="Q24" i="1" s="1"/>
  <c r="O24" i="1" s="1"/>
  <c r="R24" i="1" s="1"/>
  <c r="L24" i="1" s="1"/>
  <c r="M24" i="1" s="1"/>
  <c r="AA24" i="1"/>
  <c r="Q23" i="1"/>
  <c r="O23" i="1" s="1"/>
  <c r="R23" i="1" s="1"/>
  <c r="L23" i="1" s="1"/>
  <c r="M23" i="1" s="1"/>
  <c r="AA23" i="1"/>
  <c r="AB23" i="1"/>
  <c r="V23" i="1"/>
  <c r="Z23" i="1" s="1"/>
  <c r="AC23" i="1"/>
  <c r="AD23" i="1" s="1"/>
  <c r="AA22" i="1"/>
  <c r="Q22" i="1"/>
  <c r="O22" i="1" s="1"/>
  <c r="R22" i="1" s="1"/>
  <c r="L22" i="1" s="1"/>
  <c r="M22" i="1" s="1"/>
  <c r="AB22" i="1"/>
  <c r="V22" i="1"/>
  <c r="Z22" i="1" s="1"/>
  <c r="AC22" i="1"/>
  <c r="AD22" i="1" s="1"/>
  <c r="AA21" i="1"/>
  <c r="Q21" i="1"/>
  <c r="O21" i="1" s="1"/>
  <c r="R21" i="1" s="1"/>
  <c r="L21" i="1" s="1"/>
  <c r="M21" i="1" s="1"/>
  <c r="AB21" i="1"/>
  <c r="V21" i="1"/>
  <c r="Z21" i="1" s="1"/>
  <c r="AC21" i="1"/>
  <c r="AD21" i="1" s="1"/>
  <c r="AX20" i="1"/>
  <c r="AY20" i="1"/>
  <c r="T20" i="1"/>
  <c r="U20" i="1" s="1"/>
  <c r="T19" i="1"/>
  <c r="U19" i="1" s="1"/>
  <c r="Q19" i="1" s="1"/>
  <c r="O19" i="1" s="1"/>
  <c r="R19" i="1" s="1"/>
  <c r="L19" i="1" s="1"/>
  <c r="M19" i="1" s="1"/>
  <c r="AA19" i="1"/>
  <c r="T18" i="1"/>
  <c r="U18" i="1" s="1"/>
  <c r="Q18" i="1" s="1"/>
  <c r="O18" i="1" s="1"/>
  <c r="R18" i="1" s="1"/>
  <c r="L18" i="1" s="1"/>
  <c r="M18" i="1" s="1"/>
  <c r="AA18" i="1"/>
  <c r="AB17" i="1"/>
  <c r="V17" i="1"/>
  <c r="Z17" i="1" s="1"/>
  <c r="AC17" i="1"/>
  <c r="AD17" i="1" s="1"/>
  <c r="AY27" i="1"/>
  <c r="V28" i="1" l="1"/>
  <c r="Z28" i="1" s="1"/>
  <c r="AB28" i="1"/>
  <c r="AC28" i="1"/>
  <c r="AD28" i="1" s="1"/>
  <c r="AB27" i="1"/>
  <c r="V27" i="1"/>
  <c r="Z27" i="1" s="1"/>
  <c r="AC27" i="1"/>
  <c r="AD27" i="1" s="1"/>
  <c r="V25" i="1"/>
  <c r="Z25" i="1" s="1"/>
  <c r="AB25" i="1"/>
  <c r="AC25" i="1"/>
  <c r="AD25" i="1" s="1"/>
  <c r="AB24" i="1"/>
  <c r="V24" i="1"/>
  <c r="Z24" i="1" s="1"/>
  <c r="AC24" i="1"/>
  <c r="AD24" i="1" s="1"/>
  <c r="Q20" i="1"/>
  <c r="O20" i="1" s="1"/>
  <c r="R20" i="1" s="1"/>
  <c r="L20" i="1" s="1"/>
  <c r="M20" i="1" s="1"/>
  <c r="AB20" i="1"/>
  <c r="V20" i="1"/>
  <c r="Z20" i="1" s="1"/>
  <c r="AC20" i="1"/>
  <c r="AD20" i="1" s="1"/>
  <c r="AB19" i="1"/>
  <c r="V19" i="1"/>
  <c r="Z19" i="1" s="1"/>
  <c r="AC19" i="1"/>
  <c r="AD19" i="1" s="1"/>
  <c r="AB18" i="1"/>
  <c r="V18" i="1"/>
  <c r="Z18" i="1" s="1"/>
  <c r="AC18" i="1"/>
  <c r="AD18" i="1" l="1"/>
</calcChain>
</file>

<file path=xl/sharedStrings.xml><?xml version="1.0" encoding="utf-8"?>
<sst xmlns="http://schemas.openxmlformats.org/spreadsheetml/2006/main" count="1036" uniqueCount="456">
  <si>
    <t>File opened</t>
  </si>
  <si>
    <t>2026-10-16 11:07:30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</si>
  <si>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</si>
  <si>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</si>
  <si>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</si>
  <si>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</si>
  <si>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</si>
  <si>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</si>
  <si>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</si>
  <si>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</si>
  <si>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</si>
  <si>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</si>
  <si>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</si>
  <si>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{"h2obspan2": "0", "h2obspan2b": "0.111633", "co2bspan1": "0.993892", "flowbzero": "0.27399", "h2oaspan1": "1.0301", "co2aspan2b": "0.0924399", "co2bspan2a": "0.0952815", "flowazero": "0.316", "co2aspan2a": "0.0929659", "h2obspanconc2": "0", "co2aspanconc2": "1516", "flowmeterzero": "2.5072", "oxygen": "21", "h2obzero": "1.13925", "co2bspanconc2": "1516", "tazero": "0.0951138", "h2obspanconc1": "21.96", "co2aspanconc1": "437.6", "h2obspan1": "0.995823", "h2oaspan2b": "0.111609", "co2bspan2b": "0.0947811", "h2oaspan2": "0", "co2bzero": "1.02053", "ssb_ref": "37478.9", "co2azero": "1.16194", "tbzero": "0.145187", "co2bspanconc1": "437.6", "h2oaspanconc2": "0", "h2obspan2a": "0.112101", "co2aspan1": "0.99333", "ssa_ref": "32366.8", "co2aspan2": "0.0108874", "h2oaspanconc1": "21.96", "chamberpressurezero": "2.61687", "h2oaspan2a": "0.108347", "co2bspan2": "0.00898303", "h2oazero": "1.14957"}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</si>
  <si>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</si>
  <si>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</si>
  <si>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</si>
  <si>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</si>
  <si>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</si>
  <si>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</si>
  <si>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</si>
  <si>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</si>
  <si>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</si>
  <si>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</si>
  <si>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</si>
  <si>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</si>
  <si>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</si>
  <si>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</si>
  <si>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</si>
  <si>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11:07:30</t>
  </si>
  <si>
    <t>Stability Definition:	F (FlrLS): Per=20	A (GasEx): Slp&lt;0.6 Per=20	ΔCO2 (Meas2): Slp&lt;0.5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</si>
  <si>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</si>
  <si>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</si>
  <si>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</si>
  <si>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</si>
  <si>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</si>
  <si>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</si>
  <si>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</si>
  <si>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</si>
  <si>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</si>
  <si>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</si>
  <si>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</si>
  <si>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</si>
  <si>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</si>
  <si>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</si>
  <si>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</si>
  <si>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</si>
  <si>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</si>
  <si>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</si>
  <si>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</si>
  <si>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</si>
  <si>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</si>
  <si>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</si>
  <si>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</si>
  <si>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</si>
  <si>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</si>
  <si>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</si>
  <si>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</si>
  <si>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</si>
  <si>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</si>
  <si>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</si>
  <si>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</si>
  <si>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</si>
  <si>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</si>
  <si>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</si>
  <si>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</si>
  <si>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</si>
  <si>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</si>
  <si>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</si>
  <si>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</si>
  <si>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</si>
  <si>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</si>
  <si>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</si>
  <si>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</si>
  <si>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</si>
  <si>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</si>
  <si>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</si>
  <si>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</si>
  <si>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</si>
  <si>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</si>
  <si>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</si>
  <si>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</si>
  <si>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3.7403 210.264 340.143 564.427 861.476 1067.11 1236.59 1344.05</t>
  </si>
  <si>
    <t>Fs_true</t>
  </si>
  <si>
    <t>-1.38018 242.716 375.819 575.847 815.073 1001.33 1204.46 1400.84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</si>
  <si>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</si>
  <si>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</si>
  <si>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</si>
  <si>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</si>
  <si>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</si>
  <si>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</si>
  <si>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</si>
  <si>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</si>
  <si>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</si>
  <si>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</si>
  <si>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</si>
  <si>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</si>
  <si>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</si>
  <si>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</si>
  <si>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</si>
  <si>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</si>
  <si>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</si>
  <si>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</si>
  <si>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</si>
  <si>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</si>
  <si>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</si>
  <si>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</si>
  <si>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</si>
  <si>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</si>
  <si>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</si>
  <si>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</si>
  <si>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</si>
  <si>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</si>
  <si>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</si>
  <si>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</si>
  <si>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</si>
  <si>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</si>
  <si>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</si>
  <si>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</si>
  <si>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</si>
  <si>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</si>
  <si>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</si>
  <si>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</si>
  <si>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</si>
  <si>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</si>
  <si>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</si>
  <si>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</si>
  <si>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</si>
  <si>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</si>
  <si>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</si>
  <si>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</si>
  <si>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</si>
  <si>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</si>
  <si>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</si>
  <si>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</si>
  <si>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</si>
  <si>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</si>
  <si>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</si>
  <si>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</si>
  <si>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</si>
  <si>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</si>
  <si>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</si>
  <si>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</si>
  <si>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</si>
  <si>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</si>
  <si>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</si>
  <si>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</si>
  <si>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</si>
  <si>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</si>
  <si>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</si>
  <si>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</si>
  <si>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</si>
  <si>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</si>
  <si>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</si>
  <si>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</si>
  <si>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</si>
  <si>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</si>
  <si>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</si>
  <si>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</si>
  <si>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</si>
  <si>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</si>
  <si>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</si>
  <si>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</si>
  <si>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</si>
  <si>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</si>
  <si>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</si>
  <si>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</si>
  <si>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</si>
  <si>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</si>
  <si>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</si>
  <si>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</si>
  <si>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</si>
  <si>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</si>
  <si>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</si>
  <si>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</si>
  <si>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</si>
  <si>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</si>
  <si>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</si>
  <si>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</si>
  <si>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</si>
  <si>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</si>
  <si>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</si>
  <si>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</si>
  <si>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</si>
  <si>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</si>
  <si>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</si>
  <si>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</si>
  <si>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</si>
  <si>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</si>
  <si>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</si>
  <si>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</si>
  <si>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</si>
  <si>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</si>
  <si>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</si>
  <si>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</si>
  <si>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</si>
  <si>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</si>
  <si>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</si>
  <si>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</si>
  <si>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</si>
  <si>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</si>
  <si>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</si>
  <si>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</si>
  <si>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</si>
  <si>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</si>
  <si>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</si>
  <si>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</si>
  <si>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</si>
  <si>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</si>
  <si>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</si>
  <si>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</si>
  <si>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</si>
  <si>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</si>
  <si>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</si>
  <si>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</si>
  <si>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</si>
  <si>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</si>
  <si>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</si>
  <si>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</si>
  <si>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</si>
  <si>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</si>
  <si>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</si>
  <si>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</si>
  <si>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</si>
  <si>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</si>
  <si>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</si>
  <si>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</si>
  <si>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</si>
  <si>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</si>
  <si>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</si>
  <si>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</si>
  <si>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</si>
  <si>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</si>
  <si>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</si>
  <si>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</si>
  <si>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</si>
  <si>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</si>
  <si>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</si>
  <si>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</si>
  <si>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</si>
  <si>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</si>
  <si>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</si>
  <si>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</si>
  <si>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</si>
  <si>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</si>
  <si>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</si>
  <si>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</si>
  <si>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</si>
  <si>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</si>
  <si>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</si>
  <si>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</si>
  <si>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</si>
  <si>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</si>
  <si>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</si>
  <si>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</si>
  <si>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</si>
  <si>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</si>
  <si>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</si>
  <si>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</si>
  <si>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</si>
  <si>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</si>
  <si>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</si>
  <si>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</si>
  <si>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</si>
  <si>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</si>
  <si>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</si>
  <si>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</si>
  <si>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</si>
  <si>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</si>
  <si>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</si>
  <si>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</si>
  <si>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</si>
  <si>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</si>
  <si>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</si>
  <si>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</si>
  <si>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</si>
  <si>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</si>
  <si>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</si>
  <si>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</si>
  <si>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</si>
  <si>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</si>
  <si>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</si>
  <si>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</si>
  <si>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</si>
  <si>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</si>
  <si>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</si>
  <si>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</si>
  <si>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</si>
  <si>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</si>
  <si>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</si>
  <si>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</si>
  <si>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</si>
  <si>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</si>
  <si>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</si>
  <si>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</si>
  <si>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</si>
  <si>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</si>
  <si>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</si>
  <si>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</si>
  <si>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</si>
  <si>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</si>
  <si>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</si>
  <si>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</si>
  <si>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</si>
  <si>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</si>
  <si>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</si>
  <si>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</si>
  <si>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</si>
  <si>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</si>
  <si>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</si>
  <si>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</si>
  <si>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</si>
  <si>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</si>
  <si>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</si>
  <si>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</si>
  <si>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</si>
  <si>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</si>
  <si>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</si>
  <si>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CO2_hrs</t>
  </si>
  <si>
    <t>AccH2O_hum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</si>
  <si>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</si>
  <si>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</si>
  <si>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</si>
  <si>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</si>
  <si>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</si>
  <si>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</si>
  <si>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</si>
  <si>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</si>
  <si>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</si>
  <si>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</si>
  <si>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</si>
  <si>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</si>
  <si>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</si>
  <si>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</si>
  <si>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</si>
  <si>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</si>
  <si>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</si>
  <si>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</si>
  <si>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</si>
  <si>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</si>
  <si>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</si>
  <si>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</si>
  <si>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</si>
  <si>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</si>
  <si>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</si>
  <si>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</si>
  <si>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</si>
  <si>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</si>
  <si>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</si>
  <si>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</si>
  <si>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</si>
  <si>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</si>
  <si>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</si>
  <si>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</si>
  <si>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</si>
  <si>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</si>
  <si>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</si>
  <si>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</si>
  <si>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</si>
  <si>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</si>
  <si>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</si>
  <si>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</si>
  <si>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</si>
  <si>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</si>
  <si>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</si>
  <si>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</si>
  <si>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</si>
  <si>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</si>
  <si>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</si>
  <si>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</si>
  <si>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</si>
  <si>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</si>
  <si>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</si>
  <si>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</si>
  <si>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</si>
  <si>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</si>
  <si>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</si>
  <si>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</si>
  <si>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</si>
  <si>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</si>
  <si>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</si>
  <si>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</si>
  <si>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</si>
  <si>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</si>
  <si>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</si>
  <si>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</si>
  <si>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</si>
  <si>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</si>
  <si>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</si>
  <si>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</si>
  <si>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</si>
  <si>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</si>
  <si>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</si>
  <si>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</si>
  <si>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</si>
  <si>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</si>
  <si>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</si>
  <si>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</si>
  <si>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</si>
  <si>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</si>
  <si>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</si>
  <si>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</si>
  <si>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</si>
  <si>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</si>
  <si>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</si>
  <si>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</si>
  <si>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</si>
  <si>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</si>
  <si>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</si>
  <si>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</si>
  <si>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</si>
  <si>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</si>
  <si>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</si>
  <si>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20261016 11:39:13</t>
  </si>
  <si>
    <t>11:39:13</t>
  </si>
  <si>
    <t>-</t>
  </si>
  <si>
    <t>0: Broadleaf</t>
  </si>
  <si>
    <t>11:38:10</t>
  </si>
  <si>
    <t>2/2</t>
  </si>
  <si>
    <t>11111111</t>
  </si>
  <si>
    <t>oooooooo</t>
  </si>
  <si>
    <t>on</t>
  </si>
  <si>
    <t>20261016 11:41:19</t>
  </si>
  <si>
    <t>11:41:19</t>
  </si>
  <si>
    <t>11:40:19</t>
  </si>
  <si>
    <t>20261016 11:43:20</t>
  </si>
  <si>
    <t>11:43:20</t>
  </si>
  <si>
    <t>11:42:32</t>
  </si>
  <si>
    <t>20261016 11:45:21</t>
  </si>
  <si>
    <t>11:45:21</t>
  </si>
  <si>
    <t>11:44:33</t>
  </si>
  <si>
    <t>20261016 11:47:23</t>
  </si>
  <si>
    <t>11:47:23</t>
  </si>
  <si>
    <t>11:46:31</t>
  </si>
  <si>
    <t>20261016 11:49:54</t>
  </si>
  <si>
    <t>11:49:54</t>
  </si>
  <si>
    <t>11:48:30</t>
  </si>
  <si>
    <t>1/2</t>
  </si>
  <si>
    <t>20261016 11:52:03</t>
  </si>
  <si>
    <t>11:52:03</t>
  </si>
  <si>
    <t>11:51:00</t>
  </si>
  <si>
    <t>20261016 11:54:18</t>
  </si>
  <si>
    <t>11:54:18</t>
  </si>
  <si>
    <t>11:53:10</t>
  </si>
  <si>
    <t>20261016 11:56:30</t>
  </si>
  <si>
    <t>11:56:30</t>
  </si>
  <si>
    <t>11:55:20</t>
  </si>
  <si>
    <t>20261016 11:58:46</t>
  </si>
  <si>
    <t>11:58:46</t>
  </si>
  <si>
    <t>11:57:35</t>
  </si>
  <si>
    <t>20261016 12:00:54</t>
  </si>
  <si>
    <t>12:00:54</t>
  </si>
  <si>
    <t>11:59:52</t>
  </si>
  <si>
    <t>20261016 12:03:21</t>
  </si>
  <si>
    <t>12:03:21</t>
  </si>
  <si>
    <t>12:02:27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</si>
</sst>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V28"/>
  <sheetViews>
    <sheetView tabSelected="1" workbookViewId="0"/>
  </sheetViews>
  <sheetFormatPr defaultRowHeight="16.5" x14ac:dyDescent="0.3"/>
  <sheetData>
    <row r="2" spans="1:282" x14ac:dyDescent="0.3">
      <c r="A2" t="s">
        <v>31</v>
      </c>
      <c r="B2" t="s">
        <v>32</v>
      </c>
      <c r="C2" t="s">
        <v>33</v>
      </c>
    </row>
    <row r="3" spans="1:282" x14ac:dyDescent="0.3">
      <c r="B3">
        <v>4</v>
      </c>
      <c r="C3">
        <v>21</v>
      </c>
    </row>
    <row r="4" spans="1:282" x14ac:dyDescent="0.3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82" x14ac:dyDescent="0.3">
      <c r="B5" t="s">
        <v>21</v>
      </c>
      <c r="C5" t="s">
        <v>37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2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82" x14ac:dyDescent="0.3">
      <c r="B7">
        <v>0</v>
      </c>
      <c r="C7">
        <v>1</v>
      </c>
      <c r="D7">
        <v>0</v>
      </c>
      <c r="E7">
        <v>0</v>
      </c>
    </row>
    <row r="8" spans="1:282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82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82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82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0</v>
      </c>
    </row>
    <row r="14" spans="1:282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91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92</v>
      </c>
      <c r="CU14" t="s">
        <v>92</v>
      </c>
      <c r="CV14" t="s">
        <v>92</v>
      </c>
      <c r="CW14" t="s">
        <v>92</v>
      </c>
      <c r="CX14" t="s">
        <v>93</v>
      </c>
      <c r="CY14" t="s">
        <v>93</v>
      </c>
      <c r="CZ14" t="s">
        <v>93</v>
      </c>
      <c r="DA14" t="s">
        <v>93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97</v>
      </c>
      <c r="EW14" t="s">
        <v>97</v>
      </c>
      <c r="EX14" t="s">
        <v>97</v>
      </c>
      <c r="EY14" t="s">
        <v>97</v>
      </c>
      <c r="EZ14" t="s">
        <v>97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100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101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102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103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104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  <c r="JV14" t="s">
        <v>105</v>
      </c>
    </row>
    <row r="15" spans="1:282" x14ac:dyDescent="0.3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88</v>
      </c>
      <c r="AF15" t="s">
        <v>136</v>
      </c>
      <c r="AG15" t="s">
        <v>137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168</v>
      </c>
      <c r="CH15" t="s">
        <v>189</v>
      </c>
      <c r="CI15" t="s">
        <v>190</v>
      </c>
      <c r="CJ15" t="s">
        <v>191</v>
      </c>
      <c r="CK15" t="s">
        <v>142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112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107</v>
      </c>
      <c r="FB15" t="s">
        <v>110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  <c r="JV15" t="s">
        <v>381</v>
      </c>
    </row>
    <row r="16" spans="1:282" x14ac:dyDescent="0.3">
      <c r="B16" t="s">
        <v>382</v>
      </c>
      <c r="C16" t="s">
        <v>382</v>
      </c>
      <c r="F16" t="s">
        <v>382</v>
      </c>
      <c r="G16" t="s">
        <v>382</v>
      </c>
      <c r="H16" t="s">
        <v>383</v>
      </c>
      <c r="I16" t="s">
        <v>384</v>
      </c>
      <c r="J16" t="s">
        <v>385</v>
      </c>
      <c r="K16" t="s">
        <v>386</v>
      </c>
      <c r="L16" t="s">
        <v>386</v>
      </c>
      <c r="M16" t="s">
        <v>215</v>
      </c>
      <c r="N16" t="s">
        <v>215</v>
      </c>
      <c r="O16" t="s">
        <v>383</v>
      </c>
      <c r="P16" t="s">
        <v>383</v>
      </c>
      <c r="Q16" t="s">
        <v>383</v>
      </c>
      <c r="R16" t="s">
        <v>383</v>
      </c>
      <c r="S16" t="s">
        <v>387</v>
      </c>
      <c r="T16" t="s">
        <v>388</v>
      </c>
      <c r="U16" t="s">
        <v>388</v>
      </c>
      <c r="V16" t="s">
        <v>389</v>
      </c>
      <c r="W16" t="s">
        <v>390</v>
      </c>
      <c r="X16" t="s">
        <v>389</v>
      </c>
      <c r="Y16" t="s">
        <v>389</v>
      </c>
      <c r="Z16" t="s">
        <v>389</v>
      </c>
      <c r="AA16" t="s">
        <v>387</v>
      </c>
      <c r="AB16" t="s">
        <v>387</v>
      </c>
      <c r="AC16" t="s">
        <v>387</v>
      </c>
      <c r="AD16" t="s">
        <v>387</v>
      </c>
      <c r="AE16" t="s">
        <v>391</v>
      </c>
      <c r="AF16" t="s">
        <v>390</v>
      </c>
      <c r="AH16" t="s">
        <v>390</v>
      </c>
      <c r="AI16" t="s">
        <v>391</v>
      </c>
      <c r="AO16" t="s">
        <v>385</v>
      </c>
      <c r="AV16" t="s">
        <v>385</v>
      </c>
      <c r="AW16" t="s">
        <v>385</v>
      </c>
      <c r="AX16" t="s">
        <v>385</v>
      </c>
      <c r="AY16" t="s">
        <v>392</v>
      </c>
      <c r="BM16" t="s">
        <v>393</v>
      </c>
      <c r="BO16" t="s">
        <v>393</v>
      </c>
      <c r="BP16" t="s">
        <v>385</v>
      </c>
      <c r="BS16" t="s">
        <v>393</v>
      </c>
      <c r="BT16" t="s">
        <v>390</v>
      </c>
      <c r="BW16" t="s">
        <v>394</v>
      </c>
      <c r="BX16" t="s">
        <v>394</v>
      </c>
      <c r="BZ16" t="s">
        <v>395</v>
      </c>
      <c r="CA16" t="s">
        <v>393</v>
      </c>
      <c r="CC16" t="s">
        <v>393</v>
      </c>
      <c r="CD16" t="s">
        <v>385</v>
      </c>
      <c r="CH16" t="s">
        <v>393</v>
      </c>
      <c r="CJ16" t="s">
        <v>396</v>
      </c>
      <c r="CM16" t="s">
        <v>393</v>
      </c>
      <c r="CN16" t="s">
        <v>393</v>
      </c>
      <c r="CP16" t="s">
        <v>393</v>
      </c>
      <c r="CR16" t="s">
        <v>393</v>
      </c>
      <c r="CT16" t="s">
        <v>385</v>
      </c>
      <c r="CU16" t="s">
        <v>385</v>
      </c>
      <c r="CW16" t="s">
        <v>397</v>
      </c>
      <c r="CX16" t="s">
        <v>398</v>
      </c>
      <c r="DA16" t="s">
        <v>383</v>
      </c>
      <c r="DB16" t="s">
        <v>382</v>
      </c>
      <c r="DC16" t="s">
        <v>386</v>
      </c>
      <c r="DD16" t="s">
        <v>386</v>
      </c>
      <c r="DE16" t="s">
        <v>399</v>
      </c>
      <c r="DF16" t="s">
        <v>399</v>
      </c>
      <c r="DG16" t="s">
        <v>386</v>
      </c>
      <c r="DH16" t="s">
        <v>399</v>
      </c>
      <c r="DI16" t="s">
        <v>391</v>
      </c>
      <c r="DJ16" t="s">
        <v>389</v>
      </c>
      <c r="DK16" t="s">
        <v>389</v>
      </c>
      <c r="DL16" t="s">
        <v>388</v>
      </c>
      <c r="DM16" t="s">
        <v>388</v>
      </c>
      <c r="DN16" t="s">
        <v>388</v>
      </c>
      <c r="DO16" t="s">
        <v>388</v>
      </c>
      <c r="DP16" t="s">
        <v>388</v>
      </c>
      <c r="DQ16" t="s">
        <v>400</v>
      </c>
      <c r="DR16" t="s">
        <v>385</v>
      </c>
      <c r="DS16" t="s">
        <v>385</v>
      </c>
      <c r="DT16" t="s">
        <v>386</v>
      </c>
      <c r="DU16" t="s">
        <v>386</v>
      </c>
      <c r="DV16" t="s">
        <v>386</v>
      </c>
      <c r="DW16" t="s">
        <v>399</v>
      </c>
      <c r="DX16" t="s">
        <v>386</v>
      </c>
      <c r="DY16" t="s">
        <v>399</v>
      </c>
      <c r="DZ16" t="s">
        <v>389</v>
      </c>
      <c r="EA16" t="s">
        <v>389</v>
      </c>
      <c r="EB16" t="s">
        <v>388</v>
      </c>
      <c r="EC16" t="s">
        <v>388</v>
      </c>
      <c r="ED16" t="s">
        <v>385</v>
      </c>
      <c r="EI16" t="s">
        <v>385</v>
      </c>
      <c r="EL16" t="s">
        <v>388</v>
      </c>
      <c r="EM16" t="s">
        <v>388</v>
      </c>
      <c r="EN16" t="s">
        <v>388</v>
      </c>
      <c r="EO16" t="s">
        <v>388</v>
      </c>
      <c r="EP16" t="s">
        <v>388</v>
      </c>
      <c r="EQ16" t="s">
        <v>385</v>
      </c>
      <c r="ER16" t="s">
        <v>385</v>
      </c>
      <c r="ES16" t="s">
        <v>385</v>
      </c>
      <c r="ET16" t="s">
        <v>382</v>
      </c>
      <c r="EW16" t="s">
        <v>401</v>
      </c>
      <c r="EX16" t="s">
        <v>401</v>
      </c>
      <c r="EZ16" t="s">
        <v>382</v>
      </c>
      <c r="FA16" t="s">
        <v>402</v>
      </c>
      <c r="FC16" t="s">
        <v>382</v>
      </c>
      <c r="FD16" t="s">
        <v>382</v>
      </c>
      <c r="FF16" t="s">
        <v>403</v>
      </c>
      <c r="FG16" t="s">
        <v>404</v>
      </c>
      <c r="FH16" t="s">
        <v>403</v>
      </c>
      <c r="FI16" t="s">
        <v>404</v>
      </c>
      <c r="FJ16" t="s">
        <v>403</v>
      </c>
      <c r="FK16" t="s">
        <v>404</v>
      </c>
      <c r="FL16" t="s">
        <v>390</v>
      </c>
      <c r="FM16" t="s">
        <v>390</v>
      </c>
      <c r="FN16" t="s">
        <v>385</v>
      </c>
      <c r="FO16" t="s">
        <v>405</v>
      </c>
      <c r="FP16" t="s">
        <v>385</v>
      </c>
      <c r="FR16" t="s">
        <v>386</v>
      </c>
      <c r="FS16" t="s">
        <v>406</v>
      </c>
      <c r="FT16" t="s">
        <v>386</v>
      </c>
      <c r="FW16" t="s">
        <v>407</v>
      </c>
      <c r="GC16" t="s">
        <v>408</v>
      </c>
      <c r="GD16" t="s">
        <v>408</v>
      </c>
      <c r="GQ16" t="s">
        <v>408</v>
      </c>
      <c r="GR16" t="s">
        <v>408</v>
      </c>
      <c r="GS16" t="s">
        <v>409</v>
      </c>
      <c r="GT16" t="s">
        <v>409</v>
      </c>
      <c r="GU16" t="s">
        <v>388</v>
      </c>
      <c r="GV16" t="s">
        <v>388</v>
      </c>
      <c r="GW16" t="s">
        <v>390</v>
      </c>
      <c r="GX16" t="s">
        <v>388</v>
      </c>
      <c r="GY16" t="s">
        <v>399</v>
      </c>
      <c r="GZ16" t="s">
        <v>390</v>
      </c>
      <c r="HA16" t="s">
        <v>390</v>
      </c>
      <c r="HC16" t="s">
        <v>408</v>
      </c>
      <c r="HD16" t="s">
        <v>408</v>
      </c>
      <c r="HE16" t="s">
        <v>408</v>
      </c>
      <c r="HF16" t="s">
        <v>408</v>
      </c>
      <c r="HG16" t="s">
        <v>408</v>
      </c>
      <c r="HH16" t="s">
        <v>408</v>
      </c>
      <c r="HI16" t="s">
        <v>408</v>
      </c>
      <c r="HJ16" t="s">
        <v>410</v>
      </c>
      <c r="HK16" t="s">
        <v>411</v>
      </c>
      <c r="HL16" t="s">
        <v>410</v>
      </c>
      <c r="HM16" t="s">
        <v>410</v>
      </c>
      <c r="HN16" t="s">
        <v>408</v>
      </c>
      <c r="HO16" t="s">
        <v>408</v>
      </c>
      <c r="HP16" t="s">
        <v>408</v>
      </c>
      <c r="HQ16" t="s">
        <v>408</v>
      </c>
      <c r="HR16" t="s">
        <v>408</v>
      </c>
      <c r="HS16" t="s">
        <v>408</v>
      </c>
      <c r="HT16" t="s">
        <v>408</v>
      </c>
      <c r="HU16" t="s">
        <v>408</v>
      </c>
      <c r="HV16" t="s">
        <v>408</v>
      </c>
      <c r="HW16" t="s">
        <v>408</v>
      </c>
      <c r="HX16" t="s">
        <v>408</v>
      </c>
      <c r="HY16" t="s">
        <v>408</v>
      </c>
      <c r="IF16" t="s">
        <v>408</v>
      </c>
      <c r="IG16" t="s">
        <v>390</v>
      </c>
      <c r="IH16" t="s">
        <v>390</v>
      </c>
      <c r="II16" t="s">
        <v>403</v>
      </c>
      <c r="IJ16" t="s">
        <v>404</v>
      </c>
      <c r="IK16" t="s">
        <v>403</v>
      </c>
      <c r="IO16" t="s">
        <v>404</v>
      </c>
      <c r="IS16" t="s">
        <v>386</v>
      </c>
      <c r="IT16" t="s">
        <v>386</v>
      </c>
      <c r="IU16" t="s">
        <v>399</v>
      </c>
      <c r="IV16" t="s">
        <v>399</v>
      </c>
      <c r="IW16" t="s">
        <v>412</v>
      </c>
      <c r="IX16" t="s">
        <v>412</v>
      </c>
      <c r="IY16" t="s">
        <v>408</v>
      </c>
      <c r="IZ16" t="s">
        <v>408</v>
      </c>
      <c r="JA16" t="s">
        <v>408</v>
      </c>
      <c r="JB16" t="s">
        <v>408</v>
      </c>
      <c r="JC16" t="s">
        <v>408</v>
      </c>
      <c r="JD16" t="s">
        <v>408</v>
      </c>
      <c r="JE16" t="s">
        <v>388</v>
      </c>
      <c r="JF16" t="s">
        <v>408</v>
      </c>
      <c r="JH16" t="s">
        <v>391</v>
      </c>
      <c r="JI16" t="s">
        <v>391</v>
      </c>
      <c r="JJ16" t="s">
        <v>388</v>
      </c>
      <c r="JK16" t="s">
        <v>388</v>
      </c>
      <c r="JL16" t="s">
        <v>388</v>
      </c>
      <c r="JM16" t="s">
        <v>388</v>
      </c>
      <c r="JN16" t="s">
        <v>388</v>
      </c>
      <c r="JO16" t="s">
        <v>390</v>
      </c>
      <c r="JP16" t="s">
        <v>390</v>
      </c>
      <c r="JQ16" t="s">
        <v>390</v>
      </c>
      <c r="JR16" t="s">
        <v>388</v>
      </c>
      <c r="JS16" t="s">
        <v>386</v>
      </c>
      <c r="JT16" t="s">
        <v>399</v>
      </c>
      <c r="JU16" t="s">
        <v>390</v>
      </c>
      <c r="JV16" t="s">
        <v>390</v>
      </c>
    </row>
    <row r="17" spans="1:282" x14ac:dyDescent="0.3">
      <c r="A17">
        <v>1</v>
      </c>
      <c r="B17">
        <v>1792118353.0999999</v>
      </c>
      <c r="C17">
        <v>0</v>
      </c>
      <c r="D17" t="s">
        <v>413</v>
      </c>
      <c r="E17" t="s">
        <v>414</v>
      </c>
      <c r="F17">
        <v>5</v>
      </c>
      <c r="G17">
        <v>1792118350.0999999</v>
      </c>
      <c r="H17">
        <f t="shared" ref="H17:H28" si="0">(I17)/1000</f>
        <v>5.5256559791763476E-3</v>
      </c>
      <c r="I17">
        <f t="shared" ref="I17:I28" si="1">1000*DI17*AG17*(DE17-DF17)/(100*CX17*(1000-AG17*DE17))</f>
        <v>5.5256559791763475</v>
      </c>
      <c r="J17">
        <f t="shared" ref="J17:J28" si="2">DI17*AG17*(DD17-DC17*(1000-AG17*DF17)/(1000-AG17*DE17))/(100*CX17)</f>
        <v>20.034027033476949</v>
      </c>
      <c r="K17">
        <f t="shared" ref="K17:K28" si="3">DC17 - IF(AG17&gt;1, J17*CX17*100/(AI17), 0)</f>
        <v>391.1062</v>
      </c>
      <c r="L17">
        <f t="shared" ref="L17:L28" si="4">((R17-H17/2)*K17-J17)/(R17+H17/2)</f>
        <v>303.05740055670543</v>
      </c>
      <c r="M17">
        <f t="shared" ref="M17:M28" si="5">L17*(DJ17+DK17)/1000</f>
        <v>30.880859449001839</v>
      </c>
      <c r="N17">
        <f t="shared" ref="N17:N28" si="6">(DC17 - IF(AG17&gt;1, J17*CX17*100/(AI17), 0))*(DJ17+DK17)/1000</f>
        <v>39.852831739620662</v>
      </c>
      <c r="O17">
        <f t="shared" ref="O17:O28" si="7">2/((1/Q17-1/P17)+SIGN(Q17)*SQRT((1/Q17-1/P17)*(1/Q17-1/P17) + 4*CY17/((CY17+1)*(CY17+1))*(2*1/Q17*1/P17-1/P17*1/P17)))</f>
        <v>0.42533215310449196</v>
      </c>
      <c r="P17">
        <f t="shared" ref="P17:P28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3.0384650994302764</v>
      </c>
      <c r="Q17">
        <f t="shared" ref="Q17:Q28" si="9">H17*(1000-(1000*0.61365*EXP(17.502*U17/(240.97+U17))/(DJ17+DK17)+DE17)/2)/(1000*0.61365*EXP(17.502*U17/(240.97+U17))/(DJ17+DK17)-DE17)</f>
        <v>0.39480848190017881</v>
      </c>
      <c r="R17">
        <f t="shared" ref="R17:R28" si="10">1/((CY17+1)/(O17/1.6)+1/(P17/1.37)) + CY17/((CY17+1)/(O17/1.6) + CY17/(P17/1.37))</f>
        <v>0.24931494577147334</v>
      </c>
      <c r="S17">
        <f t="shared" ref="S17:S28" si="11">(CT17*CW17)</f>
        <v>241.73525323457719</v>
      </c>
      <c r="T17">
        <f t="shared" ref="T17:T28" si="12">(DL17+(S17+2*0.95*0.0000000567*(((DL17+$B$7)+273)^4-(DL17+273)^4)-44100*H17)/(1.84*29.3*P17+8*0.95*0.0000000567*(DL17+273)^3))</f>
        <v>25.347775157933263</v>
      </c>
      <c r="U17">
        <f t="shared" ref="U17:U28" si="13">($C$7*DM17+$D$7*DN17+$E$7*T17)</f>
        <v>24.974440000000001</v>
      </c>
      <c r="V17">
        <f t="shared" ref="V17:V28" si="14">0.61365*EXP(17.502*U17/(240.97+U17))</f>
        <v>3.1748354188750554</v>
      </c>
      <c r="W17">
        <f t="shared" ref="W17:W28" si="15">(X17/Y17*100)</f>
        <v>54.901527652867529</v>
      </c>
      <c r="X17">
        <f t="shared" ref="X17:X28" si="16">DE17*(DJ17+DK17)/1000</f>
        <v>1.7833935911537402</v>
      </c>
      <c r="Y17">
        <f t="shared" ref="Y17:Y28" si="17">0.61365*EXP(17.502*DL17/(240.97+DL17))</f>
        <v>3.2483496678449764</v>
      </c>
      <c r="Z17">
        <f t="shared" ref="Z17:Z28" si="18">(V17-DE17*(DJ17+DK17)/1000)</f>
        <v>1.3914418277213152</v>
      </c>
      <c r="AA17">
        <f t="shared" ref="AA17:AA28" si="19">(-H17*44100)</f>
        <v>-243.68142868167692</v>
      </c>
      <c r="AB17">
        <f t="shared" ref="AB17:AB28" si="20">2*29.3*P17*0.92*(DL17-U17)</f>
        <v>62.975012770539728</v>
      </c>
      <c r="AC17">
        <f t="shared" ref="AC17:AC28" si="21">2*0.95*0.0000000567*(((DL17+$B$7)+273)^4-(U17+273)^4)</f>
        <v>4.3913964015477713</v>
      </c>
      <c r="AD17">
        <f t="shared" ref="AD17:AD28" si="22">S17+AC17+AA17+AB17</f>
        <v>65.420233724987781</v>
      </c>
      <c r="AE17">
        <v>0</v>
      </c>
      <c r="AF17">
        <v>0</v>
      </c>
      <c r="AG17">
        <f t="shared" ref="AG17:AG28" si="23">IF(AE17*$H$13&gt;=AI17,1,(AI17/(AI17-AE17*$H$13)))</f>
        <v>1</v>
      </c>
      <c r="AH17">
        <f t="shared" ref="AH17:AH28" si="24">(AG17-1)*100</f>
        <v>0</v>
      </c>
      <c r="AI17">
        <f t="shared" ref="AI17:AI28" si="25">MAX(0,($B$13+$C$13*DQ17)/(1+$D$13*DQ17)*DJ17/(DL17+273)*$E$13)</f>
        <v>54056.272244758155</v>
      </c>
      <c r="AJ17" t="s">
        <v>415</v>
      </c>
      <c r="AK17" t="s">
        <v>415</v>
      </c>
      <c r="AL17">
        <v>0</v>
      </c>
      <c r="AM17">
        <v>0</v>
      </c>
      <c r="AN17" t="e">
        <f t="shared" ref="AN17:AN28" si="26">1-AL17/AM17</f>
        <v>#DIV/0!</v>
      </c>
      <c r="AO17">
        <v>0</v>
      </c>
      <c r="AP17" t="s">
        <v>415</v>
      </c>
      <c r="AQ17" t="s">
        <v>415</v>
      </c>
      <c r="AR17">
        <v>0</v>
      </c>
      <c r="AS17">
        <v>0</v>
      </c>
      <c r="AT17" t="e">
        <f t="shared" ref="AT17:AT28" si="27">1-AR17/AS17</f>
        <v>#DIV/0!</v>
      </c>
      <c r="AU17">
        <v>0.5</v>
      </c>
      <c r="AV17">
        <f t="shared" ref="AV17:AV28" si="28">CU17</f>
        <v>1261.2024027122161</v>
      </c>
      <c r="AW17">
        <f t="shared" ref="AW17:AW28" si="29">J17</f>
        <v>20.034027033476949</v>
      </c>
      <c r="AX17" t="e">
        <f t="shared" ref="AX17:AX28" si="30">AT17*AU17*AV17</f>
        <v>#DIV/0!</v>
      </c>
      <c r="AY17">
        <f t="shared" ref="AY17:AY28" si="31">(AW17-AO17)/AV17</f>
        <v>1.5884862723377129E-2</v>
      </c>
      <c r="AZ17" t="e">
        <f t="shared" ref="AZ17:AZ28" si="32">(AM17-AS17)/AS17</f>
        <v>#DIV/0!</v>
      </c>
      <c r="BA17" t="e">
        <f t="shared" ref="BA17:BA28" si="33">AL17/(AN17+AL17/AS17)</f>
        <v>#DIV/0!</v>
      </c>
      <c r="BB17" t="s">
        <v>415</v>
      </c>
      <c r="BC17">
        <v>0</v>
      </c>
      <c r="BD17" t="e">
        <f t="shared" ref="BD17:BD28" si="34">IF(BC17&lt;&gt;0, BC17, BA17)</f>
        <v>#DIV/0!</v>
      </c>
      <c r="BE17" t="e">
        <f t="shared" ref="BE17:BE28" si="35">1-BD17/AS17</f>
        <v>#DIV/0!</v>
      </c>
      <c r="BF17" t="e">
        <f t="shared" ref="BF17:BF28" si="36">(AS17-AR17)/(AS17-BD17)</f>
        <v>#DIV/0!</v>
      </c>
      <c r="BG17" t="e">
        <f t="shared" ref="BG17:BG28" si="37">(AM17-AS17)/(AM17-BD17)</f>
        <v>#DIV/0!</v>
      </c>
      <c r="BH17" t="e">
        <f t="shared" ref="BH17:BH28" si="38">(AS17-AR17)/(AS17-AL17)</f>
        <v>#DIV/0!</v>
      </c>
      <c r="BI17" t="e">
        <f t="shared" ref="BI17:BI28" si="39">(AM17-AS17)/(AM17-AL17)</f>
        <v>#DIV/0!</v>
      </c>
      <c r="BJ17" t="e">
        <f t="shared" ref="BJ17:BJ28" si="40">(BF17*BD17/AR17)</f>
        <v>#DIV/0!</v>
      </c>
      <c r="BK17" t="e">
        <f t="shared" ref="BK17:BK28" si="41">(1-BJ17)</f>
        <v>#DIV/0!</v>
      </c>
      <c r="BL17">
        <v>1093</v>
      </c>
      <c r="BM17">
        <v>290</v>
      </c>
      <c r="BN17">
        <v>868.3</v>
      </c>
      <c r="BO17">
        <v>175</v>
      </c>
      <c r="BP17">
        <v>8133.33</v>
      </c>
      <c r="BQ17">
        <v>864.45</v>
      </c>
      <c r="BR17">
        <v>3.85</v>
      </c>
      <c r="BS17">
        <v>300</v>
      </c>
      <c r="BT17">
        <v>19.3</v>
      </c>
      <c r="BU17">
        <v>892.61927249853704</v>
      </c>
      <c r="BV17">
        <v>1.9163428110965599</v>
      </c>
      <c r="BW17">
        <v>-22.907362864973301</v>
      </c>
      <c r="BX17">
        <v>1.3922767505624201</v>
      </c>
      <c r="BY17">
        <v>0.90626257319928905</v>
      </c>
      <c r="BZ17">
        <v>-5.39184204671857E-3</v>
      </c>
      <c r="CA17">
        <v>290</v>
      </c>
      <c r="CB17">
        <v>854.97</v>
      </c>
      <c r="CC17">
        <v>615</v>
      </c>
      <c r="CD17">
        <v>8117.95</v>
      </c>
      <c r="CE17">
        <v>864.4</v>
      </c>
      <c r="CF17">
        <v>-9.43</v>
      </c>
      <c r="CT17">
        <f t="shared" ref="CT17:CT28" si="42">$B$11*DR17+$C$11*DS17+$F$11*ED17*(1-EG17)</f>
        <v>1499.99</v>
      </c>
      <c r="CU17">
        <f t="shared" ref="CU17:CU28" si="43">CT17*CV17</f>
        <v>1261.2024027122161</v>
      </c>
      <c r="CV17">
        <f t="shared" ref="CV17:CV28" si="44">($B$11*$D$9+$C$11*$D$9+$F$11*((EQ17+EI17)/MAX(EQ17+EI17+ER17, 0.1)*$I$9+ER17/MAX(EQ17+EI17+ER17, 0.1)*$J$9))/($B$11+$C$11+$F$11)</f>
        <v>0.8408072071895254</v>
      </c>
      <c r="CW17">
        <f t="shared" ref="CW17:CW28" si="45">($B$11*$K$9+$C$11*$K$9+$F$11*((EQ17+EI17)/MAX(EQ17+EI17+ER17, 0.1)*$P$9+ER17/MAX(EQ17+EI17+ER17, 0.1)*$Q$9))/($B$11+$C$11+$F$11)</f>
        <v>0.16115790987578396</v>
      </c>
      <c r="CX17">
        <v>2</v>
      </c>
      <c r="CY17">
        <v>0.5</v>
      </c>
      <c r="CZ17" t="s">
        <v>416</v>
      </c>
      <c r="DA17">
        <v>2</v>
      </c>
      <c r="DB17">
        <v>1792118350.0999999</v>
      </c>
      <c r="DC17">
        <v>391.1062</v>
      </c>
      <c r="DD17">
        <v>399.98320000000001</v>
      </c>
      <c r="DE17">
        <v>17.501799999999999</v>
      </c>
      <c r="DF17">
        <v>15.33048</v>
      </c>
      <c r="DG17">
        <v>390.1198</v>
      </c>
      <c r="DH17">
        <v>17.620760000000001</v>
      </c>
      <c r="DI17">
        <v>500.05959999999999</v>
      </c>
      <c r="DJ17">
        <v>101.7976</v>
      </c>
      <c r="DK17">
        <v>0.1001243</v>
      </c>
      <c r="DL17">
        <v>25.358879999999999</v>
      </c>
      <c r="DM17">
        <v>24.974440000000001</v>
      </c>
      <c r="DN17">
        <v>999.9</v>
      </c>
      <c r="DO17">
        <v>0</v>
      </c>
      <c r="DP17">
        <v>0</v>
      </c>
      <c r="DQ17">
        <v>9987</v>
      </c>
      <c r="DR17">
        <v>0</v>
      </c>
      <c r="DS17">
        <v>6.8745700000000003</v>
      </c>
      <c r="DT17">
        <v>-8.8771079999999998</v>
      </c>
      <c r="DU17">
        <v>398.07299999999998</v>
      </c>
      <c r="DV17">
        <v>406.21080000000001</v>
      </c>
      <c r="DW17">
        <v>2.1712920000000002</v>
      </c>
      <c r="DX17">
        <v>399.98320000000001</v>
      </c>
      <c r="DY17">
        <v>15.33048</v>
      </c>
      <c r="DZ17">
        <v>1.7816380000000001</v>
      </c>
      <c r="EA17">
        <v>1.5606059999999999</v>
      </c>
      <c r="EB17">
        <v>15.626620000000001</v>
      </c>
      <c r="EC17">
        <v>13.575240000000001</v>
      </c>
      <c r="ED17">
        <v>1499.99</v>
      </c>
      <c r="EE17">
        <v>0.97300019999999998</v>
      </c>
      <c r="EF17">
        <v>2.69999E-2</v>
      </c>
      <c r="EG17">
        <v>0</v>
      </c>
      <c r="EH17">
        <v>305.06819999999999</v>
      </c>
      <c r="EI17">
        <v>5.0006399999999998</v>
      </c>
      <c r="EJ17">
        <v>4700.9759999999997</v>
      </c>
      <c r="EK17">
        <v>15439.12</v>
      </c>
      <c r="EL17">
        <v>39.375</v>
      </c>
      <c r="EM17">
        <v>40.024799999999999</v>
      </c>
      <c r="EN17">
        <v>39.686999999999998</v>
      </c>
      <c r="EO17">
        <v>39.686999999999998</v>
      </c>
      <c r="EP17">
        <v>41</v>
      </c>
      <c r="EQ17">
        <v>1454.626</v>
      </c>
      <c r="ER17">
        <v>40.36</v>
      </c>
      <c r="ES17">
        <v>0</v>
      </c>
      <c r="ET17">
        <v>2098</v>
      </c>
      <c r="EU17">
        <v>0</v>
      </c>
      <c r="EV17">
        <v>305.12628000000001</v>
      </c>
      <c r="EW17">
        <v>-0.58569231142994604</v>
      </c>
      <c r="EX17">
        <v>-12.371538437796399</v>
      </c>
      <c r="EY17">
        <v>4702.0324000000001</v>
      </c>
      <c r="EZ17">
        <v>15</v>
      </c>
      <c r="FA17">
        <v>1792118290.0999999</v>
      </c>
      <c r="FB17" t="s">
        <v>417</v>
      </c>
      <c r="FC17">
        <v>1792118286.0999999</v>
      </c>
      <c r="FD17">
        <v>1792118290.0999999</v>
      </c>
      <c r="FE17">
        <v>21</v>
      </c>
      <c r="FF17">
        <v>-7.0000000000000001E-3</v>
      </c>
      <c r="FG17">
        <v>2E-3</v>
      </c>
      <c r="FH17">
        <v>0.99</v>
      </c>
      <c r="FI17">
        <v>-0.19600000000000001</v>
      </c>
      <c r="FJ17">
        <v>400</v>
      </c>
      <c r="FK17">
        <v>15</v>
      </c>
      <c r="FL17">
        <v>0.24</v>
      </c>
      <c r="FM17">
        <v>0.03</v>
      </c>
      <c r="FN17">
        <v>20.0650058747526</v>
      </c>
      <c r="FO17">
        <v>0.28944492638110297</v>
      </c>
      <c r="FP17">
        <v>0.15720353203995799</v>
      </c>
      <c r="FQ17">
        <v>1</v>
      </c>
      <c r="FR17">
        <v>-8.8909761904761897</v>
      </c>
      <c r="FS17">
        <v>-2.1737922077916898E-2</v>
      </c>
      <c r="FT17">
        <v>6.1238019273447498E-2</v>
      </c>
      <c r="FU17">
        <v>1</v>
      </c>
      <c r="FV17">
        <v>305.193029411765</v>
      </c>
      <c r="FW17">
        <v>-0.86540871010643305</v>
      </c>
      <c r="FX17">
        <v>0.221907967846521</v>
      </c>
      <c r="FY17">
        <v>-1</v>
      </c>
      <c r="FZ17">
        <v>2</v>
      </c>
      <c r="GA17">
        <v>2</v>
      </c>
      <c r="GB17" t="s">
        <v>418</v>
      </c>
      <c r="GC17">
        <v>3.1235499999999998</v>
      </c>
      <c r="GD17">
        <v>2.7653799999999999</v>
      </c>
      <c r="GE17">
        <v>8.7073499999999998E-2</v>
      </c>
      <c r="GF17">
        <v>9.0942200000000001E-2</v>
      </c>
      <c r="GG17">
        <v>9.4360200000000005E-2</v>
      </c>
      <c r="GH17">
        <v>8.8705000000000006E-2</v>
      </c>
      <c r="GI17">
        <v>17866.400000000001</v>
      </c>
      <c r="GJ17">
        <v>26776.2</v>
      </c>
      <c r="GK17">
        <v>22862.3</v>
      </c>
      <c r="GL17">
        <v>30177</v>
      </c>
      <c r="GM17">
        <v>33949.199999999997</v>
      </c>
      <c r="GN17">
        <v>34237.5</v>
      </c>
      <c r="GO17">
        <v>43248</v>
      </c>
      <c r="GP17">
        <v>42953.2</v>
      </c>
      <c r="GQ17">
        <v>1.9887300000000001</v>
      </c>
      <c r="GR17">
        <v>1.85263</v>
      </c>
      <c r="GS17">
        <v>8.7059999999999998E-2</v>
      </c>
      <c r="GT17">
        <v>0</v>
      </c>
      <c r="GU17">
        <v>23.549700000000001</v>
      </c>
      <c r="GV17">
        <v>999.9</v>
      </c>
      <c r="GW17">
        <v>45.764000000000003</v>
      </c>
      <c r="GX17">
        <v>31.058</v>
      </c>
      <c r="GY17">
        <v>20.349499999999999</v>
      </c>
      <c r="GZ17">
        <v>63.402200000000001</v>
      </c>
      <c r="HA17">
        <v>37.744399999999999</v>
      </c>
      <c r="HB17">
        <v>1</v>
      </c>
      <c r="HC17">
        <v>-4.3389200000000003E-2</v>
      </c>
      <c r="HD17">
        <v>0.92976599999999998</v>
      </c>
      <c r="HE17">
        <v>20.158100000000001</v>
      </c>
      <c r="HF17">
        <v>5.23346</v>
      </c>
      <c r="HG17">
        <v>11.962</v>
      </c>
      <c r="HH17">
        <v>4.9677499999999997</v>
      </c>
      <c r="HI17">
        <v>3.2949999999999999</v>
      </c>
      <c r="HJ17">
        <v>9999</v>
      </c>
      <c r="HK17">
        <v>999.9</v>
      </c>
      <c r="HL17">
        <v>9999</v>
      </c>
      <c r="HM17">
        <v>9999</v>
      </c>
      <c r="HN17">
        <v>4.9694799999999999</v>
      </c>
      <c r="HO17">
        <v>1.8635999999999999</v>
      </c>
      <c r="HP17">
        <v>1.86517</v>
      </c>
      <c r="HQ17">
        <v>1.8670500000000001</v>
      </c>
      <c r="HR17">
        <v>1.8640099999999999</v>
      </c>
      <c r="HS17">
        <v>1.8676900000000001</v>
      </c>
      <c r="HT17">
        <v>1.86449</v>
      </c>
      <c r="HU17">
        <v>1.8664400000000001</v>
      </c>
      <c r="HV17">
        <v>0</v>
      </c>
      <c r="HW17">
        <v>0</v>
      </c>
      <c r="HX17">
        <v>0</v>
      </c>
      <c r="HY17">
        <v>0</v>
      </c>
      <c r="HZ17" t="s">
        <v>419</v>
      </c>
      <c r="IA17" t="s">
        <v>420</v>
      </c>
      <c r="IB17" t="s">
        <v>421</v>
      </c>
      <c r="IC17" t="s">
        <v>421</v>
      </c>
      <c r="ID17" t="s">
        <v>421</v>
      </c>
      <c r="IE17" t="s">
        <v>421</v>
      </c>
      <c r="IF17">
        <v>0</v>
      </c>
      <c r="IG17">
        <v>100</v>
      </c>
      <c r="IH17">
        <v>100</v>
      </c>
      <c r="II17">
        <v>0.98699999999999999</v>
      </c>
      <c r="IJ17">
        <v>-0.11899999999999999</v>
      </c>
      <c r="IK17">
        <v>0.86380459247284702</v>
      </c>
      <c r="IL17">
        <v>2.16929631606078E-4</v>
      </c>
      <c r="IM17">
        <v>2.7226302473163502E-7</v>
      </c>
      <c r="IN17">
        <v>-5.4379205123515401E-11</v>
      </c>
      <c r="IO17">
        <v>-3.4302695975534703E-2</v>
      </c>
      <c r="IP17">
        <v>-5.8443384954566899E-2</v>
      </c>
      <c r="IQ17">
        <v>3.41568706061026E-3</v>
      </c>
      <c r="IR17">
        <v>-2.10952612506686E-5</v>
      </c>
      <c r="IS17">
        <v>0</v>
      </c>
      <c r="IT17">
        <v>1734</v>
      </c>
      <c r="IU17">
        <v>2</v>
      </c>
      <c r="IV17">
        <v>19</v>
      </c>
      <c r="IW17">
        <v>1.1000000000000001</v>
      </c>
      <c r="IX17">
        <v>1.1000000000000001</v>
      </c>
      <c r="IY17">
        <v>1.0559099999999999</v>
      </c>
      <c r="IZ17">
        <v>2.5476100000000002</v>
      </c>
      <c r="JA17">
        <v>1.3476600000000001</v>
      </c>
      <c r="JB17">
        <v>2.2558600000000002</v>
      </c>
      <c r="JC17">
        <v>1.5502899999999999</v>
      </c>
      <c r="JD17">
        <v>2.64893</v>
      </c>
      <c r="JE17">
        <v>37.361800000000002</v>
      </c>
      <c r="JF17">
        <v>23.903600000000001</v>
      </c>
      <c r="JG17">
        <v>18</v>
      </c>
      <c r="JH17">
        <v>497.93900000000002</v>
      </c>
      <c r="JI17">
        <v>489.85300000000001</v>
      </c>
      <c r="JJ17">
        <v>22.691600000000001</v>
      </c>
      <c r="JK17">
        <v>26.619800000000001</v>
      </c>
      <c r="JL17">
        <v>30.0001</v>
      </c>
      <c r="JM17">
        <v>26.594799999999999</v>
      </c>
      <c r="JN17">
        <v>26.603000000000002</v>
      </c>
      <c r="JO17">
        <v>21.1526</v>
      </c>
      <c r="JP17">
        <v>35.594700000000003</v>
      </c>
      <c r="JQ17">
        <v>72.202200000000005</v>
      </c>
      <c r="JR17">
        <v>22.705500000000001</v>
      </c>
      <c r="JS17">
        <v>400</v>
      </c>
      <c r="JT17">
        <v>15.3398</v>
      </c>
      <c r="JU17">
        <v>102.127</v>
      </c>
      <c r="JV17">
        <v>97.561899999999994</v>
      </c>
    </row>
    <row r="18" spans="1:282" x14ac:dyDescent="0.3">
      <c r="A18">
        <v>2</v>
      </c>
      <c r="B18">
        <v>1792118479.0999999</v>
      </c>
      <c r="C18">
        <v>126</v>
      </c>
      <c r="D18" t="s">
        <v>422</v>
      </c>
      <c r="E18" t="s">
        <v>423</v>
      </c>
      <c r="F18">
        <v>5</v>
      </c>
      <c r="G18">
        <v>1792118475.5999999</v>
      </c>
      <c r="H18">
        <f t="shared" si="0"/>
        <v>5.654243970841793E-3</v>
      </c>
      <c r="I18">
        <f t="shared" si="1"/>
        <v>5.6542439708417929</v>
      </c>
      <c r="J18">
        <f t="shared" si="2"/>
        <v>14.916274434645768</v>
      </c>
      <c r="K18">
        <f t="shared" si="3"/>
        <v>293.37849999999997</v>
      </c>
      <c r="L18">
        <f t="shared" si="4"/>
        <v>229.23828085965192</v>
      </c>
      <c r="M18">
        <f t="shared" si="5"/>
        <v>23.356646308738281</v>
      </c>
      <c r="N18">
        <f t="shared" si="6"/>
        <v>29.891769530776688</v>
      </c>
      <c r="O18">
        <f t="shared" si="7"/>
        <v>0.43676226382948513</v>
      </c>
      <c r="P18">
        <f t="shared" si="8"/>
        <v>3.0389440722588281</v>
      </c>
      <c r="Q18">
        <f t="shared" si="9"/>
        <v>0.4046470469577228</v>
      </c>
      <c r="R18">
        <f t="shared" si="10"/>
        <v>0.25559276294164257</v>
      </c>
      <c r="S18">
        <f t="shared" si="11"/>
        <v>241.7403010029619</v>
      </c>
      <c r="T18">
        <f t="shared" si="12"/>
        <v>25.336223865443014</v>
      </c>
      <c r="U18">
        <f t="shared" si="13"/>
        <v>25.012499999999999</v>
      </c>
      <c r="V18">
        <f t="shared" si="14"/>
        <v>3.1820479803159807</v>
      </c>
      <c r="W18">
        <f t="shared" si="15"/>
        <v>55.132141880307231</v>
      </c>
      <c r="X18">
        <f t="shared" si="16"/>
        <v>1.7930976006806219</v>
      </c>
      <c r="Y18">
        <f t="shared" si="17"/>
        <v>3.2523633937050107</v>
      </c>
      <c r="Z18">
        <f t="shared" si="18"/>
        <v>1.3889503796353588</v>
      </c>
      <c r="AA18">
        <f t="shared" si="19"/>
        <v>-249.35215911412308</v>
      </c>
      <c r="AB18">
        <f t="shared" si="20"/>
        <v>60.152223219191704</v>
      </c>
      <c r="AC18">
        <f t="shared" si="21"/>
        <v>4.1951366957670926</v>
      </c>
      <c r="AD18">
        <f t="shared" si="22"/>
        <v>56.735501803797625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54067.314633123475</v>
      </c>
      <c r="AJ18" t="s">
        <v>415</v>
      </c>
      <c r="AK18" t="s">
        <v>415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415</v>
      </c>
      <c r="AQ18" t="s">
        <v>415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1261.2289994834023</v>
      </c>
      <c r="AW18">
        <f t="shared" si="29"/>
        <v>14.916274434645768</v>
      </c>
      <c r="AX18" t="e">
        <f t="shared" si="30"/>
        <v>#DIV/0!</v>
      </c>
      <c r="AY18">
        <f t="shared" si="31"/>
        <v>1.1826777247236984E-2</v>
      </c>
      <c r="AZ18" t="e">
        <f t="shared" si="32"/>
        <v>#DIV/0!</v>
      </c>
      <c r="BA18" t="e">
        <f t="shared" si="33"/>
        <v>#DIV/0!</v>
      </c>
      <c r="BB18" t="s">
        <v>415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BL18">
        <v>1093</v>
      </c>
      <c r="BM18">
        <v>290</v>
      </c>
      <c r="BN18">
        <v>868.3</v>
      </c>
      <c r="BO18">
        <v>175</v>
      </c>
      <c r="BP18">
        <v>8133.33</v>
      </c>
      <c r="BQ18">
        <v>864.45</v>
      </c>
      <c r="BR18">
        <v>3.85</v>
      </c>
      <c r="BS18">
        <v>300</v>
      </c>
      <c r="BT18">
        <v>19.3</v>
      </c>
      <c r="BU18">
        <v>892.61927249853704</v>
      </c>
      <c r="BV18">
        <v>1.9163428110965599</v>
      </c>
      <c r="BW18">
        <v>-22.907362864973301</v>
      </c>
      <c r="BX18">
        <v>1.3922767505624201</v>
      </c>
      <c r="BY18">
        <v>0.90626257319928905</v>
      </c>
      <c r="BZ18">
        <v>-5.39184204671857E-3</v>
      </c>
      <c r="CA18">
        <v>290</v>
      </c>
      <c r="CB18">
        <v>854.97</v>
      </c>
      <c r="CC18">
        <v>615</v>
      </c>
      <c r="CD18">
        <v>8117.95</v>
      </c>
      <c r="CE18">
        <v>864.4</v>
      </c>
      <c r="CF18">
        <v>-9.43</v>
      </c>
      <c r="CT18">
        <f t="shared" si="42"/>
        <v>1500.0216666666699</v>
      </c>
      <c r="CU18">
        <f t="shared" si="43"/>
        <v>1261.2289994834023</v>
      </c>
      <c r="CV18">
        <f t="shared" si="44"/>
        <v>0.84080718799621756</v>
      </c>
      <c r="CW18">
        <f t="shared" si="45"/>
        <v>0.1611578728327</v>
      </c>
      <c r="CX18">
        <v>2</v>
      </c>
      <c r="CY18">
        <v>0.5</v>
      </c>
      <c r="CZ18" t="s">
        <v>416</v>
      </c>
      <c r="DA18">
        <v>2</v>
      </c>
      <c r="DB18">
        <v>1792118475.5999999</v>
      </c>
      <c r="DC18">
        <v>293.37849999999997</v>
      </c>
      <c r="DD18">
        <v>300.00716666666699</v>
      </c>
      <c r="DE18">
        <v>17.598700000000001</v>
      </c>
      <c r="DF18">
        <v>15.377266666666699</v>
      </c>
      <c r="DG18">
        <v>292.62716666666699</v>
      </c>
      <c r="DH18">
        <v>17.714649999999999</v>
      </c>
      <c r="DI18">
        <v>500.103833333333</v>
      </c>
      <c r="DJ18">
        <v>101.788</v>
      </c>
      <c r="DK18">
        <v>0.10007131666666701</v>
      </c>
      <c r="DL18">
        <v>25.379650000000002</v>
      </c>
      <c r="DM18">
        <v>25.012499999999999</v>
      </c>
      <c r="DN18">
        <v>999.9</v>
      </c>
      <c r="DO18">
        <v>0</v>
      </c>
      <c r="DP18">
        <v>0</v>
      </c>
      <c r="DQ18">
        <v>9990.8333333333303</v>
      </c>
      <c r="DR18">
        <v>0</v>
      </c>
      <c r="DS18">
        <v>6.71089</v>
      </c>
      <c r="DT18">
        <v>-6.6285183333333304</v>
      </c>
      <c r="DU18">
        <v>298.63433333333302</v>
      </c>
      <c r="DV18">
        <v>304.6925</v>
      </c>
      <c r="DW18">
        <v>2.2213933333333298</v>
      </c>
      <c r="DX18">
        <v>300.00716666666699</v>
      </c>
      <c r="DY18">
        <v>15.377266666666699</v>
      </c>
      <c r="DZ18">
        <v>1.7913333333333299</v>
      </c>
      <c r="EA18">
        <v>1.5652216666666701</v>
      </c>
      <c r="EB18">
        <v>15.7113666666667</v>
      </c>
      <c r="EC18">
        <v>13.620616666666701</v>
      </c>
      <c r="ED18">
        <v>1500.0216666666699</v>
      </c>
      <c r="EE18">
        <v>0.973001</v>
      </c>
      <c r="EF18">
        <v>2.6999100000000002E-2</v>
      </c>
      <c r="EG18">
        <v>0</v>
      </c>
      <c r="EH18">
        <v>300.94816666666702</v>
      </c>
      <c r="EI18">
        <v>5.0006399999999998</v>
      </c>
      <c r="EJ18">
        <v>4639.5550000000003</v>
      </c>
      <c r="EK18">
        <v>15439.4333333333</v>
      </c>
      <c r="EL18">
        <v>39.3853333333333</v>
      </c>
      <c r="EM18">
        <v>40.061999999999998</v>
      </c>
      <c r="EN18">
        <v>39.686999999999998</v>
      </c>
      <c r="EO18">
        <v>39.75</v>
      </c>
      <c r="EP18">
        <v>41.051666666666698</v>
      </c>
      <c r="EQ18">
        <v>1454.66166666667</v>
      </c>
      <c r="ER18">
        <v>40.36</v>
      </c>
      <c r="ES18">
        <v>0</v>
      </c>
      <c r="ET18">
        <v>2224</v>
      </c>
      <c r="EU18">
        <v>0</v>
      </c>
      <c r="EV18">
        <v>300.94531999999998</v>
      </c>
      <c r="EW18">
        <v>0.23353846320733301</v>
      </c>
      <c r="EX18">
        <v>-7.6030769095184398</v>
      </c>
      <c r="EY18">
        <v>4639.9444000000003</v>
      </c>
      <c r="EZ18">
        <v>15</v>
      </c>
      <c r="FA18">
        <v>1792118419.0999999</v>
      </c>
      <c r="FB18" t="s">
        <v>424</v>
      </c>
      <c r="FC18">
        <v>1792118416.0999999</v>
      </c>
      <c r="FD18">
        <v>1792118419.0999999</v>
      </c>
      <c r="FE18">
        <v>22</v>
      </c>
      <c r="FF18">
        <v>-0.19800000000000001</v>
      </c>
      <c r="FG18">
        <v>-1E-3</v>
      </c>
      <c r="FH18">
        <v>0.754</v>
      </c>
      <c r="FI18">
        <v>-0.2</v>
      </c>
      <c r="FJ18">
        <v>300</v>
      </c>
      <c r="FK18">
        <v>15</v>
      </c>
      <c r="FL18">
        <v>0.25</v>
      </c>
      <c r="FM18">
        <v>0.03</v>
      </c>
      <c r="FN18">
        <v>14.948484384834099</v>
      </c>
      <c r="FO18">
        <v>0.20484962386838701</v>
      </c>
      <c r="FP18">
        <v>9.9318486847504397E-2</v>
      </c>
      <c r="FQ18">
        <v>1</v>
      </c>
      <c r="FR18">
        <v>-6.6486628571428597</v>
      </c>
      <c r="FS18">
        <v>-8.43514285714312E-2</v>
      </c>
      <c r="FT18">
        <v>4.00341889773582E-2</v>
      </c>
      <c r="FU18">
        <v>1</v>
      </c>
      <c r="FV18">
        <v>300.93252941176502</v>
      </c>
      <c r="FW18">
        <v>-8.1680675909630601E-2</v>
      </c>
      <c r="FX18">
        <v>0.21684261509948699</v>
      </c>
      <c r="FY18">
        <v>-1</v>
      </c>
      <c r="FZ18">
        <v>2</v>
      </c>
      <c r="GA18">
        <v>2</v>
      </c>
      <c r="GB18" t="s">
        <v>418</v>
      </c>
      <c r="GC18">
        <v>3.1235400000000002</v>
      </c>
      <c r="GD18">
        <v>2.7652399999999999</v>
      </c>
      <c r="GE18">
        <v>6.9392099999999998E-2</v>
      </c>
      <c r="GF18">
        <v>7.2548600000000005E-2</v>
      </c>
      <c r="GG18">
        <v>9.4671699999999998E-2</v>
      </c>
      <c r="GH18">
        <v>8.8890999999999998E-2</v>
      </c>
      <c r="GI18">
        <v>18211.7</v>
      </c>
      <c r="GJ18">
        <v>27317</v>
      </c>
      <c r="GK18">
        <v>22861.3</v>
      </c>
      <c r="GL18">
        <v>30175.9</v>
      </c>
      <c r="GM18">
        <v>33934</v>
      </c>
      <c r="GN18">
        <v>34228.199999999997</v>
      </c>
      <c r="GO18">
        <v>43245.2</v>
      </c>
      <c r="GP18">
        <v>42952</v>
      </c>
      <c r="GQ18">
        <v>1.9883999999999999</v>
      </c>
      <c r="GR18">
        <v>1.8515999999999999</v>
      </c>
      <c r="GS18">
        <v>8.8103100000000004E-2</v>
      </c>
      <c r="GT18">
        <v>0</v>
      </c>
      <c r="GU18">
        <v>23.568100000000001</v>
      </c>
      <c r="GV18">
        <v>999.9</v>
      </c>
      <c r="GW18">
        <v>45.445999999999998</v>
      </c>
      <c r="GX18">
        <v>31.138999999999999</v>
      </c>
      <c r="GY18">
        <v>20.302800000000001</v>
      </c>
      <c r="GZ18">
        <v>63.432299999999998</v>
      </c>
      <c r="HA18">
        <v>37.183500000000002</v>
      </c>
      <c r="HB18">
        <v>1</v>
      </c>
      <c r="HC18">
        <v>-4.0015200000000001E-2</v>
      </c>
      <c r="HD18">
        <v>1.23569</v>
      </c>
      <c r="HE18">
        <v>20.1555</v>
      </c>
      <c r="HF18">
        <v>5.23346</v>
      </c>
      <c r="HG18">
        <v>11.962</v>
      </c>
      <c r="HH18">
        <v>4.9690000000000003</v>
      </c>
      <c r="HI18">
        <v>3.2949999999999999</v>
      </c>
      <c r="HJ18">
        <v>9999</v>
      </c>
      <c r="HK18">
        <v>999.9</v>
      </c>
      <c r="HL18">
        <v>9999</v>
      </c>
      <c r="HM18">
        <v>9999</v>
      </c>
      <c r="HN18">
        <v>4.9695099999999996</v>
      </c>
      <c r="HO18">
        <v>1.8635699999999999</v>
      </c>
      <c r="HP18">
        <v>1.8651199999999999</v>
      </c>
      <c r="HQ18">
        <v>1.86703</v>
      </c>
      <c r="HR18">
        <v>1.86402</v>
      </c>
      <c r="HS18">
        <v>1.86768</v>
      </c>
      <c r="HT18">
        <v>1.8644799999999999</v>
      </c>
      <c r="HU18">
        <v>1.8663799999999999</v>
      </c>
      <c r="HV18">
        <v>0</v>
      </c>
      <c r="HW18">
        <v>0</v>
      </c>
      <c r="HX18">
        <v>0</v>
      </c>
      <c r="HY18">
        <v>0</v>
      </c>
      <c r="HZ18" t="s">
        <v>419</v>
      </c>
      <c r="IA18" t="s">
        <v>420</v>
      </c>
      <c r="IB18" t="s">
        <v>421</v>
      </c>
      <c r="IC18" t="s">
        <v>421</v>
      </c>
      <c r="ID18" t="s">
        <v>421</v>
      </c>
      <c r="IE18" t="s">
        <v>421</v>
      </c>
      <c r="IF18">
        <v>0</v>
      </c>
      <c r="IG18">
        <v>100</v>
      </c>
      <c r="IH18">
        <v>100</v>
      </c>
      <c r="II18">
        <v>0.751</v>
      </c>
      <c r="IJ18">
        <v>-0.1163</v>
      </c>
      <c r="IK18">
        <v>0.66608900147570504</v>
      </c>
      <c r="IL18">
        <v>2.16929631606078E-4</v>
      </c>
      <c r="IM18">
        <v>2.7226302473163502E-7</v>
      </c>
      <c r="IN18">
        <v>-5.4379205123515401E-11</v>
      </c>
      <c r="IO18">
        <v>-3.52707420806277E-2</v>
      </c>
      <c r="IP18">
        <v>-5.8443384954566899E-2</v>
      </c>
      <c r="IQ18">
        <v>3.41568706061026E-3</v>
      </c>
      <c r="IR18">
        <v>-2.10952612506686E-5</v>
      </c>
      <c r="IS18">
        <v>0</v>
      </c>
      <c r="IT18">
        <v>1734</v>
      </c>
      <c r="IU18">
        <v>2</v>
      </c>
      <c r="IV18">
        <v>19</v>
      </c>
      <c r="IW18">
        <v>1.1000000000000001</v>
      </c>
      <c r="IX18">
        <v>1</v>
      </c>
      <c r="IY18">
        <v>0.85082999999999998</v>
      </c>
      <c r="IZ18">
        <v>2.5598100000000001</v>
      </c>
      <c r="JA18">
        <v>1.3464400000000001</v>
      </c>
      <c r="JB18">
        <v>2.2570800000000002</v>
      </c>
      <c r="JC18">
        <v>1.5502899999999999</v>
      </c>
      <c r="JD18">
        <v>2.4658199999999999</v>
      </c>
      <c r="JE18">
        <v>37.361800000000002</v>
      </c>
      <c r="JF18">
        <v>23.903600000000001</v>
      </c>
      <c r="JG18">
        <v>18</v>
      </c>
      <c r="JH18">
        <v>497.97699999999998</v>
      </c>
      <c r="JI18">
        <v>489.38400000000001</v>
      </c>
      <c r="JJ18">
        <v>22.593299999999999</v>
      </c>
      <c r="JK18">
        <v>26.648399999999999</v>
      </c>
      <c r="JL18">
        <v>30.000499999999999</v>
      </c>
      <c r="JM18">
        <v>26.621700000000001</v>
      </c>
      <c r="JN18">
        <v>26.629799999999999</v>
      </c>
      <c r="JO18">
        <v>17.033999999999999</v>
      </c>
      <c r="JP18">
        <v>35.313299999999998</v>
      </c>
      <c r="JQ18">
        <v>70.701300000000003</v>
      </c>
      <c r="JR18">
        <v>22.573399999999999</v>
      </c>
      <c r="JS18">
        <v>300</v>
      </c>
      <c r="JT18">
        <v>15.338800000000001</v>
      </c>
      <c r="JU18">
        <v>102.121</v>
      </c>
      <c r="JV18">
        <v>97.558800000000005</v>
      </c>
    </row>
    <row r="19" spans="1:282" x14ac:dyDescent="0.3">
      <c r="A19">
        <v>3</v>
      </c>
      <c r="B19">
        <v>1792118600.0999999</v>
      </c>
      <c r="C19">
        <v>247</v>
      </c>
      <c r="D19" t="s">
        <v>425</v>
      </c>
      <c r="E19" t="s">
        <v>426</v>
      </c>
      <c r="F19">
        <v>5</v>
      </c>
      <c r="G19">
        <v>1792118596.5999999</v>
      </c>
      <c r="H19">
        <f t="shared" si="0"/>
        <v>5.7877158931327315E-3</v>
      </c>
      <c r="I19">
        <f t="shared" si="1"/>
        <v>5.7877158931327317</v>
      </c>
      <c r="J19">
        <f t="shared" si="2"/>
        <v>9.0176760192669398</v>
      </c>
      <c r="K19">
        <f t="shared" si="3"/>
        <v>195.93366666666699</v>
      </c>
      <c r="L19">
        <f t="shared" si="4"/>
        <v>157.65789659349343</v>
      </c>
      <c r="M19">
        <f t="shared" si="5"/>
        <v>16.062322997269089</v>
      </c>
      <c r="N19">
        <f t="shared" si="6"/>
        <v>19.961891589571952</v>
      </c>
      <c r="O19">
        <f t="shared" si="7"/>
        <v>0.44906947023449406</v>
      </c>
      <c r="P19">
        <f t="shared" si="8"/>
        <v>3.039725257276217</v>
      </c>
      <c r="Q19">
        <f t="shared" si="9"/>
        <v>0.41520205479341726</v>
      </c>
      <c r="R19">
        <f t="shared" si="10"/>
        <v>0.26233096696031177</v>
      </c>
      <c r="S19">
        <f t="shared" si="11"/>
        <v>241.73232100292867</v>
      </c>
      <c r="T19">
        <f t="shared" si="12"/>
        <v>25.281798486690079</v>
      </c>
      <c r="U19">
        <f t="shared" si="13"/>
        <v>24.9769166666667</v>
      </c>
      <c r="V19">
        <f t="shared" si="14"/>
        <v>3.1753043246999493</v>
      </c>
      <c r="W19">
        <f t="shared" si="15"/>
        <v>55.097037562979743</v>
      </c>
      <c r="X19">
        <f t="shared" si="16"/>
        <v>1.7897394706158176</v>
      </c>
      <c r="Y19">
        <f t="shared" si="17"/>
        <v>3.2483406545588247</v>
      </c>
      <c r="Z19">
        <f t="shared" si="18"/>
        <v>1.3855648540841317</v>
      </c>
      <c r="AA19">
        <f t="shared" si="19"/>
        <v>-255.23827088715345</v>
      </c>
      <c r="AB19">
        <f t="shared" si="20"/>
        <v>62.587612730495323</v>
      </c>
      <c r="AC19">
        <f t="shared" si="21"/>
        <v>4.3626260776320329</v>
      </c>
      <c r="AD19">
        <f t="shared" si="22"/>
        <v>53.444288923902576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54095.427385951494</v>
      </c>
      <c r="AJ19" t="s">
        <v>415</v>
      </c>
      <c r="AK19" t="s">
        <v>415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415</v>
      </c>
      <c r="AQ19" t="s">
        <v>415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1261.1869994833853</v>
      </c>
      <c r="AW19">
        <f t="shared" si="29"/>
        <v>9.0176760192669398</v>
      </c>
      <c r="AX19" t="e">
        <f t="shared" si="30"/>
        <v>#DIV/0!</v>
      </c>
      <c r="AY19">
        <f t="shared" si="31"/>
        <v>7.1501498373839978E-3</v>
      </c>
      <c r="AZ19" t="e">
        <f t="shared" si="32"/>
        <v>#DIV/0!</v>
      </c>
      <c r="BA19" t="e">
        <f t="shared" si="33"/>
        <v>#DIV/0!</v>
      </c>
      <c r="BB19" t="s">
        <v>415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BL19">
        <v>1093</v>
      </c>
      <c r="BM19">
        <v>290</v>
      </c>
      <c r="BN19">
        <v>868.3</v>
      </c>
      <c r="BO19">
        <v>175</v>
      </c>
      <c r="BP19">
        <v>8133.33</v>
      </c>
      <c r="BQ19">
        <v>864.45</v>
      </c>
      <c r="BR19">
        <v>3.85</v>
      </c>
      <c r="BS19">
        <v>300</v>
      </c>
      <c r="BT19">
        <v>19.3</v>
      </c>
      <c r="BU19">
        <v>892.61927249853704</v>
      </c>
      <c r="BV19">
        <v>1.9163428110965599</v>
      </c>
      <c r="BW19">
        <v>-22.907362864973301</v>
      </c>
      <c r="BX19">
        <v>1.3922767505624201</v>
      </c>
      <c r="BY19">
        <v>0.90626257319928905</v>
      </c>
      <c r="BZ19">
        <v>-5.39184204671857E-3</v>
      </c>
      <c r="CA19">
        <v>290</v>
      </c>
      <c r="CB19">
        <v>854.97</v>
      </c>
      <c r="CC19">
        <v>615</v>
      </c>
      <c r="CD19">
        <v>8117.95</v>
      </c>
      <c r="CE19">
        <v>864.4</v>
      </c>
      <c r="CF19">
        <v>-9.43</v>
      </c>
      <c r="CT19">
        <f t="shared" si="42"/>
        <v>1499.97166666667</v>
      </c>
      <c r="CU19">
        <f t="shared" si="43"/>
        <v>1261.1869994833853</v>
      </c>
      <c r="CV19">
        <f t="shared" si="44"/>
        <v>0.84080721490298094</v>
      </c>
      <c r="CW19">
        <f t="shared" si="45"/>
        <v>0.16115792476275317</v>
      </c>
      <c r="CX19">
        <v>2</v>
      </c>
      <c r="CY19">
        <v>0.5</v>
      </c>
      <c r="CZ19" t="s">
        <v>416</v>
      </c>
      <c r="DA19">
        <v>2</v>
      </c>
      <c r="DB19">
        <v>1792118596.5999999</v>
      </c>
      <c r="DC19">
        <v>195.93366666666699</v>
      </c>
      <c r="DD19">
        <v>199.994666666667</v>
      </c>
      <c r="DE19">
        <v>17.566983333333301</v>
      </c>
      <c r="DF19">
        <v>15.2923833333333</v>
      </c>
      <c r="DG19">
        <v>195.38366666666701</v>
      </c>
      <c r="DH19">
        <v>17.686766666666699</v>
      </c>
      <c r="DI19">
        <v>499.95983333333299</v>
      </c>
      <c r="DJ19">
        <v>101.78100000000001</v>
      </c>
      <c r="DK19">
        <v>9.9865750000000003E-2</v>
      </c>
      <c r="DL19">
        <v>25.358833333333301</v>
      </c>
      <c r="DM19">
        <v>24.9769166666667</v>
      </c>
      <c r="DN19">
        <v>999.9</v>
      </c>
      <c r="DO19">
        <v>0</v>
      </c>
      <c r="DP19">
        <v>0</v>
      </c>
      <c r="DQ19">
        <v>9996.2383333333291</v>
      </c>
      <c r="DR19">
        <v>0</v>
      </c>
      <c r="DS19">
        <v>6.5453916666666698</v>
      </c>
      <c r="DT19">
        <v>-4.0607949999999997</v>
      </c>
      <c r="DU19">
        <v>199.43733333333299</v>
      </c>
      <c r="DV19">
        <v>203.10050000000001</v>
      </c>
      <c r="DW19">
        <v>2.2746149999999998</v>
      </c>
      <c r="DX19">
        <v>199.994666666667</v>
      </c>
      <c r="DY19">
        <v>15.2923833333333</v>
      </c>
      <c r="DZ19">
        <v>1.7879833333333299</v>
      </c>
      <c r="EA19">
        <v>1.55647166666667</v>
      </c>
      <c r="EB19">
        <v>15.68215</v>
      </c>
      <c r="EC19">
        <v>13.5344833333333</v>
      </c>
      <c r="ED19">
        <v>1499.97166666667</v>
      </c>
      <c r="EE19">
        <v>0.97300033333333302</v>
      </c>
      <c r="EF19">
        <v>2.6999749999999999E-2</v>
      </c>
      <c r="EG19">
        <v>0</v>
      </c>
      <c r="EH19">
        <v>299.21983333333299</v>
      </c>
      <c r="EI19">
        <v>5.0006399999999998</v>
      </c>
      <c r="EJ19">
        <v>4613.1433333333298</v>
      </c>
      <c r="EK19">
        <v>15438.95</v>
      </c>
      <c r="EL19">
        <v>39.436999999999998</v>
      </c>
      <c r="EM19">
        <v>40.093499999999999</v>
      </c>
      <c r="EN19">
        <v>39.75</v>
      </c>
      <c r="EO19">
        <v>39.7603333333333</v>
      </c>
      <c r="EP19">
        <v>41.061999999999998</v>
      </c>
      <c r="EQ19">
        <v>1454.6116666666701</v>
      </c>
      <c r="ER19">
        <v>40.36</v>
      </c>
      <c r="ES19">
        <v>0</v>
      </c>
      <c r="ET19">
        <v>2344.5999999046298</v>
      </c>
      <c r="EU19">
        <v>0</v>
      </c>
      <c r="EV19">
        <v>299.20061538461499</v>
      </c>
      <c r="EW19">
        <v>-0.79241025973993295</v>
      </c>
      <c r="EX19">
        <v>-8.2700854816308595</v>
      </c>
      <c r="EY19">
        <v>4613.7684615384596</v>
      </c>
      <c r="EZ19">
        <v>15</v>
      </c>
      <c r="FA19">
        <v>1792118552.0999999</v>
      </c>
      <c r="FB19" t="s">
        <v>427</v>
      </c>
      <c r="FC19">
        <v>1792118548.0999999</v>
      </c>
      <c r="FD19">
        <v>1792118552.0999999</v>
      </c>
      <c r="FE19">
        <v>23</v>
      </c>
      <c r="FF19">
        <v>-0.16800000000000001</v>
      </c>
      <c r="FG19">
        <v>-3.0000000000000001E-3</v>
      </c>
      <c r="FH19">
        <v>0.55100000000000005</v>
      </c>
      <c r="FI19">
        <v>-0.2</v>
      </c>
      <c r="FJ19">
        <v>200</v>
      </c>
      <c r="FK19">
        <v>15</v>
      </c>
      <c r="FL19">
        <v>0.28999999999999998</v>
      </c>
      <c r="FM19">
        <v>0.03</v>
      </c>
      <c r="FN19">
        <v>8.9933187170762405</v>
      </c>
      <c r="FO19">
        <v>0.19108937602199999</v>
      </c>
      <c r="FP19">
        <v>6.06774086528825E-2</v>
      </c>
      <c r="FQ19">
        <v>1</v>
      </c>
      <c r="FR19">
        <v>-4.0599530000000001</v>
      </c>
      <c r="FS19">
        <v>-9.7759398496350906E-3</v>
      </c>
      <c r="FT19">
        <v>2.2791607468539799E-2</v>
      </c>
      <c r="FU19">
        <v>1</v>
      </c>
      <c r="FV19">
        <v>299.26364705882401</v>
      </c>
      <c r="FW19">
        <v>-1.0757830414245599</v>
      </c>
      <c r="FX19">
        <v>0.20937538514140899</v>
      </c>
      <c r="FY19">
        <v>-1</v>
      </c>
      <c r="FZ19">
        <v>2</v>
      </c>
      <c r="GA19">
        <v>2</v>
      </c>
      <c r="GB19" t="s">
        <v>418</v>
      </c>
      <c r="GC19">
        <v>3.1233900000000001</v>
      </c>
      <c r="GD19">
        <v>2.7652700000000001</v>
      </c>
      <c r="GE19">
        <v>4.9365800000000001E-2</v>
      </c>
      <c r="GF19">
        <v>5.1629599999999998E-2</v>
      </c>
      <c r="GG19">
        <v>9.4589900000000005E-2</v>
      </c>
      <c r="GH19">
        <v>8.8475200000000004E-2</v>
      </c>
      <c r="GI19">
        <v>18602.2</v>
      </c>
      <c r="GJ19">
        <v>27931.3</v>
      </c>
      <c r="GK19">
        <v>22859.5</v>
      </c>
      <c r="GL19">
        <v>30173.599999999999</v>
      </c>
      <c r="GM19">
        <v>33933.699999999997</v>
      </c>
      <c r="GN19">
        <v>34240.699999999997</v>
      </c>
      <c r="GO19">
        <v>43242.2</v>
      </c>
      <c r="GP19">
        <v>42949.7</v>
      </c>
      <c r="GQ19">
        <v>1.9876</v>
      </c>
      <c r="GR19">
        <v>1.8504499999999999</v>
      </c>
      <c r="GS19">
        <v>8.6948300000000006E-2</v>
      </c>
      <c r="GT19">
        <v>0</v>
      </c>
      <c r="GU19">
        <v>23.565100000000001</v>
      </c>
      <c r="GV19">
        <v>999.9</v>
      </c>
      <c r="GW19">
        <v>45.067999999999998</v>
      </c>
      <c r="GX19">
        <v>31.209</v>
      </c>
      <c r="GY19">
        <v>20.215299999999999</v>
      </c>
      <c r="GZ19">
        <v>63.332299999999996</v>
      </c>
      <c r="HA19">
        <v>37.339700000000001</v>
      </c>
      <c r="HB19">
        <v>1</v>
      </c>
      <c r="HC19">
        <v>-3.8185999999999998E-2</v>
      </c>
      <c r="HD19">
        <v>1.05894</v>
      </c>
      <c r="HE19">
        <v>20.157800000000002</v>
      </c>
      <c r="HF19">
        <v>5.2340600000000004</v>
      </c>
      <c r="HG19">
        <v>11.962</v>
      </c>
      <c r="HH19">
        <v>4.9679000000000002</v>
      </c>
      <c r="HI19">
        <v>3.2949999999999999</v>
      </c>
      <c r="HJ19">
        <v>9999</v>
      </c>
      <c r="HK19">
        <v>999.9</v>
      </c>
      <c r="HL19">
        <v>9999</v>
      </c>
      <c r="HM19">
        <v>9999</v>
      </c>
      <c r="HN19">
        <v>4.9694099999999999</v>
      </c>
      <c r="HO19">
        <v>1.8635600000000001</v>
      </c>
      <c r="HP19">
        <v>1.8650800000000001</v>
      </c>
      <c r="HQ19">
        <v>1.86693</v>
      </c>
      <c r="HR19">
        <v>1.8640099999999999</v>
      </c>
      <c r="HS19">
        <v>1.8676900000000001</v>
      </c>
      <c r="HT19">
        <v>1.8644700000000001</v>
      </c>
      <c r="HU19">
        <v>1.86635</v>
      </c>
      <c r="HV19">
        <v>0</v>
      </c>
      <c r="HW19">
        <v>0</v>
      </c>
      <c r="HX19">
        <v>0</v>
      </c>
      <c r="HY19">
        <v>0</v>
      </c>
      <c r="HZ19" t="s">
        <v>419</v>
      </c>
      <c r="IA19" t="s">
        <v>420</v>
      </c>
      <c r="IB19" t="s">
        <v>421</v>
      </c>
      <c r="IC19" t="s">
        <v>421</v>
      </c>
      <c r="ID19" t="s">
        <v>421</v>
      </c>
      <c r="IE19" t="s">
        <v>421</v>
      </c>
      <c r="IF19">
        <v>0</v>
      </c>
      <c r="IG19">
        <v>100</v>
      </c>
      <c r="IH19">
        <v>100</v>
      </c>
      <c r="II19">
        <v>0.55000000000000004</v>
      </c>
      <c r="IJ19">
        <v>-0.1197</v>
      </c>
      <c r="IK19">
        <v>0.49765311633679898</v>
      </c>
      <c r="IL19">
        <v>2.16929631606078E-4</v>
      </c>
      <c r="IM19">
        <v>2.7226302473163502E-7</v>
      </c>
      <c r="IN19">
        <v>-5.4379205123515401E-11</v>
      </c>
      <c r="IO19">
        <v>-3.7892141510263599E-2</v>
      </c>
      <c r="IP19">
        <v>-5.8443384954566899E-2</v>
      </c>
      <c r="IQ19">
        <v>3.41568706061026E-3</v>
      </c>
      <c r="IR19">
        <v>-2.10952612506686E-5</v>
      </c>
      <c r="IS19">
        <v>0</v>
      </c>
      <c r="IT19">
        <v>1734</v>
      </c>
      <c r="IU19">
        <v>2</v>
      </c>
      <c r="IV19">
        <v>19</v>
      </c>
      <c r="IW19">
        <v>0.9</v>
      </c>
      <c r="IX19">
        <v>0.8</v>
      </c>
      <c r="IY19">
        <v>0.63598600000000005</v>
      </c>
      <c r="IZ19">
        <v>2.5537100000000001</v>
      </c>
      <c r="JA19">
        <v>1.3464400000000001</v>
      </c>
      <c r="JB19">
        <v>2.2570800000000002</v>
      </c>
      <c r="JC19">
        <v>1.5502899999999999</v>
      </c>
      <c r="JD19">
        <v>2.50244</v>
      </c>
      <c r="JE19">
        <v>37.361800000000002</v>
      </c>
      <c r="JF19">
        <v>23.912400000000002</v>
      </c>
      <c r="JG19">
        <v>18</v>
      </c>
      <c r="JH19">
        <v>497.73599999999999</v>
      </c>
      <c r="JI19">
        <v>488.83100000000002</v>
      </c>
      <c r="JJ19">
        <v>22.559899999999999</v>
      </c>
      <c r="JK19">
        <v>26.681100000000001</v>
      </c>
      <c r="JL19">
        <v>30.0001</v>
      </c>
      <c r="JM19">
        <v>26.650300000000001</v>
      </c>
      <c r="JN19">
        <v>26.6571</v>
      </c>
      <c r="JO19">
        <v>12.749599999999999</v>
      </c>
      <c r="JP19">
        <v>35.383899999999997</v>
      </c>
      <c r="JQ19">
        <v>69.580200000000005</v>
      </c>
      <c r="JR19">
        <v>22.580200000000001</v>
      </c>
      <c r="JS19">
        <v>200</v>
      </c>
      <c r="JT19">
        <v>15.3024</v>
      </c>
      <c r="JU19">
        <v>102.114</v>
      </c>
      <c r="JV19">
        <v>97.552700000000002</v>
      </c>
    </row>
    <row r="20" spans="1:282" x14ac:dyDescent="0.3">
      <c r="A20">
        <v>4</v>
      </c>
      <c r="B20">
        <v>1792118721.0999999</v>
      </c>
      <c r="C20">
        <v>368</v>
      </c>
      <c r="D20" t="s">
        <v>428</v>
      </c>
      <c r="E20" t="s">
        <v>429</v>
      </c>
      <c r="F20">
        <v>5</v>
      </c>
      <c r="G20">
        <v>1792118717.5999999</v>
      </c>
      <c r="H20">
        <f t="shared" si="0"/>
        <v>5.8796351544404225E-3</v>
      </c>
      <c r="I20">
        <f t="shared" si="1"/>
        <v>5.8796351544404226</v>
      </c>
      <c r="J20">
        <f t="shared" si="2"/>
        <v>2.327426162287054</v>
      </c>
      <c r="K20">
        <f t="shared" si="3"/>
        <v>98.835300000000004</v>
      </c>
      <c r="L20">
        <f t="shared" si="4"/>
        <v>88.007036826093241</v>
      </c>
      <c r="M20">
        <f t="shared" si="5"/>
        <v>8.9657656501580565</v>
      </c>
      <c r="N20">
        <f t="shared" si="6"/>
        <v>10.068900962023259</v>
      </c>
      <c r="O20">
        <f t="shared" si="7"/>
        <v>0.45518203746132735</v>
      </c>
      <c r="P20">
        <f t="shared" si="8"/>
        <v>3.0397241203181533</v>
      </c>
      <c r="Q20">
        <f t="shared" si="9"/>
        <v>0.42042457680364509</v>
      </c>
      <c r="R20">
        <f t="shared" si="10"/>
        <v>0.26566666343956324</v>
      </c>
      <c r="S20">
        <f t="shared" si="11"/>
        <v>241.73605019595476</v>
      </c>
      <c r="T20">
        <f t="shared" si="12"/>
        <v>25.249781438029331</v>
      </c>
      <c r="U20">
        <f t="shared" si="13"/>
        <v>25.0273</v>
      </c>
      <c r="V20">
        <f t="shared" si="14"/>
        <v>3.1848565188852964</v>
      </c>
      <c r="W20">
        <f t="shared" si="15"/>
        <v>55.286710727740818</v>
      </c>
      <c r="X20">
        <f t="shared" si="16"/>
        <v>1.7949487853016031</v>
      </c>
      <c r="Y20">
        <f t="shared" si="17"/>
        <v>3.2466188740017849</v>
      </c>
      <c r="Z20">
        <f t="shared" si="18"/>
        <v>1.3899077335836933</v>
      </c>
      <c r="AA20">
        <f t="shared" si="19"/>
        <v>-259.29191031082263</v>
      </c>
      <c r="AB20">
        <f t="shared" si="20"/>
        <v>52.869647238935265</v>
      </c>
      <c r="AC20">
        <f t="shared" si="21"/>
        <v>3.6860118096759567</v>
      </c>
      <c r="AD20">
        <f t="shared" si="22"/>
        <v>38.999798933743357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54096.889223176411</v>
      </c>
      <c r="AJ20" t="s">
        <v>415</v>
      </c>
      <c r="AK20" t="s">
        <v>415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415</v>
      </c>
      <c r="AQ20" t="s">
        <v>415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1261.2066021740698</v>
      </c>
      <c r="AW20">
        <f t="shared" si="29"/>
        <v>2.327426162287054</v>
      </c>
      <c r="AX20" t="e">
        <f t="shared" si="30"/>
        <v>#DIV/0!</v>
      </c>
      <c r="AY20">
        <f t="shared" si="31"/>
        <v>1.8453964309059542E-3</v>
      </c>
      <c r="AZ20" t="e">
        <f t="shared" si="32"/>
        <v>#DIV/0!</v>
      </c>
      <c r="BA20" t="e">
        <f t="shared" si="33"/>
        <v>#DIV/0!</v>
      </c>
      <c r="BB20" t="s">
        <v>415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BL20">
        <v>1093</v>
      </c>
      <c r="BM20">
        <v>290</v>
      </c>
      <c r="BN20">
        <v>868.3</v>
      </c>
      <c r="BO20">
        <v>175</v>
      </c>
      <c r="BP20">
        <v>8133.33</v>
      </c>
      <c r="BQ20">
        <v>864.45</v>
      </c>
      <c r="BR20">
        <v>3.85</v>
      </c>
      <c r="BS20">
        <v>300</v>
      </c>
      <c r="BT20">
        <v>19.3</v>
      </c>
      <c r="BU20">
        <v>892.61927249853704</v>
      </c>
      <c r="BV20">
        <v>1.9163428110965599</v>
      </c>
      <c r="BW20">
        <v>-22.907362864973301</v>
      </c>
      <c r="BX20">
        <v>1.3922767505624201</v>
      </c>
      <c r="BY20">
        <v>0.90626257319928905</v>
      </c>
      <c r="BZ20">
        <v>-5.39184204671857E-3</v>
      </c>
      <c r="CA20">
        <v>290</v>
      </c>
      <c r="CB20">
        <v>854.97</v>
      </c>
      <c r="CC20">
        <v>615</v>
      </c>
      <c r="CD20">
        <v>8117.95</v>
      </c>
      <c r="CE20">
        <v>864.4</v>
      </c>
      <c r="CF20">
        <v>-9.43</v>
      </c>
      <c r="CT20">
        <f t="shared" si="42"/>
        <v>1499.9949999999999</v>
      </c>
      <c r="CU20">
        <f t="shared" si="43"/>
        <v>1261.2066021740698</v>
      </c>
      <c r="CV20">
        <f t="shared" si="44"/>
        <v>0.84080720414006038</v>
      </c>
      <c r="CW20">
        <f t="shared" si="45"/>
        <v>0.16115790399031649</v>
      </c>
      <c r="CX20">
        <v>2</v>
      </c>
      <c r="CY20">
        <v>0.5</v>
      </c>
      <c r="CZ20" t="s">
        <v>416</v>
      </c>
      <c r="DA20">
        <v>2</v>
      </c>
      <c r="DB20">
        <v>1792118717.5999999</v>
      </c>
      <c r="DC20">
        <v>98.835300000000004</v>
      </c>
      <c r="DD20">
        <v>99.998716666666695</v>
      </c>
      <c r="DE20">
        <v>17.619033333333299</v>
      </c>
      <c r="DF20">
        <v>15.308616666666699</v>
      </c>
      <c r="DG20">
        <v>98.577866666666694</v>
      </c>
      <c r="DH20">
        <v>17.737833333333299</v>
      </c>
      <c r="DI20">
        <v>500</v>
      </c>
      <c r="DJ20">
        <v>101.77549999999999</v>
      </c>
      <c r="DK20">
        <v>0.1000542</v>
      </c>
      <c r="DL20">
        <v>25.349916666666701</v>
      </c>
      <c r="DM20">
        <v>25.0273</v>
      </c>
      <c r="DN20">
        <v>999.9</v>
      </c>
      <c r="DO20">
        <v>0</v>
      </c>
      <c r="DP20">
        <v>0</v>
      </c>
      <c r="DQ20">
        <v>9996.7716666666693</v>
      </c>
      <c r="DR20">
        <v>0</v>
      </c>
      <c r="DS20">
        <v>6.6017700000000001</v>
      </c>
      <c r="DT20">
        <v>-1.1633466666666701</v>
      </c>
      <c r="DU20">
        <v>100.60783333333301</v>
      </c>
      <c r="DV20">
        <v>101.5535</v>
      </c>
      <c r="DW20">
        <v>2.3104316666666702</v>
      </c>
      <c r="DX20">
        <v>99.998716666666695</v>
      </c>
      <c r="DY20">
        <v>15.308616666666699</v>
      </c>
      <c r="DZ20">
        <v>1.79318166666667</v>
      </c>
      <c r="EA20">
        <v>1.5580383333333301</v>
      </c>
      <c r="EB20">
        <v>15.7274833333333</v>
      </c>
      <c r="EC20">
        <v>13.5499166666667</v>
      </c>
      <c r="ED20">
        <v>1499.9949999999999</v>
      </c>
      <c r="EE20">
        <v>0.97300033333333302</v>
      </c>
      <c r="EF20">
        <v>2.6999749999999999E-2</v>
      </c>
      <c r="EG20">
        <v>0</v>
      </c>
      <c r="EH20">
        <v>301.90483333333299</v>
      </c>
      <c r="EI20">
        <v>5.0006399999999998</v>
      </c>
      <c r="EJ20">
        <v>4651.26</v>
      </c>
      <c r="EK20">
        <v>15439.166666666701</v>
      </c>
      <c r="EL20">
        <v>39.478999999999999</v>
      </c>
      <c r="EM20">
        <v>40.125</v>
      </c>
      <c r="EN20">
        <v>39.770666666666699</v>
      </c>
      <c r="EO20">
        <v>39.791333333333299</v>
      </c>
      <c r="EP20">
        <v>41.1145</v>
      </c>
      <c r="EQ20">
        <v>1454.6316666666701</v>
      </c>
      <c r="ER20">
        <v>40.36</v>
      </c>
      <c r="ES20">
        <v>0</v>
      </c>
      <c r="ET20">
        <v>2465.7999999523199</v>
      </c>
      <c r="EU20">
        <v>0</v>
      </c>
      <c r="EV20">
        <v>301.82646153846201</v>
      </c>
      <c r="EW20">
        <v>0.60068375836565002</v>
      </c>
      <c r="EX20">
        <v>7.1370940310409496</v>
      </c>
      <c r="EY20">
        <v>4650.6923076923104</v>
      </c>
      <c r="EZ20">
        <v>15</v>
      </c>
      <c r="FA20">
        <v>1792118673.0999999</v>
      </c>
      <c r="FB20" t="s">
        <v>430</v>
      </c>
      <c r="FC20">
        <v>1792118673.0999999</v>
      </c>
      <c r="FD20">
        <v>1792118668.0999999</v>
      </c>
      <c r="FE20">
        <v>24</v>
      </c>
      <c r="FF20">
        <v>-0.26400000000000001</v>
      </c>
      <c r="FG20">
        <v>-1E-3</v>
      </c>
      <c r="FH20">
        <v>0.25800000000000001</v>
      </c>
      <c r="FI20">
        <v>-0.20499999999999999</v>
      </c>
      <c r="FJ20">
        <v>100</v>
      </c>
      <c r="FK20">
        <v>15</v>
      </c>
      <c r="FL20">
        <v>0.15</v>
      </c>
      <c r="FM20">
        <v>0.03</v>
      </c>
      <c r="FN20">
        <v>2.32169312615062</v>
      </c>
      <c r="FO20">
        <v>-1.8697396159134402E-2</v>
      </c>
      <c r="FP20">
        <v>7.2867919878048998E-2</v>
      </c>
      <c r="FQ20">
        <v>1</v>
      </c>
      <c r="FR20">
        <v>-1.1604809523809501</v>
      </c>
      <c r="FS20">
        <v>3.1083896103895801E-2</v>
      </c>
      <c r="FT20">
        <v>2.8986445420930599E-2</v>
      </c>
      <c r="FU20">
        <v>1</v>
      </c>
      <c r="FV20">
        <v>301.79952941176498</v>
      </c>
      <c r="FW20">
        <v>0.32278074734463902</v>
      </c>
      <c r="FX20">
        <v>0.17698175966069499</v>
      </c>
      <c r="FY20">
        <v>-1</v>
      </c>
      <c r="FZ20">
        <v>2</v>
      </c>
      <c r="GA20">
        <v>2</v>
      </c>
      <c r="GB20" t="s">
        <v>418</v>
      </c>
      <c r="GC20">
        <v>3.1235300000000001</v>
      </c>
      <c r="GD20">
        <v>2.7650899999999998</v>
      </c>
      <c r="GE20">
        <v>2.6461700000000001E-2</v>
      </c>
      <c r="GF20">
        <v>2.75327E-2</v>
      </c>
      <c r="GG20">
        <v>9.4773099999999999E-2</v>
      </c>
      <c r="GH20">
        <v>8.8507500000000003E-2</v>
      </c>
      <c r="GI20">
        <v>19049.3</v>
      </c>
      <c r="GJ20">
        <v>28641.1</v>
      </c>
      <c r="GK20">
        <v>22858</v>
      </c>
      <c r="GL20">
        <v>30173.200000000001</v>
      </c>
      <c r="GM20">
        <v>33923.199999999997</v>
      </c>
      <c r="GN20">
        <v>34238.1</v>
      </c>
      <c r="GO20">
        <v>43239.6</v>
      </c>
      <c r="GP20">
        <v>42950.1</v>
      </c>
      <c r="GQ20">
        <v>1.9873799999999999</v>
      </c>
      <c r="GR20">
        <v>1.84918</v>
      </c>
      <c r="GS20">
        <v>8.8512900000000005E-2</v>
      </c>
      <c r="GT20">
        <v>0</v>
      </c>
      <c r="GU20">
        <v>23.568100000000001</v>
      </c>
      <c r="GV20">
        <v>999.9</v>
      </c>
      <c r="GW20">
        <v>44.780999999999999</v>
      </c>
      <c r="GX20">
        <v>31.26</v>
      </c>
      <c r="GY20">
        <v>20.146000000000001</v>
      </c>
      <c r="GZ20">
        <v>63.472299999999997</v>
      </c>
      <c r="HA20">
        <v>37.071300000000001</v>
      </c>
      <c r="HB20">
        <v>1</v>
      </c>
      <c r="HC20">
        <v>-3.5228700000000002E-2</v>
      </c>
      <c r="HD20">
        <v>1.3755599999999999</v>
      </c>
      <c r="HE20">
        <v>20.154699999999998</v>
      </c>
      <c r="HF20">
        <v>5.2312200000000004</v>
      </c>
      <c r="HG20">
        <v>11.962</v>
      </c>
      <c r="HH20">
        <v>4.9681499999999996</v>
      </c>
      <c r="HI20">
        <v>3.2949999999999999</v>
      </c>
      <c r="HJ20">
        <v>9999</v>
      </c>
      <c r="HK20">
        <v>999.9</v>
      </c>
      <c r="HL20">
        <v>9999</v>
      </c>
      <c r="HM20">
        <v>9999</v>
      </c>
      <c r="HN20">
        <v>4.9693699999999996</v>
      </c>
      <c r="HO20">
        <v>1.8635600000000001</v>
      </c>
      <c r="HP20">
        <v>1.8650800000000001</v>
      </c>
      <c r="HQ20">
        <v>1.86693</v>
      </c>
      <c r="HR20">
        <v>1.8640000000000001</v>
      </c>
      <c r="HS20">
        <v>1.86768</v>
      </c>
      <c r="HT20">
        <v>1.8644700000000001</v>
      </c>
      <c r="HU20">
        <v>1.86633</v>
      </c>
      <c r="HV20">
        <v>0</v>
      </c>
      <c r="HW20">
        <v>0</v>
      </c>
      <c r="HX20">
        <v>0</v>
      </c>
      <c r="HY20">
        <v>0</v>
      </c>
      <c r="HZ20" t="s">
        <v>419</v>
      </c>
      <c r="IA20" t="s">
        <v>420</v>
      </c>
      <c r="IB20" t="s">
        <v>421</v>
      </c>
      <c r="IC20" t="s">
        <v>421</v>
      </c>
      <c r="ID20" t="s">
        <v>421</v>
      </c>
      <c r="IE20" t="s">
        <v>421</v>
      </c>
      <c r="IF20">
        <v>0</v>
      </c>
      <c r="IG20">
        <v>100</v>
      </c>
      <c r="IH20">
        <v>100</v>
      </c>
      <c r="II20">
        <v>0.25700000000000001</v>
      </c>
      <c r="IJ20">
        <v>-0.1188</v>
      </c>
      <c r="IK20">
        <v>0.23344057699437101</v>
      </c>
      <c r="IL20">
        <v>2.16929631606078E-4</v>
      </c>
      <c r="IM20">
        <v>2.7226302473163502E-7</v>
      </c>
      <c r="IN20">
        <v>-5.4379205123515401E-11</v>
      </c>
      <c r="IO20">
        <v>-3.9086899515015601E-2</v>
      </c>
      <c r="IP20">
        <v>-5.8443384954566899E-2</v>
      </c>
      <c r="IQ20">
        <v>3.41568706061026E-3</v>
      </c>
      <c r="IR20">
        <v>-2.10952612506686E-5</v>
      </c>
      <c r="IS20">
        <v>0</v>
      </c>
      <c r="IT20">
        <v>1734</v>
      </c>
      <c r="IU20">
        <v>2</v>
      </c>
      <c r="IV20">
        <v>19</v>
      </c>
      <c r="IW20">
        <v>0.8</v>
      </c>
      <c r="IX20">
        <v>0.9</v>
      </c>
      <c r="IY20">
        <v>0.41626000000000002</v>
      </c>
      <c r="IZ20">
        <v>2.5756800000000002</v>
      </c>
      <c r="JA20">
        <v>1.3476600000000001</v>
      </c>
      <c r="JB20">
        <v>2.2583000000000002</v>
      </c>
      <c r="JC20">
        <v>1.5502899999999999</v>
      </c>
      <c r="JD20">
        <v>2.5305200000000001</v>
      </c>
      <c r="JE20">
        <v>37.337800000000001</v>
      </c>
      <c r="JF20">
        <v>23.921099999999999</v>
      </c>
      <c r="JG20">
        <v>18</v>
      </c>
      <c r="JH20">
        <v>497.84699999999998</v>
      </c>
      <c r="JI20">
        <v>488.19799999999998</v>
      </c>
      <c r="JJ20">
        <v>22.380500000000001</v>
      </c>
      <c r="JK20">
        <v>26.709399999999999</v>
      </c>
      <c r="JL20">
        <v>30.0001</v>
      </c>
      <c r="JM20">
        <v>26.6783</v>
      </c>
      <c r="JN20">
        <v>26.685099999999998</v>
      </c>
      <c r="JO20">
        <v>8.3410899999999994</v>
      </c>
      <c r="JP20">
        <v>34.963999999999999</v>
      </c>
      <c r="JQ20">
        <v>68.462599999999995</v>
      </c>
      <c r="JR20">
        <v>22.362400000000001</v>
      </c>
      <c r="JS20">
        <v>100</v>
      </c>
      <c r="JT20">
        <v>15.243600000000001</v>
      </c>
      <c r="JU20">
        <v>102.107</v>
      </c>
      <c r="JV20">
        <v>97.552700000000002</v>
      </c>
    </row>
    <row r="21" spans="1:282" x14ac:dyDescent="0.3">
      <c r="A21">
        <v>5</v>
      </c>
      <c r="B21">
        <v>1792118843</v>
      </c>
      <c r="C21">
        <v>489.90000009536698</v>
      </c>
      <c r="D21" t="s">
        <v>431</v>
      </c>
      <c r="E21" t="s">
        <v>432</v>
      </c>
      <c r="F21">
        <v>5</v>
      </c>
      <c r="G21">
        <v>1792118839.5</v>
      </c>
      <c r="H21">
        <f t="shared" si="0"/>
        <v>6.1097900809698865E-3</v>
      </c>
      <c r="I21">
        <f t="shared" si="1"/>
        <v>6.1097900809698862</v>
      </c>
      <c r="J21">
        <f t="shared" si="2"/>
        <v>-1.0233625052569288</v>
      </c>
      <c r="K21">
        <f t="shared" si="3"/>
        <v>50.299916666666697</v>
      </c>
      <c r="L21">
        <f t="shared" si="4"/>
        <v>52.870774673252662</v>
      </c>
      <c r="M21">
        <f t="shared" si="5"/>
        <v>5.3861709829005893</v>
      </c>
      <c r="N21">
        <f t="shared" si="6"/>
        <v>5.1242667289567514</v>
      </c>
      <c r="O21">
        <f t="shared" si="7"/>
        <v>0.47319011712949549</v>
      </c>
      <c r="P21">
        <f t="shared" si="8"/>
        <v>3.0408957359723745</v>
      </c>
      <c r="Q21">
        <f t="shared" si="9"/>
        <v>0.43576242767007439</v>
      </c>
      <c r="R21">
        <f t="shared" si="10"/>
        <v>0.27546712815137575</v>
      </c>
      <c r="S21">
        <f t="shared" si="11"/>
        <v>241.73845458190036</v>
      </c>
      <c r="T21">
        <f t="shared" si="12"/>
        <v>25.186925526451095</v>
      </c>
      <c r="U21">
        <f t="shared" si="13"/>
        <v>25.0032833333333</v>
      </c>
      <c r="V21">
        <f t="shared" si="14"/>
        <v>3.1803000630345934</v>
      </c>
      <c r="W21">
        <f t="shared" si="15"/>
        <v>55.050668931131611</v>
      </c>
      <c r="X21">
        <f t="shared" si="16"/>
        <v>1.7867505526294305</v>
      </c>
      <c r="Y21">
        <f t="shared" si="17"/>
        <v>3.2456473051483816</v>
      </c>
      <c r="Z21">
        <f t="shared" si="18"/>
        <v>1.393549510405163</v>
      </c>
      <c r="AA21">
        <f t="shared" si="19"/>
        <v>-269.44174257077202</v>
      </c>
      <c r="AB21">
        <f t="shared" si="20"/>
        <v>56.002167345500844</v>
      </c>
      <c r="AC21">
        <f t="shared" si="21"/>
        <v>3.9023330676352317</v>
      </c>
      <c r="AD21">
        <f t="shared" si="22"/>
        <v>32.201212424264405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54134.524951210478</v>
      </c>
      <c r="AJ21" t="s">
        <v>415</v>
      </c>
      <c r="AK21" t="s">
        <v>415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415</v>
      </c>
      <c r="AQ21" t="s">
        <v>415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1261.2192075553887</v>
      </c>
      <c r="AW21">
        <f t="shared" si="29"/>
        <v>-1.0233625052569288</v>
      </c>
      <c r="AX21" t="e">
        <f t="shared" si="30"/>
        <v>#DIV/0!</v>
      </c>
      <c r="AY21">
        <f t="shared" si="31"/>
        <v>-8.1140732643971098E-4</v>
      </c>
      <c r="AZ21" t="e">
        <f t="shared" si="32"/>
        <v>#DIV/0!</v>
      </c>
      <c r="BA21" t="e">
        <f t="shared" si="33"/>
        <v>#DIV/0!</v>
      </c>
      <c r="BB21" t="s">
        <v>415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BL21">
        <v>1093</v>
      </c>
      <c r="BM21">
        <v>290</v>
      </c>
      <c r="BN21">
        <v>868.3</v>
      </c>
      <c r="BO21">
        <v>175</v>
      </c>
      <c r="BP21">
        <v>8133.33</v>
      </c>
      <c r="BQ21">
        <v>864.45</v>
      </c>
      <c r="BR21">
        <v>3.85</v>
      </c>
      <c r="BS21">
        <v>300</v>
      </c>
      <c r="BT21">
        <v>19.3</v>
      </c>
      <c r="BU21">
        <v>892.61927249853704</v>
      </c>
      <c r="BV21">
        <v>1.9163428110965599</v>
      </c>
      <c r="BW21">
        <v>-22.907362864973301</v>
      </c>
      <c r="BX21">
        <v>1.3922767505624201</v>
      </c>
      <c r="BY21">
        <v>0.90626257319928905</v>
      </c>
      <c r="BZ21">
        <v>-5.39184204671857E-3</v>
      </c>
      <c r="CA21">
        <v>290</v>
      </c>
      <c r="CB21">
        <v>854.97</v>
      </c>
      <c r="CC21">
        <v>615</v>
      </c>
      <c r="CD21">
        <v>8117.95</v>
      </c>
      <c r="CE21">
        <v>864.4</v>
      </c>
      <c r="CF21">
        <v>-9.43</v>
      </c>
      <c r="CT21">
        <f t="shared" si="42"/>
        <v>1500.01</v>
      </c>
      <c r="CU21">
        <f t="shared" si="43"/>
        <v>1261.2192075553887</v>
      </c>
      <c r="CV21">
        <f t="shared" si="44"/>
        <v>0.84080719965559481</v>
      </c>
      <c r="CW21">
        <f t="shared" si="45"/>
        <v>0.16115789533529801</v>
      </c>
      <c r="CX21">
        <v>2</v>
      </c>
      <c r="CY21">
        <v>0.5</v>
      </c>
      <c r="CZ21" t="s">
        <v>416</v>
      </c>
      <c r="DA21">
        <v>2</v>
      </c>
      <c r="DB21">
        <v>1792118839.5</v>
      </c>
      <c r="DC21">
        <v>50.299916666666697</v>
      </c>
      <c r="DD21">
        <v>50.013516666666703</v>
      </c>
      <c r="DE21">
        <v>17.538783333333299</v>
      </c>
      <c r="DF21">
        <v>15.137866666666699</v>
      </c>
      <c r="DG21">
        <v>50.086266666666702</v>
      </c>
      <c r="DH21">
        <v>17.662299999999998</v>
      </c>
      <c r="DI21">
        <v>500.02833333333302</v>
      </c>
      <c r="DJ21">
        <v>101.774333333333</v>
      </c>
      <c r="DK21">
        <v>9.9925483333333301E-2</v>
      </c>
      <c r="DL21">
        <v>25.3448833333333</v>
      </c>
      <c r="DM21">
        <v>25.0032833333333</v>
      </c>
      <c r="DN21">
        <v>999.9</v>
      </c>
      <c r="DO21">
        <v>0</v>
      </c>
      <c r="DP21">
        <v>0</v>
      </c>
      <c r="DQ21">
        <v>10003.9666666667</v>
      </c>
      <c r="DR21">
        <v>0</v>
      </c>
      <c r="DS21">
        <v>6.7231699999999996</v>
      </c>
      <c r="DT21">
        <v>0.28641133333333302</v>
      </c>
      <c r="DU21">
        <v>51.197883333333301</v>
      </c>
      <c r="DV21">
        <v>50.7822666666667</v>
      </c>
      <c r="DW21">
        <v>2.4009283333333298</v>
      </c>
      <c r="DX21">
        <v>50.013516666666703</v>
      </c>
      <c r="DY21">
        <v>15.137866666666699</v>
      </c>
      <c r="DZ21">
        <v>1.7849950000000001</v>
      </c>
      <c r="EA21">
        <v>1.540645</v>
      </c>
      <c r="EB21">
        <v>15.656000000000001</v>
      </c>
      <c r="EC21">
        <v>13.3775833333333</v>
      </c>
      <c r="ED21">
        <v>1500.01</v>
      </c>
      <c r="EE21">
        <v>0.97300033333333302</v>
      </c>
      <c r="EF21">
        <v>2.6999766666666699E-2</v>
      </c>
      <c r="EG21">
        <v>0</v>
      </c>
      <c r="EH21">
        <v>305.84699999999998</v>
      </c>
      <c r="EI21">
        <v>5.0006399999999998</v>
      </c>
      <c r="EJ21">
        <v>4708.4049999999997</v>
      </c>
      <c r="EK21">
        <v>15439.3</v>
      </c>
      <c r="EL21">
        <v>39.5</v>
      </c>
      <c r="EM21">
        <v>40.1353333333333</v>
      </c>
      <c r="EN21">
        <v>39.811999999999998</v>
      </c>
      <c r="EO21">
        <v>39.811999999999998</v>
      </c>
      <c r="EP21">
        <v>41.125</v>
      </c>
      <c r="EQ21">
        <v>1454.64</v>
      </c>
      <c r="ER21">
        <v>40.36</v>
      </c>
      <c r="ES21">
        <v>0</v>
      </c>
      <c r="ET21">
        <v>2587.5999999046298</v>
      </c>
      <c r="EU21">
        <v>0</v>
      </c>
      <c r="EV21">
        <v>305.75076000000001</v>
      </c>
      <c r="EW21">
        <v>0.97330770128623301</v>
      </c>
      <c r="EX21">
        <v>9.1553846632363598</v>
      </c>
      <c r="EY21">
        <v>4707.7808000000005</v>
      </c>
      <c r="EZ21">
        <v>15</v>
      </c>
      <c r="FA21">
        <v>1792118791</v>
      </c>
      <c r="FB21" t="s">
        <v>433</v>
      </c>
      <c r="FC21">
        <v>1792118791</v>
      </c>
      <c r="FD21">
        <v>1792118788</v>
      </c>
      <c r="FE21">
        <v>25</v>
      </c>
      <c r="FF21">
        <v>-3.1E-2</v>
      </c>
      <c r="FG21">
        <v>-1E-3</v>
      </c>
      <c r="FH21">
        <v>0.214</v>
      </c>
      <c r="FI21">
        <v>-0.20699999999999999</v>
      </c>
      <c r="FJ21">
        <v>50</v>
      </c>
      <c r="FK21">
        <v>15</v>
      </c>
      <c r="FL21">
        <v>0.39</v>
      </c>
      <c r="FM21">
        <v>0.03</v>
      </c>
      <c r="FN21">
        <v>-1.03338400080294</v>
      </c>
      <c r="FO21">
        <v>-9.6606992083589999E-2</v>
      </c>
      <c r="FP21">
        <v>8.4065076370494998E-2</v>
      </c>
      <c r="FQ21">
        <v>1</v>
      </c>
      <c r="FR21">
        <v>0.28666734999999999</v>
      </c>
      <c r="FS21">
        <v>8.9825007518796393E-2</v>
      </c>
      <c r="FT21">
        <v>3.3561379592136897E-2</v>
      </c>
      <c r="FU21">
        <v>1</v>
      </c>
      <c r="FV21">
        <v>305.69735294117697</v>
      </c>
      <c r="FW21">
        <v>0.83850267501020903</v>
      </c>
      <c r="FX21">
        <v>0.22091639120516099</v>
      </c>
      <c r="FY21">
        <v>-1</v>
      </c>
      <c r="FZ21">
        <v>2</v>
      </c>
      <c r="GA21">
        <v>2</v>
      </c>
      <c r="GB21" t="s">
        <v>418</v>
      </c>
      <c r="GC21">
        <v>3.1233300000000002</v>
      </c>
      <c r="GD21">
        <v>2.7654399999999999</v>
      </c>
      <c r="GE21">
        <v>1.3793E-2</v>
      </c>
      <c r="GF21">
        <v>1.41773E-2</v>
      </c>
      <c r="GG21">
        <v>9.4420299999999999E-2</v>
      </c>
      <c r="GH21">
        <v>8.7857400000000002E-2</v>
      </c>
      <c r="GI21">
        <v>19296.099999999999</v>
      </c>
      <c r="GJ21">
        <v>29033</v>
      </c>
      <c r="GK21">
        <v>22856.6</v>
      </c>
      <c r="GL21">
        <v>30171.5</v>
      </c>
      <c r="GM21">
        <v>33934.1</v>
      </c>
      <c r="GN21">
        <v>34260.1</v>
      </c>
      <c r="GO21">
        <v>43236.9</v>
      </c>
      <c r="GP21">
        <v>42947.9</v>
      </c>
      <c r="GQ21">
        <v>1.98708</v>
      </c>
      <c r="GR21">
        <v>1.8480000000000001</v>
      </c>
      <c r="GS21">
        <v>8.6799299999999996E-2</v>
      </c>
      <c r="GT21">
        <v>0</v>
      </c>
      <c r="GU21">
        <v>23.558299999999999</v>
      </c>
      <c r="GV21">
        <v>999.9</v>
      </c>
      <c r="GW21">
        <v>44.518000000000001</v>
      </c>
      <c r="GX21">
        <v>31.32</v>
      </c>
      <c r="GY21">
        <v>20.0976</v>
      </c>
      <c r="GZ21">
        <v>63.332299999999996</v>
      </c>
      <c r="HA21">
        <v>37.708300000000001</v>
      </c>
      <c r="HB21">
        <v>1</v>
      </c>
      <c r="HC21">
        <v>-3.3254600000000002E-2</v>
      </c>
      <c r="HD21">
        <v>1.13998</v>
      </c>
      <c r="HE21">
        <v>20.1568</v>
      </c>
      <c r="HF21">
        <v>5.2343599999999997</v>
      </c>
      <c r="HG21">
        <v>11.962</v>
      </c>
      <c r="HH21">
        <v>4.9688999999999997</v>
      </c>
      <c r="HI21">
        <v>3.2950300000000001</v>
      </c>
      <c r="HJ21">
        <v>9999</v>
      </c>
      <c r="HK21">
        <v>999.9</v>
      </c>
      <c r="HL21">
        <v>9999</v>
      </c>
      <c r="HM21">
        <v>9999</v>
      </c>
      <c r="HN21">
        <v>4.9693800000000001</v>
      </c>
      <c r="HO21">
        <v>1.8635600000000001</v>
      </c>
      <c r="HP21">
        <v>1.8650800000000001</v>
      </c>
      <c r="HQ21">
        <v>1.8669100000000001</v>
      </c>
      <c r="HR21">
        <v>1.8639699999999999</v>
      </c>
      <c r="HS21">
        <v>1.86768</v>
      </c>
      <c r="HT21">
        <v>1.8644700000000001</v>
      </c>
      <c r="HU21">
        <v>1.8663099999999999</v>
      </c>
      <c r="HV21">
        <v>0</v>
      </c>
      <c r="HW21">
        <v>0</v>
      </c>
      <c r="HX21">
        <v>0</v>
      </c>
      <c r="HY21">
        <v>0</v>
      </c>
      <c r="HZ21" t="s">
        <v>419</v>
      </c>
      <c r="IA21" t="s">
        <v>420</v>
      </c>
      <c r="IB21" t="s">
        <v>421</v>
      </c>
      <c r="IC21" t="s">
        <v>421</v>
      </c>
      <c r="ID21" t="s">
        <v>421</v>
      </c>
      <c r="IE21" t="s">
        <v>421</v>
      </c>
      <c r="IF21">
        <v>0</v>
      </c>
      <c r="IG21">
        <v>100</v>
      </c>
      <c r="IH21">
        <v>100</v>
      </c>
      <c r="II21">
        <v>0.214</v>
      </c>
      <c r="IJ21">
        <v>-0.1241</v>
      </c>
      <c r="IK21">
        <v>0.202133172602214</v>
      </c>
      <c r="IL21">
        <v>2.16929631606078E-4</v>
      </c>
      <c r="IM21">
        <v>2.7226302473163502E-7</v>
      </c>
      <c r="IN21">
        <v>-5.4379205123515401E-11</v>
      </c>
      <c r="IO21">
        <v>-4.0595683161342197E-2</v>
      </c>
      <c r="IP21">
        <v>-5.8443384954566899E-2</v>
      </c>
      <c r="IQ21">
        <v>3.41568706061026E-3</v>
      </c>
      <c r="IR21">
        <v>-2.10952612506686E-5</v>
      </c>
      <c r="IS21">
        <v>0</v>
      </c>
      <c r="IT21">
        <v>1734</v>
      </c>
      <c r="IU21">
        <v>2</v>
      </c>
      <c r="IV21">
        <v>19</v>
      </c>
      <c r="IW21">
        <v>0.9</v>
      </c>
      <c r="IX21">
        <v>0.9</v>
      </c>
      <c r="IY21">
        <v>0.30395499999999998</v>
      </c>
      <c r="IZ21">
        <v>2.5915499999999998</v>
      </c>
      <c r="JA21">
        <v>1.3476600000000001</v>
      </c>
      <c r="JB21">
        <v>2.2558600000000002</v>
      </c>
      <c r="JC21">
        <v>1.5502899999999999</v>
      </c>
      <c r="JD21">
        <v>2.4706999999999999</v>
      </c>
      <c r="JE21">
        <v>37.337800000000001</v>
      </c>
      <c r="JF21">
        <v>23.921099999999999</v>
      </c>
      <c r="JG21">
        <v>18</v>
      </c>
      <c r="JH21">
        <v>497.90100000000001</v>
      </c>
      <c r="JI21">
        <v>487.63200000000001</v>
      </c>
      <c r="JJ21">
        <v>22.5486</v>
      </c>
      <c r="JK21">
        <v>26.7364</v>
      </c>
      <c r="JL21">
        <v>30.0001</v>
      </c>
      <c r="JM21">
        <v>26.705300000000001</v>
      </c>
      <c r="JN21">
        <v>26.712700000000002</v>
      </c>
      <c r="JO21">
        <v>6.1014900000000001</v>
      </c>
      <c r="JP21">
        <v>35.402200000000001</v>
      </c>
      <c r="JQ21">
        <v>67.337500000000006</v>
      </c>
      <c r="JR21">
        <v>22.556699999999999</v>
      </c>
      <c r="JS21">
        <v>50</v>
      </c>
      <c r="JT21">
        <v>15.1585</v>
      </c>
      <c r="JU21">
        <v>102.101</v>
      </c>
      <c r="JV21">
        <v>97.547399999999996</v>
      </c>
    </row>
    <row r="22" spans="1:282" x14ac:dyDescent="0.3">
      <c r="A22">
        <v>6</v>
      </c>
      <c r="B22">
        <v>1792118994</v>
      </c>
      <c r="C22">
        <v>640.90000009536698</v>
      </c>
      <c r="D22" t="s">
        <v>434</v>
      </c>
      <c r="E22" t="s">
        <v>435</v>
      </c>
      <c r="F22">
        <v>5</v>
      </c>
      <c r="G22">
        <v>1792118990.5</v>
      </c>
      <c r="H22">
        <f t="shared" si="0"/>
        <v>6.1849993305535108E-3</v>
      </c>
      <c r="I22">
        <f t="shared" si="1"/>
        <v>6.1849993305535111</v>
      </c>
      <c r="J22">
        <f t="shared" si="2"/>
        <v>19.046016682866497</v>
      </c>
      <c r="K22">
        <f t="shared" si="3"/>
        <v>391.417666666667</v>
      </c>
      <c r="L22">
        <f t="shared" si="4"/>
        <v>315.45168353150888</v>
      </c>
      <c r="M22">
        <f t="shared" si="5"/>
        <v>32.136563031942707</v>
      </c>
      <c r="N22">
        <f t="shared" si="6"/>
        <v>39.875578966098146</v>
      </c>
      <c r="O22">
        <f t="shared" si="7"/>
        <v>0.48062567913605631</v>
      </c>
      <c r="P22">
        <f t="shared" si="8"/>
        <v>3.0404888975969877</v>
      </c>
      <c r="Q22">
        <f t="shared" si="9"/>
        <v>0.4420591008637767</v>
      </c>
      <c r="R22">
        <f t="shared" si="10"/>
        <v>0.27949365012459465</v>
      </c>
      <c r="S22">
        <f t="shared" si="11"/>
        <v>241.73712198546195</v>
      </c>
      <c r="T22">
        <f t="shared" si="12"/>
        <v>25.249694067599279</v>
      </c>
      <c r="U22">
        <f t="shared" si="13"/>
        <v>24.9964166666667</v>
      </c>
      <c r="V22">
        <f t="shared" si="14"/>
        <v>3.1789983627187217</v>
      </c>
      <c r="W22">
        <f t="shared" si="15"/>
        <v>54.83403646228696</v>
      </c>
      <c r="X22">
        <f t="shared" si="16"/>
        <v>1.7883841606420254</v>
      </c>
      <c r="Y22">
        <f t="shared" si="17"/>
        <v>3.2614490488439909</v>
      </c>
      <c r="Z22">
        <f t="shared" si="18"/>
        <v>1.3906142020766963</v>
      </c>
      <c r="AA22">
        <f t="shared" si="19"/>
        <v>-272.75847047740984</v>
      </c>
      <c r="AB22">
        <f t="shared" si="20"/>
        <v>70.512419908547415</v>
      </c>
      <c r="AC22">
        <f t="shared" si="21"/>
        <v>4.9159424831533061</v>
      </c>
      <c r="AD22">
        <f t="shared" si="22"/>
        <v>44.40701389975284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54106.956208074647</v>
      </c>
      <c r="AJ22" t="s">
        <v>415</v>
      </c>
      <c r="AK22" t="s">
        <v>415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415</v>
      </c>
      <c r="AQ22" t="s">
        <v>415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1261.2122062100864</v>
      </c>
      <c r="AW22">
        <f t="shared" si="29"/>
        <v>19.046016682866497</v>
      </c>
      <c r="AX22" t="e">
        <f t="shared" si="30"/>
        <v>#DIV/0!</v>
      </c>
      <c r="AY22">
        <f t="shared" si="31"/>
        <v>1.5101357716874101E-2</v>
      </c>
      <c r="AZ22" t="e">
        <f t="shared" si="32"/>
        <v>#DIV/0!</v>
      </c>
      <c r="BA22" t="e">
        <f t="shared" si="33"/>
        <v>#DIV/0!</v>
      </c>
      <c r="BB22" t="s">
        <v>415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BL22">
        <v>1093</v>
      </c>
      <c r="BM22">
        <v>290</v>
      </c>
      <c r="BN22">
        <v>868.3</v>
      </c>
      <c r="BO22">
        <v>175</v>
      </c>
      <c r="BP22">
        <v>8133.33</v>
      </c>
      <c r="BQ22">
        <v>864.45</v>
      </c>
      <c r="BR22">
        <v>3.85</v>
      </c>
      <c r="BS22">
        <v>300</v>
      </c>
      <c r="BT22">
        <v>19.3</v>
      </c>
      <c r="BU22">
        <v>892.61927249853704</v>
      </c>
      <c r="BV22">
        <v>1.9163428110965599</v>
      </c>
      <c r="BW22">
        <v>-22.907362864973301</v>
      </c>
      <c r="BX22">
        <v>1.3922767505624201</v>
      </c>
      <c r="BY22">
        <v>0.90626257319928905</v>
      </c>
      <c r="BZ22">
        <v>-5.39184204671857E-3</v>
      </c>
      <c r="CA22">
        <v>290</v>
      </c>
      <c r="CB22">
        <v>854.97</v>
      </c>
      <c r="CC22">
        <v>615</v>
      </c>
      <c r="CD22">
        <v>8117.95</v>
      </c>
      <c r="CE22">
        <v>864.4</v>
      </c>
      <c r="CF22">
        <v>-9.43</v>
      </c>
      <c r="CT22">
        <f t="shared" si="42"/>
        <v>1500.00166666667</v>
      </c>
      <c r="CU22">
        <f t="shared" si="43"/>
        <v>1261.2122062100864</v>
      </c>
      <c r="CV22">
        <f t="shared" si="44"/>
        <v>0.84080720324316327</v>
      </c>
      <c r="CW22">
        <f t="shared" si="45"/>
        <v>0.1611579022593051</v>
      </c>
      <c r="CX22">
        <v>2</v>
      </c>
      <c r="CY22">
        <v>0.5</v>
      </c>
      <c r="CZ22" t="s">
        <v>416</v>
      </c>
      <c r="DA22">
        <v>2</v>
      </c>
      <c r="DB22">
        <v>1792118990.5</v>
      </c>
      <c r="DC22">
        <v>391.417666666667</v>
      </c>
      <c r="DD22">
        <v>400.00466666666699</v>
      </c>
      <c r="DE22">
        <v>17.554733333333299</v>
      </c>
      <c r="DF22">
        <v>15.1241</v>
      </c>
      <c r="DG22">
        <v>390.39633333333302</v>
      </c>
      <c r="DH22">
        <v>17.671399999999998</v>
      </c>
      <c r="DI22">
        <v>499.98683333333298</v>
      </c>
      <c r="DJ22">
        <v>101.77483333333301</v>
      </c>
      <c r="DK22">
        <v>9.9921850000000006E-2</v>
      </c>
      <c r="DL22">
        <v>25.426583333333301</v>
      </c>
      <c r="DM22">
        <v>24.9964166666667</v>
      </c>
      <c r="DN22">
        <v>999.9</v>
      </c>
      <c r="DO22">
        <v>0</v>
      </c>
      <c r="DP22">
        <v>0</v>
      </c>
      <c r="DQ22">
        <v>10001.458333333299</v>
      </c>
      <c r="DR22">
        <v>0</v>
      </c>
      <c r="DS22">
        <v>6.5740383333333297</v>
      </c>
      <c r="DT22">
        <v>-8.5869916666666697</v>
      </c>
      <c r="DU22">
        <v>398.41183333333299</v>
      </c>
      <c r="DV22">
        <v>406.14749999999998</v>
      </c>
      <c r="DW22">
        <v>2.4306333333333301</v>
      </c>
      <c r="DX22">
        <v>400.00466666666699</v>
      </c>
      <c r="DY22">
        <v>15.1241</v>
      </c>
      <c r="DZ22">
        <v>1.7866316666666699</v>
      </c>
      <c r="EA22">
        <v>1.5392583333333301</v>
      </c>
      <c r="EB22">
        <v>15.6703333333333</v>
      </c>
      <c r="EC22">
        <v>13.3637833333333</v>
      </c>
      <c r="ED22">
        <v>1500.00166666667</v>
      </c>
      <c r="EE22">
        <v>0.97300033333333302</v>
      </c>
      <c r="EF22">
        <v>2.6999749999999999E-2</v>
      </c>
      <c r="EG22">
        <v>0</v>
      </c>
      <c r="EH22">
        <v>298.23866666666697</v>
      </c>
      <c r="EI22">
        <v>5.0006399999999998</v>
      </c>
      <c r="EJ22">
        <v>4604.1549999999997</v>
      </c>
      <c r="EK22">
        <v>15439.233333333301</v>
      </c>
      <c r="EL22">
        <v>39.530999999999999</v>
      </c>
      <c r="EM22">
        <v>40.186999999999998</v>
      </c>
      <c r="EN22">
        <v>39.811999999999998</v>
      </c>
      <c r="EO22">
        <v>39.853999999999999</v>
      </c>
      <c r="EP22">
        <v>41.186999999999998</v>
      </c>
      <c r="EQ22">
        <v>1454.63333333333</v>
      </c>
      <c r="ER22">
        <v>40.36</v>
      </c>
      <c r="ES22">
        <v>0</v>
      </c>
      <c r="ET22">
        <v>2738.7999999523199</v>
      </c>
      <c r="EU22">
        <v>0</v>
      </c>
      <c r="EV22">
        <v>298.11092000000002</v>
      </c>
      <c r="EW22">
        <v>3.2211538504605399</v>
      </c>
      <c r="EX22">
        <v>48.543846244213903</v>
      </c>
      <c r="EY22">
        <v>4601.09</v>
      </c>
      <c r="EZ22">
        <v>15</v>
      </c>
      <c r="FA22">
        <v>1792118910</v>
      </c>
      <c r="FB22" t="s">
        <v>436</v>
      </c>
      <c r="FC22">
        <v>1792118910</v>
      </c>
      <c r="FD22">
        <v>1792118910</v>
      </c>
      <c r="FE22">
        <v>26</v>
      </c>
      <c r="FF22">
        <v>0.69599999999999995</v>
      </c>
      <c r="FG22">
        <v>6.0000000000000001E-3</v>
      </c>
      <c r="FH22">
        <v>1.0249999999999999</v>
      </c>
      <c r="FI22">
        <v>-0.20300000000000001</v>
      </c>
      <c r="FJ22">
        <v>400</v>
      </c>
      <c r="FK22">
        <v>15</v>
      </c>
      <c r="FL22">
        <v>0.27</v>
      </c>
      <c r="FM22">
        <v>0.04</v>
      </c>
      <c r="FN22">
        <v>18.8876285660427</v>
      </c>
      <c r="FO22">
        <v>0.86571333061495104</v>
      </c>
      <c r="FP22">
        <v>9.7027447967830902E-2</v>
      </c>
      <c r="FQ22">
        <v>0</v>
      </c>
      <c r="FR22">
        <v>-8.5309790476190503</v>
      </c>
      <c r="FS22">
        <v>-0.29877194805195501</v>
      </c>
      <c r="FT22">
        <v>3.6352436730373597E-2</v>
      </c>
      <c r="FU22">
        <v>1</v>
      </c>
      <c r="FV22">
        <v>297.92111764705902</v>
      </c>
      <c r="FW22">
        <v>2.6495339953677499</v>
      </c>
      <c r="FX22">
        <v>0.335037817418191</v>
      </c>
      <c r="FY22">
        <v>-1</v>
      </c>
      <c r="FZ22">
        <v>1</v>
      </c>
      <c r="GA22">
        <v>2</v>
      </c>
      <c r="GB22" t="s">
        <v>437</v>
      </c>
      <c r="GC22">
        <v>3.1234099999999998</v>
      </c>
      <c r="GD22">
        <v>2.7653799999999999</v>
      </c>
      <c r="GE22">
        <v>8.7069400000000005E-2</v>
      </c>
      <c r="GF22">
        <v>9.0899199999999999E-2</v>
      </c>
      <c r="GG22">
        <v>9.4492800000000002E-2</v>
      </c>
      <c r="GH22">
        <v>8.7798100000000004E-2</v>
      </c>
      <c r="GI22">
        <v>17859.5</v>
      </c>
      <c r="GJ22">
        <v>26771.9</v>
      </c>
      <c r="GK22">
        <v>22854</v>
      </c>
      <c r="GL22">
        <v>30171.200000000001</v>
      </c>
      <c r="GM22">
        <v>33933.199999999997</v>
      </c>
      <c r="GN22">
        <v>34267.199999999997</v>
      </c>
      <c r="GO22">
        <v>43233.599999999999</v>
      </c>
      <c r="GP22">
        <v>42947.5</v>
      </c>
      <c r="GQ22">
        <v>1.9869699999999999</v>
      </c>
      <c r="GR22">
        <v>1.8483499999999999</v>
      </c>
      <c r="GS22">
        <v>8.4564100000000003E-2</v>
      </c>
      <c r="GT22">
        <v>0</v>
      </c>
      <c r="GU22">
        <v>23.610700000000001</v>
      </c>
      <c r="GV22">
        <v>999.9</v>
      </c>
      <c r="GW22">
        <v>44.177</v>
      </c>
      <c r="GX22">
        <v>31.390999999999998</v>
      </c>
      <c r="GY22">
        <v>20.021899999999999</v>
      </c>
      <c r="GZ22">
        <v>63.292400000000001</v>
      </c>
      <c r="HA22">
        <v>37.067300000000003</v>
      </c>
      <c r="HB22">
        <v>1</v>
      </c>
      <c r="HC22">
        <v>-3.2144300000000001E-2</v>
      </c>
      <c r="HD22">
        <v>1.10364</v>
      </c>
      <c r="HE22">
        <v>20.1569</v>
      </c>
      <c r="HF22">
        <v>5.2348100000000004</v>
      </c>
      <c r="HG22">
        <v>11.962</v>
      </c>
      <c r="HH22">
        <v>4.9694000000000003</v>
      </c>
      <c r="HI22">
        <v>3.2950300000000001</v>
      </c>
      <c r="HJ22">
        <v>9999</v>
      </c>
      <c r="HK22">
        <v>999.9</v>
      </c>
      <c r="HL22">
        <v>9999</v>
      </c>
      <c r="HM22">
        <v>9999</v>
      </c>
      <c r="HN22">
        <v>4.9693500000000004</v>
      </c>
      <c r="HO22">
        <v>1.86355</v>
      </c>
      <c r="HP22">
        <v>1.8650800000000001</v>
      </c>
      <c r="HQ22">
        <v>1.8669100000000001</v>
      </c>
      <c r="HR22">
        <v>1.86392</v>
      </c>
      <c r="HS22">
        <v>1.8676600000000001</v>
      </c>
      <c r="HT22">
        <v>1.8644400000000001</v>
      </c>
      <c r="HU22">
        <v>1.8663000000000001</v>
      </c>
      <c r="HV22">
        <v>0</v>
      </c>
      <c r="HW22">
        <v>0</v>
      </c>
      <c r="HX22">
        <v>0</v>
      </c>
      <c r="HY22">
        <v>0</v>
      </c>
      <c r="HZ22" t="s">
        <v>419</v>
      </c>
      <c r="IA22" t="s">
        <v>420</v>
      </c>
      <c r="IB22" t="s">
        <v>421</v>
      </c>
      <c r="IC22" t="s">
        <v>421</v>
      </c>
      <c r="ID22" t="s">
        <v>421</v>
      </c>
      <c r="IE22" t="s">
        <v>421</v>
      </c>
      <c r="IF22">
        <v>0</v>
      </c>
      <c r="IG22">
        <v>100</v>
      </c>
      <c r="IH22">
        <v>100</v>
      </c>
      <c r="II22">
        <v>1.0209999999999999</v>
      </c>
      <c r="IJ22">
        <v>-0.1168</v>
      </c>
      <c r="IK22">
        <v>0.89817710901328995</v>
      </c>
      <c r="IL22">
        <v>2.16929631606078E-4</v>
      </c>
      <c r="IM22">
        <v>2.7226302473163502E-7</v>
      </c>
      <c r="IN22">
        <v>-5.4379205123515401E-11</v>
      </c>
      <c r="IO22">
        <v>-3.4124085107989997E-2</v>
      </c>
      <c r="IP22">
        <v>-5.8443384954566899E-2</v>
      </c>
      <c r="IQ22">
        <v>3.41568706061026E-3</v>
      </c>
      <c r="IR22">
        <v>-2.10952612506686E-5</v>
      </c>
      <c r="IS22">
        <v>0</v>
      </c>
      <c r="IT22">
        <v>1734</v>
      </c>
      <c r="IU22">
        <v>2</v>
      </c>
      <c r="IV22">
        <v>19</v>
      </c>
      <c r="IW22">
        <v>1.4</v>
      </c>
      <c r="IX22">
        <v>1.4</v>
      </c>
      <c r="IY22">
        <v>1.0559099999999999</v>
      </c>
      <c r="IZ22">
        <v>2.5671400000000002</v>
      </c>
      <c r="JA22">
        <v>1.3464400000000001</v>
      </c>
      <c r="JB22">
        <v>2.2558600000000002</v>
      </c>
      <c r="JC22">
        <v>1.5502899999999999</v>
      </c>
      <c r="JD22">
        <v>2.4706999999999999</v>
      </c>
      <c r="JE22">
        <v>37.313800000000001</v>
      </c>
      <c r="JF22">
        <v>23.938700000000001</v>
      </c>
      <c r="JG22">
        <v>18</v>
      </c>
      <c r="JH22">
        <v>498.05900000000003</v>
      </c>
      <c r="JI22">
        <v>488.12900000000002</v>
      </c>
      <c r="JJ22">
        <v>22.6738</v>
      </c>
      <c r="JK22">
        <v>26.756799999999998</v>
      </c>
      <c r="JL22">
        <v>30.0001</v>
      </c>
      <c r="JM22">
        <v>26.7301</v>
      </c>
      <c r="JN22">
        <v>26.739599999999999</v>
      </c>
      <c r="JO22">
        <v>21.142600000000002</v>
      </c>
      <c r="JP22">
        <v>35.170999999999999</v>
      </c>
      <c r="JQ22">
        <v>65.842200000000005</v>
      </c>
      <c r="JR22">
        <v>22.673200000000001</v>
      </c>
      <c r="JS22">
        <v>400</v>
      </c>
      <c r="JT22">
        <v>15.167899999999999</v>
      </c>
      <c r="JU22">
        <v>102.092</v>
      </c>
      <c r="JV22">
        <v>97.546400000000006</v>
      </c>
    </row>
    <row r="23" spans="1:282" x14ac:dyDescent="0.3">
      <c r="A23">
        <v>7</v>
      </c>
      <c r="B23">
        <v>1792119123</v>
      </c>
      <c r="C23">
        <v>769.90000009536698</v>
      </c>
      <c r="D23" t="s">
        <v>438</v>
      </c>
      <c r="E23" t="s">
        <v>439</v>
      </c>
      <c r="F23">
        <v>5</v>
      </c>
      <c r="G23">
        <v>1792119120</v>
      </c>
      <c r="H23">
        <f t="shared" si="0"/>
        <v>6.1561228668524414E-3</v>
      </c>
      <c r="I23">
        <f t="shared" si="1"/>
        <v>6.1561228668524413</v>
      </c>
      <c r="J23">
        <f t="shared" si="2"/>
        <v>19.946785573030009</v>
      </c>
      <c r="K23">
        <f t="shared" si="3"/>
        <v>391.04419999999999</v>
      </c>
      <c r="L23">
        <f t="shared" si="4"/>
        <v>311.9880063798758</v>
      </c>
      <c r="M23">
        <f t="shared" si="5"/>
        <v>31.785139122750557</v>
      </c>
      <c r="N23">
        <f t="shared" si="6"/>
        <v>39.839333711471888</v>
      </c>
      <c r="O23">
        <f t="shared" si="7"/>
        <v>0.48096932843176005</v>
      </c>
      <c r="P23">
        <f t="shared" si="8"/>
        <v>3.0411903857930707</v>
      </c>
      <c r="Q23">
        <f t="shared" si="9"/>
        <v>0.44235809477107185</v>
      </c>
      <c r="R23">
        <f t="shared" si="10"/>
        <v>0.2796841193770303</v>
      </c>
      <c r="S23">
        <f t="shared" si="11"/>
        <v>241.73589475038577</v>
      </c>
      <c r="T23">
        <f t="shared" si="12"/>
        <v>25.243860300043043</v>
      </c>
      <c r="U23">
        <f t="shared" si="13"/>
        <v>25.001300000000001</v>
      </c>
      <c r="V23">
        <f t="shared" si="14"/>
        <v>3.1799240386581946</v>
      </c>
      <c r="W23">
        <f t="shared" si="15"/>
        <v>55.133168737737762</v>
      </c>
      <c r="X23">
        <f t="shared" si="16"/>
        <v>1.7967383200556244</v>
      </c>
      <c r="Y23">
        <f t="shared" si="17"/>
        <v>3.2589063193565111</v>
      </c>
      <c r="Z23">
        <f t="shared" si="18"/>
        <v>1.3831857186025702</v>
      </c>
      <c r="AA23">
        <f t="shared" si="19"/>
        <v>-271.48501842819269</v>
      </c>
      <c r="AB23">
        <f t="shared" si="20"/>
        <v>67.576375369469574</v>
      </c>
      <c r="AC23">
        <f t="shared" si="21"/>
        <v>4.7099669672775955</v>
      </c>
      <c r="AD23">
        <f t="shared" si="22"/>
        <v>42.537218658940262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54131.437669905165</v>
      </c>
      <c r="AJ23" t="s">
        <v>415</v>
      </c>
      <c r="AK23" t="s">
        <v>415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415</v>
      </c>
      <c r="AQ23" t="s">
        <v>415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1261.2057643266248</v>
      </c>
      <c r="AW23">
        <f t="shared" si="29"/>
        <v>19.946785573030009</v>
      </c>
      <c r="AX23" t="e">
        <f t="shared" si="30"/>
        <v>#DIV/0!</v>
      </c>
      <c r="AY23">
        <f t="shared" si="31"/>
        <v>1.5815647325145135E-2</v>
      </c>
      <c r="AZ23" t="e">
        <f t="shared" si="32"/>
        <v>#DIV/0!</v>
      </c>
      <c r="BA23" t="e">
        <f t="shared" si="33"/>
        <v>#DIV/0!</v>
      </c>
      <c r="BB23" t="s">
        <v>415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BL23">
        <v>1093</v>
      </c>
      <c r="BM23">
        <v>290</v>
      </c>
      <c r="BN23">
        <v>868.3</v>
      </c>
      <c r="BO23">
        <v>175</v>
      </c>
      <c r="BP23">
        <v>8133.33</v>
      </c>
      <c r="BQ23">
        <v>864.45</v>
      </c>
      <c r="BR23">
        <v>3.85</v>
      </c>
      <c r="BS23">
        <v>300</v>
      </c>
      <c r="BT23">
        <v>19.3</v>
      </c>
      <c r="BU23">
        <v>892.61927249853704</v>
      </c>
      <c r="BV23">
        <v>1.9163428110965599</v>
      </c>
      <c r="BW23">
        <v>-22.907362864973301</v>
      </c>
      <c r="BX23">
        <v>1.3922767505624201</v>
      </c>
      <c r="BY23">
        <v>0.90626257319928905</v>
      </c>
      <c r="BZ23">
        <v>-5.39184204671857E-3</v>
      </c>
      <c r="CA23">
        <v>290</v>
      </c>
      <c r="CB23">
        <v>854.97</v>
      </c>
      <c r="CC23">
        <v>615</v>
      </c>
      <c r="CD23">
        <v>8117.95</v>
      </c>
      <c r="CE23">
        <v>864.4</v>
      </c>
      <c r="CF23">
        <v>-9.43</v>
      </c>
      <c r="CT23">
        <f t="shared" si="42"/>
        <v>1499.9939999999999</v>
      </c>
      <c r="CU23">
        <f t="shared" si="43"/>
        <v>1261.2057643266248</v>
      </c>
      <c r="CV23">
        <f t="shared" si="44"/>
        <v>0.840807206113241</v>
      </c>
      <c r="CW23">
        <f t="shared" si="45"/>
        <v>0.16115790779855504</v>
      </c>
      <c r="CX23">
        <v>2</v>
      </c>
      <c r="CY23">
        <v>0.5</v>
      </c>
      <c r="CZ23" t="s">
        <v>416</v>
      </c>
      <c r="DA23">
        <v>2</v>
      </c>
      <c r="DB23">
        <v>1792119120</v>
      </c>
      <c r="DC23">
        <v>391.04419999999999</v>
      </c>
      <c r="DD23">
        <v>399.98480000000001</v>
      </c>
      <c r="DE23">
        <v>17.635940000000002</v>
      </c>
      <c r="DF23">
        <v>15.2172</v>
      </c>
      <c r="DG23">
        <v>390.04320000000001</v>
      </c>
      <c r="DH23">
        <v>17.747959999999999</v>
      </c>
      <c r="DI23">
        <v>500.0582</v>
      </c>
      <c r="DJ23">
        <v>101.7794</v>
      </c>
      <c r="DK23">
        <v>9.9962259999999997E-2</v>
      </c>
      <c r="DL23">
        <v>25.413460000000001</v>
      </c>
      <c r="DM23">
        <v>25.001300000000001</v>
      </c>
      <c r="DN23">
        <v>999.9</v>
      </c>
      <c r="DO23">
        <v>0</v>
      </c>
      <c r="DP23">
        <v>0</v>
      </c>
      <c r="DQ23">
        <v>10005.25</v>
      </c>
      <c r="DR23">
        <v>0</v>
      </c>
      <c r="DS23">
        <v>6.8052799999999998</v>
      </c>
      <c r="DT23">
        <v>-8.9402720000000002</v>
      </c>
      <c r="DU23">
        <v>398.06459999999998</v>
      </c>
      <c r="DV23">
        <v>406.16520000000003</v>
      </c>
      <c r="DW23">
        <v>2.4187460000000001</v>
      </c>
      <c r="DX23">
        <v>399.98480000000001</v>
      </c>
      <c r="DY23">
        <v>15.2172</v>
      </c>
      <c r="DZ23">
        <v>1.7949740000000001</v>
      </c>
      <c r="EA23">
        <v>1.548794</v>
      </c>
      <c r="EB23">
        <v>15.7431</v>
      </c>
      <c r="EC23">
        <v>13.458539999999999</v>
      </c>
      <c r="ED23">
        <v>1499.9939999999999</v>
      </c>
      <c r="EE23">
        <v>0.97300019999999998</v>
      </c>
      <c r="EF23">
        <v>2.69999E-2</v>
      </c>
      <c r="EG23">
        <v>0</v>
      </c>
      <c r="EH23">
        <v>300.46980000000002</v>
      </c>
      <c r="EI23">
        <v>5.0006399999999998</v>
      </c>
      <c r="EJ23">
        <v>4637.0159999999996</v>
      </c>
      <c r="EK23">
        <v>15439.12</v>
      </c>
      <c r="EL23">
        <v>39.561999999999998</v>
      </c>
      <c r="EM23">
        <v>40.199599999999997</v>
      </c>
      <c r="EN23">
        <v>39.875</v>
      </c>
      <c r="EO23">
        <v>39.912199999999999</v>
      </c>
      <c r="EP23">
        <v>41.186999999999998</v>
      </c>
      <c r="EQ23">
        <v>1454.6279999999999</v>
      </c>
      <c r="ER23">
        <v>40.36</v>
      </c>
      <c r="ES23">
        <v>0</v>
      </c>
      <c r="ET23">
        <v>2867.7999999523199</v>
      </c>
      <c r="EU23">
        <v>0</v>
      </c>
      <c r="EV23">
        <v>300.38988461538497</v>
      </c>
      <c r="EW23">
        <v>1.46417094664768</v>
      </c>
      <c r="EX23">
        <v>11.2577778031928</v>
      </c>
      <c r="EY23">
        <v>4636.1357692307702</v>
      </c>
      <c r="EZ23">
        <v>15</v>
      </c>
      <c r="FA23">
        <v>1792119060</v>
      </c>
      <c r="FB23" t="s">
        <v>440</v>
      </c>
      <c r="FC23">
        <v>1792119053</v>
      </c>
      <c r="FD23">
        <v>1792119060</v>
      </c>
      <c r="FE23">
        <v>27</v>
      </c>
      <c r="FF23">
        <v>-0.02</v>
      </c>
      <c r="FG23">
        <v>1E-3</v>
      </c>
      <c r="FH23">
        <v>1.0049999999999999</v>
      </c>
      <c r="FI23">
        <v>-0.20200000000000001</v>
      </c>
      <c r="FJ23">
        <v>400</v>
      </c>
      <c r="FK23">
        <v>15</v>
      </c>
      <c r="FL23">
        <v>0.16</v>
      </c>
      <c r="FM23">
        <v>0.03</v>
      </c>
      <c r="FN23">
        <v>19.971934731107901</v>
      </c>
      <c r="FO23">
        <v>0.123587612603434</v>
      </c>
      <c r="FP23">
        <v>9.8203077831606395E-2</v>
      </c>
      <c r="FQ23">
        <v>1</v>
      </c>
      <c r="FR23">
        <v>-8.9565870000000007</v>
      </c>
      <c r="FS23">
        <v>5.7471879699235298E-2</v>
      </c>
      <c r="FT23">
        <v>3.6753399584256101E-2</v>
      </c>
      <c r="FU23">
        <v>1</v>
      </c>
      <c r="FV23">
        <v>300.35500000000002</v>
      </c>
      <c r="FW23">
        <v>0.15456073453602701</v>
      </c>
      <c r="FX23">
        <v>0.188498244647782</v>
      </c>
      <c r="FY23">
        <v>-1</v>
      </c>
      <c r="FZ23">
        <v>2</v>
      </c>
      <c r="GA23">
        <v>2</v>
      </c>
      <c r="GB23" t="s">
        <v>418</v>
      </c>
      <c r="GC23">
        <v>3.1234600000000001</v>
      </c>
      <c r="GD23">
        <v>2.7654000000000001</v>
      </c>
      <c r="GE23">
        <v>8.7008600000000005E-2</v>
      </c>
      <c r="GF23">
        <v>9.0887700000000002E-2</v>
      </c>
      <c r="GG23">
        <v>9.4779100000000005E-2</v>
      </c>
      <c r="GH23">
        <v>8.8127399999999995E-2</v>
      </c>
      <c r="GI23">
        <v>17859.2</v>
      </c>
      <c r="GJ23">
        <v>26769.9</v>
      </c>
      <c r="GK23">
        <v>22852.2</v>
      </c>
      <c r="GL23">
        <v>30168.7</v>
      </c>
      <c r="GM23">
        <v>33919.800000000003</v>
      </c>
      <c r="GN23">
        <v>34252.300000000003</v>
      </c>
      <c r="GO23">
        <v>43230.6</v>
      </c>
      <c r="GP23">
        <v>42944.3</v>
      </c>
      <c r="GQ23">
        <v>1.98682</v>
      </c>
      <c r="GR23">
        <v>1.84785</v>
      </c>
      <c r="GS23">
        <v>8.3334699999999998E-2</v>
      </c>
      <c r="GT23">
        <v>0</v>
      </c>
      <c r="GU23">
        <v>23.625699999999998</v>
      </c>
      <c r="GV23">
        <v>999.9</v>
      </c>
      <c r="GW23">
        <v>43.896000000000001</v>
      </c>
      <c r="GX23">
        <v>31.471</v>
      </c>
      <c r="GY23">
        <v>19.985600000000002</v>
      </c>
      <c r="GZ23">
        <v>63.142400000000002</v>
      </c>
      <c r="HA23">
        <v>37.347799999999999</v>
      </c>
      <c r="HB23">
        <v>1</v>
      </c>
      <c r="HC23">
        <v>-2.8988799999999999E-2</v>
      </c>
      <c r="HD23">
        <v>1.3280799999999999</v>
      </c>
      <c r="HE23">
        <v>20.155200000000001</v>
      </c>
      <c r="HF23">
        <v>5.2348100000000004</v>
      </c>
      <c r="HG23">
        <v>11.962</v>
      </c>
      <c r="HH23">
        <v>4.9690500000000002</v>
      </c>
      <c r="HI23">
        <v>3.2949999999999999</v>
      </c>
      <c r="HJ23">
        <v>9999</v>
      </c>
      <c r="HK23">
        <v>999.9</v>
      </c>
      <c r="HL23">
        <v>9999</v>
      </c>
      <c r="HM23">
        <v>9999</v>
      </c>
      <c r="HN23">
        <v>4.9692699999999999</v>
      </c>
      <c r="HO23">
        <v>1.8634999999999999</v>
      </c>
      <c r="HP23">
        <v>1.86507</v>
      </c>
      <c r="HQ23">
        <v>1.8669100000000001</v>
      </c>
      <c r="HR23">
        <v>1.86388</v>
      </c>
      <c r="HS23">
        <v>1.8676299999999999</v>
      </c>
      <c r="HT23">
        <v>1.8644099999999999</v>
      </c>
      <c r="HU23">
        <v>1.8663000000000001</v>
      </c>
      <c r="HV23">
        <v>0</v>
      </c>
      <c r="HW23">
        <v>0</v>
      </c>
      <c r="HX23">
        <v>0</v>
      </c>
      <c r="HY23">
        <v>0</v>
      </c>
      <c r="HZ23" t="s">
        <v>419</v>
      </c>
      <c r="IA23" t="s">
        <v>420</v>
      </c>
      <c r="IB23" t="s">
        <v>421</v>
      </c>
      <c r="IC23" t="s">
        <v>421</v>
      </c>
      <c r="ID23" t="s">
        <v>421</v>
      </c>
      <c r="IE23" t="s">
        <v>421</v>
      </c>
      <c r="IF23">
        <v>0</v>
      </c>
      <c r="IG23">
        <v>100</v>
      </c>
      <c r="IH23">
        <v>100</v>
      </c>
      <c r="II23">
        <v>1.002</v>
      </c>
      <c r="IJ23">
        <v>-0.11219999999999999</v>
      </c>
      <c r="IK23">
        <v>0.87826023366144201</v>
      </c>
      <c r="IL23">
        <v>2.16929631606078E-4</v>
      </c>
      <c r="IM23">
        <v>2.7226302473163502E-7</v>
      </c>
      <c r="IN23">
        <v>-5.4379205123515401E-11</v>
      </c>
      <c r="IO23">
        <v>-3.2751753410012102E-2</v>
      </c>
      <c r="IP23">
        <v>-5.8443384954566899E-2</v>
      </c>
      <c r="IQ23">
        <v>3.41568706061026E-3</v>
      </c>
      <c r="IR23">
        <v>-2.10952612506686E-5</v>
      </c>
      <c r="IS23">
        <v>0</v>
      </c>
      <c r="IT23">
        <v>1734</v>
      </c>
      <c r="IU23">
        <v>2</v>
      </c>
      <c r="IV23">
        <v>19</v>
      </c>
      <c r="IW23">
        <v>1.2</v>
      </c>
      <c r="IX23">
        <v>1.1000000000000001</v>
      </c>
      <c r="IY23">
        <v>1.0559099999999999</v>
      </c>
      <c r="IZ23">
        <v>2.5695800000000002</v>
      </c>
      <c r="JA23">
        <v>1.3464400000000001</v>
      </c>
      <c r="JB23">
        <v>2.2570800000000002</v>
      </c>
      <c r="JC23">
        <v>1.5502899999999999</v>
      </c>
      <c r="JD23">
        <v>2.4597199999999999</v>
      </c>
      <c r="JE23">
        <v>37.337800000000001</v>
      </c>
      <c r="JF23">
        <v>23.956199999999999</v>
      </c>
      <c r="JG23">
        <v>18</v>
      </c>
      <c r="JH23">
        <v>498.20499999999998</v>
      </c>
      <c r="JI23">
        <v>488.00900000000001</v>
      </c>
      <c r="JJ23">
        <v>22.489100000000001</v>
      </c>
      <c r="JK23">
        <v>26.786200000000001</v>
      </c>
      <c r="JL23">
        <v>30.0002</v>
      </c>
      <c r="JM23">
        <v>26.757100000000001</v>
      </c>
      <c r="JN23">
        <v>26.764399999999998</v>
      </c>
      <c r="JO23">
        <v>21.141999999999999</v>
      </c>
      <c r="JP23">
        <v>34.493600000000001</v>
      </c>
      <c r="JQ23">
        <v>64.344700000000003</v>
      </c>
      <c r="JR23">
        <v>22.485499999999998</v>
      </c>
      <c r="JS23">
        <v>400</v>
      </c>
      <c r="JT23">
        <v>15.206200000000001</v>
      </c>
      <c r="JU23">
        <v>102.084</v>
      </c>
      <c r="JV23">
        <v>97.538899999999998</v>
      </c>
    </row>
    <row r="24" spans="1:282" x14ac:dyDescent="0.3">
      <c r="A24">
        <v>8</v>
      </c>
      <c r="B24">
        <v>1792119258</v>
      </c>
      <c r="C24">
        <v>904.90000009536698</v>
      </c>
      <c r="D24" t="s">
        <v>441</v>
      </c>
      <c r="E24" t="s">
        <v>442</v>
      </c>
      <c r="F24">
        <v>5</v>
      </c>
      <c r="G24">
        <v>1792119254.5</v>
      </c>
      <c r="H24">
        <f t="shared" si="0"/>
        <v>6.1208368040352283E-3</v>
      </c>
      <c r="I24">
        <f t="shared" si="1"/>
        <v>6.1208368040352283</v>
      </c>
      <c r="J24">
        <f t="shared" si="2"/>
        <v>24.583849010280606</v>
      </c>
      <c r="K24">
        <f t="shared" si="3"/>
        <v>688.50066666666703</v>
      </c>
      <c r="L24">
        <f t="shared" si="4"/>
        <v>585.4525985885216</v>
      </c>
      <c r="M24">
        <f t="shared" si="5"/>
        <v>59.646457039775868</v>
      </c>
      <c r="N24">
        <f t="shared" si="6"/>
        <v>70.145090371447125</v>
      </c>
      <c r="O24">
        <f t="shared" si="7"/>
        <v>0.47495451446253067</v>
      </c>
      <c r="P24">
        <f t="shared" si="8"/>
        <v>3.0373458538165123</v>
      </c>
      <c r="Q24">
        <f t="shared" si="9"/>
        <v>0.4372187868555546</v>
      </c>
      <c r="R24">
        <f t="shared" si="10"/>
        <v>0.27640187300724983</v>
      </c>
      <c r="S24">
        <f t="shared" si="11"/>
        <v>241.73418300293537</v>
      </c>
      <c r="T24">
        <f t="shared" si="12"/>
        <v>25.224235470487066</v>
      </c>
      <c r="U24">
        <f t="shared" si="13"/>
        <v>25.011783333333302</v>
      </c>
      <c r="V24">
        <f t="shared" si="14"/>
        <v>3.1819120362197455</v>
      </c>
      <c r="W24">
        <f t="shared" si="15"/>
        <v>55.032280759185738</v>
      </c>
      <c r="X24">
        <f t="shared" si="16"/>
        <v>1.7904368404212321</v>
      </c>
      <c r="Y24">
        <f t="shared" si="17"/>
        <v>3.2534301971890938</v>
      </c>
      <c r="Z24">
        <f t="shared" si="18"/>
        <v>1.3914751957985134</v>
      </c>
      <c r="AA24">
        <f t="shared" si="19"/>
        <v>-269.92890305795356</v>
      </c>
      <c r="AB24">
        <f t="shared" si="20"/>
        <v>61.1412929466508</v>
      </c>
      <c r="AC24">
        <f t="shared" si="21"/>
        <v>4.2664632023884295</v>
      </c>
      <c r="AD24">
        <f t="shared" si="22"/>
        <v>37.213036094021028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54016.085879540318</v>
      </c>
      <c r="AJ24" t="s">
        <v>415</v>
      </c>
      <c r="AK24" t="s">
        <v>415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415</v>
      </c>
      <c r="AQ24" t="s">
        <v>415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1261.1967994833835</v>
      </c>
      <c r="AW24">
        <f t="shared" si="29"/>
        <v>24.583849010280606</v>
      </c>
      <c r="AX24" t="e">
        <f t="shared" si="30"/>
        <v>#DIV/0!</v>
      </c>
      <c r="AY24">
        <f t="shared" si="31"/>
        <v>1.9492476527335576E-2</v>
      </c>
      <c r="AZ24" t="e">
        <f t="shared" si="32"/>
        <v>#DIV/0!</v>
      </c>
      <c r="BA24" t="e">
        <f t="shared" si="33"/>
        <v>#DIV/0!</v>
      </c>
      <c r="BB24" t="s">
        <v>415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BL24">
        <v>1093</v>
      </c>
      <c r="BM24">
        <v>290</v>
      </c>
      <c r="BN24">
        <v>868.3</v>
      </c>
      <c r="BO24">
        <v>175</v>
      </c>
      <c r="BP24">
        <v>8133.33</v>
      </c>
      <c r="BQ24">
        <v>864.45</v>
      </c>
      <c r="BR24">
        <v>3.85</v>
      </c>
      <c r="BS24">
        <v>300</v>
      </c>
      <c r="BT24">
        <v>19.3</v>
      </c>
      <c r="BU24">
        <v>892.61927249853704</v>
      </c>
      <c r="BV24">
        <v>1.9163428110965599</v>
      </c>
      <c r="BW24">
        <v>-22.907362864973301</v>
      </c>
      <c r="BX24">
        <v>1.3922767505624201</v>
      </c>
      <c r="BY24">
        <v>0.90626257319928905</v>
      </c>
      <c r="BZ24">
        <v>-5.39184204671857E-3</v>
      </c>
      <c r="CA24">
        <v>290</v>
      </c>
      <c r="CB24">
        <v>854.97</v>
      </c>
      <c r="CC24">
        <v>615</v>
      </c>
      <c r="CD24">
        <v>8117.95</v>
      </c>
      <c r="CE24">
        <v>864.4</v>
      </c>
      <c r="CF24">
        <v>-9.43</v>
      </c>
      <c r="CT24">
        <f t="shared" si="42"/>
        <v>1499.9833333333299</v>
      </c>
      <c r="CU24">
        <f t="shared" si="43"/>
        <v>1261.1967994833835</v>
      </c>
      <c r="CV24">
        <f t="shared" si="44"/>
        <v>0.8408072086245757</v>
      </c>
      <c r="CW24">
        <f t="shared" si="45"/>
        <v>0.16115791264543111</v>
      </c>
      <c r="CX24">
        <v>2</v>
      </c>
      <c r="CY24">
        <v>0.5</v>
      </c>
      <c r="CZ24" t="s">
        <v>416</v>
      </c>
      <c r="DA24">
        <v>2</v>
      </c>
      <c r="DB24">
        <v>1792119254.5</v>
      </c>
      <c r="DC24">
        <v>688.50066666666703</v>
      </c>
      <c r="DD24">
        <v>700.02016666666702</v>
      </c>
      <c r="DE24">
        <v>17.573816666666701</v>
      </c>
      <c r="DF24">
        <v>15.16845</v>
      </c>
      <c r="DG24">
        <v>687.327</v>
      </c>
      <c r="DH24">
        <v>17.686066666666701</v>
      </c>
      <c r="DI24">
        <v>499.98783333333301</v>
      </c>
      <c r="DJ24">
        <v>101.78100000000001</v>
      </c>
      <c r="DK24">
        <v>9.9933116666666696E-2</v>
      </c>
      <c r="DL24">
        <v>25.385166666666699</v>
      </c>
      <c r="DM24">
        <v>25.011783333333302</v>
      </c>
      <c r="DN24">
        <v>999.9</v>
      </c>
      <c r="DO24">
        <v>0</v>
      </c>
      <c r="DP24">
        <v>0</v>
      </c>
      <c r="DQ24">
        <v>9981.875</v>
      </c>
      <c r="DR24">
        <v>0</v>
      </c>
      <c r="DS24">
        <v>6.565855</v>
      </c>
      <c r="DT24">
        <v>-11.5192833333333</v>
      </c>
      <c r="DU24">
        <v>700.81666666666695</v>
      </c>
      <c r="DV24">
        <v>710.80166666666696</v>
      </c>
      <c r="DW24">
        <v>2.4053666666666702</v>
      </c>
      <c r="DX24">
        <v>700.02016666666702</v>
      </c>
      <c r="DY24">
        <v>15.16845</v>
      </c>
      <c r="DZ24">
        <v>1.78868</v>
      </c>
      <c r="EA24">
        <v>1.54385833333333</v>
      </c>
      <c r="EB24">
        <v>15.688183333333299</v>
      </c>
      <c r="EC24">
        <v>13.4095666666667</v>
      </c>
      <c r="ED24">
        <v>1499.9833333333299</v>
      </c>
      <c r="EE24">
        <v>0.97300033333333302</v>
      </c>
      <c r="EF24">
        <v>2.6999749999999999E-2</v>
      </c>
      <c r="EG24">
        <v>0</v>
      </c>
      <c r="EH24">
        <v>299.01033333333299</v>
      </c>
      <c r="EI24">
        <v>5.0006399999999998</v>
      </c>
      <c r="EJ24">
        <v>4617.8433333333296</v>
      </c>
      <c r="EK24">
        <v>15439.05</v>
      </c>
      <c r="EL24">
        <v>39.6145</v>
      </c>
      <c r="EM24">
        <v>40.25</v>
      </c>
      <c r="EN24">
        <v>39.905999999999999</v>
      </c>
      <c r="EO24">
        <v>39.936999999999998</v>
      </c>
      <c r="EP24">
        <v>41.25</v>
      </c>
      <c r="EQ24">
        <v>1454.62333333333</v>
      </c>
      <c r="ER24">
        <v>40.36</v>
      </c>
      <c r="ES24">
        <v>0</v>
      </c>
      <c r="ET24">
        <v>3002.7999999523199</v>
      </c>
      <c r="EU24">
        <v>0</v>
      </c>
      <c r="EV24">
        <v>299.14091999999999</v>
      </c>
      <c r="EW24">
        <v>-0.857692299682001</v>
      </c>
      <c r="EX24">
        <v>-23.9407692810627</v>
      </c>
      <c r="EY24">
        <v>4619.5504000000001</v>
      </c>
      <c r="EZ24">
        <v>15</v>
      </c>
      <c r="FA24">
        <v>1792119190</v>
      </c>
      <c r="FB24" t="s">
        <v>443</v>
      </c>
      <c r="FC24">
        <v>1792119190</v>
      </c>
      <c r="FD24">
        <v>1792119189</v>
      </c>
      <c r="FE24">
        <v>28</v>
      </c>
      <c r="FF24">
        <v>3.5000000000000003E-2</v>
      </c>
      <c r="FG24">
        <v>2E-3</v>
      </c>
      <c r="FH24">
        <v>1.18</v>
      </c>
      <c r="FI24">
        <v>-0.19700000000000001</v>
      </c>
      <c r="FJ24">
        <v>700</v>
      </c>
      <c r="FK24">
        <v>15</v>
      </c>
      <c r="FL24">
        <v>0.17</v>
      </c>
      <c r="FM24">
        <v>0.02</v>
      </c>
      <c r="FN24">
        <v>24.700570651210899</v>
      </c>
      <c r="FO24">
        <v>9.9002743700809998E-2</v>
      </c>
      <c r="FP24">
        <v>0.15101236038899499</v>
      </c>
      <c r="FQ24">
        <v>1</v>
      </c>
      <c r="FR24">
        <v>-11.5648952380952</v>
      </c>
      <c r="FS24">
        <v>-1.29662337662274E-2</v>
      </c>
      <c r="FT24">
        <v>6.14537183670264E-2</v>
      </c>
      <c r="FU24">
        <v>1</v>
      </c>
      <c r="FV24">
        <v>299.14676470588199</v>
      </c>
      <c r="FW24">
        <v>1.32925936283841E-2</v>
      </c>
      <c r="FX24">
        <v>0.21318578735645999</v>
      </c>
      <c r="FY24">
        <v>-1</v>
      </c>
      <c r="FZ24">
        <v>2</v>
      </c>
      <c r="GA24">
        <v>2</v>
      </c>
      <c r="GB24" t="s">
        <v>418</v>
      </c>
      <c r="GC24">
        <v>3.1234600000000001</v>
      </c>
      <c r="GD24">
        <v>2.7653599999999998</v>
      </c>
      <c r="GE24">
        <v>0.130885</v>
      </c>
      <c r="GF24">
        <v>0.13584199999999999</v>
      </c>
      <c r="GG24">
        <v>9.4534699999999999E-2</v>
      </c>
      <c r="GH24">
        <v>8.7976200000000004E-2</v>
      </c>
      <c r="GI24">
        <v>17000.099999999999</v>
      </c>
      <c r="GJ24">
        <v>25445.8</v>
      </c>
      <c r="GK24">
        <v>22851.200000000001</v>
      </c>
      <c r="GL24">
        <v>30168.5</v>
      </c>
      <c r="GM24">
        <v>33931.199999999997</v>
      </c>
      <c r="GN24">
        <v>34261.599999999999</v>
      </c>
      <c r="GO24">
        <v>43229.5</v>
      </c>
      <c r="GP24">
        <v>42944.9</v>
      </c>
      <c r="GQ24">
        <v>1.98692</v>
      </c>
      <c r="GR24">
        <v>1.84795</v>
      </c>
      <c r="GS24">
        <v>8.4973900000000005E-2</v>
      </c>
      <c r="GT24">
        <v>0</v>
      </c>
      <c r="GU24">
        <v>23.6158</v>
      </c>
      <c r="GV24">
        <v>999.9</v>
      </c>
      <c r="GW24">
        <v>43.688000000000002</v>
      </c>
      <c r="GX24">
        <v>31.542000000000002</v>
      </c>
      <c r="GY24">
        <v>19.972000000000001</v>
      </c>
      <c r="GZ24">
        <v>63.622399999999999</v>
      </c>
      <c r="HA24">
        <v>37.0593</v>
      </c>
      <c r="HB24">
        <v>1</v>
      </c>
      <c r="HC24">
        <v>-2.7436499999999999E-2</v>
      </c>
      <c r="HD24">
        <v>1.2831399999999999</v>
      </c>
      <c r="HE24">
        <v>20.1555</v>
      </c>
      <c r="HF24">
        <v>5.2339099999999998</v>
      </c>
      <c r="HG24">
        <v>11.962</v>
      </c>
      <c r="HH24">
        <v>4.9677499999999997</v>
      </c>
      <c r="HI24">
        <v>3.2949999999999999</v>
      </c>
      <c r="HJ24">
        <v>9999</v>
      </c>
      <c r="HK24">
        <v>999.9</v>
      </c>
      <c r="HL24">
        <v>9999</v>
      </c>
      <c r="HM24">
        <v>9999</v>
      </c>
      <c r="HN24">
        <v>4.9692999999999996</v>
      </c>
      <c r="HO24">
        <v>1.8634999999999999</v>
      </c>
      <c r="HP24">
        <v>1.86507</v>
      </c>
      <c r="HQ24">
        <v>1.8669100000000001</v>
      </c>
      <c r="HR24">
        <v>1.8638699999999999</v>
      </c>
      <c r="HS24">
        <v>1.8675999999999999</v>
      </c>
      <c r="HT24">
        <v>1.86443</v>
      </c>
      <c r="HU24">
        <v>1.8663000000000001</v>
      </c>
      <c r="HV24">
        <v>0</v>
      </c>
      <c r="HW24">
        <v>0</v>
      </c>
      <c r="HX24">
        <v>0</v>
      </c>
      <c r="HY24">
        <v>0</v>
      </c>
      <c r="HZ24" t="s">
        <v>419</v>
      </c>
      <c r="IA24" t="s">
        <v>420</v>
      </c>
      <c r="IB24" t="s">
        <v>421</v>
      </c>
      <c r="IC24" t="s">
        <v>421</v>
      </c>
      <c r="ID24" t="s">
        <v>421</v>
      </c>
      <c r="IE24" t="s">
        <v>421</v>
      </c>
      <c r="IF24">
        <v>0</v>
      </c>
      <c r="IG24">
        <v>100</v>
      </c>
      <c r="IH24">
        <v>100</v>
      </c>
      <c r="II24">
        <v>1.173</v>
      </c>
      <c r="IJ24">
        <v>-0.1124</v>
      </c>
      <c r="IK24">
        <v>0.91358032966646097</v>
      </c>
      <c r="IL24">
        <v>2.16929631606078E-4</v>
      </c>
      <c r="IM24">
        <v>2.7226302473163502E-7</v>
      </c>
      <c r="IN24">
        <v>-5.4379205123515401E-11</v>
      </c>
      <c r="IO24">
        <v>-3.0331305961659699E-2</v>
      </c>
      <c r="IP24">
        <v>-5.8443384954566899E-2</v>
      </c>
      <c r="IQ24">
        <v>3.41568706061026E-3</v>
      </c>
      <c r="IR24">
        <v>-2.10952612506686E-5</v>
      </c>
      <c r="IS24">
        <v>0</v>
      </c>
      <c r="IT24">
        <v>1734</v>
      </c>
      <c r="IU24">
        <v>2</v>
      </c>
      <c r="IV24">
        <v>19</v>
      </c>
      <c r="IW24">
        <v>1.1000000000000001</v>
      </c>
      <c r="IX24">
        <v>1.1000000000000001</v>
      </c>
      <c r="IY24">
        <v>1.63818</v>
      </c>
      <c r="IZ24">
        <v>2.5610400000000002</v>
      </c>
      <c r="JA24">
        <v>1.3476600000000001</v>
      </c>
      <c r="JB24">
        <v>2.2558600000000002</v>
      </c>
      <c r="JC24">
        <v>1.5502899999999999</v>
      </c>
      <c r="JD24">
        <v>2.5952099999999998</v>
      </c>
      <c r="JE24">
        <v>37.313800000000001</v>
      </c>
      <c r="JF24">
        <v>23.9649</v>
      </c>
      <c r="JG24">
        <v>18</v>
      </c>
      <c r="JH24">
        <v>498.48700000000002</v>
      </c>
      <c r="JI24">
        <v>488.31</v>
      </c>
      <c r="JJ24">
        <v>22.522099999999998</v>
      </c>
      <c r="JK24">
        <v>26.8111</v>
      </c>
      <c r="JL24">
        <v>30.0002</v>
      </c>
      <c r="JM24">
        <v>26.7819</v>
      </c>
      <c r="JN24">
        <v>26.789100000000001</v>
      </c>
      <c r="JO24">
        <v>32.782699999999998</v>
      </c>
      <c r="JP24">
        <v>34.491799999999998</v>
      </c>
      <c r="JQ24">
        <v>63.2211</v>
      </c>
      <c r="JR24">
        <v>22.513300000000001</v>
      </c>
      <c r="JS24">
        <v>700</v>
      </c>
      <c r="JT24">
        <v>15.1828</v>
      </c>
      <c r="JU24">
        <v>102.081</v>
      </c>
      <c r="JV24">
        <v>97.539400000000001</v>
      </c>
    </row>
    <row r="25" spans="1:282" x14ac:dyDescent="0.3">
      <c r="A25">
        <v>9</v>
      </c>
      <c r="B25">
        <v>1792119390</v>
      </c>
      <c r="C25">
        <v>1036.9000000953699</v>
      </c>
      <c r="D25" t="s">
        <v>444</v>
      </c>
      <c r="E25" t="s">
        <v>445</v>
      </c>
      <c r="F25">
        <v>5</v>
      </c>
      <c r="G25">
        <v>1792119386.5</v>
      </c>
      <c r="H25">
        <f t="shared" si="0"/>
        <v>5.8850028890539358E-3</v>
      </c>
      <c r="I25">
        <f t="shared" si="1"/>
        <v>5.8850028890539354</v>
      </c>
      <c r="J25">
        <f t="shared" si="2"/>
        <v>24.975903710759052</v>
      </c>
      <c r="K25">
        <f t="shared" si="3"/>
        <v>987.66183333333299</v>
      </c>
      <c r="L25">
        <f t="shared" si="4"/>
        <v>872.69815647196174</v>
      </c>
      <c r="M25">
        <f t="shared" si="5"/>
        <v>88.911364588487103</v>
      </c>
      <c r="N25">
        <f t="shared" si="6"/>
        <v>100.62397943939609</v>
      </c>
      <c r="O25">
        <f t="shared" si="7"/>
        <v>0.4537254574540841</v>
      </c>
      <c r="P25">
        <f t="shared" si="8"/>
        <v>3.0386894780585934</v>
      </c>
      <c r="Q25">
        <f t="shared" si="9"/>
        <v>0.41917024368778333</v>
      </c>
      <c r="R25">
        <f t="shared" si="10"/>
        <v>0.26486640388876387</v>
      </c>
      <c r="S25">
        <f t="shared" si="11"/>
        <v>241.73710900294864</v>
      </c>
      <c r="T25">
        <f t="shared" si="12"/>
        <v>25.219136375094521</v>
      </c>
      <c r="U25">
        <f t="shared" si="13"/>
        <v>25.008050000000001</v>
      </c>
      <c r="V25">
        <f t="shared" si="14"/>
        <v>3.1812039444025615</v>
      </c>
      <c r="W25">
        <f t="shared" si="15"/>
        <v>55.097562731787789</v>
      </c>
      <c r="X25">
        <f t="shared" si="16"/>
        <v>1.7856972277742844</v>
      </c>
      <c r="Y25">
        <f t="shared" si="17"/>
        <v>3.2409731741982313</v>
      </c>
      <c r="Z25">
        <f t="shared" si="18"/>
        <v>1.3955067166282771</v>
      </c>
      <c r="AA25">
        <f t="shared" si="19"/>
        <v>-259.52862740727858</v>
      </c>
      <c r="AB25">
        <f t="shared" si="20"/>
        <v>51.210703164306224</v>
      </c>
      <c r="AC25">
        <f t="shared" si="21"/>
        <v>3.570696120495195</v>
      </c>
      <c r="AD25">
        <f t="shared" si="22"/>
        <v>36.989880880471489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54069.875198209105</v>
      </c>
      <c r="AJ25" t="s">
        <v>415</v>
      </c>
      <c r="AK25" t="s">
        <v>415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415</v>
      </c>
      <c r="AQ25" t="s">
        <v>415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1261.2121994833956</v>
      </c>
      <c r="AW25">
        <f t="shared" si="29"/>
        <v>24.975903710759052</v>
      </c>
      <c r="AX25" t="e">
        <f t="shared" si="30"/>
        <v>#DIV/0!</v>
      </c>
      <c r="AY25">
        <f t="shared" si="31"/>
        <v>1.9803093976564306E-2</v>
      </c>
      <c r="AZ25" t="e">
        <f t="shared" si="32"/>
        <v>#DIV/0!</v>
      </c>
      <c r="BA25" t="e">
        <f t="shared" si="33"/>
        <v>#DIV/0!</v>
      </c>
      <c r="BB25" t="s">
        <v>415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BL25">
        <v>1093</v>
      </c>
      <c r="BM25">
        <v>290</v>
      </c>
      <c r="BN25">
        <v>868.3</v>
      </c>
      <c r="BO25">
        <v>175</v>
      </c>
      <c r="BP25">
        <v>8133.33</v>
      </c>
      <c r="BQ25">
        <v>864.45</v>
      </c>
      <c r="BR25">
        <v>3.85</v>
      </c>
      <c r="BS25">
        <v>300</v>
      </c>
      <c r="BT25">
        <v>19.3</v>
      </c>
      <c r="BU25">
        <v>892.61927249853704</v>
      </c>
      <c r="BV25">
        <v>1.9163428110965599</v>
      </c>
      <c r="BW25">
        <v>-22.907362864973301</v>
      </c>
      <c r="BX25">
        <v>1.3922767505624201</v>
      </c>
      <c r="BY25">
        <v>0.90626257319928905</v>
      </c>
      <c r="BZ25">
        <v>-5.39184204671857E-3</v>
      </c>
      <c r="CA25">
        <v>290</v>
      </c>
      <c r="CB25">
        <v>854.97</v>
      </c>
      <c r="CC25">
        <v>615</v>
      </c>
      <c r="CD25">
        <v>8117.95</v>
      </c>
      <c r="CE25">
        <v>864.4</v>
      </c>
      <c r="CF25">
        <v>-9.43</v>
      </c>
      <c r="CT25">
        <f t="shared" si="42"/>
        <v>1500.00166666667</v>
      </c>
      <c r="CU25">
        <f t="shared" si="43"/>
        <v>1261.2121994833956</v>
      </c>
      <c r="CV25">
        <f t="shared" si="44"/>
        <v>0.84080719875870769</v>
      </c>
      <c r="CW25">
        <f t="shared" si="45"/>
        <v>0.16115789360430585</v>
      </c>
      <c r="CX25">
        <v>2</v>
      </c>
      <c r="CY25">
        <v>0.5</v>
      </c>
      <c r="CZ25" t="s">
        <v>416</v>
      </c>
      <c r="DA25">
        <v>2</v>
      </c>
      <c r="DB25">
        <v>1792119386.5</v>
      </c>
      <c r="DC25">
        <v>987.66183333333299</v>
      </c>
      <c r="DD25">
        <v>999.97400000000005</v>
      </c>
      <c r="DE25">
        <v>17.527283333333301</v>
      </c>
      <c r="DF25">
        <v>15.2151333333333</v>
      </c>
      <c r="DG25">
        <v>986.64800000000002</v>
      </c>
      <c r="DH25">
        <v>17.637716666666702</v>
      </c>
      <c r="DI25">
        <v>500.12799999999999</v>
      </c>
      <c r="DJ25">
        <v>101.78100000000001</v>
      </c>
      <c r="DK25">
        <v>0.10000425</v>
      </c>
      <c r="DL25">
        <v>25.320650000000001</v>
      </c>
      <c r="DM25">
        <v>25.008050000000001</v>
      </c>
      <c r="DN25">
        <v>999.9</v>
      </c>
      <c r="DO25">
        <v>0</v>
      </c>
      <c r="DP25">
        <v>0</v>
      </c>
      <c r="DQ25">
        <v>9989.9833333333299</v>
      </c>
      <c r="DR25">
        <v>0</v>
      </c>
      <c r="DS25">
        <v>6.4303616666666699</v>
      </c>
      <c r="DT25">
        <v>-12.3119666666667</v>
      </c>
      <c r="DU25">
        <v>1005.28</v>
      </c>
      <c r="DV25">
        <v>1015.425</v>
      </c>
      <c r="DW25">
        <v>2.3121383333333299</v>
      </c>
      <c r="DX25">
        <v>999.97400000000005</v>
      </c>
      <c r="DY25">
        <v>15.2151333333333</v>
      </c>
      <c r="DZ25">
        <v>1.7839416666666701</v>
      </c>
      <c r="EA25">
        <v>1.54861</v>
      </c>
      <c r="EB25">
        <v>15.6468166666667</v>
      </c>
      <c r="EC25">
        <v>13.45675</v>
      </c>
      <c r="ED25">
        <v>1500.00166666667</v>
      </c>
      <c r="EE25">
        <v>0.973001</v>
      </c>
      <c r="EF25">
        <v>2.6999100000000002E-2</v>
      </c>
      <c r="EG25">
        <v>0</v>
      </c>
      <c r="EH25">
        <v>298.93933333333302</v>
      </c>
      <c r="EI25">
        <v>5.0006399999999998</v>
      </c>
      <c r="EJ25">
        <v>4616.2433333333302</v>
      </c>
      <c r="EK25">
        <v>15439.25</v>
      </c>
      <c r="EL25">
        <v>39.625</v>
      </c>
      <c r="EM25">
        <v>40.301666666666698</v>
      </c>
      <c r="EN25">
        <v>39.936999999999998</v>
      </c>
      <c r="EO25">
        <v>39.936999999999998</v>
      </c>
      <c r="EP25">
        <v>41.25</v>
      </c>
      <c r="EQ25">
        <v>1454.6416666666701</v>
      </c>
      <c r="ER25">
        <v>40.36</v>
      </c>
      <c r="ES25">
        <v>0</v>
      </c>
      <c r="ET25">
        <v>3134.7999999523199</v>
      </c>
      <c r="EU25">
        <v>0</v>
      </c>
      <c r="EV25">
        <v>298.94427999999999</v>
      </c>
      <c r="EW25">
        <v>-2.7615377033436899E-2</v>
      </c>
      <c r="EX25">
        <v>-12.3984615600935</v>
      </c>
      <c r="EY25">
        <v>4616.8280000000004</v>
      </c>
      <c r="EZ25">
        <v>15</v>
      </c>
      <c r="FA25">
        <v>1792119320</v>
      </c>
      <c r="FB25" t="s">
        <v>446</v>
      </c>
      <c r="FC25">
        <v>1792119319</v>
      </c>
      <c r="FD25">
        <v>1792119320</v>
      </c>
      <c r="FE25">
        <v>29</v>
      </c>
      <c r="FF25">
        <v>-0.32600000000000001</v>
      </c>
      <c r="FG25">
        <v>4.0000000000000001E-3</v>
      </c>
      <c r="FH25">
        <v>1.0209999999999999</v>
      </c>
      <c r="FI25">
        <v>-0.19500000000000001</v>
      </c>
      <c r="FJ25">
        <v>1000</v>
      </c>
      <c r="FK25">
        <v>15</v>
      </c>
      <c r="FL25">
        <v>0.17</v>
      </c>
      <c r="FM25">
        <v>0.02</v>
      </c>
      <c r="FN25">
        <v>25.185209251007301</v>
      </c>
      <c r="FO25">
        <v>0.53306736908570895</v>
      </c>
      <c r="FP25">
        <v>0.21220290141040901</v>
      </c>
      <c r="FQ25">
        <v>1</v>
      </c>
      <c r="FR25">
        <v>-12.409480952380999</v>
      </c>
      <c r="FS25">
        <v>1.6137662337651099E-2</v>
      </c>
      <c r="FT25">
        <v>9.76798201075115E-2</v>
      </c>
      <c r="FU25">
        <v>1</v>
      </c>
      <c r="FV25">
        <v>298.84788235294099</v>
      </c>
      <c r="FW25">
        <v>1.8367303321975501</v>
      </c>
      <c r="FX25">
        <v>0.29908170875550399</v>
      </c>
      <c r="FY25">
        <v>-1</v>
      </c>
      <c r="FZ25">
        <v>2</v>
      </c>
      <c r="GA25">
        <v>2</v>
      </c>
      <c r="GB25" t="s">
        <v>418</v>
      </c>
      <c r="GC25">
        <v>3.1231499999999999</v>
      </c>
      <c r="GD25">
        <v>2.7649499999999998</v>
      </c>
      <c r="GE25">
        <v>0.165769</v>
      </c>
      <c r="GF25">
        <v>0.17139499999999999</v>
      </c>
      <c r="GG25">
        <v>9.4332600000000003E-2</v>
      </c>
      <c r="GH25">
        <v>8.8165300000000002E-2</v>
      </c>
      <c r="GI25">
        <v>16316.6</v>
      </c>
      <c r="GJ25">
        <v>24397.5</v>
      </c>
      <c r="GK25">
        <v>22849.5</v>
      </c>
      <c r="GL25">
        <v>30166.6</v>
      </c>
      <c r="GM25">
        <v>33939</v>
      </c>
      <c r="GN25">
        <v>34255.300000000003</v>
      </c>
      <c r="GO25">
        <v>43226.6</v>
      </c>
      <c r="GP25">
        <v>42942.8</v>
      </c>
      <c r="GQ25">
        <v>1.9859</v>
      </c>
      <c r="GR25">
        <v>1.8482499999999999</v>
      </c>
      <c r="GS25">
        <v>8.6612999999999996E-2</v>
      </c>
      <c r="GT25">
        <v>0</v>
      </c>
      <c r="GU25">
        <v>23.581600000000002</v>
      </c>
      <c r="GV25">
        <v>999.9</v>
      </c>
      <c r="GW25">
        <v>43.351999999999997</v>
      </c>
      <c r="GX25">
        <v>31.562000000000001</v>
      </c>
      <c r="GY25">
        <v>19.840199999999999</v>
      </c>
      <c r="GZ25">
        <v>63.352400000000003</v>
      </c>
      <c r="HA25">
        <v>37.355800000000002</v>
      </c>
      <c r="HB25">
        <v>1</v>
      </c>
      <c r="HC25">
        <v>-2.4380099999999998E-2</v>
      </c>
      <c r="HD25">
        <v>1.3972899999999999</v>
      </c>
      <c r="HE25">
        <v>20.2209</v>
      </c>
      <c r="HF25">
        <v>5.2252299999999998</v>
      </c>
      <c r="HG25">
        <v>11.962</v>
      </c>
      <c r="HH25">
        <v>4.9678500000000003</v>
      </c>
      <c r="HI25">
        <v>3.2943500000000001</v>
      </c>
      <c r="HJ25">
        <v>9999</v>
      </c>
      <c r="HK25">
        <v>999.9</v>
      </c>
      <c r="HL25">
        <v>9999</v>
      </c>
      <c r="HM25">
        <v>9999</v>
      </c>
      <c r="HN25">
        <v>4.9686500000000002</v>
      </c>
      <c r="HO25">
        <v>1.8628400000000001</v>
      </c>
      <c r="HP25">
        <v>1.8644400000000001</v>
      </c>
      <c r="HQ25">
        <v>1.8663000000000001</v>
      </c>
      <c r="HR25">
        <v>1.8632500000000001</v>
      </c>
      <c r="HS25">
        <v>1.8670199999999999</v>
      </c>
      <c r="HT25">
        <v>1.86375</v>
      </c>
      <c r="HU25">
        <v>1.8656900000000001</v>
      </c>
      <c r="HV25">
        <v>0</v>
      </c>
      <c r="HW25">
        <v>0</v>
      </c>
      <c r="HX25">
        <v>0</v>
      </c>
      <c r="HY25">
        <v>0</v>
      </c>
      <c r="HZ25" t="s">
        <v>419</v>
      </c>
      <c r="IA25" t="s">
        <v>420</v>
      </c>
      <c r="IB25" t="s">
        <v>421</v>
      </c>
      <c r="IC25" t="s">
        <v>421</v>
      </c>
      <c r="ID25" t="s">
        <v>421</v>
      </c>
      <c r="IE25" t="s">
        <v>421</v>
      </c>
      <c r="IF25">
        <v>0</v>
      </c>
      <c r="IG25">
        <v>100</v>
      </c>
      <c r="IH25">
        <v>100</v>
      </c>
      <c r="II25">
        <v>1.014</v>
      </c>
      <c r="IJ25">
        <v>-0.11070000000000001</v>
      </c>
      <c r="IK25">
        <v>0.58706997779499004</v>
      </c>
      <c r="IL25">
        <v>2.16929631606078E-4</v>
      </c>
      <c r="IM25">
        <v>2.7226302473163502E-7</v>
      </c>
      <c r="IN25">
        <v>-5.4379205123515401E-11</v>
      </c>
      <c r="IO25">
        <v>-2.6468671592456802E-2</v>
      </c>
      <c r="IP25">
        <v>-5.8443384954566899E-2</v>
      </c>
      <c r="IQ25">
        <v>3.41568706061026E-3</v>
      </c>
      <c r="IR25">
        <v>-2.10952612506686E-5</v>
      </c>
      <c r="IS25">
        <v>0</v>
      </c>
      <c r="IT25">
        <v>1734</v>
      </c>
      <c r="IU25">
        <v>2</v>
      </c>
      <c r="IV25">
        <v>19</v>
      </c>
      <c r="IW25">
        <v>1.2</v>
      </c>
      <c r="IX25">
        <v>1.2</v>
      </c>
      <c r="IY25">
        <v>2.17896</v>
      </c>
      <c r="IZ25">
        <v>2.5524900000000001</v>
      </c>
      <c r="JA25">
        <v>1.3464400000000001</v>
      </c>
      <c r="JB25">
        <v>2.2570800000000002</v>
      </c>
      <c r="JC25">
        <v>1.5502899999999999</v>
      </c>
      <c r="JD25">
        <v>2.5781200000000002</v>
      </c>
      <c r="JE25">
        <v>37.146299999999997</v>
      </c>
      <c r="JF25">
        <v>16.277200000000001</v>
      </c>
      <c r="JG25">
        <v>18</v>
      </c>
      <c r="JH25">
        <v>498.113</v>
      </c>
      <c r="JI25">
        <v>488.80500000000001</v>
      </c>
      <c r="JJ25">
        <v>22.3508</v>
      </c>
      <c r="JK25">
        <v>26.845199999999998</v>
      </c>
      <c r="JL25">
        <v>30.000399999999999</v>
      </c>
      <c r="JM25">
        <v>26.811199999999999</v>
      </c>
      <c r="JN25">
        <v>26.819400000000002</v>
      </c>
      <c r="JO25">
        <v>43.615900000000003</v>
      </c>
      <c r="JP25">
        <v>33.764400000000002</v>
      </c>
      <c r="JQ25">
        <v>62.103900000000003</v>
      </c>
      <c r="JR25">
        <v>22.338100000000001</v>
      </c>
      <c r="JS25">
        <v>1000</v>
      </c>
      <c r="JT25">
        <v>15.216799999999999</v>
      </c>
      <c r="JU25">
        <v>102.074</v>
      </c>
      <c r="JV25">
        <v>97.534000000000006</v>
      </c>
    </row>
    <row r="26" spans="1:282" x14ac:dyDescent="0.3">
      <c r="A26">
        <v>10</v>
      </c>
      <c r="B26">
        <v>1792119526</v>
      </c>
      <c r="C26">
        <v>1172.9000000953699</v>
      </c>
      <c r="D26" t="s">
        <v>447</v>
      </c>
      <c r="E26" t="s">
        <v>448</v>
      </c>
      <c r="F26">
        <v>5</v>
      </c>
      <c r="G26">
        <v>1792119523</v>
      </c>
      <c r="H26">
        <f t="shared" si="0"/>
        <v>5.584629827376706E-3</v>
      </c>
      <c r="I26">
        <f t="shared" si="1"/>
        <v>5.5846298273767063</v>
      </c>
      <c r="J26">
        <f t="shared" si="2"/>
        <v>25.737859304759958</v>
      </c>
      <c r="K26">
        <f t="shared" si="3"/>
        <v>1186.9780000000001</v>
      </c>
      <c r="L26">
        <f t="shared" si="4"/>
        <v>1058.5651258587543</v>
      </c>
      <c r="M26">
        <f t="shared" si="5"/>
        <v>107.8465773375714</v>
      </c>
      <c r="N26">
        <f t="shared" si="6"/>
        <v>120.9292763835832</v>
      </c>
      <c r="O26">
        <f t="shared" si="7"/>
        <v>0.42522667349300836</v>
      </c>
      <c r="P26">
        <f t="shared" si="8"/>
        <v>3.0389609226781298</v>
      </c>
      <c r="Q26">
        <f t="shared" si="9"/>
        <v>0.39472215285256279</v>
      </c>
      <c r="R26">
        <f t="shared" si="10"/>
        <v>0.2492594537617692</v>
      </c>
      <c r="S26">
        <f t="shared" si="11"/>
        <v>241.74195020296827</v>
      </c>
      <c r="T26">
        <f t="shared" si="12"/>
        <v>25.215015502235673</v>
      </c>
      <c r="U26">
        <f t="shared" si="13"/>
        <v>25.003879999999999</v>
      </c>
      <c r="V26">
        <f t="shared" si="14"/>
        <v>3.1804131939372517</v>
      </c>
      <c r="W26">
        <f t="shared" si="15"/>
        <v>54.998074335462164</v>
      </c>
      <c r="X26">
        <f t="shared" si="16"/>
        <v>1.7740378576964879</v>
      </c>
      <c r="Y26">
        <f t="shared" si="17"/>
        <v>3.2256363138747339</v>
      </c>
      <c r="Z26">
        <f t="shared" si="18"/>
        <v>1.4063753362407638</v>
      </c>
      <c r="AA26">
        <f t="shared" si="19"/>
        <v>-246.28217538731275</v>
      </c>
      <c r="AB26">
        <f t="shared" si="20"/>
        <v>38.835794777881922</v>
      </c>
      <c r="AC26">
        <f t="shared" si="21"/>
        <v>2.7064635638525547</v>
      </c>
      <c r="AD26">
        <f t="shared" si="22"/>
        <v>37.002033157390009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54092.815850393432</v>
      </c>
      <c r="AJ26" t="s">
        <v>415</v>
      </c>
      <c r="AK26" t="s">
        <v>415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415</v>
      </c>
      <c r="AQ26" t="s">
        <v>415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1261.2376794834033</v>
      </c>
      <c r="AW26">
        <f t="shared" si="29"/>
        <v>25.737859304759958</v>
      </c>
      <c r="AX26" t="e">
        <f t="shared" si="30"/>
        <v>#DIV/0!</v>
      </c>
      <c r="AY26">
        <f t="shared" si="31"/>
        <v>2.0406827137690698E-2</v>
      </c>
      <c r="AZ26" t="e">
        <f t="shared" si="32"/>
        <v>#DIV/0!</v>
      </c>
      <c r="BA26" t="e">
        <f t="shared" si="33"/>
        <v>#DIV/0!</v>
      </c>
      <c r="BB26" t="s">
        <v>415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BL26">
        <v>1093</v>
      </c>
      <c r="BM26">
        <v>290</v>
      </c>
      <c r="BN26">
        <v>868.3</v>
      </c>
      <c r="BO26">
        <v>175</v>
      </c>
      <c r="BP26">
        <v>8133.33</v>
      </c>
      <c r="BQ26">
        <v>864.45</v>
      </c>
      <c r="BR26">
        <v>3.85</v>
      </c>
      <c r="BS26">
        <v>300</v>
      </c>
      <c r="BT26">
        <v>19.3</v>
      </c>
      <c r="BU26">
        <v>892.61927249853704</v>
      </c>
      <c r="BV26">
        <v>1.9163428110965599</v>
      </c>
      <c r="BW26">
        <v>-22.907362864973301</v>
      </c>
      <c r="BX26">
        <v>1.3922767505624201</v>
      </c>
      <c r="BY26">
        <v>0.90626257319928905</v>
      </c>
      <c r="BZ26">
        <v>-5.39184204671857E-3</v>
      </c>
      <c r="CA26">
        <v>290</v>
      </c>
      <c r="CB26">
        <v>854.97</v>
      </c>
      <c r="CC26">
        <v>615</v>
      </c>
      <c r="CD26">
        <v>8117.95</v>
      </c>
      <c r="CE26">
        <v>864.4</v>
      </c>
      <c r="CF26">
        <v>-9.43</v>
      </c>
      <c r="CT26">
        <f t="shared" si="42"/>
        <v>1500.0319999999999</v>
      </c>
      <c r="CU26">
        <f t="shared" si="43"/>
        <v>1261.2376794834033</v>
      </c>
      <c r="CV26">
        <f t="shared" si="44"/>
        <v>0.84080718243571029</v>
      </c>
      <c r="CW26">
        <f t="shared" si="45"/>
        <v>0.1611578621009207</v>
      </c>
      <c r="CX26">
        <v>2</v>
      </c>
      <c r="CY26">
        <v>0.5</v>
      </c>
      <c r="CZ26" t="s">
        <v>416</v>
      </c>
      <c r="DA26">
        <v>2</v>
      </c>
      <c r="DB26">
        <v>1792119523</v>
      </c>
      <c r="DC26">
        <v>1186.9780000000001</v>
      </c>
      <c r="DD26">
        <v>1199.922</v>
      </c>
      <c r="DE26">
        <v>17.413019999999999</v>
      </c>
      <c r="DF26">
        <v>15.21852</v>
      </c>
      <c r="DG26">
        <v>1185.4079999999999</v>
      </c>
      <c r="DH26">
        <v>17.526700000000002</v>
      </c>
      <c r="DI26">
        <v>500.10340000000002</v>
      </c>
      <c r="DJ26">
        <v>101.77979999999999</v>
      </c>
      <c r="DK26">
        <v>0.1001644</v>
      </c>
      <c r="DL26">
        <v>25.240919999999999</v>
      </c>
      <c r="DM26">
        <v>25.003879999999999</v>
      </c>
      <c r="DN26">
        <v>999.9</v>
      </c>
      <c r="DO26">
        <v>0</v>
      </c>
      <c r="DP26">
        <v>0</v>
      </c>
      <c r="DQ26">
        <v>9991.74</v>
      </c>
      <c r="DR26">
        <v>0</v>
      </c>
      <c r="DS26">
        <v>6.7548120000000003</v>
      </c>
      <c r="DT26">
        <v>-12.94244</v>
      </c>
      <c r="DU26">
        <v>1208.0160000000001</v>
      </c>
      <c r="DV26">
        <v>1218.4680000000001</v>
      </c>
      <c r="DW26">
        <v>2.194534</v>
      </c>
      <c r="DX26">
        <v>1199.922</v>
      </c>
      <c r="DY26">
        <v>15.21852</v>
      </c>
      <c r="DZ26">
        <v>1.7723</v>
      </c>
      <c r="EA26">
        <v>1.54894</v>
      </c>
      <c r="EB26">
        <v>15.54458</v>
      </c>
      <c r="EC26">
        <v>13.46002</v>
      </c>
      <c r="ED26">
        <v>1500.0319999999999</v>
      </c>
      <c r="EE26">
        <v>0.97300180000000003</v>
      </c>
      <c r="EF26">
        <v>2.6998319999999999E-2</v>
      </c>
      <c r="EG26">
        <v>0</v>
      </c>
      <c r="EH26">
        <v>298.81040000000002</v>
      </c>
      <c r="EI26">
        <v>5.0006399999999998</v>
      </c>
      <c r="EJ26">
        <v>4614.2020000000002</v>
      </c>
      <c r="EK26">
        <v>15439.58</v>
      </c>
      <c r="EL26">
        <v>39.686999999999998</v>
      </c>
      <c r="EM26">
        <v>40.311999999999998</v>
      </c>
      <c r="EN26">
        <v>40</v>
      </c>
      <c r="EO26">
        <v>40</v>
      </c>
      <c r="EP26">
        <v>41.299599999999998</v>
      </c>
      <c r="EQ26">
        <v>1454.672</v>
      </c>
      <c r="ER26">
        <v>40.36</v>
      </c>
      <c r="ES26">
        <v>0</v>
      </c>
      <c r="ET26">
        <v>3271</v>
      </c>
      <c r="EU26">
        <v>0</v>
      </c>
      <c r="EV26">
        <v>298.82342307692301</v>
      </c>
      <c r="EW26">
        <v>-0.54362393981327095</v>
      </c>
      <c r="EX26">
        <v>-10.184615377836099</v>
      </c>
      <c r="EY26">
        <v>4615.11769230769</v>
      </c>
      <c r="EZ26">
        <v>15</v>
      </c>
      <c r="FA26">
        <v>1792119455</v>
      </c>
      <c r="FB26" t="s">
        <v>449</v>
      </c>
      <c r="FC26">
        <v>1792119455</v>
      </c>
      <c r="FD26">
        <v>1792119448</v>
      </c>
      <c r="FE26">
        <v>30</v>
      </c>
      <c r="FF26">
        <v>0.436</v>
      </c>
      <c r="FG26">
        <v>1E-3</v>
      </c>
      <c r="FH26">
        <v>1.579</v>
      </c>
      <c r="FI26">
        <v>-0.192</v>
      </c>
      <c r="FJ26">
        <v>1200</v>
      </c>
      <c r="FK26">
        <v>15</v>
      </c>
      <c r="FL26">
        <v>0.12</v>
      </c>
      <c r="FM26">
        <v>0.05</v>
      </c>
      <c r="FN26">
        <v>25.841656133738201</v>
      </c>
      <c r="FO26">
        <v>-0.43811267794398701</v>
      </c>
      <c r="FP26">
        <v>0.210495710951355</v>
      </c>
      <c r="FQ26">
        <v>1</v>
      </c>
      <c r="FR26">
        <v>-13.003980952380999</v>
      </c>
      <c r="FS26">
        <v>0.22790649350651401</v>
      </c>
      <c r="FT26">
        <v>8.4109546590529105E-2</v>
      </c>
      <c r="FU26">
        <v>1</v>
      </c>
      <c r="FV26">
        <v>298.79982352941198</v>
      </c>
      <c r="FW26">
        <v>0.2672268879443</v>
      </c>
      <c r="FX26">
        <v>0.253437713729595</v>
      </c>
      <c r="FY26">
        <v>-1</v>
      </c>
      <c r="FZ26">
        <v>2</v>
      </c>
      <c r="GA26">
        <v>2</v>
      </c>
      <c r="GB26" t="s">
        <v>418</v>
      </c>
      <c r="GC26">
        <v>3.1234500000000001</v>
      </c>
      <c r="GD26">
        <v>2.7652199999999998</v>
      </c>
      <c r="GE26">
        <v>0.18570800000000001</v>
      </c>
      <c r="GF26">
        <v>0.191798</v>
      </c>
      <c r="GG26">
        <v>9.3880000000000005E-2</v>
      </c>
      <c r="GH26">
        <v>8.8175100000000006E-2</v>
      </c>
      <c r="GI26">
        <v>15925</v>
      </c>
      <c r="GJ26">
        <v>23795.4</v>
      </c>
      <c r="GK26">
        <v>22847</v>
      </c>
      <c r="GL26">
        <v>30164.6</v>
      </c>
      <c r="GM26">
        <v>33954.300000000003</v>
      </c>
      <c r="GN26">
        <v>34254.5</v>
      </c>
      <c r="GO26">
        <v>43222.2</v>
      </c>
      <c r="GP26">
        <v>42940.5</v>
      </c>
      <c r="GQ26">
        <v>1.9864299999999999</v>
      </c>
      <c r="GR26">
        <v>1.84805</v>
      </c>
      <c r="GS26">
        <v>8.8989700000000005E-2</v>
      </c>
      <c r="GT26">
        <v>0</v>
      </c>
      <c r="GU26">
        <v>23.538399999999999</v>
      </c>
      <c r="GV26">
        <v>999.9</v>
      </c>
      <c r="GW26">
        <v>43.107999999999997</v>
      </c>
      <c r="GX26">
        <v>31.622</v>
      </c>
      <c r="GY26">
        <v>19.796099999999999</v>
      </c>
      <c r="GZ26">
        <v>63.432400000000001</v>
      </c>
      <c r="HA26">
        <v>37.283700000000003</v>
      </c>
      <c r="HB26">
        <v>1</v>
      </c>
      <c r="HC26">
        <v>-2.1077200000000001E-2</v>
      </c>
      <c r="HD26">
        <v>1.49221</v>
      </c>
      <c r="HE26">
        <v>20.2225</v>
      </c>
      <c r="HF26">
        <v>5.22912</v>
      </c>
      <c r="HG26">
        <v>11.962</v>
      </c>
      <c r="HH26">
        <v>4.9692499999999997</v>
      </c>
      <c r="HI26">
        <v>3.2950300000000001</v>
      </c>
      <c r="HJ26">
        <v>9999</v>
      </c>
      <c r="HK26">
        <v>999.9</v>
      </c>
      <c r="HL26">
        <v>9999</v>
      </c>
      <c r="HM26">
        <v>9999</v>
      </c>
      <c r="HN26">
        <v>4.9686199999999996</v>
      </c>
      <c r="HO26">
        <v>1.8627199999999999</v>
      </c>
      <c r="HP26">
        <v>1.8642700000000001</v>
      </c>
      <c r="HQ26">
        <v>1.86615</v>
      </c>
      <c r="HR26">
        <v>1.86311</v>
      </c>
      <c r="HS26">
        <v>1.8668199999999999</v>
      </c>
      <c r="HT26">
        <v>1.8636299999999999</v>
      </c>
      <c r="HU26">
        <v>1.86554</v>
      </c>
      <c r="HV26">
        <v>0</v>
      </c>
      <c r="HW26">
        <v>0</v>
      </c>
      <c r="HX26">
        <v>0</v>
      </c>
      <c r="HY26">
        <v>0</v>
      </c>
      <c r="HZ26" t="s">
        <v>419</v>
      </c>
      <c r="IA26" t="s">
        <v>420</v>
      </c>
      <c r="IB26" t="s">
        <v>421</v>
      </c>
      <c r="IC26" t="s">
        <v>421</v>
      </c>
      <c r="ID26" t="s">
        <v>421</v>
      </c>
      <c r="IE26" t="s">
        <v>421</v>
      </c>
      <c r="IF26">
        <v>0</v>
      </c>
      <c r="IG26">
        <v>100</v>
      </c>
      <c r="IH26">
        <v>100</v>
      </c>
      <c r="II26">
        <v>1.57</v>
      </c>
      <c r="IJ26">
        <v>-0.11409999999999999</v>
      </c>
      <c r="IK26">
        <v>1.02152540044038</v>
      </c>
      <c r="IL26">
        <v>2.16929631606078E-4</v>
      </c>
      <c r="IM26">
        <v>2.7226302473163502E-7</v>
      </c>
      <c r="IN26">
        <v>-5.4379205123515401E-11</v>
      </c>
      <c r="IO26">
        <v>-2.50390350405807E-2</v>
      </c>
      <c r="IP26">
        <v>-5.8443384954566899E-2</v>
      </c>
      <c r="IQ26">
        <v>3.41568706061026E-3</v>
      </c>
      <c r="IR26">
        <v>-2.10952612506686E-5</v>
      </c>
      <c r="IS26">
        <v>0</v>
      </c>
      <c r="IT26">
        <v>1734</v>
      </c>
      <c r="IU26">
        <v>2</v>
      </c>
      <c r="IV26">
        <v>19</v>
      </c>
      <c r="IW26">
        <v>1.2</v>
      </c>
      <c r="IX26">
        <v>1.3</v>
      </c>
      <c r="IY26">
        <v>2.52197</v>
      </c>
      <c r="IZ26">
        <v>2.5585900000000001</v>
      </c>
      <c r="JA26">
        <v>1.3464400000000001</v>
      </c>
      <c r="JB26">
        <v>2.2570800000000002</v>
      </c>
      <c r="JC26">
        <v>1.5502899999999999</v>
      </c>
      <c r="JD26">
        <v>2.4279799999999998</v>
      </c>
      <c r="JE26">
        <v>36.836599999999997</v>
      </c>
      <c r="JF26">
        <v>16.198399999999999</v>
      </c>
      <c r="JG26">
        <v>18</v>
      </c>
      <c r="JH26">
        <v>498.738</v>
      </c>
      <c r="JI26">
        <v>488.971</v>
      </c>
      <c r="JJ26">
        <v>22.2193</v>
      </c>
      <c r="JK26">
        <v>26.879799999999999</v>
      </c>
      <c r="JL26">
        <v>30.000399999999999</v>
      </c>
      <c r="JM26">
        <v>26.845099999999999</v>
      </c>
      <c r="JN26">
        <v>26.8522</v>
      </c>
      <c r="JO26">
        <v>50.4801</v>
      </c>
      <c r="JP26">
        <v>33.282800000000002</v>
      </c>
      <c r="JQ26">
        <v>60.98</v>
      </c>
      <c r="JR26">
        <v>22.202200000000001</v>
      </c>
      <c r="JS26">
        <v>1200</v>
      </c>
      <c r="JT26">
        <v>15.2996</v>
      </c>
      <c r="JU26">
        <v>102.063</v>
      </c>
      <c r="JV26">
        <v>97.528400000000005</v>
      </c>
    </row>
    <row r="27" spans="1:282" x14ac:dyDescent="0.3">
      <c r="A27">
        <v>11</v>
      </c>
      <c r="B27">
        <v>1792119654</v>
      </c>
      <c r="C27">
        <v>1300.9000000953699</v>
      </c>
      <c r="D27" t="s">
        <v>450</v>
      </c>
      <c r="E27" t="s">
        <v>451</v>
      </c>
      <c r="F27">
        <v>5</v>
      </c>
      <c r="G27">
        <v>1792119650.5</v>
      </c>
      <c r="H27">
        <f t="shared" si="0"/>
        <v>5.1998996289728894E-3</v>
      </c>
      <c r="I27">
        <f t="shared" si="1"/>
        <v>5.1998996289728892</v>
      </c>
      <c r="J27">
        <f t="shared" si="2"/>
        <v>25.453280013732282</v>
      </c>
      <c r="K27">
        <f t="shared" si="3"/>
        <v>1486.7183333333301</v>
      </c>
      <c r="L27">
        <f t="shared" si="4"/>
        <v>1344.4035200538535</v>
      </c>
      <c r="M27">
        <f t="shared" si="5"/>
        <v>136.96417698245361</v>
      </c>
      <c r="N27">
        <f t="shared" si="6"/>
        <v>151.46282339514244</v>
      </c>
      <c r="O27">
        <f t="shared" si="7"/>
        <v>0.39139573164688246</v>
      </c>
      <c r="P27">
        <f t="shared" si="8"/>
        <v>3.0415012744702654</v>
      </c>
      <c r="Q27">
        <f t="shared" si="9"/>
        <v>0.36541306228547799</v>
      </c>
      <c r="R27">
        <f t="shared" si="10"/>
        <v>0.23057371186508091</v>
      </c>
      <c r="S27">
        <f t="shared" si="11"/>
        <v>241.73285300293034</v>
      </c>
      <c r="T27">
        <f t="shared" si="12"/>
        <v>25.204080461620244</v>
      </c>
      <c r="U27">
        <f t="shared" si="13"/>
        <v>25.005266666666699</v>
      </c>
      <c r="V27">
        <f t="shared" si="14"/>
        <v>3.1806761262668033</v>
      </c>
      <c r="W27">
        <f t="shared" si="15"/>
        <v>55.105206616441315</v>
      </c>
      <c r="X27">
        <f t="shared" si="16"/>
        <v>1.76613947266655</v>
      </c>
      <c r="Y27">
        <f t="shared" si="17"/>
        <v>3.2050319400120002</v>
      </c>
      <c r="Z27">
        <f t="shared" si="18"/>
        <v>1.4145366536002533</v>
      </c>
      <c r="AA27">
        <f t="shared" si="19"/>
        <v>-229.31557363770443</v>
      </c>
      <c r="AB27">
        <f t="shared" si="20"/>
        <v>20.991330229050369</v>
      </c>
      <c r="AC27">
        <f t="shared" si="21"/>
        <v>1.4608809289929614</v>
      </c>
      <c r="AD27">
        <f t="shared" si="22"/>
        <v>34.869490523269242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54192.02972007668</v>
      </c>
      <c r="AJ27" t="s">
        <v>415</v>
      </c>
      <c r="AK27" t="s">
        <v>415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415</v>
      </c>
      <c r="AQ27" t="s">
        <v>415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1261.1897994833835</v>
      </c>
      <c r="AW27">
        <f t="shared" si="29"/>
        <v>25.453280013732282</v>
      </c>
      <c r="AX27" t="e">
        <f t="shared" si="30"/>
        <v>#DIV/0!</v>
      </c>
      <c r="AY27">
        <f t="shared" si="31"/>
        <v>2.0181958357226339E-2</v>
      </c>
      <c r="AZ27" t="e">
        <f t="shared" si="32"/>
        <v>#DIV/0!</v>
      </c>
      <c r="BA27" t="e">
        <f t="shared" si="33"/>
        <v>#DIV/0!</v>
      </c>
      <c r="BB27" t="s">
        <v>415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BL27">
        <v>1093</v>
      </c>
      <c r="BM27">
        <v>290</v>
      </c>
      <c r="BN27">
        <v>868.3</v>
      </c>
      <c r="BO27">
        <v>175</v>
      </c>
      <c r="BP27">
        <v>8133.33</v>
      </c>
      <c r="BQ27">
        <v>864.45</v>
      </c>
      <c r="BR27">
        <v>3.85</v>
      </c>
      <c r="BS27">
        <v>300</v>
      </c>
      <c r="BT27">
        <v>19.3</v>
      </c>
      <c r="BU27">
        <v>892.61927249853704</v>
      </c>
      <c r="BV27">
        <v>1.9163428110965599</v>
      </c>
      <c r="BW27">
        <v>-22.907362864973301</v>
      </c>
      <c r="BX27">
        <v>1.3922767505624201</v>
      </c>
      <c r="BY27">
        <v>0.90626257319928905</v>
      </c>
      <c r="BZ27">
        <v>-5.39184204671857E-3</v>
      </c>
      <c r="CA27">
        <v>290</v>
      </c>
      <c r="CB27">
        <v>854.97</v>
      </c>
      <c r="CC27">
        <v>615</v>
      </c>
      <c r="CD27">
        <v>8117.95</v>
      </c>
      <c r="CE27">
        <v>864.4</v>
      </c>
      <c r="CF27">
        <v>-9.43</v>
      </c>
      <c r="CT27">
        <f t="shared" si="42"/>
        <v>1499.9749999999999</v>
      </c>
      <c r="CU27">
        <f t="shared" si="43"/>
        <v>1261.1897994833835</v>
      </c>
      <c r="CV27">
        <f t="shared" si="44"/>
        <v>0.84080721310914086</v>
      </c>
      <c r="CW27">
        <f t="shared" si="45"/>
        <v>0.16115792130064191</v>
      </c>
      <c r="CX27">
        <v>2</v>
      </c>
      <c r="CY27">
        <v>0.5</v>
      </c>
      <c r="CZ27" t="s">
        <v>416</v>
      </c>
      <c r="DA27">
        <v>2</v>
      </c>
      <c r="DB27">
        <v>1792119650.5</v>
      </c>
      <c r="DC27">
        <v>1486.7183333333301</v>
      </c>
      <c r="DD27">
        <v>1499.99</v>
      </c>
      <c r="DE27">
        <v>17.33595</v>
      </c>
      <c r="DF27">
        <v>15.292350000000001</v>
      </c>
      <c r="DG27">
        <v>1484.51833333333</v>
      </c>
      <c r="DH27">
        <v>17.451149999999998</v>
      </c>
      <c r="DI27">
        <v>500.07383333333303</v>
      </c>
      <c r="DJ27">
        <v>101.7775</v>
      </c>
      <c r="DK27">
        <v>9.9782333333333306E-2</v>
      </c>
      <c r="DL27">
        <v>25.133283333333299</v>
      </c>
      <c r="DM27">
        <v>25.005266666666699</v>
      </c>
      <c r="DN27">
        <v>999.9</v>
      </c>
      <c r="DO27">
        <v>0</v>
      </c>
      <c r="DP27">
        <v>0</v>
      </c>
      <c r="DQ27">
        <v>10007.3166666667</v>
      </c>
      <c r="DR27">
        <v>0</v>
      </c>
      <c r="DS27">
        <v>6.8775283333333297</v>
      </c>
      <c r="DT27">
        <v>-13.272033333333299</v>
      </c>
      <c r="DU27">
        <v>1512.9466666666699</v>
      </c>
      <c r="DV27">
        <v>1523.2833333333299</v>
      </c>
      <c r="DW27">
        <v>2.04361666666667</v>
      </c>
      <c r="DX27">
        <v>1499.99</v>
      </c>
      <c r="DY27">
        <v>15.292350000000001</v>
      </c>
      <c r="DZ27">
        <v>1.76440666666667</v>
      </c>
      <c r="EA27">
        <v>1.5564133333333301</v>
      </c>
      <c r="EB27">
        <v>15.4749833333333</v>
      </c>
      <c r="EC27">
        <v>13.533899999999999</v>
      </c>
      <c r="ED27">
        <v>1499.9749999999999</v>
      </c>
      <c r="EE27">
        <v>0.973001</v>
      </c>
      <c r="EF27">
        <v>2.6999100000000002E-2</v>
      </c>
      <c r="EG27">
        <v>0</v>
      </c>
      <c r="EH27">
        <v>299.42033333333302</v>
      </c>
      <c r="EI27">
        <v>5.0006399999999998</v>
      </c>
      <c r="EJ27">
        <v>4624.97166666667</v>
      </c>
      <c r="EK27">
        <v>15438.9666666667</v>
      </c>
      <c r="EL27">
        <v>39.686999999999998</v>
      </c>
      <c r="EM27">
        <v>40.353999999999999</v>
      </c>
      <c r="EN27">
        <v>40</v>
      </c>
      <c r="EO27">
        <v>40</v>
      </c>
      <c r="EP27">
        <v>41.311999999999998</v>
      </c>
      <c r="EQ27">
        <v>1454.615</v>
      </c>
      <c r="ER27">
        <v>40.36</v>
      </c>
      <c r="ES27">
        <v>0</v>
      </c>
      <c r="ET27">
        <v>3398.7999999523199</v>
      </c>
      <c r="EU27">
        <v>0</v>
      </c>
      <c r="EV27">
        <v>299.38920000000002</v>
      </c>
      <c r="EW27">
        <v>0.83976923600214604</v>
      </c>
      <c r="EX27">
        <v>10.6276923187816</v>
      </c>
      <c r="EY27">
        <v>4624.3476000000001</v>
      </c>
      <c r="EZ27">
        <v>15</v>
      </c>
      <c r="FA27">
        <v>1792119592</v>
      </c>
      <c r="FB27" t="s">
        <v>452</v>
      </c>
      <c r="FC27">
        <v>1792119592</v>
      </c>
      <c r="FD27">
        <v>1792119584</v>
      </c>
      <c r="FE27">
        <v>31</v>
      </c>
      <c r="FF27">
        <v>0.433</v>
      </c>
      <c r="FG27">
        <v>2E-3</v>
      </c>
      <c r="FH27">
        <v>2.2069999999999999</v>
      </c>
      <c r="FI27">
        <v>-0.188</v>
      </c>
      <c r="FJ27">
        <v>1500</v>
      </c>
      <c r="FK27">
        <v>15</v>
      </c>
      <c r="FL27">
        <v>0.23</v>
      </c>
      <c r="FM27">
        <v>0.03</v>
      </c>
      <c r="FN27">
        <v>25.216669655442399</v>
      </c>
      <c r="FO27">
        <v>0.52998758190232897</v>
      </c>
      <c r="FP27">
        <v>0.101424110884356</v>
      </c>
      <c r="FQ27">
        <v>1</v>
      </c>
      <c r="FR27">
        <v>-13.213271428571399</v>
      </c>
      <c r="FS27">
        <v>-0.15979480519480199</v>
      </c>
      <c r="FT27">
        <v>4.9551965439441202E-2</v>
      </c>
      <c r="FU27">
        <v>1</v>
      </c>
      <c r="FV27">
        <v>299.31623529411797</v>
      </c>
      <c r="FW27">
        <v>0.67138274329475101</v>
      </c>
      <c r="FX27">
        <v>0.19932755466428001</v>
      </c>
      <c r="FY27">
        <v>-1</v>
      </c>
      <c r="FZ27">
        <v>2</v>
      </c>
      <c r="GA27">
        <v>2</v>
      </c>
      <c r="GB27" t="s">
        <v>418</v>
      </c>
      <c r="GC27">
        <v>3.1235300000000001</v>
      </c>
      <c r="GD27">
        <v>2.7655699999999999</v>
      </c>
      <c r="GE27">
        <v>0.21230099999999999</v>
      </c>
      <c r="GF27">
        <v>0.21893299999999999</v>
      </c>
      <c r="GG27">
        <v>9.3629799999999999E-2</v>
      </c>
      <c r="GH27">
        <v>8.8468500000000005E-2</v>
      </c>
      <c r="GI27">
        <v>15403.8</v>
      </c>
      <c r="GJ27">
        <v>22996.2</v>
      </c>
      <c r="GK27">
        <v>22844.9</v>
      </c>
      <c r="GL27">
        <v>30163.7</v>
      </c>
      <c r="GM27">
        <v>33963</v>
      </c>
      <c r="GN27">
        <v>34244.6</v>
      </c>
      <c r="GO27">
        <v>43218.7</v>
      </c>
      <c r="GP27">
        <v>42939.6</v>
      </c>
      <c r="GQ27">
        <v>1.9860800000000001</v>
      </c>
      <c r="GR27">
        <v>1.8484499999999999</v>
      </c>
      <c r="GS27">
        <v>9.3963000000000005E-2</v>
      </c>
      <c r="GT27">
        <v>0</v>
      </c>
      <c r="GU27">
        <v>23.4773</v>
      </c>
      <c r="GV27">
        <v>999.9</v>
      </c>
      <c r="GW27">
        <v>42.991999999999997</v>
      </c>
      <c r="GX27">
        <v>31.632000000000001</v>
      </c>
      <c r="GY27">
        <v>19.755500000000001</v>
      </c>
      <c r="GZ27">
        <v>63.292400000000001</v>
      </c>
      <c r="HA27">
        <v>36.866999999999997</v>
      </c>
      <c r="HB27">
        <v>1</v>
      </c>
      <c r="HC27">
        <v>-1.91209E-2</v>
      </c>
      <c r="HD27">
        <v>1.5212000000000001</v>
      </c>
      <c r="HE27">
        <v>20.223500000000001</v>
      </c>
      <c r="HF27">
        <v>5.2339099999999998</v>
      </c>
      <c r="HG27">
        <v>11.962</v>
      </c>
      <c r="HH27">
        <v>4.9677499999999997</v>
      </c>
      <c r="HI27">
        <v>3.2950300000000001</v>
      </c>
      <c r="HJ27">
        <v>9999</v>
      </c>
      <c r="HK27">
        <v>999.9</v>
      </c>
      <c r="HL27">
        <v>9999</v>
      </c>
      <c r="HM27">
        <v>9999</v>
      </c>
      <c r="HN27">
        <v>4.9686399999999997</v>
      </c>
      <c r="HO27">
        <v>1.8626400000000001</v>
      </c>
      <c r="HP27">
        <v>1.8641700000000001</v>
      </c>
      <c r="HQ27">
        <v>1.8661099999999999</v>
      </c>
      <c r="HR27">
        <v>1.8631</v>
      </c>
      <c r="HS27">
        <v>1.86676</v>
      </c>
      <c r="HT27">
        <v>1.8635600000000001</v>
      </c>
      <c r="HU27">
        <v>1.86548</v>
      </c>
      <c r="HV27">
        <v>0</v>
      </c>
      <c r="HW27">
        <v>0</v>
      </c>
      <c r="HX27">
        <v>0</v>
      </c>
      <c r="HY27">
        <v>0</v>
      </c>
      <c r="HZ27" t="s">
        <v>419</v>
      </c>
      <c r="IA27" t="s">
        <v>420</v>
      </c>
      <c r="IB27" t="s">
        <v>421</v>
      </c>
      <c r="IC27" t="s">
        <v>421</v>
      </c>
      <c r="ID27" t="s">
        <v>421</v>
      </c>
      <c r="IE27" t="s">
        <v>421</v>
      </c>
      <c r="IF27">
        <v>0</v>
      </c>
      <c r="IG27">
        <v>100</v>
      </c>
      <c r="IH27">
        <v>100</v>
      </c>
      <c r="II27">
        <v>2.2000000000000002</v>
      </c>
      <c r="IJ27">
        <v>-0.11509999999999999</v>
      </c>
      <c r="IK27">
        <v>1.45388210410142</v>
      </c>
      <c r="IL27">
        <v>2.16929631606078E-4</v>
      </c>
      <c r="IM27">
        <v>2.7226302473163502E-7</v>
      </c>
      <c r="IN27">
        <v>-5.4379205123515401E-11</v>
      </c>
      <c r="IO27">
        <v>-2.3401643200707901E-2</v>
      </c>
      <c r="IP27">
        <v>-5.8443384954566899E-2</v>
      </c>
      <c r="IQ27">
        <v>3.41568706061026E-3</v>
      </c>
      <c r="IR27">
        <v>-2.10952612506686E-5</v>
      </c>
      <c r="IS27">
        <v>0</v>
      </c>
      <c r="IT27">
        <v>1734</v>
      </c>
      <c r="IU27">
        <v>2</v>
      </c>
      <c r="IV27">
        <v>19</v>
      </c>
      <c r="IW27">
        <v>1</v>
      </c>
      <c r="IX27">
        <v>1.2</v>
      </c>
      <c r="IY27">
        <v>3.0127000000000002</v>
      </c>
      <c r="IZ27">
        <v>2.5305200000000001</v>
      </c>
      <c r="JA27">
        <v>1.3464400000000001</v>
      </c>
      <c r="JB27">
        <v>2.2570800000000002</v>
      </c>
      <c r="JC27">
        <v>1.5502899999999999</v>
      </c>
      <c r="JD27">
        <v>2.5781200000000002</v>
      </c>
      <c r="JE27">
        <v>36.599600000000002</v>
      </c>
      <c r="JF27">
        <v>16.1722</v>
      </c>
      <c r="JG27">
        <v>18</v>
      </c>
      <c r="JH27">
        <v>498.78199999999998</v>
      </c>
      <c r="JI27">
        <v>489.52</v>
      </c>
      <c r="JJ27">
        <v>22.051300000000001</v>
      </c>
      <c r="JK27">
        <v>26.911100000000001</v>
      </c>
      <c r="JL27">
        <v>30.000399999999999</v>
      </c>
      <c r="JM27">
        <v>26.874500000000001</v>
      </c>
      <c r="JN27">
        <v>26.8809</v>
      </c>
      <c r="JO27">
        <v>60.2973</v>
      </c>
      <c r="JP27">
        <v>32.874200000000002</v>
      </c>
      <c r="JQ27">
        <v>59.8613</v>
      </c>
      <c r="JR27">
        <v>22.029499999999999</v>
      </c>
      <c r="JS27">
        <v>1500</v>
      </c>
      <c r="JT27">
        <v>15.314399999999999</v>
      </c>
      <c r="JU27">
        <v>102.05500000000001</v>
      </c>
      <c r="JV27">
        <v>97.525999999999996</v>
      </c>
    </row>
    <row r="28" spans="1:282" x14ac:dyDescent="0.3">
      <c r="A28">
        <v>12</v>
      </c>
      <c r="B28">
        <v>1792119801</v>
      </c>
      <c r="C28">
        <v>1447.9000000953699</v>
      </c>
      <c r="D28" t="s">
        <v>453</v>
      </c>
      <c r="E28" t="s">
        <v>454</v>
      </c>
      <c r="F28">
        <v>5</v>
      </c>
      <c r="G28">
        <v>1792119797.5</v>
      </c>
      <c r="H28">
        <f t="shared" si="0"/>
        <v>4.7050151187631927E-3</v>
      </c>
      <c r="I28">
        <f t="shared" si="1"/>
        <v>4.7050151187631926</v>
      </c>
      <c r="J28">
        <f t="shared" si="2"/>
        <v>25.332382209928348</v>
      </c>
      <c r="K28">
        <f t="shared" si="3"/>
        <v>1786.5816666666699</v>
      </c>
      <c r="L28">
        <f t="shared" si="4"/>
        <v>1624.9671773328994</v>
      </c>
      <c r="M28">
        <f t="shared" si="5"/>
        <v>165.54754930129357</v>
      </c>
      <c r="N28">
        <f t="shared" si="6"/>
        <v>182.0124250317063</v>
      </c>
      <c r="O28">
        <f t="shared" si="7"/>
        <v>0.3481590415565598</v>
      </c>
      <c r="P28">
        <f t="shared" si="8"/>
        <v>3.0410093005469729</v>
      </c>
      <c r="Q28">
        <f t="shared" si="9"/>
        <v>0.32743364829844274</v>
      </c>
      <c r="R28">
        <f t="shared" si="10"/>
        <v>0.20640523502657585</v>
      </c>
      <c r="S28">
        <f t="shared" si="11"/>
        <v>241.74056700296194</v>
      </c>
      <c r="T28">
        <f t="shared" si="12"/>
        <v>25.196302774773645</v>
      </c>
      <c r="U28">
        <f t="shared" si="13"/>
        <v>25.0178333333333</v>
      </c>
      <c r="V28">
        <f t="shared" si="14"/>
        <v>3.183059816750017</v>
      </c>
      <c r="W28">
        <f t="shared" si="15"/>
        <v>55.179102900138233</v>
      </c>
      <c r="X28">
        <f t="shared" si="16"/>
        <v>1.7546204312652844</v>
      </c>
      <c r="Y28">
        <f t="shared" si="17"/>
        <v>3.1798640047496836</v>
      </c>
      <c r="Z28">
        <f t="shared" si="18"/>
        <v>1.4284393854847326</v>
      </c>
      <c r="AA28">
        <f t="shared" si="19"/>
        <v>-207.49116673745681</v>
      </c>
      <c r="AB28">
        <f t="shared" si="20"/>
        <v>-2.7625051539771004</v>
      </c>
      <c r="AC28">
        <f t="shared" si="21"/>
        <v>-0.19217039481768688</v>
      </c>
      <c r="AD28">
        <f t="shared" si="22"/>
        <v>31.294724716710348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54200.629996987955</v>
      </c>
      <c r="AJ28" t="s">
        <v>415</v>
      </c>
      <c r="AK28" t="s">
        <v>415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415</v>
      </c>
      <c r="AQ28" t="s">
        <v>415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1261.2303994833974</v>
      </c>
      <c r="AW28">
        <f t="shared" si="29"/>
        <v>25.332382209928348</v>
      </c>
      <c r="AX28" t="e">
        <f t="shared" si="30"/>
        <v>#DIV/0!</v>
      </c>
      <c r="AY28">
        <f t="shared" si="31"/>
        <v>2.0085451651264151E-2</v>
      </c>
      <c r="AZ28" t="e">
        <f t="shared" si="32"/>
        <v>#DIV/0!</v>
      </c>
      <c r="BA28" t="e">
        <f t="shared" si="33"/>
        <v>#DIV/0!</v>
      </c>
      <c r="BB28" t="s">
        <v>415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BL28">
        <v>1093</v>
      </c>
      <c r="BM28">
        <v>290</v>
      </c>
      <c r="BN28">
        <v>868.3</v>
      </c>
      <c r="BO28">
        <v>175</v>
      </c>
      <c r="BP28">
        <v>8133.33</v>
      </c>
      <c r="BQ28">
        <v>864.45</v>
      </c>
      <c r="BR28">
        <v>3.85</v>
      </c>
      <c r="BS28">
        <v>300</v>
      </c>
      <c r="BT28">
        <v>19.3</v>
      </c>
      <c r="BU28">
        <v>892.61927249853704</v>
      </c>
      <c r="BV28">
        <v>1.9163428110965599</v>
      </c>
      <c r="BW28">
        <v>-22.907362864973301</v>
      </c>
      <c r="BX28">
        <v>1.3922767505624201</v>
      </c>
      <c r="BY28">
        <v>0.90626257319928905</v>
      </c>
      <c r="BZ28">
        <v>-5.39184204671857E-3</v>
      </c>
      <c r="CA28">
        <v>290</v>
      </c>
      <c r="CB28">
        <v>854.97</v>
      </c>
      <c r="CC28">
        <v>615</v>
      </c>
      <c r="CD28">
        <v>8117.95</v>
      </c>
      <c r="CE28">
        <v>864.4</v>
      </c>
      <c r="CF28">
        <v>-9.43</v>
      </c>
      <c r="CT28">
        <f t="shared" si="42"/>
        <v>1500.0233333333299</v>
      </c>
      <c r="CU28">
        <f t="shared" si="43"/>
        <v>1261.2303994833974</v>
      </c>
      <c r="CV28">
        <f t="shared" si="44"/>
        <v>0.84080718709935642</v>
      </c>
      <c r="CW28">
        <f t="shared" si="45"/>
        <v>0.16115787110175786</v>
      </c>
      <c r="CX28">
        <v>2</v>
      </c>
      <c r="CY28">
        <v>0.5</v>
      </c>
      <c r="CZ28" t="s">
        <v>416</v>
      </c>
      <c r="DA28">
        <v>2</v>
      </c>
      <c r="DB28">
        <v>1792119797.5</v>
      </c>
      <c r="DC28">
        <v>1786.5816666666699</v>
      </c>
      <c r="DD28">
        <v>1800.07666666667</v>
      </c>
      <c r="DE28">
        <v>17.222850000000001</v>
      </c>
      <c r="DF28">
        <v>15.3733</v>
      </c>
      <c r="DG28">
        <v>1784.19166666667</v>
      </c>
      <c r="DH28">
        <v>17.338283333333301</v>
      </c>
      <c r="DI28">
        <v>500.01150000000001</v>
      </c>
      <c r="DJ28">
        <v>101.777333333333</v>
      </c>
      <c r="DK28">
        <v>0.1001394</v>
      </c>
      <c r="DL28">
        <v>25.000983333333298</v>
      </c>
      <c r="DM28">
        <v>25.0178333333333</v>
      </c>
      <c r="DN28">
        <v>999.9</v>
      </c>
      <c r="DO28">
        <v>0</v>
      </c>
      <c r="DP28">
        <v>0</v>
      </c>
      <c r="DQ28">
        <v>10004.358333333301</v>
      </c>
      <c r="DR28">
        <v>0</v>
      </c>
      <c r="DS28">
        <v>6.5647183333333299</v>
      </c>
      <c r="DT28">
        <v>-13.4927333333333</v>
      </c>
      <c r="DU28">
        <v>1817.89</v>
      </c>
      <c r="DV28">
        <v>1828.18166666667</v>
      </c>
      <c r="DW28">
        <v>1.8495583333333301</v>
      </c>
      <c r="DX28">
        <v>1800.07666666667</v>
      </c>
      <c r="DY28">
        <v>15.3733</v>
      </c>
      <c r="DZ28">
        <v>1.7528999999999999</v>
      </c>
      <c r="EA28">
        <v>1.5646549999999999</v>
      </c>
      <c r="EB28">
        <v>15.3729833333333</v>
      </c>
      <c r="EC28">
        <v>13.61505</v>
      </c>
      <c r="ED28">
        <v>1500.0233333333299</v>
      </c>
      <c r="EE28">
        <v>0.97300233333333297</v>
      </c>
      <c r="EF28">
        <v>2.6997750000000001E-2</v>
      </c>
      <c r="EG28">
        <v>0</v>
      </c>
      <c r="EH28">
        <v>300.463666666667</v>
      </c>
      <c r="EI28">
        <v>5.0006399999999998</v>
      </c>
      <c r="EJ28">
        <v>4640.8783333333304</v>
      </c>
      <c r="EK28">
        <v>15439.4666666667</v>
      </c>
      <c r="EL28">
        <v>39.75</v>
      </c>
      <c r="EM28">
        <v>40.375</v>
      </c>
      <c r="EN28">
        <v>40.061999999999998</v>
      </c>
      <c r="EO28">
        <v>40.061999999999998</v>
      </c>
      <c r="EP28">
        <v>41.311999999999998</v>
      </c>
      <c r="EQ28">
        <v>1454.66333333333</v>
      </c>
      <c r="ER28">
        <v>40.36</v>
      </c>
      <c r="ES28">
        <v>0</v>
      </c>
      <c r="ET28">
        <v>3545.7999999523199</v>
      </c>
      <c r="EU28">
        <v>0</v>
      </c>
      <c r="EV28">
        <v>300.370269230769</v>
      </c>
      <c r="EW28">
        <v>0.212136749073706</v>
      </c>
      <c r="EX28">
        <v>15.658461548098501</v>
      </c>
      <c r="EY28">
        <v>4639.4211538461504</v>
      </c>
      <c r="EZ28">
        <v>15</v>
      </c>
      <c r="FA28">
        <v>1792119747</v>
      </c>
      <c r="FB28" t="s">
        <v>455</v>
      </c>
      <c r="FC28">
        <v>1792119747</v>
      </c>
      <c r="FD28">
        <v>1792119737</v>
      </c>
      <c r="FE28">
        <v>32</v>
      </c>
      <c r="FF28">
        <v>-4.8000000000000001E-2</v>
      </c>
      <c r="FG28">
        <v>4.0000000000000001E-3</v>
      </c>
      <c r="FH28">
        <v>2.3580000000000001</v>
      </c>
      <c r="FI28">
        <v>-0.18099999999999999</v>
      </c>
      <c r="FJ28">
        <v>1800</v>
      </c>
      <c r="FK28">
        <v>15</v>
      </c>
      <c r="FL28">
        <v>0.26</v>
      </c>
      <c r="FM28">
        <v>0.05</v>
      </c>
      <c r="FN28">
        <v>25.283213835117898</v>
      </c>
      <c r="FO28">
        <v>-0.24193239628219901</v>
      </c>
      <c r="FP28">
        <v>0.26773397745336502</v>
      </c>
      <c r="FQ28">
        <v>1</v>
      </c>
      <c r="FR28">
        <v>-13.469625000000001</v>
      </c>
      <c r="FS28">
        <v>7.3393984962391398E-2</v>
      </c>
      <c r="FT28">
        <v>0.10712907110117199</v>
      </c>
      <c r="FU28">
        <v>1</v>
      </c>
      <c r="FV28">
        <v>300.31720588235299</v>
      </c>
      <c r="FW28">
        <v>0.63280366587424297</v>
      </c>
      <c r="FX28">
        <v>0.20825589171974901</v>
      </c>
      <c r="FY28">
        <v>-1</v>
      </c>
      <c r="FZ28">
        <v>2</v>
      </c>
      <c r="GA28">
        <v>2</v>
      </c>
      <c r="GB28" t="s">
        <v>418</v>
      </c>
      <c r="GC28">
        <v>3.1236899999999999</v>
      </c>
      <c r="GD28">
        <v>2.7655599999999998</v>
      </c>
      <c r="GE28">
        <v>0.23580799999999999</v>
      </c>
      <c r="GF28">
        <v>0.242871</v>
      </c>
      <c r="GG28">
        <v>9.31559E-2</v>
      </c>
      <c r="GH28">
        <v>8.8797200000000007E-2</v>
      </c>
      <c r="GI28">
        <v>14943.6</v>
      </c>
      <c r="GJ28">
        <v>22291.1</v>
      </c>
      <c r="GK28">
        <v>22843.8</v>
      </c>
      <c r="GL28">
        <v>30162.6</v>
      </c>
      <c r="GM28">
        <v>33981.1</v>
      </c>
      <c r="GN28">
        <v>34233.199999999997</v>
      </c>
      <c r="GO28">
        <v>43216.5</v>
      </c>
      <c r="GP28">
        <v>42938.8</v>
      </c>
      <c r="GQ28">
        <v>1.9860500000000001</v>
      </c>
      <c r="GR28">
        <v>1.84877</v>
      </c>
      <c r="GS28">
        <v>9.9014500000000005E-2</v>
      </c>
      <c r="GT28">
        <v>0</v>
      </c>
      <c r="GU28">
        <v>23.4041</v>
      </c>
      <c r="GV28">
        <v>999.9</v>
      </c>
      <c r="GW28">
        <v>42.881999999999998</v>
      </c>
      <c r="GX28">
        <v>31.632000000000001</v>
      </c>
      <c r="GY28">
        <v>19.703199999999999</v>
      </c>
      <c r="GZ28">
        <v>63.502400000000002</v>
      </c>
      <c r="HA28">
        <v>37.491999999999997</v>
      </c>
      <c r="HB28">
        <v>1</v>
      </c>
      <c r="HC28">
        <v>-1.7195100000000001E-2</v>
      </c>
      <c r="HD28">
        <v>1.5447</v>
      </c>
      <c r="HE28">
        <v>20.223299999999998</v>
      </c>
      <c r="HF28">
        <v>5.2339099999999998</v>
      </c>
      <c r="HG28">
        <v>11.962</v>
      </c>
      <c r="HH28">
        <v>4.9690000000000003</v>
      </c>
      <c r="HI28">
        <v>3.2950499999999998</v>
      </c>
      <c r="HJ28">
        <v>9999</v>
      </c>
      <c r="HK28">
        <v>999.9</v>
      </c>
      <c r="HL28">
        <v>9999</v>
      </c>
      <c r="HM28">
        <v>9999</v>
      </c>
      <c r="HN28">
        <v>4.9686399999999997</v>
      </c>
      <c r="HO28">
        <v>1.86263</v>
      </c>
      <c r="HP28">
        <v>1.8641700000000001</v>
      </c>
      <c r="HQ28">
        <v>1.86602</v>
      </c>
      <c r="HR28">
        <v>1.86307</v>
      </c>
      <c r="HS28">
        <v>1.86676</v>
      </c>
      <c r="HT28">
        <v>1.8635600000000001</v>
      </c>
      <c r="HU28">
        <v>1.8653999999999999</v>
      </c>
      <c r="HV28">
        <v>0</v>
      </c>
      <c r="HW28">
        <v>0</v>
      </c>
      <c r="HX28">
        <v>0</v>
      </c>
      <c r="HY28">
        <v>0</v>
      </c>
      <c r="HZ28" t="s">
        <v>419</v>
      </c>
      <c r="IA28" t="s">
        <v>420</v>
      </c>
      <c r="IB28" t="s">
        <v>421</v>
      </c>
      <c r="IC28" t="s">
        <v>421</v>
      </c>
      <c r="ID28" t="s">
        <v>421</v>
      </c>
      <c r="IE28" t="s">
        <v>421</v>
      </c>
      <c r="IF28">
        <v>0</v>
      </c>
      <c r="IG28">
        <v>100</v>
      </c>
      <c r="IH28">
        <v>100</v>
      </c>
      <c r="II28">
        <v>2.39</v>
      </c>
      <c r="IJ28">
        <v>-0.11559999999999999</v>
      </c>
      <c r="IK28">
        <v>1.44722351473542</v>
      </c>
      <c r="IL28">
        <v>2.16929631606078E-4</v>
      </c>
      <c r="IM28">
        <v>2.7226302473163502E-7</v>
      </c>
      <c r="IN28">
        <v>-5.4379205123515401E-11</v>
      </c>
      <c r="IO28">
        <v>-1.8976778371795299E-2</v>
      </c>
      <c r="IP28">
        <v>-5.8443384954566899E-2</v>
      </c>
      <c r="IQ28">
        <v>3.41568706061026E-3</v>
      </c>
      <c r="IR28">
        <v>-2.10952612506686E-5</v>
      </c>
      <c r="IS28">
        <v>0</v>
      </c>
      <c r="IT28">
        <v>1734</v>
      </c>
      <c r="IU28">
        <v>2</v>
      </c>
      <c r="IV28">
        <v>19</v>
      </c>
      <c r="IW28">
        <v>0.9</v>
      </c>
      <c r="IX28">
        <v>1.1000000000000001</v>
      </c>
      <c r="IY28">
        <v>3.4777800000000001</v>
      </c>
      <c r="IZ28">
        <v>2.50122</v>
      </c>
      <c r="JA28">
        <v>1.3464400000000001</v>
      </c>
      <c r="JB28">
        <v>2.2570800000000002</v>
      </c>
      <c r="JC28">
        <v>1.5502899999999999</v>
      </c>
      <c r="JD28">
        <v>2.6867700000000001</v>
      </c>
      <c r="JE28">
        <v>36.387099999999997</v>
      </c>
      <c r="JF28">
        <v>16.1371</v>
      </c>
      <c r="JG28">
        <v>18</v>
      </c>
      <c r="JH28">
        <v>499.01100000000002</v>
      </c>
      <c r="JI28">
        <v>490.01</v>
      </c>
      <c r="JJ28">
        <v>21.8217</v>
      </c>
      <c r="JK28">
        <v>26.938400000000001</v>
      </c>
      <c r="JL28">
        <v>29.9999</v>
      </c>
      <c r="JM28">
        <v>26.9023</v>
      </c>
      <c r="JN28">
        <v>26.908799999999999</v>
      </c>
      <c r="JO28">
        <v>69.617900000000006</v>
      </c>
      <c r="JP28">
        <v>32.074800000000003</v>
      </c>
      <c r="JQ28">
        <v>59.118099999999998</v>
      </c>
      <c r="JR28">
        <v>21.8126</v>
      </c>
      <c r="JS28">
        <v>1800</v>
      </c>
      <c r="JT28">
        <v>15.366899999999999</v>
      </c>
      <c r="JU28">
        <v>102.04900000000001</v>
      </c>
      <c r="JV28">
        <v>97.523399999999995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2026-10-16T12:05:03Z</dcterms:created>
  <dcterms:modified xsi:type="dcterms:W3CDTF">2026-10-17T10:04:44Z</dcterms:modified>
</cp:coreProperties>
</file>