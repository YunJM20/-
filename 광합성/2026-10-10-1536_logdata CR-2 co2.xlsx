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0 lettuce park/"/>
    </mc:Choice>
  </mc:AlternateContent>
  <xr:revisionPtr revIDLastSave="0" documentId="11_ACE07100014BD4941D2CF4F7D12ADF9604E0162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9" i="1" l="1"/>
  <c r="CV29" i="1"/>
  <c r="CT29" i="1"/>
  <c r="BI29" i="1"/>
  <c r="BH29" i="1"/>
  <c r="AZ29" i="1"/>
  <c r="AT29" i="1"/>
  <c r="AX29" i="1" s="1"/>
  <c r="AN29" i="1"/>
  <c r="BA29" i="1" s="1"/>
  <c r="BD29" i="1" s="1"/>
  <c r="AI29" i="1"/>
  <c r="AG29" i="1"/>
  <c r="Y29" i="1"/>
  <c r="X29" i="1"/>
  <c r="W29" i="1"/>
  <c r="P29" i="1"/>
  <c r="CW28" i="1"/>
  <c r="CV28" i="1"/>
  <c r="CT28" i="1"/>
  <c r="BI28" i="1"/>
  <c r="BH28" i="1"/>
  <c r="AZ28" i="1"/>
  <c r="AT28" i="1"/>
  <c r="AN28" i="1"/>
  <c r="BA28" i="1" s="1"/>
  <c r="BD28" i="1" s="1"/>
  <c r="AI28" i="1"/>
  <c r="AG28" i="1"/>
  <c r="AH28" i="1" s="1"/>
  <c r="Y28" i="1"/>
  <c r="X28" i="1"/>
  <c r="W28" i="1"/>
  <c r="P28" i="1"/>
  <c r="N28" i="1"/>
  <c r="K28" i="1"/>
  <c r="J28" i="1"/>
  <c r="AW28" i="1" s="1"/>
  <c r="I28" i="1"/>
  <c r="H28" i="1" s="1"/>
  <c r="CW27" i="1"/>
  <c r="CV27" i="1"/>
  <c r="CT27" i="1"/>
  <c r="CU27" i="1" s="1"/>
  <c r="AV27" i="1" s="1"/>
  <c r="BI27" i="1"/>
  <c r="BH27" i="1"/>
  <c r="AZ27" i="1"/>
  <c r="AT27" i="1"/>
  <c r="AX27" i="1" s="1"/>
  <c r="AN27" i="1"/>
  <c r="BA27" i="1" s="1"/>
  <c r="BD27" i="1" s="1"/>
  <c r="AI27" i="1"/>
  <c r="AG27" i="1" s="1"/>
  <c r="Y27" i="1"/>
  <c r="X27" i="1"/>
  <c r="W27" i="1" s="1"/>
  <c r="S27" i="1"/>
  <c r="P27" i="1"/>
  <c r="CW26" i="1"/>
  <c r="CV26" i="1"/>
  <c r="CT26" i="1"/>
  <c r="BI26" i="1"/>
  <c r="BH26" i="1"/>
  <c r="AZ26" i="1"/>
  <c r="AT26" i="1"/>
  <c r="AN26" i="1"/>
  <c r="BA26" i="1" s="1"/>
  <c r="BD26" i="1" s="1"/>
  <c r="AI26" i="1"/>
  <c r="AG26" i="1" s="1"/>
  <c r="Y26" i="1"/>
  <c r="X26" i="1"/>
  <c r="W26" i="1"/>
  <c r="P26" i="1"/>
  <c r="CW25" i="1"/>
  <c r="S25" i="1" s="1"/>
  <c r="CV25" i="1"/>
  <c r="CT25" i="1"/>
  <c r="CU25" i="1" s="1"/>
  <c r="AV25" i="1" s="1"/>
  <c r="BI25" i="1"/>
  <c r="BH25" i="1"/>
  <c r="AZ25" i="1"/>
  <c r="AT25" i="1"/>
  <c r="AX25" i="1" s="1"/>
  <c r="AN25" i="1"/>
  <c r="BA25" i="1" s="1"/>
  <c r="BD25" i="1" s="1"/>
  <c r="AI25" i="1"/>
  <c r="AG25" i="1" s="1"/>
  <c r="Y25" i="1"/>
  <c r="X25" i="1"/>
  <c r="W25" i="1" s="1"/>
  <c r="P25" i="1"/>
  <c r="CW24" i="1"/>
  <c r="CV24" i="1"/>
  <c r="CT24" i="1"/>
  <c r="CU24" i="1" s="1"/>
  <c r="AV24" i="1" s="1"/>
  <c r="BI24" i="1"/>
  <c r="BH24" i="1"/>
  <c r="AZ24" i="1"/>
  <c r="AT24" i="1"/>
  <c r="AX24" i="1" s="1"/>
  <c r="AN24" i="1"/>
  <c r="BA24" i="1" s="1"/>
  <c r="BD24" i="1" s="1"/>
  <c r="AI24" i="1"/>
  <c r="AG24" i="1" s="1"/>
  <c r="Y24" i="1"/>
  <c r="W24" i="1" s="1"/>
  <c r="X24" i="1"/>
  <c r="S24" i="1"/>
  <c r="P24" i="1"/>
  <c r="CW23" i="1"/>
  <c r="CV23" i="1"/>
  <c r="CT23" i="1"/>
  <c r="BI23" i="1"/>
  <c r="BH23" i="1"/>
  <c r="AZ23" i="1"/>
  <c r="AT23" i="1"/>
  <c r="AN23" i="1"/>
  <c r="BA23" i="1" s="1"/>
  <c r="BD23" i="1" s="1"/>
  <c r="AI23" i="1"/>
  <c r="AG23" i="1" s="1"/>
  <c r="Y23" i="1"/>
  <c r="X23" i="1"/>
  <c r="W23" i="1" s="1"/>
  <c r="S23" i="1"/>
  <c r="P23" i="1"/>
  <c r="CW22" i="1"/>
  <c r="CV22" i="1"/>
  <c r="CT22" i="1"/>
  <c r="BI22" i="1"/>
  <c r="BH22" i="1"/>
  <c r="AZ22" i="1"/>
  <c r="AT22" i="1"/>
  <c r="AN22" i="1"/>
  <c r="BA22" i="1" s="1"/>
  <c r="BD22" i="1" s="1"/>
  <c r="AI22" i="1"/>
  <c r="AG22" i="1" s="1"/>
  <c r="Y22" i="1"/>
  <c r="X22" i="1"/>
  <c r="W22" i="1" s="1"/>
  <c r="S22" i="1"/>
  <c r="P22" i="1"/>
  <c r="CW21" i="1"/>
  <c r="S21" i="1" s="1"/>
  <c r="CV21" i="1"/>
  <c r="CT21" i="1"/>
  <c r="BI21" i="1"/>
  <c r="BH21" i="1"/>
  <c r="AZ21" i="1"/>
  <c r="AT21" i="1"/>
  <c r="AN21" i="1"/>
  <c r="BA21" i="1" s="1"/>
  <c r="BD21" i="1" s="1"/>
  <c r="AI21" i="1"/>
  <c r="AG21" i="1" s="1"/>
  <c r="Y21" i="1"/>
  <c r="X21" i="1"/>
  <c r="W21" i="1" s="1"/>
  <c r="P21" i="1"/>
  <c r="CW20" i="1"/>
  <c r="CV20" i="1"/>
  <c r="CT20" i="1"/>
  <c r="CU20" i="1" s="1"/>
  <c r="AV20" i="1" s="1"/>
  <c r="BI20" i="1"/>
  <c r="BH20" i="1"/>
  <c r="AZ20" i="1"/>
  <c r="AT20" i="1"/>
  <c r="AX20" i="1" s="1"/>
  <c r="AN20" i="1"/>
  <c r="BA20" i="1" s="1"/>
  <c r="BD20" i="1" s="1"/>
  <c r="AI20" i="1"/>
  <c r="AG20" i="1" s="1"/>
  <c r="Y20" i="1"/>
  <c r="X20" i="1"/>
  <c r="W20" i="1" s="1"/>
  <c r="S20" i="1"/>
  <c r="P20" i="1"/>
  <c r="CW19" i="1"/>
  <c r="CV19" i="1"/>
  <c r="CT19" i="1"/>
  <c r="CU19" i="1" s="1"/>
  <c r="AV19" i="1" s="1"/>
  <c r="BI19" i="1"/>
  <c r="BH19" i="1"/>
  <c r="AZ19" i="1"/>
  <c r="AT19" i="1"/>
  <c r="AX19" i="1" s="1"/>
  <c r="AN19" i="1"/>
  <c r="BA19" i="1" s="1"/>
  <c r="BD19" i="1" s="1"/>
  <c r="AI19" i="1"/>
  <c r="AG19" i="1" s="1"/>
  <c r="Y19" i="1"/>
  <c r="X19" i="1"/>
  <c r="W19" i="1" s="1"/>
  <c r="S19" i="1"/>
  <c r="P19" i="1"/>
  <c r="CW18" i="1"/>
  <c r="CV18" i="1"/>
  <c r="CT18" i="1"/>
  <c r="CU18" i="1" s="1"/>
  <c r="AV18" i="1" s="1"/>
  <c r="BI18" i="1"/>
  <c r="BH18" i="1"/>
  <c r="AZ18" i="1"/>
  <c r="AT18" i="1"/>
  <c r="AX18" i="1" s="1"/>
  <c r="AN18" i="1"/>
  <c r="BA18" i="1" s="1"/>
  <c r="BD18" i="1" s="1"/>
  <c r="AI18" i="1"/>
  <c r="AG18" i="1" s="1"/>
  <c r="Y18" i="1"/>
  <c r="W18" i="1" s="1"/>
  <c r="X18" i="1"/>
  <c r="S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S17" i="1"/>
  <c r="P17" i="1"/>
  <c r="CU17" i="1" l="1"/>
  <c r="AV17" i="1" s="1"/>
  <c r="AX17" i="1" s="1"/>
  <c r="W17" i="1"/>
  <c r="CU23" i="1"/>
  <c r="AV23" i="1" s="1"/>
  <c r="AX23" i="1" s="1"/>
  <c r="CU22" i="1"/>
  <c r="AV22" i="1" s="1"/>
  <c r="AX22" i="1" s="1"/>
  <c r="CU21" i="1"/>
  <c r="AV21" i="1" s="1"/>
  <c r="AX21" i="1" s="1"/>
  <c r="CU29" i="1"/>
  <c r="AV29" i="1" s="1"/>
  <c r="S29" i="1"/>
  <c r="AH29" i="1"/>
  <c r="N29" i="1"/>
  <c r="K29" i="1"/>
  <c r="J29" i="1"/>
  <c r="AW29" i="1" s="1"/>
  <c r="AY29" i="1" s="1"/>
  <c r="I29" i="1"/>
  <c r="H29" i="1" s="1"/>
  <c r="I26" i="1"/>
  <c r="H26" i="1" s="1"/>
  <c r="J26" i="1"/>
  <c r="AW26" i="1" s="1"/>
  <c r="K26" i="1"/>
  <c r="N26" i="1"/>
  <c r="AH26" i="1"/>
  <c r="K25" i="1"/>
  <c r="I25" i="1"/>
  <c r="H25" i="1" s="1"/>
  <c r="J25" i="1"/>
  <c r="AW25" i="1" s="1"/>
  <c r="AY25" i="1" s="1"/>
  <c r="N25" i="1"/>
  <c r="AH25" i="1"/>
  <c r="J24" i="1"/>
  <c r="AW24" i="1" s="1"/>
  <c r="AY24" i="1" s="1"/>
  <c r="I24" i="1"/>
  <c r="H24" i="1" s="1"/>
  <c r="AA24" i="1" s="1"/>
  <c r="K24" i="1"/>
  <c r="N24" i="1"/>
  <c r="AH24" i="1"/>
  <c r="I23" i="1"/>
  <c r="H23" i="1" s="1"/>
  <c r="K23" i="1"/>
  <c r="N23" i="1"/>
  <c r="J23" i="1"/>
  <c r="AW23" i="1" s="1"/>
  <c r="AY23" i="1" s="1"/>
  <c r="AH23" i="1"/>
  <c r="I22" i="1"/>
  <c r="H22" i="1" s="1"/>
  <c r="K22" i="1"/>
  <c r="J22" i="1"/>
  <c r="AW22" i="1" s="1"/>
  <c r="AY22" i="1" s="1"/>
  <c r="N22" i="1"/>
  <c r="AH22" i="1"/>
  <c r="BE29" i="1"/>
  <c r="BF29" i="1"/>
  <c r="BJ29" i="1" s="1"/>
  <c r="BK29" i="1" s="1"/>
  <c r="BG29" i="1"/>
  <c r="T29" i="1"/>
  <c r="U29" i="1" s="1"/>
  <c r="Q29" i="1" s="1"/>
  <c r="O29" i="1" s="1"/>
  <c r="R29" i="1" s="1"/>
  <c r="L29" i="1" s="1"/>
  <c r="M29" i="1" s="1"/>
  <c r="AA29" i="1"/>
  <c r="CU28" i="1"/>
  <c r="AV28" i="1" s="1"/>
  <c r="S28" i="1"/>
  <c r="BE28" i="1"/>
  <c r="BF28" i="1"/>
  <c r="BJ28" i="1" s="1"/>
  <c r="BK28" i="1" s="1"/>
  <c r="BG28" i="1"/>
  <c r="AA28" i="1"/>
  <c r="BE27" i="1"/>
  <c r="BF27" i="1"/>
  <c r="BJ27" i="1" s="1"/>
  <c r="BK27" i="1" s="1"/>
  <c r="BG27" i="1"/>
  <c r="AH27" i="1"/>
  <c r="I27" i="1"/>
  <c r="H27" i="1" s="1"/>
  <c r="T27" i="1" s="1"/>
  <c r="U27" i="1" s="1"/>
  <c r="K27" i="1"/>
  <c r="J27" i="1"/>
  <c r="AW27" i="1" s="1"/>
  <c r="AY27" i="1" s="1"/>
  <c r="N27" i="1"/>
  <c r="CU26" i="1"/>
  <c r="AV26" i="1" s="1"/>
  <c r="S26" i="1"/>
  <c r="BE26" i="1"/>
  <c r="BG26" i="1"/>
  <c r="BF26" i="1"/>
  <c r="BJ26" i="1" s="1"/>
  <c r="BK26" i="1" s="1"/>
  <c r="AA26" i="1"/>
  <c r="BE25" i="1"/>
  <c r="BF25" i="1"/>
  <c r="BJ25" i="1" s="1"/>
  <c r="BK25" i="1" s="1"/>
  <c r="BG25" i="1"/>
  <c r="T25" i="1"/>
  <c r="U25" i="1" s="1"/>
  <c r="AA25" i="1"/>
  <c r="Q25" i="1"/>
  <c r="O25" i="1" s="1"/>
  <c r="R25" i="1" s="1"/>
  <c r="L25" i="1" s="1"/>
  <c r="M25" i="1" s="1"/>
  <c r="BE24" i="1"/>
  <c r="BF24" i="1"/>
  <c r="BJ24" i="1" s="1"/>
  <c r="BK24" i="1" s="1"/>
  <c r="BG24" i="1"/>
  <c r="T24" i="1"/>
  <c r="U24" i="1" s="1"/>
  <c r="Q24" i="1" s="1"/>
  <c r="O24" i="1" s="1"/>
  <c r="R24" i="1" s="1"/>
  <c r="L24" i="1" s="1"/>
  <c r="M24" i="1" s="1"/>
  <c r="BE23" i="1"/>
  <c r="BF23" i="1"/>
  <c r="BJ23" i="1" s="1"/>
  <c r="BK23" i="1" s="1"/>
  <c r="BG23" i="1"/>
  <c r="BE22" i="1"/>
  <c r="BF22" i="1"/>
  <c r="BJ22" i="1" s="1"/>
  <c r="BK22" i="1" s="1"/>
  <c r="BG22" i="1"/>
  <c r="BG21" i="1"/>
  <c r="BF21" i="1"/>
  <c r="BJ21" i="1" s="1"/>
  <c r="BK21" i="1" s="1"/>
  <c r="BE21" i="1"/>
  <c r="AH21" i="1"/>
  <c r="I21" i="1"/>
  <c r="H21" i="1" s="1"/>
  <c r="K21" i="1"/>
  <c r="J21" i="1"/>
  <c r="AW21" i="1" s="1"/>
  <c r="N21" i="1"/>
  <c r="T21" i="1"/>
  <c r="U21" i="1" s="1"/>
  <c r="BE20" i="1"/>
  <c r="BF20" i="1"/>
  <c r="BJ20" i="1" s="1"/>
  <c r="BK20" i="1" s="1"/>
  <c r="BG20" i="1"/>
  <c r="J20" i="1"/>
  <c r="AW20" i="1" s="1"/>
  <c r="AY20" i="1" s="1"/>
  <c r="N20" i="1"/>
  <c r="AH20" i="1"/>
  <c r="I20" i="1"/>
  <c r="H20" i="1" s="1"/>
  <c r="K20" i="1"/>
  <c r="T20" i="1"/>
  <c r="U20" i="1" s="1"/>
  <c r="BG19" i="1"/>
  <c r="BF19" i="1"/>
  <c r="BJ19" i="1" s="1"/>
  <c r="BK19" i="1" s="1"/>
  <c r="BE19" i="1"/>
  <c r="J19" i="1"/>
  <c r="AW19" i="1" s="1"/>
  <c r="AY19" i="1" s="1"/>
  <c r="AH19" i="1"/>
  <c r="I19" i="1"/>
  <c r="H19" i="1" s="1"/>
  <c r="K19" i="1"/>
  <c r="N19" i="1"/>
  <c r="T19" i="1"/>
  <c r="U19" i="1" s="1"/>
  <c r="BF18" i="1"/>
  <c r="BJ18" i="1" s="1"/>
  <c r="BK18" i="1" s="1"/>
  <c r="BE18" i="1"/>
  <c r="BG18" i="1"/>
  <c r="K18" i="1"/>
  <c r="N18" i="1"/>
  <c r="J18" i="1"/>
  <c r="AW18" i="1" s="1"/>
  <c r="AY18" i="1" s="1"/>
  <c r="AH18" i="1"/>
  <c r="I18" i="1"/>
  <c r="H18" i="1" s="1"/>
  <c r="T18" i="1"/>
  <c r="U18" i="1" s="1"/>
  <c r="BF17" i="1"/>
  <c r="BJ17" i="1" s="1"/>
  <c r="BK17" i="1" s="1"/>
  <c r="BE17" i="1"/>
  <c r="BG17" i="1"/>
  <c r="K17" i="1"/>
  <c r="N17" i="1"/>
  <c r="AH17" i="1"/>
  <c r="J17" i="1"/>
  <c r="AW17" i="1" s="1"/>
  <c r="I17" i="1"/>
  <c r="H17" i="1" s="1"/>
  <c r="T17" i="1"/>
  <c r="U17" i="1" s="1"/>
  <c r="AY21" i="1" l="1"/>
  <c r="AY17" i="1"/>
  <c r="T23" i="1"/>
  <c r="U23" i="1" s="1"/>
  <c r="AA23" i="1"/>
  <c r="T22" i="1"/>
  <c r="U22" i="1" s="1"/>
  <c r="AA22" i="1"/>
  <c r="AB29" i="1"/>
  <c r="V29" i="1"/>
  <c r="Z29" i="1" s="1"/>
  <c r="AC29" i="1"/>
  <c r="AD29" i="1" s="1"/>
  <c r="AY28" i="1"/>
  <c r="AX28" i="1"/>
  <c r="T28" i="1"/>
  <c r="U28" i="1" s="1"/>
  <c r="AA27" i="1"/>
  <c r="Q27" i="1"/>
  <c r="O27" i="1" s="1"/>
  <c r="R27" i="1" s="1"/>
  <c r="L27" i="1" s="1"/>
  <c r="M27" i="1" s="1"/>
  <c r="AB27" i="1"/>
  <c r="V27" i="1"/>
  <c r="Z27" i="1" s="1"/>
  <c r="AC27" i="1"/>
  <c r="AY26" i="1"/>
  <c r="AX26" i="1"/>
  <c r="T26" i="1"/>
  <c r="U26" i="1" s="1"/>
  <c r="AB25" i="1"/>
  <c r="V25" i="1"/>
  <c r="Z25" i="1" s="1"/>
  <c r="AC25" i="1"/>
  <c r="AD25" i="1" s="1"/>
  <c r="AB24" i="1"/>
  <c r="V24" i="1"/>
  <c r="Z24" i="1" s="1"/>
  <c r="AC24" i="1"/>
  <c r="AD24" i="1" s="1"/>
  <c r="AC22" i="1"/>
  <c r="Q21" i="1"/>
  <c r="O21" i="1" s="1"/>
  <c r="R21" i="1" s="1"/>
  <c r="L21" i="1" s="1"/>
  <c r="M21" i="1" s="1"/>
  <c r="AA21" i="1"/>
  <c r="AB21" i="1"/>
  <c r="V21" i="1"/>
  <c r="Z21" i="1" s="1"/>
  <c r="AC21" i="1"/>
  <c r="AD21" i="1" s="1"/>
  <c r="Q20" i="1"/>
  <c r="O20" i="1" s="1"/>
  <c r="R20" i="1" s="1"/>
  <c r="L20" i="1" s="1"/>
  <c r="M20" i="1" s="1"/>
  <c r="AA20" i="1"/>
  <c r="AB20" i="1"/>
  <c r="AC20" i="1"/>
  <c r="V20" i="1"/>
  <c r="Z20" i="1" s="1"/>
  <c r="Q19" i="1"/>
  <c r="O19" i="1" s="1"/>
  <c r="R19" i="1" s="1"/>
  <c r="L19" i="1" s="1"/>
  <c r="M19" i="1" s="1"/>
  <c r="AA19" i="1"/>
  <c r="AB19" i="1"/>
  <c r="AC19" i="1"/>
  <c r="AD19" i="1" s="1"/>
  <c r="V19" i="1"/>
  <c r="Z19" i="1" s="1"/>
  <c r="AA18" i="1"/>
  <c r="Q18" i="1"/>
  <c r="O18" i="1" s="1"/>
  <c r="R18" i="1" s="1"/>
  <c r="L18" i="1" s="1"/>
  <c r="M18" i="1" s="1"/>
  <c r="AB18" i="1"/>
  <c r="AC18" i="1"/>
  <c r="V18" i="1"/>
  <c r="Z18" i="1" s="1"/>
  <c r="Q17" i="1"/>
  <c r="O17" i="1" s="1"/>
  <c r="R17" i="1" s="1"/>
  <c r="L17" i="1" s="1"/>
  <c r="M17" i="1" s="1"/>
  <c r="AA17" i="1"/>
  <c r="AB17" i="1"/>
  <c r="AC17" i="1"/>
  <c r="AD17" i="1" s="1"/>
  <c r="V17" i="1"/>
  <c r="Z17" i="1" s="1"/>
  <c r="AD27" i="1" l="1"/>
  <c r="AD20" i="1"/>
  <c r="AD18" i="1"/>
  <c r="Q23" i="1"/>
  <c r="O23" i="1" s="1"/>
  <c r="R23" i="1" s="1"/>
  <c r="L23" i="1" s="1"/>
  <c r="M23" i="1" s="1"/>
  <c r="AB23" i="1"/>
  <c r="V23" i="1"/>
  <c r="Z23" i="1" s="1"/>
  <c r="AC23" i="1"/>
  <c r="AD23" i="1" s="1"/>
  <c r="Q22" i="1"/>
  <c r="O22" i="1" s="1"/>
  <c r="R22" i="1" s="1"/>
  <c r="L22" i="1" s="1"/>
  <c r="M22" i="1" s="1"/>
  <c r="AB22" i="1"/>
  <c r="AD22" i="1" s="1"/>
  <c r="V22" i="1"/>
  <c r="Z22" i="1" s="1"/>
  <c r="Q28" i="1"/>
  <c r="O28" i="1" s="1"/>
  <c r="R28" i="1" s="1"/>
  <c r="L28" i="1" s="1"/>
  <c r="M28" i="1" s="1"/>
  <c r="V28" i="1"/>
  <c r="Z28" i="1" s="1"/>
  <c r="AB28" i="1"/>
  <c r="AC28" i="1"/>
  <c r="AD28" i="1" s="1"/>
  <c r="Q26" i="1"/>
  <c r="O26" i="1" s="1"/>
  <c r="R26" i="1" s="1"/>
  <c r="L26" i="1" s="1"/>
  <c r="M26" i="1" s="1"/>
  <c r="AB26" i="1"/>
  <c r="V26" i="1"/>
  <c r="Z26" i="1" s="1"/>
  <c r="AC26" i="1"/>
  <c r="AD26" i="1" l="1"/>
</calcChain>
</file>

<file path=xl/sharedStrings.xml><?xml version="1.0" encoding="utf-8"?>
<sst xmlns="http://schemas.openxmlformats.org/spreadsheetml/2006/main" count="1053" uniqueCount="461">
  <si>
    <t>File opened</t>
  </si>
  <si>
    <t>2026-10-10 15:37:07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</si>
  <si>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</si>
  <si>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</si>
  <si>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</si>
  <si>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</si>
  <si>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</si>
  <si>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</si>
  <si>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</si>
  <si>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</si>
  <si>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</si>
  <si>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</si>
  <si>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</si>
  <si>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{"flowbzero": "0.27399", "h2oaspan1": "1.0301", "co2bspanconc2": "1516", "co2bspanconc1": "437.6", "h2oazero": "1.14957", "ssa_ref": "32366.8", "co2bspan2a": "0.0952815", "ssb_ref": "37478.9", "tazero": "0.0951138", "co2aspan1": "0.99333", "co2azero": "1.16194", "h2obspan1": "0.995823", "co2aspanconc2": "1516", "h2obspanconc1": "21.96", "h2obspan2": "0", "h2oaspanconc1": "21.96", "tbzero": "0.145187", "chamberpressurezero": "2.61687", "co2bzero": "1.02053", "h2oaspanconc2": "0", "co2aspan2a": "0.0929659", "oxygen": "21", "h2obzero": "1.13925", "co2bspan2b": "0.0947811", "co2bspan2": "0.00898303", "co2aspan2": "0.0108874", "h2obspan2a": "0.112101", "flowmeterzero": "2.5072", "flowazero": "0.316", "co2bspan1": "0.993892", "h2obspan2b": "0.111633", "co2aspan2b": "0.0924399", "h2obspanconc2": "0", "h2oaspan2b": "0.111609", "h2oaspan2a": "0.108347", "h2oaspan2": "0", "co2aspanconc1": "437.6"}</t>
  </si>
  <si>
    <t>Factory cal date</t>
  </si>
  <si>
    <t>04 Oct 2022</t>
  </si>
  <si>
    <t>CO2 rangematch</t>
  </si>
  <si>
    <t>Tue Sep 15 09:35</t>
  </si>
  <si>
    <t>H2O rangematch</t>
  </si>
  <si>
    <t>Tue Sep 15 09:41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</si>
  <si>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</si>
  <si>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</si>
  <si>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</si>
  <si>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</si>
  <si>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</si>
  <si>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</si>
  <si>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</si>
  <si>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</si>
  <si>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</si>
  <si>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15:37:07</t>
  </si>
  <si>
    <t>Stability Definition:	A (GasEx): Slp&lt;0.6 Per=20	ΔCO2 (Meas2): Slp&lt;0.5 Per=20	F (FlrLS):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</si>
  <si>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</si>
  <si>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</si>
  <si>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</si>
  <si>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</si>
  <si>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</si>
  <si>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</si>
  <si>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</si>
  <si>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</si>
  <si>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</si>
  <si>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</si>
  <si>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</si>
  <si>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</si>
  <si>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</si>
  <si>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</si>
  <si>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</si>
  <si>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</si>
  <si>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</si>
  <si>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</si>
  <si>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</si>
  <si>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</si>
  <si>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</si>
  <si>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</si>
  <si>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</si>
  <si>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</si>
  <si>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</si>
  <si>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</si>
  <si>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</si>
  <si>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</si>
  <si>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</si>
  <si>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</si>
  <si>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</si>
  <si>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</si>
  <si>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</si>
  <si>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</si>
  <si>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</si>
  <si>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</si>
  <si>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</si>
  <si>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</si>
  <si>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</si>
  <si>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</si>
  <si>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</si>
  <si>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</si>
  <si>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</si>
  <si>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</si>
  <si>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</si>
  <si>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</si>
  <si>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</si>
  <si>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</si>
  <si>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</si>
  <si>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</si>
  <si>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</si>
  <si>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</si>
  <si>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4.38209 210.944 349.831 586.709 869.356 1077.05 1247.6 1358.57</t>
  </si>
  <si>
    <t>Fs_true</t>
  </si>
  <si>
    <t>0.620429 237.749 373.713 581.984 811.989 1001.17 1203.08 1400.83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</si>
  <si>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</si>
  <si>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</si>
  <si>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</si>
  <si>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</si>
  <si>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</si>
  <si>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</si>
  <si>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</si>
  <si>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</si>
  <si>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</si>
  <si>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</si>
  <si>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</si>
  <si>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</si>
  <si>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</si>
  <si>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</si>
  <si>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</si>
  <si>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</si>
  <si>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</si>
  <si>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</si>
  <si>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</si>
  <si>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</si>
  <si>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</si>
  <si>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</si>
  <si>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</si>
  <si>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</si>
  <si>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</si>
  <si>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</si>
  <si>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</si>
  <si>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</si>
  <si>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</si>
  <si>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</si>
  <si>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</si>
  <si>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</si>
  <si>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</si>
  <si>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</si>
  <si>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</si>
  <si>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</si>
  <si>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</si>
  <si>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</si>
  <si>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</si>
  <si>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</si>
  <si>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</si>
  <si>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</si>
  <si>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</si>
  <si>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</si>
  <si>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</si>
  <si>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</si>
  <si>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</si>
  <si>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</si>
  <si>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</si>
  <si>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</si>
  <si>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</si>
  <si>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</si>
  <si>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</si>
  <si>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</si>
  <si>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</si>
  <si>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</si>
  <si>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</si>
  <si>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</si>
  <si>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</si>
  <si>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</si>
  <si>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</si>
  <si>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</si>
  <si>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</si>
  <si>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</si>
  <si>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</si>
  <si>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</si>
  <si>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</si>
  <si>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</si>
  <si>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</si>
  <si>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</si>
  <si>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</si>
  <si>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</si>
  <si>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</si>
  <si>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</si>
  <si>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</si>
  <si>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</si>
  <si>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</si>
  <si>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</si>
  <si>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</si>
  <si>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</si>
  <si>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</si>
  <si>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</si>
  <si>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</si>
  <si>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</si>
  <si>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</si>
  <si>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</si>
  <si>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</si>
  <si>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</si>
  <si>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</si>
  <si>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</si>
  <si>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</si>
  <si>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</si>
  <si>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</si>
  <si>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</si>
  <si>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</si>
  <si>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</si>
  <si>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</si>
  <si>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</si>
  <si>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</si>
  <si>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</si>
  <si>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</si>
  <si>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</si>
  <si>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</si>
  <si>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</si>
  <si>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</si>
  <si>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</si>
  <si>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</si>
  <si>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</si>
  <si>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</si>
  <si>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</si>
  <si>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</si>
  <si>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</si>
  <si>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</si>
  <si>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</si>
  <si>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</si>
  <si>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</si>
  <si>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</si>
  <si>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</si>
  <si>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</si>
  <si>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</si>
  <si>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</si>
  <si>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</si>
  <si>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</si>
  <si>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</si>
  <si>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</si>
  <si>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</si>
  <si>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</si>
  <si>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</si>
  <si>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</si>
  <si>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</si>
  <si>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</si>
  <si>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</si>
  <si>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</si>
  <si>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</si>
  <si>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</si>
  <si>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</si>
  <si>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</si>
  <si>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</si>
  <si>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</si>
  <si>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</si>
  <si>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</si>
  <si>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</si>
  <si>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</si>
  <si>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</si>
  <si>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</si>
  <si>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</si>
  <si>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</si>
  <si>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</si>
  <si>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</si>
  <si>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</si>
  <si>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</si>
  <si>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</si>
  <si>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</si>
  <si>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</si>
  <si>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</si>
  <si>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</si>
  <si>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</si>
  <si>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</si>
  <si>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</si>
  <si>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</si>
  <si>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</si>
  <si>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</si>
  <si>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</si>
  <si>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</si>
  <si>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</si>
  <si>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</si>
  <si>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</si>
  <si>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</si>
  <si>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</si>
  <si>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</si>
  <si>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</si>
  <si>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</si>
  <si>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</si>
  <si>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</si>
  <si>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</si>
  <si>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</si>
  <si>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</si>
  <si>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</si>
  <si>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</si>
  <si>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</si>
  <si>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</si>
  <si>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</si>
  <si>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</si>
  <si>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</si>
  <si>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</si>
  <si>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</si>
  <si>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</si>
  <si>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</si>
  <si>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</si>
  <si>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</si>
  <si>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</si>
  <si>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</si>
  <si>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</si>
  <si>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</si>
  <si>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</si>
  <si>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</si>
  <si>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</si>
  <si>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</si>
  <si>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</si>
  <si>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</si>
  <si>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</si>
  <si>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</si>
  <si>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</si>
  <si>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</si>
  <si>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</si>
  <si>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</si>
  <si>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</si>
  <si>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</si>
  <si>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</si>
  <si>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</si>
  <si>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</si>
  <si>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</si>
  <si>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</si>
  <si>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</si>
  <si>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</si>
  <si>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</si>
  <si>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</si>
  <si>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</si>
  <si>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</si>
  <si>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</si>
  <si>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</si>
  <si>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</si>
  <si>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</si>
  <si>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</si>
  <si>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</si>
  <si>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</si>
  <si>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</si>
  <si>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</si>
  <si>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</si>
  <si>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</si>
  <si>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</si>
  <si>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</si>
  <si>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</si>
  <si>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AccH2O_hum</t>
  </si>
  <si>
    <t>CO2_hrs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</si>
  <si>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</si>
  <si>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</si>
  <si>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</si>
  <si>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</si>
  <si>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</si>
  <si>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</si>
  <si>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</si>
  <si>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</si>
  <si>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</si>
  <si>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</si>
  <si>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</si>
  <si>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</si>
  <si>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</si>
  <si>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</si>
  <si>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</si>
  <si>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</si>
  <si>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</si>
  <si>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</si>
  <si>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</si>
  <si>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</si>
  <si>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</si>
  <si>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</si>
  <si>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</si>
  <si>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</si>
  <si>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</si>
  <si>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</si>
  <si>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</si>
  <si>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</si>
  <si>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</si>
  <si>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</si>
  <si>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</si>
  <si>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</si>
  <si>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</si>
  <si>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</si>
  <si>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</si>
  <si>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</si>
  <si>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</si>
  <si>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</si>
  <si>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</si>
  <si>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</si>
  <si>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</si>
  <si>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</si>
  <si>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</si>
  <si>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</si>
  <si>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</si>
  <si>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</si>
  <si>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</si>
  <si>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</si>
  <si>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</si>
  <si>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</si>
  <si>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</si>
  <si>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</si>
  <si>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</si>
  <si>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</si>
  <si>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</si>
  <si>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</si>
  <si>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</si>
  <si>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</si>
  <si>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</si>
  <si>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</si>
  <si>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</si>
  <si>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</si>
  <si>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</si>
  <si>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</si>
  <si>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</si>
  <si>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</si>
  <si>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</si>
  <si>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</si>
  <si>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</si>
  <si>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</si>
  <si>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</si>
  <si>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</si>
  <si>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</si>
  <si>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</si>
  <si>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</si>
  <si>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</si>
  <si>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</si>
  <si>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</si>
  <si>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</si>
  <si>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</si>
  <si>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</si>
  <si>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</si>
  <si>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</si>
  <si>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</si>
  <si>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</si>
  <si>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</si>
  <si>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</si>
  <si>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</si>
  <si>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</si>
  <si>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</si>
  <si>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mg</t>
  </si>
  <si>
    <t>hrs</t>
  </si>
  <si>
    <t>min</t>
  </si>
  <si>
    <t>20261010 16:19:37</t>
  </si>
  <si>
    <t>16:19:37</t>
  </si>
  <si>
    <t>-</t>
  </si>
  <si>
    <t>0: Broadleaf</t>
  </si>
  <si>
    <t>16:18:40</t>
  </si>
  <si>
    <t>2/2</t>
  </si>
  <si>
    <t>11111111</t>
  </si>
  <si>
    <t>oooooooo</t>
  </si>
  <si>
    <t>on</t>
  </si>
  <si>
    <t>20261010 16:21:38</t>
  </si>
  <si>
    <t>16:21:38</t>
  </si>
  <si>
    <t>16:20:43</t>
  </si>
  <si>
    <t>20261010 16:23:39</t>
  </si>
  <si>
    <t>16:23:39</t>
  </si>
  <si>
    <t>16:22:48</t>
  </si>
  <si>
    <t>20261010 16:25:40</t>
  </si>
  <si>
    <t>16:25:40</t>
  </si>
  <si>
    <t>16:24:43</t>
  </si>
  <si>
    <t>20261010 16:27:41</t>
  </si>
  <si>
    <t>16:27:41</t>
  </si>
  <si>
    <t>16:26:43</t>
  </si>
  <si>
    <t>20261010 16:29:52</t>
  </si>
  <si>
    <t>16:29:52</t>
  </si>
  <si>
    <t>16:28:51</t>
  </si>
  <si>
    <t>20261010 16:31:53</t>
  </si>
  <si>
    <t>16:31:53</t>
  </si>
  <si>
    <t>16:30:56</t>
  </si>
  <si>
    <t>20261010 16:33:55</t>
  </si>
  <si>
    <t>16:33:55</t>
  </si>
  <si>
    <t>16:32:53</t>
  </si>
  <si>
    <t>20261010 16:36:22</t>
  </si>
  <si>
    <t>16:36:22</t>
  </si>
  <si>
    <t>16:35:07</t>
  </si>
  <si>
    <t>20261010 16:38:23</t>
  </si>
  <si>
    <t>16:38:23</t>
  </si>
  <si>
    <t>16:37:18</t>
  </si>
  <si>
    <t>20261010 16:40:25</t>
  </si>
  <si>
    <t>16:40:25</t>
  </si>
  <si>
    <t>16:39:32</t>
  </si>
  <si>
    <t>0/2</t>
  </si>
  <si>
    <t>20261010 16:42:37</t>
  </si>
  <si>
    <t>16:42:37</t>
  </si>
  <si>
    <t>16:41:36</t>
  </si>
  <si>
    <t>20261010 16:44:38</t>
  </si>
  <si>
    <t>16:44:38</t>
  </si>
  <si>
    <t>16:44:01</t>
  </si>
  <si>
    <t>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</si>
</sst>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V29"/>
  <sheetViews>
    <sheetView tabSelected="1" workbookViewId="0"/>
  </sheetViews>
  <sheetFormatPr defaultRowHeight="16.5" x14ac:dyDescent="0.3"/>
  <sheetData>
    <row r="2" spans="1:282" x14ac:dyDescent="0.3">
      <c r="A2" t="s">
        <v>31</v>
      </c>
      <c r="B2" t="s">
        <v>32</v>
      </c>
      <c r="C2" t="s">
        <v>34</v>
      </c>
    </row>
    <row r="3" spans="1:282" x14ac:dyDescent="0.3">
      <c r="B3" t="s">
        <v>33</v>
      </c>
      <c r="C3">
        <v>21</v>
      </c>
    </row>
    <row r="4" spans="1:282" x14ac:dyDescent="0.3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82" x14ac:dyDescent="0.3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2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82" x14ac:dyDescent="0.3">
      <c r="B7">
        <v>0</v>
      </c>
      <c r="C7">
        <v>1</v>
      </c>
      <c r="D7">
        <v>0</v>
      </c>
      <c r="E7">
        <v>0</v>
      </c>
    </row>
    <row r="8" spans="1:282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82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82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82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82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103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104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106</v>
      </c>
    </row>
    <row r="15" spans="1:282" x14ac:dyDescent="0.3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89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169</v>
      </c>
      <c r="CH15" t="s">
        <v>190</v>
      </c>
      <c r="CI15" t="s">
        <v>191</v>
      </c>
      <c r="CJ15" t="s">
        <v>192</v>
      </c>
      <c r="CK15" t="s">
        <v>143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113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108</v>
      </c>
      <c r="FB15" t="s">
        <v>111</v>
      </c>
      <c r="FC15" t="s">
        <v>259</v>
      </c>
      <c r="FD15" t="s">
        <v>260</v>
      </c>
      <c r="FE15" t="s">
        <v>261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  <c r="JV15" t="s">
        <v>382</v>
      </c>
    </row>
    <row r="16" spans="1:282" x14ac:dyDescent="0.3">
      <c r="B16" t="s">
        <v>383</v>
      </c>
      <c r="C16" t="s">
        <v>383</v>
      </c>
      <c r="F16" t="s">
        <v>383</v>
      </c>
      <c r="G16" t="s">
        <v>383</v>
      </c>
      <c r="H16" t="s">
        <v>384</v>
      </c>
      <c r="I16" t="s">
        <v>385</v>
      </c>
      <c r="J16" t="s">
        <v>386</v>
      </c>
      <c r="K16" t="s">
        <v>387</v>
      </c>
      <c r="L16" t="s">
        <v>387</v>
      </c>
      <c r="M16" t="s">
        <v>216</v>
      </c>
      <c r="N16" t="s">
        <v>216</v>
      </c>
      <c r="O16" t="s">
        <v>384</v>
      </c>
      <c r="P16" t="s">
        <v>384</v>
      </c>
      <c r="Q16" t="s">
        <v>384</v>
      </c>
      <c r="R16" t="s">
        <v>384</v>
      </c>
      <c r="S16" t="s">
        <v>388</v>
      </c>
      <c r="T16" t="s">
        <v>389</v>
      </c>
      <c r="U16" t="s">
        <v>389</v>
      </c>
      <c r="V16" t="s">
        <v>390</v>
      </c>
      <c r="W16" t="s">
        <v>391</v>
      </c>
      <c r="X16" t="s">
        <v>390</v>
      </c>
      <c r="Y16" t="s">
        <v>390</v>
      </c>
      <c r="Z16" t="s">
        <v>390</v>
      </c>
      <c r="AA16" t="s">
        <v>388</v>
      </c>
      <c r="AB16" t="s">
        <v>388</v>
      </c>
      <c r="AC16" t="s">
        <v>388</v>
      </c>
      <c r="AD16" t="s">
        <v>388</v>
      </c>
      <c r="AE16" t="s">
        <v>392</v>
      </c>
      <c r="AF16" t="s">
        <v>391</v>
      </c>
      <c r="AH16" t="s">
        <v>391</v>
      </c>
      <c r="AI16" t="s">
        <v>392</v>
      </c>
      <c r="AO16" t="s">
        <v>386</v>
      </c>
      <c r="AV16" t="s">
        <v>386</v>
      </c>
      <c r="AW16" t="s">
        <v>386</v>
      </c>
      <c r="AX16" t="s">
        <v>386</v>
      </c>
      <c r="AY16" t="s">
        <v>393</v>
      </c>
      <c r="BM16" t="s">
        <v>394</v>
      </c>
      <c r="BO16" t="s">
        <v>394</v>
      </c>
      <c r="BP16" t="s">
        <v>386</v>
      </c>
      <c r="BS16" t="s">
        <v>394</v>
      </c>
      <c r="BT16" t="s">
        <v>391</v>
      </c>
      <c r="BW16" t="s">
        <v>395</v>
      </c>
      <c r="BX16" t="s">
        <v>395</v>
      </c>
      <c r="BZ16" t="s">
        <v>396</v>
      </c>
      <c r="CA16" t="s">
        <v>394</v>
      </c>
      <c r="CC16" t="s">
        <v>394</v>
      </c>
      <c r="CD16" t="s">
        <v>386</v>
      </c>
      <c r="CH16" t="s">
        <v>394</v>
      </c>
      <c r="CJ16" t="s">
        <v>397</v>
      </c>
      <c r="CM16" t="s">
        <v>394</v>
      </c>
      <c r="CN16" t="s">
        <v>394</v>
      </c>
      <c r="CP16" t="s">
        <v>394</v>
      </c>
      <c r="CR16" t="s">
        <v>394</v>
      </c>
      <c r="CT16" t="s">
        <v>386</v>
      </c>
      <c r="CU16" t="s">
        <v>386</v>
      </c>
      <c r="CW16" t="s">
        <v>398</v>
      </c>
      <c r="CX16" t="s">
        <v>399</v>
      </c>
      <c r="DA16" t="s">
        <v>384</v>
      </c>
      <c r="DB16" t="s">
        <v>383</v>
      </c>
      <c r="DC16" t="s">
        <v>387</v>
      </c>
      <c r="DD16" t="s">
        <v>387</v>
      </c>
      <c r="DE16" t="s">
        <v>400</v>
      </c>
      <c r="DF16" t="s">
        <v>400</v>
      </c>
      <c r="DG16" t="s">
        <v>387</v>
      </c>
      <c r="DH16" t="s">
        <v>400</v>
      </c>
      <c r="DI16" t="s">
        <v>392</v>
      </c>
      <c r="DJ16" t="s">
        <v>390</v>
      </c>
      <c r="DK16" t="s">
        <v>390</v>
      </c>
      <c r="DL16" t="s">
        <v>389</v>
      </c>
      <c r="DM16" t="s">
        <v>389</v>
      </c>
      <c r="DN16" t="s">
        <v>389</v>
      </c>
      <c r="DO16" t="s">
        <v>389</v>
      </c>
      <c r="DP16" t="s">
        <v>389</v>
      </c>
      <c r="DQ16" t="s">
        <v>401</v>
      </c>
      <c r="DR16" t="s">
        <v>386</v>
      </c>
      <c r="DS16" t="s">
        <v>386</v>
      </c>
      <c r="DT16" t="s">
        <v>387</v>
      </c>
      <c r="DU16" t="s">
        <v>387</v>
      </c>
      <c r="DV16" t="s">
        <v>387</v>
      </c>
      <c r="DW16" t="s">
        <v>400</v>
      </c>
      <c r="DX16" t="s">
        <v>387</v>
      </c>
      <c r="DY16" t="s">
        <v>400</v>
      </c>
      <c r="DZ16" t="s">
        <v>390</v>
      </c>
      <c r="EA16" t="s">
        <v>390</v>
      </c>
      <c r="EB16" t="s">
        <v>389</v>
      </c>
      <c r="EC16" t="s">
        <v>389</v>
      </c>
      <c r="ED16" t="s">
        <v>386</v>
      </c>
      <c r="EI16" t="s">
        <v>386</v>
      </c>
      <c r="EL16" t="s">
        <v>389</v>
      </c>
      <c r="EM16" t="s">
        <v>389</v>
      </c>
      <c r="EN16" t="s">
        <v>389</v>
      </c>
      <c r="EO16" t="s">
        <v>389</v>
      </c>
      <c r="EP16" t="s">
        <v>389</v>
      </c>
      <c r="EQ16" t="s">
        <v>386</v>
      </c>
      <c r="ER16" t="s">
        <v>386</v>
      </c>
      <c r="ES16" t="s">
        <v>386</v>
      </c>
      <c r="ET16" t="s">
        <v>383</v>
      </c>
      <c r="EW16" t="s">
        <v>402</v>
      </c>
      <c r="EX16" t="s">
        <v>402</v>
      </c>
      <c r="EZ16" t="s">
        <v>383</v>
      </c>
      <c r="FA16" t="s">
        <v>403</v>
      </c>
      <c r="FC16" t="s">
        <v>383</v>
      </c>
      <c r="FD16" t="s">
        <v>383</v>
      </c>
      <c r="FF16" t="s">
        <v>404</v>
      </c>
      <c r="FG16" t="s">
        <v>405</v>
      </c>
      <c r="FH16" t="s">
        <v>404</v>
      </c>
      <c r="FI16" t="s">
        <v>405</v>
      </c>
      <c r="FJ16" t="s">
        <v>404</v>
      </c>
      <c r="FK16" t="s">
        <v>405</v>
      </c>
      <c r="FL16" t="s">
        <v>391</v>
      </c>
      <c r="FM16" t="s">
        <v>391</v>
      </c>
      <c r="FN16" t="s">
        <v>386</v>
      </c>
      <c r="FO16" t="s">
        <v>406</v>
      </c>
      <c r="FP16" t="s">
        <v>386</v>
      </c>
      <c r="FR16" t="s">
        <v>387</v>
      </c>
      <c r="FS16" t="s">
        <v>407</v>
      </c>
      <c r="FT16" t="s">
        <v>387</v>
      </c>
      <c r="FW16" t="s">
        <v>408</v>
      </c>
      <c r="GC16" t="s">
        <v>409</v>
      </c>
      <c r="GD16" t="s">
        <v>409</v>
      </c>
      <c r="GQ16" t="s">
        <v>409</v>
      </c>
      <c r="GR16" t="s">
        <v>409</v>
      </c>
      <c r="GS16" t="s">
        <v>410</v>
      </c>
      <c r="GT16" t="s">
        <v>410</v>
      </c>
      <c r="GU16" t="s">
        <v>389</v>
      </c>
      <c r="GV16" t="s">
        <v>389</v>
      </c>
      <c r="GW16" t="s">
        <v>391</v>
      </c>
      <c r="GX16" t="s">
        <v>389</v>
      </c>
      <c r="GY16" t="s">
        <v>400</v>
      </c>
      <c r="GZ16" t="s">
        <v>391</v>
      </c>
      <c r="HA16" t="s">
        <v>391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411</v>
      </c>
      <c r="HK16" t="s">
        <v>411</v>
      </c>
      <c r="HL16" t="s">
        <v>412</v>
      </c>
      <c r="HM16" t="s">
        <v>411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IF16" t="s">
        <v>409</v>
      </c>
      <c r="IG16" t="s">
        <v>391</v>
      </c>
      <c r="IH16" t="s">
        <v>391</v>
      </c>
      <c r="II16" t="s">
        <v>404</v>
      </c>
      <c r="IJ16" t="s">
        <v>405</v>
      </c>
      <c r="IK16" t="s">
        <v>404</v>
      </c>
      <c r="IO16" t="s">
        <v>405</v>
      </c>
      <c r="IS16" t="s">
        <v>387</v>
      </c>
      <c r="IT16" t="s">
        <v>387</v>
      </c>
      <c r="IU16" t="s">
        <v>400</v>
      </c>
      <c r="IV16" t="s">
        <v>400</v>
      </c>
      <c r="IW16" t="s">
        <v>413</v>
      </c>
      <c r="IX16" t="s">
        <v>413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389</v>
      </c>
      <c r="JF16" t="s">
        <v>409</v>
      </c>
      <c r="JH16" t="s">
        <v>392</v>
      </c>
      <c r="JI16" t="s">
        <v>392</v>
      </c>
      <c r="JJ16" t="s">
        <v>389</v>
      </c>
      <c r="JK16" t="s">
        <v>389</v>
      </c>
      <c r="JL16" t="s">
        <v>389</v>
      </c>
      <c r="JM16" t="s">
        <v>389</v>
      </c>
      <c r="JN16" t="s">
        <v>389</v>
      </c>
      <c r="JO16" t="s">
        <v>391</v>
      </c>
      <c r="JP16" t="s">
        <v>391</v>
      </c>
      <c r="JQ16" t="s">
        <v>391</v>
      </c>
      <c r="JR16" t="s">
        <v>389</v>
      </c>
      <c r="JS16" t="s">
        <v>387</v>
      </c>
      <c r="JT16" t="s">
        <v>400</v>
      </c>
      <c r="JU16" t="s">
        <v>391</v>
      </c>
      <c r="JV16" t="s">
        <v>391</v>
      </c>
    </row>
    <row r="17" spans="1:282" x14ac:dyDescent="0.3">
      <c r="A17">
        <v>1</v>
      </c>
      <c r="B17">
        <v>1791616777.0999999</v>
      </c>
      <c r="C17">
        <v>0</v>
      </c>
      <c r="D17" t="s">
        <v>414</v>
      </c>
      <c r="E17" t="s">
        <v>415</v>
      </c>
      <c r="F17">
        <v>5</v>
      </c>
      <c r="G17">
        <v>1791616774.0999999</v>
      </c>
      <c r="H17">
        <f t="shared" ref="H17:H29" si="0">(I17)/1000</f>
        <v>5.0274831420201354E-3</v>
      </c>
      <c r="I17">
        <f t="shared" ref="I17:I29" si="1">1000*DI17*AG17*(DE17-DF17)/(100*CX17*(1000-AG17*DE17))</f>
        <v>5.0274831420201354</v>
      </c>
      <c r="J17">
        <f t="shared" ref="J17:J29" si="2">DI17*AG17*(DD17-DC17*(1000-AG17*DF17)/(1000-AG17*DE17))/(100*CX17)</f>
        <v>22.338232400842642</v>
      </c>
      <c r="K17">
        <f t="shared" ref="K17:K29" si="3">DC17 - IF(AG17&gt;1, J17*CX17*100/(AI17), 0)</f>
        <v>390.29840000000002</v>
      </c>
      <c r="L17">
        <f t="shared" ref="L17:L29" si="4">((R17-H17/2)*K17-J17)/(R17+H17/2)</f>
        <v>282.75976059661485</v>
      </c>
      <c r="M17">
        <f t="shared" ref="M17:M29" si="5">L17*(DJ17+DK17)/1000</f>
        <v>28.61666697835129</v>
      </c>
      <c r="N17">
        <f t="shared" ref="N17:N29" si="6">(DC17 - IF(AG17&gt;1, J17*CX17*100/(AI17), 0))*(DJ17+DK17)/1000</f>
        <v>39.500101822893747</v>
      </c>
      <c r="O17">
        <f t="shared" ref="O17:O29" si="7">2/((1/Q17-1/P17)+SIGN(Q17)*SQRT((1/Q17-1/P17)*(1/Q17-1/P17) + 4*CY17/((CY17+1)*(CY17+1))*(2*1/Q17*1/P17-1/P17*1/P17)))</f>
        <v>0.37869300430940833</v>
      </c>
      <c r="P17">
        <f t="shared" ref="P17:P29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3.0293973986161231</v>
      </c>
      <c r="Q17">
        <f t="shared" ref="Q17:Q29" si="9">H17*(1000-(1000*0.61365*EXP(17.502*U17/(240.97+U17))/(DJ17+DK17)+DE17)/2)/(1000*0.61365*EXP(17.502*U17/(240.97+U17))/(DJ17+DK17)-DE17)</f>
        <v>0.35422250784994996</v>
      </c>
      <c r="R17">
        <f t="shared" ref="R17:R29" si="10">1/((CY17+1)/(O17/1.6)+1/(P17/1.37)) + CY17/((CY17+1)/(O17/1.6) + CY17/(P17/1.37))</f>
        <v>0.2234557440205579</v>
      </c>
      <c r="S17">
        <f t="shared" ref="S17:S29" si="11">(CT17*CW17)</f>
        <v>241.73173580292575</v>
      </c>
      <c r="T17">
        <f t="shared" ref="T17:T29" si="12">(DL17+(S17+2*0.95*0.0000000567*(((DL17+$B$7)+273)^4-(DL17+273)^4)-44100*H17)/(1.84*29.3*P17+8*0.95*0.0000000567*(DL17+273)^3))</f>
        <v>25.364959927133416</v>
      </c>
      <c r="U17">
        <f t="shared" ref="U17:U29" si="13">($C$7*DM17+$D$7*DN17+$E$7*T17)</f>
        <v>24.99802</v>
      </c>
      <c r="V17">
        <f t="shared" ref="V17:V29" si="14">0.61365*EXP(17.502*U17/(240.97+U17))</f>
        <v>3.1793022617517934</v>
      </c>
      <c r="W17">
        <f t="shared" ref="W17:W29" si="15">(X17/Y17*100)</f>
        <v>55.092318303472901</v>
      </c>
      <c r="X17">
        <f t="shared" ref="X17:X29" si="16">DE17*(DJ17+DK17)/1000</f>
        <v>1.7780806401938591</v>
      </c>
      <c r="Y17">
        <f t="shared" ref="Y17:Y29" si="17">0.61365*EXP(17.502*DL17/(240.97+DL17))</f>
        <v>3.2274565582798731</v>
      </c>
      <c r="Z17">
        <f t="shared" ref="Z17:Z29" si="18">(V17-DE17*(DJ17+DK17)/1000)</f>
        <v>1.4012216215579343</v>
      </c>
      <c r="AA17">
        <f t="shared" ref="AA17:AA29" si="19">(-H17*44100)</f>
        <v>-221.71200656308798</v>
      </c>
      <c r="AB17">
        <f t="shared" ref="AB17:AB29" si="20">2*29.3*P17*0.92*(DL17-U17)</f>
        <v>41.218921815226871</v>
      </c>
      <c r="AC17">
        <f t="shared" ref="AC17:AC29" si="21">2*0.95*0.0000000567*(((DL17+$B$7)+273)^4-(U17+273)^4)</f>
        <v>2.8816644024060918</v>
      </c>
      <c r="AD17">
        <f t="shared" ref="AD17:AD29" si="22">S17+AC17+AA17+AB17</f>
        <v>64.120315457470753</v>
      </c>
      <c r="AE17">
        <v>0</v>
      </c>
      <c r="AF17">
        <v>0</v>
      </c>
      <c r="AG17">
        <f t="shared" ref="AG17:AG29" si="23">IF(AE17*$H$13&gt;=AI17,1,(AI17/(AI17-AE17*$H$13)))</f>
        <v>1</v>
      </c>
      <c r="AH17">
        <f t="shared" ref="AH17:AH29" si="24">(AG17-1)*100</f>
        <v>0</v>
      </c>
      <c r="AI17">
        <f t="shared" ref="AI17:AI29" si="25">MAX(0,($B$13+$C$13*DQ17)/(1+$D$13*DQ17)*DJ17/(DL17+273)*$E$13)</f>
        <v>53777.449725740131</v>
      </c>
      <c r="AJ17" t="s">
        <v>416</v>
      </c>
      <c r="AK17" t="s">
        <v>416</v>
      </c>
      <c r="AL17">
        <v>0</v>
      </c>
      <c r="AM17">
        <v>0</v>
      </c>
      <c r="AN17" t="e">
        <f t="shared" ref="AN17:AN29" si="26">1-AL17/AM17</f>
        <v>#DIV/0!</v>
      </c>
      <c r="AO17">
        <v>0</v>
      </c>
      <c r="AP17" t="s">
        <v>416</v>
      </c>
      <c r="AQ17" t="s">
        <v>416</v>
      </c>
      <c r="AR17">
        <v>0</v>
      </c>
      <c r="AS17">
        <v>0</v>
      </c>
      <c r="AT17" t="e">
        <f t="shared" ref="AT17:AT29" si="27">1-AR17/AS17</f>
        <v>#DIV/0!</v>
      </c>
      <c r="AU17">
        <v>0.5</v>
      </c>
      <c r="AV17">
        <f t="shared" ref="AV17:AV29" si="28">CU17</f>
        <v>1261.1839194833813</v>
      </c>
      <c r="AW17">
        <f t="shared" ref="AW17:AW29" si="29">J17</f>
        <v>22.338232400842642</v>
      </c>
      <c r="AX17" t="e">
        <f t="shared" ref="AX17:AX29" si="30">AT17*AU17*AV17</f>
        <v>#DIV/0!</v>
      </c>
      <c r="AY17">
        <f t="shared" ref="AY17:AY29" si="31">(AW17-AO17)/AV17</f>
        <v>1.7712113241971125E-2</v>
      </c>
      <c r="AZ17" t="e">
        <f t="shared" ref="AZ17:AZ29" si="32">(AM17-AS17)/AS17</f>
        <v>#DIV/0!</v>
      </c>
      <c r="BA17" t="e">
        <f t="shared" ref="BA17:BA29" si="33">AL17/(AN17+AL17/AS17)</f>
        <v>#DIV/0!</v>
      </c>
      <c r="BB17" t="s">
        <v>416</v>
      </c>
      <c r="BC17">
        <v>0</v>
      </c>
      <c r="BD17" t="e">
        <f t="shared" ref="BD17:BD29" si="34">IF(BC17&lt;&gt;0, BC17, BA17)</f>
        <v>#DIV/0!</v>
      </c>
      <c r="BE17" t="e">
        <f t="shared" ref="BE17:BE29" si="35">1-BD17/AS17</f>
        <v>#DIV/0!</v>
      </c>
      <c r="BF17" t="e">
        <f t="shared" ref="BF17:BF29" si="36">(AS17-AR17)/(AS17-BD17)</f>
        <v>#DIV/0!</v>
      </c>
      <c r="BG17" t="e">
        <f t="shared" ref="BG17:BG29" si="37">(AM17-AS17)/(AM17-BD17)</f>
        <v>#DIV/0!</v>
      </c>
      <c r="BH17" t="e">
        <f t="shared" ref="BH17:BH29" si="38">(AS17-AR17)/(AS17-AL17)</f>
        <v>#DIV/0!</v>
      </c>
      <c r="BI17" t="e">
        <f t="shared" ref="BI17:BI29" si="39">(AM17-AS17)/(AM17-AL17)</f>
        <v>#DIV/0!</v>
      </c>
      <c r="BJ17" t="e">
        <f t="shared" ref="BJ17:BJ29" si="40">(BF17*BD17/AR17)</f>
        <v>#DIV/0!</v>
      </c>
      <c r="BK17" t="e">
        <f t="shared" ref="BK17:BK29" si="41">(1-BJ17)</f>
        <v>#DIV/0!</v>
      </c>
      <c r="CT17">
        <f t="shared" ref="CT17:CT29" si="42">$B$11*DR17+$C$11*DS17+$F$11*ED17*(1-EG17)</f>
        <v>1499.9680000000001</v>
      </c>
      <c r="CU17">
        <f t="shared" ref="CU17:CU29" si="43">CT17*CV17</f>
        <v>1261.1839194833813</v>
      </c>
      <c r="CV17">
        <f t="shared" ref="CV17:CV29" si="44">($B$11*$D$9+$C$11*$D$9+$F$11*((EQ17+EI17)/MAX(EQ17+EI17+ER17, 0.1)*$I$9+ER17/MAX(EQ17+EI17+ER17, 0.1)*$J$9))/($B$11+$C$11+$F$11)</f>
        <v>0.84080721687621418</v>
      </c>
      <c r="CW17">
        <f t="shared" ref="CW17:CW29" si="45">($B$11*$K$9+$C$11*$K$9+$F$11*((EQ17+EI17)/MAX(EQ17+EI17+ER17, 0.1)*$P$9+ER17/MAX(EQ17+EI17+ER17, 0.1)*$Q$9))/($B$11+$C$11+$F$11)</f>
        <v>0.16115792857109335</v>
      </c>
      <c r="CX17">
        <v>2</v>
      </c>
      <c r="CY17">
        <v>0.5</v>
      </c>
      <c r="CZ17" t="s">
        <v>417</v>
      </c>
      <c r="DA17">
        <v>2</v>
      </c>
      <c r="DB17">
        <v>1791616774.0999999</v>
      </c>
      <c r="DC17">
        <v>390.29840000000002</v>
      </c>
      <c r="DD17">
        <v>400.01679999999999</v>
      </c>
      <c r="DE17">
        <v>17.569120000000002</v>
      </c>
      <c r="DF17">
        <v>15.593819999999999</v>
      </c>
      <c r="DG17">
        <v>389.32679999999999</v>
      </c>
      <c r="DH17">
        <v>17.698560000000001</v>
      </c>
      <c r="DI17">
        <v>500.09160000000003</v>
      </c>
      <c r="DJ17">
        <v>101.1048</v>
      </c>
      <c r="DK17">
        <v>0.10007766</v>
      </c>
      <c r="DL17">
        <v>25.250399999999999</v>
      </c>
      <c r="DM17">
        <v>24.99802</v>
      </c>
      <c r="DN17">
        <v>999.9</v>
      </c>
      <c r="DO17">
        <v>0</v>
      </c>
      <c r="DP17">
        <v>0</v>
      </c>
      <c r="DQ17">
        <v>10000.48</v>
      </c>
      <c r="DR17">
        <v>0</v>
      </c>
      <c r="DS17">
        <v>6.4555540000000002</v>
      </c>
      <c r="DT17">
        <v>-9.7185120000000005</v>
      </c>
      <c r="DU17">
        <v>397.27820000000003</v>
      </c>
      <c r="DV17">
        <v>406.35359999999997</v>
      </c>
      <c r="DW17">
        <v>1.9753039999999999</v>
      </c>
      <c r="DX17">
        <v>400.01679999999999</v>
      </c>
      <c r="DY17">
        <v>15.593819999999999</v>
      </c>
      <c r="DZ17">
        <v>1.776324</v>
      </c>
      <c r="EA17">
        <v>1.5766100000000001</v>
      </c>
      <c r="EB17">
        <v>15.57996</v>
      </c>
      <c r="EC17">
        <v>13.73208</v>
      </c>
      <c r="ED17">
        <v>1499.9680000000001</v>
      </c>
      <c r="EE17">
        <v>0.97300120000000001</v>
      </c>
      <c r="EF17">
        <v>2.69987E-2</v>
      </c>
      <c r="EG17">
        <v>0</v>
      </c>
      <c r="EH17">
        <v>348.29480000000001</v>
      </c>
      <c r="EI17">
        <v>5.0006399999999998</v>
      </c>
      <c r="EJ17">
        <v>5382.4459999999999</v>
      </c>
      <c r="EK17">
        <v>15438.9</v>
      </c>
      <c r="EL17">
        <v>40.686999999999998</v>
      </c>
      <c r="EM17">
        <v>41.375</v>
      </c>
      <c r="EN17">
        <v>41</v>
      </c>
      <c r="EO17">
        <v>41.061999999999998</v>
      </c>
      <c r="EP17">
        <v>42.25</v>
      </c>
      <c r="EQ17">
        <v>1454.6079999999999</v>
      </c>
      <c r="ER17">
        <v>40.36</v>
      </c>
      <c r="ES17">
        <v>0</v>
      </c>
      <c r="ET17">
        <v>1791616778.0999999</v>
      </c>
      <c r="EU17">
        <v>0</v>
      </c>
      <c r="EV17">
        <v>348.40634615384602</v>
      </c>
      <c r="EW17">
        <v>-0.81788033147089001</v>
      </c>
      <c r="EX17">
        <v>-16.217777763977601</v>
      </c>
      <c r="EY17">
        <v>5383.9265384615401</v>
      </c>
      <c r="EZ17">
        <v>15</v>
      </c>
      <c r="FA17">
        <v>1791616720.0999999</v>
      </c>
      <c r="FB17" t="s">
        <v>418</v>
      </c>
      <c r="FC17">
        <v>1791616717.0999999</v>
      </c>
      <c r="FD17">
        <v>1791616720.0999999</v>
      </c>
      <c r="FE17">
        <v>81</v>
      </c>
      <c r="FF17">
        <v>-3.0000000000000001E-3</v>
      </c>
      <c r="FG17">
        <v>0</v>
      </c>
      <c r="FH17">
        <v>0.97699999999999998</v>
      </c>
      <c r="FI17">
        <v>-0.17499999999999999</v>
      </c>
      <c r="FJ17">
        <v>400</v>
      </c>
      <c r="FK17">
        <v>16</v>
      </c>
      <c r="FL17">
        <v>0.3</v>
      </c>
      <c r="FM17">
        <v>0.05</v>
      </c>
      <c r="FN17">
        <v>22.358178717172802</v>
      </c>
      <c r="FO17">
        <v>0.124837738012711</v>
      </c>
      <c r="FP17">
        <v>9.1195637754373199E-2</v>
      </c>
      <c r="FQ17">
        <v>1</v>
      </c>
      <c r="FR17">
        <v>-9.7379628571428594</v>
      </c>
      <c r="FS17">
        <v>-2.7819740259768699E-2</v>
      </c>
      <c r="FT17">
        <v>3.7349352533797502E-2</v>
      </c>
      <c r="FU17">
        <v>1</v>
      </c>
      <c r="FV17">
        <v>348.447294117647</v>
      </c>
      <c r="FW17">
        <v>-0.22576011752852501</v>
      </c>
      <c r="FX17">
        <v>0.15438159929438999</v>
      </c>
      <c r="FY17">
        <v>-1</v>
      </c>
      <c r="FZ17">
        <v>2</v>
      </c>
      <c r="GA17">
        <v>2</v>
      </c>
      <c r="GB17" t="s">
        <v>419</v>
      </c>
      <c r="GC17">
        <v>3.12357</v>
      </c>
      <c r="GD17">
        <v>2.7653599999999998</v>
      </c>
      <c r="GE17">
        <v>8.6036000000000001E-2</v>
      </c>
      <c r="GF17">
        <v>0.09</v>
      </c>
      <c r="GG17">
        <v>9.3673599999999996E-2</v>
      </c>
      <c r="GH17">
        <v>8.8869299999999998E-2</v>
      </c>
      <c r="GI17">
        <v>17801.099999999999</v>
      </c>
      <c r="GJ17">
        <v>26730.2</v>
      </c>
      <c r="GK17">
        <v>22758.799999999999</v>
      </c>
      <c r="GL17">
        <v>30099.200000000001</v>
      </c>
      <c r="GM17">
        <v>33836.9</v>
      </c>
      <c r="GN17">
        <v>34167.1</v>
      </c>
      <c r="GO17">
        <v>43066</v>
      </c>
      <c r="GP17">
        <v>42871.199999999997</v>
      </c>
      <c r="GQ17">
        <v>1.97237</v>
      </c>
      <c r="GR17">
        <v>1.8030299999999999</v>
      </c>
      <c r="GS17">
        <v>6.4395400000000005E-2</v>
      </c>
      <c r="GT17">
        <v>0</v>
      </c>
      <c r="GU17">
        <v>23.945900000000002</v>
      </c>
      <c r="GV17">
        <v>999.9</v>
      </c>
      <c r="GW17">
        <v>35.966000000000001</v>
      </c>
      <c r="GX17">
        <v>34.11</v>
      </c>
      <c r="GY17">
        <v>19.1233</v>
      </c>
      <c r="GZ17">
        <v>63.116500000000002</v>
      </c>
      <c r="HA17">
        <v>33.850200000000001</v>
      </c>
      <c r="HB17">
        <v>1</v>
      </c>
      <c r="HC17">
        <v>7.0818099999999995E-2</v>
      </c>
      <c r="HD17">
        <v>1.97847</v>
      </c>
      <c r="HE17">
        <v>20.218499999999999</v>
      </c>
      <c r="HF17">
        <v>5.2336099999999997</v>
      </c>
      <c r="HG17">
        <v>11.962</v>
      </c>
      <c r="HH17">
        <v>4.96915</v>
      </c>
      <c r="HI17">
        <v>3.2951800000000002</v>
      </c>
      <c r="HJ17">
        <v>9999</v>
      </c>
      <c r="HK17">
        <v>9999</v>
      </c>
      <c r="HL17">
        <v>999.9</v>
      </c>
      <c r="HM17">
        <v>9999</v>
      </c>
      <c r="HN17">
        <v>4.9686500000000002</v>
      </c>
      <c r="HO17">
        <v>1.8629</v>
      </c>
      <c r="HP17">
        <v>1.86439</v>
      </c>
      <c r="HQ17">
        <v>1.8662700000000001</v>
      </c>
      <c r="HR17">
        <v>1.8632500000000001</v>
      </c>
      <c r="HS17">
        <v>1.8669100000000001</v>
      </c>
      <c r="HT17">
        <v>1.8636999999999999</v>
      </c>
      <c r="HU17">
        <v>1.86561</v>
      </c>
      <c r="HV17">
        <v>0</v>
      </c>
      <c r="HW17">
        <v>0</v>
      </c>
      <c r="HX17">
        <v>0</v>
      </c>
      <c r="HY17">
        <v>0</v>
      </c>
      <c r="HZ17" t="s">
        <v>420</v>
      </c>
      <c r="IA17" t="s">
        <v>421</v>
      </c>
      <c r="IB17" t="s">
        <v>422</v>
      </c>
      <c r="IC17" t="s">
        <v>422</v>
      </c>
      <c r="ID17" t="s">
        <v>422</v>
      </c>
      <c r="IE17" t="s">
        <v>422</v>
      </c>
      <c r="IF17">
        <v>0</v>
      </c>
      <c r="IG17">
        <v>100</v>
      </c>
      <c r="IH17">
        <v>100</v>
      </c>
      <c r="II17">
        <v>0.97099999999999997</v>
      </c>
      <c r="IJ17">
        <v>-0.1295</v>
      </c>
      <c r="IK17">
        <v>0.578511561216564</v>
      </c>
      <c r="IL17">
        <v>1.61658254425633E-3</v>
      </c>
      <c r="IM17">
        <v>-1.89604851270483E-6</v>
      </c>
      <c r="IN17">
        <v>8.6681353432279101E-10</v>
      </c>
      <c r="IO17">
        <v>-6.4243987236703104E-2</v>
      </c>
      <c r="IP17">
        <v>-3.5871989026399903E-2</v>
      </c>
      <c r="IQ17">
        <v>1.9028800927848801E-3</v>
      </c>
      <c r="IR17">
        <v>-4.7539144078026999E-6</v>
      </c>
      <c r="IS17">
        <v>1</v>
      </c>
      <c r="IT17">
        <v>1704</v>
      </c>
      <c r="IU17">
        <v>4</v>
      </c>
      <c r="IV17">
        <v>25</v>
      </c>
      <c r="IW17">
        <v>1</v>
      </c>
      <c r="IX17">
        <v>0.9</v>
      </c>
      <c r="IY17">
        <v>1.0522499999999999</v>
      </c>
      <c r="IZ17">
        <v>2.5647000000000002</v>
      </c>
      <c r="JA17">
        <v>1.3464400000000001</v>
      </c>
      <c r="JB17">
        <v>2.2595200000000002</v>
      </c>
      <c r="JC17">
        <v>1.5502899999999999</v>
      </c>
      <c r="JD17">
        <v>2.7526899999999999</v>
      </c>
      <c r="JE17">
        <v>38.648699999999998</v>
      </c>
      <c r="JF17">
        <v>16.2422</v>
      </c>
      <c r="JG17">
        <v>18</v>
      </c>
      <c r="JH17">
        <v>501.00099999999998</v>
      </c>
      <c r="JI17">
        <v>469.077</v>
      </c>
      <c r="JJ17">
        <v>21.834800000000001</v>
      </c>
      <c r="JK17">
        <v>28.131499999999999</v>
      </c>
      <c r="JL17">
        <v>30</v>
      </c>
      <c r="JM17">
        <v>28.099399999999999</v>
      </c>
      <c r="JN17">
        <v>28.110600000000002</v>
      </c>
      <c r="JO17">
        <v>21.0763</v>
      </c>
      <c r="JP17">
        <v>23.9556</v>
      </c>
      <c r="JQ17">
        <v>30.576000000000001</v>
      </c>
      <c r="JR17">
        <v>21.8429</v>
      </c>
      <c r="JS17">
        <v>400</v>
      </c>
      <c r="JT17">
        <v>15.580299999999999</v>
      </c>
      <c r="JU17">
        <v>101.68600000000001</v>
      </c>
      <c r="JV17">
        <v>97.348699999999994</v>
      </c>
    </row>
    <row r="18" spans="1:282" x14ac:dyDescent="0.3">
      <c r="A18">
        <v>2</v>
      </c>
      <c r="B18">
        <v>1791616898.0999999</v>
      </c>
      <c r="C18">
        <v>121</v>
      </c>
      <c r="D18" t="s">
        <v>423</v>
      </c>
      <c r="E18" t="s">
        <v>424</v>
      </c>
      <c r="F18">
        <v>5</v>
      </c>
      <c r="G18">
        <v>1791616895.0999999</v>
      </c>
      <c r="H18">
        <f t="shared" si="0"/>
        <v>5.0993998996917336E-3</v>
      </c>
      <c r="I18">
        <f t="shared" si="1"/>
        <v>5.0993998996917336</v>
      </c>
      <c r="J18">
        <f t="shared" si="2"/>
        <v>16.588739638609837</v>
      </c>
      <c r="K18">
        <f t="shared" si="3"/>
        <v>292.79539999999997</v>
      </c>
      <c r="L18">
        <f t="shared" si="4"/>
        <v>213.88310895628186</v>
      </c>
      <c r="M18">
        <f t="shared" si="5"/>
        <v>21.646718243870694</v>
      </c>
      <c r="N18">
        <f t="shared" si="6"/>
        <v>29.633286881933859</v>
      </c>
      <c r="O18">
        <f t="shared" si="7"/>
        <v>0.38432667341637217</v>
      </c>
      <c r="P18">
        <f t="shared" si="8"/>
        <v>3.0284617602621364</v>
      </c>
      <c r="Q18">
        <f t="shared" si="9"/>
        <v>0.35914141178046671</v>
      </c>
      <c r="R18">
        <f t="shared" si="10"/>
        <v>0.22658850187960727</v>
      </c>
      <c r="S18">
        <f t="shared" si="11"/>
        <v>241.73780060295104</v>
      </c>
      <c r="T18">
        <f t="shared" si="12"/>
        <v>25.324275310345278</v>
      </c>
      <c r="U18">
        <f t="shared" si="13"/>
        <v>24.990780000000001</v>
      </c>
      <c r="V18">
        <f t="shared" si="14"/>
        <v>3.1779301790354411</v>
      </c>
      <c r="W18">
        <f t="shared" si="15"/>
        <v>55.103763894966683</v>
      </c>
      <c r="X18">
        <f t="shared" si="16"/>
        <v>1.7760596836923221</v>
      </c>
      <c r="Y18">
        <f t="shared" si="17"/>
        <v>3.2231186368279134</v>
      </c>
      <c r="Z18">
        <f t="shared" si="18"/>
        <v>1.4018704953431189</v>
      </c>
      <c r="AA18">
        <f t="shared" si="19"/>
        <v>-224.88353557640545</v>
      </c>
      <c r="AB18">
        <f t="shared" si="20"/>
        <v>38.698357417970783</v>
      </c>
      <c r="AC18">
        <f t="shared" si="21"/>
        <v>2.7058782025919776</v>
      </c>
      <c r="AD18">
        <f t="shared" si="22"/>
        <v>58.258500647108349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53752.430181626311</v>
      </c>
      <c r="AJ18" t="s">
        <v>416</v>
      </c>
      <c r="AK18" t="s">
        <v>416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416</v>
      </c>
      <c r="AQ18" t="s">
        <v>416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1261.2158394833946</v>
      </c>
      <c r="AW18">
        <f t="shared" si="29"/>
        <v>16.588739638609837</v>
      </c>
      <c r="AX18" t="e">
        <f t="shared" si="30"/>
        <v>#DIV/0!</v>
      </c>
      <c r="AY18">
        <f t="shared" si="31"/>
        <v>1.3152974391286376E-2</v>
      </c>
      <c r="AZ18" t="e">
        <f t="shared" si="32"/>
        <v>#DIV/0!</v>
      </c>
      <c r="BA18" t="e">
        <f t="shared" si="33"/>
        <v>#DIV/0!</v>
      </c>
      <c r="BB18" t="s">
        <v>416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CT18">
        <f t="shared" si="42"/>
        <v>1500.0060000000001</v>
      </c>
      <c r="CU18">
        <f t="shared" si="43"/>
        <v>1261.2158394833946</v>
      </c>
      <c r="CV18">
        <f t="shared" si="44"/>
        <v>0.84080719642681057</v>
      </c>
      <c r="CW18">
        <f t="shared" si="45"/>
        <v>0.16115788910374426</v>
      </c>
      <c r="CX18">
        <v>2</v>
      </c>
      <c r="CY18">
        <v>0.5</v>
      </c>
      <c r="CZ18" t="s">
        <v>417</v>
      </c>
      <c r="DA18">
        <v>2</v>
      </c>
      <c r="DB18">
        <v>1791616895.0999999</v>
      </c>
      <c r="DC18">
        <v>292.79539999999997</v>
      </c>
      <c r="DD18">
        <v>300.0258</v>
      </c>
      <c r="DE18">
        <v>17.548580000000001</v>
      </c>
      <c r="DF18">
        <v>15.545260000000001</v>
      </c>
      <c r="DG18">
        <v>292.06540000000001</v>
      </c>
      <c r="DH18">
        <v>17.6799</v>
      </c>
      <c r="DI18">
        <v>500.161</v>
      </c>
      <c r="DJ18">
        <v>101.108</v>
      </c>
      <c r="DK18">
        <v>0.10017089999999999</v>
      </c>
      <c r="DL18">
        <v>25.227799999999998</v>
      </c>
      <c r="DM18">
        <v>24.990780000000001</v>
      </c>
      <c r="DN18">
        <v>999.9</v>
      </c>
      <c r="DO18">
        <v>0</v>
      </c>
      <c r="DP18">
        <v>0</v>
      </c>
      <c r="DQ18">
        <v>9994.51</v>
      </c>
      <c r="DR18">
        <v>0</v>
      </c>
      <c r="DS18">
        <v>6.4926500000000003</v>
      </c>
      <c r="DT18">
        <v>-7.2306100000000004</v>
      </c>
      <c r="DU18">
        <v>298.02519999999998</v>
      </c>
      <c r="DV18">
        <v>304.7638</v>
      </c>
      <c r="DW18">
        <v>2.0033460000000001</v>
      </c>
      <c r="DX18">
        <v>300.0258</v>
      </c>
      <c r="DY18">
        <v>15.545260000000001</v>
      </c>
      <c r="DZ18">
        <v>1.7743040000000001</v>
      </c>
      <c r="EA18">
        <v>1.5717479999999999</v>
      </c>
      <c r="EB18">
        <v>15.562200000000001</v>
      </c>
      <c r="EC18">
        <v>13.6846</v>
      </c>
      <c r="ED18">
        <v>1500.0060000000001</v>
      </c>
      <c r="EE18">
        <v>0.97300200000000003</v>
      </c>
      <c r="EF18">
        <v>2.6997899999999998E-2</v>
      </c>
      <c r="EG18">
        <v>0</v>
      </c>
      <c r="EH18">
        <v>344.26060000000001</v>
      </c>
      <c r="EI18">
        <v>5.0006399999999998</v>
      </c>
      <c r="EJ18">
        <v>5321.9560000000001</v>
      </c>
      <c r="EK18">
        <v>15439.28</v>
      </c>
      <c r="EL18">
        <v>40.686999999999998</v>
      </c>
      <c r="EM18">
        <v>41.375</v>
      </c>
      <c r="EN18">
        <v>41</v>
      </c>
      <c r="EO18">
        <v>41.061999999999998</v>
      </c>
      <c r="EP18">
        <v>42.25</v>
      </c>
      <c r="EQ18">
        <v>1454.646</v>
      </c>
      <c r="ER18">
        <v>40.36</v>
      </c>
      <c r="ES18">
        <v>0</v>
      </c>
      <c r="ET18">
        <v>1791616899.3</v>
      </c>
      <c r="EU18">
        <v>0</v>
      </c>
      <c r="EV18">
        <v>344.44811538461499</v>
      </c>
      <c r="EW18">
        <v>0.12153845133423199</v>
      </c>
      <c r="EX18">
        <v>-6.7323076834351303</v>
      </c>
      <c r="EY18">
        <v>5322.29</v>
      </c>
      <c r="EZ18">
        <v>15</v>
      </c>
      <c r="FA18">
        <v>1791616843.0999999</v>
      </c>
      <c r="FB18" t="s">
        <v>425</v>
      </c>
      <c r="FC18">
        <v>1791616843.0999999</v>
      </c>
      <c r="FD18">
        <v>1791616841.0999999</v>
      </c>
      <c r="FE18">
        <v>82</v>
      </c>
      <c r="FF18">
        <v>-0.18099999999999999</v>
      </c>
      <c r="FG18">
        <v>-1E-3</v>
      </c>
      <c r="FH18">
        <v>0.73499999999999999</v>
      </c>
      <c r="FI18">
        <v>-0.17699999999999999</v>
      </c>
      <c r="FJ18">
        <v>300</v>
      </c>
      <c r="FK18">
        <v>16</v>
      </c>
      <c r="FL18">
        <v>0.39</v>
      </c>
      <c r="FM18">
        <v>0.03</v>
      </c>
      <c r="FN18">
        <v>16.5151764907678</v>
      </c>
      <c r="FO18">
        <v>0.47078222621399601</v>
      </c>
      <c r="FP18">
        <v>8.2943823009067705E-2</v>
      </c>
      <c r="FQ18">
        <v>1</v>
      </c>
      <c r="FR18">
        <v>-7.20513571428571</v>
      </c>
      <c r="FS18">
        <v>-0.14022155844156201</v>
      </c>
      <c r="FT18">
        <v>3.2137206529775003E-2</v>
      </c>
      <c r="FU18">
        <v>1</v>
      </c>
      <c r="FV18">
        <v>344.46035294117598</v>
      </c>
      <c r="FW18">
        <v>-0.61552330280894196</v>
      </c>
      <c r="FX18">
        <v>0.16528333647068</v>
      </c>
      <c r="FY18">
        <v>-1</v>
      </c>
      <c r="FZ18">
        <v>2</v>
      </c>
      <c r="GA18">
        <v>2</v>
      </c>
      <c r="GB18" t="s">
        <v>419</v>
      </c>
      <c r="GC18">
        <v>3.1236000000000002</v>
      </c>
      <c r="GD18">
        <v>2.7653300000000001</v>
      </c>
      <c r="GE18">
        <v>6.8565799999999996E-2</v>
      </c>
      <c r="GF18">
        <v>7.1783600000000003E-2</v>
      </c>
      <c r="GG18">
        <v>9.35922E-2</v>
      </c>
      <c r="GH18">
        <v>8.8667300000000004E-2</v>
      </c>
      <c r="GI18">
        <v>18141.2</v>
      </c>
      <c r="GJ18">
        <v>27264.799999999999</v>
      </c>
      <c r="GK18">
        <v>22758.6</v>
      </c>
      <c r="GL18">
        <v>30098.6</v>
      </c>
      <c r="GM18">
        <v>33838.1</v>
      </c>
      <c r="GN18">
        <v>34173.1</v>
      </c>
      <c r="GO18">
        <v>43064.800000000003</v>
      </c>
      <c r="GP18">
        <v>42870.7</v>
      </c>
      <c r="GQ18">
        <v>1.97218</v>
      </c>
      <c r="GR18">
        <v>1.8026500000000001</v>
      </c>
      <c r="GS18">
        <v>6.3106400000000007E-2</v>
      </c>
      <c r="GT18">
        <v>0</v>
      </c>
      <c r="GU18">
        <v>23.946999999999999</v>
      </c>
      <c r="GV18">
        <v>999.9</v>
      </c>
      <c r="GW18">
        <v>35.93</v>
      </c>
      <c r="GX18">
        <v>34.08</v>
      </c>
      <c r="GY18">
        <v>19.072600000000001</v>
      </c>
      <c r="GZ18">
        <v>63.286499999999997</v>
      </c>
      <c r="HA18">
        <v>33.854199999999999</v>
      </c>
      <c r="HB18">
        <v>1</v>
      </c>
      <c r="HC18">
        <v>7.2759099999999993E-2</v>
      </c>
      <c r="HD18">
        <v>2.0062600000000002</v>
      </c>
      <c r="HE18">
        <v>20.218499999999999</v>
      </c>
      <c r="HF18">
        <v>5.22912</v>
      </c>
      <c r="HG18">
        <v>11.962</v>
      </c>
      <c r="HH18">
        <v>4.9692499999999997</v>
      </c>
      <c r="HI18">
        <v>3.2953000000000001</v>
      </c>
      <c r="HJ18">
        <v>9999</v>
      </c>
      <c r="HK18">
        <v>9999</v>
      </c>
      <c r="HL18">
        <v>999.9</v>
      </c>
      <c r="HM18">
        <v>9999</v>
      </c>
      <c r="HN18">
        <v>4.9686300000000001</v>
      </c>
      <c r="HO18">
        <v>1.8627899999999999</v>
      </c>
      <c r="HP18">
        <v>1.86432</v>
      </c>
      <c r="HQ18">
        <v>1.86615</v>
      </c>
      <c r="HR18">
        <v>1.86314</v>
      </c>
      <c r="HS18">
        <v>1.8668199999999999</v>
      </c>
      <c r="HT18">
        <v>1.8635900000000001</v>
      </c>
      <c r="HU18">
        <v>1.86554</v>
      </c>
      <c r="HV18">
        <v>0</v>
      </c>
      <c r="HW18">
        <v>0</v>
      </c>
      <c r="HX18">
        <v>0</v>
      </c>
      <c r="HY18">
        <v>0</v>
      </c>
      <c r="HZ18" t="s">
        <v>420</v>
      </c>
      <c r="IA18" t="s">
        <v>421</v>
      </c>
      <c r="IB18" t="s">
        <v>422</v>
      </c>
      <c r="IC18" t="s">
        <v>422</v>
      </c>
      <c r="ID18" t="s">
        <v>422</v>
      </c>
      <c r="IE18" t="s">
        <v>422</v>
      </c>
      <c r="IF18">
        <v>0</v>
      </c>
      <c r="IG18">
        <v>100</v>
      </c>
      <c r="IH18">
        <v>100</v>
      </c>
      <c r="II18">
        <v>0.73</v>
      </c>
      <c r="IJ18">
        <v>-0.13150000000000001</v>
      </c>
      <c r="IK18">
        <v>0.39784883314615999</v>
      </c>
      <c r="IL18">
        <v>1.61658254425633E-3</v>
      </c>
      <c r="IM18">
        <v>-1.89604851270483E-6</v>
      </c>
      <c r="IN18">
        <v>8.6681353432279101E-10</v>
      </c>
      <c r="IO18">
        <v>-6.5621245762089497E-2</v>
      </c>
      <c r="IP18">
        <v>-3.5871989026399903E-2</v>
      </c>
      <c r="IQ18">
        <v>1.9028800927848801E-3</v>
      </c>
      <c r="IR18">
        <v>-4.7539144078026999E-6</v>
      </c>
      <c r="IS18">
        <v>1</v>
      </c>
      <c r="IT18">
        <v>1704</v>
      </c>
      <c r="IU18">
        <v>4</v>
      </c>
      <c r="IV18">
        <v>25</v>
      </c>
      <c r="IW18">
        <v>0.9</v>
      </c>
      <c r="IX18">
        <v>0.9</v>
      </c>
      <c r="IY18">
        <v>0.845947</v>
      </c>
      <c r="IZ18">
        <v>2.5695800000000002</v>
      </c>
      <c r="JA18">
        <v>1.3464400000000001</v>
      </c>
      <c r="JB18">
        <v>2.2583000000000002</v>
      </c>
      <c r="JC18">
        <v>1.5502899999999999</v>
      </c>
      <c r="JD18">
        <v>2.66113</v>
      </c>
      <c r="JE18">
        <v>38.403399999999998</v>
      </c>
      <c r="JF18">
        <v>16.189699999999998</v>
      </c>
      <c r="JG18">
        <v>18</v>
      </c>
      <c r="JH18">
        <v>501.077</v>
      </c>
      <c r="JI18">
        <v>469.00700000000001</v>
      </c>
      <c r="JJ18">
        <v>21.744599999999998</v>
      </c>
      <c r="JK18">
        <v>28.154199999999999</v>
      </c>
      <c r="JL18">
        <v>30</v>
      </c>
      <c r="JM18">
        <v>28.122499999999999</v>
      </c>
      <c r="JN18">
        <v>28.132100000000001</v>
      </c>
      <c r="JO18">
        <v>16.935600000000001</v>
      </c>
      <c r="JP18">
        <v>23.9651</v>
      </c>
      <c r="JQ18">
        <v>30.465699999999998</v>
      </c>
      <c r="JR18">
        <v>21.780100000000001</v>
      </c>
      <c r="JS18">
        <v>300</v>
      </c>
      <c r="JT18">
        <v>15.571400000000001</v>
      </c>
      <c r="JU18">
        <v>101.684</v>
      </c>
      <c r="JV18">
        <v>97.347200000000001</v>
      </c>
    </row>
    <row r="19" spans="1:282" x14ac:dyDescent="0.3">
      <c r="A19">
        <v>3</v>
      </c>
      <c r="B19">
        <v>1791617019.0999999</v>
      </c>
      <c r="C19">
        <v>242</v>
      </c>
      <c r="D19" t="s">
        <v>426</v>
      </c>
      <c r="E19" t="s">
        <v>427</v>
      </c>
      <c r="F19">
        <v>5</v>
      </c>
      <c r="G19">
        <v>1791617016.0999999</v>
      </c>
      <c r="H19">
        <f t="shared" si="0"/>
        <v>5.1008005646426833E-3</v>
      </c>
      <c r="I19">
        <f t="shared" si="1"/>
        <v>5.1008005646426833</v>
      </c>
      <c r="J19">
        <f t="shared" si="2"/>
        <v>9.5488276036492188</v>
      </c>
      <c r="K19">
        <f t="shared" si="3"/>
        <v>195.78899999999999</v>
      </c>
      <c r="L19">
        <f t="shared" si="4"/>
        <v>149.82226120219434</v>
      </c>
      <c r="M19">
        <f t="shared" si="5"/>
        <v>15.163104998992445</v>
      </c>
      <c r="N19">
        <f t="shared" si="6"/>
        <v>19.815274050904861</v>
      </c>
      <c r="O19">
        <f t="shared" si="7"/>
        <v>0.38490513327403658</v>
      </c>
      <c r="P19">
        <f t="shared" si="8"/>
        <v>3.0282019925362804</v>
      </c>
      <c r="Q19">
        <f t="shared" si="9"/>
        <v>0.35964465818120656</v>
      </c>
      <c r="R19">
        <f t="shared" si="10"/>
        <v>0.22690917247082679</v>
      </c>
      <c r="S19">
        <f t="shared" si="11"/>
        <v>241.73684300294701</v>
      </c>
      <c r="T19">
        <f t="shared" si="12"/>
        <v>25.310044839629587</v>
      </c>
      <c r="U19">
        <f t="shared" si="13"/>
        <v>24.973040000000001</v>
      </c>
      <c r="V19">
        <f t="shared" si="14"/>
        <v>3.1745703844806048</v>
      </c>
      <c r="W19">
        <f t="shared" si="15"/>
        <v>55.093201311690599</v>
      </c>
      <c r="X19">
        <f t="shared" si="16"/>
        <v>1.7742528515571712</v>
      </c>
      <c r="Y19">
        <f t="shared" si="17"/>
        <v>3.2204569880034919</v>
      </c>
      <c r="Z19">
        <f t="shared" si="18"/>
        <v>1.4003175329234336</v>
      </c>
      <c r="AA19">
        <f t="shared" si="19"/>
        <v>-224.94530490074234</v>
      </c>
      <c r="AB19">
        <f t="shared" si="20"/>
        <v>39.32520785191096</v>
      </c>
      <c r="AC19">
        <f t="shared" si="21"/>
        <v>2.7495074190357336</v>
      </c>
      <c r="AD19">
        <f t="shared" si="22"/>
        <v>58.866253373151352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53746.81919421006</v>
      </c>
      <c r="AJ19" t="s">
        <v>416</v>
      </c>
      <c r="AK19" t="s">
        <v>416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416</v>
      </c>
      <c r="AQ19" t="s">
        <v>416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1261.2107994833923</v>
      </c>
      <c r="AW19">
        <f t="shared" si="29"/>
        <v>9.5488276036492188</v>
      </c>
      <c r="AX19" t="e">
        <f t="shared" si="30"/>
        <v>#DIV/0!</v>
      </c>
      <c r="AY19">
        <f t="shared" si="31"/>
        <v>7.5711590858249375E-3</v>
      </c>
      <c r="AZ19" t="e">
        <f t="shared" si="32"/>
        <v>#DIV/0!</v>
      </c>
      <c r="BA19" t="e">
        <f t="shared" si="33"/>
        <v>#DIV/0!</v>
      </c>
      <c r="BB19" t="s">
        <v>416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CT19">
        <f t="shared" si="42"/>
        <v>1500</v>
      </c>
      <c r="CU19">
        <f t="shared" si="43"/>
        <v>1261.2107994833923</v>
      </c>
      <c r="CV19">
        <f t="shared" si="44"/>
        <v>0.84080719965559481</v>
      </c>
      <c r="CW19">
        <f t="shared" si="45"/>
        <v>0.16115789533529801</v>
      </c>
      <c r="CX19">
        <v>2</v>
      </c>
      <c r="CY19">
        <v>0.5</v>
      </c>
      <c r="CZ19" t="s">
        <v>417</v>
      </c>
      <c r="DA19">
        <v>2</v>
      </c>
      <c r="DB19">
        <v>1791617016.0999999</v>
      </c>
      <c r="DC19">
        <v>195.78899999999999</v>
      </c>
      <c r="DD19">
        <v>200.0076</v>
      </c>
      <c r="DE19">
        <v>17.53088</v>
      </c>
      <c r="DF19">
        <v>15.52652</v>
      </c>
      <c r="DG19">
        <v>195.20400000000001</v>
      </c>
      <c r="DH19">
        <v>17.665679999999998</v>
      </c>
      <c r="DI19">
        <v>500.0478</v>
      </c>
      <c r="DJ19">
        <v>101.10720000000001</v>
      </c>
      <c r="DK19">
        <v>0.10008974</v>
      </c>
      <c r="DL19">
        <v>25.213920000000002</v>
      </c>
      <c r="DM19">
        <v>24.973040000000001</v>
      </c>
      <c r="DN19">
        <v>999.9</v>
      </c>
      <c r="DO19">
        <v>0</v>
      </c>
      <c r="DP19">
        <v>0</v>
      </c>
      <c r="DQ19">
        <v>9993.02</v>
      </c>
      <c r="DR19">
        <v>0</v>
      </c>
      <c r="DS19">
        <v>6.4380899999999999</v>
      </c>
      <c r="DT19">
        <v>-4.2184559999999998</v>
      </c>
      <c r="DU19">
        <v>199.28280000000001</v>
      </c>
      <c r="DV19">
        <v>203.16200000000001</v>
      </c>
      <c r="DW19">
        <v>2.004378</v>
      </c>
      <c r="DX19">
        <v>200.0076</v>
      </c>
      <c r="DY19">
        <v>15.52652</v>
      </c>
      <c r="DZ19">
        <v>1.7725</v>
      </c>
      <c r="EA19">
        <v>1.569842</v>
      </c>
      <c r="EB19">
        <v>15.546340000000001</v>
      </c>
      <c r="EC19">
        <v>13.665900000000001</v>
      </c>
      <c r="ED19">
        <v>1500</v>
      </c>
      <c r="EE19">
        <v>0.97300200000000003</v>
      </c>
      <c r="EF19">
        <v>2.6997899999999998E-2</v>
      </c>
      <c r="EG19">
        <v>0</v>
      </c>
      <c r="EH19">
        <v>344.21600000000001</v>
      </c>
      <c r="EI19">
        <v>5.0006399999999998</v>
      </c>
      <c r="EJ19">
        <v>5318.4080000000004</v>
      </c>
      <c r="EK19">
        <v>15439.22</v>
      </c>
      <c r="EL19">
        <v>40.686999999999998</v>
      </c>
      <c r="EM19">
        <v>41.375</v>
      </c>
      <c r="EN19">
        <v>41</v>
      </c>
      <c r="EO19">
        <v>41.061999999999998</v>
      </c>
      <c r="EP19">
        <v>42.25</v>
      </c>
      <c r="EQ19">
        <v>1454.64</v>
      </c>
      <c r="ER19">
        <v>40.36</v>
      </c>
      <c r="ES19">
        <v>0</v>
      </c>
      <c r="ET19">
        <v>1791617019.9000001</v>
      </c>
      <c r="EU19">
        <v>0</v>
      </c>
      <c r="EV19">
        <v>344.27832000000001</v>
      </c>
      <c r="EW19">
        <v>-0.56646153654075704</v>
      </c>
      <c r="EX19">
        <v>-13.0184615207967</v>
      </c>
      <c r="EY19">
        <v>5319.55</v>
      </c>
      <c r="EZ19">
        <v>15</v>
      </c>
      <c r="FA19">
        <v>1791616968.0999999</v>
      </c>
      <c r="FB19" t="s">
        <v>428</v>
      </c>
      <c r="FC19">
        <v>1791616968.0999999</v>
      </c>
      <c r="FD19">
        <v>1791616960.0999999</v>
      </c>
      <c r="FE19">
        <v>83</v>
      </c>
      <c r="FF19">
        <v>-6.2E-2</v>
      </c>
      <c r="FG19">
        <v>-3.0000000000000001E-3</v>
      </c>
      <c r="FH19">
        <v>0.58899999999999997</v>
      </c>
      <c r="FI19">
        <v>-0.18099999999999999</v>
      </c>
      <c r="FJ19">
        <v>200</v>
      </c>
      <c r="FK19">
        <v>16</v>
      </c>
      <c r="FL19">
        <v>0.32</v>
      </c>
      <c r="FM19">
        <v>0.03</v>
      </c>
      <c r="FN19">
        <v>9.6113556832734908</v>
      </c>
      <c r="FO19">
        <v>-0.184091232285399</v>
      </c>
      <c r="FP19">
        <v>0.118666968605405</v>
      </c>
      <c r="FQ19">
        <v>1</v>
      </c>
      <c r="FR19">
        <v>-4.2482519047619096</v>
      </c>
      <c r="FS19">
        <v>0.122562857142855</v>
      </c>
      <c r="FT19">
        <v>4.9625044427860497E-2</v>
      </c>
      <c r="FU19">
        <v>1</v>
      </c>
      <c r="FV19">
        <v>344.31929411764702</v>
      </c>
      <c r="FW19">
        <v>-0.97836516911323401</v>
      </c>
      <c r="FX19">
        <v>0.216763835898962</v>
      </c>
      <c r="FY19">
        <v>-1</v>
      </c>
      <c r="FZ19">
        <v>2</v>
      </c>
      <c r="GA19">
        <v>2</v>
      </c>
      <c r="GB19" t="s">
        <v>419</v>
      </c>
      <c r="GC19">
        <v>3.1234700000000002</v>
      </c>
      <c r="GD19">
        <v>2.7650800000000002</v>
      </c>
      <c r="GE19">
        <v>4.8794900000000002E-2</v>
      </c>
      <c r="GF19">
        <v>5.1070699999999997E-2</v>
      </c>
      <c r="GG19">
        <v>9.3515000000000001E-2</v>
      </c>
      <c r="GH19">
        <v>8.8589399999999999E-2</v>
      </c>
      <c r="GI19">
        <v>18526.3</v>
      </c>
      <c r="GJ19">
        <v>27872.2</v>
      </c>
      <c r="GK19">
        <v>22758.6</v>
      </c>
      <c r="GL19">
        <v>30097.4</v>
      </c>
      <c r="GM19">
        <v>33839.599999999999</v>
      </c>
      <c r="GN19">
        <v>34173.5</v>
      </c>
      <c r="GO19">
        <v>43064.5</v>
      </c>
      <c r="GP19">
        <v>42869.5</v>
      </c>
      <c r="GQ19">
        <v>1.9720500000000001</v>
      </c>
      <c r="GR19">
        <v>1.80278</v>
      </c>
      <c r="GS19">
        <v>6.4037700000000003E-2</v>
      </c>
      <c r="GT19">
        <v>0</v>
      </c>
      <c r="GU19">
        <v>23.919799999999999</v>
      </c>
      <c r="GV19">
        <v>999.9</v>
      </c>
      <c r="GW19">
        <v>35.954000000000001</v>
      </c>
      <c r="GX19">
        <v>34.039000000000001</v>
      </c>
      <c r="GY19">
        <v>19.040800000000001</v>
      </c>
      <c r="GZ19">
        <v>63.066499999999998</v>
      </c>
      <c r="HA19">
        <v>34.114600000000003</v>
      </c>
      <c r="HB19">
        <v>1</v>
      </c>
      <c r="HC19">
        <v>7.3414599999999997E-2</v>
      </c>
      <c r="HD19">
        <v>1.98891</v>
      </c>
      <c r="HE19">
        <v>20.219000000000001</v>
      </c>
      <c r="HF19">
        <v>5.2324099999999998</v>
      </c>
      <c r="HG19">
        <v>11.962</v>
      </c>
      <c r="HH19">
        <v>4.9679000000000002</v>
      </c>
      <c r="HI19">
        <v>3.29508</v>
      </c>
      <c r="HJ19">
        <v>9999</v>
      </c>
      <c r="HK19">
        <v>9999</v>
      </c>
      <c r="HL19">
        <v>999.9</v>
      </c>
      <c r="HM19">
        <v>9999</v>
      </c>
      <c r="HN19">
        <v>4.9686199999999996</v>
      </c>
      <c r="HO19">
        <v>1.8627899999999999</v>
      </c>
      <c r="HP19">
        <v>1.86429</v>
      </c>
      <c r="HQ19">
        <v>1.86615</v>
      </c>
      <c r="HR19">
        <v>1.8631</v>
      </c>
      <c r="HS19">
        <v>1.8668100000000001</v>
      </c>
      <c r="HT19">
        <v>1.8635600000000001</v>
      </c>
      <c r="HU19">
        <v>1.86551</v>
      </c>
      <c r="HV19">
        <v>0</v>
      </c>
      <c r="HW19">
        <v>0</v>
      </c>
      <c r="HX19">
        <v>0</v>
      </c>
      <c r="HY19">
        <v>0</v>
      </c>
      <c r="HZ19" t="s">
        <v>420</v>
      </c>
      <c r="IA19" t="s">
        <v>421</v>
      </c>
      <c r="IB19" t="s">
        <v>422</v>
      </c>
      <c r="IC19" t="s">
        <v>422</v>
      </c>
      <c r="ID19" t="s">
        <v>422</v>
      </c>
      <c r="IE19" t="s">
        <v>422</v>
      </c>
      <c r="IF19">
        <v>0</v>
      </c>
      <c r="IG19">
        <v>100</v>
      </c>
      <c r="IH19">
        <v>100</v>
      </c>
      <c r="II19">
        <v>0.58499999999999996</v>
      </c>
      <c r="IJ19">
        <v>-0.1351</v>
      </c>
      <c r="IK19">
        <v>0.335457508064333</v>
      </c>
      <c r="IL19">
        <v>1.61658254425633E-3</v>
      </c>
      <c r="IM19">
        <v>-1.89604851270483E-6</v>
      </c>
      <c r="IN19">
        <v>8.6681353432279101E-10</v>
      </c>
      <c r="IO19">
        <v>-6.8723568766120902E-2</v>
      </c>
      <c r="IP19">
        <v>-3.5871989026399903E-2</v>
      </c>
      <c r="IQ19">
        <v>1.9028800927848801E-3</v>
      </c>
      <c r="IR19">
        <v>-4.7539144078026999E-6</v>
      </c>
      <c r="IS19">
        <v>1</v>
      </c>
      <c r="IT19">
        <v>1704</v>
      </c>
      <c r="IU19">
        <v>4</v>
      </c>
      <c r="IV19">
        <v>25</v>
      </c>
      <c r="IW19">
        <v>0.8</v>
      </c>
      <c r="IX19">
        <v>1</v>
      </c>
      <c r="IY19">
        <v>0.62988299999999997</v>
      </c>
      <c r="IZ19">
        <v>2.5903299999999998</v>
      </c>
      <c r="JA19">
        <v>1.3476600000000001</v>
      </c>
      <c r="JB19">
        <v>2.2583000000000002</v>
      </c>
      <c r="JC19">
        <v>1.5502899999999999</v>
      </c>
      <c r="JD19">
        <v>2.4279799999999998</v>
      </c>
      <c r="JE19">
        <v>38.207999999999998</v>
      </c>
      <c r="JF19">
        <v>16.145900000000001</v>
      </c>
      <c r="JG19">
        <v>18</v>
      </c>
      <c r="JH19">
        <v>501.14400000000001</v>
      </c>
      <c r="JI19">
        <v>469.26</v>
      </c>
      <c r="JJ19">
        <v>21.817299999999999</v>
      </c>
      <c r="JK19">
        <v>28.1662</v>
      </c>
      <c r="JL19">
        <v>30.0001</v>
      </c>
      <c r="JM19">
        <v>28.139199999999999</v>
      </c>
      <c r="JN19">
        <v>28.1511</v>
      </c>
      <c r="JO19">
        <v>12.6319</v>
      </c>
      <c r="JP19">
        <v>23.974599999999999</v>
      </c>
      <c r="JQ19">
        <v>30.385200000000001</v>
      </c>
      <c r="JR19">
        <v>21.823399999999999</v>
      </c>
      <c r="JS19">
        <v>200</v>
      </c>
      <c r="JT19">
        <v>15.531000000000001</v>
      </c>
      <c r="JU19">
        <v>101.68300000000001</v>
      </c>
      <c r="JV19">
        <v>97.343999999999994</v>
      </c>
    </row>
    <row r="20" spans="1:282" x14ac:dyDescent="0.3">
      <c r="A20">
        <v>4</v>
      </c>
      <c r="B20">
        <v>1791617140.0999999</v>
      </c>
      <c r="C20">
        <v>363</v>
      </c>
      <c r="D20" t="s">
        <v>429</v>
      </c>
      <c r="E20" t="s">
        <v>430</v>
      </c>
      <c r="F20">
        <v>5</v>
      </c>
      <c r="G20">
        <v>1791617137.0999999</v>
      </c>
      <c r="H20">
        <f t="shared" si="0"/>
        <v>5.1556487776484869E-3</v>
      </c>
      <c r="I20">
        <f t="shared" si="1"/>
        <v>5.1556487776484872</v>
      </c>
      <c r="J20">
        <f t="shared" si="2"/>
        <v>2.7499147542823743</v>
      </c>
      <c r="K20">
        <f t="shared" si="3"/>
        <v>98.699420000000003</v>
      </c>
      <c r="L20">
        <f t="shared" si="4"/>
        <v>84.640292246542884</v>
      </c>
      <c r="M20">
        <f t="shared" si="5"/>
        <v>8.5661670860205508</v>
      </c>
      <c r="N20">
        <f t="shared" si="6"/>
        <v>9.9890454129174131</v>
      </c>
      <c r="O20">
        <f t="shared" si="7"/>
        <v>0.38904371611072869</v>
      </c>
      <c r="P20">
        <f t="shared" si="8"/>
        <v>3.0289320967850606</v>
      </c>
      <c r="Q20">
        <f t="shared" si="9"/>
        <v>0.36326239670002058</v>
      </c>
      <c r="R20">
        <f t="shared" si="10"/>
        <v>0.22921282119789549</v>
      </c>
      <c r="S20">
        <f t="shared" si="11"/>
        <v>241.7371622029483</v>
      </c>
      <c r="T20">
        <f t="shared" si="12"/>
        <v>25.320020142600672</v>
      </c>
      <c r="U20">
        <f t="shared" si="13"/>
        <v>24.99334</v>
      </c>
      <c r="V20">
        <f t="shared" si="14"/>
        <v>3.1784152762065658</v>
      </c>
      <c r="W20">
        <f t="shared" si="15"/>
        <v>55.10622561007483</v>
      </c>
      <c r="X20">
        <f t="shared" si="16"/>
        <v>1.7771921783505722</v>
      </c>
      <c r="Y20">
        <f t="shared" si="17"/>
        <v>3.2250297651045363</v>
      </c>
      <c r="Z20">
        <f t="shared" si="18"/>
        <v>1.4012230978559936</v>
      </c>
      <c r="AA20">
        <f t="shared" si="19"/>
        <v>-227.36411109429827</v>
      </c>
      <c r="AB20">
        <f t="shared" si="20"/>
        <v>39.912756307882844</v>
      </c>
      <c r="AC20">
        <f t="shared" si="21"/>
        <v>2.7905342256759402</v>
      </c>
      <c r="AD20">
        <f t="shared" si="22"/>
        <v>57.076341642208817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53765.263472990839</v>
      </c>
      <c r="AJ20" t="s">
        <v>416</v>
      </c>
      <c r="AK20" t="s">
        <v>416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416</v>
      </c>
      <c r="AQ20" t="s">
        <v>416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1261.2124794833928</v>
      </c>
      <c r="AW20">
        <f t="shared" si="29"/>
        <v>2.7499147542823743</v>
      </c>
      <c r="AX20" t="e">
        <f t="shared" si="30"/>
        <v>#DIV/0!</v>
      </c>
      <c r="AY20">
        <f t="shared" si="31"/>
        <v>2.1803738854604192E-3</v>
      </c>
      <c r="AZ20" t="e">
        <f t="shared" si="32"/>
        <v>#DIV/0!</v>
      </c>
      <c r="BA20" t="e">
        <f t="shared" si="33"/>
        <v>#DIV/0!</v>
      </c>
      <c r="BB20" t="s">
        <v>416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CT20">
        <f t="shared" si="42"/>
        <v>1500.002</v>
      </c>
      <c r="CU20">
        <f t="shared" si="43"/>
        <v>1261.2124794833928</v>
      </c>
      <c r="CV20">
        <f t="shared" si="44"/>
        <v>0.84080719857933051</v>
      </c>
      <c r="CW20">
        <f t="shared" si="45"/>
        <v>0.16115789325810786</v>
      </c>
      <c r="CX20">
        <v>2</v>
      </c>
      <c r="CY20">
        <v>0.5</v>
      </c>
      <c r="CZ20" t="s">
        <v>417</v>
      </c>
      <c r="DA20">
        <v>2</v>
      </c>
      <c r="DB20">
        <v>1791617137.0999999</v>
      </c>
      <c r="DC20">
        <v>98.699420000000003</v>
      </c>
      <c r="DD20">
        <v>100.0029</v>
      </c>
      <c r="DE20">
        <v>17.560020000000002</v>
      </c>
      <c r="DF20">
        <v>15.53402</v>
      </c>
      <c r="DG20">
        <v>98.519760000000005</v>
      </c>
      <c r="DH20">
        <v>17.697040000000001</v>
      </c>
      <c r="DI20">
        <v>500.01139999999998</v>
      </c>
      <c r="DJ20">
        <v>101.1066</v>
      </c>
      <c r="DK20">
        <v>0.1001286</v>
      </c>
      <c r="DL20">
        <v>25.237760000000002</v>
      </c>
      <c r="DM20">
        <v>24.99334</v>
      </c>
      <c r="DN20">
        <v>999.9</v>
      </c>
      <c r="DO20">
        <v>0</v>
      </c>
      <c r="DP20">
        <v>0</v>
      </c>
      <c r="DQ20">
        <v>9997.49</v>
      </c>
      <c r="DR20">
        <v>0</v>
      </c>
      <c r="DS20">
        <v>6.4380899999999999</v>
      </c>
      <c r="DT20">
        <v>-1.303498</v>
      </c>
      <c r="DU20">
        <v>100.46339999999999</v>
      </c>
      <c r="DV20">
        <v>101.581</v>
      </c>
      <c r="DW20">
        <v>2.0259999999999998</v>
      </c>
      <c r="DX20">
        <v>100.0029</v>
      </c>
      <c r="DY20">
        <v>15.53402</v>
      </c>
      <c r="DZ20">
        <v>1.7754300000000001</v>
      </c>
      <c r="EA20">
        <v>1.5705899999999999</v>
      </c>
      <c r="EB20">
        <v>15.57212</v>
      </c>
      <c r="EC20">
        <v>13.673220000000001</v>
      </c>
      <c r="ED20">
        <v>1500.002</v>
      </c>
      <c r="EE20">
        <v>0.97300200000000003</v>
      </c>
      <c r="EF20">
        <v>2.6997899999999998E-2</v>
      </c>
      <c r="EG20">
        <v>0</v>
      </c>
      <c r="EH20">
        <v>348.9624</v>
      </c>
      <c r="EI20">
        <v>5.0006399999999998</v>
      </c>
      <c r="EJ20">
        <v>5385.1080000000002</v>
      </c>
      <c r="EK20">
        <v>15439.28</v>
      </c>
      <c r="EL20">
        <v>40.699599999999997</v>
      </c>
      <c r="EM20">
        <v>41.375</v>
      </c>
      <c r="EN20">
        <v>41.0124</v>
      </c>
      <c r="EO20">
        <v>41.061999999999998</v>
      </c>
      <c r="EP20">
        <v>42.25</v>
      </c>
      <c r="EQ20">
        <v>1454.6420000000001</v>
      </c>
      <c r="ER20">
        <v>40.36</v>
      </c>
      <c r="ES20">
        <v>0</v>
      </c>
      <c r="ET20">
        <v>1791617141.0999999</v>
      </c>
      <c r="EU20">
        <v>0</v>
      </c>
      <c r="EV20">
        <v>348.78084000000001</v>
      </c>
      <c r="EW20">
        <v>1.3014615390409501</v>
      </c>
      <c r="EX20">
        <v>9.0607692487452791</v>
      </c>
      <c r="EY20">
        <v>5384.6527999999998</v>
      </c>
      <c r="EZ20">
        <v>15</v>
      </c>
      <c r="FA20">
        <v>1791617083.0999999</v>
      </c>
      <c r="FB20" t="s">
        <v>431</v>
      </c>
      <c r="FC20">
        <v>1791617083.0999999</v>
      </c>
      <c r="FD20">
        <v>1791617081.0999999</v>
      </c>
      <c r="FE20">
        <v>84</v>
      </c>
      <c r="FF20">
        <v>-0.29699999999999999</v>
      </c>
      <c r="FG20">
        <v>-3.0000000000000001E-3</v>
      </c>
      <c r="FH20">
        <v>0.18099999999999999</v>
      </c>
      <c r="FI20">
        <v>-0.184</v>
      </c>
      <c r="FJ20">
        <v>100</v>
      </c>
      <c r="FK20">
        <v>16</v>
      </c>
      <c r="FL20">
        <v>0.3</v>
      </c>
      <c r="FM20">
        <v>0.03</v>
      </c>
      <c r="FN20">
        <v>2.7009961342572901</v>
      </c>
      <c r="FO20">
        <v>-2.18335895144957E-2</v>
      </c>
      <c r="FP20">
        <v>8.6240468976840803E-2</v>
      </c>
      <c r="FQ20">
        <v>1</v>
      </c>
      <c r="FR20">
        <v>-1.2909545</v>
      </c>
      <c r="FS20">
        <v>2.8215789473683899E-2</v>
      </c>
      <c r="FT20">
        <v>3.6408618550420199E-2</v>
      </c>
      <c r="FU20">
        <v>1</v>
      </c>
      <c r="FV20">
        <v>348.77085294117597</v>
      </c>
      <c r="FW20">
        <v>0.52142093213710305</v>
      </c>
      <c r="FX20">
        <v>0.179300295651624</v>
      </c>
      <c r="FY20">
        <v>-1</v>
      </c>
      <c r="FZ20">
        <v>2</v>
      </c>
      <c r="GA20">
        <v>2</v>
      </c>
      <c r="GB20" t="s">
        <v>419</v>
      </c>
      <c r="GC20">
        <v>3.1233300000000002</v>
      </c>
      <c r="GD20">
        <v>2.76512</v>
      </c>
      <c r="GE20">
        <v>2.6156200000000001E-2</v>
      </c>
      <c r="GF20">
        <v>2.7237899999999999E-2</v>
      </c>
      <c r="GG20">
        <v>9.3704700000000002E-2</v>
      </c>
      <c r="GH20">
        <v>8.8615399999999997E-2</v>
      </c>
      <c r="GI20">
        <v>18966</v>
      </c>
      <c r="GJ20">
        <v>28571.4</v>
      </c>
      <c r="GK20">
        <v>22757.1</v>
      </c>
      <c r="GL20">
        <v>30096.400000000001</v>
      </c>
      <c r="GM20">
        <v>33829.1</v>
      </c>
      <c r="GN20">
        <v>34170.199999999997</v>
      </c>
      <c r="GO20">
        <v>43062.1</v>
      </c>
      <c r="GP20">
        <v>42868.5</v>
      </c>
      <c r="GQ20">
        <v>1.9718</v>
      </c>
      <c r="GR20">
        <v>1.8025500000000001</v>
      </c>
      <c r="GS20">
        <v>6.5155299999999999E-2</v>
      </c>
      <c r="GT20">
        <v>0</v>
      </c>
      <c r="GU20">
        <v>23.925799999999999</v>
      </c>
      <c r="GV20">
        <v>999.9</v>
      </c>
      <c r="GW20">
        <v>35.966000000000001</v>
      </c>
      <c r="GX20">
        <v>33.999000000000002</v>
      </c>
      <c r="GY20">
        <v>19.006</v>
      </c>
      <c r="GZ20">
        <v>63.4465</v>
      </c>
      <c r="HA20">
        <v>34.262799999999999</v>
      </c>
      <c r="HB20">
        <v>1</v>
      </c>
      <c r="HC20">
        <v>7.5101600000000004E-2</v>
      </c>
      <c r="HD20">
        <v>2.0524</v>
      </c>
      <c r="HE20">
        <v>20.218299999999999</v>
      </c>
      <c r="HF20">
        <v>5.23346</v>
      </c>
      <c r="HG20">
        <v>11.962</v>
      </c>
      <c r="HH20">
        <v>4.96915</v>
      </c>
      <c r="HI20">
        <v>3.2951299999999999</v>
      </c>
      <c r="HJ20">
        <v>9999</v>
      </c>
      <c r="HK20">
        <v>9999</v>
      </c>
      <c r="HL20">
        <v>999.9</v>
      </c>
      <c r="HM20">
        <v>9999</v>
      </c>
      <c r="HN20">
        <v>4.9686300000000001</v>
      </c>
      <c r="HO20">
        <v>1.86276</v>
      </c>
      <c r="HP20">
        <v>1.86426</v>
      </c>
      <c r="HQ20">
        <v>1.86615</v>
      </c>
      <c r="HR20">
        <v>1.8631</v>
      </c>
      <c r="HS20">
        <v>1.86676</v>
      </c>
      <c r="HT20">
        <v>1.8635600000000001</v>
      </c>
      <c r="HU20">
        <v>1.86544</v>
      </c>
      <c r="HV20">
        <v>0</v>
      </c>
      <c r="HW20">
        <v>0</v>
      </c>
      <c r="HX20">
        <v>0</v>
      </c>
      <c r="HY20">
        <v>0</v>
      </c>
      <c r="HZ20" t="s">
        <v>420</v>
      </c>
      <c r="IA20" t="s">
        <v>421</v>
      </c>
      <c r="IB20" t="s">
        <v>422</v>
      </c>
      <c r="IC20" t="s">
        <v>422</v>
      </c>
      <c r="ID20" t="s">
        <v>422</v>
      </c>
      <c r="IE20" t="s">
        <v>422</v>
      </c>
      <c r="IF20">
        <v>0</v>
      </c>
      <c r="IG20">
        <v>100</v>
      </c>
      <c r="IH20">
        <v>100</v>
      </c>
      <c r="II20">
        <v>0.18</v>
      </c>
      <c r="IJ20">
        <v>-0.13669999999999999</v>
      </c>
      <c r="IK20">
        <v>3.7974261017332402E-2</v>
      </c>
      <c r="IL20">
        <v>1.61658254425633E-3</v>
      </c>
      <c r="IM20">
        <v>-1.89604851270483E-6</v>
      </c>
      <c r="IN20">
        <v>8.6681353432279101E-10</v>
      </c>
      <c r="IO20">
        <v>-7.1785927790689499E-2</v>
      </c>
      <c r="IP20">
        <v>-3.5871989026399903E-2</v>
      </c>
      <c r="IQ20">
        <v>1.9028800927848801E-3</v>
      </c>
      <c r="IR20">
        <v>-4.7539144078026999E-6</v>
      </c>
      <c r="IS20">
        <v>1</v>
      </c>
      <c r="IT20">
        <v>1704</v>
      </c>
      <c r="IU20">
        <v>4</v>
      </c>
      <c r="IV20">
        <v>25</v>
      </c>
      <c r="IW20">
        <v>0.9</v>
      </c>
      <c r="IX20">
        <v>1</v>
      </c>
      <c r="IY20">
        <v>0.40893600000000002</v>
      </c>
      <c r="IZ20">
        <v>2.5854499999999998</v>
      </c>
      <c r="JA20">
        <v>1.3464400000000001</v>
      </c>
      <c r="JB20">
        <v>2.2595200000000002</v>
      </c>
      <c r="JC20">
        <v>1.5502899999999999</v>
      </c>
      <c r="JD20">
        <v>2.7380399999999998</v>
      </c>
      <c r="JE20">
        <v>38.013399999999997</v>
      </c>
      <c r="JF20">
        <v>16.1371</v>
      </c>
      <c r="JG20">
        <v>18</v>
      </c>
      <c r="JH20">
        <v>501.18</v>
      </c>
      <c r="JI20">
        <v>469.29300000000001</v>
      </c>
      <c r="JJ20">
        <v>21.827999999999999</v>
      </c>
      <c r="JK20">
        <v>28.187799999999999</v>
      </c>
      <c r="JL20">
        <v>30</v>
      </c>
      <c r="JM20">
        <v>28.1614</v>
      </c>
      <c r="JN20">
        <v>28.172599999999999</v>
      </c>
      <c r="JO20">
        <v>8.2008899999999993</v>
      </c>
      <c r="JP20">
        <v>23.773800000000001</v>
      </c>
      <c r="JQ20">
        <v>30.3065</v>
      </c>
      <c r="JR20">
        <v>21.8307</v>
      </c>
      <c r="JS20">
        <v>100</v>
      </c>
      <c r="JT20">
        <v>15.5</v>
      </c>
      <c r="JU20">
        <v>101.67700000000001</v>
      </c>
      <c r="JV20">
        <v>97.341300000000004</v>
      </c>
    </row>
    <row r="21" spans="1:282" x14ac:dyDescent="0.3">
      <c r="A21">
        <v>5</v>
      </c>
      <c r="B21">
        <v>1791617261.0999999</v>
      </c>
      <c r="C21">
        <v>484</v>
      </c>
      <c r="D21" t="s">
        <v>432</v>
      </c>
      <c r="E21" t="s">
        <v>433</v>
      </c>
      <c r="F21">
        <v>5</v>
      </c>
      <c r="G21">
        <v>1791617257.5999999</v>
      </c>
      <c r="H21">
        <f t="shared" si="0"/>
        <v>5.3988868360901627E-3</v>
      </c>
      <c r="I21">
        <f t="shared" si="1"/>
        <v>5.3988868360901625</v>
      </c>
      <c r="J21">
        <f t="shared" si="2"/>
        <v>-1.0311957504229068</v>
      </c>
      <c r="K21">
        <f t="shared" si="3"/>
        <v>50.273850000000003</v>
      </c>
      <c r="L21">
        <f t="shared" si="4"/>
        <v>53.414900139565439</v>
      </c>
      <c r="M21">
        <f t="shared" si="5"/>
        <v>5.4059076579724659</v>
      </c>
      <c r="N21">
        <f t="shared" si="6"/>
        <v>5.0880145802135379</v>
      </c>
      <c r="O21">
        <f t="shared" si="7"/>
        <v>0.40704562735818772</v>
      </c>
      <c r="P21">
        <f t="shared" si="8"/>
        <v>3.0285264237071408</v>
      </c>
      <c r="Q21">
        <f t="shared" si="9"/>
        <v>0.37891218709042712</v>
      </c>
      <c r="R21">
        <f t="shared" si="10"/>
        <v>0.23918555990872398</v>
      </c>
      <c r="S21">
        <f t="shared" si="11"/>
        <v>241.73418300293537</v>
      </c>
      <c r="T21">
        <f t="shared" si="12"/>
        <v>25.256270567349837</v>
      </c>
      <c r="U21">
        <f t="shared" si="13"/>
        <v>24.993933333333299</v>
      </c>
      <c r="V21">
        <f t="shared" si="14"/>
        <v>3.1785277168185075</v>
      </c>
      <c r="W21">
        <f t="shared" si="15"/>
        <v>54.945844165184688</v>
      </c>
      <c r="X21">
        <f t="shared" si="16"/>
        <v>1.7717727218020163</v>
      </c>
      <c r="Y21">
        <f t="shared" si="17"/>
        <v>3.2245800364364299</v>
      </c>
      <c r="Z21">
        <f t="shared" si="18"/>
        <v>1.4067549950164913</v>
      </c>
      <c r="AA21">
        <f t="shared" si="19"/>
        <v>-238.09090947157617</v>
      </c>
      <c r="AB21">
        <f t="shared" si="20"/>
        <v>39.427929616076888</v>
      </c>
      <c r="AC21">
        <f t="shared" si="21"/>
        <v>2.7569821221575461</v>
      </c>
      <c r="AD21">
        <f t="shared" si="22"/>
        <v>45.828185269593639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53753.029250288862</v>
      </c>
      <c r="AJ21" t="s">
        <v>416</v>
      </c>
      <c r="AK21" t="s">
        <v>416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416</v>
      </c>
      <c r="AQ21" t="s">
        <v>416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1261.1967994833835</v>
      </c>
      <c r="AW21">
        <f t="shared" si="29"/>
        <v>-1.0311957504229068</v>
      </c>
      <c r="AX21" t="e">
        <f t="shared" si="30"/>
        <v>#DIV/0!</v>
      </c>
      <c r="AY21">
        <f t="shared" si="31"/>
        <v>-8.1763270478113275E-4</v>
      </c>
      <c r="AZ21" t="e">
        <f t="shared" si="32"/>
        <v>#DIV/0!</v>
      </c>
      <c r="BA21" t="e">
        <f t="shared" si="33"/>
        <v>#DIV/0!</v>
      </c>
      <c r="BB21" t="s">
        <v>416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CT21">
        <f t="shared" si="42"/>
        <v>1499.9833333333299</v>
      </c>
      <c r="CU21">
        <f t="shared" si="43"/>
        <v>1261.1967994833835</v>
      </c>
      <c r="CV21">
        <f t="shared" si="44"/>
        <v>0.8408072086245757</v>
      </c>
      <c r="CW21">
        <f t="shared" si="45"/>
        <v>0.16115791264543111</v>
      </c>
      <c r="CX21">
        <v>2</v>
      </c>
      <c r="CY21">
        <v>0.5</v>
      </c>
      <c r="CZ21" t="s">
        <v>417</v>
      </c>
      <c r="DA21">
        <v>2</v>
      </c>
      <c r="DB21">
        <v>1791617257.5999999</v>
      </c>
      <c r="DC21">
        <v>50.273850000000003</v>
      </c>
      <c r="DD21">
        <v>49.969900000000003</v>
      </c>
      <c r="DE21">
        <v>17.506599999999999</v>
      </c>
      <c r="DF21">
        <v>15.3845666666667</v>
      </c>
      <c r="DG21">
        <v>50.148350000000001</v>
      </c>
      <c r="DH21">
        <v>17.64395</v>
      </c>
      <c r="DI21">
        <v>499.93283333333301</v>
      </c>
      <c r="DJ21">
        <v>101.10599999999999</v>
      </c>
      <c r="DK21">
        <v>9.9986416666666703E-2</v>
      </c>
      <c r="DL21">
        <v>25.235416666666701</v>
      </c>
      <c r="DM21">
        <v>24.993933333333299</v>
      </c>
      <c r="DN21">
        <v>999.9</v>
      </c>
      <c r="DO21">
        <v>0</v>
      </c>
      <c r="DP21">
        <v>0</v>
      </c>
      <c r="DQ21">
        <v>9995.0983333333297</v>
      </c>
      <c r="DR21">
        <v>0</v>
      </c>
      <c r="DS21">
        <v>6.3321533333333297</v>
      </c>
      <c r="DT21">
        <v>0.303944833333333</v>
      </c>
      <c r="DU21">
        <v>51.169649999999997</v>
      </c>
      <c r="DV21">
        <v>50.750683333333299</v>
      </c>
      <c r="DW21">
        <v>2.12201833333333</v>
      </c>
      <c r="DX21">
        <v>49.969900000000003</v>
      </c>
      <c r="DY21">
        <v>15.3845666666667</v>
      </c>
      <c r="DZ21">
        <v>1.770025</v>
      </c>
      <c r="EA21">
        <v>1.5554749999999999</v>
      </c>
      <c r="EB21">
        <v>15.52455</v>
      </c>
      <c r="EC21">
        <v>13.5246666666667</v>
      </c>
      <c r="ED21">
        <v>1499.9833333333299</v>
      </c>
      <c r="EE21">
        <v>0.97300133333333305</v>
      </c>
      <c r="EF21">
        <v>2.699855E-2</v>
      </c>
      <c r="EG21">
        <v>0</v>
      </c>
      <c r="EH21">
        <v>353.65100000000001</v>
      </c>
      <c r="EI21">
        <v>5.0006399999999998</v>
      </c>
      <c r="EJ21">
        <v>5454.1316666666698</v>
      </c>
      <c r="EK21">
        <v>15439.0666666667</v>
      </c>
      <c r="EL21">
        <v>40.728999999999999</v>
      </c>
      <c r="EM21">
        <v>41.375</v>
      </c>
      <c r="EN21">
        <v>41.030999999999999</v>
      </c>
      <c r="EO21">
        <v>41.061999999999998</v>
      </c>
      <c r="EP21">
        <v>42.25</v>
      </c>
      <c r="EQ21">
        <v>1454.62333333333</v>
      </c>
      <c r="ER21">
        <v>40.36</v>
      </c>
      <c r="ES21">
        <v>0</v>
      </c>
      <c r="ET21">
        <v>1791617262.3</v>
      </c>
      <c r="EU21">
        <v>0</v>
      </c>
      <c r="EV21">
        <v>353.63479999999998</v>
      </c>
      <c r="EW21">
        <v>0.529999999632777</v>
      </c>
      <c r="EX21">
        <v>14.6276922997664</v>
      </c>
      <c r="EY21">
        <v>5453.3908000000001</v>
      </c>
      <c r="EZ21">
        <v>15</v>
      </c>
      <c r="FA21">
        <v>1791617203.0999999</v>
      </c>
      <c r="FB21" t="s">
        <v>434</v>
      </c>
      <c r="FC21">
        <v>1791617202.0999999</v>
      </c>
      <c r="FD21">
        <v>1791617203.0999999</v>
      </c>
      <c r="FE21">
        <v>85</v>
      </c>
      <c r="FF21">
        <v>1.0999999999999999E-2</v>
      </c>
      <c r="FG21">
        <v>1E-3</v>
      </c>
      <c r="FH21">
        <v>0.125</v>
      </c>
      <c r="FI21">
        <v>-0.183</v>
      </c>
      <c r="FJ21">
        <v>50</v>
      </c>
      <c r="FK21">
        <v>16</v>
      </c>
      <c r="FL21">
        <v>0.18</v>
      </c>
      <c r="FM21">
        <v>0.03</v>
      </c>
      <c r="FN21">
        <v>-0.94502203882854297</v>
      </c>
      <c r="FO21">
        <v>-0.45813667156679699</v>
      </c>
      <c r="FP21">
        <v>7.10390654938267E-2</v>
      </c>
      <c r="FQ21">
        <v>1</v>
      </c>
      <c r="FR21">
        <v>0.27109394999999997</v>
      </c>
      <c r="FS21">
        <v>0.236868766917293</v>
      </c>
      <c r="FT21">
        <v>2.9952010716269101E-2</v>
      </c>
      <c r="FU21">
        <v>1</v>
      </c>
      <c r="FV21">
        <v>353.59573529411801</v>
      </c>
      <c r="FW21">
        <v>0.24212375710883199</v>
      </c>
      <c r="FX21">
        <v>0.175076169780221</v>
      </c>
      <c r="FY21">
        <v>-1</v>
      </c>
      <c r="FZ21">
        <v>2</v>
      </c>
      <c r="GA21">
        <v>2</v>
      </c>
      <c r="GB21" t="s">
        <v>419</v>
      </c>
      <c r="GC21">
        <v>3.12338</v>
      </c>
      <c r="GD21">
        <v>2.76532</v>
      </c>
      <c r="GE21">
        <v>1.36612E-2</v>
      </c>
      <c r="GF21">
        <v>1.40083E-2</v>
      </c>
      <c r="GG21">
        <v>9.3458600000000003E-2</v>
      </c>
      <c r="GH21">
        <v>8.7987099999999999E-2</v>
      </c>
      <c r="GI21">
        <v>19208.900000000001</v>
      </c>
      <c r="GJ21">
        <v>28957.9</v>
      </c>
      <c r="GK21">
        <v>22756.6</v>
      </c>
      <c r="GL21">
        <v>30094.2</v>
      </c>
      <c r="GM21">
        <v>33837.199999999997</v>
      </c>
      <c r="GN21">
        <v>34190.800000000003</v>
      </c>
      <c r="GO21">
        <v>43061.2</v>
      </c>
      <c r="GP21">
        <v>42865.8</v>
      </c>
      <c r="GQ21">
        <v>1.9715800000000001</v>
      </c>
      <c r="GR21">
        <v>1.8023</v>
      </c>
      <c r="GS21">
        <v>6.4521999999999996E-2</v>
      </c>
      <c r="GT21">
        <v>0</v>
      </c>
      <c r="GU21">
        <v>23.9299</v>
      </c>
      <c r="GV21">
        <v>999.9</v>
      </c>
      <c r="GW21">
        <v>36.009</v>
      </c>
      <c r="GX21">
        <v>33.969000000000001</v>
      </c>
      <c r="GY21">
        <v>18.997199999999999</v>
      </c>
      <c r="GZ21">
        <v>63.256500000000003</v>
      </c>
      <c r="HA21">
        <v>34.294899999999998</v>
      </c>
      <c r="HB21">
        <v>1</v>
      </c>
      <c r="HC21">
        <v>7.7141799999999996E-2</v>
      </c>
      <c r="HD21">
        <v>1.96217</v>
      </c>
      <c r="HE21">
        <v>20.22</v>
      </c>
      <c r="HF21">
        <v>5.23271</v>
      </c>
      <c r="HG21">
        <v>11.962</v>
      </c>
      <c r="HH21">
        <v>4.9683999999999999</v>
      </c>
      <c r="HI21">
        <v>3.2951299999999999</v>
      </c>
      <c r="HJ21">
        <v>9999</v>
      </c>
      <c r="HK21">
        <v>9999</v>
      </c>
      <c r="HL21">
        <v>999.9</v>
      </c>
      <c r="HM21">
        <v>9999</v>
      </c>
      <c r="HN21">
        <v>4.9686300000000001</v>
      </c>
      <c r="HO21">
        <v>1.8627400000000001</v>
      </c>
      <c r="HP21">
        <v>1.86429</v>
      </c>
      <c r="HQ21">
        <v>1.8661399999999999</v>
      </c>
      <c r="HR21">
        <v>1.8631</v>
      </c>
      <c r="HS21">
        <v>1.8667800000000001</v>
      </c>
      <c r="HT21">
        <v>1.8635600000000001</v>
      </c>
      <c r="HU21">
        <v>1.8654999999999999</v>
      </c>
      <c r="HV21">
        <v>0</v>
      </c>
      <c r="HW21">
        <v>0</v>
      </c>
      <c r="HX21">
        <v>0</v>
      </c>
      <c r="HY21">
        <v>0</v>
      </c>
      <c r="HZ21" t="s">
        <v>420</v>
      </c>
      <c r="IA21" t="s">
        <v>421</v>
      </c>
      <c r="IB21" t="s">
        <v>422</v>
      </c>
      <c r="IC21" t="s">
        <v>422</v>
      </c>
      <c r="ID21" t="s">
        <v>422</v>
      </c>
      <c r="IE21" t="s">
        <v>422</v>
      </c>
      <c r="IF21">
        <v>0</v>
      </c>
      <c r="IG21">
        <v>100</v>
      </c>
      <c r="IH21">
        <v>100</v>
      </c>
      <c r="II21">
        <v>0.125</v>
      </c>
      <c r="IJ21">
        <v>-0.13730000000000001</v>
      </c>
      <c r="IK21">
        <v>4.9078511772416497E-2</v>
      </c>
      <c r="IL21">
        <v>1.61658254425633E-3</v>
      </c>
      <c r="IM21">
        <v>-1.89604851270483E-6</v>
      </c>
      <c r="IN21">
        <v>8.6681353432279101E-10</v>
      </c>
      <c r="IO21">
        <v>-7.0700194174473402E-2</v>
      </c>
      <c r="IP21">
        <v>-3.5871989026399903E-2</v>
      </c>
      <c r="IQ21">
        <v>1.9028800927848801E-3</v>
      </c>
      <c r="IR21">
        <v>-4.7539144078026999E-6</v>
      </c>
      <c r="IS21">
        <v>1</v>
      </c>
      <c r="IT21">
        <v>1704</v>
      </c>
      <c r="IU21">
        <v>4</v>
      </c>
      <c r="IV21">
        <v>25</v>
      </c>
      <c r="IW21">
        <v>1</v>
      </c>
      <c r="IX21">
        <v>1</v>
      </c>
      <c r="IY21">
        <v>0.29663099999999998</v>
      </c>
      <c r="IZ21">
        <v>2.5903299999999998</v>
      </c>
      <c r="JA21">
        <v>1.3464400000000001</v>
      </c>
      <c r="JB21">
        <v>2.2583000000000002</v>
      </c>
      <c r="JC21">
        <v>1.5502899999999999</v>
      </c>
      <c r="JD21">
        <v>2.7050800000000002</v>
      </c>
      <c r="JE21">
        <v>37.892099999999999</v>
      </c>
      <c r="JF21">
        <v>16.110900000000001</v>
      </c>
      <c r="JG21">
        <v>18</v>
      </c>
      <c r="JH21">
        <v>501.27199999999999</v>
      </c>
      <c r="JI21">
        <v>469.351</v>
      </c>
      <c r="JJ21">
        <v>21.8582</v>
      </c>
      <c r="JK21">
        <v>28.2119</v>
      </c>
      <c r="JL21">
        <v>30.0002</v>
      </c>
      <c r="JM21">
        <v>28.188300000000002</v>
      </c>
      <c r="JN21">
        <v>28.198899999999998</v>
      </c>
      <c r="JO21">
        <v>5.95526</v>
      </c>
      <c r="JP21">
        <v>24.383700000000001</v>
      </c>
      <c r="JQ21">
        <v>30.1005</v>
      </c>
      <c r="JR21">
        <v>21.8643</v>
      </c>
      <c r="JS21">
        <v>50</v>
      </c>
      <c r="JT21">
        <v>15.456200000000001</v>
      </c>
      <c r="JU21">
        <v>101.675</v>
      </c>
      <c r="JV21">
        <v>97.334800000000001</v>
      </c>
    </row>
    <row r="22" spans="1:282" x14ac:dyDescent="0.3">
      <c r="A22">
        <v>6</v>
      </c>
      <c r="B22">
        <v>1791617392.0999999</v>
      </c>
      <c r="C22">
        <v>615</v>
      </c>
      <c r="D22" t="s">
        <v>435</v>
      </c>
      <c r="E22" t="s">
        <v>436</v>
      </c>
      <c r="F22">
        <v>5</v>
      </c>
      <c r="G22">
        <v>1791617389.0999999</v>
      </c>
      <c r="H22">
        <f t="shared" si="0"/>
        <v>5.4759051422824858E-3</v>
      </c>
      <c r="I22">
        <f t="shared" si="1"/>
        <v>5.4759051422824854</v>
      </c>
      <c r="J22">
        <f t="shared" si="2"/>
        <v>20.977435226819775</v>
      </c>
      <c r="K22">
        <f t="shared" si="3"/>
        <v>390.73700000000002</v>
      </c>
      <c r="L22">
        <f t="shared" si="4"/>
        <v>297.11051378698733</v>
      </c>
      <c r="M22">
        <f t="shared" si="5"/>
        <v>30.07018300511573</v>
      </c>
      <c r="N22">
        <f t="shared" si="6"/>
        <v>39.546002418795943</v>
      </c>
      <c r="O22">
        <f t="shared" si="7"/>
        <v>0.41605405171166954</v>
      </c>
      <c r="P22">
        <f t="shared" si="8"/>
        <v>3.0310034305446485</v>
      </c>
      <c r="Q22">
        <f t="shared" si="9"/>
        <v>0.38673186148791816</v>
      </c>
      <c r="R22">
        <f t="shared" si="10"/>
        <v>0.24416946550503632</v>
      </c>
      <c r="S22">
        <f t="shared" si="11"/>
        <v>241.7365238029457</v>
      </c>
      <c r="T22">
        <f t="shared" si="12"/>
        <v>25.308704718733765</v>
      </c>
      <c r="U22">
        <f t="shared" si="13"/>
        <v>24.9939</v>
      </c>
      <c r="V22">
        <f t="shared" si="14"/>
        <v>3.1785213998380462</v>
      </c>
      <c r="W22">
        <f t="shared" si="15"/>
        <v>54.983117673578796</v>
      </c>
      <c r="X22">
        <f t="shared" si="16"/>
        <v>1.7805715694035174</v>
      </c>
      <c r="Y22">
        <f t="shared" si="17"/>
        <v>3.2383968838841248</v>
      </c>
      <c r="Z22">
        <f t="shared" si="18"/>
        <v>1.3979498304345288</v>
      </c>
      <c r="AA22">
        <f t="shared" si="19"/>
        <v>-241.48741677465762</v>
      </c>
      <c r="AB22">
        <f t="shared" si="20"/>
        <v>51.208628858214574</v>
      </c>
      <c r="AC22">
        <f t="shared" si="21"/>
        <v>3.579110168656999</v>
      </c>
      <c r="AD22">
        <f t="shared" si="22"/>
        <v>55.03684605515965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53817.360904606663</v>
      </c>
      <c r="AJ22" t="s">
        <v>416</v>
      </c>
      <c r="AK22" t="s">
        <v>416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416</v>
      </c>
      <c r="AQ22" t="s">
        <v>416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1261.2091194833918</v>
      </c>
      <c r="AW22">
        <f t="shared" si="29"/>
        <v>20.977435226819775</v>
      </c>
      <c r="AX22" t="e">
        <f t="shared" si="30"/>
        <v>#DIV/0!</v>
      </c>
      <c r="AY22">
        <f t="shared" si="31"/>
        <v>1.6632796974551226E-2</v>
      </c>
      <c r="AZ22" t="e">
        <f t="shared" si="32"/>
        <v>#DIV/0!</v>
      </c>
      <c r="BA22" t="e">
        <f t="shared" si="33"/>
        <v>#DIV/0!</v>
      </c>
      <c r="BB22" t="s">
        <v>416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CT22">
        <f t="shared" si="42"/>
        <v>1499.998</v>
      </c>
      <c r="CU22">
        <f t="shared" si="43"/>
        <v>1261.2091194833918</v>
      </c>
      <c r="CV22">
        <f t="shared" si="44"/>
        <v>0.8408072007318621</v>
      </c>
      <c r="CW22">
        <f t="shared" si="45"/>
        <v>0.16115789741249367</v>
      </c>
      <c r="CX22">
        <v>2</v>
      </c>
      <c r="CY22">
        <v>0.5</v>
      </c>
      <c r="CZ22" t="s">
        <v>417</v>
      </c>
      <c r="DA22">
        <v>2</v>
      </c>
      <c r="DB22">
        <v>1791617389.0999999</v>
      </c>
      <c r="DC22">
        <v>390.73700000000002</v>
      </c>
      <c r="DD22">
        <v>399.98379999999997</v>
      </c>
      <c r="DE22">
        <v>17.593060000000001</v>
      </c>
      <c r="DF22">
        <v>15.441240000000001</v>
      </c>
      <c r="DG22">
        <v>389.70979999999997</v>
      </c>
      <c r="DH22">
        <v>17.722180000000002</v>
      </c>
      <c r="DI22">
        <v>500.0016</v>
      </c>
      <c r="DJ22">
        <v>101.10899999999999</v>
      </c>
      <c r="DK22">
        <v>9.9747619999999995E-2</v>
      </c>
      <c r="DL22">
        <v>25.307279999999999</v>
      </c>
      <c r="DM22">
        <v>24.9939</v>
      </c>
      <c r="DN22">
        <v>999.9</v>
      </c>
      <c r="DO22">
        <v>0</v>
      </c>
      <c r="DP22">
        <v>0</v>
      </c>
      <c r="DQ22">
        <v>10009.776</v>
      </c>
      <c r="DR22">
        <v>0</v>
      </c>
      <c r="DS22">
        <v>6.3835300000000004</v>
      </c>
      <c r="DT22">
        <v>-9.24681</v>
      </c>
      <c r="DU22">
        <v>397.73419999999999</v>
      </c>
      <c r="DV22">
        <v>406.25700000000001</v>
      </c>
      <c r="DW22">
        <v>2.1518440000000001</v>
      </c>
      <c r="DX22">
        <v>399.98379999999997</v>
      </c>
      <c r="DY22">
        <v>15.441240000000001</v>
      </c>
      <c r="DZ22">
        <v>1.7788219999999999</v>
      </c>
      <c r="EA22">
        <v>1.56125</v>
      </c>
      <c r="EB22">
        <v>15.60192</v>
      </c>
      <c r="EC22">
        <v>13.58156</v>
      </c>
      <c r="ED22">
        <v>1499.998</v>
      </c>
      <c r="EE22">
        <v>0.97300200000000003</v>
      </c>
      <c r="EF22">
        <v>2.6997899999999998E-2</v>
      </c>
      <c r="EG22">
        <v>0</v>
      </c>
      <c r="EH22">
        <v>340.47899999999998</v>
      </c>
      <c r="EI22">
        <v>5.0006399999999998</v>
      </c>
      <c r="EJ22">
        <v>5267.3459999999995</v>
      </c>
      <c r="EK22">
        <v>15439.22</v>
      </c>
      <c r="EL22">
        <v>40.75</v>
      </c>
      <c r="EM22">
        <v>41.424599999999998</v>
      </c>
      <c r="EN22">
        <v>41.061999999999998</v>
      </c>
      <c r="EO22">
        <v>41.112400000000001</v>
      </c>
      <c r="EP22">
        <v>42.311999999999998</v>
      </c>
      <c r="EQ22">
        <v>1454.6379999999999</v>
      </c>
      <c r="ER22">
        <v>40.36</v>
      </c>
      <c r="ES22">
        <v>0</v>
      </c>
      <c r="ET22">
        <v>1791617393.0999999</v>
      </c>
      <c r="EU22">
        <v>0</v>
      </c>
      <c r="EV22">
        <v>340.18207999999998</v>
      </c>
      <c r="EW22">
        <v>4.9818461551110804</v>
      </c>
      <c r="EX22">
        <v>88.592307810522698</v>
      </c>
      <c r="EY22">
        <v>5261.1188000000002</v>
      </c>
      <c r="EZ22">
        <v>15</v>
      </c>
      <c r="FA22">
        <v>1791617331.0999999</v>
      </c>
      <c r="FB22" t="s">
        <v>437</v>
      </c>
      <c r="FC22">
        <v>1791617321.0999999</v>
      </c>
      <c r="FD22">
        <v>1791617331.0999999</v>
      </c>
      <c r="FE22">
        <v>86</v>
      </c>
      <c r="FF22">
        <v>0.58499999999999996</v>
      </c>
      <c r="FG22">
        <v>6.0000000000000001E-3</v>
      </c>
      <c r="FH22">
        <v>1.032</v>
      </c>
      <c r="FI22">
        <v>-0.17899999999999999</v>
      </c>
      <c r="FJ22">
        <v>400</v>
      </c>
      <c r="FK22">
        <v>15</v>
      </c>
      <c r="FL22">
        <v>0.08</v>
      </c>
      <c r="FM22">
        <v>0.03</v>
      </c>
      <c r="FN22">
        <v>20.921416831223301</v>
      </c>
      <c r="FO22">
        <v>0.460717843035931</v>
      </c>
      <c r="FP22">
        <v>0.122950819643076</v>
      </c>
      <c r="FQ22">
        <v>1</v>
      </c>
      <c r="FR22">
        <v>-9.2394649999999992</v>
      </c>
      <c r="FS22">
        <v>-5.01022556391027E-2</v>
      </c>
      <c r="FT22">
        <v>4.1161166832343402E-2</v>
      </c>
      <c r="FU22">
        <v>1</v>
      </c>
      <c r="FV22">
        <v>339.70144117647101</v>
      </c>
      <c r="FW22">
        <v>6.5105118410694001</v>
      </c>
      <c r="FX22">
        <v>0.67479191525442395</v>
      </c>
      <c r="FY22">
        <v>-1</v>
      </c>
      <c r="FZ22">
        <v>2</v>
      </c>
      <c r="GA22">
        <v>2</v>
      </c>
      <c r="GB22" t="s">
        <v>419</v>
      </c>
      <c r="GC22">
        <v>3.12337</v>
      </c>
      <c r="GD22">
        <v>2.7653300000000001</v>
      </c>
      <c r="GE22">
        <v>8.6074999999999999E-2</v>
      </c>
      <c r="GF22">
        <v>8.9981800000000001E-2</v>
      </c>
      <c r="GG22">
        <v>9.3709899999999999E-2</v>
      </c>
      <c r="GH22">
        <v>8.82299E-2</v>
      </c>
      <c r="GI22">
        <v>17796.8</v>
      </c>
      <c r="GJ22">
        <v>26725.200000000001</v>
      </c>
      <c r="GK22">
        <v>22754.7</v>
      </c>
      <c r="GL22">
        <v>30093.200000000001</v>
      </c>
      <c r="GM22">
        <v>33830.400000000001</v>
      </c>
      <c r="GN22">
        <v>34185.4</v>
      </c>
      <c r="GO22">
        <v>43059.199999999997</v>
      </c>
      <c r="GP22">
        <v>42863.9</v>
      </c>
      <c r="GQ22">
        <v>1.9712700000000001</v>
      </c>
      <c r="GR22">
        <v>1.8037300000000001</v>
      </c>
      <c r="GS22">
        <v>6.1690799999999997E-2</v>
      </c>
      <c r="GT22">
        <v>0</v>
      </c>
      <c r="GU22">
        <v>23.973600000000001</v>
      </c>
      <c r="GV22">
        <v>999.9</v>
      </c>
      <c r="GW22">
        <v>36.033000000000001</v>
      </c>
      <c r="GX22">
        <v>33.929000000000002</v>
      </c>
      <c r="GY22">
        <v>18.9648</v>
      </c>
      <c r="GZ22">
        <v>63.326500000000003</v>
      </c>
      <c r="HA22">
        <v>33.589700000000001</v>
      </c>
      <c r="HB22">
        <v>1</v>
      </c>
      <c r="HC22">
        <v>7.8716999999999995E-2</v>
      </c>
      <c r="HD22">
        <v>1.8998699999999999</v>
      </c>
      <c r="HE22">
        <v>20.220500000000001</v>
      </c>
      <c r="HF22">
        <v>5.2336099999999997</v>
      </c>
      <c r="HG22">
        <v>11.962</v>
      </c>
      <c r="HH22">
        <v>4.9688999999999997</v>
      </c>
      <c r="HI22">
        <v>3.2953299999999999</v>
      </c>
      <c r="HJ22">
        <v>9999</v>
      </c>
      <c r="HK22">
        <v>9999</v>
      </c>
      <c r="HL22">
        <v>999.9</v>
      </c>
      <c r="HM22">
        <v>9999</v>
      </c>
      <c r="HN22">
        <v>4.96861</v>
      </c>
      <c r="HO22">
        <v>1.86267</v>
      </c>
      <c r="HP22">
        <v>1.8641700000000001</v>
      </c>
      <c r="HQ22">
        <v>1.86609</v>
      </c>
      <c r="HR22">
        <v>1.8631</v>
      </c>
      <c r="HS22">
        <v>1.86676</v>
      </c>
      <c r="HT22">
        <v>1.86354</v>
      </c>
      <c r="HU22">
        <v>1.8654500000000001</v>
      </c>
      <c r="HV22">
        <v>0</v>
      </c>
      <c r="HW22">
        <v>0</v>
      </c>
      <c r="HX22">
        <v>0</v>
      </c>
      <c r="HY22">
        <v>0</v>
      </c>
      <c r="HZ22" t="s">
        <v>420</v>
      </c>
      <c r="IA22" t="s">
        <v>421</v>
      </c>
      <c r="IB22" t="s">
        <v>422</v>
      </c>
      <c r="IC22" t="s">
        <v>422</v>
      </c>
      <c r="ID22" t="s">
        <v>422</v>
      </c>
      <c r="IE22" t="s">
        <v>422</v>
      </c>
      <c r="IF22">
        <v>0</v>
      </c>
      <c r="IG22">
        <v>100</v>
      </c>
      <c r="IH22">
        <v>100</v>
      </c>
      <c r="II22">
        <v>1.0269999999999999</v>
      </c>
      <c r="IJ22">
        <v>-0.12939999999999999</v>
      </c>
      <c r="IK22">
        <v>0.63416789544420105</v>
      </c>
      <c r="IL22">
        <v>1.61658254425633E-3</v>
      </c>
      <c r="IM22">
        <v>-1.89604851270483E-6</v>
      </c>
      <c r="IN22">
        <v>8.6681353432279101E-10</v>
      </c>
      <c r="IO22">
        <v>-6.4537060412708597E-2</v>
      </c>
      <c r="IP22">
        <v>-3.5871989026399903E-2</v>
      </c>
      <c r="IQ22">
        <v>1.9028800927848801E-3</v>
      </c>
      <c r="IR22">
        <v>-4.7539144078026999E-6</v>
      </c>
      <c r="IS22">
        <v>1</v>
      </c>
      <c r="IT22">
        <v>1704</v>
      </c>
      <c r="IU22">
        <v>4</v>
      </c>
      <c r="IV22">
        <v>25</v>
      </c>
      <c r="IW22">
        <v>1.2</v>
      </c>
      <c r="IX22">
        <v>1</v>
      </c>
      <c r="IY22">
        <v>1.0534699999999999</v>
      </c>
      <c r="IZ22">
        <v>2.5878899999999998</v>
      </c>
      <c r="JA22">
        <v>1.3476600000000001</v>
      </c>
      <c r="JB22">
        <v>2.2583000000000002</v>
      </c>
      <c r="JC22">
        <v>1.5502899999999999</v>
      </c>
      <c r="JD22">
        <v>2.6061999999999999</v>
      </c>
      <c r="JE22">
        <v>37.747</v>
      </c>
      <c r="JF22">
        <v>16.084599999999998</v>
      </c>
      <c r="JG22">
        <v>18</v>
      </c>
      <c r="JH22">
        <v>501.32299999999998</v>
      </c>
      <c r="JI22">
        <v>470.57799999999997</v>
      </c>
      <c r="JJ22">
        <v>22.020299999999999</v>
      </c>
      <c r="JK22">
        <v>28.236499999999999</v>
      </c>
      <c r="JL22">
        <v>30.000299999999999</v>
      </c>
      <c r="JM22">
        <v>28.215800000000002</v>
      </c>
      <c r="JN22">
        <v>28.227399999999999</v>
      </c>
      <c r="JO22">
        <v>21.0807</v>
      </c>
      <c r="JP22">
        <v>24.116800000000001</v>
      </c>
      <c r="JQ22">
        <v>30.108699999999999</v>
      </c>
      <c r="JR22">
        <v>22.025300000000001</v>
      </c>
      <c r="JS22">
        <v>400</v>
      </c>
      <c r="JT22">
        <v>15.461499999999999</v>
      </c>
      <c r="JU22">
        <v>101.669</v>
      </c>
      <c r="JV22">
        <v>97.331000000000003</v>
      </c>
    </row>
    <row r="23" spans="1:282" x14ac:dyDescent="0.3">
      <c r="A23">
        <v>7</v>
      </c>
      <c r="B23">
        <v>1791617513.0999999</v>
      </c>
      <c r="C23">
        <v>736</v>
      </c>
      <c r="D23" t="s">
        <v>438</v>
      </c>
      <c r="E23" t="s">
        <v>439</v>
      </c>
      <c r="F23">
        <v>5</v>
      </c>
      <c r="G23">
        <v>1791617510.0999999</v>
      </c>
      <c r="H23">
        <f t="shared" si="0"/>
        <v>5.4230769407609593E-3</v>
      </c>
      <c r="I23">
        <f t="shared" si="1"/>
        <v>5.4230769407609589</v>
      </c>
      <c r="J23">
        <f t="shared" si="2"/>
        <v>21.867443947880908</v>
      </c>
      <c r="K23">
        <f t="shared" si="3"/>
        <v>390.39019999999999</v>
      </c>
      <c r="L23">
        <f t="shared" si="4"/>
        <v>293.01474287118111</v>
      </c>
      <c r="M23">
        <f t="shared" si="5"/>
        <v>29.655510879729171</v>
      </c>
      <c r="N23">
        <f t="shared" si="6"/>
        <v>39.510710996986838</v>
      </c>
      <c r="O23">
        <f t="shared" si="7"/>
        <v>0.41503552671570521</v>
      </c>
      <c r="P23">
        <f t="shared" si="8"/>
        <v>3.0290823961065239</v>
      </c>
      <c r="Q23">
        <f t="shared" si="9"/>
        <v>0.38583421581395694</v>
      </c>
      <c r="R23">
        <f t="shared" si="10"/>
        <v>0.24359857648672378</v>
      </c>
      <c r="S23">
        <f t="shared" si="11"/>
        <v>241.7365238029457</v>
      </c>
      <c r="T23">
        <f t="shared" si="12"/>
        <v>25.371397377795308</v>
      </c>
      <c r="U23">
        <f t="shared" si="13"/>
        <v>24.958320000000001</v>
      </c>
      <c r="V23">
        <f t="shared" si="14"/>
        <v>3.1717849072892967</v>
      </c>
      <c r="W23">
        <f t="shared" si="15"/>
        <v>54.930126717658666</v>
      </c>
      <c r="X23">
        <f t="shared" si="16"/>
        <v>1.784084953862429</v>
      </c>
      <c r="Y23">
        <f t="shared" si="17"/>
        <v>3.2479170547569303</v>
      </c>
      <c r="Z23">
        <f t="shared" si="18"/>
        <v>1.3876999534268677</v>
      </c>
      <c r="AA23">
        <f t="shared" si="19"/>
        <v>-239.1576930875583</v>
      </c>
      <c r="AB23">
        <f t="shared" si="20"/>
        <v>65.047205520124336</v>
      </c>
      <c r="AC23">
        <f t="shared" si="21"/>
        <v>4.5495253120845609</v>
      </c>
      <c r="AD23">
        <f t="shared" si="22"/>
        <v>72.175561547596303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53748.558502282765</v>
      </c>
      <c r="AJ23" t="s">
        <v>416</v>
      </c>
      <c r="AK23" t="s">
        <v>416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416</v>
      </c>
      <c r="AQ23" t="s">
        <v>416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1261.2091194833918</v>
      </c>
      <c r="AW23">
        <f t="shared" si="29"/>
        <v>21.867443947880908</v>
      </c>
      <c r="AX23" t="e">
        <f t="shared" si="30"/>
        <v>#DIV/0!</v>
      </c>
      <c r="AY23">
        <f t="shared" si="31"/>
        <v>1.7338475919709578E-2</v>
      </c>
      <c r="AZ23" t="e">
        <f t="shared" si="32"/>
        <v>#DIV/0!</v>
      </c>
      <c r="BA23" t="e">
        <f t="shared" si="33"/>
        <v>#DIV/0!</v>
      </c>
      <c r="BB23" t="s">
        <v>416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CT23">
        <f t="shared" si="42"/>
        <v>1499.998</v>
      </c>
      <c r="CU23">
        <f t="shared" si="43"/>
        <v>1261.2091194833918</v>
      </c>
      <c r="CV23">
        <f t="shared" si="44"/>
        <v>0.8408072007318621</v>
      </c>
      <c r="CW23">
        <f t="shared" si="45"/>
        <v>0.16115789741249367</v>
      </c>
      <c r="CX23">
        <v>2</v>
      </c>
      <c r="CY23">
        <v>0.5</v>
      </c>
      <c r="CZ23" t="s">
        <v>417</v>
      </c>
      <c r="DA23">
        <v>2</v>
      </c>
      <c r="DB23">
        <v>1791617510.0999999</v>
      </c>
      <c r="DC23">
        <v>390.39019999999999</v>
      </c>
      <c r="DD23">
        <v>399.9828</v>
      </c>
      <c r="DE23">
        <v>17.627859999999998</v>
      </c>
      <c r="DF23">
        <v>15.49714</v>
      </c>
      <c r="DG23">
        <v>389.37959999999998</v>
      </c>
      <c r="DH23">
        <v>17.756460000000001</v>
      </c>
      <c r="DI23">
        <v>500.06380000000001</v>
      </c>
      <c r="DJ23">
        <v>101.1082</v>
      </c>
      <c r="DK23">
        <v>0.10005522</v>
      </c>
      <c r="DL23">
        <v>25.356639999999999</v>
      </c>
      <c r="DM23">
        <v>24.958320000000001</v>
      </c>
      <c r="DN23">
        <v>999.9</v>
      </c>
      <c r="DO23">
        <v>0</v>
      </c>
      <c r="DP23">
        <v>0</v>
      </c>
      <c r="DQ23">
        <v>9998.24</v>
      </c>
      <c r="DR23">
        <v>0</v>
      </c>
      <c r="DS23">
        <v>6.3835300000000004</v>
      </c>
      <c r="DT23">
        <v>-9.5928360000000001</v>
      </c>
      <c r="DU23">
        <v>397.3954</v>
      </c>
      <c r="DV23">
        <v>406.279</v>
      </c>
      <c r="DW23">
        <v>2.130744</v>
      </c>
      <c r="DX23">
        <v>399.9828</v>
      </c>
      <c r="DY23">
        <v>15.49714</v>
      </c>
      <c r="DZ23">
        <v>1.7823199999999999</v>
      </c>
      <c r="EA23">
        <v>1.566886</v>
      </c>
      <c r="EB23">
        <v>15.632580000000001</v>
      </c>
      <c r="EC23">
        <v>13.63696</v>
      </c>
      <c r="ED23">
        <v>1499.998</v>
      </c>
      <c r="EE23">
        <v>0.97300200000000003</v>
      </c>
      <c r="EF23">
        <v>2.6997899999999998E-2</v>
      </c>
      <c r="EG23">
        <v>0</v>
      </c>
      <c r="EH23">
        <v>344.08659999999998</v>
      </c>
      <c r="EI23">
        <v>5.0006399999999998</v>
      </c>
      <c r="EJ23">
        <v>5320.0219999999999</v>
      </c>
      <c r="EK23">
        <v>15439.22</v>
      </c>
      <c r="EL23">
        <v>40.75</v>
      </c>
      <c r="EM23">
        <v>41.436999999999998</v>
      </c>
      <c r="EN23">
        <v>41.061999999999998</v>
      </c>
      <c r="EO23">
        <v>41.074599999999997</v>
      </c>
      <c r="EP23">
        <v>42.311999999999998</v>
      </c>
      <c r="EQ23">
        <v>1454.6379999999999</v>
      </c>
      <c r="ER23">
        <v>40.36</v>
      </c>
      <c r="ES23">
        <v>0</v>
      </c>
      <c r="ET23">
        <v>1791617514.3</v>
      </c>
      <c r="EU23">
        <v>0</v>
      </c>
      <c r="EV23">
        <v>344.06659999999999</v>
      </c>
      <c r="EW23">
        <v>-2.2615403495453799E-2</v>
      </c>
      <c r="EX23">
        <v>3.1407692408148402</v>
      </c>
      <c r="EY23">
        <v>5319.7484000000004</v>
      </c>
      <c r="EZ23">
        <v>15</v>
      </c>
      <c r="FA23">
        <v>1791617456.0999999</v>
      </c>
      <c r="FB23" t="s">
        <v>440</v>
      </c>
      <c r="FC23">
        <v>1791617456.0999999</v>
      </c>
      <c r="FD23">
        <v>1791617449.0999999</v>
      </c>
      <c r="FE23">
        <v>87</v>
      </c>
      <c r="FF23">
        <v>-1.7000000000000001E-2</v>
      </c>
      <c r="FG23">
        <v>0</v>
      </c>
      <c r="FH23">
        <v>1.0149999999999999</v>
      </c>
      <c r="FI23">
        <v>-0.17899999999999999</v>
      </c>
      <c r="FJ23">
        <v>400</v>
      </c>
      <c r="FK23">
        <v>15</v>
      </c>
      <c r="FL23">
        <v>0.36</v>
      </c>
      <c r="FM23">
        <v>0.03</v>
      </c>
      <c r="FN23">
        <v>21.8376767802737</v>
      </c>
      <c r="FO23">
        <v>0.400573625014709</v>
      </c>
      <c r="FP23">
        <v>6.9335475986919595E-2</v>
      </c>
      <c r="FQ23">
        <v>1</v>
      </c>
      <c r="FR23">
        <v>-9.5885476190476204</v>
      </c>
      <c r="FS23">
        <v>-8.2895844155855297E-2</v>
      </c>
      <c r="FT23">
        <v>2.32467726187576E-2</v>
      </c>
      <c r="FU23">
        <v>1</v>
      </c>
      <c r="FV23">
        <v>344.02029411764698</v>
      </c>
      <c r="FW23">
        <v>0.55309396291064195</v>
      </c>
      <c r="FX23">
        <v>0.18956506401446799</v>
      </c>
      <c r="FY23">
        <v>-1</v>
      </c>
      <c r="FZ23">
        <v>2</v>
      </c>
      <c r="GA23">
        <v>2</v>
      </c>
      <c r="GB23" t="s">
        <v>419</v>
      </c>
      <c r="GC23">
        <v>3.1234500000000001</v>
      </c>
      <c r="GD23">
        <v>2.7653300000000001</v>
      </c>
      <c r="GE23">
        <v>8.6016800000000004E-2</v>
      </c>
      <c r="GF23">
        <v>8.99779E-2</v>
      </c>
      <c r="GG23">
        <v>9.3891299999999997E-2</v>
      </c>
      <c r="GH23">
        <v>8.8449899999999998E-2</v>
      </c>
      <c r="GI23">
        <v>17797.599999999999</v>
      </c>
      <c r="GJ23">
        <v>26724.9</v>
      </c>
      <c r="GK23">
        <v>22754.3</v>
      </c>
      <c r="GL23">
        <v>30092.799999999999</v>
      </c>
      <c r="GM23">
        <v>33822.699999999997</v>
      </c>
      <c r="GN23">
        <v>34176.800000000003</v>
      </c>
      <c r="GO23">
        <v>43058.2</v>
      </c>
      <c r="GP23">
        <v>42863.5</v>
      </c>
      <c r="GQ23">
        <v>1.9712499999999999</v>
      </c>
      <c r="GR23">
        <v>1.8040499999999999</v>
      </c>
      <c r="GS23">
        <v>5.9045899999999998E-2</v>
      </c>
      <c r="GT23">
        <v>0</v>
      </c>
      <c r="GU23">
        <v>23.990300000000001</v>
      </c>
      <c r="GV23">
        <v>999.9</v>
      </c>
      <c r="GW23">
        <v>36.021000000000001</v>
      </c>
      <c r="GX23">
        <v>33.878</v>
      </c>
      <c r="GY23">
        <v>18.906700000000001</v>
      </c>
      <c r="GZ23">
        <v>63.5565</v>
      </c>
      <c r="HA23">
        <v>33.585700000000003</v>
      </c>
      <c r="HB23">
        <v>1</v>
      </c>
      <c r="HC23">
        <v>7.9334299999999996E-2</v>
      </c>
      <c r="HD23">
        <v>1.86863</v>
      </c>
      <c r="HE23">
        <v>20.221900000000002</v>
      </c>
      <c r="HF23">
        <v>5.2331599999999998</v>
      </c>
      <c r="HG23">
        <v>11.962</v>
      </c>
      <c r="HH23">
        <v>4.9680499999999999</v>
      </c>
      <c r="HI23">
        <v>3.2951000000000001</v>
      </c>
      <c r="HJ23">
        <v>9999</v>
      </c>
      <c r="HK23">
        <v>9999</v>
      </c>
      <c r="HL23">
        <v>999.9</v>
      </c>
      <c r="HM23">
        <v>9999</v>
      </c>
      <c r="HN23">
        <v>4.9686000000000003</v>
      </c>
      <c r="HO23">
        <v>1.8626400000000001</v>
      </c>
      <c r="HP23">
        <v>1.8641700000000001</v>
      </c>
      <c r="HQ23">
        <v>1.8661300000000001</v>
      </c>
      <c r="HR23">
        <v>1.8631</v>
      </c>
      <c r="HS23">
        <v>1.86676</v>
      </c>
      <c r="HT23">
        <v>1.86351</v>
      </c>
      <c r="HU23">
        <v>1.8654200000000001</v>
      </c>
      <c r="HV23">
        <v>0</v>
      </c>
      <c r="HW23">
        <v>0</v>
      </c>
      <c r="HX23">
        <v>0</v>
      </c>
      <c r="HY23">
        <v>0</v>
      </c>
      <c r="HZ23" t="s">
        <v>420</v>
      </c>
      <c r="IA23" t="s">
        <v>421</v>
      </c>
      <c r="IB23" t="s">
        <v>422</v>
      </c>
      <c r="IC23" t="s">
        <v>422</v>
      </c>
      <c r="ID23" t="s">
        <v>422</v>
      </c>
      <c r="IE23" t="s">
        <v>422</v>
      </c>
      <c r="IF23">
        <v>0</v>
      </c>
      <c r="IG23">
        <v>100</v>
      </c>
      <c r="IH23">
        <v>100</v>
      </c>
      <c r="II23">
        <v>1.01</v>
      </c>
      <c r="IJ23">
        <v>-0.1285</v>
      </c>
      <c r="IK23">
        <v>0.617201621240834</v>
      </c>
      <c r="IL23">
        <v>1.61658254425633E-3</v>
      </c>
      <c r="IM23">
        <v>-1.89604851270483E-6</v>
      </c>
      <c r="IN23">
        <v>8.6681353432279101E-10</v>
      </c>
      <c r="IO23">
        <v>-6.4967267622816405E-2</v>
      </c>
      <c r="IP23">
        <v>-3.5871989026399903E-2</v>
      </c>
      <c r="IQ23">
        <v>1.9028800927848801E-3</v>
      </c>
      <c r="IR23">
        <v>-4.7539144078026999E-6</v>
      </c>
      <c r="IS23">
        <v>1</v>
      </c>
      <c r="IT23">
        <v>1704</v>
      </c>
      <c r="IU23">
        <v>4</v>
      </c>
      <c r="IV23">
        <v>25</v>
      </c>
      <c r="IW23">
        <v>0.9</v>
      </c>
      <c r="IX23">
        <v>1.1000000000000001</v>
      </c>
      <c r="IY23">
        <v>1.0522499999999999</v>
      </c>
      <c r="IZ23">
        <v>2.5903299999999998</v>
      </c>
      <c r="JA23">
        <v>1.3476600000000001</v>
      </c>
      <c r="JB23">
        <v>2.2583000000000002</v>
      </c>
      <c r="JC23">
        <v>1.5502899999999999</v>
      </c>
      <c r="JD23">
        <v>2.6184099999999999</v>
      </c>
      <c r="JE23">
        <v>37.626300000000001</v>
      </c>
      <c r="JF23">
        <v>16.0671</v>
      </c>
      <c r="JG23">
        <v>18</v>
      </c>
      <c r="JH23">
        <v>501.43299999999999</v>
      </c>
      <c r="JI23">
        <v>470.92899999999997</v>
      </c>
      <c r="JJ23">
        <v>21.938600000000001</v>
      </c>
      <c r="JK23">
        <v>28.248000000000001</v>
      </c>
      <c r="JL23">
        <v>29.9999</v>
      </c>
      <c r="JM23">
        <v>28.2302</v>
      </c>
      <c r="JN23">
        <v>28.241900000000001</v>
      </c>
      <c r="JO23">
        <v>21.0761</v>
      </c>
      <c r="JP23">
        <v>23.7379</v>
      </c>
      <c r="JQ23">
        <v>30.05</v>
      </c>
      <c r="JR23">
        <v>21.979500000000002</v>
      </c>
      <c r="JS23">
        <v>400</v>
      </c>
      <c r="JT23">
        <v>15.509399999999999</v>
      </c>
      <c r="JU23">
        <v>101.667</v>
      </c>
      <c r="JV23">
        <v>97.329899999999995</v>
      </c>
    </row>
    <row r="24" spans="1:282" x14ac:dyDescent="0.3">
      <c r="A24">
        <v>8</v>
      </c>
      <c r="B24">
        <v>1791617635.0999999</v>
      </c>
      <c r="C24">
        <v>858</v>
      </c>
      <c r="D24" t="s">
        <v>441</v>
      </c>
      <c r="E24" t="s">
        <v>442</v>
      </c>
      <c r="F24">
        <v>5</v>
      </c>
      <c r="G24">
        <v>1791617631.5999999</v>
      </c>
      <c r="H24">
        <f t="shared" si="0"/>
        <v>5.1113197577870792E-3</v>
      </c>
      <c r="I24">
        <f t="shared" si="1"/>
        <v>5.1113197577870793</v>
      </c>
      <c r="J24">
        <f t="shared" si="2"/>
        <v>29.573575800742457</v>
      </c>
      <c r="K24">
        <f t="shared" si="3"/>
        <v>686.81233333333296</v>
      </c>
      <c r="L24">
        <f t="shared" si="4"/>
        <v>543.5020447073764</v>
      </c>
      <c r="M24">
        <f t="shared" si="5"/>
        <v>55.007232425406976</v>
      </c>
      <c r="N24">
        <f t="shared" si="6"/>
        <v>69.511506019528298</v>
      </c>
      <c r="O24">
        <f t="shared" si="7"/>
        <v>0.38741315895531381</v>
      </c>
      <c r="P24">
        <f t="shared" si="8"/>
        <v>3.0275216035125898</v>
      </c>
      <c r="Q24">
        <f t="shared" si="9"/>
        <v>0.36182880807611684</v>
      </c>
      <c r="R24">
        <f t="shared" si="10"/>
        <v>0.2283007117550459</v>
      </c>
      <c r="S24">
        <f t="shared" si="11"/>
        <v>241.73817300295198</v>
      </c>
      <c r="T24">
        <f t="shared" si="12"/>
        <v>25.39972411506837</v>
      </c>
      <c r="U24">
        <f t="shared" si="13"/>
        <v>25.00395</v>
      </c>
      <c r="V24">
        <f t="shared" si="14"/>
        <v>3.1804264665082758</v>
      </c>
      <c r="W24">
        <f t="shared" si="15"/>
        <v>55.147750928511527</v>
      </c>
      <c r="X24">
        <f t="shared" si="16"/>
        <v>1.7857918649838931</v>
      </c>
      <c r="Y24">
        <f t="shared" si="17"/>
        <v>3.2381952752684864</v>
      </c>
      <c r="Z24">
        <f t="shared" si="18"/>
        <v>1.3946346015243827</v>
      </c>
      <c r="AA24">
        <f t="shared" si="19"/>
        <v>-225.4092013184102</v>
      </c>
      <c r="AB24">
        <f t="shared" si="20"/>
        <v>49.338608490271305</v>
      </c>
      <c r="AC24">
        <f t="shared" si="21"/>
        <v>3.4525315526564344</v>
      </c>
      <c r="AD24">
        <f t="shared" si="22"/>
        <v>69.120111727469521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53709.028764156385</v>
      </c>
      <c r="AJ24" t="s">
        <v>416</v>
      </c>
      <c r="AK24" t="s">
        <v>416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416</v>
      </c>
      <c r="AQ24" t="s">
        <v>416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1261.2177994833924</v>
      </c>
      <c r="AW24">
        <f t="shared" si="29"/>
        <v>29.573575800742457</v>
      </c>
      <c r="AX24" t="e">
        <f t="shared" si="30"/>
        <v>#DIV/0!</v>
      </c>
      <c r="AY24">
        <f t="shared" si="31"/>
        <v>2.3448428822409655E-2</v>
      </c>
      <c r="AZ24" t="e">
        <f t="shared" si="32"/>
        <v>#DIV/0!</v>
      </c>
      <c r="BA24" t="e">
        <f t="shared" si="33"/>
        <v>#DIV/0!</v>
      </c>
      <c r="BB24" t="s">
        <v>416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CT24">
        <f t="shared" si="42"/>
        <v>1500.00833333333</v>
      </c>
      <c r="CU24">
        <f t="shared" si="43"/>
        <v>1261.2177994833924</v>
      </c>
      <c r="CV24">
        <f t="shared" si="44"/>
        <v>0.84080719517117908</v>
      </c>
      <c r="CW24">
        <f t="shared" si="45"/>
        <v>0.16115788668037567</v>
      </c>
      <c r="CX24">
        <v>2</v>
      </c>
      <c r="CY24">
        <v>0.5</v>
      </c>
      <c r="CZ24" t="s">
        <v>417</v>
      </c>
      <c r="DA24">
        <v>2</v>
      </c>
      <c r="DB24">
        <v>1791617631.5999999</v>
      </c>
      <c r="DC24">
        <v>686.81233333333296</v>
      </c>
      <c r="DD24">
        <v>700.04650000000004</v>
      </c>
      <c r="DE24">
        <v>17.6446166666667</v>
      </c>
      <c r="DF24">
        <v>15.6360833333333</v>
      </c>
      <c r="DG24">
        <v>685.59483333333299</v>
      </c>
      <c r="DH24">
        <v>17.769566666666702</v>
      </c>
      <c r="DI24">
        <v>499.98</v>
      </c>
      <c r="DJ24">
        <v>101.108833333333</v>
      </c>
      <c r="DK24">
        <v>0.1000452</v>
      </c>
      <c r="DL24">
        <v>25.306233333333299</v>
      </c>
      <c r="DM24">
        <v>25.00395</v>
      </c>
      <c r="DN24">
        <v>999.9</v>
      </c>
      <c r="DO24">
        <v>0</v>
      </c>
      <c r="DP24">
        <v>0</v>
      </c>
      <c r="DQ24">
        <v>9988.75</v>
      </c>
      <c r="DR24">
        <v>0</v>
      </c>
      <c r="DS24">
        <v>6.3835300000000004</v>
      </c>
      <c r="DT24">
        <v>-13.234116666666701</v>
      </c>
      <c r="DU24">
        <v>699.14850000000001</v>
      </c>
      <c r="DV24">
        <v>711.166333333333</v>
      </c>
      <c r="DW24">
        <v>2.00853833333333</v>
      </c>
      <c r="DX24">
        <v>700.04650000000004</v>
      </c>
      <c r="DY24">
        <v>15.6360833333333</v>
      </c>
      <c r="DZ24">
        <v>1.784025</v>
      </c>
      <c r="EA24">
        <v>1.5809466666666701</v>
      </c>
      <c r="EB24">
        <v>15.6475333333333</v>
      </c>
      <c r="EC24">
        <v>13.774316666666699</v>
      </c>
      <c r="ED24">
        <v>1500.00833333333</v>
      </c>
      <c r="EE24">
        <v>0.97300200000000003</v>
      </c>
      <c r="EF24">
        <v>2.6997899999999998E-2</v>
      </c>
      <c r="EG24">
        <v>0</v>
      </c>
      <c r="EH24">
        <v>346.83883333333301</v>
      </c>
      <c r="EI24">
        <v>5.0006399999999998</v>
      </c>
      <c r="EJ24">
        <v>5361.0050000000001</v>
      </c>
      <c r="EK24">
        <v>15439.3</v>
      </c>
      <c r="EL24">
        <v>40.75</v>
      </c>
      <c r="EM24">
        <v>41.436999999999998</v>
      </c>
      <c r="EN24">
        <v>41.061999999999998</v>
      </c>
      <c r="EO24">
        <v>41.061999999999998</v>
      </c>
      <c r="EP24">
        <v>42.291333333333299</v>
      </c>
      <c r="EQ24">
        <v>1454.6483333333299</v>
      </c>
      <c r="ER24">
        <v>40.36</v>
      </c>
      <c r="ES24">
        <v>0</v>
      </c>
      <c r="ET24">
        <v>1791617636.0999999</v>
      </c>
      <c r="EU24">
        <v>0</v>
      </c>
      <c r="EV24">
        <v>346.85980769230798</v>
      </c>
      <c r="EW24">
        <v>-1.8833162508819701</v>
      </c>
      <c r="EX24">
        <v>-33.985299170358999</v>
      </c>
      <c r="EY24">
        <v>5363.55961538461</v>
      </c>
      <c r="EZ24">
        <v>15</v>
      </c>
      <c r="FA24">
        <v>1791617573.0999999</v>
      </c>
      <c r="FB24" t="s">
        <v>443</v>
      </c>
      <c r="FC24">
        <v>1791617572.0999999</v>
      </c>
      <c r="FD24">
        <v>1791617573.0999999</v>
      </c>
      <c r="FE24">
        <v>88</v>
      </c>
      <c r="FF24">
        <v>0.104</v>
      </c>
      <c r="FG24">
        <v>3.0000000000000001E-3</v>
      </c>
      <c r="FH24">
        <v>1.2210000000000001</v>
      </c>
      <c r="FI24">
        <v>-0.17499999999999999</v>
      </c>
      <c r="FJ24">
        <v>700</v>
      </c>
      <c r="FK24">
        <v>16</v>
      </c>
      <c r="FL24">
        <v>0.16</v>
      </c>
      <c r="FM24">
        <v>0.04</v>
      </c>
      <c r="FN24">
        <v>29.460924910747199</v>
      </c>
      <c r="FO24">
        <v>-0.52879083515828496</v>
      </c>
      <c r="FP24">
        <v>0.19627747126849701</v>
      </c>
      <c r="FQ24">
        <v>1</v>
      </c>
      <c r="FR24">
        <v>-13.2034619047619</v>
      </c>
      <c r="FS24">
        <v>0.276490909090916</v>
      </c>
      <c r="FT24">
        <v>8.1701194700074795E-2</v>
      </c>
      <c r="FU24">
        <v>1</v>
      </c>
      <c r="FV24">
        <v>347.07388235294098</v>
      </c>
      <c r="FW24">
        <v>-3.0947899184910499</v>
      </c>
      <c r="FX24">
        <v>0.364334668766301</v>
      </c>
      <c r="FY24">
        <v>-1</v>
      </c>
      <c r="FZ24">
        <v>2</v>
      </c>
      <c r="GA24">
        <v>2</v>
      </c>
      <c r="GB24" t="s">
        <v>419</v>
      </c>
      <c r="GC24">
        <v>3.1233300000000002</v>
      </c>
      <c r="GD24">
        <v>2.7654000000000001</v>
      </c>
      <c r="GE24">
        <v>0.12939700000000001</v>
      </c>
      <c r="GF24">
        <v>0.13453899999999999</v>
      </c>
      <c r="GG24">
        <v>9.3938800000000003E-2</v>
      </c>
      <c r="GH24">
        <v>8.9019299999999996E-2</v>
      </c>
      <c r="GI24">
        <v>16952.2</v>
      </c>
      <c r="GJ24">
        <v>25415.599999999999</v>
      </c>
      <c r="GK24">
        <v>22753.599999999999</v>
      </c>
      <c r="GL24">
        <v>30092.2</v>
      </c>
      <c r="GM24">
        <v>33823.1</v>
      </c>
      <c r="GN24">
        <v>34158.1</v>
      </c>
      <c r="GO24">
        <v>43057.7</v>
      </c>
      <c r="GP24">
        <v>42863.1</v>
      </c>
      <c r="GQ24">
        <v>1.97123</v>
      </c>
      <c r="GR24">
        <v>1.8055000000000001</v>
      </c>
      <c r="GS24">
        <v>6.2547599999999995E-2</v>
      </c>
      <c r="GT24">
        <v>0</v>
      </c>
      <c r="GU24">
        <v>23.98</v>
      </c>
      <c r="GV24">
        <v>999.9</v>
      </c>
      <c r="GW24">
        <v>36.033000000000001</v>
      </c>
      <c r="GX24">
        <v>33.817999999999998</v>
      </c>
      <c r="GY24">
        <v>18.849299999999999</v>
      </c>
      <c r="GZ24">
        <v>63.086599999999997</v>
      </c>
      <c r="HA24">
        <v>34.294899999999998</v>
      </c>
      <c r="HB24">
        <v>1</v>
      </c>
      <c r="HC24">
        <v>8.0538600000000002E-2</v>
      </c>
      <c r="HD24">
        <v>2.1679300000000001</v>
      </c>
      <c r="HE24">
        <v>20.218900000000001</v>
      </c>
      <c r="HF24">
        <v>5.2337600000000002</v>
      </c>
      <c r="HG24">
        <v>11.962</v>
      </c>
      <c r="HH24">
        <v>4.9675500000000001</v>
      </c>
      <c r="HI24">
        <v>3.2951000000000001</v>
      </c>
      <c r="HJ24">
        <v>9999</v>
      </c>
      <c r="HK24">
        <v>9999</v>
      </c>
      <c r="HL24">
        <v>999.9</v>
      </c>
      <c r="HM24">
        <v>9999</v>
      </c>
      <c r="HN24">
        <v>4.96861</v>
      </c>
      <c r="HO24">
        <v>1.8626799999999999</v>
      </c>
      <c r="HP24">
        <v>1.8641799999999999</v>
      </c>
      <c r="HQ24">
        <v>1.86609</v>
      </c>
      <c r="HR24">
        <v>1.8631</v>
      </c>
      <c r="HS24">
        <v>1.86676</v>
      </c>
      <c r="HT24">
        <v>1.8635600000000001</v>
      </c>
      <c r="HU24">
        <v>1.86541</v>
      </c>
      <c r="HV24">
        <v>0</v>
      </c>
      <c r="HW24">
        <v>0</v>
      </c>
      <c r="HX24">
        <v>0</v>
      </c>
      <c r="HY24">
        <v>0</v>
      </c>
      <c r="HZ24" t="s">
        <v>420</v>
      </c>
      <c r="IA24" t="s">
        <v>421</v>
      </c>
      <c r="IB24" t="s">
        <v>422</v>
      </c>
      <c r="IC24" t="s">
        <v>422</v>
      </c>
      <c r="ID24" t="s">
        <v>422</v>
      </c>
      <c r="IE24" t="s">
        <v>422</v>
      </c>
      <c r="IF24">
        <v>0</v>
      </c>
      <c r="IG24">
        <v>100</v>
      </c>
      <c r="IH24">
        <v>100</v>
      </c>
      <c r="II24">
        <v>1.2170000000000001</v>
      </c>
      <c r="IJ24">
        <v>-0.1249</v>
      </c>
      <c r="IK24">
        <v>0.72092564686534399</v>
      </c>
      <c r="IL24">
        <v>1.61658254425633E-3</v>
      </c>
      <c r="IM24">
        <v>-1.89604851270483E-6</v>
      </c>
      <c r="IN24">
        <v>8.6681353432279101E-10</v>
      </c>
      <c r="IO24">
        <v>-6.1707281427206301E-2</v>
      </c>
      <c r="IP24">
        <v>-3.5871989026399903E-2</v>
      </c>
      <c r="IQ24">
        <v>1.9028800927848801E-3</v>
      </c>
      <c r="IR24">
        <v>-4.7539144078026999E-6</v>
      </c>
      <c r="IS24">
        <v>1</v>
      </c>
      <c r="IT24">
        <v>1704</v>
      </c>
      <c r="IU24">
        <v>4</v>
      </c>
      <c r="IV24">
        <v>25</v>
      </c>
      <c r="IW24">
        <v>1.1000000000000001</v>
      </c>
      <c r="IX24">
        <v>1</v>
      </c>
      <c r="IY24">
        <v>1.63696</v>
      </c>
      <c r="IZ24">
        <v>2.5793499999999998</v>
      </c>
      <c r="JA24">
        <v>1.3476600000000001</v>
      </c>
      <c r="JB24">
        <v>2.2583000000000002</v>
      </c>
      <c r="JC24">
        <v>1.5502899999999999</v>
      </c>
      <c r="JD24">
        <v>2.4719199999999999</v>
      </c>
      <c r="JE24">
        <v>37.53</v>
      </c>
      <c r="JF24">
        <v>16.049600000000002</v>
      </c>
      <c r="JG24">
        <v>18</v>
      </c>
      <c r="JH24">
        <v>501.47899999999998</v>
      </c>
      <c r="JI24">
        <v>471.99</v>
      </c>
      <c r="JJ24">
        <v>21.736000000000001</v>
      </c>
      <c r="JK24">
        <v>28.250299999999999</v>
      </c>
      <c r="JL24">
        <v>30.0001</v>
      </c>
      <c r="JM24">
        <v>28.237300000000001</v>
      </c>
      <c r="JN24">
        <v>28.249099999999999</v>
      </c>
      <c r="JO24">
        <v>32.770499999999998</v>
      </c>
      <c r="JP24">
        <v>22.793800000000001</v>
      </c>
      <c r="JQ24">
        <v>30.081499999999998</v>
      </c>
      <c r="JR24">
        <v>21.732800000000001</v>
      </c>
      <c r="JS24">
        <v>700</v>
      </c>
      <c r="JT24">
        <v>15.596500000000001</v>
      </c>
      <c r="JU24">
        <v>101.66500000000001</v>
      </c>
      <c r="JV24">
        <v>97.328599999999994</v>
      </c>
    </row>
    <row r="25" spans="1:282" x14ac:dyDescent="0.3">
      <c r="A25">
        <v>9</v>
      </c>
      <c r="B25">
        <v>1791617782.0999999</v>
      </c>
      <c r="C25">
        <v>1005</v>
      </c>
      <c r="D25" t="s">
        <v>444</v>
      </c>
      <c r="E25" t="s">
        <v>445</v>
      </c>
      <c r="F25">
        <v>5</v>
      </c>
      <c r="G25">
        <v>1791617779.0999999</v>
      </c>
      <c r="H25">
        <f t="shared" si="0"/>
        <v>4.4854729043031808E-3</v>
      </c>
      <c r="I25">
        <f t="shared" si="1"/>
        <v>4.4854729043031805</v>
      </c>
      <c r="J25">
        <f t="shared" si="2"/>
        <v>31.639340730314665</v>
      </c>
      <c r="K25">
        <f t="shared" si="3"/>
        <v>985.58140000000003</v>
      </c>
      <c r="L25">
        <f t="shared" si="4"/>
        <v>805.35781029515954</v>
      </c>
      <c r="M25">
        <f t="shared" si="5"/>
        <v>81.509380180312078</v>
      </c>
      <c r="N25">
        <f t="shared" si="6"/>
        <v>99.749611916971631</v>
      </c>
      <c r="O25">
        <f t="shared" si="7"/>
        <v>0.33303306004003141</v>
      </c>
      <c r="P25">
        <f t="shared" si="8"/>
        <v>3.0299260095324012</v>
      </c>
      <c r="Q25">
        <f t="shared" si="9"/>
        <v>0.31395133336080489</v>
      </c>
      <c r="R25">
        <f t="shared" si="10"/>
        <v>0.19784283200232775</v>
      </c>
      <c r="S25">
        <f t="shared" si="11"/>
        <v>241.73875820295495</v>
      </c>
      <c r="T25">
        <f t="shared" si="12"/>
        <v>25.468044069168315</v>
      </c>
      <c r="U25">
        <f t="shared" si="13"/>
        <v>25.025200000000002</v>
      </c>
      <c r="V25">
        <f t="shared" si="14"/>
        <v>3.184457878205869</v>
      </c>
      <c r="W25">
        <f t="shared" si="15"/>
        <v>55.072834689803919</v>
      </c>
      <c r="X25">
        <f t="shared" si="16"/>
        <v>1.7738904600482517</v>
      </c>
      <c r="Y25">
        <f t="shared" si="17"/>
        <v>3.2209899309516867</v>
      </c>
      <c r="Z25">
        <f t="shared" si="18"/>
        <v>1.4105674181576173</v>
      </c>
      <c r="AA25">
        <f t="shared" si="19"/>
        <v>-197.80935507977028</v>
      </c>
      <c r="AB25">
        <f t="shared" si="20"/>
        <v>31.281404551461559</v>
      </c>
      <c r="AC25">
        <f t="shared" si="21"/>
        <v>2.1864671851164883</v>
      </c>
      <c r="AD25">
        <f t="shared" si="22"/>
        <v>77.397274859762732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53800.100926445331</v>
      </c>
      <c r="AJ25" t="s">
        <v>416</v>
      </c>
      <c r="AK25" t="s">
        <v>416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416</v>
      </c>
      <c r="AQ25" t="s">
        <v>416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1261.2208794833964</v>
      </c>
      <c r="AW25">
        <f t="shared" si="29"/>
        <v>31.639340730314665</v>
      </c>
      <c r="AX25" t="e">
        <f t="shared" si="30"/>
        <v>#DIV/0!</v>
      </c>
      <c r="AY25">
        <f t="shared" si="31"/>
        <v>2.5086280480286948E-2</v>
      </c>
      <c r="AZ25" t="e">
        <f t="shared" si="32"/>
        <v>#DIV/0!</v>
      </c>
      <c r="BA25" t="e">
        <f t="shared" si="33"/>
        <v>#DIV/0!</v>
      </c>
      <c r="BB25" t="s">
        <v>416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CT25">
        <f t="shared" si="42"/>
        <v>1500.0119999999999</v>
      </c>
      <c r="CU25">
        <f t="shared" si="43"/>
        <v>1261.2208794833964</v>
      </c>
      <c r="CV25">
        <f t="shared" si="44"/>
        <v>0.84080719319805208</v>
      </c>
      <c r="CW25">
        <f t="shared" si="45"/>
        <v>0.16115788287224034</v>
      </c>
      <c r="CX25">
        <v>2</v>
      </c>
      <c r="CY25">
        <v>0.5</v>
      </c>
      <c r="CZ25" t="s">
        <v>417</v>
      </c>
      <c r="DA25">
        <v>2</v>
      </c>
      <c r="DB25">
        <v>1791617779.0999999</v>
      </c>
      <c r="DC25">
        <v>985.58140000000003</v>
      </c>
      <c r="DD25">
        <v>1000.0056</v>
      </c>
      <c r="DE25">
        <v>17.52702</v>
      </c>
      <c r="DF25">
        <v>15.76426</v>
      </c>
      <c r="DG25">
        <v>984.43460000000005</v>
      </c>
      <c r="DH25">
        <v>17.652059999999999</v>
      </c>
      <c r="DI25">
        <v>499.995</v>
      </c>
      <c r="DJ25">
        <v>101.10899999999999</v>
      </c>
      <c r="DK25">
        <v>9.9902599999999994E-2</v>
      </c>
      <c r="DL25">
        <v>25.216699999999999</v>
      </c>
      <c r="DM25">
        <v>25.025200000000002</v>
      </c>
      <c r="DN25">
        <v>999.9</v>
      </c>
      <c r="DO25">
        <v>0</v>
      </c>
      <c r="DP25">
        <v>0</v>
      </c>
      <c r="DQ25">
        <v>10003.26</v>
      </c>
      <c r="DR25">
        <v>0</v>
      </c>
      <c r="DS25">
        <v>6.3835300000000004</v>
      </c>
      <c r="DT25">
        <v>-14.424720000000001</v>
      </c>
      <c r="DU25">
        <v>1003.164</v>
      </c>
      <c r="DV25">
        <v>1016.024</v>
      </c>
      <c r="DW25">
        <v>1.762756</v>
      </c>
      <c r="DX25">
        <v>1000.0056</v>
      </c>
      <c r="DY25">
        <v>15.76426</v>
      </c>
      <c r="DZ25">
        <v>1.77214</v>
      </c>
      <c r="EA25">
        <v>1.5939099999999999</v>
      </c>
      <c r="EB25">
        <v>15.543200000000001</v>
      </c>
      <c r="EC25">
        <v>13.900040000000001</v>
      </c>
      <c r="ED25">
        <v>1500.0119999999999</v>
      </c>
      <c r="EE25">
        <v>0.97300279999999995</v>
      </c>
      <c r="EF25">
        <v>2.6997119999999999E-2</v>
      </c>
      <c r="EG25">
        <v>0</v>
      </c>
      <c r="EH25">
        <v>345.74639999999999</v>
      </c>
      <c r="EI25">
        <v>5.0006399999999998</v>
      </c>
      <c r="EJ25">
        <v>5346.2340000000004</v>
      </c>
      <c r="EK25">
        <v>15439.34</v>
      </c>
      <c r="EL25">
        <v>40.737400000000001</v>
      </c>
      <c r="EM25">
        <v>41.375</v>
      </c>
      <c r="EN25">
        <v>41.049599999999998</v>
      </c>
      <c r="EO25">
        <v>41.061999999999998</v>
      </c>
      <c r="EP25">
        <v>42.25</v>
      </c>
      <c r="EQ25">
        <v>1454.652</v>
      </c>
      <c r="ER25">
        <v>40.36</v>
      </c>
      <c r="ES25">
        <v>0</v>
      </c>
      <c r="ET25">
        <v>1791617783.0999999</v>
      </c>
      <c r="EU25">
        <v>0</v>
      </c>
      <c r="EV25">
        <v>345.61991999999998</v>
      </c>
      <c r="EW25">
        <v>1.84423077218415</v>
      </c>
      <c r="EX25">
        <v>21.806923131535498</v>
      </c>
      <c r="EY25">
        <v>5345.1271999999999</v>
      </c>
      <c r="EZ25">
        <v>15</v>
      </c>
      <c r="FA25">
        <v>1791617707.0999999</v>
      </c>
      <c r="FB25" t="s">
        <v>446</v>
      </c>
      <c r="FC25">
        <v>1791617707.0999999</v>
      </c>
      <c r="FD25">
        <v>1791617695.0999999</v>
      </c>
      <c r="FE25">
        <v>89</v>
      </c>
      <c r="FF25">
        <v>-0.156</v>
      </c>
      <c r="FG25">
        <v>3.0000000000000001E-3</v>
      </c>
      <c r="FH25">
        <v>1.153</v>
      </c>
      <c r="FI25">
        <v>-0.16900000000000001</v>
      </c>
      <c r="FJ25">
        <v>1000</v>
      </c>
      <c r="FK25">
        <v>16</v>
      </c>
      <c r="FL25">
        <v>0.13</v>
      </c>
      <c r="FM25">
        <v>0.05</v>
      </c>
      <c r="FN25">
        <v>31.5784881848266</v>
      </c>
      <c r="FO25">
        <v>0.48866567835168101</v>
      </c>
      <c r="FP25">
        <v>0.13491452730189701</v>
      </c>
      <c r="FQ25">
        <v>1</v>
      </c>
      <c r="FR25">
        <v>-14.415285000000001</v>
      </c>
      <c r="FS25">
        <v>-0.13719248120299701</v>
      </c>
      <c r="FT25">
        <v>4.6827729765599402E-2</v>
      </c>
      <c r="FU25">
        <v>1</v>
      </c>
      <c r="FV25">
        <v>345.46600000000001</v>
      </c>
      <c r="FW25">
        <v>2.5761344568341702</v>
      </c>
      <c r="FX25">
        <v>0.321350642280541</v>
      </c>
      <c r="FY25">
        <v>-1</v>
      </c>
      <c r="FZ25">
        <v>2</v>
      </c>
      <c r="GA25">
        <v>2</v>
      </c>
      <c r="GB25" t="s">
        <v>419</v>
      </c>
      <c r="GC25">
        <v>3.1233499999999998</v>
      </c>
      <c r="GD25">
        <v>2.7654299999999998</v>
      </c>
      <c r="GE25">
        <v>0.16397600000000001</v>
      </c>
      <c r="GF25">
        <v>0.169796</v>
      </c>
      <c r="GG25">
        <v>9.3450500000000006E-2</v>
      </c>
      <c r="GH25">
        <v>8.9548100000000005E-2</v>
      </c>
      <c r="GI25">
        <v>16278</v>
      </c>
      <c r="GJ25">
        <v>24379.1</v>
      </c>
      <c r="GK25">
        <v>22752.400000000001</v>
      </c>
      <c r="GL25">
        <v>30091</v>
      </c>
      <c r="GM25">
        <v>33842.400000000001</v>
      </c>
      <c r="GN25">
        <v>34139.199999999997</v>
      </c>
      <c r="GO25">
        <v>43055.6</v>
      </c>
      <c r="GP25">
        <v>42861.3</v>
      </c>
      <c r="GQ25">
        <v>1.9711700000000001</v>
      </c>
      <c r="GR25">
        <v>1.8069</v>
      </c>
      <c r="GS25">
        <v>6.7234000000000002E-2</v>
      </c>
      <c r="GT25">
        <v>0</v>
      </c>
      <c r="GU25">
        <v>23.915700000000001</v>
      </c>
      <c r="GV25">
        <v>999.9</v>
      </c>
      <c r="GW25">
        <v>36.155999999999999</v>
      </c>
      <c r="GX25">
        <v>33.787999999999997</v>
      </c>
      <c r="GY25">
        <v>18.881699999999999</v>
      </c>
      <c r="GZ25">
        <v>63.176600000000001</v>
      </c>
      <c r="HA25">
        <v>33.5777</v>
      </c>
      <c r="HB25">
        <v>1</v>
      </c>
      <c r="HC25">
        <v>8.1216999999999998E-2</v>
      </c>
      <c r="HD25">
        <v>2.2195399999999998</v>
      </c>
      <c r="HE25">
        <v>20.2182</v>
      </c>
      <c r="HF25">
        <v>5.2295699999999998</v>
      </c>
      <c r="HG25">
        <v>11.962</v>
      </c>
      <c r="HH25">
        <v>4.9684999999999997</v>
      </c>
      <c r="HI25">
        <v>3.29542</v>
      </c>
      <c r="HJ25">
        <v>9999</v>
      </c>
      <c r="HK25">
        <v>9999</v>
      </c>
      <c r="HL25">
        <v>999.9</v>
      </c>
      <c r="HM25">
        <v>9999</v>
      </c>
      <c r="HN25">
        <v>4.9686199999999996</v>
      </c>
      <c r="HO25">
        <v>1.8626400000000001</v>
      </c>
      <c r="HP25">
        <v>1.8641700000000001</v>
      </c>
      <c r="HQ25">
        <v>1.8660600000000001</v>
      </c>
      <c r="HR25">
        <v>1.8630800000000001</v>
      </c>
      <c r="HS25">
        <v>1.86676</v>
      </c>
      <c r="HT25">
        <v>1.86354</v>
      </c>
      <c r="HU25">
        <v>1.8653900000000001</v>
      </c>
      <c r="HV25">
        <v>0</v>
      </c>
      <c r="HW25">
        <v>0</v>
      </c>
      <c r="HX25">
        <v>0</v>
      </c>
      <c r="HY25">
        <v>0</v>
      </c>
      <c r="HZ25" t="s">
        <v>420</v>
      </c>
      <c r="IA25" t="s">
        <v>421</v>
      </c>
      <c r="IB25" t="s">
        <v>422</v>
      </c>
      <c r="IC25" t="s">
        <v>422</v>
      </c>
      <c r="ID25" t="s">
        <v>422</v>
      </c>
      <c r="IE25" t="s">
        <v>422</v>
      </c>
      <c r="IF25">
        <v>0</v>
      </c>
      <c r="IG25">
        <v>100</v>
      </c>
      <c r="IH25">
        <v>100</v>
      </c>
      <c r="II25">
        <v>1.1459999999999999</v>
      </c>
      <c r="IJ25">
        <v>-0.12529999999999999</v>
      </c>
      <c r="IK25">
        <v>0.56585373450570997</v>
      </c>
      <c r="IL25">
        <v>1.61658254425633E-3</v>
      </c>
      <c r="IM25">
        <v>-1.89604851270483E-6</v>
      </c>
      <c r="IN25">
        <v>8.6681353432279101E-10</v>
      </c>
      <c r="IO25">
        <v>-5.8615602879604697E-2</v>
      </c>
      <c r="IP25">
        <v>-3.5871989026399903E-2</v>
      </c>
      <c r="IQ25">
        <v>1.9028800927848801E-3</v>
      </c>
      <c r="IR25">
        <v>-4.7539144078026999E-6</v>
      </c>
      <c r="IS25">
        <v>1</v>
      </c>
      <c r="IT25">
        <v>1704</v>
      </c>
      <c r="IU25">
        <v>4</v>
      </c>
      <c r="IV25">
        <v>25</v>
      </c>
      <c r="IW25">
        <v>1.2</v>
      </c>
      <c r="IX25">
        <v>1.4</v>
      </c>
      <c r="IY25">
        <v>2.18018</v>
      </c>
      <c r="IZ25">
        <v>2.5561500000000001</v>
      </c>
      <c r="JA25">
        <v>1.3464400000000001</v>
      </c>
      <c r="JB25">
        <v>2.2583000000000002</v>
      </c>
      <c r="JC25">
        <v>1.5502899999999999</v>
      </c>
      <c r="JD25">
        <v>2.7185100000000002</v>
      </c>
      <c r="JE25">
        <v>37.433799999999998</v>
      </c>
      <c r="JF25">
        <v>16.040800000000001</v>
      </c>
      <c r="JG25">
        <v>18</v>
      </c>
      <c r="JH25">
        <v>501.51100000000002</v>
      </c>
      <c r="JI25">
        <v>473.053</v>
      </c>
      <c r="JJ25">
        <v>21.6983</v>
      </c>
      <c r="JK25">
        <v>28.255700000000001</v>
      </c>
      <c r="JL25">
        <v>30.000499999999999</v>
      </c>
      <c r="JM25">
        <v>28.244499999999999</v>
      </c>
      <c r="JN25">
        <v>28.260200000000001</v>
      </c>
      <c r="JO25">
        <v>43.639000000000003</v>
      </c>
      <c r="JP25">
        <v>22.071000000000002</v>
      </c>
      <c r="JQ25">
        <v>30.297599999999999</v>
      </c>
      <c r="JR25">
        <v>21.6553</v>
      </c>
      <c r="JS25">
        <v>1000</v>
      </c>
      <c r="JT25">
        <v>15.788500000000001</v>
      </c>
      <c r="JU25">
        <v>101.66</v>
      </c>
      <c r="JV25">
        <v>97.3245</v>
      </c>
    </row>
    <row r="26" spans="1:282" x14ac:dyDescent="0.3">
      <c r="A26">
        <v>10</v>
      </c>
      <c r="B26">
        <v>1791617903.0999999</v>
      </c>
      <c r="C26">
        <v>1126</v>
      </c>
      <c r="D26" t="s">
        <v>447</v>
      </c>
      <c r="E26" t="s">
        <v>448</v>
      </c>
      <c r="F26">
        <v>5</v>
      </c>
      <c r="G26">
        <v>1791617900.0999999</v>
      </c>
      <c r="H26">
        <f t="shared" si="0"/>
        <v>3.7879311807472098E-3</v>
      </c>
      <c r="I26">
        <f t="shared" si="1"/>
        <v>3.7879311807472096</v>
      </c>
      <c r="J26">
        <f t="shared" si="2"/>
        <v>31.983830452479605</v>
      </c>
      <c r="K26">
        <f t="shared" si="3"/>
        <v>1185.402</v>
      </c>
      <c r="L26">
        <f t="shared" si="4"/>
        <v>967.41714474584592</v>
      </c>
      <c r="M26">
        <f t="shared" si="5"/>
        <v>97.910648983306487</v>
      </c>
      <c r="N26">
        <f t="shared" si="6"/>
        <v>119.97252659461704</v>
      </c>
      <c r="O26">
        <f t="shared" si="7"/>
        <v>0.2761213430709441</v>
      </c>
      <c r="P26">
        <f t="shared" si="8"/>
        <v>3.0305396098010213</v>
      </c>
      <c r="Q26">
        <f t="shared" si="9"/>
        <v>0.26286723661851186</v>
      </c>
      <c r="R26">
        <f t="shared" si="10"/>
        <v>0.16542982214466728</v>
      </c>
      <c r="S26">
        <f t="shared" si="11"/>
        <v>241.7346086029377</v>
      </c>
      <c r="T26">
        <f t="shared" si="12"/>
        <v>25.528375764530775</v>
      </c>
      <c r="U26">
        <f t="shared" si="13"/>
        <v>25.01736</v>
      </c>
      <c r="V26">
        <f t="shared" si="14"/>
        <v>3.1829700048986354</v>
      </c>
      <c r="W26">
        <f t="shared" si="15"/>
        <v>55.024283027250164</v>
      </c>
      <c r="X26">
        <f t="shared" si="16"/>
        <v>1.7601682763917605</v>
      </c>
      <c r="Y26">
        <f t="shared" si="17"/>
        <v>3.198893614879192</v>
      </c>
      <c r="Z26">
        <f t="shared" si="18"/>
        <v>1.4228017285068748</v>
      </c>
      <c r="AA26">
        <f t="shared" si="19"/>
        <v>-167.04776507095195</v>
      </c>
      <c r="AB26">
        <f t="shared" si="20"/>
        <v>13.681646483886258</v>
      </c>
      <c r="AC26">
        <f t="shared" si="21"/>
        <v>0.95551463183413099</v>
      </c>
      <c r="AD26">
        <f t="shared" si="22"/>
        <v>89.324004647706118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53840.099937638603</v>
      </c>
      <c r="AJ26" t="s">
        <v>416</v>
      </c>
      <c r="AK26" t="s">
        <v>416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416</v>
      </c>
      <c r="AQ26" t="s">
        <v>416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1261.1990394833874</v>
      </c>
      <c r="AW26">
        <f t="shared" si="29"/>
        <v>31.983830452479605</v>
      </c>
      <c r="AX26" t="e">
        <f t="shared" si="30"/>
        <v>#DIV/0!</v>
      </c>
      <c r="AY26">
        <f t="shared" si="31"/>
        <v>2.5359859507648234E-2</v>
      </c>
      <c r="AZ26" t="e">
        <f t="shared" si="32"/>
        <v>#DIV/0!</v>
      </c>
      <c r="BA26" t="e">
        <f t="shared" si="33"/>
        <v>#DIV/0!</v>
      </c>
      <c r="BB26" t="s">
        <v>416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CT26">
        <f t="shared" si="42"/>
        <v>1499.9860000000001</v>
      </c>
      <c r="CU26">
        <f t="shared" si="43"/>
        <v>1261.1990394833874</v>
      </c>
      <c r="CV26">
        <f t="shared" si="44"/>
        <v>0.8408072071895254</v>
      </c>
      <c r="CW26">
        <f t="shared" si="45"/>
        <v>0.16115790987578396</v>
      </c>
      <c r="CX26">
        <v>2</v>
      </c>
      <c r="CY26">
        <v>0.5</v>
      </c>
      <c r="CZ26" t="s">
        <v>417</v>
      </c>
      <c r="DA26">
        <v>2</v>
      </c>
      <c r="DB26">
        <v>1791617900.0999999</v>
      </c>
      <c r="DC26">
        <v>1185.402</v>
      </c>
      <c r="DD26">
        <v>1199.992</v>
      </c>
      <c r="DE26">
        <v>17.391539999999999</v>
      </c>
      <c r="DF26">
        <v>15.90268</v>
      </c>
      <c r="DG26">
        <v>1183.5440000000001</v>
      </c>
      <c r="DH26">
        <v>17.51596</v>
      </c>
      <c r="DI26">
        <v>499.98700000000002</v>
      </c>
      <c r="DJ26">
        <v>101.1086</v>
      </c>
      <c r="DK26">
        <v>9.9704520000000005E-2</v>
      </c>
      <c r="DL26">
        <v>25.101099999999999</v>
      </c>
      <c r="DM26">
        <v>25.01736</v>
      </c>
      <c r="DN26">
        <v>999.9</v>
      </c>
      <c r="DO26">
        <v>0</v>
      </c>
      <c r="DP26">
        <v>0</v>
      </c>
      <c r="DQ26">
        <v>10007.01</v>
      </c>
      <c r="DR26">
        <v>0</v>
      </c>
      <c r="DS26">
        <v>6.3821659999999998</v>
      </c>
      <c r="DT26">
        <v>-14.593819999999999</v>
      </c>
      <c r="DU26">
        <v>1206.3820000000001</v>
      </c>
      <c r="DV26">
        <v>1219.384</v>
      </c>
      <c r="DW26">
        <v>1.488864</v>
      </c>
      <c r="DX26">
        <v>1199.992</v>
      </c>
      <c r="DY26">
        <v>15.90268</v>
      </c>
      <c r="DZ26">
        <v>1.7584340000000001</v>
      </c>
      <c r="EA26">
        <v>1.6079000000000001</v>
      </c>
      <c r="EB26">
        <v>15.42212</v>
      </c>
      <c r="EC26">
        <v>14.03472</v>
      </c>
      <c r="ED26">
        <v>1499.9860000000001</v>
      </c>
      <c r="EE26">
        <v>0.97300279999999995</v>
      </c>
      <c r="EF26">
        <v>2.6997119999999999E-2</v>
      </c>
      <c r="EG26">
        <v>0</v>
      </c>
      <c r="EH26">
        <v>346.29</v>
      </c>
      <c r="EI26">
        <v>5.0006399999999998</v>
      </c>
      <c r="EJ26">
        <v>5355.4219999999996</v>
      </c>
      <c r="EK26">
        <v>15439.08</v>
      </c>
      <c r="EL26">
        <v>40.75</v>
      </c>
      <c r="EM26">
        <v>41.436999999999998</v>
      </c>
      <c r="EN26">
        <v>41.061999999999998</v>
      </c>
      <c r="EO26">
        <v>41.061999999999998</v>
      </c>
      <c r="EP26">
        <v>42.25</v>
      </c>
      <c r="EQ26">
        <v>1454.626</v>
      </c>
      <c r="ER26">
        <v>40.36</v>
      </c>
      <c r="ES26">
        <v>0</v>
      </c>
      <c r="ET26">
        <v>1791617904.3</v>
      </c>
      <c r="EU26">
        <v>0</v>
      </c>
      <c r="EV26">
        <v>346.02452</v>
      </c>
      <c r="EW26">
        <v>3.3506923132331501</v>
      </c>
      <c r="EX26">
        <v>37.590000049483898</v>
      </c>
      <c r="EY26">
        <v>5352.7012000000004</v>
      </c>
      <c r="EZ26">
        <v>15</v>
      </c>
      <c r="FA26">
        <v>1791617838.0999999</v>
      </c>
      <c r="FB26" t="s">
        <v>449</v>
      </c>
      <c r="FC26">
        <v>1791617837.0999999</v>
      </c>
      <c r="FD26">
        <v>1791617838.0999999</v>
      </c>
      <c r="FE26">
        <v>90</v>
      </c>
      <c r="FF26">
        <v>0.59599999999999997</v>
      </c>
      <c r="FG26">
        <v>4.0000000000000001E-3</v>
      </c>
      <c r="FH26">
        <v>1.8680000000000001</v>
      </c>
      <c r="FI26">
        <v>-0.16200000000000001</v>
      </c>
      <c r="FJ26">
        <v>1200</v>
      </c>
      <c r="FK26">
        <v>16</v>
      </c>
      <c r="FL26">
        <v>0.18</v>
      </c>
      <c r="FM26">
        <v>0.02</v>
      </c>
      <c r="FN26">
        <v>32.077869405504998</v>
      </c>
      <c r="FO26">
        <v>0.19187064965268</v>
      </c>
      <c r="FP26">
        <v>0.15654336220756701</v>
      </c>
      <c r="FQ26">
        <v>1</v>
      </c>
      <c r="FR26">
        <v>-14.637740000000001</v>
      </c>
      <c r="FS26">
        <v>6.9221052631565194E-2</v>
      </c>
      <c r="FT26">
        <v>5.7761591044568697E-2</v>
      </c>
      <c r="FU26">
        <v>1</v>
      </c>
      <c r="FV26">
        <v>345.92732352941198</v>
      </c>
      <c r="FW26">
        <v>1.3397555388055999</v>
      </c>
      <c r="FX26">
        <v>0.24842595305693699</v>
      </c>
      <c r="FY26">
        <v>-1</v>
      </c>
      <c r="FZ26">
        <v>2</v>
      </c>
      <c r="GA26">
        <v>2</v>
      </c>
      <c r="GB26" t="s">
        <v>419</v>
      </c>
      <c r="GC26">
        <v>3.1234299999999999</v>
      </c>
      <c r="GD26">
        <v>2.7654299999999998</v>
      </c>
      <c r="GE26">
        <v>0.18379799999999999</v>
      </c>
      <c r="GF26">
        <v>0.19003300000000001</v>
      </c>
      <c r="GG26">
        <v>9.2948000000000003E-2</v>
      </c>
      <c r="GH26">
        <v>9.0099799999999994E-2</v>
      </c>
      <c r="GI26">
        <v>15890.7</v>
      </c>
      <c r="GJ26">
        <v>23783</v>
      </c>
      <c r="GK26">
        <v>22750.5</v>
      </c>
      <c r="GL26">
        <v>30088.7</v>
      </c>
      <c r="GM26">
        <v>33860.400000000001</v>
      </c>
      <c r="GN26">
        <v>34117.699999999997</v>
      </c>
      <c r="GO26">
        <v>43052.5</v>
      </c>
      <c r="GP26">
        <v>42858.6</v>
      </c>
      <c r="GQ26">
        <v>1.9709000000000001</v>
      </c>
      <c r="GR26">
        <v>1.80785</v>
      </c>
      <c r="GS26">
        <v>7.1115800000000007E-2</v>
      </c>
      <c r="GT26">
        <v>0</v>
      </c>
      <c r="GU26">
        <v>23.854700000000001</v>
      </c>
      <c r="GV26">
        <v>999.9</v>
      </c>
      <c r="GW26">
        <v>36.283999999999999</v>
      </c>
      <c r="GX26">
        <v>33.707000000000001</v>
      </c>
      <c r="GY26">
        <v>18.861999999999998</v>
      </c>
      <c r="GZ26">
        <v>63.616599999999998</v>
      </c>
      <c r="HA26">
        <v>33.485599999999998</v>
      </c>
      <c r="HB26">
        <v>1</v>
      </c>
      <c r="HC26">
        <v>8.3887199999999995E-2</v>
      </c>
      <c r="HD26">
        <v>2.4291</v>
      </c>
      <c r="HE26">
        <v>20.215499999999999</v>
      </c>
      <c r="HF26">
        <v>5.2346599999999999</v>
      </c>
      <c r="HG26">
        <v>11.962300000000001</v>
      </c>
      <c r="HH26">
        <v>4.9689500000000004</v>
      </c>
      <c r="HI26">
        <v>3.29535</v>
      </c>
      <c r="HJ26">
        <v>9999</v>
      </c>
      <c r="HK26">
        <v>9999</v>
      </c>
      <c r="HL26">
        <v>999.9</v>
      </c>
      <c r="HM26">
        <v>9999</v>
      </c>
      <c r="HN26">
        <v>4.9686199999999996</v>
      </c>
      <c r="HO26">
        <v>1.8626400000000001</v>
      </c>
      <c r="HP26">
        <v>1.8641700000000001</v>
      </c>
      <c r="HQ26">
        <v>1.8660399999999999</v>
      </c>
      <c r="HR26">
        <v>1.8631</v>
      </c>
      <c r="HS26">
        <v>1.86676</v>
      </c>
      <c r="HT26">
        <v>1.86355</v>
      </c>
      <c r="HU26">
        <v>1.8653900000000001</v>
      </c>
      <c r="HV26">
        <v>0</v>
      </c>
      <c r="HW26">
        <v>0</v>
      </c>
      <c r="HX26">
        <v>0</v>
      </c>
      <c r="HY26">
        <v>0</v>
      </c>
      <c r="HZ26" t="s">
        <v>420</v>
      </c>
      <c r="IA26" t="s">
        <v>421</v>
      </c>
      <c r="IB26" t="s">
        <v>422</v>
      </c>
      <c r="IC26" t="s">
        <v>422</v>
      </c>
      <c r="ID26" t="s">
        <v>422</v>
      </c>
      <c r="IE26" t="s">
        <v>422</v>
      </c>
      <c r="IF26">
        <v>0</v>
      </c>
      <c r="IG26">
        <v>100</v>
      </c>
      <c r="IH26">
        <v>100</v>
      </c>
      <c r="II26">
        <v>1.86</v>
      </c>
      <c r="IJ26">
        <v>-0.1245</v>
      </c>
      <c r="IK26">
        <v>1.16201448912992</v>
      </c>
      <c r="IL26">
        <v>1.61658254425633E-3</v>
      </c>
      <c r="IM26">
        <v>-1.89604851270483E-6</v>
      </c>
      <c r="IN26">
        <v>8.6681353432279101E-10</v>
      </c>
      <c r="IO26">
        <v>-5.4377126939845699E-2</v>
      </c>
      <c r="IP26">
        <v>-3.5871989026399903E-2</v>
      </c>
      <c r="IQ26">
        <v>1.9028800927848801E-3</v>
      </c>
      <c r="IR26">
        <v>-4.7539144078026999E-6</v>
      </c>
      <c r="IS26">
        <v>1</v>
      </c>
      <c r="IT26">
        <v>1704</v>
      </c>
      <c r="IU26">
        <v>4</v>
      </c>
      <c r="IV26">
        <v>25</v>
      </c>
      <c r="IW26">
        <v>1.1000000000000001</v>
      </c>
      <c r="IX26">
        <v>1.1000000000000001</v>
      </c>
      <c r="IY26">
        <v>2.52319</v>
      </c>
      <c r="IZ26">
        <v>2.5500500000000001</v>
      </c>
      <c r="JA26">
        <v>1.3464400000000001</v>
      </c>
      <c r="JB26">
        <v>2.2583000000000002</v>
      </c>
      <c r="JC26">
        <v>1.5502899999999999</v>
      </c>
      <c r="JD26">
        <v>2.7002000000000002</v>
      </c>
      <c r="JE26">
        <v>37.361800000000002</v>
      </c>
      <c r="JF26">
        <v>16.0321</v>
      </c>
      <c r="JG26">
        <v>18</v>
      </c>
      <c r="JH26">
        <v>501.48399999999998</v>
      </c>
      <c r="JI26">
        <v>473.84300000000002</v>
      </c>
      <c r="JJ26">
        <v>21.352799999999998</v>
      </c>
      <c r="JK26">
        <v>28.276900000000001</v>
      </c>
      <c r="JL26">
        <v>30.0002</v>
      </c>
      <c r="JM26">
        <v>28.261299999999999</v>
      </c>
      <c r="JN26">
        <v>28.275400000000001</v>
      </c>
      <c r="JO26">
        <v>50.504100000000001</v>
      </c>
      <c r="JP26">
        <v>21.712399999999999</v>
      </c>
      <c r="JQ26">
        <v>30.476500000000001</v>
      </c>
      <c r="JR26">
        <v>21.3443</v>
      </c>
      <c r="JS26">
        <v>1200</v>
      </c>
      <c r="JT26">
        <v>15.9017</v>
      </c>
      <c r="JU26">
        <v>101.652</v>
      </c>
      <c r="JV26">
        <v>97.317899999999995</v>
      </c>
    </row>
    <row r="27" spans="1:282" x14ac:dyDescent="0.3">
      <c r="A27">
        <v>11</v>
      </c>
      <c r="B27">
        <v>1791618025</v>
      </c>
      <c r="C27">
        <v>1247.9000000953699</v>
      </c>
      <c r="D27" t="s">
        <v>450</v>
      </c>
      <c r="E27" t="s">
        <v>451</v>
      </c>
      <c r="F27">
        <v>5</v>
      </c>
      <c r="G27">
        <v>1791618022</v>
      </c>
      <c r="H27">
        <f t="shared" si="0"/>
        <v>3.1937012908845011E-3</v>
      </c>
      <c r="I27">
        <f t="shared" si="1"/>
        <v>3.1937012908845013</v>
      </c>
      <c r="J27">
        <f t="shared" si="2"/>
        <v>32.522838186179492</v>
      </c>
      <c r="K27">
        <f t="shared" si="3"/>
        <v>1485.0440000000001</v>
      </c>
      <c r="L27">
        <f t="shared" si="4"/>
        <v>1219.1194040213295</v>
      </c>
      <c r="M27">
        <f t="shared" si="5"/>
        <v>123.3920428657173</v>
      </c>
      <c r="N27">
        <f t="shared" si="6"/>
        <v>150.30735488340264</v>
      </c>
      <c r="O27">
        <f t="shared" si="7"/>
        <v>0.22963237147368992</v>
      </c>
      <c r="P27">
        <f t="shared" si="8"/>
        <v>3.0296753366347415</v>
      </c>
      <c r="Q27">
        <f t="shared" si="9"/>
        <v>0.22038273904506514</v>
      </c>
      <c r="R27">
        <f t="shared" si="10"/>
        <v>0.13853920931115066</v>
      </c>
      <c r="S27">
        <f t="shared" si="11"/>
        <v>241.73397020293498</v>
      </c>
      <c r="T27">
        <f t="shared" si="12"/>
        <v>25.585120630094082</v>
      </c>
      <c r="U27">
        <f t="shared" si="13"/>
        <v>25.01322</v>
      </c>
      <c r="V27">
        <f t="shared" si="14"/>
        <v>3.1821845618212539</v>
      </c>
      <c r="W27">
        <f t="shared" si="15"/>
        <v>55.04859029890747</v>
      </c>
      <c r="X27">
        <f t="shared" si="16"/>
        <v>1.751175562465602</v>
      </c>
      <c r="Y27">
        <f t="shared" si="17"/>
        <v>3.1811451536849922</v>
      </c>
      <c r="Z27">
        <f t="shared" si="18"/>
        <v>1.4310089993556518</v>
      </c>
      <c r="AA27">
        <f t="shared" si="19"/>
        <v>-140.84222692800651</v>
      </c>
      <c r="AB27">
        <f t="shared" si="20"/>
        <v>-0.89508049498296516</v>
      </c>
      <c r="AC27">
        <f t="shared" si="21"/>
        <v>-6.249882041069612E-2</v>
      </c>
      <c r="AD27">
        <f t="shared" si="22"/>
        <v>99.934163959534814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53830.11168765289</v>
      </c>
      <c r="AJ27" t="s">
        <v>416</v>
      </c>
      <c r="AK27" t="s">
        <v>416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416</v>
      </c>
      <c r="AQ27" t="s">
        <v>416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1261.1956794833861</v>
      </c>
      <c r="AW27">
        <f t="shared" si="29"/>
        <v>32.522838186179492</v>
      </c>
      <c r="AX27" t="e">
        <f t="shared" si="30"/>
        <v>#DIV/0!</v>
      </c>
      <c r="AY27">
        <f t="shared" si="31"/>
        <v>2.5787305423930387E-2</v>
      </c>
      <c r="AZ27" t="e">
        <f t="shared" si="32"/>
        <v>#DIV/0!</v>
      </c>
      <c r="BA27" t="e">
        <f t="shared" si="33"/>
        <v>#DIV/0!</v>
      </c>
      <c r="BB27" t="s">
        <v>416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CT27">
        <f t="shared" si="42"/>
        <v>1499.982</v>
      </c>
      <c r="CU27">
        <f t="shared" si="43"/>
        <v>1261.1956794833861</v>
      </c>
      <c r="CV27">
        <f t="shared" si="44"/>
        <v>0.84080720934210285</v>
      </c>
      <c r="CW27">
        <f t="shared" si="45"/>
        <v>0.16115791403025836</v>
      </c>
      <c r="CX27">
        <v>2</v>
      </c>
      <c r="CY27">
        <v>0.5</v>
      </c>
      <c r="CZ27" t="s">
        <v>417</v>
      </c>
      <c r="DA27">
        <v>2</v>
      </c>
      <c r="DB27">
        <v>1791618022</v>
      </c>
      <c r="DC27">
        <v>1485.0440000000001</v>
      </c>
      <c r="DD27">
        <v>1499.9459999999999</v>
      </c>
      <c r="DE27">
        <v>17.3017</v>
      </c>
      <c r="DF27">
        <v>16.046679999999999</v>
      </c>
      <c r="DG27">
        <v>1482.692</v>
      </c>
      <c r="DH27">
        <v>17.4268</v>
      </c>
      <c r="DI27">
        <v>500.14260000000002</v>
      </c>
      <c r="DJ27">
        <v>101.114</v>
      </c>
      <c r="DK27">
        <v>0.10007505999999999</v>
      </c>
      <c r="DL27">
        <v>25.007739999999998</v>
      </c>
      <c r="DM27">
        <v>25.01322</v>
      </c>
      <c r="DN27">
        <v>999.9</v>
      </c>
      <c r="DO27">
        <v>0</v>
      </c>
      <c r="DP27">
        <v>0</v>
      </c>
      <c r="DQ27">
        <v>10001.25</v>
      </c>
      <c r="DR27">
        <v>0</v>
      </c>
      <c r="DS27">
        <v>6.32897</v>
      </c>
      <c r="DT27">
        <v>-14.898440000000001</v>
      </c>
      <c r="DU27">
        <v>1511.19</v>
      </c>
      <c r="DV27">
        <v>1524.404</v>
      </c>
      <c r="DW27">
        <v>1.2550140000000001</v>
      </c>
      <c r="DX27">
        <v>1499.9459999999999</v>
      </c>
      <c r="DY27">
        <v>16.046679999999999</v>
      </c>
      <c r="DZ27">
        <v>1.7494400000000001</v>
      </c>
      <c r="EA27">
        <v>1.6225419999999999</v>
      </c>
      <c r="EB27">
        <v>15.342219999999999</v>
      </c>
      <c r="EC27">
        <v>14.17456</v>
      </c>
      <c r="ED27">
        <v>1499.982</v>
      </c>
      <c r="EE27">
        <v>0.97300359999999997</v>
      </c>
      <c r="EF27">
        <v>2.6996300000000001E-2</v>
      </c>
      <c r="EG27">
        <v>0</v>
      </c>
      <c r="EH27">
        <v>345.95940000000002</v>
      </c>
      <c r="EI27">
        <v>5.0006399999999998</v>
      </c>
      <c r="EJ27">
        <v>5352.2780000000002</v>
      </c>
      <c r="EK27">
        <v>15439.04</v>
      </c>
      <c r="EL27">
        <v>40.686999999999998</v>
      </c>
      <c r="EM27">
        <v>41.436999999999998</v>
      </c>
      <c r="EN27">
        <v>41.049599999999998</v>
      </c>
      <c r="EO27">
        <v>41.061999999999998</v>
      </c>
      <c r="EP27">
        <v>42.25</v>
      </c>
      <c r="EQ27">
        <v>1454.6220000000001</v>
      </c>
      <c r="ER27">
        <v>40.36</v>
      </c>
      <c r="ES27">
        <v>0</v>
      </c>
      <c r="ET27">
        <v>1791618026.0999999</v>
      </c>
      <c r="EU27">
        <v>0</v>
      </c>
      <c r="EV27">
        <v>346.01169230769199</v>
      </c>
      <c r="EW27">
        <v>-1.2062905976973499</v>
      </c>
      <c r="EX27">
        <v>-11.895726479927999</v>
      </c>
      <c r="EY27">
        <v>5353.8188461538502</v>
      </c>
      <c r="EZ27">
        <v>15</v>
      </c>
      <c r="FA27">
        <v>1791617972</v>
      </c>
      <c r="FB27" t="s">
        <v>452</v>
      </c>
      <c r="FC27">
        <v>1791617972</v>
      </c>
      <c r="FD27">
        <v>1791617959</v>
      </c>
      <c r="FE27">
        <v>91</v>
      </c>
      <c r="FF27">
        <v>0.13500000000000001</v>
      </c>
      <c r="FG27">
        <v>2E-3</v>
      </c>
      <c r="FH27">
        <v>2.379</v>
      </c>
      <c r="FI27">
        <v>-0.158</v>
      </c>
      <c r="FJ27">
        <v>1500</v>
      </c>
      <c r="FK27">
        <v>16</v>
      </c>
      <c r="FL27">
        <v>0.14000000000000001</v>
      </c>
      <c r="FM27">
        <v>0.05</v>
      </c>
      <c r="FN27">
        <v>32.552932896072797</v>
      </c>
      <c r="FO27">
        <v>-0.60079911781539797</v>
      </c>
      <c r="FP27">
        <v>0.22247898715874101</v>
      </c>
      <c r="FQ27">
        <v>0</v>
      </c>
      <c r="FR27">
        <v>-14.9498523809524</v>
      </c>
      <c r="FS27">
        <v>0.51033506493505598</v>
      </c>
      <c r="FT27">
        <v>9.8243921993255004E-2</v>
      </c>
      <c r="FU27">
        <v>0</v>
      </c>
      <c r="FV27">
        <v>346.002264705882</v>
      </c>
      <c r="FW27">
        <v>7.4056532107563605E-2</v>
      </c>
      <c r="FX27">
        <v>0.194372036966034</v>
      </c>
      <c r="FY27">
        <v>-1</v>
      </c>
      <c r="FZ27">
        <v>0</v>
      </c>
      <c r="GA27">
        <v>2</v>
      </c>
      <c r="GB27" t="s">
        <v>453</v>
      </c>
      <c r="GC27">
        <v>3.12358</v>
      </c>
      <c r="GD27">
        <v>2.7653699999999999</v>
      </c>
      <c r="GE27">
        <v>0.210229</v>
      </c>
      <c r="GF27">
        <v>0.21696599999999999</v>
      </c>
      <c r="GG27">
        <v>9.2567499999999997E-2</v>
      </c>
      <c r="GH27">
        <v>9.0689800000000001E-2</v>
      </c>
      <c r="GI27">
        <v>15375.7</v>
      </c>
      <c r="GJ27">
        <v>22992.6</v>
      </c>
      <c r="GK27">
        <v>22750.1</v>
      </c>
      <c r="GL27">
        <v>30089.4</v>
      </c>
      <c r="GM27">
        <v>33876.199999999997</v>
      </c>
      <c r="GN27">
        <v>34098</v>
      </c>
      <c r="GO27">
        <v>43052</v>
      </c>
      <c r="GP27">
        <v>42859.5</v>
      </c>
      <c r="GQ27">
        <v>1.97092</v>
      </c>
      <c r="GR27">
        <v>1.80887</v>
      </c>
      <c r="GS27">
        <v>7.4643600000000004E-2</v>
      </c>
      <c r="GT27">
        <v>0</v>
      </c>
      <c r="GU27">
        <v>23.7851</v>
      </c>
      <c r="GV27">
        <v>999.9</v>
      </c>
      <c r="GW27">
        <v>36.387</v>
      </c>
      <c r="GX27">
        <v>33.686999999999998</v>
      </c>
      <c r="GY27">
        <v>18.8947</v>
      </c>
      <c r="GZ27">
        <v>63.506599999999999</v>
      </c>
      <c r="HA27">
        <v>33.401400000000002</v>
      </c>
      <c r="HB27">
        <v>1</v>
      </c>
      <c r="HC27">
        <v>8.4781499999999996E-2</v>
      </c>
      <c r="HD27">
        <v>2.4618500000000001</v>
      </c>
      <c r="HE27">
        <v>20.2148</v>
      </c>
      <c r="HF27">
        <v>5.2337600000000002</v>
      </c>
      <c r="HG27">
        <v>11.962199999999999</v>
      </c>
      <c r="HH27">
        <v>4.9678000000000004</v>
      </c>
      <c r="HI27">
        <v>3.2951999999999999</v>
      </c>
      <c r="HJ27">
        <v>9999</v>
      </c>
      <c r="HK27">
        <v>9999</v>
      </c>
      <c r="HL27">
        <v>999.9</v>
      </c>
      <c r="HM27">
        <v>9999</v>
      </c>
      <c r="HN27">
        <v>4.9685899999999998</v>
      </c>
      <c r="HO27">
        <v>1.8626400000000001</v>
      </c>
      <c r="HP27">
        <v>1.8641700000000001</v>
      </c>
      <c r="HQ27">
        <v>1.8660399999999999</v>
      </c>
      <c r="HR27">
        <v>1.8630800000000001</v>
      </c>
      <c r="HS27">
        <v>1.86676</v>
      </c>
      <c r="HT27">
        <v>1.86354</v>
      </c>
      <c r="HU27">
        <v>1.8653900000000001</v>
      </c>
      <c r="HV27">
        <v>0</v>
      </c>
      <c r="HW27">
        <v>0</v>
      </c>
      <c r="HX27">
        <v>0</v>
      </c>
      <c r="HY27">
        <v>0</v>
      </c>
      <c r="HZ27" t="s">
        <v>420</v>
      </c>
      <c r="IA27" t="s">
        <v>421</v>
      </c>
      <c r="IB27" t="s">
        <v>422</v>
      </c>
      <c r="IC27" t="s">
        <v>422</v>
      </c>
      <c r="ID27" t="s">
        <v>422</v>
      </c>
      <c r="IE27" t="s">
        <v>422</v>
      </c>
      <c r="IF27">
        <v>0</v>
      </c>
      <c r="IG27">
        <v>100</v>
      </c>
      <c r="IH27">
        <v>100</v>
      </c>
      <c r="II27">
        <v>2.35</v>
      </c>
      <c r="IJ27">
        <v>-0.12540000000000001</v>
      </c>
      <c r="IK27">
        <v>1.2984152304588299</v>
      </c>
      <c r="IL27">
        <v>1.61658254425633E-3</v>
      </c>
      <c r="IM27">
        <v>-1.89604851270483E-6</v>
      </c>
      <c r="IN27">
        <v>8.6681353432279101E-10</v>
      </c>
      <c r="IO27">
        <v>-5.2726599080696698E-2</v>
      </c>
      <c r="IP27">
        <v>-3.5871989026399903E-2</v>
      </c>
      <c r="IQ27">
        <v>1.9028800927848801E-3</v>
      </c>
      <c r="IR27">
        <v>-4.7539144078026999E-6</v>
      </c>
      <c r="IS27">
        <v>1</v>
      </c>
      <c r="IT27">
        <v>1704</v>
      </c>
      <c r="IU27">
        <v>4</v>
      </c>
      <c r="IV27">
        <v>25</v>
      </c>
      <c r="IW27">
        <v>0.9</v>
      </c>
      <c r="IX27">
        <v>1.1000000000000001</v>
      </c>
      <c r="IY27">
        <v>3.0139200000000002</v>
      </c>
      <c r="IZ27">
        <v>2.5341800000000001</v>
      </c>
      <c r="JA27">
        <v>1.3464400000000001</v>
      </c>
      <c r="JB27">
        <v>2.2583000000000002</v>
      </c>
      <c r="JC27">
        <v>1.5502899999999999</v>
      </c>
      <c r="JD27">
        <v>2.7014200000000002</v>
      </c>
      <c r="JE27">
        <v>37.289900000000003</v>
      </c>
      <c r="JF27">
        <v>16.023299999999999</v>
      </c>
      <c r="JG27">
        <v>18</v>
      </c>
      <c r="JH27">
        <v>501.61599999999999</v>
      </c>
      <c r="JI27">
        <v>474.65800000000002</v>
      </c>
      <c r="JJ27">
        <v>21.257899999999999</v>
      </c>
      <c r="JK27">
        <v>28.291399999999999</v>
      </c>
      <c r="JL27">
        <v>30.0002</v>
      </c>
      <c r="JM27">
        <v>28.274699999999999</v>
      </c>
      <c r="JN27">
        <v>28.287400000000002</v>
      </c>
      <c r="JO27">
        <v>60.326599999999999</v>
      </c>
      <c r="JP27">
        <v>20.7974</v>
      </c>
      <c r="JQ27">
        <v>30.8263</v>
      </c>
      <c r="JR27">
        <v>21.246700000000001</v>
      </c>
      <c r="JS27">
        <v>1500</v>
      </c>
      <c r="JT27">
        <v>16.060700000000001</v>
      </c>
      <c r="JU27">
        <v>101.65</v>
      </c>
      <c r="JV27">
        <v>97.319900000000004</v>
      </c>
    </row>
    <row r="28" spans="1:282" x14ac:dyDescent="0.3">
      <c r="A28">
        <v>12</v>
      </c>
      <c r="B28">
        <v>1791618157</v>
      </c>
      <c r="C28">
        <v>1379.9000000953699</v>
      </c>
      <c r="D28" t="s">
        <v>454</v>
      </c>
      <c r="E28" t="s">
        <v>455</v>
      </c>
      <c r="F28">
        <v>5</v>
      </c>
      <c r="G28">
        <v>1791618154</v>
      </c>
      <c r="H28">
        <f t="shared" si="0"/>
        <v>2.7217711438957039E-3</v>
      </c>
      <c r="I28">
        <f t="shared" si="1"/>
        <v>2.7217711438957037</v>
      </c>
      <c r="J28">
        <f t="shared" si="2"/>
        <v>32.835958010026928</v>
      </c>
      <c r="K28">
        <f t="shared" si="3"/>
        <v>1784.982</v>
      </c>
      <c r="L28">
        <f t="shared" si="4"/>
        <v>1466.9460481688316</v>
      </c>
      <c r="M28">
        <f t="shared" si="5"/>
        <v>148.48171090121937</v>
      </c>
      <c r="N28">
        <f t="shared" si="6"/>
        <v>180.67275317911151</v>
      </c>
      <c r="O28">
        <f t="shared" si="7"/>
        <v>0.19312549062499165</v>
      </c>
      <c r="P28">
        <f t="shared" si="8"/>
        <v>3.0313761230791232</v>
      </c>
      <c r="Q28">
        <f t="shared" si="9"/>
        <v>0.18654126519682757</v>
      </c>
      <c r="R28">
        <f t="shared" si="10"/>
        <v>0.11716115664675839</v>
      </c>
      <c r="S28">
        <f t="shared" si="11"/>
        <v>241.73397020293498</v>
      </c>
      <c r="T28">
        <f t="shared" si="12"/>
        <v>25.599426150981614</v>
      </c>
      <c r="U28">
        <f t="shared" si="13"/>
        <v>25.011420000000001</v>
      </c>
      <c r="V28">
        <f t="shared" si="14"/>
        <v>3.1818431176632314</v>
      </c>
      <c r="W28">
        <f t="shared" si="15"/>
        <v>55.067936050983988</v>
      </c>
      <c r="X28">
        <f t="shared" si="16"/>
        <v>1.7409093529622819</v>
      </c>
      <c r="Y28">
        <f t="shared" si="17"/>
        <v>3.1613847872389509</v>
      </c>
      <c r="Z28">
        <f t="shared" si="18"/>
        <v>1.4409337647009495</v>
      </c>
      <c r="AA28">
        <f t="shared" si="19"/>
        <v>-120.03010744580054</v>
      </c>
      <c r="AB28">
        <f t="shared" si="20"/>
        <v>-17.676323759051552</v>
      </c>
      <c r="AC28">
        <f t="shared" si="21"/>
        <v>-1.2328936322469815</v>
      </c>
      <c r="AD28">
        <f t="shared" si="22"/>
        <v>102.79464536583592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53902.191027329769</v>
      </c>
      <c r="AJ28" t="s">
        <v>416</v>
      </c>
      <c r="AK28" t="s">
        <v>416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416</v>
      </c>
      <c r="AQ28" t="s">
        <v>416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1261.1956794833861</v>
      </c>
      <c r="AW28">
        <f t="shared" si="29"/>
        <v>32.835958010026928</v>
      </c>
      <c r="AX28" t="e">
        <f t="shared" si="30"/>
        <v>#DIV/0!</v>
      </c>
      <c r="AY28">
        <f t="shared" si="31"/>
        <v>2.6035577622242782E-2</v>
      </c>
      <c r="AZ28" t="e">
        <f t="shared" si="32"/>
        <v>#DIV/0!</v>
      </c>
      <c r="BA28" t="e">
        <f t="shared" si="33"/>
        <v>#DIV/0!</v>
      </c>
      <c r="BB28" t="s">
        <v>416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CT28">
        <f t="shared" si="42"/>
        <v>1499.982</v>
      </c>
      <c r="CU28">
        <f t="shared" si="43"/>
        <v>1261.1956794833861</v>
      </c>
      <c r="CV28">
        <f t="shared" si="44"/>
        <v>0.84080720934210285</v>
      </c>
      <c r="CW28">
        <f t="shared" si="45"/>
        <v>0.16115791403025836</v>
      </c>
      <c r="CX28">
        <v>2</v>
      </c>
      <c r="CY28">
        <v>0.5</v>
      </c>
      <c r="CZ28" t="s">
        <v>417</v>
      </c>
      <c r="DA28">
        <v>2</v>
      </c>
      <c r="DB28">
        <v>1791618154</v>
      </c>
      <c r="DC28">
        <v>1784.982</v>
      </c>
      <c r="DD28">
        <v>1800.056</v>
      </c>
      <c r="DE28">
        <v>17.199560000000002</v>
      </c>
      <c r="DF28">
        <v>16.129840000000002</v>
      </c>
      <c r="DG28">
        <v>1782.03</v>
      </c>
      <c r="DH28">
        <v>17.324359999999999</v>
      </c>
      <c r="DI28">
        <v>500.12299999999999</v>
      </c>
      <c r="DJ28">
        <v>101.1182</v>
      </c>
      <c r="DK28">
        <v>0.10004936</v>
      </c>
      <c r="DL28">
        <v>24.90326</v>
      </c>
      <c r="DM28">
        <v>25.011420000000001</v>
      </c>
      <c r="DN28">
        <v>999.9</v>
      </c>
      <c r="DO28">
        <v>0</v>
      </c>
      <c r="DP28">
        <v>0</v>
      </c>
      <c r="DQ28">
        <v>10011.120000000001</v>
      </c>
      <c r="DR28">
        <v>0</v>
      </c>
      <c r="DS28">
        <v>6.32897</v>
      </c>
      <c r="DT28">
        <v>-15.072699999999999</v>
      </c>
      <c r="DU28">
        <v>1816.22</v>
      </c>
      <c r="DV28">
        <v>1829.566</v>
      </c>
      <c r="DW28">
        <v>1.0697479999999999</v>
      </c>
      <c r="DX28">
        <v>1800.056</v>
      </c>
      <c r="DY28">
        <v>16.129840000000002</v>
      </c>
      <c r="DZ28">
        <v>1.7391939999999999</v>
      </c>
      <c r="EA28">
        <v>1.6310199999999999</v>
      </c>
      <c r="EB28">
        <v>15.250719999999999</v>
      </c>
      <c r="EC28">
        <v>14.255039999999999</v>
      </c>
      <c r="ED28">
        <v>1499.982</v>
      </c>
      <c r="EE28">
        <v>0.97300439999999999</v>
      </c>
      <c r="EF28">
        <v>2.6995499999999999E-2</v>
      </c>
      <c r="EG28">
        <v>0</v>
      </c>
      <c r="EH28">
        <v>347.01299999999998</v>
      </c>
      <c r="EI28">
        <v>5.0006399999999998</v>
      </c>
      <c r="EJ28">
        <v>5364.1180000000004</v>
      </c>
      <c r="EK28">
        <v>15439.06</v>
      </c>
      <c r="EL28">
        <v>40.686999999999998</v>
      </c>
      <c r="EM28">
        <v>41.424599999999998</v>
      </c>
      <c r="EN28">
        <v>41.061999999999998</v>
      </c>
      <c r="EO28">
        <v>41.061999999999998</v>
      </c>
      <c r="EP28">
        <v>42.25</v>
      </c>
      <c r="EQ28">
        <v>1454.6220000000001</v>
      </c>
      <c r="ER28">
        <v>40.36</v>
      </c>
      <c r="ES28">
        <v>0</v>
      </c>
      <c r="ET28">
        <v>1791618158.0999999</v>
      </c>
      <c r="EU28">
        <v>0</v>
      </c>
      <c r="EV28">
        <v>346.67119230769202</v>
      </c>
      <c r="EW28">
        <v>1.44235899379201</v>
      </c>
      <c r="EX28">
        <v>9.3466666599865995</v>
      </c>
      <c r="EY28">
        <v>5363.2257692307703</v>
      </c>
      <c r="EZ28">
        <v>15</v>
      </c>
      <c r="FA28">
        <v>1791618096</v>
      </c>
      <c r="FB28" t="s">
        <v>456</v>
      </c>
      <c r="FC28">
        <v>1791618096</v>
      </c>
      <c r="FD28">
        <v>1791618084</v>
      </c>
      <c r="FE28">
        <v>92</v>
      </c>
      <c r="FF28">
        <v>-0.38400000000000001</v>
      </c>
      <c r="FG28">
        <v>3.0000000000000001E-3</v>
      </c>
      <c r="FH28">
        <v>2.7269999999999999</v>
      </c>
      <c r="FI28">
        <v>-0.151</v>
      </c>
      <c r="FJ28">
        <v>1800</v>
      </c>
      <c r="FK28">
        <v>16</v>
      </c>
      <c r="FL28">
        <v>0.12</v>
      </c>
      <c r="FM28">
        <v>0.05</v>
      </c>
      <c r="FN28">
        <v>32.487874335583797</v>
      </c>
      <c r="FO28">
        <v>-0.56624820306614299</v>
      </c>
      <c r="FP28">
        <v>0.26522089477677602</v>
      </c>
      <c r="FQ28">
        <v>1</v>
      </c>
      <c r="FR28">
        <v>-14.96142</v>
      </c>
      <c r="FS28">
        <v>0.104472180451104</v>
      </c>
      <c r="FT28">
        <v>0.118002722849941</v>
      </c>
      <c r="FU28">
        <v>1</v>
      </c>
      <c r="FV28">
        <v>346.58170588235299</v>
      </c>
      <c r="FW28">
        <v>1.94395722769624</v>
      </c>
      <c r="FX28">
        <v>0.28480514798426199</v>
      </c>
      <c r="FY28">
        <v>-1</v>
      </c>
      <c r="FZ28">
        <v>2</v>
      </c>
      <c r="GA28">
        <v>2</v>
      </c>
      <c r="GB28" t="s">
        <v>419</v>
      </c>
      <c r="GC28">
        <v>3.12358</v>
      </c>
      <c r="GD28">
        <v>2.7652600000000001</v>
      </c>
      <c r="GE28">
        <v>0.23355600000000001</v>
      </c>
      <c r="GF28">
        <v>0.24074699999999999</v>
      </c>
      <c r="GG28">
        <v>9.2199699999999996E-2</v>
      </c>
      <c r="GH28">
        <v>9.1019299999999997E-2</v>
      </c>
      <c r="GI28">
        <v>14921.5</v>
      </c>
      <c r="GJ28">
        <v>22293.9</v>
      </c>
      <c r="GK28">
        <v>22749.8</v>
      </c>
      <c r="GL28">
        <v>30088.7</v>
      </c>
      <c r="GM28">
        <v>33891.1</v>
      </c>
      <c r="GN28">
        <v>34086.300000000003</v>
      </c>
      <c r="GO28">
        <v>43051.199999999997</v>
      </c>
      <c r="GP28">
        <v>42858.3</v>
      </c>
      <c r="GQ28">
        <v>1.97095</v>
      </c>
      <c r="GR28">
        <v>1.8102499999999999</v>
      </c>
      <c r="GS28">
        <v>7.9486500000000002E-2</v>
      </c>
      <c r="GT28">
        <v>0</v>
      </c>
      <c r="GU28">
        <v>23.694700000000001</v>
      </c>
      <c r="GV28">
        <v>999.9</v>
      </c>
      <c r="GW28">
        <v>36.570999999999998</v>
      </c>
      <c r="GX28">
        <v>33.616</v>
      </c>
      <c r="GY28">
        <v>18.914999999999999</v>
      </c>
      <c r="GZ28">
        <v>63.146599999999999</v>
      </c>
      <c r="HA28">
        <v>33.361400000000003</v>
      </c>
      <c r="HB28">
        <v>1</v>
      </c>
      <c r="HC28">
        <v>8.3780499999999994E-2</v>
      </c>
      <c r="HD28">
        <v>2.3876400000000002</v>
      </c>
      <c r="HE28">
        <v>20.216200000000001</v>
      </c>
      <c r="HF28">
        <v>5.22912</v>
      </c>
      <c r="HG28">
        <v>11.962300000000001</v>
      </c>
      <c r="HH28">
        <v>4.9694000000000003</v>
      </c>
      <c r="HI28">
        <v>3.29548</v>
      </c>
      <c r="HJ28">
        <v>9999</v>
      </c>
      <c r="HK28">
        <v>9999</v>
      </c>
      <c r="HL28">
        <v>999.9</v>
      </c>
      <c r="HM28">
        <v>9999</v>
      </c>
      <c r="HN28">
        <v>4.9686199999999996</v>
      </c>
      <c r="HO28">
        <v>1.8626400000000001</v>
      </c>
      <c r="HP28">
        <v>1.8641700000000001</v>
      </c>
      <c r="HQ28">
        <v>1.8660099999999999</v>
      </c>
      <c r="HR28">
        <v>1.8630599999999999</v>
      </c>
      <c r="HS28">
        <v>1.8667499999999999</v>
      </c>
      <c r="HT28">
        <v>1.8634999999999999</v>
      </c>
      <c r="HU28">
        <v>1.8653900000000001</v>
      </c>
      <c r="HV28">
        <v>0</v>
      </c>
      <c r="HW28">
        <v>0</v>
      </c>
      <c r="HX28">
        <v>0</v>
      </c>
      <c r="HY28">
        <v>0</v>
      </c>
      <c r="HZ28" t="s">
        <v>420</v>
      </c>
      <c r="IA28" t="s">
        <v>421</v>
      </c>
      <c r="IB28" t="s">
        <v>422</v>
      </c>
      <c r="IC28" t="s">
        <v>422</v>
      </c>
      <c r="ID28" t="s">
        <v>422</v>
      </c>
      <c r="IE28" t="s">
        <v>422</v>
      </c>
      <c r="IF28">
        <v>0</v>
      </c>
      <c r="IG28">
        <v>100</v>
      </c>
      <c r="IH28">
        <v>100</v>
      </c>
      <c r="II28">
        <v>2.96</v>
      </c>
      <c r="IJ28">
        <v>-0.1249</v>
      </c>
      <c r="IK28">
        <v>1.18960481970331</v>
      </c>
      <c r="IL28">
        <v>1.61658254425633E-3</v>
      </c>
      <c r="IM28">
        <v>-1.89604851270483E-6</v>
      </c>
      <c r="IN28">
        <v>8.6681353432279101E-10</v>
      </c>
      <c r="IO28">
        <v>-4.9750736029395802E-2</v>
      </c>
      <c r="IP28">
        <v>-3.5871989026399903E-2</v>
      </c>
      <c r="IQ28">
        <v>1.9028800927848801E-3</v>
      </c>
      <c r="IR28">
        <v>-4.7539144078026999E-6</v>
      </c>
      <c r="IS28">
        <v>1</v>
      </c>
      <c r="IT28">
        <v>1704</v>
      </c>
      <c r="IU28">
        <v>4</v>
      </c>
      <c r="IV28">
        <v>25</v>
      </c>
      <c r="IW28">
        <v>1</v>
      </c>
      <c r="IX28">
        <v>1.2</v>
      </c>
      <c r="IY28">
        <v>3.4777800000000001</v>
      </c>
      <c r="IZ28">
        <v>2.51831</v>
      </c>
      <c r="JA28">
        <v>1.3464400000000001</v>
      </c>
      <c r="JB28">
        <v>2.2583000000000002</v>
      </c>
      <c r="JC28">
        <v>1.5502899999999999</v>
      </c>
      <c r="JD28">
        <v>2.4877899999999999</v>
      </c>
      <c r="JE28">
        <v>37.241999999999997</v>
      </c>
      <c r="JF28">
        <v>16.005800000000001</v>
      </c>
      <c r="JG28">
        <v>18</v>
      </c>
      <c r="JH28">
        <v>501.62599999999998</v>
      </c>
      <c r="JI28">
        <v>475.61</v>
      </c>
      <c r="JJ28">
        <v>21.210799999999999</v>
      </c>
      <c r="JK28">
        <v>28.284099999999999</v>
      </c>
      <c r="JL28">
        <v>30.0001</v>
      </c>
      <c r="JM28">
        <v>28.274100000000001</v>
      </c>
      <c r="JN28">
        <v>28.287400000000002</v>
      </c>
      <c r="JO28">
        <v>69.624399999999994</v>
      </c>
      <c r="JP28">
        <v>20.7774</v>
      </c>
      <c r="JQ28">
        <v>31.7178</v>
      </c>
      <c r="JR28">
        <v>21.197600000000001</v>
      </c>
      <c r="JS28">
        <v>1800</v>
      </c>
      <c r="JT28">
        <v>16.120799999999999</v>
      </c>
      <c r="JU28">
        <v>101.649</v>
      </c>
      <c r="JV28">
        <v>97.317400000000006</v>
      </c>
    </row>
    <row r="29" spans="1:282" x14ac:dyDescent="0.3">
      <c r="A29">
        <v>13</v>
      </c>
      <c r="B29">
        <v>1791618278</v>
      </c>
      <c r="C29">
        <v>1500.9000000953699</v>
      </c>
      <c r="D29" t="s">
        <v>457</v>
      </c>
      <c r="E29" t="s">
        <v>458</v>
      </c>
      <c r="F29">
        <v>5</v>
      </c>
      <c r="G29">
        <v>1791618275</v>
      </c>
      <c r="H29">
        <f t="shared" si="0"/>
        <v>2.5565229129832544E-3</v>
      </c>
      <c r="I29">
        <f t="shared" si="1"/>
        <v>2.5565229129832545</v>
      </c>
      <c r="J29">
        <f t="shared" si="2"/>
        <v>13.466592037139307</v>
      </c>
      <c r="K29">
        <f t="shared" si="3"/>
        <v>394.22019999999998</v>
      </c>
      <c r="L29">
        <f t="shared" si="4"/>
        <v>263.85103757019323</v>
      </c>
      <c r="M29">
        <f t="shared" si="5"/>
        <v>26.706441086103126</v>
      </c>
      <c r="N29">
        <f t="shared" si="6"/>
        <v>39.902130547623607</v>
      </c>
      <c r="O29">
        <f t="shared" si="7"/>
        <v>0.18056634115980594</v>
      </c>
      <c r="P29">
        <f t="shared" si="8"/>
        <v>3.0284985803427968</v>
      </c>
      <c r="Q29">
        <f t="shared" si="9"/>
        <v>0.17479156933589185</v>
      </c>
      <c r="R29">
        <f t="shared" si="10"/>
        <v>0.10974818637386435</v>
      </c>
      <c r="S29">
        <f t="shared" si="11"/>
        <v>241.73556620294167</v>
      </c>
      <c r="T29">
        <f t="shared" si="12"/>
        <v>25.552879165196082</v>
      </c>
      <c r="U29">
        <f t="shared" si="13"/>
        <v>25.014279999999999</v>
      </c>
      <c r="V29">
        <f t="shared" si="14"/>
        <v>3.18238564947139</v>
      </c>
      <c r="W29">
        <f t="shared" si="15"/>
        <v>55.266701414425555</v>
      </c>
      <c r="X29">
        <f t="shared" si="16"/>
        <v>1.7379432869864926</v>
      </c>
      <c r="Y29">
        <f t="shared" si="17"/>
        <v>3.1446481199488767</v>
      </c>
      <c r="Z29">
        <f t="shared" si="18"/>
        <v>1.4444423624848974</v>
      </c>
      <c r="AA29">
        <f t="shared" si="19"/>
        <v>-112.74266046256152</v>
      </c>
      <c r="AB29">
        <f t="shared" si="20"/>
        <v>-32.647952196069774</v>
      </c>
      <c r="AC29">
        <f t="shared" si="21"/>
        <v>-2.2783155704222238</v>
      </c>
      <c r="AD29">
        <f t="shared" si="22"/>
        <v>94.066637973888163</v>
      </c>
      <c r="AE29">
        <v>0</v>
      </c>
      <c r="AF29">
        <v>0</v>
      </c>
      <c r="AG29">
        <f t="shared" si="23"/>
        <v>1</v>
      </c>
      <c r="AH29">
        <f t="shared" si="24"/>
        <v>0</v>
      </c>
      <c r="AI29">
        <f t="shared" si="25"/>
        <v>53828.425018095855</v>
      </c>
      <c r="AJ29" t="s">
        <v>416</v>
      </c>
      <c r="AK29" t="s">
        <v>416</v>
      </c>
      <c r="AL29">
        <v>0</v>
      </c>
      <c r="AM29">
        <v>0</v>
      </c>
      <c r="AN29" t="e">
        <f t="shared" si="26"/>
        <v>#DIV/0!</v>
      </c>
      <c r="AO29">
        <v>0</v>
      </c>
      <c r="AP29" t="s">
        <v>416</v>
      </c>
      <c r="AQ29" t="s">
        <v>416</v>
      </c>
      <c r="AR29">
        <v>0</v>
      </c>
      <c r="AS29">
        <v>0</v>
      </c>
      <c r="AT29" t="e">
        <f t="shared" si="27"/>
        <v>#DIV/0!</v>
      </c>
      <c r="AU29">
        <v>0.5</v>
      </c>
      <c r="AV29">
        <f t="shared" si="28"/>
        <v>1261.2040794833895</v>
      </c>
      <c r="AW29">
        <f t="shared" si="29"/>
        <v>13.466592037139307</v>
      </c>
      <c r="AX29" t="e">
        <f t="shared" si="30"/>
        <v>#DIV/0!</v>
      </c>
      <c r="AY29">
        <f t="shared" si="31"/>
        <v>1.0677567775276663E-2</v>
      </c>
      <c r="AZ29" t="e">
        <f t="shared" si="32"/>
        <v>#DIV/0!</v>
      </c>
      <c r="BA29" t="e">
        <f t="shared" si="33"/>
        <v>#DIV/0!</v>
      </c>
      <c r="BB29" t="s">
        <v>416</v>
      </c>
      <c r="BC29">
        <v>0</v>
      </c>
      <c r="BD29" t="e">
        <f t="shared" si="34"/>
        <v>#DIV/0!</v>
      </c>
      <c r="BE29" t="e">
        <f t="shared" si="35"/>
        <v>#DIV/0!</v>
      </c>
      <c r="BF29" t="e">
        <f t="shared" si="36"/>
        <v>#DIV/0!</v>
      </c>
      <c r="BG29" t="e">
        <f t="shared" si="37"/>
        <v>#DIV/0!</v>
      </c>
      <c r="BH29" t="e">
        <f t="shared" si="38"/>
        <v>#DIV/0!</v>
      </c>
      <c r="BI29" t="e">
        <f t="shared" si="39"/>
        <v>#DIV/0!</v>
      </c>
      <c r="BJ29" t="e">
        <f t="shared" si="40"/>
        <v>#DIV/0!</v>
      </c>
      <c r="BK29" t="e">
        <f t="shared" si="41"/>
        <v>#DIV/0!</v>
      </c>
      <c r="CT29">
        <f t="shared" si="42"/>
        <v>1499.992</v>
      </c>
      <c r="CU29">
        <f t="shared" si="43"/>
        <v>1261.2040794833895</v>
      </c>
      <c r="CV29">
        <f t="shared" si="44"/>
        <v>0.84080720396068076</v>
      </c>
      <c r="CW29">
        <f t="shared" si="45"/>
        <v>0.16115790364411389</v>
      </c>
      <c r="CX29">
        <v>2</v>
      </c>
      <c r="CY29">
        <v>0.5</v>
      </c>
      <c r="CZ29" t="s">
        <v>417</v>
      </c>
      <c r="DA29">
        <v>2</v>
      </c>
      <c r="DB29">
        <v>1791618275</v>
      </c>
      <c r="DC29">
        <v>394.22019999999998</v>
      </c>
      <c r="DD29">
        <v>400.01060000000001</v>
      </c>
      <c r="DE29">
        <v>17.17032</v>
      </c>
      <c r="DF29">
        <v>16.16516</v>
      </c>
      <c r="DG29">
        <v>393.47019999999998</v>
      </c>
      <c r="DH29">
        <v>17.30564</v>
      </c>
      <c r="DI29">
        <v>499.94560000000001</v>
      </c>
      <c r="DJ29">
        <v>101.11799999999999</v>
      </c>
      <c r="DK29">
        <v>9.9874039999999997E-2</v>
      </c>
      <c r="DL29">
        <v>24.814319999999999</v>
      </c>
      <c r="DM29">
        <v>25.014279999999999</v>
      </c>
      <c r="DN29">
        <v>999.9</v>
      </c>
      <c r="DO29">
        <v>0</v>
      </c>
      <c r="DP29">
        <v>0</v>
      </c>
      <c r="DQ29">
        <v>9993.7440000000006</v>
      </c>
      <c r="DR29">
        <v>0</v>
      </c>
      <c r="DS29">
        <v>6.32897</v>
      </c>
      <c r="DT29">
        <v>-5.7904900000000001</v>
      </c>
      <c r="DU29">
        <v>401.10739999999998</v>
      </c>
      <c r="DV29">
        <v>406.58319999999998</v>
      </c>
      <c r="DW29">
        <v>1.005161</v>
      </c>
      <c r="DX29">
        <v>400.01060000000001</v>
      </c>
      <c r="DY29">
        <v>16.16516</v>
      </c>
      <c r="DZ29">
        <v>1.7362280000000001</v>
      </c>
      <c r="EA29">
        <v>1.634584</v>
      </c>
      <c r="EB29">
        <v>15.22418</v>
      </c>
      <c r="EC29">
        <v>14.288779999999999</v>
      </c>
      <c r="ED29">
        <v>1499.992</v>
      </c>
      <c r="EE29">
        <v>0.97300439999999999</v>
      </c>
      <c r="EF29">
        <v>2.6995499999999999E-2</v>
      </c>
      <c r="EG29">
        <v>0</v>
      </c>
      <c r="EH29">
        <v>345.072</v>
      </c>
      <c r="EI29">
        <v>5.0006399999999998</v>
      </c>
      <c r="EJ29">
        <v>5332.19</v>
      </c>
      <c r="EK29">
        <v>15439.12</v>
      </c>
      <c r="EL29">
        <v>40.686999999999998</v>
      </c>
      <c r="EM29">
        <v>41.3874</v>
      </c>
      <c r="EN29">
        <v>41.0124</v>
      </c>
      <c r="EO29">
        <v>41.061999999999998</v>
      </c>
      <c r="EP29">
        <v>42.186999999999998</v>
      </c>
      <c r="EQ29">
        <v>1454.6320000000001</v>
      </c>
      <c r="ER29">
        <v>40.36</v>
      </c>
      <c r="ES29">
        <v>0</v>
      </c>
      <c r="ET29">
        <v>1791618279.3</v>
      </c>
      <c r="EU29">
        <v>0</v>
      </c>
      <c r="EV29">
        <v>345.377269230769</v>
      </c>
      <c r="EW29">
        <v>-3.5848547162668498</v>
      </c>
      <c r="EX29">
        <v>-56.871794897005699</v>
      </c>
      <c r="EY29">
        <v>5335.7607692307702</v>
      </c>
      <c r="EZ29">
        <v>15</v>
      </c>
      <c r="FA29">
        <v>1791618241</v>
      </c>
      <c r="FB29" t="s">
        <v>459</v>
      </c>
      <c r="FC29">
        <v>1791618241</v>
      </c>
      <c r="FD29">
        <v>1791618235</v>
      </c>
      <c r="FE29">
        <v>93</v>
      </c>
      <c r="FF29">
        <v>-0.83499999999999996</v>
      </c>
      <c r="FG29">
        <v>-0.01</v>
      </c>
      <c r="FH29">
        <v>0.753</v>
      </c>
      <c r="FI29">
        <v>-0.156</v>
      </c>
      <c r="FJ29">
        <v>400</v>
      </c>
      <c r="FK29">
        <v>16</v>
      </c>
      <c r="FL29">
        <v>0.22</v>
      </c>
      <c r="FM29">
        <v>0.09</v>
      </c>
      <c r="FN29">
        <v>13.3518144007027</v>
      </c>
      <c r="FO29">
        <v>0.92515126570433504</v>
      </c>
      <c r="FP29">
        <v>0.12574152952078699</v>
      </c>
      <c r="FQ29">
        <v>0</v>
      </c>
      <c r="FR29">
        <v>-5.7472704999999999</v>
      </c>
      <c r="FS29">
        <v>-0.40501127819549299</v>
      </c>
      <c r="FT29">
        <v>4.9168390809034998E-2</v>
      </c>
      <c r="FU29">
        <v>1</v>
      </c>
      <c r="FV29">
        <v>345.64129411764702</v>
      </c>
      <c r="FW29">
        <v>-4.2877005410027103</v>
      </c>
      <c r="FX29">
        <v>0.45766989962660198</v>
      </c>
      <c r="FY29">
        <v>-1</v>
      </c>
      <c r="FZ29">
        <v>1</v>
      </c>
      <c r="GA29">
        <v>2</v>
      </c>
      <c r="GB29" t="s">
        <v>460</v>
      </c>
      <c r="GC29">
        <v>3.12384</v>
      </c>
      <c r="GD29">
        <v>2.7656200000000002</v>
      </c>
      <c r="GE29">
        <v>8.6706099999999994E-2</v>
      </c>
      <c r="GF29">
        <v>8.9969900000000005E-2</v>
      </c>
      <c r="GG29">
        <v>9.2076599999999995E-2</v>
      </c>
      <c r="GH29">
        <v>9.1159000000000004E-2</v>
      </c>
      <c r="GI29">
        <v>17781.5</v>
      </c>
      <c r="GJ29">
        <v>26722.6</v>
      </c>
      <c r="GK29">
        <v>22751</v>
      </c>
      <c r="GL29">
        <v>30090.2</v>
      </c>
      <c r="GM29">
        <v>33887.699999999997</v>
      </c>
      <c r="GN29">
        <v>34072</v>
      </c>
      <c r="GO29">
        <v>43052.3</v>
      </c>
      <c r="GP29">
        <v>42860.1</v>
      </c>
      <c r="GQ29">
        <v>1.9700800000000001</v>
      </c>
      <c r="GR29">
        <v>1.80715</v>
      </c>
      <c r="GS29">
        <v>8.41171E-2</v>
      </c>
      <c r="GT29">
        <v>0</v>
      </c>
      <c r="GU29">
        <v>23.624500000000001</v>
      </c>
      <c r="GV29">
        <v>999.9</v>
      </c>
      <c r="GW29">
        <v>36.869999999999997</v>
      </c>
      <c r="GX29">
        <v>33.576000000000001</v>
      </c>
      <c r="GY29">
        <v>19.024899999999999</v>
      </c>
      <c r="GZ29">
        <v>63.436599999999999</v>
      </c>
      <c r="HA29">
        <v>33.886200000000002</v>
      </c>
      <c r="HB29">
        <v>1</v>
      </c>
      <c r="HC29">
        <v>8.3084400000000003E-2</v>
      </c>
      <c r="HD29">
        <v>2.4100299999999999</v>
      </c>
      <c r="HE29">
        <v>20.215900000000001</v>
      </c>
      <c r="HF29">
        <v>5.2316700000000003</v>
      </c>
      <c r="HG29">
        <v>11.962199999999999</v>
      </c>
      <c r="HH29">
        <v>4.9675000000000002</v>
      </c>
      <c r="HI29">
        <v>3.2953299999999999</v>
      </c>
      <c r="HJ29">
        <v>9999</v>
      </c>
      <c r="HK29">
        <v>9999</v>
      </c>
      <c r="HL29">
        <v>999.9</v>
      </c>
      <c r="HM29">
        <v>9999</v>
      </c>
      <c r="HN29">
        <v>4.9685899999999998</v>
      </c>
      <c r="HO29">
        <v>1.8626400000000001</v>
      </c>
      <c r="HP29">
        <v>1.8641700000000001</v>
      </c>
      <c r="HQ29">
        <v>1.8660000000000001</v>
      </c>
      <c r="HR29">
        <v>1.8629899999999999</v>
      </c>
      <c r="HS29">
        <v>1.8667499999999999</v>
      </c>
      <c r="HT29">
        <v>1.8634999999999999</v>
      </c>
      <c r="HU29">
        <v>1.8653900000000001</v>
      </c>
      <c r="HV29">
        <v>0</v>
      </c>
      <c r="HW29">
        <v>0</v>
      </c>
      <c r="HX29">
        <v>0</v>
      </c>
      <c r="HY29">
        <v>0</v>
      </c>
      <c r="HZ29" t="s">
        <v>420</v>
      </c>
      <c r="IA29" t="s">
        <v>421</v>
      </c>
      <c r="IB29" t="s">
        <v>422</v>
      </c>
      <c r="IC29" t="s">
        <v>422</v>
      </c>
      <c r="ID29" t="s">
        <v>422</v>
      </c>
      <c r="IE29" t="s">
        <v>422</v>
      </c>
      <c r="IF29">
        <v>0</v>
      </c>
      <c r="IG29">
        <v>100</v>
      </c>
      <c r="IH29">
        <v>100</v>
      </c>
      <c r="II29">
        <v>0.75</v>
      </c>
      <c r="IJ29">
        <v>-0.1358</v>
      </c>
      <c r="IK29">
        <v>0.354668310873343</v>
      </c>
      <c r="IL29">
        <v>1.61658254425633E-3</v>
      </c>
      <c r="IM29">
        <v>-1.89604851270483E-6</v>
      </c>
      <c r="IN29">
        <v>8.6681353432279101E-10</v>
      </c>
      <c r="IO29">
        <v>-5.9760048253565297E-2</v>
      </c>
      <c r="IP29">
        <v>-3.5871989026399903E-2</v>
      </c>
      <c r="IQ29">
        <v>1.9028800927848801E-3</v>
      </c>
      <c r="IR29">
        <v>-4.7539144078026999E-6</v>
      </c>
      <c r="IS29">
        <v>1</v>
      </c>
      <c r="IT29">
        <v>1704</v>
      </c>
      <c r="IU29">
        <v>4</v>
      </c>
      <c r="IV29">
        <v>25</v>
      </c>
      <c r="IW29">
        <v>0.6</v>
      </c>
      <c r="IX29">
        <v>0.7</v>
      </c>
      <c r="IY29">
        <v>1.0522499999999999</v>
      </c>
      <c r="IZ29">
        <v>2.5598100000000001</v>
      </c>
      <c r="JA29">
        <v>1.3464400000000001</v>
      </c>
      <c r="JB29">
        <v>2.2583000000000002</v>
      </c>
      <c r="JC29">
        <v>1.5502899999999999</v>
      </c>
      <c r="JD29">
        <v>2.6428199999999999</v>
      </c>
      <c r="JE29">
        <v>37.194099999999999</v>
      </c>
      <c r="JF29">
        <v>15.997</v>
      </c>
      <c r="JG29">
        <v>18</v>
      </c>
      <c r="JH29">
        <v>501.05099999999999</v>
      </c>
      <c r="JI29">
        <v>473.44200000000001</v>
      </c>
      <c r="JJ29">
        <v>21.0915</v>
      </c>
      <c r="JK29">
        <v>28.275300000000001</v>
      </c>
      <c r="JL29">
        <v>30.0001</v>
      </c>
      <c r="JM29">
        <v>28.271000000000001</v>
      </c>
      <c r="JN29">
        <v>28.284800000000001</v>
      </c>
      <c r="JO29">
        <v>21.072099999999999</v>
      </c>
      <c r="JP29">
        <v>21.516300000000001</v>
      </c>
      <c r="JQ29">
        <v>32.8889</v>
      </c>
      <c r="JR29">
        <v>21.077500000000001</v>
      </c>
      <c r="JS29">
        <v>400</v>
      </c>
      <c r="JT29">
        <v>16.134</v>
      </c>
      <c r="JU29">
        <v>101.652</v>
      </c>
      <c r="JV29">
        <v>97.321700000000007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2026-10-10T16:46:43Z</dcterms:created>
  <dcterms:modified xsi:type="dcterms:W3CDTF">2026-10-11T06:00:16Z</dcterms:modified>
</cp:coreProperties>
</file>