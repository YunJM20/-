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bnuackr-my.sharepoint.com/personal/eunbin23_jbnu_ac_kr/Documents/바탕 화면/CEPLAB/과제 및 실험/개인실험/260708-2601023 상추_재해처리 실험/작기2 (260822-261023)/광합성/RAW/2026-10-16 lettuce yun/"/>
    </mc:Choice>
  </mc:AlternateContent>
  <xr:revisionPtr revIDLastSave="0" documentId="11_ACE071000F13D7EA533CFABA61E9C89604E09E25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W25" i="1" l="1"/>
  <c r="CV25" i="1"/>
  <c r="CT25" i="1"/>
  <c r="BI25" i="1"/>
  <c r="BH25" i="1"/>
  <c r="AZ25" i="1"/>
  <c r="AT25" i="1"/>
  <c r="AN25" i="1"/>
  <c r="BA25" i="1" s="1"/>
  <c r="BD25" i="1" s="1"/>
  <c r="AI25" i="1"/>
  <c r="AG25" i="1" s="1"/>
  <c r="Y25" i="1"/>
  <c r="X25" i="1"/>
  <c r="W25" i="1"/>
  <c r="P25" i="1"/>
  <c r="CW24" i="1"/>
  <c r="CV24" i="1"/>
  <c r="CT24" i="1"/>
  <c r="BI24" i="1"/>
  <c r="BH24" i="1"/>
  <c r="AZ24" i="1"/>
  <c r="AT24" i="1"/>
  <c r="AN24" i="1"/>
  <c r="BA24" i="1" s="1"/>
  <c r="BD24" i="1" s="1"/>
  <c r="AI24" i="1"/>
  <c r="AG24" i="1"/>
  <c r="Y24" i="1"/>
  <c r="X24" i="1"/>
  <c r="W24" i="1"/>
  <c r="P24" i="1"/>
  <c r="CW23" i="1"/>
  <c r="CV23" i="1"/>
  <c r="CT23" i="1"/>
  <c r="CU23" i="1" s="1"/>
  <c r="AV23" i="1" s="1"/>
  <c r="BI23" i="1"/>
  <c r="BH23" i="1"/>
  <c r="AZ23" i="1"/>
  <c r="AT23" i="1"/>
  <c r="AX23" i="1" s="1"/>
  <c r="AN23" i="1"/>
  <c r="BA23" i="1" s="1"/>
  <c r="BD23" i="1" s="1"/>
  <c r="AI23" i="1"/>
  <c r="AG23" i="1" s="1"/>
  <c r="Y23" i="1"/>
  <c r="X23" i="1"/>
  <c r="W23" i="1" s="1"/>
  <c r="S23" i="1"/>
  <c r="P23" i="1"/>
  <c r="CW22" i="1"/>
  <c r="CV22" i="1"/>
  <c r="CT22" i="1"/>
  <c r="CU22" i="1" s="1"/>
  <c r="AV22" i="1" s="1"/>
  <c r="BI22" i="1"/>
  <c r="BH22" i="1"/>
  <c r="AZ22" i="1"/>
  <c r="AT22" i="1"/>
  <c r="AX22" i="1" s="1"/>
  <c r="AN22" i="1"/>
  <c r="BA22" i="1" s="1"/>
  <c r="BD22" i="1" s="1"/>
  <c r="AI22" i="1"/>
  <c r="AG22" i="1" s="1"/>
  <c r="Y22" i="1"/>
  <c r="X22" i="1"/>
  <c r="S22" i="1"/>
  <c r="P22" i="1"/>
  <c r="CW21" i="1"/>
  <c r="CV21" i="1"/>
  <c r="CT21" i="1"/>
  <c r="BI21" i="1"/>
  <c r="BH21" i="1"/>
  <c r="AZ21" i="1"/>
  <c r="AT21" i="1"/>
  <c r="AN21" i="1"/>
  <c r="BA21" i="1" s="1"/>
  <c r="BD21" i="1" s="1"/>
  <c r="AI21" i="1"/>
  <c r="AG21" i="1" s="1"/>
  <c r="Y21" i="1"/>
  <c r="X21" i="1"/>
  <c r="W21" i="1" s="1"/>
  <c r="S21" i="1"/>
  <c r="P21" i="1"/>
  <c r="CW20" i="1"/>
  <c r="CV20" i="1"/>
  <c r="CT20" i="1"/>
  <c r="BI20" i="1"/>
  <c r="BH20" i="1"/>
  <c r="AZ20" i="1"/>
  <c r="AT20" i="1"/>
  <c r="AN20" i="1"/>
  <c r="BA20" i="1" s="1"/>
  <c r="BD20" i="1" s="1"/>
  <c r="AI20" i="1"/>
  <c r="AG20" i="1" s="1"/>
  <c r="Y20" i="1"/>
  <c r="X20" i="1"/>
  <c r="W20" i="1"/>
  <c r="S20" i="1"/>
  <c r="P20" i="1"/>
  <c r="CW19" i="1"/>
  <c r="CV19" i="1"/>
  <c r="CT19" i="1"/>
  <c r="CU19" i="1" s="1"/>
  <c r="AV19" i="1" s="1"/>
  <c r="BI19" i="1"/>
  <c r="BH19" i="1"/>
  <c r="AZ19" i="1"/>
  <c r="AT19" i="1"/>
  <c r="AX19" i="1" s="1"/>
  <c r="AN19" i="1"/>
  <c r="BA19" i="1" s="1"/>
  <c r="BD19" i="1" s="1"/>
  <c r="AI19" i="1"/>
  <c r="AG19" i="1" s="1"/>
  <c r="Y19" i="1"/>
  <c r="X19" i="1"/>
  <c r="S19" i="1"/>
  <c r="P19" i="1"/>
  <c r="CW18" i="1"/>
  <c r="CV18" i="1"/>
  <c r="CT18" i="1"/>
  <c r="CU18" i="1" s="1"/>
  <c r="AV18" i="1" s="1"/>
  <c r="BI18" i="1"/>
  <c r="BH18" i="1"/>
  <c r="AZ18" i="1"/>
  <c r="AT18" i="1"/>
  <c r="AN18" i="1"/>
  <c r="BA18" i="1" s="1"/>
  <c r="BD18" i="1" s="1"/>
  <c r="AI18" i="1"/>
  <c r="AG18" i="1" s="1"/>
  <c r="Y18" i="1"/>
  <c r="W18" i="1" s="1"/>
  <c r="X18" i="1"/>
  <c r="S18" i="1"/>
  <c r="P18" i="1"/>
  <c r="CW17" i="1"/>
  <c r="CV17" i="1"/>
  <c r="CT17" i="1"/>
  <c r="CU17" i="1" s="1"/>
  <c r="AV17" i="1" s="1"/>
  <c r="BI17" i="1"/>
  <c r="BH17" i="1"/>
  <c r="AZ17" i="1"/>
  <c r="AT17" i="1"/>
  <c r="AX17" i="1" s="1"/>
  <c r="AN17" i="1"/>
  <c r="BA17" i="1" s="1"/>
  <c r="BD17" i="1" s="1"/>
  <c r="AI17" i="1"/>
  <c r="AG17" i="1" s="1"/>
  <c r="Y17" i="1"/>
  <c r="X17" i="1"/>
  <c r="W17" i="1"/>
  <c r="S17" i="1"/>
  <c r="P17" i="1"/>
  <c r="CU21" i="1" l="1"/>
  <c r="AV21" i="1" s="1"/>
  <c r="AX21" i="1" s="1"/>
  <c r="W19" i="1"/>
  <c r="AX18" i="1"/>
  <c r="W22" i="1"/>
  <c r="CU20" i="1"/>
  <c r="AV20" i="1" s="1"/>
  <c r="AX20" i="1" s="1"/>
  <c r="J21" i="1"/>
  <c r="AW21" i="1" s="1"/>
  <c r="AY21" i="1" s="1"/>
  <c r="K21" i="1"/>
  <c r="I21" i="1"/>
  <c r="H21" i="1" s="1"/>
  <c r="N21" i="1"/>
  <c r="AH21" i="1"/>
  <c r="J17" i="1"/>
  <c r="AW17" i="1" s="1"/>
  <c r="AY17" i="1" s="1"/>
  <c r="I17" i="1"/>
  <c r="H17" i="1" s="1"/>
  <c r="K17" i="1"/>
  <c r="N17" i="1"/>
  <c r="AH17" i="1"/>
  <c r="CU25" i="1"/>
  <c r="AV25" i="1" s="1"/>
  <c r="AX25" i="1" s="1"/>
  <c r="S25" i="1"/>
  <c r="BE25" i="1"/>
  <c r="BF25" i="1"/>
  <c r="BJ25" i="1" s="1"/>
  <c r="BK25" i="1" s="1"/>
  <c r="BG25" i="1"/>
  <c r="AH25" i="1"/>
  <c r="N25" i="1"/>
  <c r="K25" i="1"/>
  <c r="J25" i="1"/>
  <c r="AW25" i="1" s="1"/>
  <c r="AY25" i="1" s="1"/>
  <c r="I25" i="1"/>
  <c r="H25" i="1" s="1"/>
  <c r="CU24" i="1"/>
  <c r="AV24" i="1" s="1"/>
  <c r="AX24" i="1" s="1"/>
  <c r="S24" i="1"/>
  <c r="BE24" i="1"/>
  <c r="BF24" i="1"/>
  <c r="BJ24" i="1" s="1"/>
  <c r="BK24" i="1" s="1"/>
  <c r="BG24" i="1"/>
  <c r="N24" i="1"/>
  <c r="K24" i="1"/>
  <c r="J24" i="1"/>
  <c r="AW24" i="1" s="1"/>
  <c r="AY24" i="1" s="1"/>
  <c r="I24" i="1"/>
  <c r="H24" i="1" s="1"/>
  <c r="AH24" i="1"/>
  <c r="BE23" i="1"/>
  <c r="BF23" i="1"/>
  <c r="BJ23" i="1" s="1"/>
  <c r="BK23" i="1" s="1"/>
  <c r="BG23" i="1"/>
  <c r="K23" i="1"/>
  <c r="N23" i="1"/>
  <c r="AH23" i="1"/>
  <c r="I23" i="1"/>
  <c r="H23" i="1" s="1"/>
  <c r="T23" i="1" s="1"/>
  <c r="U23" i="1" s="1"/>
  <c r="J23" i="1"/>
  <c r="AW23" i="1" s="1"/>
  <c r="AY23" i="1" s="1"/>
  <c r="BE22" i="1"/>
  <c r="BF22" i="1"/>
  <c r="BJ22" i="1" s="1"/>
  <c r="BK22" i="1" s="1"/>
  <c r="BG22" i="1"/>
  <c r="AH22" i="1"/>
  <c r="I22" i="1"/>
  <c r="H22" i="1" s="1"/>
  <c r="N22" i="1"/>
  <c r="K22" i="1"/>
  <c r="J22" i="1"/>
  <c r="AW22" i="1" s="1"/>
  <c r="AY22" i="1" s="1"/>
  <c r="T22" i="1"/>
  <c r="U22" i="1" s="1"/>
  <c r="BE21" i="1"/>
  <c r="BF21" i="1"/>
  <c r="BJ21" i="1" s="1"/>
  <c r="BK21" i="1" s="1"/>
  <c r="BG21" i="1"/>
  <c r="BE20" i="1"/>
  <c r="BF20" i="1"/>
  <c r="BJ20" i="1" s="1"/>
  <c r="BK20" i="1" s="1"/>
  <c r="BG20" i="1"/>
  <c r="J20" i="1"/>
  <c r="AW20" i="1" s="1"/>
  <c r="N20" i="1"/>
  <c r="AH20" i="1"/>
  <c r="I20" i="1"/>
  <c r="H20" i="1" s="1"/>
  <c r="K20" i="1"/>
  <c r="T20" i="1"/>
  <c r="U20" i="1" s="1"/>
  <c r="BF19" i="1"/>
  <c r="BJ19" i="1" s="1"/>
  <c r="BK19" i="1" s="1"/>
  <c r="BE19" i="1"/>
  <c r="BG19" i="1"/>
  <c r="I19" i="1"/>
  <c r="H19" i="1" s="1"/>
  <c r="J19" i="1"/>
  <c r="AW19" i="1" s="1"/>
  <c r="AY19" i="1" s="1"/>
  <c r="N19" i="1"/>
  <c r="K19" i="1"/>
  <c r="AH19" i="1"/>
  <c r="T19" i="1"/>
  <c r="U19" i="1" s="1"/>
  <c r="BE18" i="1"/>
  <c r="BF18" i="1"/>
  <c r="BJ18" i="1" s="1"/>
  <c r="BK18" i="1" s="1"/>
  <c r="BG18" i="1"/>
  <c r="N18" i="1"/>
  <c r="AH18" i="1"/>
  <c r="K18" i="1"/>
  <c r="J18" i="1"/>
  <c r="AW18" i="1" s="1"/>
  <c r="AY18" i="1" s="1"/>
  <c r="I18" i="1"/>
  <c r="H18" i="1" s="1"/>
  <c r="T18" i="1" s="1"/>
  <c r="U18" i="1" s="1"/>
  <c r="BE17" i="1"/>
  <c r="BF17" i="1"/>
  <c r="BJ17" i="1" s="1"/>
  <c r="BK17" i="1" s="1"/>
  <c r="BG17" i="1"/>
  <c r="AY20" i="1" l="1"/>
  <c r="T21" i="1"/>
  <c r="U21" i="1" s="1"/>
  <c r="AA21" i="1"/>
  <c r="T17" i="1"/>
  <c r="U17" i="1" s="1"/>
  <c r="AA17" i="1"/>
  <c r="Q17" i="1"/>
  <c r="O17" i="1" s="1"/>
  <c r="R17" i="1" s="1"/>
  <c r="L17" i="1" s="1"/>
  <c r="M17" i="1" s="1"/>
  <c r="T25" i="1"/>
  <c r="U25" i="1" s="1"/>
  <c r="Q25" i="1" s="1"/>
  <c r="O25" i="1" s="1"/>
  <c r="R25" i="1" s="1"/>
  <c r="L25" i="1" s="1"/>
  <c r="M25" i="1" s="1"/>
  <c r="AA25" i="1"/>
  <c r="T24" i="1"/>
  <c r="U24" i="1" s="1"/>
  <c r="Q24" i="1"/>
  <c r="O24" i="1" s="1"/>
  <c r="R24" i="1" s="1"/>
  <c r="L24" i="1" s="1"/>
  <c r="M24" i="1" s="1"/>
  <c r="AA24" i="1"/>
  <c r="Q23" i="1"/>
  <c r="O23" i="1" s="1"/>
  <c r="R23" i="1" s="1"/>
  <c r="L23" i="1" s="1"/>
  <c r="M23" i="1" s="1"/>
  <c r="AA23" i="1"/>
  <c r="V23" i="1"/>
  <c r="Z23" i="1" s="1"/>
  <c r="AB23" i="1"/>
  <c r="AC23" i="1"/>
  <c r="AD23" i="1" s="1"/>
  <c r="Q22" i="1"/>
  <c r="O22" i="1" s="1"/>
  <c r="R22" i="1" s="1"/>
  <c r="L22" i="1" s="1"/>
  <c r="M22" i="1" s="1"/>
  <c r="AA22" i="1"/>
  <c r="AB22" i="1"/>
  <c r="V22" i="1"/>
  <c r="Z22" i="1" s="1"/>
  <c r="AC22" i="1"/>
  <c r="AD22" i="1" s="1"/>
  <c r="Q20" i="1"/>
  <c r="O20" i="1" s="1"/>
  <c r="R20" i="1" s="1"/>
  <c r="L20" i="1" s="1"/>
  <c r="M20" i="1" s="1"/>
  <c r="AA20" i="1"/>
  <c r="AB20" i="1"/>
  <c r="V20" i="1"/>
  <c r="Z20" i="1" s="1"/>
  <c r="AC20" i="1"/>
  <c r="AD20" i="1" s="1"/>
  <c r="Q19" i="1"/>
  <c r="O19" i="1" s="1"/>
  <c r="R19" i="1" s="1"/>
  <c r="L19" i="1" s="1"/>
  <c r="M19" i="1" s="1"/>
  <c r="AA19" i="1"/>
  <c r="AB19" i="1"/>
  <c r="V19" i="1"/>
  <c r="Z19" i="1" s="1"/>
  <c r="AC19" i="1"/>
  <c r="AD19" i="1" s="1"/>
  <c r="AA18" i="1"/>
  <c r="Q18" i="1"/>
  <c r="O18" i="1" s="1"/>
  <c r="R18" i="1" s="1"/>
  <c r="L18" i="1" s="1"/>
  <c r="M18" i="1" s="1"/>
  <c r="AB18" i="1"/>
  <c r="V18" i="1"/>
  <c r="Z18" i="1" s="1"/>
  <c r="AC18" i="1"/>
  <c r="AD18" i="1" s="1"/>
  <c r="Q21" i="1" l="1"/>
  <c r="O21" i="1" s="1"/>
  <c r="R21" i="1" s="1"/>
  <c r="L21" i="1" s="1"/>
  <c r="M21" i="1" s="1"/>
  <c r="AB21" i="1"/>
  <c r="V21" i="1"/>
  <c r="Z21" i="1" s="1"/>
  <c r="AC21" i="1"/>
  <c r="AD21" i="1" s="1"/>
  <c r="AB17" i="1"/>
  <c r="V17" i="1"/>
  <c r="Z17" i="1" s="1"/>
  <c r="AC17" i="1"/>
  <c r="AB25" i="1"/>
  <c r="V25" i="1"/>
  <c r="Z25" i="1" s="1"/>
  <c r="AC25" i="1"/>
  <c r="V24" i="1"/>
  <c r="Z24" i="1" s="1"/>
  <c r="AB24" i="1"/>
  <c r="AC24" i="1"/>
  <c r="AD17" i="1" l="1"/>
  <c r="AD25" i="1"/>
  <c r="AD24" i="1"/>
</calcChain>
</file>

<file path=xl/sharedStrings.xml><?xml version="1.0" encoding="utf-8"?>
<sst xmlns="http://schemas.openxmlformats.org/spreadsheetml/2006/main" count="971" uniqueCount="453">
  <si>
    <t>File opened</t>
  </si>
  <si>
    <t>2026-10-16 16:14:04</t>
  </si>
  <si>
    <t>Console s/n</t>
  </si>
  <si>
    <t>68C-812349</t>
  </si>
  <si>
    <t>Console ver</t>
  </si>
  <si>
    <t>Bluestem v.2.1.13</t>
  </si>
  <si>
    <t>Scripts ver</t>
  </si>
  <si>
    <t>2024.01  2.1.13, Apr 2024</t>
  </si>
  <si>
    <t>Head s/n</t>
  </si>
  <si>
    <t>68H-982339</t>
  </si>
  <si>
    <t>Head ver</t>
  </si>
  <si>
    <t>1.4.23</t>
  </si>
  <si>
    <t>Head cal</t>
  </si>
  <si>
    <t>{"h2obspan2": "0", "h2obspan2b": "0.111633", "co2bspan1": "0.993892", "flowbzero": "0.27399", "h2oaspan1": "1.0301", "co2aspan2b": "0.0924399", "co2bspan2a": "0.0952815", "flowazero": "0.316", "co2aspan2a": "0.0929659", "h2obspanconc2": "0", "co2aspanconc2": "1516", "flowmeterzero": "2.5072", "oxygen": "21", "h2obzero": "1.13925", "co2bspanconc2": "1516", "tazero": "0.0951138", "h2obspanconc1": "21.96", "co2aspanconc1": "437.6", "h2obspan1": "0.995823", "h2oaspan2b": "0.111609", "co2bspan2b": "0.0947811", "h2oaspan2": "0", "co2bzero": "1.02053", "ssb_ref": "37478.9", "co2azero": "1.16194", "tbzero": "0.145187", "co2bspanconc1": "437.6", "h2oaspanconc2": "0", "h2obspan2a": "0.112101", "co2aspan1": "0.99333", "ssa_ref": "32366.8", "co2aspan2": "0.0108874", "h2oaspanconc1": "21.96", "chamberpressurezero": "2.61687", "h2oaspan2a": "0.108347", "co2bspan2": "0.00898303", "h2oazero": "1.14957"}</t>
  </si>
  <si>
    <t>Factory cal date</t>
  </si>
  <si>
    <t>04 Oct 2022</t>
  </si>
  <si>
    <t>CO2 rangematch</t>
  </si>
  <si>
    <t>Fri Oct 16 09:52</t>
  </si>
  <si>
    <t>H2O rangematch</t>
  </si>
  <si>
    <t>Fri Oct 16 09:57</t>
  </si>
  <si>
    <t>Chamber type</t>
  </si>
  <si>
    <t>6800-01A</t>
  </si>
  <si>
    <t>Chamber s/n</t>
  </si>
  <si>
    <t>MPF-282040</t>
  </si>
  <si>
    <t>Chamber rev</t>
  </si>
  <si>
    <t>0</t>
  </si>
  <si>
    <t>Chamber cal</t>
  </si>
  <si>
    <t>Fluorometer</t>
  </si>
  <si>
    <t>Flr. Version</t>
  </si>
  <si>
    <t>16:14:04</t>
  </si>
  <si>
    <t>Stability Definition:	F (FlrLS): Slp&lt;1 Per=20	A (GasEx): Slp&lt;0.6 Per=20	ΔCO2 (Meas2): Slp&lt;0.5 Per=20</t>
  </si>
  <si>
    <t>SysConst</t>
  </si>
  <si>
    <t>AvgTime</t>
  </si>
  <si>
    <t>Oxygen</t>
  </si>
  <si>
    <t>ChambConst</t>
  </si>
  <si>
    <t>Chamber</t>
  </si>
  <si>
    <t>Aperture</t>
  </si>
  <si>
    <t>2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</si>
  <si>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</si>
  <si>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</si>
  <si>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</si>
  <si>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</si>
  <si>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</si>
  <si>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</si>
  <si>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</si>
  <si>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</si>
  <si>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</si>
  <si>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</si>
  <si>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</si>
  <si>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</si>
  <si>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</si>
  <si>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</si>
  <si>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</si>
  <si>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</si>
  <si>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</si>
  <si>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</si>
  <si>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</si>
  <si>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</si>
  <si>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</si>
  <si>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</si>
  <si>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</si>
  <si>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</si>
  <si>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</si>
  <si>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</si>
  <si>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</si>
  <si>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</si>
  <si>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</si>
  <si>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</si>
  <si>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</si>
  <si>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</si>
  <si>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</si>
  <si>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</si>
  <si>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</si>
  <si>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</si>
  <si>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</si>
  <si>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</si>
  <si>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</si>
  <si>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</si>
  <si>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</si>
  <si>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</si>
  <si>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</si>
  <si>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</si>
  <si>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3.7403 210.264 340.143 564.427 861.476 1067.11 1236.59 1344.05</t>
  </si>
  <si>
    <t>Fs_true</t>
  </si>
  <si>
    <t>-1.38018 242.716 375.819 575.847 815.073 1001.33 1204.46 1400.84</t>
  </si>
  <si>
    <t>leak_wt</t>
  </si>
  <si>
    <t>SysObs</t>
  </si>
  <si>
    <t>GasEx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</si>
  <si>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</si>
  <si>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</si>
  <si>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</si>
  <si>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</si>
  <si>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</si>
  <si>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</si>
  <si>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</si>
  <si>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</si>
  <si>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</si>
  <si>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</si>
  <si>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</si>
  <si>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</si>
  <si>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</si>
  <si>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</si>
  <si>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</si>
  <si>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</si>
  <si>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</si>
  <si>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</si>
  <si>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</si>
  <si>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</si>
  <si>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</si>
  <si>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</si>
  <si>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</si>
  <si>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</si>
  <si>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</si>
  <si>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</si>
  <si>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</si>
  <si>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</si>
  <si>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</si>
  <si>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</si>
  <si>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</si>
  <si>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</si>
  <si>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</si>
  <si>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</si>
  <si>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</si>
  <si>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</si>
  <si>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</si>
  <si>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</si>
  <si>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</si>
  <si>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</si>
  <si>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</si>
  <si>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</si>
  <si>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</si>
  <si>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</si>
  <si>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</si>
  <si>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</si>
  <si>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</si>
  <si>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</si>
  <si>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</si>
  <si>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</si>
  <si>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</si>
  <si>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</si>
  <si>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</si>
  <si>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</si>
  <si>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</si>
  <si>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</si>
  <si>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</si>
  <si>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</si>
  <si>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</si>
  <si>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</si>
  <si>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</si>
  <si>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</si>
  <si>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</si>
  <si>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</si>
  <si>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</si>
  <si>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</si>
  <si>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</si>
  <si>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</si>
  <si>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</si>
  <si>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</si>
  <si>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</si>
  <si>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</si>
  <si>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</si>
  <si>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</si>
  <si>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</si>
  <si>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</si>
  <si>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</si>
  <si>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</si>
  <si>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</si>
  <si>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</si>
  <si>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</si>
  <si>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</si>
  <si>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</si>
  <si>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</si>
  <si>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</si>
  <si>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</si>
  <si>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</si>
  <si>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</si>
  <si>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</si>
  <si>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</si>
  <si>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</si>
  <si>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</si>
  <si>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</si>
  <si>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</si>
  <si>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</si>
  <si>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</si>
  <si>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</si>
  <si>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</si>
  <si>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</si>
  <si>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</si>
  <si>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</si>
  <si>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</si>
  <si>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</si>
  <si>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</si>
  <si>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</si>
  <si>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</si>
  <si>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</si>
  <si>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</si>
  <si>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</si>
  <si>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</si>
  <si>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</si>
  <si>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</si>
  <si>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</si>
  <si>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</si>
  <si>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</si>
  <si>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</si>
  <si>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</si>
  <si>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</si>
  <si>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</si>
  <si>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</si>
  <si>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</si>
  <si>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</si>
  <si>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</si>
  <si>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</si>
  <si>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</si>
  <si>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</si>
  <si>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</si>
  <si>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</si>
  <si>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</si>
  <si>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</si>
  <si>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</si>
  <si>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</si>
  <si>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</si>
  <si>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</si>
  <si>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</si>
  <si>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</si>
  <si>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</si>
  <si>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</si>
  <si>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</si>
  <si>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</si>
  <si>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</si>
  <si>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</si>
  <si>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</si>
  <si>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</si>
  <si>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</si>
  <si>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</si>
  <si>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</si>
  <si>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</si>
  <si>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</si>
  <si>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</si>
  <si>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</si>
  <si>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</si>
  <si>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</si>
  <si>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</si>
  <si>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</si>
  <si>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</si>
  <si>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</si>
  <si>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</si>
  <si>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</si>
  <si>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</si>
  <si>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</si>
  <si>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</si>
  <si>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</si>
  <si>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</si>
  <si>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</si>
  <si>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</si>
  <si>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</si>
  <si>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</si>
  <si>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</si>
  <si>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</si>
  <si>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</si>
  <si>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</si>
  <si>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</si>
  <si>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</si>
  <si>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</si>
  <si>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</si>
  <si>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</si>
  <si>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</si>
  <si>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</si>
  <si>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</si>
  <si>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</si>
  <si>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</si>
  <si>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</si>
  <si>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</si>
  <si>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</si>
  <si>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</si>
  <si>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</si>
  <si>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</si>
  <si>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</si>
  <si>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</si>
  <si>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</si>
  <si>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</si>
  <si>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</si>
  <si>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</si>
  <si>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</si>
  <si>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</si>
  <si>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</si>
  <si>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</si>
  <si>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</si>
  <si>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</si>
  <si>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</si>
  <si>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</si>
  <si>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</si>
  <si>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</si>
  <si>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</si>
  <si>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</si>
  <si>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</si>
  <si>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</si>
  <si>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</si>
  <si>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</si>
  <si>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</si>
  <si>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</si>
  <si>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</si>
  <si>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</si>
  <si>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</si>
  <si>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</si>
  <si>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</si>
  <si>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</si>
  <si>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</si>
  <si>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</si>
  <si>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</si>
  <si>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</si>
  <si>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</si>
  <si>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</si>
  <si>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</si>
  <si>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</si>
  <si>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</si>
  <si>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</si>
  <si>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</si>
  <si>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</si>
  <si>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CO2_hrs</t>
  </si>
  <si>
    <t>AccH2O_hum</t>
  </si>
  <si>
    <t>AccH2O_des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</si>
  <si>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</si>
  <si>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</si>
  <si>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</si>
  <si>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</si>
  <si>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</si>
  <si>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</si>
  <si>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</si>
  <si>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</si>
  <si>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</si>
  <si>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</si>
  <si>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</si>
  <si>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</si>
  <si>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</si>
  <si>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</si>
  <si>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</si>
  <si>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</si>
  <si>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</si>
  <si>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</si>
  <si>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</si>
  <si>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</si>
  <si>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</si>
  <si>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</si>
  <si>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</si>
  <si>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</si>
  <si>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</si>
  <si>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</si>
  <si>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</si>
  <si>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</si>
  <si>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</si>
  <si>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</si>
  <si>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</si>
  <si>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</si>
  <si>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</si>
  <si>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</si>
  <si>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</si>
  <si>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</si>
  <si>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</si>
  <si>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</si>
  <si>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</si>
  <si>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</si>
  <si>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</si>
  <si>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</si>
  <si>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</si>
  <si>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</si>
  <si>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</si>
  <si>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</si>
  <si>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</si>
  <si>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</si>
  <si>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</si>
  <si>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</si>
  <si>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</si>
  <si>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</si>
  <si>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</si>
  <si>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</si>
  <si>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</si>
  <si>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</si>
  <si>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</si>
  <si>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</si>
  <si>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</si>
  <si>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</si>
  <si>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</si>
  <si>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</si>
  <si>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</si>
  <si>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</si>
  <si>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</si>
  <si>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</si>
  <si>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</si>
  <si>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</si>
  <si>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</si>
  <si>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</si>
  <si>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</si>
  <si>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</si>
  <si>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</si>
  <si>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</si>
  <si>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</si>
  <si>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</si>
  <si>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</si>
  <si>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</si>
  <si>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</si>
  <si>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</si>
  <si>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</si>
  <si>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</si>
  <si>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</si>
  <si>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</si>
  <si>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</si>
  <si>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µmol mol⁻¹ min⁻¹</t>
  </si>
  <si>
    <t xml:space="preserve"> min⁻¹</t>
  </si>
  <si>
    <t>V</t>
  </si>
  <si>
    <t>mV</t>
  </si>
  <si>
    <t>mg</t>
  </si>
  <si>
    <t>hrs</t>
  </si>
  <si>
    <t>min</t>
  </si>
  <si>
    <t>20261016 16:46:30</t>
  </si>
  <si>
    <t>16:46:30</t>
  </si>
  <si>
    <t>MPF-1111-20261016-14_52_26</t>
  </si>
  <si>
    <t>MPF-1112-20261016-16_46_35</t>
  </si>
  <si>
    <t>-</t>
  </si>
  <si>
    <t>0: Broadleaf</t>
  </si>
  <si>
    <t>16:41:30</t>
  </si>
  <si>
    <t>3/3</t>
  </si>
  <si>
    <t>11111111</t>
  </si>
  <si>
    <t>oooooooo</t>
  </si>
  <si>
    <t>on</t>
  </si>
  <si>
    <t>20261016 16:48:39</t>
  </si>
  <si>
    <t>16:48:39</t>
  </si>
  <si>
    <t>MPF-1113-20261016-16_48_44</t>
  </si>
  <si>
    <t>20261016 16:50:53</t>
  </si>
  <si>
    <t>16:50:53</t>
  </si>
  <si>
    <t>MPF-1114-20261016-16_50_58</t>
  </si>
  <si>
    <t>20261016 16:53:57</t>
  </si>
  <si>
    <t>16:53:57</t>
  </si>
  <si>
    <t>MPF-1115-20261016-16_54_02</t>
  </si>
  <si>
    <t>2/3</t>
  </si>
  <si>
    <t>20261016 16:56:08</t>
  </si>
  <si>
    <t>16:56:08</t>
  </si>
  <si>
    <t>MPF-1116-20261016-16_56_13</t>
  </si>
  <si>
    <t>20261016 16:58:58</t>
  </si>
  <si>
    <t>16:58:58</t>
  </si>
  <si>
    <t>MPF-1117-20261016-16_59_03</t>
  </si>
  <si>
    <t>16:57:20</t>
  </si>
  <si>
    <t>20261016 17:01:01</t>
  </si>
  <si>
    <t>17:01:01</t>
  </si>
  <si>
    <t>MPF-1118-20261016-17_01_06</t>
  </si>
  <si>
    <t>17:00:13</t>
  </si>
  <si>
    <t>20261016 17:03:29</t>
  </si>
  <si>
    <t>17:03:29</t>
  </si>
  <si>
    <t>MPF-1119-20261016-17_03_34</t>
  </si>
  <si>
    <t>17:02:11</t>
  </si>
  <si>
    <t>20261016 17:06:19</t>
  </si>
  <si>
    <t>17:06:19</t>
  </si>
  <si>
    <t>MPF-1120-20261016-17_06_24</t>
  </si>
  <si>
    <t>17:04:40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</si>
</sst>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V25"/>
  <sheetViews>
    <sheetView tabSelected="1" workbookViewId="0"/>
  </sheetViews>
  <sheetFormatPr defaultRowHeight="16.5" x14ac:dyDescent="0.3"/>
  <sheetData>
    <row r="2" spans="1:282" x14ac:dyDescent="0.3">
      <c r="A2" t="s">
        <v>31</v>
      </c>
      <c r="B2" t="s">
        <v>32</v>
      </c>
      <c r="C2" t="s">
        <v>33</v>
      </c>
    </row>
    <row r="3" spans="1:282" x14ac:dyDescent="0.3">
      <c r="B3">
        <v>4</v>
      </c>
      <c r="C3">
        <v>21</v>
      </c>
    </row>
    <row r="4" spans="1:282" x14ac:dyDescent="0.3">
      <c r="A4" t="s">
        <v>34</v>
      </c>
      <c r="B4" t="s">
        <v>35</v>
      </c>
      <c r="C4" t="s">
        <v>36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</row>
    <row r="5" spans="1:282" x14ac:dyDescent="0.3">
      <c r="B5" t="s">
        <v>21</v>
      </c>
      <c r="C5" t="s">
        <v>37</v>
      </c>
      <c r="D5">
        <v>0.57199999999999995</v>
      </c>
      <c r="E5">
        <v>0.38727420000000001</v>
      </c>
      <c r="F5">
        <v>-1.8705840000000001E-2</v>
      </c>
      <c r="G5">
        <v>0</v>
      </c>
      <c r="H5">
        <v>-7.3738900000000001E-3</v>
      </c>
      <c r="I5">
        <v>1</v>
      </c>
      <c r="J5">
        <v>2</v>
      </c>
      <c r="K5">
        <v>96.9</v>
      </c>
    </row>
    <row r="6" spans="1:282" x14ac:dyDescent="0.3">
      <c r="A6" t="s">
        <v>46</v>
      </c>
      <c r="B6" t="s">
        <v>47</v>
      </c>
      <c r="C6" t="s">
        <v>48</v>
      </c>
      <c r="D6" t="s">
        <v>49</v>
      </c>
      <c r="E6" t="s">
        <v>50</v>
      </c>
    </row>
    <row r="7" spans="1:282" x14ac:dyDescent="0.3">
      <c r="B7">
        <v>0</v>
      </c>
      <c r="C7">
        <v>1</v>
      </c>
      <c r="D7">
        <v>0</v>
      </c>
      <c r="E7">
        <v>0</v>
      </c>
    </row>
    <row r="8" spans="1:282" x14ac:dyDescent="0.3">
      <c r="A8" t="s">
        <v>51</v>
      </c>
      <c r="B8" t="s">
        <v>52</v>
      </c>
      <c r="C8" t="s">
        <v>54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  <c r="P8" t="s">
        <v>68</v>
      </c>
      <c r="Q8" t="s">
        <v>69</v>
      </c>
    </row>
    <row r="9" spans="1:282" x14ac:dyDescent="0.3">
      <c r="B9" t="s">
        <v>53</v>
      </c>
      <c r="C9" t="s">
        <v>55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82" x14ac:dyDescent="0.3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</row>
    <row r="11" spans="1:282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82" x14ac:dyDescent="0.3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83</v>
      </c>
      <c r="H12" t="s">
        <v>85</v>
      </c>
    </row>
    <row r="13" spans="1:282" x14ac:dyDescent="0.3">
      <c r="B13">
        <v>-6276</v>
      </c>
      <c r="C13">
        <v>6.6</v>
      </c>
      <c r="D13">
        <v>1.7090000000000001E-5</v>
      </c>
      <c r="E13">
        <v>3.11</v>
      </c>
      <c r="F13" t="s">
        <v>82</v>
      </c>
      <c r="G13" t="s">
        <v>84</v>
      </c>
      <c r="H13">
        <v>0</v>
      </c>
    </row>
    <row r="14" spans="1:282" x14ac:dyDescent="0.3">
      <c r="A14" t="s">
        <v>86</v>
      </c>
      <c r="B14" t="s">
        <v>86</v>
      </c>
      <c r="C14" t="s">
        <v>86</v>
      </c>
      <c r="D14" t="s">
        <v>86</v>
      </c>
      <c r="E14" t="s">
        <v>86</v>
      </c>
      <c r="F14" t="s">
        <v>86</v>
      </c>
      <c r="G14" t="s">
        <v>87</v>
      </c>
      <c r="H14" t="s">
        <v>87</v>
      </c>
      <c r="I14" t="s">
        <v>87</v>
      </c>
      <c r="J14" t="s">
        <v>87</v>
      </c>
      <c r="K14" t="s">
        <v>87</v>
      </c>
      <c r="L14" t="s">
        <v>87</v>
      </c>
      <c r="M14" t="s">
        <v>87</v>
      </c>
      <c r="N14" t="s">
        <v>87</v>
      </c>
      <c r="O14" t="s">
        <v>87</v>
      </c>
      <c r="P14" t="s">
        <v>87</v>
      </c>
      <c r="Q14" t="s">
        <v>87</v>
      </c>
      <c r="R14" t="s">
        <v>87</v>
      </c>
      <c r="S14" t="s">
        <v>87</v>
      </c>
      <c r="T14" t="s">
        <v>87</v>
      </c>
      <c r="U14" t="s">
        <v>87</v>
      </c>
      <c r="V14" t="s">
        <v>87</v>
      </c>
      <c r="W14" t="s">
        <v>87</v>
      </c>
      <c r="X14" t="s">
        <v>87</v>
      </c>
      <c r="Y14" t="s">
        <v>87</v>
      </c>
      <c r="Z14" t="s">
        <v>87</v>
      </c>
      <c r="AA14" t="s">
        <v>87</v>
      </c>
      <c r="AB14" t="s">
        <v>87</v>
      </c>
      <c r="AC14" t="s">
        <v>87</v>
      </c>
      <c r="AD14" t="s">
        <v>87</v>
      </c>
      <c r="AE14" t="s">
        <v>88</v>
      </c>
      <c r="AF14" t="s">
        <v>88</v>
      </c>
      <c r="AG14" t="s">
        <v>88</v>
      </c>
      <c r="AH14" t="s">
        <v>88</v>
      </c>
      <c r="AI14" t="s">
        <v>88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89</v>
      </c>
      <c r="AT14" t="s">
        <v>89</v>
      </c>
      <c r="AU14" t="s">
        <v>89</v>
      </c>
      <c r="AV14" t="s">
        <v>89</v>
      </c>
      <c r="AW14" t="s">
        <v>89</v>
      </c>
      <c r="AX14" t="s">
        <v>89</v>
      </c>
      <c r="AY14" t="s">
        <v>89</v>
      </c>
      <c r="AZ14" t="s">
        <v>89</v>
      </c>
      <c r="BA14" t="s">
        <v>89</v>
      </c>
      <c r="BB14" t="s">
        <v>89</v>
      </c>
      <c r="BC14" t="s">
        <v>89</v>
      </c>
      <c r="BD14" t="s">
        <v>89</v>
      </c>
      <c r="BE14" t="s">
        <v>89</v>
      </c>
      <c r="BF14" t="s">
        <v>89</v>
      </c>
      <c r="BG14" t="s">
        <v>89</v>
      </c>
      <c r="BH14" t="s">
        <v>89</v>
      </c>
      <c r="BI14" t="s">
        <v>89</v>
      </c>
      <c r="BJ14" t="s">
        <v>89</v>
      </c>
      <c r="BK14" t="s">
        <v>89</v>
      </c>
      <c r="BL14" t="s">
        <v>90</v>
      </c>
      <c r="BM14" t="s">
        <v>90</v>
      </c>
      <c r="BN14" t="s">
        <v>90</v>
      </c>
      <c r="BO14" t="s">
        <v>90</v>
      </c>
      <c r="BP14" t="s">
        <v>90</v>
      </c>
      <c r="BQ14" t="s">
        <v>90</v>
      </c>
      <c r="BR14" t="s">
        <v>90</v>
      </c>
      <c r="BS14" t="s">
        <v>90</v>
      </c>
      <c r="BT14" t="s">
        <v>90</v>
      </c>
      <c r="BU14" t="s">
        <v>90</v>
      </c>
      <c r="BV14" t="s">
        <v>90</v>
      </c>
      <c r="BW14" t="s">
        <v>90</v>
      </c>
      <c r="BX14" t="s">
        <v>90</v>
      </c>
      <c r="BY14" t="s">
        <v>90</v>
      </c>
      <c r="BZ14" t="s">
        <v>90</v>
      </c>
      <c r="CA14" t="s">
        <v>90</v>
      </c>
      <c r="CB14" t="s">
        <v>90</v>
      </c>
      <c r="CC14" t="s">
        <v>90</v>
      </c>
      <c r="CD14" t="s">
        <v>90</v>
      </c>
      <c r="CE14" t="s">
        <v>90</v>
      </c>
      <c r="CF14" t="s">
        <v>90</v>
      </c>
      <c r="CG14" t="s">
        <v>91</v>
      </c>
      <c r="CH14" t="s">
        <v>91</v>
      </c>
      <c r="CI14" t="s">
        <v>91</v>
      </c>
      <c r="CJ14" t="s">
        <v>91</v>
      </c>
      <c r="CK14" t="s">
        <v>91</v>
      </c>
      <c r="CL14" t="s">
        <v>91</v>
      </c>
      <c r="CM14" t="s">
        <v>91</v>
      </c>
      <c r="CN14" t="s">
        <v>91</v>
      </c>
      <c r="CO14" t="s">
        <v>91</v>
      </c>
      <c r="CP14" t="s">
        <v>91</v>
      </c>
      <c r="CQ14" t="s">
        <v>91</v>
      </c>
      <c r="CR14" t="s">
        <v>91</v>
      </c>
      <c r="CS14" t="s">
        <v>91</v>
      </c>
      <c r="CT14" t="s">
        <v>92</v>
      </c>
      <c r="CU14" t="s">
        <v>92</v>
      </c>
      <c r="CV14" t="s">
        <v>92</v>
      </c>
      <c r="CW14" t="s">
        <v>92</v>
      </c>
      <c r="CX14" t="s">
        <v>93</v>
      </c>
      <c r="CY14" t="s">
        <v>93</v>
      </c>
      <c r="CZ14" t="s">
        <v>93</v>
      </c>
      <c r="DA14" t="s">
        <v>93</v>
      </c>
      <c r="DB14" t="s">
        <v>94</v>
      </c>
      <c r="DC14" t="s">
        <v>94</v>
      </c>
      <c r="DD14" t="s">
        <v>94</v>
      </c>
      <c r="DE14" t="s">
        <v>94</v>
      </c>
      <c r="DF14" t="s">
        <v>94</v>
      </c>
      <c r="DG14" t="s">
        <v>94</v>
      </c>
      <c r="DH14" t="s">
        <v>94</v>
      </c>
      <c r="DI14" t="s">
        <v>94</v>
      </c>
      <c r="DJ14" t="s">
        <v>94</v>
      </c>
      <c r="DK14" t="s">
        <v>94</v>
      </c>
      <c r="DL14" t="s">
        <v>94</v>
      </c>
      <c r="DM14" t="s">
        <v>94</v>
      </c>
      <c r="DN14" t="s">
        <v>94</v>
      </c>
      <c r="DO14" t="s">
        <v>94</v>
      </c>
      <c r="DP14" t="s">
        <v>94</v>
      </c>
      <c r="DQ14" t="s">
        <v>94</v>
      </c>
      <c r="DR14" t="s">
        <v>94</v>
      </c>
      <c r="DS14" t="s">
        <v>94</v>
      </c>
      <c r="DT14" t="s">
        <v>95</v>
      </c>
      <c r="DU14" t="s">
        <v>95</v>
      </c>
      <c r="DV14" t="s">
        <v>95</v>
      </c>
      <c r="DW14" t="s">
        <v>95</v>
      </c>
      <c r="DX14" t="s">
        <v>95</v>
      </c>
      <c r="DY14" t="s">
        <v>95</v>
      </c>
      <c r="DZ14" t="s">
        <v>95</v>
      </c>
      <c r="EA14" t="s">
        <v>95</v>
      </c>
      <c r="EB14" t="s">
        <v>95</v>
      </c>
      <c r="EC14" t="s">
        <v>95</v>
      </c>
      <c r="ED14" t="s">
        <v>96</v>
      </c>
      <c r="EE14" t="s">
        <v>96</v>
      </c>
      <c r="EF14" t="s">
        <v>96</v>
      </c>
      <c r="EG14" t="s">
        <v>96</v>
      </c>
      <c r="EH14" t="s">
        <v>96</v>
      </c>
      <c r="EI14" t="s">
        <v>96</v>
      </c>
      <c r="EJ14" t="s">
        <v>96</v>
      </c>
      <c r="EK14" t="s">
        <v>96</v>
      </c>
      <c r="EL14" t="s">
        <v>96</v>
      </c>
      <c r="EM14" t="s">
        <v>96</v>
      </c>
      <c r="EN14" t="s">
        <v>96</v>
      </c>
      <c r="EO14" t="s">
        <v>96</v>
      </c>
      <c r="EP14" t="s">
        <v>96</v>
      </c>
      <c r="EQ14" t="s">
        <v>96</v>
      </c>
      <c r="ER14" t="s">
        <v>96</v>
      </c>
      <c r="ES14" t="s">
        <v>96</v>
      </c>
      <c r="ET14" t="s">
        <v>96</v>
      </c>
      <c r="EU14" t="s">
        <v>96</v>
      </c>
      <c r="EV14" t="s">
        <v>97</v>
      </c>
      <c r="EW14" t="s">
        <v>97</v>
      </c>
      <c r="EX14" t="s">
        <v>97</v>
      </c>
      <c r="EY14" t="s">
        <v>97</v>
      </c>
      <c r="EZ14" t="s">
        <v>97</v>
      </c>
      <c r="FA14" t="s">
        <v>98</v>
      </c>
      <c r="FB14" t="s">
        <v>98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98</v>
      </c>
      <c r="FL14" t="s">
        <v>98</v>
      </c>
      <c r="FM14" t="s">
        <v>98</v>
      </c>
      <c r="FN14" t="s">
        <v>99</v>
      </c>
      <c r="FO14" t="s">
        <v>99</v>
      </c>
      <c r="FP14" t="s">
        <v>99</v>
      </c>
      <c r="FQ14" t="s">
        <v>99</v>
      </c>
      <c r="FR14" t="s">
        <v>99</v>
      </c>
      <c r="FS14" t="s">
        <v>99</v>
      </c>
      <c r="FT14" t="s">
        <v>99</v>
      </c>
      <c r="FU14" t="s">
        <v>99</v>
      </c>
      <c r="FV14" t="s">
        <v>99</v>
      </c>
      <c r="FW14" t="s">
        <v>99</v>
      </c>
      <c r="FX14" t="s">
        <v>99</v>
      </c>
      <c r="FY14" t="s">
        <v>99</v>
      </c>
      <c r="FZ14" t="s">
        <v>99</v>
      </c>
      <c r="GA14" t="s">
        <v>99</v>
      </c>
      <c r="GB14" t="s">
        <v>99</v>
      </c>
      <c r="GC14" t="s">
        <v>100</v>
      </c>
      <c r="GD14" t="s">
        <v>100</v>
      </c>
      <c r="GE14" t="s">
        <v>100</v>
      </c>
      <c r="GF14" t="s">
        <v>100</v>
      </c>
      <c r="GG14" t="s">
        <v>100</v>
      </c>
      <c r="GH14" t="s">
        <v>100</v>
      </c>
      <c r="GI14" t="s">
        <v>100</v>
      </c>
      <c r="GJ14" t="s">
        <v>100</v>
      </c>
      <c r="GK14" t="s">
        <v>100</v>
      </c>
      <c r="GL14" t="s">
        <v>100</v>
      </c>
      <c r="GM14" t="s">
        <v>100</v>
      </c>
      <c r="GN14" t="s">
        <v>100</v>
      </c>
      <c r="GO14" t="s">
        <v>100</v>
      </c>
      <c r="GP14" t="s">
        <v>100</v>
      </c>
      <c r="GQ14" t="s">
        <v>100</v>
      </c>
      <c r="GR14" t="s">
        <v>100</v>
      </c>
      <c r="GS14" t="s">
        <v>100</v>
      </c>
      <c r="GT14" t="s">
        <v>100</v>
      </c>
      <c r="GU14" t="s">
        <v>101</v>
      </c>
      <c r="GV14" t="s">
        <v>101</v>
      </c>
      <c r="GW14" t="s">
        <v>101</v>
      </c>
      <c r="GX14" t="s">
        <v>101</v>
      </c>
      <c r="GY14" t="s">
        <v>101</v>
      </c>
      <c r="GZ14" t="s">
        <v>101</v>
      </c>
      <c r="HA14" t="s">
        <v>101</v>
      </c>
      <c r="HB14" t="s">
        <v>101</v>
      </c>
      <c r="HC14" t="s">
        <v>101</v>
      </c>
      <c r="HD14" t="s">
        <v>101</v>
      </c>
      <c r="HE14" t="s">
        <v>101</v>
      </c>
      <c r="HF14" t="s">
        <v>101</v>
      </c>
      <c r="HG14" t="s">
        <v>101</v>
      </c>
      <c r="HH14" t="s">
        <v>101</v>
      </c>
      <c r="HI14" t="s">
        <v>101</v>
      </c>
      <c r="HJ14" t="s">
        <v>101</v>
      </c>
      <c r="HK14" t="s">
        <v>101</v>
      </c>
      <c r="HL14" t="s">
        <v>101</v>
      </c>
      <c r="HM14" t="s">
        <v>101</v>
      </c>
      <c r="HN14" t="s">
        <v>102</v>
      </c>
      <c r="HO14" t="s">
        <v>102</v>
      </c>
      <c r="HP14" t="s">
        <v>102</v>
      </c>
      <c r="HQ14" t="s">
        <v>102</v>
      </c>
      <c r="HR14" t="s">
        <v>102</v>
      </c>
      <c r="HS14" t="s">
        <v>102</v>
      </c>
      <c r="HT14" t="s">
        <v>102</v>
      </c>
      <c r="HU14" t="s">
        <v>102</v>
      </c>
      <c r="HV14" t="s">
        <v>102</v>
      </c>
      <c r="HW14" t="s">
        <v>102</v>
      </c>
      <c r="HX14" t="s">
        <v>102</v>
      </c>
      <c r="HY14" t="s">
        <v>102</v>
      </c>
      <c r="HZ14" t="s">
        <v>102</v>
      </c>
      <c r="IA14" t="s">
        <v>102</v>
      </c>
      <c r="IB14" t="s">
        <v>102</v>
      </c>
      <c r="IC14" t="s">
        <v>102</v>
      </c>
      <c r="ID14" t="s">
        <v>102</v>
      </c>
      <c r="IE14" t="s">
        <v>102</v>
      </c>
      <c r="IF14" t="s">
        <v>102</v>
      </c>
      <c r="IG14" t="s">
        <v>103</v>
      </c>
      <c r="IH14" t="s">
        <v>103</v>
      </c>
      <c r="II14" t="s">
        <v>103</v>
      </c>
      <c r="IJ14" t="s">
        <v>103</v>
      </c>
      <c r="IK14" t="s">
        <v>103</v>
      </c>
      <c r="IL14" t="s">
        <v>103</v>
      </c>
      <c r="IM14" t="s">
        <v>103</v>
      </c>
      <c r="IN14" t="s">
        <v>103</v>
      </c>
      <c r="IO14" t="s">
        <v>103</v>
      </c>
      <c r="IP14" t="s">
        <v>103</v>
      </c>
      <c r="IQ14" t="s">
        <v>103</v>
      </c>
      <c r="IR14" t="s">
        <v>103</v>
      </c>
      <c r="IS14" t="s">
        <v>103</v>
      </c>
      <c r="IT14" t="s">
        <v>103</v>
      </c>
      <c r="IU14" t="s">
        <v>103</v>
      </c>
      <c r="IV14" t="s">
        <v>103</v>
      </c>
      <c r="IW14" t="s">
        <v>103</v>
      </c>
      <c r="IX14" t="s">
        <v>103</v>
      </c>
      <c r="IY14" t="s">
        <v>104</v>
      </c>
      <c r="IZ14" t="s">
        <v>104</v>
      </c>
      <c r="JA14" t="s">
        <v>104</v>
      </c>
      <c r="JB14" t="s">
        <v>104</v>
      </c>
      <c r="JC14" t="s">
        <v>104</v>
      </c>
      <c r="JD14" t="s">
        <v>104</v>
      </c>
      <c r="JE14" t="s">
        <v>104</v>
      </c>
      <c r="JF14" t="s">
        <v>104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105</v>
      </c>
      <c r="JO14" t="s">
        <v>105</v>
      </c>
      <c r="JP14" t="s">
        <v>105</v>
      </c>
      <c r="JQ14" t="s">
        <v>105</v>
      </c>
      <c r="JR14" t="s">
        <v>105</v>
      </c>
      <c r="JS14" t="s">
        <v>105</v>
      </c>
      <c r="JT14" t="s">
        <v>105</v>
      </c>
      <c r="JU14" t="s">
        <v>105</v>
      </c>
      <c r="JV14" t="s">
        <v>105</v>
      </c>
    </row>
    <row r="15" spans="1:282" x14ac:dyDescent="0.3">
      <c r="A15" t="s">
        <v>106</v>
      </c>
      <c r="B15" t="s">
        <v>107</v>
      </c>
      <c r="C15" t="s">
        <v>108</v>
      </c>
      <c r="D15" t="s">
        <v>109</v>
      </c>
      <c r="E15" t="s">
        <v>110</v>
      </c>
      <c r="F15" t="s">
        <v>111</v>
      </c>
      <c r="G15" t="s">
        <v>112</v>
      </c>
      <c r="H15" t="s">
        <v>113</v>
      </c>
      <c r="I15" t="s">
        <v>114</v>
      </c>
      <c r="J15" t="s">
        <v>115</v>
      </c>
      <c r="K15" t="s">
        <v>116</v>
      </c>
      <c r="L15" t="s">
        <v>117</v>
      </c>
      <c r="M15" t="s">
        <v>118</v>
      </c>
      <c r="N15" t="s">
        <v>119</v>
      </c>
      <c r="O15" t="s">
        <v>120</v>
      </c>
      <c r="P15" t="s">
        <v>121</v>
      </c>
      <c r="Q15" t="s">
        <v>122</v>
      </c>
      <c r="R15" t="s">
        <v>123</v>
      </c>
      <c r="S15" t="s">
        <v>124</v>
      </c>
      <c r="T15" t="s">
        <v>125</v>
      </c>
      <c r="U15" t="s">
        <v>126</v>
      </c>
      <c r="V15" t="s">
        <v>127</v>
      </c>
      <c r="W15" t="s">
        <v>128</v>
      </c>
      <c r="X15" t="s">
        <v>129</v>
      </c>
      <c r="Y15" t="s">
        <v>130</v>
      </c>
      <c r="Z15" t="s">
        <v>131</v>
      </c>
      <c r="AA15" t="s">
        <v>132</v>
      </c>
      <c r="AB15" t="s">
        <v>133</v>
      </c>
      <c r="AC15" t="s">
        <v>134</v>
      </c>
      <c r="AD15" t="s">
        <v>135</v>
      </c>
      <c r="AE15" t="s">
        <v>88</v>
      </c>
      <c r="AF15" t="s">
        <v>136</v>
      </c>
      <c r="AG15" t="s">
        <v>137</v>
      </c>
      <c r="AH15" t="s">
        <v>138</v>
      </c>
      <c r="AI15" t="s">
        <v>139</v>
      </c>
      <c r="AJ15" t="s">
        <v>140</v>
      </c>
      <c r="AK15" t="s">
        <v>141</v>
      </c>
      <c r="AL15" t="s">
        <v>142</v>
      </c>
      <c r="AM15" t="s">
        <v>143</v>
      </c>
      <c r="AN15" t="s">
        <v>144</v>
      </c>
      <c r="AO15" t="s">
        <v>145</v>
      </c>
      <c r="AP15" t="s">
        <v>146</v>
      </c>
      <c r="AQ15" t="s">
        <v>147</v>
      </c>
      <c r="AR15" t="s">
        <v>148</v>
      </c>
      <c r="AS15" t="s">
        <v>149</v>
      </c>
      <c r="AT15" t="s">
        <v>150</v>
      </c>
      <c r="AU15" t="s">
        <v>151</v>
      </c>
      <c r="AV15" t="s">
        <v>152</v>
      </c>
      <c r="AW15" t="s">
        <v>153</v>
      </c>
      <c r="AX15" t="s">
        <v>154</v>
      </c>
      <c r="AY15" t="s">
        <v>155</v>
      </c>
      <c r="AZ15" t="s">
        <v>156</v>
      </c>
      <c r="BA15" t="s">
        <v>157</v>
      </c>
      <c r="BB15" t="s">
        <v>158</v>
      </c>
      <c r="BC15" t="s">
        <v>159</v>
      </c>
      <c r="BD15" t="s">
        <v>160</v>
      </c>
      <c r="BE15" t="s">
        <v>161</v>
      </c>
      <c r="BF15" t="s">
        <v>162</v>
      </c>
      <c r="BG15" t="s">
        <v>163</v>
      </c>
      <c r="BH15" t="s">
        <v>164</v>
      </c>
      <c r="BI15" t="s">
        <v>165</v>
      </c>
      <c r="BJ15" t="s">
        <v>166</v>
      </c>
      <c r="BK15" t="s">
        <v>167</v>
      </c>
      <c r="BL15" t="s">
        <v>168</v>
      </c>
      <c r="BM15" t="s">
        <v>169</v>
      </c>
      <c r="BN15" t="s">
        <v>170</v>
      </c>
      <c r="BO15" t="s">
        <v>171</v>
      </c>
      <c r="BP15" t="s">
        <v>172</v>
      </c>
      <c r="BQ15" t="s">
        <v>173</v>
      </c>
      <c r="BR15" t="s">
        <v>174</v>
      </c>
      <c r="BS15" t="s">
        <v>175</v>
      </c>
      <c r="BT15" t="s">
        <v>176</v>
      </c>
      <c r="BU15" t="s">
        <v>177</v>
      </c>
      <c r="BV15" t="s">
        <v>178</v>
      </c>
      <c r="BW15" t="s">
        <v>179</v>
      </c>
      <c r="BX15" t="s">
        <v>180</v>
      </c>
      <c r="BY15" t="s">
        <v>181</v>
      </c>
      <c r="BZ15" t="s">
        <v>182</v>
      </c>
      <c r="CA15" t="s">
        <v>183</v>
      </c>
      <c r="CB15" t="s">
        <v>184</v>
      </c>
      <c r="CC15" t="s">
        <v>185</v>
      </c>
      <c r="CD15" t="s">
        <v>186</v>
      </c>
      <c r="CE15" t="s">
        <v>187</v>
      </c>
      <c r="CF15" t="s">
        <v>188</v>
      </c>
      <c r="CG15" t="s">
        <v>168</v>
      </c>
      <c r="CH15" t="s">
        <v>189</v>
      </c>
      <c r="CI15" t="s">
        <v>190</v>
      </c>
      <c r="CJ15" t="s">
        <v>191</v>
      </c>
      <c r="CK15" t="s">
        <v>142</v>
      </c>
      <c r="CL15" t="s">
        <v>192</v>
      </c>
      <c r="CM15" t="s">
        <v>193</v>
      </c>
      <c r="CN15" t="s">
        <v>194</v>
      </c>
      <c r="CO15" t="s">
        <v>195</v>
      </c>
      <c r="CP15" t="s">
        <v>196</v>
      </c>
      <c r="CQ15" t="s">
        <v>197</v>
      </c>
      <c r="CR15" t="s">
        <v>198</v>
      </c>
      <c r="CS15" t="s">
        <v>199</v>
      </c>
      <c r="CT15" t="s">
        <v>200</v>
      </c>
      <c r="CU15" t="s">
        <v>201</v>
      </c>
      <c r="CV15" t="s">
        <v>202</v>
      </c>
      <c r="CW15" t="s">
        <v>203</v>
      </c>
      <c r="CX15" t="s">
        <v>204</v>
      </c>
      <c r="CY15" t="s">
        <v>205</v>
      </c>
      <c r="CZ15" t="s">
        <v>206</v>
      </c>
      <c r="DA15" t="s">
        <v>207</v>
      </c>
      <c r="DB15" t="s">
        <v>112</v>
      </c>
      <c r="DC15" t="s">
        <v>208</v>
      </c>
      <c r="DD15" t="s">
        <v>209</v>
      </c>
      <c r="DE15" t="s">
        <v>210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107</v>
      </c>
      <c r="FB15" t="s">
        <v>110</v>
      </c>
      <c r="FC15" t="s">
        <v>258</v>
      </c>
      <c r="FD15" t="s">
        <v>259</v>
      </c>
      <c r="FE15" t="s">
        <v>260</v>
      </c>
      <c r="FF15" t="s">
        <v>261</v>
      </c>
      <c r="FG15" t="s">
        <v>262</v>
      </c>
      <c r="FH15" t="s">
        <v>263</v>
      </c>
      <c r="FI15" t="s">
        <v>264</v>
      </c>
      <c r="FJ15" t="s">
        <v>265</v>
      </c>
      <c r="FK15" t="s">
        <v>266</v>
      </c>
      <c r="FL15" t="s">
        <v>267</v>
      </c>
      <c r="FM15" t="s">
        <v>268</v>
      </c>
      <c r="FN15" t="s">
        <v>269</v>
      </c>
      <c r="FO15" t="s">
        <v>270</v>
      </c>
      <c r="FP15" t="s">
        <v>271</v>
      </c>
      <c r="FQ15" t="s">
        <v>272</v>
      </c>
      <c r="FR15" t="s">
        <v>273</v>
      </c>
      <c r="FS15" t="s">
        <v>274</v>
      </c>
      <c r="FT15" t="s">
        <v>275</v>
      </c>
      <c r="FU15" t="s">
        <v>276</v>
      </c>
      <c r="FV15" t="s">
        <v>277</v>
      </c>
      <c r="FW15" t="s">
        <v>278</v>
      </c>
      <c r="FX15" t="s">
        <v>279</v>
      </c>
      <c r="FY15" t="s">
        <v>280</v>
      </c>
      <c r="FZ15" t="s">
        <v>281</v>
      </c>
      <c r="GA15" t="s">
        <v>282</v>
      </c>
      <c r="GB15" t="s">
        <v>283</v>
      </c>
      <c r="GC15" t="s">
        <v>284</v>
      </c>
      <c r="GD15" t="s">
        <v>285</v>
      </c>
      <c r="GE15" t="s">
        <v>286</v>
      </c>
      <c r="GF15" t="s">
        <v>287</v>
      </c>
      <c r="GG15" t="s">
        <v>288</v>
      </c>
      <c r="GH15" t="s">
        <v>289</v>
      </c>
      <c r="GI15" t="s">
        <v>290</v>
      </c>
      <c r="GJ15" t="s">
        <v>291</v>
      </c>
      <c r="GK15" t="s">
        <v>292</v>
      </c>
      <c r="GL15" t="s">
        <v>293</v>
      </c>
      <c r="GM15" t="s">
        <v>294</v>
      </c>
      <c r="GN15" t="s">
        <v>295</v>
      </c>
      <c r="GO15" t="s">
        <v>296</v>
      </c>
      <c r="GP15" t="s">
        <v>297</v>
      </c>
      <c r="GQ15" t="s">
        <v>298</v>
      </c>
      <c r="GR15" t="s">
        <v>299</v>
      </c>
      <c r="GS15" t="s">
        <v>300</v>
      </c>
      <c r="GT15" t="s">
        <v>301</v>
      </c>
      <c r="GU15" t="s">
        <v>302</v>
      </c>
      <c r="GV15" t="s">
        <v>303</v>
      </c>
      <c r="GW15" t="s">
        <v>304</v>
      </c>
      <c r="GX15" t="s">
        <v>305</v>
      </c>
      <c r="GY15" t="s">
        <v>306</v>
      </c>
      <c r="GZ15" t="s">
        <v>307</v>
      </c>
      <c r="HA15" t="s">
        <v>308</v>
      </c>
      <c r="HB15" t="s">
        <v>309</v>
      </c>
      <c r="HC15" t="s">
        <v>310</v>
      </c>
      <c r="HD15" t="s">
        <v>311</v>
      </c>
      <c r="HE15" t="s">
        <v>312</v>
      </c>
      <c r="HF15" t="s">
        <v>313</v>
      </c>
      <c r="HG15" t="s">
        <v>314</v>
      </c>
      <c r="HH15" t="s">
        <v>315</v>
      </c>
      <c r="HI15" t="s">
        <v>316</v>
      </c>
      <c r="HJ15" t="s">
        <v>317</v>
      </c>
      <c r="HK15" t="s">
        <v>318</v>
      </c>
      <c r="HL15" t="s">
        <v>319</v>
      </c>
      <c r="HM15" t="s">
        <v>320</v>
      </c>
      <c r="HN15" t="s">
        <v>321</v>
      </c>
      <c r="HO15" t="s">
        <v>322</v>
      </c>
      <c r="HP15" t="s">
        <v>323</v>
      </c>
      <c r="HQ15" t="s">
        <v>324</v>
      </c>
      <c r="HR15" t="s">
        <v>325</v>
      </c>
      <c r="HS15" t="s">
        <v>326</v>
      </c>
      <c r="HT15" t="s">
        <v>327</v>
      </c>
      <c r="HU15" t="s">
        <v>328</v>
      </c>
      <c r="HV15" t="s">
        <v>329</v>
      </c>
      <c r="HW15" t="s">
        <v>330</v>
      </c>
      <c r="HX15" t="s">
        <v>331</v>
      </c>
      <c r="HY15" t="s">
        <v>332</v>
      </c>
      <c r="HZ15" t="s">
        <v>333</v>
      </c>
      <c r="IA15" t="s">
        <v>334</v>
      </c>
      <c r="IB15" t="s">
        <v>335</v>
      </c>
      <c r="IC15" t="s">
        <v>336</v>
      </c>
      <c r="ID15" t="s">
        <v>337</v>
      </c>
      <c r="IE15" t="s">
        <v>338</v>
      </c>
      <c r="IF15" t="s">
        <v>339</v>
      </c>
      <c r="IG15" t="s">
        <v>340</v>
      </c>
      <c r="IH15" t="s">
        <v>341</v>
      </c>
      <c r="II15" t="s">
        <v>342</v>
      </c>
      <c r="IJ15" t="s">
        <v>343</v>
      </c>
      <c r="IK15" t="s">
        <v>344</v>
      </c>
      <c r="IL15" t="s">
        <v>345</v>
      </c>
      <c r="IM15" t="s">
        <v>346</v>
      </c>
      <c r="IN15" t="s">
        <v>347</v>
      </c>
      <c r="IO15" t="s">
        <v>348</v>
      </c>
      <c r="IP15" t="s">
        <v>349</v>
      </c>
      <c r="IQ15" t="s">
        <v>350</v>
      </c>
      <c r="IR15" t="s">
        <v>351</v>
      </c>
      <c r="IS15" t="s">
        <v>352</v>
      </c>
      <c r="IT15" t="s">
        <v>353</v>
      </c>
      <c r="IU15" t="s">
        <v>354</v>
      </c>
      <c r="IV15" t="s">
        <v>355</v>
      </c>
      <c r="IW15" t="s">
        <v>356</v>
      </c>
      <c r="IX15" t="s">
        <v>357</v>
      </c>
      <c r="IY15" t="s">
        <v>358</v>
      </c>
      <c r="IZ15" t="s">
        <v>359</v>
      </c>
      <c r="JA15" t="s">
        <v>360</v>
      </c>
      <c r="JB15" t="s">
        <v>361</v>
      </c>
      <c r="JC15" t="s">
        <v>362</v>
      </c>
      <c r="JD15" t="s">
        <v>363</v>
      </c>
      <c r="JE15" t="s">
        <v>364</v>
      </c>
      <c r="JF15" t="s">
        <v>365</v>
      </c>
      <c r="JG15" t="s">
        <v>366</v>
      </c>
      <c r="JH15" t="s">
        <v>367</v>
      </c>
      <c r="JI15" t="s">
        <v>368</v>
      </c>
      <c r="JJ15" t="s">
        <v>369</v>
      </c>
      <c r="JK15" t="s">
        <v>370</v>
      </c>
      <c r="JL15" t="s">
        <v>371</v>
      </c>
      <c r="JM15" t="s">
        <v>372</v>
      </c>
      <c r="JN15" t="s">
        <v>373</v>
      </c>
      <c r="JO15" t="s">
        <v>374</v>
      </c>
      <c r="JP15" t="s">
        <v>375</v>
      </c>
      <c r="JQ15" t="s">
        <v>376</v>
      </c>
      <c r="JR15" t="s">
        <v>377</v>
      </c>
      <c r="JS15" t="s">
        <v>378</v>
      </c>
      <c r="JT15" t="s">
        <v>379</v>
      </c>
      <c r="JU15" t="s">
        <v>380</v>
      </c>
      <c r="JV15" t="s">
        <v>381</v>
      </c>
    </row>
    <row r="16" spans="1:282" x14ac:dyDescent="0.3">
      <c r="B16" t="s">
        <v>382</v>
      </c>
      <c r="C16" t="s">
        <v>382</v>
      </c>
      <c r="F16" t="s">
        <v>382</v>
      </c>
      <c r="G16" t="s">
        <v>382</v>
      </c>
      <c r="H16" t="s">
        <v>383</v>
      </c>
      <c r="I16" t="s">
        <v>384</v>
      </c>
      <c r="J16" t="s">
        <v>385</v>
      </c>
      <c r="K16" t="s">
        <v>386</v>
      </c>
      <c r="L16" t="s">
        <v>386</v>
      </c>
      <c r="M16" t="s">
        <v>215</v>
      </c>
      <c r="N16" t="s">
        <v>215</v>
      </c>
      <c r="O16" t="s">
        <v>383</v>
      </c>
      <c r="P16" t="s">
        <v>383</v>
      </c>
      <c r="Q16" t="s">
        <v>383</v>
      </c>
      <c r="R16" t="s">
        <v>383</v>
      </c>
      <c r="S16" t="s">
        <v>387</v>
      </c>
      <c r="T16" t="s">
        <v>388</v>
      </c>
      <c r="U16" t="s">
        <v>388</v>
      </c>
      <c r="V16" t="s">
        <v>389</v>
      </c>
      <c r="W16" t="s">
        <v>390</v>
      </c>
      <c r="X16" t="s">
        <v>389</v>
      </c>
      <c r="Y16" t="s">
        <v>389</v>
      </c>
      <c r="Z16" t="s">
        <v>389</v>
      </c>
      <c r="AA16" t="s">
        <v>387</v>
      </c>
      <c r="AB16" t="s">
        <v>387</v>
      </c>
      <c r="AC16" t="s">
        <v>387</v>
      </c>
      <c r="AD16" t="s">
        <v>387</v>
      </c>
      <c r="AE16" t="s">
        <v>391</v>
      </c>
      <c r="AF16" t="s">
        <v>390</v>
      </c>
      <c r="AH16" t="s">
        <v>390</v>
      </c>
      <c r="AI16" t="s">
        <v>391</v>
      </c>
      <c r="AO16" t="s">
        <v>385</v>
      </c>
      <c r="AV16" t="s">
        <v>385</v>
      </c>
      <c r="AW16" t="s">
        <v>385</v>
      </c>
      <c r="AX16" t="s">
        <v>385</v>
      </c>
      <c r="AY16" t="s">
        <v>392</v>
      </c>
      <c r="BM16" t="s">
        <v>393</v>
      </c>
      <c r="BO16" t="s">
        <v>393</v>
      </c>
      <c r="BP16" t="s">
        <v>385</v>
      </c>
      <c r="BS16" t="s">
        <v>393</v>
      </c>
      <c r="BT16" t="s">
        <v>390</v>
      </c>
      <c r="BW16" t="s">
        <v>394</v>
      </c>
      <c r="BX16" t="s">
        <v>394</v>
      </c>
      <c r="BZ16" t="s">
        <v>395</v>
      </c>
      <c r="CA16" t="s">
        <v>393</v>
      </c>
      <c r="CC16" t="s">
        <v>393</v>
      </c>
      <c r="CD16" t="s">
        <v>385</v>
      </c>
      <c r="CH16" t="s">
        <v>393</v>
      </c>
      <c r="CJ16" t="s">
        <v>396</v>
      </c>
      <c r="CM16" t="s">
        <v>393</v>
      </c>
      <c r="CN16" t="s">
        <v>393</v>
      </c>
      <c r="CP16" t="s">
        <v>393</v>
      </c>
      <c r="CR16" t="s">
        <v>393</v>
      </c>
      <c r="CT16" t="s">
        <v>385</v>
      </c>
      <c r="CU16" t="s">
        <v>385</v>
      </c>
      <c r="CW16" t="s">
        <v>397</v>
      </c>
      <c r="CX16" t="s">
        <v>398</v>
      </c>
      <c r="DA16" t="s">
        <v>383</v>
      </c>
      <c r="DB16" t="s">
        <v>382</v>
      </c>
      <c r="DC16" t="s">
        <v>386</v>
      </c>
      <c r="DD16" t="s">
        <v>386</v>
      </c>
      <c r="DE16" t="s">
        <v>399</v>
      </c>
      <c r="DF16" t="s">
        <v>399</v>
      </c>
      <c r="DG16" t="s">
        <v>386</v>
      </c>
      <c r="DH16" t="s">
        <v>399</v>
      </c>
      <c r="DI16" t="s">
        <v>391</v>
      </c>
      <c r="DJ16" t="s">
        <v>389</v>
      </c>
      <c r="DK16" t="s">
        <v>389</v>
      </c>
      <c r="DL16" t="s">
        <v>388</v>
      </c>
      <c r="DM16" t="s">
        <v>388</v>
      </c>
      <c r="DN16" t="s">
        <v>388</v>
      </c>
      <c r="DO16" t="s">
        <v>388</v>
      </c>
      <c r="DP16" t="s">
        <v>388</v>
      </c>
      <c r="DQ16" t="s">
        <v>400</v>
      </c>
      <c r="DR16" t="s">
        <v>385</v>
      </c>
      <c r="DS16" t="s">
        <v>385</v>
      </c>
      <c r="DT16" t="s">
        <v>386</v>
      </c>
      <c r="DU16" t="s">
        <v>386</v>
      </c>
      <c r="DV16" t="s">
        <v>386</v>
      </c>
      <c r="DW16" t="s">
        <v>399</v>
      </c>
      <c r="DX16" t="s">
        <v>386</v>
      </c>
      <c r="DY16" t="s">
        <v>399</v>
      </c>
      <c r="DZ16" t="s">
        <v>389</v>
      </c>
      <c r="EA16" t="s">
        <v>389</v>
      </c>
      <c r="EB16" t="s">
        <v>388</v>
      </c>
      <c r="EC16" t="s">
        <v>388</v>
      </c>
      <c r="ED16" t="s">
        <v>385</v>
      </c>
      <c r="EI16" t="s">
        <v>385</v>
      </c>
      <c r="EL16" t="s">
        <v>388</v>
      </c>
      <c r="EM16" t="s">
        <v>388</v>
      </c>
      <c r="EN16" t="s">
        <v>388</v>
      </c>
      <c r="EO16" t="s">
        <v>388</v>
      </c>
      <c r="EP16" t="s">
        <v>388</v>
      </c>
      <c r="EQ16" t="s">
        <v>385</v>
      </c>
      <c r="ER16" t="s">
        <v>385</v>
      </c>
      <c r="ES16" t="s">
        <v>385</v>
      </c>
      <c r="ET16" t="s">
        <v>382</v>
      </c>
      <c r="EW16" t="s">
        <v>401</v>
      </c>
      <c r="EX16" t="s">
        <v>401</v>
      </c>
      <c r="EZ16" t="s">
        <v>382</v>
      </c>
      <c r="FA16" t="s">
        <v>402</v>
      </c>
      <c r="FC16" t="s">
        <v>382</v>
      </c>
      <c r="FD16" t="s">
        <v>382</v>
      </c>
      <c r="FF16" t="s">
        <v>403</v>
      </c>
      <c r="FG16" t="s">
        <v>404</v>
      </c>
      <c r="FH16" t="s">
        <v>403</v>
      </c>
      <c r="FI16" t="s">
        <v>404</v>
      </c>
      <c r="FJ16" t="s">
        <v>403</v>
      </c>
      <c r="FK16" t="s">
        <v>404</v>
      </c>
      <c r="FL16" t="s">
        <v>390</v>
      </c>
      <c r="FM16" t="s">
        <v>390</v>
      </c>
      <c r="FN16" t="s">
        <v>385</v>
      </c>
      <c r="FO16" t="s">
        <v>405</v>
      </c>
      <c r="FP16" t="s">
        <v>385</v>
      </c>
      <c r="FR16" t="s">
        <v>386</v>
      </c>
      <c r="FS16" t="s">
        <v>406</v>
      </c>
      <c r="FT16" t="s">
        <v>386</v>
      </c>
      <c r="FW16" t="s">
        <v>407</v>
      </c>
      <c r="GC16" t="s">
        <v>408</v>
      </c>
      <c r="GD16" t="s">
        <v>408</v>
      </c>
      <c r="GQ16" t="s">
        <v>408</v>
      </c>
      <c r="GR16" t="s">
        <v>408</v>
      </c>
      <c r="GS16" t="s">
        <v>409</v>
      </c>
      <c r="GT16" t="s">
        <v>409</v>
      </c>
      <c r="GU16" t="s">
        <v>388</v>
      </c>
      <c r="GV16" t="s">
        <v>388</v>
      </c>
      <c r="GW16" t="s">
        <v>390</v>
      </c>
      <c r="GX16" t="s">
        <v>388</v>
      </c>
      <c r="GY16" t="s">
        <v>399</v>
      </c>
      <c r="GZ16" t="s">
        <v>390</v>
      </c>
      <c r="HA16" t="s">
        <v>390</v>
      </c>
      <c r="HC16" t="s">
        <v>408</v>
      </c>
      <c r="HD16" t="s">
        <v>408</v>
      </c>
      <c r="HE16" t="s">
        <v>408</v>
      </c>
      <c r="HF16" t="s">
        <v>408</v>
      </c>
      <c r="HG16" t="s">
        <v>408</v>
      </c>
      <c r="HH16" t="s">
        <v>408</v>
      </c>
      <c r="HI16" t="s">
        <v>408</v>
      </c>
      <c r="HJ16" t="s">
        <v>410</v>
      </c>
      <c r="HK16" t="s">
        <v>411</v>
      </c>
      <c r="HL16" t="s">
        <v>410</v>
      </c>
      <c r="HM16" t="s">
        <v>410</v>
      </c>
      <c r="HN16" t="s">
        <v>408</v>
      </c>
      <c r="HO16" t="s">
        <v>408</v>
      </c>
      <c r="HP16" t="s">
        <v>408</v>
      </c>
      <c r="HQ16" t="s">
        <v>408</v>
      </c>
      <c r="HR16" t="s">
        <v>408</v>
      </c>
      <c r="HS16" t="s">
        <v>408</v>
      </c>
      <c r="HT16" t="s">
        <v>408</v>
      </c>
      <c r="HU16" t="s">
        <v>408</v>
      </c>
      <c r="HV16" t="s">
        <v>408</v>
      </c>
      <c r="HW16" t="s">
        <v>408</v>
      </c>
      <c r="HX16" t="s">
        <v>408</v>
      </c>
      <c r="HY16" t="s">
        <v>408</v>
      </c>
      <c r="IF16" t="s">
        <v>408</v>
      </c>
      <c r="IG16" t="s">
        <v>390</v>
      </c>
      <c r="IH16" t="s">
        <v>390</v>
      </c>
      <c r="II16" t="s">
        <v>403</v>
      </c>
      <c r="IJ16" t="s">
        <v>404</v>
      </c>
      <c r="IK16" t="s">
        <v>403</v>
      </c>
      <c r="IO16" t="s">
        <v>404</v>
      </c>
      <c r="IS16" t="s">
        <v>386</v>
      </c>
      <c r="IT16" t="s">
        <v>386</v>
      </c>
      <c r="IU16" t="s">
        <v>399</v>
      </c>
      <c r="IV16" t="s">
        <v>399</v>
      </c>
      <c r="IW16" t="s">
        <v>412</v>
      </c>
      <c r="IX16" t="s">
        <v>412</v>
      </c>
      <c r="IY16" t="s">
        <v>408</v>
      </c>
      <c r="IZ16" t="s">
        <v>408</v>
      </c>
      <c r="JA16" t="s">
        <v>408</v>
      </c>
      <c r="JB16" t="s">
        <v>408</v>
      </c>
      <c r="JC16" t="s">
        <v>408</v>
      </c>
      <c r="JD16" t="s">
        <v>408</v>
      </c>
      <c r="JE16" t="s">
        <v>388</v>
      </c>
      <c r="JF16" t="s">
        <v>408</v>
      </c>
      <c r="JH16" t="s">
        <v>391</v>
      </c>
      <c r="JI16" t="s">
        <v>391</v>
      </c>
      <c r="JJ16" t="s">
        <v>388</v>
      </c>
      <c r="JK16" t="s">
        <v>388</v>
      </c>
      <c r="JL16" t="s">
        <v>388</v>
      </c>
      <c r="JM16" t="s">
        <v>388</v>
      </c>
      <c r="JN16" t="s">
        <v>388</v>
      </c>
      <c r="JO16" t="s">
        <v>390</v>
      </c>
      <c r="JP16" t="s">
        <v>390</v>
      </c>
      <c r="JQ16" t="s">
        <v>390</v>
      </c>
      <c r="JR16" t="s">
        <v>388</v>
      </c>
      <c r="JS16" t="s">
        <v>386</v>
      </c>
      <c r="JT16" t="s">
        <v>399</v>
      </c>
      <c r="JU16" t="s">
        <v>390</v>
      </c>
      <c r="JV16" t="s">
        <v>390</v>
      </c>
    </row>
    <row r="17" spans="1:282" x14ac:dyDescent="0.3">
      <c r="A17">
        <v>1</v>
      </c>
      <c r="B17">
        <v>1792136790.0999999</v>
      </c>
      <c r="C17">
        <v>0</v>
      </c>
      <c r="D17" t="s">
        <v>413</v>
      </c>
      <c r="E17" t="s">
        <v>414</v>
      </c>
      <c r="F17">
        <v>5</v>
      </c>
      <c r="G17">
        <v>1792136786.5999999</v>
      </c>
      <c r="H17">
        <f t="shared" ref="H17:H25" si="0">(I17)/1000</f>
        <v>4.2477945959080452E-3</v>
      </c>
      <c r="I17">
        <f t="shared" ref="I17:I25" si="1">1000*DI17*AG17*(DE17-DF17)/(100*CX17*(1000-AG17*DE17))</f>
        <v>4.2477945959080454</v>
      </c>
      <c r="J17">
        <f t="shared" ref="J17:J25" si="2">DI17*AG17*(DD17-DC17*(1000-AG17*DF17)/(1000-AG17*DE17))/(100*CX17)</f>
        <v>22.484922329882771</v>
      </c>
      <c r="K17">
        <f t="shared" ref="K17:K25" si="3">DC17 - IF(AG17&gt;1, J17*CX17*100/(AI17), 0)</f>
        <v>400.02716666666697</v>
      </c>
      <c r="L17">
        <f t="shared" ref="L17:L25" si="4">((R17-H17/2)*K17-J17)/(R17+H17/2)</f>
        <v>273.18021632562051</v>
      </c>
      <c r="M17">
        <f t="shared" ref="M17:M25" si="5">L17*(DJ17+DK17)/1000</f>
        <v>27.809928738535948</v>
      </c>
      <c r="N17">
        <f t="shared" ref="N17:N25" si="6">(DC17 - IF(AG17&gt;1, J17*CX17*100/(AI17), 0))*(DJ17+DK17)/1000</f>
        <v>40.723033124837251</v>
      </c>
      <c r="O17">
        <f t="shared" ref="O17:O25" si="7">2/((1/Q17-1/P17)+SIGN(Q17)*SQRT((1/Q17-1/P17)*(1/Q17-1/P17) + 4*CY17/((CY17+1)*(CY17+1))*(2*1/Q17*1/P17-1/P17*1/P17)))</f>
        <v>0.31653737678203842</v>
      </c>
      <c r="P17">
        <f t="shared" ref="P17:P25" si="8">IF(LEFT(CZ17,1)&lt;&gt;"0",IF(LEFT(CZ17,1)="1",3,DA17),$D$5+$E$5*(DQ17*DJ17/($K$5*1000))+$F$5*(DQ17*DJ17/($K$5*1000))*MAX(MIN(CX17,$J$5),$I$5)*MAX(MIN(CX17,$J$5),$I$5)+$G$5*MAX(MIN(CX17,$J$5),$I$5)*(DQ17*DJ17/($K$5*1000))+$H$5*(DQ17*DJ17/($K$5*1000))*(DQ17*DJ17/($K$5*1000)))</f>
        <v>3.0396977945211359</v>
      </c>
      <c r="Q17">
        <f t="shared" ref="Q17:Q25" si="9">H17*(1000-(1000*0.61365*EXP(17.502*U17/(240.97+U17))/(DJ17+DK17)+DE17)/2)/(1000*0.61365*EXP(17.502*U17/(240.97+U17))/(DJ17+DK17)-DE17)</f>
        <v>0.29929878865420334</v>
      </c>
      <c r="R17">
        <f t="shared" ref="R17:R25" si="10">1/((CY17+1)/(O17/1.6)+1/(P17/1.37)) + CY17/((CY17+1)/(O17/1.6) + CY17/(P17/1.37))</f>
        <v>0.18853228719558912</v>
      </c>
      <c r="S17">
        <f t="shared" ref="S17:S25" si="11">(CT17*CW17)</f>
        <v>241.73338500293204</v>
      </c>
      <c r="T17">
        <f t="shared" ref="T17:T25" si="12">(DL17+(S17+2*0.95*0.0000000567*(((DL17+$B$7)+273)^4-(DL17+273)^4)-44100*H17)/(1.84*29.3*P17+8*0.95*0.0000000567*(DL17+273)^3))</f>
        <v>25.56092533314769</v>
      </c>
      <c r="U17">
        <f t="shared" ref="U17:U25" si="13">($C$7*DM17+$D$7*DN17+$E$7*T17)</f>
        <v>25.026583333333299</v>
      </c>
      <c r="V17">
        <f t="shared" ref="V17:V25" si="14">0.61365*EXP(17.502*U17/(240.97+U17))</f>
        <v>3.1847204699425027</v>
      </c>
      <c r="W17">
        <f t="shared" ref="W17:W25" si="15">(X17/Y17*100)</f>
        <v>54.999732403466083</v>
      </c>
      <c r="X17">
        <f t="shared" ref="X17:X25" si="16">DE17*(DJ17+DK17)/1000</f>
        <v>1.7751118361599658</v>
      </c>
      <c r="Y17">
        <f t="shared" ref="Y17:Y25" si="17">0.61365*EXP(17.502*DL17/(240.97+DL17))</f>
        <v>3.2274917687564932</v>
      </c>
      <c r="Z17">
        <f t="shared" ref="Z17:Z25" si="18">(V17-DE17*(DJ17+DK17)/1000)</f>
        <v>1.4096086337825369</v>
      </c>
      <c r="AA17">
        <f t="shared" ref="AA17:AA25" si="19">(-H17*44100)</f>
        <v>-187.3277416795448</v>
      </c>
      <c r="AB17">
        <f t="shared" ref="AB17:AB25" si="20">2*29.3*P17*0.92*(DL17-U17)</f>
        <v>36.708265999602091</v>
      </c>
      <c r="AC17">
        <f t="shared" ref="AC17:AC25" si="21">2*0.95*0.0000000567*(((DL17+$B$7)+273)^4-(U17+273)^4)</f>
        <v>2.5579925853008318</v>
      </c>
      <c r="AD17">
        <f t="shared" ref="AD17:AD25" si="22">S17+AC17+AA17+AB17</f>
        <v>93.671901908290167</v>
      </c>
      <c r="AE17">
        <v>0</v>
      </c>
      <c r="AF17">
        <v>0</v>
      </c>
      <c r="AG17">
        <f t="shared" ref="AG17:AG25" si="23">IF(AE17*$H$13&gt;=AI17,1,(AI17/(AI17-AE17*$H$13)))</f>
        <v>1</v>
      </c>
      <c r="AH17">
        <f t="shared" ref="AH17:AH25" si="24">(AG17-1)*100</f>
        <v>0</v>
      </c>
      <c r="AI17">
        <f t="shared" ref="AI17:AI25" si="25">MAX(0,($B$13+$C$13*DQ17)/(1+$D$13*DQ17)*DJ17/(DL17+273)*$E$13)</f>
        <v>54112.453456323645</v>
      </c>
      <c r="AJ17" t="s">
        <v>415</v>
      </c>
      <c r="AK17">
        <v>8123.51</v>
      </c>
      <c r="AL17">
        <v>207.29499999999999</v>
      </c>
      <c r="AM17">
        <v>955.27281112415801</v>
      </c>
      <c r="AN17">
        <f t="shared" ref="AN17:AN25" si="26">1-AL17/AM17</f>
        <v>0.78299916255749313</v>
      </c>
      <c r="AO17">
        <v>-1.30156516113038</v>
      </c>
      <c r="AP17" t="s">
        <v>416</v>
      </c>
      <c r="AQ17">
        <v>8141.92</v>
      </c>
      <c r="AR17">
        <v>327.62227999999999</v>
      </c>
      <c r="AS17">
        <v>448.11955363545701</v>
      </c>
      <c r="AT17">
        <f t="shared" ref="AT17:AT25" si="27">1-AR17/AS17</f>
        <v>0.2688953710185138</v>
      </c>
      <c r="AU17">
        <v>0.5</v>
      </c>
      <c r="AV17">
        <f t="shared" ref="AV17:AV25" si="28">CU17</f>
        <v>1261.1925994833819</v>
      </c>
      <c r="AW17">
        <f t="shared" ref="AW17:AW25" si="29">J17</f>
        <v>22.484922329882771</v>
      </c>
      <c r="AX17">
        <f t="shared" ref="AX17:AX25" si="30">AT17*AU17*AV17</f>
        <v>169.56442598194391</v>
      </c>
      <c r="AY17">
        <f t="shared" ref="AY17:AY25" si="31">(AW17-AO17)/AV17</f>
        <v>1.8860313246966982E-2</v>
      </c>
      <c r="AZ17">
        <f t="shared" ref="AZ17:AZ25" si="32">(AM17-AS17)/AS17</f>
        <v>1.1317365050784363</v>
      </c>
      <c r="BA17">
        <f t="shared" ref="BA17:BA25" si="33">AL17/(AN17+AL17/AS17)</f>
        <v>166.42343887614311</v>
      </c>
      <c r="BB17" t="s">
        <v>417</v>
      </c>
      <c r="BC17">
        <v>0</v>
      </c>
      <c r="BD17">
        <f t="shared" ref="BD17:BD25" si="34">IF(BC17&lt;&gt;0, BC17, BA17)</f>
        <v>166.42343887614311</v>
      </c>
      <c r="BE17">
        <f t="shared" ref="BE17:BE25" si="35">1-BD17/AS17</f>
        <v>0.62861821688877306</v>
      </c>
      <c r="BF17">
        <f t="shared" ref="BF17:BF25" si="36">(AS17-AR17)/(AS17-BD17)</f>
        <v>0.42775624980987759</v>
      </c>
      <c r="BG17">
        <f t="shared" ref="BG17:BG25" si="37">(AM17-AS17)/(AM17-BD17)</f>
        <v>0.64290253035690015</v>
      </c>
      <c r="BH17">
        <f t="shared" ref="BH17:BH25" si="38">(AS17-AR17)/(AS17-AL17)</f>
        <v>0.50035294082951842</v>
      </c>
      <c r="BI17">
        <f t="shared" ref="BI17:BI25" si="39">(AM17-AS17)/(AM17-AL17)</f>
        <v>0.67803248966234086</v>
      </c>
      <c r="BJ17">
        <f t="shared" ref="BJ17:BJ25" si="40">(BF17*BD17/AR17)</f>
        <v>0.2172888427921397</v>
      </c>
      <c r="BK17">
        <f t="shared" ref="BK17:BK25" si="41">(1-BJ17)</f>
        <v>0.78271115720786033</v>
      </c>
      <c r="BL17">
        <v>1112</v>
      </c>
      <c r="BM17">
        <v>290</v>
      </c>
      <c r="BN17">
        <v>417.68</v>
      </c>
      <c r="BO17">
        <v>215</v>
      </c>
      <c r="BP17">
        <v>8141.92</v>
      </c>
      <c r="BQ17">
        <v>417.69</v>
      </c>
      <c r="BR17">
        <v>-0.01</v>
      </c>
      <c r="BS17">
        <v>300</v>
      </c>
      <c r="BT17">
        <v>19.3</v>
      </c>
      <c r="BU17">
        <v>448.11955363545701</v>
      </c>
      <c r="BV17">
        <v>1.4499495057671601</v>
      </c>
      <c r="BW17">
        <v>-24.7725289012918</v>
      </c>
      <c r="BX17">
        <v>1.0790502290375401</v>
      </c>
      <c r="BY17">
        <v>0.94955470607232895</v>
      </c>
      <c r="BZ17">
        <v>-4.4003105672970003E-3</v>
      </c>
      <c r="CA17">
        <v>290</v>
      </c>
      <c r="CB17">
        <v>417.37</v>
      </c>
      <c r="CC17">
        <v>695</v>
      </c>
      <c r="CD17">
        <v>8126.44</v>
      </c>
      <c r="CE17">
        <v>417.64</v>
      </c>
      <c r="CF17">
        <v>-0.27</v>
      </c>
      <c r="CT17">
        <f t="shared" ref="CT17:CT25" si="42">$B$11*DR17+$C$11*DS17+$F$11*ED17*(1-EG17)</f>
        <v>1499.9783333333301</v>
      </c>
      <c r="CU17">
        <f t="shared" ref="CU17:CU25" si="43">CT17*CV17</f>
        <v>1261.1925994833819</v>
      </c>
      <c r="CV17">
        <f t="shared" ref="CV17:CV25" si="44">($B$11*$D$9+$C$11*$D$9+$F$11*((EQ17+EI17)/MAX(EQ17+EI17+ER17, 0.1)*$I$9+ER17/MAX(EQ17+EI17+ER17, 0.1)*$J$9))/($B$11+$C$11+$F$11)</f>
        <v>0.84080721131530878</v>
      </c>
      <c r="CW17">
        <f t="shared" ref="CW17:CW25" si="45">($B$11*$K$9+$C$11*$K$9+$F$11*((EQ17+EI17)/MAX(EQ17+EI17+ER17, 0.1)*$P$9+ER17/MAX(EQ17+EI17+ER17, 0.1)*$Q$9))/($B$11+$C$11+$F$11)</f>
        <v>0.16115791783854605</v>
      </c>
      <c r="CX17">
        <v>2</v>
      </c>
      <c r="CY17">
        <v>0.5</v>
      </c>
      <c r="CZ17" t="s">
        <v>418</v>
      </c>
      <c r="DA17">
        <v>2</v>
      </c>
      <c r="DB17">
        <v>1792136786.5999999</v>
      </c>
      <c r="DC17">
        <v>400.02716666666697</v>
      </c>
      <c r="DD17">
        <v>409.70049999999998</v>
      </c>
      <c r="DE17">
        <v>17.4371333333333</v>
      </c>
      <c r="DF17">
        <v>15.7677</v>
      </c>
      <c r="DG17">
        <v>399.173</v>
      </c>
      <c r="DH17">
        <v>17.546683333333299</v>
      </c>
      <c r="DI17">
        <v>500.017</v>
      </c>
      <c r="DJ17">
        <v>101.700666666667</v>
      </c>
      <c r="DK17">
        <v>0.10000218333333299</v>
      </c>
      <c r="DL17">
        <v>25.250583333333299</v>
      </c>
      <c r="DM17">
        <v>25.026583333333299</v>
      </c>
      <c r="DN17">
        <v>999.9</v>
      </c>
      <c r="DO17">
        <v>0</v>
      </c>
      <c r="DP17">
        <v>0</v>
      </c>
      <c r="DQ17">
        <v>10003.9683333333</v>
      </c>
      <c r="DR17">
        <v>0</v>
      </c>
      <c r="DS17">
        <v>6.6017700000000001</v>
      </c>
      <c r="DT17">
        <v>-9.6735216666666695</v>
      </c>
      <c r="DU17">
        <v>407.12633333333298</v>
      </c>
      <c r="DV17">
        <v>416.26400000000001</v>
      </c>
      <c r="DW17">
        <v>1.66940166666667</v>
      </c>
      <c r="DX17">
        <v>409.70049999999998</v>
      </c>
      <c r="DY17">
        <v>15.7677</v>
      </c>
      <c r="DZ17">
        <v>1.7733650000000001</v>
      </c>
      <c r="EA17">
        <v>1.603585</v>
      </c>
      <c r="EB17">
        <v>15.554</v>
      </c>
      <c r="EC17">
        <v>13.993316666666701</v>
      </c>
      <c r="ED17">
        <v>1499.9783333333301</v>
      </c>
      <c r="EE17">
        <v>0.97300466666666696</v>
      </c>
      <c r="EF17">
        <v>2.6995233333333299E-2</v>
      </c>
      <c r="EG17">
        <v>0</v>
      </c>
      <c r="EH17">
        <v>327.588666666667</v>
      </c>
      <c r="EI17">
        <v>5.0006399999999998</v>
      </c>
      <c r="EJ17">
        <v>5088.28</v>
      </c>
      <c r="EK17">
        <v>15439</v>
      </c>
      <c r="EL17">
        <v>41.186999999999998</v>
      </c>
      <c r="EM17">
        <v>41.875</v>
      </c>
      <c r="EN17">
        <v>41.5103333333333</v>
      </c>
      <c r="EO17">
        <v>41.5</v>
      </c>
      <c r="EP17">
        <v>42.686999999999998</v>
      </c>
      <c r="EQ17">
        <v>1454.6183333333299</v>
      </c>
      <c r="ER17">
        <v>40.36</v>
      </c>
      <c r="ES17">
        <v>0</v>
      </c>
      <c r="ET17">
        <v>6846.8999998569498</v>
      </c>
      <c r="EU17">
        <v>0</v>
      </c>
      <c r="EV17">
        <v>327.62227999999999</v>
      </c>
      <c r="EW17">
        <v>0.25376922911782201</v>
      </c>
      <c r="EX17">
        <v>-1.20153844386458</v>
      </c>
      <c r="EY17">
        <v>5088.4120000000003</v>
      </c>
      <c r="EZ17">
        <v>15</v>
      </c>
      <c r="FA17">
        <v>1792136490.0999999</v>
      </c>
      <c r="FB17" t="s">
        <v>419</v>
      </c>
      <c r="FC17">
        <v>1792136490.0999999</v>
      </c>
      <c r="FD17">
        <v>1792136484.0999999</v>
      </c>
      <c r="FE17">
        <v>72</v>
      </c>
      <c r="FF17">
        <v>0.23599999999999999</v>
      </c>
      <c r="FG17">
        <v>4.0000000000000001E-3</v>
      </c>
      <c r="FH17">
        <v>0.85799999999999998</v>
      </c>
      <c r="FI17">
        <v>-0.17399999999999999</v>
      </c>
      <c r="FJ17">
        <v>410</v>
      </c>
      <c r="FK17">
        <v>16</v>
      </c>
      <c r="FL17">
        <v>0.22</v>
      </c>
      <c r="FM17">
        <v>0.04</v>
      </c>
      <c r="FN17">
        <v>22.484581311697401</v>
      </c>
      <c r="FO17">
        <v>-0.45148999207375101</v>
      </c>
      <c r="FP17">
        <v>0.13094690014058399</v>
      </c>
      <c r="FQ17">
        <v>1</v>
      </c>
      <c r="FR17">
        <v>-9.6807423809523794</v>
      </c>
      <c r="FS17">
        <v>0.219108311688305</v>
      </c>
      <c r="FT17">
        <v>5.3350711683989901E-2</v>
      </c>
      <c r="FU17">
        <v>1</v>
      </c>
      <c r="FV17">
        <v>327.64935294117703</v>
      </c>
      <c r="FW17">
        <v>-0.50869365757061602</v>
      </c>
      <c r="FX17">
        <v>0.17350892202063001</v>
      </c>
      <c r="FY17">
        <v>1</v>
      </c>
      <c r="FZ17">
        <v>3</v>
      </c>
      <c r="GA17">
        <v>3</v>
      </c>
      <c r="GB17" t="s">
        <v>420</v>
      </c>
      <c r="GC17">
        <v>3.1232500000000001</v>
      </c>
      <c r="GD17">
        <v>2.7652700000000001</v>
      </c>
      <c r="GE17">
        <v>8.8068300000000002E-2</v>
      </c>
      <c r="GF17">
        <v>9.20401E-2</v>
      </c>
      <c r="GG17">
        <v>9.3557299999999996E-2</v>
      </c>
      <c r="GH17">
        <v>8.9991799999999997E-2</v>
      </c>
      <c r="GI17">
        <v>17748.2</v>
      </c>
      <c r="GJ17">
        <v>26641.5</v>
      </c>
      <c r="GK17">
        <v>22743.9</v>
      </c>
      <c r="GL17">
        <v>30068.6</v>
      </c>
      <c r="GM17">
        <v>33823.199999999997</v>
      </c>
      <c r="GN17">
        <v>34094.1</v>
      </c>
      <c r="GO17">
        <v>43040.9</v>
      </c>
      <c r="GP17">
        <v>42831.9</v>
      </c>
      <c r="GQ17">
        <v>1.94743</v>
      </c>
      <c r="GR17">
        <v>1.80243</v>
      </c>
      <c r="GS17">
        <v>7.0389400000000005E-2</v>
      </c>
      <c r="GT17">
        <v>0</v>
      </c>
      <c r="GU17">
        <v>23.889600000000002</v>
      </c>
      <c r="GV17">
        <v>999.9</v>
      </c>
      <c r="GW17">
        <v>36.838999999999999</v>
      </c>
      <c r="GX17">
        <v>34.07</v>
      </c>
      <c r="GY17">
        <v>19.427299999999999</v>
      </c>
      <c r="GZ17">
        <v>63.485199999999999</v>
      </c>
      <c r="HA17">
        <v>36.2941</v>
      </c>
      <c r="HB17">
        <v>1</v>
      </c>
      <c r="HC17">
        <v>0.114047</v>
      </c>
      <c r="HD17">
        <v>2.2723200000000001</v>
      </c>
      <c r="HE17">
        <v>20.215299999999999</v>
      </c>
      <c r="HF17">
        <v>5.2337600000000002</v>
      </c>
      <c r="HG17">
        <v>11.962</v>
      </c>
      <c r="HH17">
        <v>4.9687000000000001</v>
      </c>
      <c r="HI17">
        <v>3.2951999999999999</v>
      </c>
      <c r="HJ17">
        <v>9999</v>
      </c>
      <c r="HK17">
        <v>999.9</v>
      </c>
      <c r="HL17">
        <v>9999</v>
      </c>
      <c r="HM17">
        <v>9999</v>
      </c>
      <c r="HN17">
        <v>4.96868</v>
      </c>
      <c r="HO17">
        <v>1.8627899999999999</v>
      </c>
      <c r="HP17">
        <v>1.86432</v>
      </c>
      <c r="HQ17">
        <v>1.86616</v>
      </c>
      <c r="HR17">
        <v>1.8632200000000001</v>
      </c>
      <c r="HS17">
        <v>1.8669100000000001</v>
      </c>
      <c r="HT17">
        <v>1.8636600000000001</v>
      </c>
      <c r="HU17">
        <v>1.86554</v>
      </c>
      <c r="HV17">
        <v>0</v>
      </c>
      <c r="HW17">
        <v>0</v>
      </c>
      <c r="HX17">
        <v>0</v>
      </c>
      <c r="HY17">
        <v>0</v>
      </c>
      <c r="HZ17" t="s">
        <v>421</v>
      </c>
      <c r="IA17" t="s">
        <v>422</v>
      </c>
      <c r="IB17" t="s">
        <v>423</v>
      </c>
      <c r="IC17" t="s">
        <v>423</v>
      </c>
      <c r="ID17" t="s">
        <v>423</v>
      </c>
      <c r="IE17" t="s">
        <v>423</v>
      </c>
      <c r="IF17">
        <v>0</v>
      </c>
      <c r="IG17">
        <v>100</v>
      </c>
      <c r="IH17">
        <v>100</v>
      </c>
      <c r="II17">
        <v>0.85399999999999998</v>
      </c>
      <c r="IJ17">
        <v>-0.1091</v>
      </c>
      <c r="IK17">
        <v>0.72756088760397097</v>
      </c>
      <c r="IL17">
        <v>2.16929631606078E-4</v>
      </c>
      <c r="IM17">
        <v>2.7226302473163502E-7</v>
      </c>
      <c r="IN17">
        <v>-5.4379205123515401E-11</v>
      </c>
      <c r="IO17">
        <v>-2.1739555751775001E-2</v>
      </c>
      <c r="IP17">
        <v>-5.8443384954566899E-2</v>
      </c>
      <c r="IQ17">
        <v>3.41568706061026E-3</v>
      </c>
      <c r="IR17">
        <v>-2.10952612506686E-5</v>
      </c>
      <c r="IS17">
        <v>0</v>
      </c>
      <c r="IT17">
        <v>1734</v>
      </c>
      <c r="IU17">
        <v>2</v>
      </c>
      <c r="IV17">
        <v>19</v>
      </c>
      <c r="IW17">
        <v>5</v>
      </c>
      <c r="IX17">
        <v>5.0999999999999996</v>
      </c>
      <c r="IY17">
        <v>1.07056</v>
      </c>
      <c r="IZ17">
        <v>2.5598100000000001</v>
      </c>
      <c r="JA17">
        <v>1.3464400000000001</v>
      </c>
      <c r="JB17">
        <v>2.2558600000000002</v>
      </c>
      <c r="JC17">
        <v>1.5502899999999999</v>
      </c>
      <c r="JD17">
        <v>2.6355</v>
      </c>
      <c r="JE17">
        <v>38.599499999999999</v>
      </c>
      <c r="JF17">
        <v>16.215900000000001</v>
      </c>
      <c r="JG17">
        <v>18</v>
      </c>
      <c r="JH17">
        <v>490.32900000000001</v>
      </c>
      <c r="JI17">
        <v>473.62799999999999</v>
      </c>
      <c r="JJ17">
        <v>21.689800000000002</v>
      </c>
      <c r="JK17">
        <v>28.673200000000001</v>
      </c>
      <c r="JL17">
        <v>29.9999</v>
      </c>
      <c r="JM17">
        <v>28.6633</v>
      </c>
      <c r="JN17">
        <v>28.678999999999998</v>
      </c>
      <c r="JO17">
        <v>21.444500000000001</v>
      </c>
      <c r="JP17">
        <v>26.063600000000001</v>
      </c>
      <c r="JQ17">
        <v>38.36</v>
      </c>
      <c r="JR17">
        <v>21.6921</v>
      </c>
      <c r="JS17">
        <v>409.57100000000003</v>
      </c>
      <c r="JT17">
        <v>15.7658</v>
      </c>
      <c r="JU17">
        <v>101.624</v>
      </c>
      <c r="JV17">
        <v>97.255399999999995</v>
      </c>
    </row>
    <row r="18" spans="1:282" x14ac:dyDescent="0.3">
      <c r="A18">
        <v>2</v>
      </c>
      <c r="B18">
        <v>1792136919.0999999</v>
      </c>
      <c r="C18">
        <v>129</v>
      </c>
      <c r="D18" t="s">
        <v>424</v>
      </c>
      <c r="E18" t="s">
        <v>425</v>
      </c>
      <c r="F18">
        <v>5</v>
      </c>
      <c r="G18">
        <v>1792136916.0999999</v>
      </c>
      <c r="H18">
        <f t="shared" si="0"/>
        <v>3.8624279713032417E-3</v>
      </c>
      <c r="I18">
        <f t="shared" si="1"/>
        <v>3.8624279713032417</v>
      </c>
      <c r="J18">
        <f t="shared" si="2"/>
        <v>21.188229152466473</v>
      </c>
      <c r="K18">
        <f t="shared" si="3"/>
        <v>400.07479999999998</v>
      </c>
      <c r="L18">
        <f t="shared" si="4"/>
        <v>267.88119874788157</v>
      </c>
      <c r="M18">
        <f t="shared" si="5"/>
        <v>27.271474712482497</v>
      </c>
      <c r="N18">
        <f t="shared" si="6"/>
        <v>40.729360038328458</v>
      </c>
      <c r="O18">
        <f t="shared" si="7"/>
        <v>0.28411011395555275</v>
      </c>
      <c r="P18">
        <f t="shared" si="8"/>
        <v>3.0418896941917031</v>
      </c>
      <c r="Q18">
        <f t="shared" si="9"/>
        <v>0.27014840013003361</v>
      </c>
      <c r="R18">
        <f t="shared" si="10"/>
        <v>0.17003996340320648</v>
      </c>
      <c r="S18">
        <f t="shared" si="11"/>
        <v>193.80261718208732</v>
      </c>
      <c r="T18">
        <f t="shared" si="12"/>
        <v>25.543391410736362</v>
      </c>
      <c r="U18">
        <f t="shared" si="13"/>
        <v>25.089919999999999</v>
      </c>
      <c r="V18">
        <f t="shared" si="14"/>
        <v>3.1967636596697933</v>
      </c>
      <c r="W18">
        <f t="shared" si="15"/>
        <v>54.53310638873441</v>
      </c>
      <c r="X18">
        <f t="shared" si="16"/>
        <v>1.7767772892432649</v>
      </c>
      <c r="Y18">
        <f t="shared" si="17"/>
        <v>3.2581626224951608</v>
      </c>
      <c r="Z18">
        <f t="shared" si="18"/>
        <v>1.4199863704265283</v>
      </c>
      <c r="AA18">
        <f t="shared" si="19"/>
        <v>-170.33307353447296</v>
      </c>
      <c r="AB18">
        <f t="shared" si="20"/>
        <v>52.428995994686382</v>
      </c>
      <c r="AC18">
        <f t="shared" si="21"/>
        <v>3.6549358979024604</v>
      </c>
      <c r="AD18">
        <f t="shared" si="22"/>
        <v>79.553475540203181</v>
      </c>
      <c r="AE18">
        <v>0</v>
      </c>
      <c r="AF18">
        <v>0</v>
      </c>
      <c r="AG18">
        <f t="shared" si="23"/>
        <v>1</v>
      </c>
      <c r="AH18">
        <f t="shared" si="24"/>
        <v>0</v>
      </c>
      <c r="AI18">
        <f t="shared" si="25"/>
        <v>54152.426612856842</v>
      </c>
      <c r="AJ18" t="s">
        <v>415</v>
      </c>
      <c r="AK18">
        <v>8123.51</v>
      </c>
      <c r="AL18">
        <v>207.29499999999999</v>
      </c>
      <c r="AM18">
        <v>955.27281112415801</v>
      </c>
      <c r="AN18">
        <f t="shared" si="26"/>
        <v>0.78299916255749313</v>
      </c>
      <c r="AO18">
        <v>-1.30156516113038</v>
      </c>
      <c r="AP18" t="s">
        <v>426</v>
      </c>
      <c r="AQ18">
        <v>8143.87</v>
      </c>
      <c r="AR18">
        <v>326.98360000000002</v>
      </c>
      <c r="AS18">
        <v>491.38431130800302</v>
      </c>
      <c r="AT18">
        <f t="shared" si="27"/>
        <v>0.3345664636105069</v>
      </c>
      <c r="AU18">
        <v>0.5</v>
      </c>
      <c r="AV18">
        <f t="shared" si="28"/>
        <v>1009.178159368957</v>
      </c>
      <c r="AW18">
        <f t="shared" si="29"/>
        <v>21.188229152466473</v>
      </c>
      <c r="AX18">
        <f t="shared" si="30"/>
        <v>168.81858396651626</v>
      </c>
      <c r="AY18">
        <f t="shared" si="31"/>
        <v>2.2285256676244172E-2</v>
      </c>
      <c r="AZ18">
        <f t="shared" si="32"/>
        <v>0.94404418118548061</v>
      </c>
      <c r="BA18">
        <f t="shared" si="33"/>
        <v>172.0492663721256</v>
      </c>
      <c r="BB18" t="s">
        <v>417</v>
      </c>
      <c r="BC18">
        <v>0</v>
      </c>
      <c r="BD18">
        <f t="shared" si="34"/>
        <v>172.0492663721256</v>
      </c>
      <c r="BE18">
        <f t="shared" si="35"/>
        <v>0.64986821432260999</v>
      </c>
      <c r="BF18">
        <f t="shared" si="36"/>
        <v>0.51482201504383807</v>
      </c>
      <c r="BG18">
        <f t="shared" si="37"/>
        <v>0.59228109640526894</v>
      </c>
      <c r="BH18">
        <f t="shared" si="38"/>
        <v>0.57869375849119342</v>
      </c>
      <c r="BI18">
        <f t="shared" si="39"/>
        <v>0.62019018868883713</v>
      </c>
      <c r="BJ18">
        <f t="shared" si="40"/>
        <v>0.27088438074726606</v>
      </c>
      <c r="BK18">
        <f t="shared" si="41"/>
        <v>0.72911561925273394</v>
      </c>
      <c r="BL18">
        <v>1113</v>
      </c>
      <c r="BM18">
        <v>290</v>
      </c>
      <c r="BN18">
        <v>448.21</v>
      </c>
      <c r="BO18">
        <v>215</v>
      </c>
      <c r="BP18">
        <v>8143.87</v>
      </c>
      <c r="BQ18">
        <v>447.83</v>
      </c>
      <c r="BR18">
        <v>0.38</v>
      </c>
      <c r="BS18">
        <v>300</v>
      </c>
      <c r="BT18">
        <v>19.3</v>
      </c>
      <c r="BU18">
        <v>491.38431130800302</v>
      </c>
      <c r="BV18">
        <v>1.9991607231838799</v>
      </c>
      <c r="BW18">
        <v>-35.472539613857599</v>
      </c>
      <c r="BX18">
        <v>1.4814826755370201</v>
      </c>
      <c r="BY18">
        <v>0.95343519379505803</v>
      </c>
      <c r="BZ18">
        <v>-4.6019750834260303E-3</v>
      </c>
      <c r="CA18">
        <v>290</v>
      </c>
      <c r="CB18">
        <v>445.12</v>
      </c>
      <c r="CC18">
        <v>665</v>
      </c>
      <c r="CD18">
        <v>8129.04</v>
      </c>
      <c r="CE18">
        <v>447.75</v>
      </c>
      <c r="CF18">
        <v>-2.63</v>
      </c>
      <c r="CT18">
        <f t="shared" si="42"/>
        <v>1199.9939999999999</v>
      </c>
      <c r="CU18">
        <f t="shared" si="43"/>
        <v>1009.178159368957</v>
      </c>
      <c r="CV18">
        <f t="shared" si="44"/>
        <v>0.84098600440415294</v>
      </c>
      <c r="CW18">
        <f t="shared" si="45"/>
        <v>0.16150298850001527</v>
      </c>
      <c r="CX18">
        <v>2</v>
      </c>
      <c r="CY18">
        <v>0.5</v>
      </c>
      <c r="CZ18" t="s">
        <v>418</v>
      </c>
      <c r="DA18">
        <v>2</v>
      </c>
      <c r="DB18">
        <v>1792136916.0999999</v>
      </c>
      <c r="DC18">
        <v>400.07479999999998</v>
      </c>
      <c r="DD18">
        <v>409.16419999999999</v>
      </c>
      <c r="DE18">
        <v>17.452860000000001</v>
      </c>
      <c r="DF18">
        <v>15.93552</v>
      </c>
      <c r="DG18">
        <v>399.22059999999999</v>
      </c>
      <c r="DH18">
        <v>17.56176</v>
      </c>
      <c r="DI18">
        <v>500.21980000000002</v>
      </c>
      <c r="DJ18">
        <v>101.7042</v>
      </c>
      <c r="DK18">
        <v>0.10016268</v>
      </c>
      <c r="DL18">
        <v>25.40962</v>
      </c>
      <c r="DM18">
        <v>25.089919999999999</v>
      </c>
      <c r="DN18">
        <v>999.9</v>
      </c>
      <c r="DO18">
        <v>0</v>
      </c>
      <c r="DP18">
        <v>0</v>
      </c>
      <c r="DQ18">
        <v>10016.879999999999</v>
      </c>
      <c r="DR18">
        <v>0</v>
      </c>
      <c r="DS18">
        <v>6.5952260000000003</v>
      </c>
      <c r="DT18">
        <v>-9.0892700000000008</v>
      </c>
      <c r="DU18">
        <v>407.1814</v>
      </c>
      <c r="DV18">
        <v>415.78980000000001</v>
      </c>
      <c r="DW18">
        <v>1.5173479999999999</v>
      </c>
      <c r="DX18">
        <v>409.16419999999999</v>
      </c>
      <c r="DY18">
        <v>15.93552</v>
      </c>
      <c r="DZ18">
        <v>1.7750300000000001</v>
      </c>
      <c r="EA18">
        <v>1.620708</v>
      </c>
      <c r="EB18">
        <v>15.568619999999999</v>
      </c>
      <c r="EC18">
        <v>14.1571</v>
      </c>
      <c r="ED18">
        <v>1199.9939999999999</v>
      </c>
      <c r="EE18">
        <v>0.96699500000000005</v>
      </c>
      <c r="EF18">
        <v>3.3005199999999998E-2</v>
      </c>
      <c r="EG18">
        <v>0</v>
      </c>
      <c r="EH18">
        <v>326.98439999999999</v>
      </c>
      <c r="EI18">
        <v>5.0006399999999998</v>
      </c>
      <c r="EJ18">
        <v>4050.0219999999999</v>
      </c>
      <c r="EK18">
        <v>12322.68</v>
      </c>
      <c r="EL18">
        <v>40.811999999999998</v>
      </c>
      <c r="EM18">
        <v>41.875</v>
      </c>
      <c r="EN18">
        <v>41.436999999999998</v>
      </c>
      <c r="EO18">
        <v>41.5</v>
      </c>
      <c r="EP18">
        <v>42.5</v>
      </c>
      <c r="EQ18">
        <v>1155.5540000000001</v>
      </c>
      <c r="ER18">
        <v>39.44</v>
      </c>
      <c r="ES18">
        <v>0</v>
      </c>
      <c r="ET18">
        <v>127.89999985694899</v>
      </c>
      <c r="EU18">
        <v>0</v>
      </c>
      <c r="EV18">
        <v>326.98360000000002</v>
      </c>
      <c r="EW18">
        <v>1.5503846195739599</v>
      </c>
      <c r="EX18">
        <v>8.0069230877624005</v>
      </c>
      <c r="EY18">
        <v>4049.45</v>
      </c>
      <c r="EZ18">
        <v>15</v>
      </c>
      <c r="FA18">
        <v>1792136490.0999999</v>
      </c>
      <c r="FB18" t="s">
        <v>419</v>
      </c>
      <c r="FC18">
        <v>1792136490.0999999</v>
      </c>
      <c r="FD18">
        <v>1792136484.0999999</v>
      </c>
      <c r="FE18">
        <v>72</v>
      </c>
      <c r="FF18">
        <v>0.23599999999999999</v>
      </c>
      <c r="FG18">
        <v>4.0000000000000001E-3</v>
      </c>
      <c r="FH18">
        <v>0.85799999999999998</v>
      </c>
      <c r="FI18">
        <v>-0.17399999999999999</v>
      </c>
      <c r="FJ18">
        <v>410</v>
      </c>
      <c r="FK18">
        <v>16</v>
      </c>
      <c r="FL18">
        <v>0.22</v>
      </c>
      <c r="FM18">
        <v>0.04</v>
      </c>
      <c r="FN18">
        <v>21.273238893497702</v>
      </c>
      <c r="FO18">
        <v>0.35677958571669099</v>
      </c>
      <c r="FP18">
        <v>7.8135412389325198E-2</v>
      </c>
      <c r="FQ18">
        <v>1</v>
      </c>
      <c r="FR18">
        <v>-9.1452674999999992</v>
      </c>
      <c r="FS18">
        <v>0.11242781954886499</v>
      </c>
      <c r="FT18">
        <v>3.5796928901094399E-2</v>
      </c>
      <c r="FU18">
        <v>1</v>
      </c>
      <c r="FV18">
        <v>326.911294117647</v>
      </c>
      <c r="FW18">
        <v>0.90294881711087205</v>
      </c>
      <c r="FX18">
        <v>0.20244222551454</v>
      </c>
      <c r="FY18">
        <v>1</v>
      </c>
      <c r="FZ18">
        <v>3</v>
      </c>
      <c r="GA18">
        <v>3</v>
      </c>
      <c r="GB18" t="s">
        <v>420</v>
      </c>
      <c r="GC18">
        <v>3.1234000000000002</v>
      </c>
      <c r="GD18">
        <v>2.7655099999999999</v>
      </c>
      <c r="GE18">
        <v>8.8075600000000004E-2</v>
      </c>
      <c r="GF18">
        <v>9.1939300000000002E-2</v>
      </c>
      <c r="GG18">
        <v>9.35666E-2</v>
      </c>
      <c r="GH18">
        <v>9.0673400000000001E-2</v>
      </c>
      <c r="GI18">
        <v>17746.900000000001</v>
      </c>
      <c r="GJ18">
        <v>26641.9</v>
      </c>
      <c r="GK18">
        <v>22742.400000000001</v>
      </c>
      <c r="GL18">
        <v>30065.7</v>
      </c>
      <c r="GM18">
        <v>33820.9</v>
      </c>
      <c r="GN18">
        <v>34065.199999999997</v>
      </c>
      <c r="GO18">
        <v>43038.400000000001</v>
      </c>
      <c r="GP18">
        <v>42827.9</v>
      </c>
      <c r="GQ18">
        <v>1.9468300000000001</v>
      </c>
      <c r="GR18">
        <v>1.8028200000000001</v>
      </c>
      <c r="GS18">
        <v>6.7122299999999996E-2</v>
      </c>
      <c r="GT18">
        <v>0</v>
      </c>
      <c r="GU18">
        <v>23.978899999999999</v>
      </c>
      <c r="GV18">
        <v>999.9</v>
      </c>
      <c r="GW18">
        <v>36.795999999999999</v>
      </c>
      <c r="GX18">
        <v>34.049999999999997</v>
      </c>
      <c r="GY18">
        <v>19.384499999999999</v>
      </c>
      <c r="GZ18">
        <v>63.1252</v>
      </c>
      <c r="HA18">
        <v>36.318100000000001</v>
      </c>
      <c r="HB18">
        <v>1</v>
      </c>
      <c r="HC18">
        <v>0.120155</v>
      </c>
      <c r="HD18">
        <v>2.9508299999999998</v>
      </c>
      <c r="HE18">
        <v>20.207599999999999</v>
      </c>
      <c r="HF18">
        <v>5.23421</v>
      </c>
      <c r="HG18">
        <v>11.963100000000001</v>
      </c>
      <c r="HH18">
        <v>4.96915</v>
      </c>
      <c r="HI18">
        <v>3.29535</v>
      </c>
      <c r="HJ18">
        <v>9999</v>
      </c>
      <c r="HK18">
        <v>999.9</v>
      </c>
      <c r="HL18">
        <v>9999</v>
      </c>
      <c r="HM18">
        <v>9999</v>
      </c>
      <c r="HN18">
        <v>4.9686399999999997</v>
      </c>
      <c r="HO18">
        <v>1.8627899999999999</v>
      </c>
      <c r="HP18">
        <v>1.86432</v>
      </c>
      <c r="HQ18">
        <v>1.86615</v>
      </c>
      <c r="HR18">
        <v>1.86314</v>
      </c>
      <c r="HS18">
        <v>1.8669100000000001</v>
      </c>
      <c r="HT18">
        <v>1.8635600000000001</v>
      </c>
      <c r="HU18">
        <v>1.86554</v>
      </c>
      <c r="HV18">
        <v>0</v>
      </c>
      <c r="HW18">
        <v>0</v>
      </c>
      <c r="HX18">
        <v>0</v>
      </c>
      <c r="HY18">
        <v>0</v>
      </c>
      <c r="HZ18" t="s">
        <v>421</v>
      </c>
      <c r="IA18" t="s">
        <v>422</v>
      </c>
      <c r="IB18" t="s">
        <v>423</v>
      </c>
      <c r="IC18" t="s">
        <v>423</v>
      </c>
      <c r="ID18" t="s">
        <v>423</v>
      </c>
      <c r="IE18" t="s">
        <v>423</v>
      </c>
      <c r="IF18">
        <v>0</v>
      </c>
      <c r="IG18">
        <v>100</v>
      </c>
      <c r="IH18">
        <v>100</v>
      </c>
      <c r="II18">
        <v>0.85399999999999998</v>
      </c>
      <c r="IJ18">
        <v>-0.109</v>
      </c>
      <c r="IK18">
        <v>0.72756088760397097</v>
      </c>
      <c r="IL18">
        <v>2.16929631606078E-4</v>
      </c>
      <c r="IM18">
        <v>2.7226302473163502E-7</v>
      </c>
      <c r="IN18">
        <v>-5.4379205123515401E-11</v>
      </c>
      <c r="IO18">
        <v>-2.1739555751775001E-2</v>
      </c>
      <c r="IP18">
        <v>-5.8443384954566899E-2</v>
      </c>
      <c r="IQ18">
        <v>3.41568706061026E-3</v>
      </c>
      <c r="IR18">
        <v>-2.10952612506686E-5</v>
      </c>
      <c r="IS18">
        <v>0</v>
      </c>
      <c r="IT18">
        <v>1734</v>
      </c>
      <c r="IU18">
        <v>2</v>
      </c>
      <c r="IV18">
        <v>19</v>
      </c>
      <c r="IW18">
        <v>7.2</v>
      </c>
      <c r="IX18">
        <v>7.2</v>
      </c>
      <c r="IY18">
        <v>1.06934</v>
      </c>
      <c r="IZ18">
        <v>2.5585900000000001</v>
      </c>
      <c r="JA18">
        <v>1.3464400000000001</v>
      </c>
      <c r="JB18">
        <v>2.2546400000000002</v>
      </c>
      <c r="JC18">
        <v>1.5502899999999999</v>
      </c>
      <c r="JD18">
        <v>2.7441399999999998</v>
      </c>
      <c r="JE18">
        <v>38.403399999999998</v>
      </c>
      <c r="JF18">
        <v>16.180900000000001</v>
      </c>
      <c r="JG18">
        <v>18</v>
      </c>
      <c r="JH18">
        <v>490.16300000000001</v>
      </c>
      <c r="JI18">
        <v>474.11799999999999</v>
      </c>
      <c r="JJ18">
        <v>22.159500000000001</v>
      </c>
      <c r="JK18">
        <v>28.692799999999998</v>
      </c>
      <c r="JL18">
        <v>29.9999</v>
      </c>
      <c r="JM18">
        <v>28.6875</v>
      </c>
      <c r="JN18">
        <v>28.703399999999998</v>
      </c>
      <c r="JO18">
        <v>21.4254</v>
      </c>
      <c r="JP18">
        <v>24.67</v>
      </c>
      <c r="JQ18">
        <v>37.987200000000001</v>
      </c>
      <c r="JR18">
        <v>22.167899999999999</v>
      </c>
      <c r="JS18">
        <v>409.03899999999999</v>
      </c>
      <c r="JT18">
        <v>16.031700000000001</v>
      </c>
      <c r="JU18">
        <v>101.61799999999999</v>
      </c>
      <c r="JV18">
        <v>97.246099999999998</v>
      </c>
    </row>
    <row r="19" spans="1:282" x14ac:dyDescent="0.3">
      <c r="A19">
        <v>3</v>
      </c>
      <c r="B19">
        <v>1792137053.0999999</v>
      </c>
      <c r="C19">
        <v>263</v>
      </c>
      <c r="D19" t="s">
        <v>427</v>
      </c>
      <c r="E19" t="s">
        <v>428</v>
      </c>
      <c r="F19">
        <v>5</v>
      </c>
      <c r="G19">
        <v>1792137050.0999999</v>
      </c>
      <c r="H19">
        <f t="shared" si="0"/>
        <v>3.4910020673656226E-3</v>
      </c>
      <c r="I19">
        <f t="shared" si="1"/>
        <v>3.4910020673656228</v>
      </c>
      <c r="J19">
        <f t="shared" si="2"/>
        <v>19.66673529567149</v>
      </c>
      <c r="K19">
        <f t="shared" si="3"/>
        <v>399.9914</v>
      </c>
      <c r="L19">
        <f t="shared" si="4"/>
        <v>268.01084407548234</v>
      </c>
      <c r="M19">
        <f t="shared" si="5"/>
        <v>27.284862103997757</v>
      </c>
      <c r="N19">
        <f t="shared" si="6"/>
        <v>40.721151524418467</v>
      </c>
      <c r="O19">
        <f t="shared" si="7"/>
        <v>0.26291361224984056</v>
      </c>
      <c r="P19">
        <f t="shared" si="8"/>
        <v>3.039608118496183</v>
      </c>
      <c r="Q19">
        <f t="shared" si="9"/>
        <v>0.25090160221026814</v>
      </c>
      <c r="R19">
        <f t="shared" si="10"/>
        <v>0.15784699312164094</v>
      </c>
      <c r="S19">
        <f t="shared" si="11"/>
        <v>145.92388821850832</v>
      </c>
      <c r="T19">
        <f t="shared" si="12"/>
        <v>25.392223425241387</v>
      </c>
      <c r="U19">
        <f t="shared" si="13"/>
        <v>24.978819999999999</v>
      </c>
      <c r="V19">
        <f t="shared" si="14"/>
        <v>3.1756647227922032</v>
      </c>
      <c r="W19">
        <f t="shared" si="15"/>
        <v>54.960828902522785</v>
      </c>
      <c r="X19">
        <f t="shared" si="16"/>
        <v>1.793738100119771</v>
      </c>
      <c r="Y19">
        <f t="shared" si="17"/>
        <v>3.2636663892043951</v>
      </c>
      <c r="Z19">
        <f t="shared" si="18"/>
        <v>1.3819266226724323</v>
      </c>
      <c r="AA19">
        <f t="shared" si="19"/>
        <v>-153.95319117082397</v>
      </c>
      <c r="AB19">
        <f t="shared" si="20"/>
        <v>75.249725244501406</v>
      </c>
      <c r="AC19">
        <f t="shared" si="21"/>
        <v>5.2475730521615089</v>
      </c>
      <c r="AD19">
        <f t="shared" si="22"/>
        <v>72.467995344347258</v>
      </c>
      <c r="AE19">
        <v>0</v>
      </c>
      <c r="AF19">
        <v>0</v>
      </c>
      <c r="AG19">
        <f t="shared" si="23"/>
        <v>1</v>
      </c>
      <c r="AH19">
        <f t="shared" si="24"/>
        <v>0</v>
      </c>
      <c r="AI19">
        <f t="shared" si="25"/>
        <v>54075.751502649757</v>
      </c>
      <c r="AJ19" t="s">
        <v>415</v>
      </c>
      <c r="AK19">
        <v>8123.51</v>
      </c>
      <c r="AL19">
        <v>207.29499999999999</v>
      </c>
      <c r="AM19">
        <v>955.27281112415801</v>
      </c>
      <c r="AN19">
        <f t="shared" si="26"/>
        <v>0.78299916255749313</v>
      </c>
      <c r="AO19">
        <v>-1.30156516113038</v>
      </c>
      <c r="AP19" t="s">
        <v>429</v>
      </c>
      <c r="AQ19">
        <v>8154.06</v>
      </c>
      <c r="AR19">
        <v>334.17457692307698</v>
      </c>
      <c r="AS19">
        <v>573.98504813624004</v>
      </c>
      <c r="AT19">
        <f t="shared" si="27"/>
        <v>0.41779916043430121</v>
      </c>
      <c r="AU19">
        <v>0.5</v>
      </c>
      <c r="AV19">
        <f t="shared" si="28"/>
        <v>757.20138564689546</v>
      </c>
      <c r="AW19">
        <f t="shared" si="29"/>
        <v>19.66673529567149</v>
      </c>
      <c r="AX19">
        <f t="shared" si="30"/>
        <v>158.17905160148123</v>
      </c>
      <c r="AY19">
        <f t="shared" si="31"/>
        <v>2.7691841106297164E-2</v>
      </c>
      <c r="AZ19">
        <f t="shared" si="32"/>
        <v>0.6642816990198257</v>
      </c>
      <c r="BA19">
        <f t="shared" si="33"/>
        <v>181.17821708154523</v>
      </c>
      <c r="BB19" t="s">
        <v>417</v>
      </c>
      <c r="BC19">
        <v>0</v>
      </c>
      <c r="BD19">
        <f t="shared" si="34"/>
        <v>181.17821708154523</v>
      </c>
      <c r="BE19">
        <f t="shared" si="35"/>
        <v>0.68435028461134917</v>
      </c>
      <c r="BF19">
        <f t="shared" si="36"/>
        <v>0.61050483915788012</v>
      </c>
      <c r="BG19">
        <f t="shared" si="37"/>
        <v>0.49255965087766601</v>
      </c>
      <c r="BH19">
        <f t="shared" si="38"/>
        <v>0.65398685465296247</v>
      </c>
      <c r="BI19">
        <f t="shared" si="39"/>
        <v>0.50975812025074552</v>
      </c>
      <c r="BJ19">
        <f t="shared" si="40"/>
        <v>0.3309951920841106</v>
      </c>
      <c r="BK19">
        <f t="shared" si="41"/>
        <v>0.66900480791588945</v>
      </c>
      <c r="BL19">
        <v>1114</v>
      </c>
      <c r="BM19">
        <v>290</v>
      </c>
      <c r="BN19">
        <v>512.79999999999995</v>
      </c>
      <c r="BO19">
        <v>145</v>
      </c>
      <c r="BP19">
        <v>8154.06</v>
      </c>
      <c r="BQ19">
        <v>512.33000000000004</v>
      </c>
      <c r="BR19">
        <v>0.47</v>
      </c>
      <c r="BS19">
        <v>300</v>
      </c>
      <c r="BT19">
        <v>19.3</v>
      </c>
      <c r="BU19">
        <v>573.98504813624004</v>
      </c>
      <c r="BV19">
        <v>2.14133424556608</v>
      </c>
      <c r="BW19">
        <v>-50.272017435024402</v>
      </c>
      <c r="BX19">
        <v>1.5804121313241</v>
      </c>
      <c r="BY19">
        <v>0.97307278493231897</v>
      </c>
      <c r="BZ19">
        <v>-4.8051214682981102E-3</v>
      </c>
      <c r="CA19">
        <v>290</v>
      </c>
      <c r="CB19">
        <v>505.82</v>
      </c>
      <c r="CC19">
        <v>615</v>
      </c>
      <c r="CD19">
        <v>8134.4</v>
      </c>
      <c r="CE19">
        <v>512.17999999999995</v>
      </c>
      <c r="CF19">
        <v>-6.36</v>
      </c>
      <c r="CT19">
        <f t="shared" si="42"/>
        <v>900.02380000000005</v>
      </c>
      <c r="CU19">
        <f t="shared" si="43"/>
        <v>757.20138564689546</v>
      </c>
      <c r="CV19">
        <f t="shared" si="44"/>
        <v>0.84131262489602543</v>
      </c>
      <c r="CW19">
        <f t="shared" si="45"/>
        <v>0.16213336604932926</v>
      </c>
      <c r="CX19">
        <v>2</v>
      </c>
      <c r="CY19">
        <v>0.5</v>
      </c>
      <c r="CZ19" t="s">
        <v>418</v>
      </c>
      <c r="DA19">
        <v>2</v>
      </c>
      <c r="DB19">
        <v>1792137050.0999999</v>
      </c>
      <c r="DC19">
        <v>399.9914</v>
      </c>
      <c r="DD19">
        <v>408.41579999999999</v>
      </c>
      <c r="DE19">
        <v>17.619340000000001</v>
      </c>
      <c r="DF19">
        <v>16.247679999999999</v>
      </c>
      <c r="DG19">
        <v>399.13720000000001</v>
      </c>
      <c r="DH19">
        <v>17.721499999999999</v>
      </c>
      <c r="DI19">
        <v>500.05</v>
      </c>
      <c r="DJ19">
        <v>101.705</v>
      </c>
      <c r="DK19">
        <v>0.10006762</v>
      </c>
      <c r="DL19">
        <v>25.438020000000002</v>
      </c>
      <c r="DM19">
        <v>24.978819999999999</v>
      </c>
      <c r="DN19">
        <v>999.9</v>
      </c>
      <c r="DO19">
        <v>0</v>
      </c>
      <c r="DP19">
        <v>0</v>
      </c>
      <c r="DQ19">
        <v>10003</v>
      </c>
      <c r="DR19">
        <v>0</v>
      </c>
      <c r="DS19">
        <v>6.5941340000000004</v>
      </c>
      <c r="DT19">
        <v>-8.4246979999999994</v>
      </c>
      <c r="DU19">
        <v>407.16520000000003</v>
      </c>
      <c r="DV19">
        <v>415.16140000000001</v>
      </c>
      <c r="DW19">
        <v>1.371688</v>
      </c>
      <c r="DX19">
        <v>408.41579999999999</v>
      </c>
      <c r="DY19">
        <v>16.247679999999999</v>
      </c>
      <c r="DZ19">
        <v>1.791976</v>
      </c>
      <c r="EA19">
        <v>1.6524700000000001</v>
      </c>
      <c r="EB19">
        <v>15.71698</v>
      </c>
      <c r="EC19">
        <v>14.45698</v>
      </c>
      <c r="ED19">
        <v>900.02380000000005</v>
      </c>
      <c r="EE19">
        <v>0.95600560000000001</v>
      </c>
      <c r="EF19">
        <v>4.3994539999999999E-2</v>
      </c>
      <c r="EG19">
        <v>0</v>
      </c>
      <c r="EH19">
        <v>334.18380000000002</v>
      </c>
      <c r="EI19">
        <v>5.0006399999999998</v>
      </c>
      <c r="EJ19">
        <v>3087.0059999999999</v>
      </c>
      <c r="EK19">
        <v>9204.2659999999996</v>
      </c>
      <c r="EL19">
        <v>40.186999999999998</v>
      </c>
      <c r="EM19">
        <v>41.686999999999998</v>
      </c>
      <c r="EN19">
        <v>41.099800000000002</v>
      </c>
      <c r="EO19">
        <v>41.311999999999998</v>
      </c>
      <c r="EP19">
        <v>42.061999999999998</v>
      </c>
      <c r="EQ19">
        <v>855.64800000000002</v>
      </c>
      <c r="ER19">
        <v>39.380000000000003</v>
      </c>
      <c r="ES19">
        <v>0</v>
      </c>
      <c r="ET19">
        <v>132.700000047684</v>
      </c>
      <c r="EU19">
        <v>0</v>
      </c>
      <c r="EV19">
        <v>334.17457692307698</v>
      </c>
      <c r="EW19">
        <v>0.81213675636627902</v>
      </c>
      <c r="EX19">
        <v>8.3986324825686296</v>
      </c>
      <c r="EY19">
        <v>3086.0446153846201</v>
      </c>
      <c r="EZ19">
        <v>15</v>
      </c>
      <c r="FA19">
        <v>1792136490.0999999</v>
      </c>
      <c r="FB19" t="s">
        <v>419</v>
      </c>
      <c r="FC19">
        <v>1792136490.0999999</v>
      </c>
      <c r="FD19">
        <v>1792136484.0999999</v>
      </c>
      <c r="FE19">
        <v>72</v>
      </c>
      <c r="FF19">
        <v>0.23599999999999999</v>
      </c>
      <c r="FG19">
        <v>4.0000000000000001E-3</v>
      </c>
      <c r="FH19">
        <v>0.85799999999999998</v>
      </c>
      <c r="FI19">
        <v>-0.17399999999999999</v>
      </c>
      <c r="FJ19">
        <v>410</v>
      </c>
      <c r="FK19">
        <v>16</v>
      </c>
      <c r="FL19">
        <v>0.22</v>
      </c>
      <c r="FM19">
        <v>0.04</v>
      </c>
      <c r="FN19">
        <v>19.526648376505399</v>
      </c>
      <c r="FO19">
        <v>0.49926957353859203</v>
      </c>
      <c r="FP19">
        <v>0.13382051379384499</v>
      </c>
      <c r="FQ19">
        <v>1</v>
      </c>
      <c r="FR19">
        <v>-8.3619249999999994</v>
      </c>
      <c r="FS19">
        <v>-0.43303218045113201</v>
      </c>
      <c r="FT19">
        <v>4.9712967070976798E-2</v>
      </c>
      <c r="FU19">
        <v>1</v>
      </c>
      <c r="FV19">
        <v>334.10497058823501</v>
      </c>
      <c r="FW19">
        <v>0.95161192201033895</v>
      </c>
      <c r="FX19">
        <v>0.22830983659906601</v>
      </c>
      <c r="FY19">
        <v>1</v>
      </c>
      <c r="FZ19">
        <v>3</v>
      </c>
      <c r="GA19">
        <v>3</v>
      </c>
      <c r="GB19" t="s">
        <v>420</v>
      </c>
      <c r="GC19">
        <v>3.12338</v>
      </c>
      <c r="GD19">
        <v>2.7654399999999999</v>
      </c>
      <c r="GE19">
        <v>8.8056099999999998E-2</v>
      </c>
      <c r="GF19">
        <v>9.1829499999999994E-2</v>
      </c>
      <c r="GG19">
        <v>9.4238600000000006E-2</v>
      </c>
      <c r="GH19">
        <v>9.1939099999999996E-2</v>
      </c>
      <c r="GI19">
        <v>17747.7</v>
      </c>
      <c r="GJ19">
        <v>26645.599999999999</v>
      </c>
      <c r="GK19">
        <v>22743.1</v>
      </c>
      <c r="GL19">
        <v>30066.3</v>
      </c>
      <c r="GM19">
        <v>33796.5</v>
      </c>
      <c r="GN19">
        <v>34018.300000000003</v>
      </c>
      <c r="GO19">
        <v>43040.1</v>
      </c>
      <c r="GP19">
        <v>42828.9</v>
      </c>
      <c r="GQ19">
        <v>1.94662</v>
      </c>
      <c r="GR19">
        <v>1.8035699999999999</v>
      </c>
      <c r="GS19">
        <v>5.2589900000000002E-2</v>
      </c>
      <c r="GT19">
        <v>0</v>
      </c>
      <c r="GU19">
        <v>24.1113</v>
      </c>
      <c r="GV19">
        <v>999.9</v>
      </c>
      <c r="GW19">
        <v>36.838999999999999</v>
      </c>
      <c r="GX19">
        <v>34.039000000000001</v>
      </c>
      <c r="GY19">
        <v>19.395499999999998</v>
      </c>
      <c r="GZ19">
        <v>63.315199999999997</v>
      </c>
      <c r="HA19">
        <v>36.558500000000002</v>
      </c>
      <c r="HB19">
        <v>1</v>
      </c>
      <c r="HC19">
        <v>0.114774</v>
      </c>
      <c r="HD19">
        <v>1.6400300000000001</v>
      </c>
      <c r="HE19">
        <v>20.230399999999999</v>
      </c>
      <c r="HF19">
        <v>5.2339099999999998</v>
      </c>
      <c r="HG19">
        <v>11.963699999999999</v>
      </c>
      <c r="HH19">
        <v>4.96915</v>
      </c>
      <c r="HI19">
        <v>3.2954500000000002</v>
      </c>
      <c r="HJ19">
        <v>9999</v>
      </c>
      <c r="HK19">
        <v>999.9</v>
      </c>
      <c r="HL19">
        <v>9999</v>
      </c>
      <c r="HM19">
        <v>9999</v>
      </c>
      <c r="HN19">
        <v>4.9687099999999997</v>
      </c>
      <c r="HO19">
        <v>1.8627899999999999</v>
      </c>
      <c r="HP19">
        <v>1.86432</v>
      </c>
      <c r="HQ19">
        <v>1.86615</v>
      </c>
      <c r="HR19">
        <v>1.86317</v>
      </c>
      <c r="HS19">
        <v>1.8669100000000001</v>
      </c>
      <c r="HT19">
        <v>1.8636200000000001</v>
      </c>
      <c r="HU19">
        <v>1.86554</v>
      </c>
      <c r="HV19">
        <v>0</v>
      </c>
      <c r="HW19">
        <v>0</v>
      </c>
      <c r="HX19">
        <v>0</v>
      </c>
      <c r="HY19">
        <v>0</v>
      </c>
      <c r="HZ19" t="s">
        <v>421</v>
      </c>
      <c r="IA19" t="s">
        <v>422</v>
      </c>
      <c r="IB19" t="s">
        <v>423</v>
      </c>
      <c r="IC19" t="s">
        <v>423</v>
      </c>
      <c r="ID19" t="s">
        <v>423</v>
      </c>
      <c r="IE19" t="s">
        <v>423</v>
      </c>
      <c r="IF19">
        <v>0</v>
      </c>
      <c r="IG19">
        <v>100</v>
      </c>
      <c r="IH19">
        <v>100</v>
      </c>
      <c r="II19">
        <v>0.85399999999999998</v>
      </c>
      <c r="IJ19">
        <v>-0.10150000000000001</v>
      </c>
      <c r="IK19">
        <v>0.72756088760397097</v>
      </c>
      <c r="IL19">
        <v>2.16929631606078E-4</v>
      </c>
      <c r="IM19">
        <v>2.7226302473163502E-7</v>
      </c>
      <c r="IN19">
        <v>-5.4379205123515401E-11</v>
      </c>
      <c r="IO19">
        <v>-2.1739555751775001E-2</v>
      </c>
      <c r="IP19">
        <v>-5.8443384954566899E-2</v>
      </c>
      <c r="IQ19">
        <v>3.41568706061026E-3</v>
      </c>
      <c r="IR19">
        <v>-2.10952612506686E-5</v>
      </c>
      <c r="IS19">
        <v>0</v>
      </c>
      <c r="IT19">
        <v>1734</v>
      </c>
      <c r="IU19">
        <v>2</v>
      </c>
      <c r="IV19">
        <v>19</v>
      </c>
      <c r="IW19">
        <v>9.4</v>
      </c>
      <c r="IX19">
        <v>9.5</v>
      </c>
      <c r="IY19">
        <v>1.06934</v>
      </c>
      <c r="IZ19">
        <v>2.5781200000000002</v>
      </c>
      <c r="JA19">
        <v>1.3464400000000001</v>
      </c>
      <c r="JB19">
        <v>2.2558600000000002</v>
      </c>
      <c r="JC19">
        <v>1.5502899999999999</v>
      </c>
      <c r="JD19">
        <v>2.4487299999999999</v>
      </c>
      <c r="JE19">
        <v>38.232399999999998</v>
      </c>
      <c r="JF19">
        <v>16.154599999999999</v>
      </c>
      <c r="JG19">
        <v>18</v>
      </c>
      <c r="JH19">
        <v>490.19499999999999</v>
      </c>
      <c r="JI19">
        <v>474.80799999999999</v>
      </c>
      <c r="JJ19">
        <v>22.644600000000001</v>
      </c>
      <c r="JK19">
        <v>28.7075</v>
      </c>
      <c r="JL19">
        <v>29.999700000000001</v>
      </c>
      <c r="JM19">
        <v>28.706</v>
      </c>
      <c r="JN19">
        <v>28.722899999999999</v>
      </c>
      <c r="JO19">
        <v>21.402000000000001</v>
      </c>
      <c r="JP19">
        <v>23.2608</v>
      </c>
      <c r="JQ19">
        <v>37.987200000000001</v>
      </c>
      <c r="JR19">
        <v>22.656199999999998</v>
      </c>
      <c r="JS19">
        <v>408.40899999999999</v>
      </c>
      <c r="JT19">
        <v>16.235399999999998</v>
      </c>
      <c r="JU19">
        <v>101.621</v>
      </c>
      <c r="JV19">
        <v>97.248199999999997</v>
      </c>
    </row>
    <row r="20" spans="1:282" x14ac:dyDescent="0.3">
      <c r="A20">
        <v>4</v>
      </c>
      <c r="B20">
        <v>1792137237.0999999</v>
      </c>
      <c r="C20">
        <v>447</v>
      </c>
      <c r="D20" t="s">
        <v>430</v>
      </c>
      <c r="E20" t="s">
        <v>431</v>
      </c>
      <c r="F20">
        <v>5</v>
      </c>
      <c r="G20">
        <v>1792137233.5999999</v>
      </c>
      <c r="H20">
        <f t="shared" si="0"/>
        <v>3.3082159214295787E-3</v>
      </c>
      <c r="I20">
        <f t="shared" si="1"/>
        <v>3.3082159214295785</v>
      </c>
      <c r="J20">
        <f t="shared" si="2"/>
        <v>17.05521304458378</v>
      </c>
      <c r="K20">
        <f t="shared" si="3"/>
        <v>399.98783333333301</v>
      </c>
      <c r="L20">
        <f t="shared" si="4"/>
        <v>279.33467579362275</v>
      </c>
      <c r="M20">
        <f t="shared" si="5"/>
        <v>28.437342803891163</v>
      </c>
      <c r="N20">
        <f t="shared" si="6"/>
        <v>40.720297619939672</v>
      </c>
      <c r="O20">
        <f t="shared" si="7"/>
        <v>0.25050274604283057</v>
      </c>
      <c r="P20">
        <f t="shared" si="8"/>
        <v>3.0371407112413586</v>
      </c>
      <c r="Q20">
        <f t="shared" si="9"/>
        <v>0.23956422545402997</v>
      </c>
      <c r="R20">
        <f t="shared" si="10"/>
        <v>0.15067061803865564</v>
      </c>
      <c r="S20">
        <f t="shared" si="11"/>
        <v>98.067245238715387</v>
      </c>
      <c r="T20">
        <f t="shared" si="12"/>
        <v>25.306639355741975</v>
      </c>
      <c r="U20">
        <f t="shared" si="13"/>
        <v>25.022549999999999</v>
      </c>
      <c r="V20">
        <f t="shared" si="14"/>
        <v>3.183954893862722</v>
      </c>
      <c r="W20">
        <f t="shared" si="15"/>
        <v>55.074140715842447</v>
      </c>
      <c r="X20">
        <f t="shared" si="16"/>
        <v>1.8126139881249066</v>
      </c>
      <c r="Y20">
        <f t="shared" si="17"/>
        <v>3.2912251822087821</v>
      </c>
      <c r="Z20">
        <f t="shared" si="18"/>
        <v>1.3713409057378154</v>
      </c>
      <c r="AA20">
        <f t="shared" si="19"/>
        <v>-145.89232213504442</v>
      </c>
      <c r="AB20">
        <f t="shared" si="20"/>
        <v>91.210436740116648</v>
      </c>
      <c r="AC20">
        <f t="shared" si="21"/>
        <v>6.3717050479969339</v>
      </c>
      <c r="AD20">
        <f t="shared" si="22"/>
        <v>49.757064891784552</v>
      </c>
      <c r="AE20">
        <v>0</v>
      </c>
      <c r="AF20">
        <v>0</v>
      </c>
      <c r="AG20">
        <f t="shared" si="23"/>
        <v>1</v>
      </c>
      <c r="AH20">
        <f t="shared" si="24"/>
        <v>0</v>
      </c>
      <c r="AI20">
        <f t="shared" si="25"/>
        <v>53972.828248048485</v>
      </c>
      <c r="AJ20" t="s">
        <v>415</v>
      </c>
      <c r="AK20">
        <v>8123.51</v>
      </c>
      <c r="AL20">
        <v>207.29499999999999</v>
      </c>
      <c r="AM20">
        <v>955.27281112415801</v>
      </c>
      <c r="AN20">
        <f t="shared" si="26"/>
        <v>0.78299916255749313</v>
      </c>
      <c r="AO20">
        <v>-1.30156516113038</v>
      </c>
      <c r="AP20" t="s">
        <v>432</v>
      </c>
      <c r="AQ20">
        <v>8158.86</v>
      </c>
      <c r="AR20">
        <v>355.92099999999999</v>
      </c>
      <c r="AS20">
        <v>751.59676794864595</v>
      </c>
      <c r="AT20">
        <f t="shared" si="27"/>
        <v>0.52644687260773471</v>
      </c>
      <c r="AU20">
        <v>0.5</v>
      </c>
      <c r="AV20">
        <f t="shared" si="28"/>
        <v>505.19521141902374</v>
      </c>
      <c r="AW20">
        <f t="shared" si="29"/>
        <v>17.05521304458378</v>
      </c>
      <c r="AX20">
        <f t="shared" si="30"/>
        <v>132.97921955397419</v>
      </c>
      <c r="AY20">
        <f t="shared" si="31"/>
        <v>3.6336009904275421E-2</v>
      </c>
      <c r="AZ20">
        <f t="shared" si="32"/>
        <v>0.27099111100678464</v>
      </c>
      <c r="BA20">
        <f t="shared" si="33"/>
        <v>195.78198218888053</v>
      </c>
      <c r="BB20" t="s">
        <v>417</v>
      </c>
      <c r="BC20">
        <v>0</v>
      </c>
      <c r="BD20">
        <f t="shared" si="34"/>
        <v>195.78198218888053</v>
      </c>
      <c r="BE20">
        <f t="shared" si="35"/>
        <v>0.73951194239002149</v>
      </c>
      <c r="BF20">
        <f t="shared" si="36"/>
        <v>0.71188420690856746</v>
      </c>
      <c r="BG20">
        <f t="shared" si="37"/>
        <v>0.26817446033027609</v>
      </c>
      <c r="BH20">
        <f t="shared" si="38"/>
        <v>0.72694191209383929</v>
      </c>
      <c r="BI20">
        <f t="shared" si="39"/>
        <v>0.27230225301657185</v>
      </c>
      <c r="BJ20">
        <f t="shared" si="40"/>
        <v>0.39158718119335051</v>
      </c>
      <c r="BK20">
        <f t="shared" si="41"/>
        <v>0.60841281880664955</v>
      </c>
      <c r="BL20">
        <v>1115</v>
      </c>
      <c r="BM20">
        <v>290</v>
      </c>
      <c r="BN20">
        <v>664.01</v>
      </c>
      <c r="BO20">
        <v>155</v>
      </c>
      <c r="BP20">
        <v>8158.86</v>
      </c>
      <c r="BQ20">
        <v>661.89</v>
      </c>
      <c r="BR20">
        <v>2.12</v>
      </c>
      <c r="BS20">
        <v>300</v>
      </c>
      <c r="BT20">
        <v>19.3</v>
      </c>
      <c r="BU20">
        <v>751.59676794864595</v>
      </c>
      <c r="BV20">
        <v>1.80273377185427</v>
      </c>
      <c r="BW20">
        <v>-73.193863621331701</v>
      </c>
      <c r="BX20">
        <v>1.3254215208617499</v>
      </c>
      <c r="BY20">
        <v>0.99090196897160698</v>
      </c>
      <c r="BZ20">
        <v>-5.0098956618465102E-3</v>
      </c>
      <c r="CA20">
        <v>290</v>
      </c>
      <c r="CB20">
        <v>650.36</v>
      </c>
      <c r="CC20">
        <v>625</v>
      </c>
      <c r="CD20">
        <v>8139.92</v>
      </c>
      <c r="CE20">
        <v>661.68</v>
      </c>
      <c r="CF20">
        <v>-11.32</v>
      </c>
      <c r="CT20">
        <f t="shared" si="42"/>
        <v>599.99966666666705</v>
      </c>
      <c r="CU20">
        <f t="shared" si="43"/>
        <v>505.19521141902374</v>
      </c>
      <c r="CV20">
        <f t="shared" si="44"/>
        <v>0.84199248680530947</v>
      </c>
      <c r="CW20">
        <f t="shared" si="45"/>
        <v>0.1634454995342475</v>
      </c>
      <c r="CX20">
        <v>2</v>
      </c>
      <c r="CY20">
        <v>0.5</v>
      </c>
      <c r="CZ20" t="s">
        <v>418</v>
      </c>
      <c r="DA20">
        <v>2</v>
      </c>
      <c r="DB20">
        <v>1792137233.5999999</v>
      </c>
      <c r="DC20">
        <v>399.98783333333301</v>
      </c>
      <c r="DD20">
        <v>407.33699999999999</v>
      </c>
      <c r="DE20">
        <v>17.804966666666701</v>
      </c>
      <c r="DF20">
        <v>16.5056333333333</v>
      </c>
      <c r="DG20">
        <v>399.13383333333297</v>
      </c>
      <c r="DH20">
        <v>17.899433333333299</v>
      </c>
      <c r="DI20">
        <v>500.15083333333303</v>
      </c>
      <c r="DJ20">
        <v>101.703666666667</v>
      </c>
      <c r="DK20">
        <v>0.100173916666667</v>
      </c>
      <c r="DL20">
        <v>25.579599999999999</v>
      </c>
      <c r="DM20">
        <v>25.022549999999999</v>
      </c>
      <c r="DN20">
        <v>999.9</v>
      </c>
      <c r="DO20">
        <v>0</v>
      </c>
      <c r="DP20">
        <v>0</v>
      </c>
      <c r="DQ20">
        <v>9988.2266666666692</v>
      </c>
      <c r="DR20">
        <v>0</v>
      </c>
      <c r="DS20">
        <v>6.63178</v>
      </c>
      <c r="DT20">
        <v>-7.3492433333333302</v>
      </c>
      <c r="DU20">
        <v>407.23883333333299</v>
      </c>
      <c r="DV20">
        <v>414.17316666666699</v>
      </c>
      <c r="DW20">
        <v>1.29932</v>
      </c>
      <c r="DX20">
        <v>407.33699999999999</v>
      </c>
      <c r="DY20">
        <v>16.5056333333333</v>
      </c>
      <c r="DZ20">
        <v>1.8108299999999999</v>
      </c>
      <c r="EA20">
        <v>1.678685</v>
      </c>
      <c r="EB20">
        <v>15.8806166666667</v>
      </c>
      <c r="EC20">
        <v>14.7007166666667</v>
      </c>
      <c r="ED20">
        <v>599.99966666666705</v>
      </c>
      <c r="EE20">
        <v>0.93303100000000005</v>
      </c>
      <c r="EF20">
        <v>6.6968899999999998E-2</v>
      </c>
      <c r="EG20">
        <v>0</v>
      </c>
      <c r="EH20">
        <v>355.98333333333301</v>
      </c>
      <c r="EI20">
        <v>5.0006399999999998</v>
      </c>
      <c r="EJ20">
        <v>2169.94</v>
      </c>
      <c r="EK20">
        <v>6083.9566666666697</v>
      </c>
      <c r="EL20">
        <v>39.186999999999998</v>
      </c>
      <c r="EM20">
        <v>41.186999999999998</v>
      </c>
      <c r="EN20">
        <v>40.375</v>
      </c>
      <c r="EO20">
        <v>40.936999999999998</v>
      </c>
      <c r="EP20">
        <v>41.280999999999999</v>
      </c>
      <c r="EQ20">
        <v>555.15333333333297</v>
      </c>
      <c r="ER20">
        <v>39.85</v>
      </c>
      <c r="ES20">
        <v>0</v>
      </c>
      <c r="ET20">
        <v>182.700000047684</v>
      </c>
      <c r="EU20">
        <v>0</v>
      </c>
      <c r="EV20">
        <v>355.92099999999999</v>
      </c>
      <c r="EW20">
        <v>2.2038461415164199</v>
      </c>
      <c r="EX20">
        <v>7.8976923078923704</v>
      </c>
      <c r="EY20">
        <v>2169.4987999999998</v>
      </c>
      <c r="EZ20">
        <v>15</v>
      </c>
      <c r="FA20">
        <v>1792136490.0999999</v>
      </c>
      <c r="FB20" t="s">
        <v>419</v>
      </c>
      <c r="FC20">
        <v>1792136490.0999999</v>
      </c>
      <c r="FD20">
        <v>1792136484.0999999</v>
      </c>
      <c r="FE20">
        <v>72</v>
      </c>
      <c r="FF20">
        <v>0.23599999999999999</v>
      </c>
      <c r="FG20">
        <v>4.0000000000000001E-3</v>
      </c>
      <c r="FH20">
        <v>0.85799999999999998</v>
      </c>
      <c r="FI20">
        <v>-0.17399999999999999</v>
      </c>
      <c r="FJ20">
        <v>410</v>
      </c>
      <c r="FK20">
        <v>16</v>
      </c>
      <c r="FL20">
        <v>0.22</v>
      </c>
      <c r="FM20">
        <v>0.04</v>
      </c>
      <c r="FN20">
        <v>17.0297870346227</v>
      </c>
      <c r="FO20">
        <v>-0.387854257459539</v>
      </c>
      <c r="FP20">
        <v>9.5756480663625396E-2</v>
      </c>
      <c r="FQ20">
        <v>1</v>
      </c>
      <c r="FR20">
        <v>-7.3390247619047599</v>
      </c>
      <c r="FS20">
        <v>9.0613246753246904E-2</v>
      </c>
      <c r="FT20">
        <v>3.5997660191032198E-2</v>
      </c>
      <c r="FU20">
        <v>1</v>
      </c>
      <c r="FV20">
        <v>355.80705882352902</v>
      </c>
      <c r="FW20">
        <v>1.8206264305466</v>
      </c>
      <c r="FX20">
        <v>0.24996528478694099</v>
      </c>
      <c r="FY20">
        <v>0</v>
      </c>
      <c r="FZ20">
        <v>2</v>
      </c>
      <c r="GA20">
        <v>3</v>
      </c>
      <c r="GB20" t="s">
        <v>433</v>
      </c>
      <c r="GC20">
        <v>3.1233900000000001</v>
      </c>
      <c r="GD20">
        <v>2.7650700000000001</v>
      </c>
      <c r="GE20">
        <v>8.8056800000000005E-2</v>
      </c>
      <c r="GF20">
        <v>9.1646900000000003E-2</v>
      </c>
      <c r="GG20">
        <v>9.4870099999999999E-2</v>
      </c>
      <c r="GH20">
        <v>9.2966800000000002E-2</v>
      </c>
      <c r="GI20">
        <v>17746.2</v>
      </c>
      <c r="GJ20">
        <v>26650.1</v>
      </c>
      <c r="GK20">
        <v>22741.3</v>
      </c>
      <c r="GL20">
        <v>30065.5</v>
      </c>
      <c r="GM20">
        <v>33769.800000000003</v>
      </c>
      <c r="GN20">
        <v>33978.699999999997</v>
      </c>
      <c r="GO20">
        <v>43036.800000000003</v>
      </c>
      <c r="GP20">
        <v>42827.7</v>
      </c>
      <c r="GQ20">
        <v>1.9465699999999999</v>
      </c>
      <c r="GR20">
        <v>1.80457</v>
      </c>
      <c r="GS20">
        <v>4.2762599999999998E-2</v>
      </c>
      <c r="GT20">
        <v>0</v>
      </c>
      <c r="GU20">
        <v>24.3278</v>
      </c>
      <c r="GV20">
        <v>999.9</v>
      </c>
      <c r="GW20">
        <v>36.948999999999998</v>
      </c>
      <c r="GX20">
        <v>34.009</v>
      </c>
      <c r="GY20">
        <v>19.419699999999999</v>
      </c>
      <c r="GZ20">
        <v>63.185200000000002</v>
      </c>
      <c r="HA20">
        <v>36.306100000000001</v>
      </c>
      <c r="HB20">
        <v>1</v>
      </c>
      <c r="HC20">
        <v>0.11605699999999999</v>
      </c>
      <c r="HD20">
        <v>1.66757</v>
      </c>
      <c r="HE20">
        <v>20.233699999999999</v>
      </c>
      <c r="HF20">
        <v>5.2351099999999997</v>
      </c>
      <c r="HG20">
        <v>11.9635</v>
      </c>
      <c r="HH20">
        <v>4.9680499999999999</v>
      </c>
      <c r="HI20">
        <v>3.2955299999999998</v>
      </c>
      <c r="HJ20">
        <v>9999</v>
      </c>
      <c r="HK20">
        <v>999.9</v>
      </c>
      <c r="HL20">
        <v>9999</v>
      </c>
      <c r="HM20">
        <v>9999</v>
      </c>
      <c r="HN20">
        <v>4.9686899999999996</v>
      </c>
      <c r="HO20">
        <v>1.8627800000000001</v>
      </c>
      <c r="HP20">
        <v>1.8643099999999999</v>
      </c>
      <c r="HQ20">
        <v>1.86615</v>
      </c>
      <c r="HR20">
        <v>1.8631500000000001</v>
      </c>
      <c r="HS20">
        <v>1.86686</v>
      </c>
      <c r="HT20">
        <v>1.8635600000000001</v>
      </c>
      <c r="HU20">
        <v>1.86554</v>
      </c>
      <c r="HV20">
        <v>0</v>
      </c>
      <c r="HW20">
        <v>0</v>
      </c>
      <c r="HX20">
        <v>0</v>
      </c>
      <c r="HY20">
        <v>0</v>
      </c>
      <c r="HZ20" t="s">
        <v>421</v>
      </c>
      <c r="IA20" t="s">
        <v>422</v>
      </c>
      <c r="IB20" t="s">
        <v>423</v>
      </c>
      <c r="IC20" t="s">
        <v>423</v>
      </c>
      <c r="ID20" t="s">
        <v>423</v>
      </c>
      <c r="IE20" t="s">
        <v>423</v>
      </c>
      <c r="IF20">
        <v>0</v>
      </c>
      <c r="IG20">
        <v>100</v>
      </c>
      <c r="IH20">
        <v>100</v>
      </c>
      <c r="II20">
        <v>0.85399999999999998</v>
      </c>
      <c r="IJ20">
        <v>-9.4299999999999995E-2</v>
      </c>
      <c r="IK20">
        <v>0.72756088760397097</v>
      </c>
      <c r="IL20">
        <v>2.16929631606078E-4</v>
      </c>
      <c r="IM20">
        <v>2.7226302473163502E-7</v>
      </c>
      <c r="IN20">
        <v>-5.4379205123515401E-11</v>
      </c>
      <c r="IO20">
        <v>-2.1739555751775001E-2</v>
      </c>
      <c r="IP20">
        <v>-5.8443384954566899E-2</v>
      </c>
      <c r="IQ20">
        <v>3.41568706061026E-3</v>
      </c>
      <c r="IR20">
        <v>-2.10952612506686E-5</v>
      </c>
      <c r="IS20">
        <v>0</v>
      </c>
      <c r="IT20">
        <v>1734</v>
      </c>
      <c r="IU20">
        <v>2</v>
      </c>
      <c r="IV20">
        <v>19</v>
      </c>
      <c r="IW20">
        <v>12.4</v>
      </c>
      <c r="IX20">
        <v>12.6</v>
      </c>
      <c r="IY20">
        <v>1.0668899999999999</v>
      </c>
      <c r="IZ20">
        <v>2.5756800000000002</v>
      </c>
      <c r="JA20">
        <v>1.3476600000000001</v>
      </c>
      <c r="JB20">
        <v>2.2546400000000002</v>
      </c>
      <c r="JC20">
        <v>1.5502899999999999</v>
      </c>
      <c r="JD20">
        <v>2.4475099999999999</v>
      </c>
      <c r="JE20">
        <v>38.061999999999998</v>
      </c>
      <c r="JF20">
        <v>16.1371</v>
      </c>
      <c r="JG20">
        <v>18</v>
      </c>
      <c r="JH20">
        <v>490.35300000000001</v>
      </c>
      <c r="JI20">
        <v>475.70100000000002</v>
      </c>
      <c r="JJ20">
        <v>23.1022</v>
      </c>
      <c r="JK20">
        <v>28.7271</v>
      </c>
      <c r="JL20">
        <v>30.0001</v>
      </c>
      <c r="JM20">
        <v>28.7286</v>
      </c>
      <c r="JN20">
        <v>28.7456</v>
      </c>
      <c r="JO20">
        <v>21.363099999999999</v>
      </c>
      <c r="JP20">
        <v>22.084</v>
      </c>
      <c r="JQ20">
        <v>38.3688</v>
      </c>
      <c r="JR20">
        <v>23.087599999999998</v>
      </c>
      <c r="JS20">
        <v>407.3</v>
      </c>
      <c r="JT20">
        <v>16.4312</v>
      </c>
      <c r="JU20">
        <v>101.613</v>
      </c>
      <c r="JV20">
        <v>97.245599999999996</v>
      </c>
    </row>
    <row r="21" spans="1:282" x14ac:dyDescent="0.3">
      <c r="A21">
        <v>5</v>
      </c>
      <c r="B21">
        <v>1792137368.0999999</v>
      </c>
      <c r="C21">
        <v>578</v>
      </c>
      <c r="D21" t="s">
        <v>434</v>
      </c>
      <c r="E21" t="s">
        <v>435</v>
      </c>
      <c r="F21">
        <v>5</v>
      </c>
      <c r="G21">
        <v>1792137364.5999999</v>
      </c>
      <c r="H21">
        <f t="shared" si="0"/>
        <v>3.0839968495765583E-3</v>
      </c>
      <c r="I21">
        <f t="shared" si="1"/>
        <v>3.0839968495765584</v>
      </c>
      <c r="J21">
        <f t="shared" si="2"/>
        <v>14.106442742217073</v>
      </c>
      <c r="K21">
        <f t="shared" si="3"/>
        <v>399.93599999999998</v>
      </c>
      <c r="L21">
        <f t="shared" si="4"/>
        <v>291.6389962581037</v>
      </c>
      <c r="M21">
        <f t="shared" si="5"/>
        <v>29.69033810147927</v>
      </c>
      <c r="N21">
        <f t="shared" si="6"/>
        <v>40.715525740063867</v>
      </c>
      <c r="O21">
        <f t="shared" si="7"/>
        <v>0.23229187891632738</v>
      </c>
      <c r="P21">
        <f t="shared" si="8"/>
        <v>3.0399071532461184</v>
      </c>
      <c r="Q21">
        <f t="shared" si="9"/>
        <v>0.22286195282716634</v>
      </c>
      <c r="R21">
        <f t="shared" si="10"/>
        <v>0.14010406357346145</v>
      </c>
      <c r="S21">
        <f t="shared" si="11"/>
        <v>66.126935999601343</v>
      </c>
      <c r="T21">
        <f t="shared" si="12"/>
        <v>25.194335935489612</v>
      </c>
      <c r="U21">
        <f t="shared" si="13"/>
        <v>25.000833333333301</v>
      </c>
      <c r="V21">
        <f t="shared" si="14"/>
        <v>3.1798355679808221</v>
      </c>
      <c r="W21">
        <f t="shared" si="15"/>
        <v>54.816050823130055</v>
      </c>
      <c r="X21">
        <f t="shared" si="16"/>
        <v>1.8055355624331839</v>
      </c>
      <c r="Y21">
        <f t="shared" si="17"/>
        <v>3.2938081735565747</v>
      </c>
      <c r="Z21">
        <f t="shared" si="18"/>
        <v>1.3743000055476382</v>
      </c>
      <c r="AA21">
        <f t="shared" si="19"/>
        <v>-136.00426106632622</v>
      </c>
      <c r="AB21">
        <f t="shared" si="20"/>
        <v>97.018653414019738</v>
      </c>
      <c r="AC21">
        <f t="shared" si="21"/>
        <v>6.7709943460993571</v>
      </c>
      <c r="AD21">
        <f t="shared" si="22"/>
        <v>33.912322693394216</v>
      </c>
      <c r="AE21">
        <v>0</v>
      </c>
      <c r="AF21">
        <v>0</v>
      </c>
      <c r="AG21">
        <f t="shared" si="23"/>
        <v>1</v>
      </c>
      <c r="AH21">
        <f t="shared" si="24"/>
        <v>0</v>
      </c>
      <c r="AI21">
        <f t="shared" si="25"/>
        <v>54057.092356361369</v>
      </c>
      <c r="AJ21" t="s">
        <v>415</v>
      </c>
      <c r="AK21">
        <v>8123.51</v>
      </c>
      <c r="AL21">
        <v>207.29499999999999</v>
      </c>
      <c r="AM21">
        <v>955.27281112415801</v>
      </c>
      <c r="AN21">
        <f t="shared" si="26"/>
        <v>0.78299916255749313</v>
      </c>
      <c r="AO21">
        <v>-1.30156516113038</v>
      </c>
      <c r="AP21" t="s">
        <v>436</v>
      </c>
      <c r="AQ21">
        <v>8158.89</v>
      </c>
      <c r="AR21">
        <v>366.67324000000002</v>
      </c>
      <c r="AS21">
        <v>912.97955412992303</v>
      </c>
      <c r="AT21">
        <f t="shared" si="27"/>
        <v>0.59837738058718892</v>
      </c>
      <c r="AU21">
        <v>0.5</v>
      </c>
      <c r="AV21">
        <f t="shared" si="28"/>
        <v>337.1853195852857</v>
      </c>
      <c r="AW21">
        <f t="shared" si="29"/>
        <v>14.106442742217073</v>
      </c>
      <c r="AX21">
        <f t="shared" si="30"/>
        <v>100.88203415294872</v>
      </c>
      <c r="AY21">
        <f t="shared" si="31"/>
        <v>4.5695963045776201E-2</v>
      </c>
      <c r="AZ21">
        <f t="shared" si="32"/>
        <v>4.6324429504383369E-2</v>
      </c>
      <c r="BA21">
        <f t="shared" si="33"/>
        <v>205.23191845437134</v>
      </c>
      <c r="BB21" t="s">
        <v>417</v>
      </c>
      <c r="BC21">
        <v>0</v>
      </c>
      <c r="BD21">
        <f t="shared" si="34"/>
        <v>205.23191845437134</v>
      </c>
      <c r="BE21">
        <f t="shared" si="35"/>
        <v>0.77520644627145119</v>
      </c>
      <c r="BF21">
        <f t="shared" si="36"/>
        <v>0.77189422697042087</v>
      </c>
      <c r="BG21">
        <f t="shared" si="37"/>
        <v>5.6387934854713349E-2</v>
      </c>
      <c r="BH21">
        <f t="shared" si="38"/>
        <v>0.77415087369099911</v>
      </c>
      <c r="BI21">
        <f t="shared" si="39"/>
        <v>5.6543464746195066E-2</v>
      </c>
      <c r="BJ21">
        <f t="shared" si="40"/>
        <v>0.43203952665046791</v>
      </c>
      <c r="BK21">
        <f t="shared" si="41"/>
        <v>0.56796047334953204</v>
      </c>
      <c r="BL21">
        <v>1116</v>
      </c>
      <c r="BM21">
        <v>290</v>
      </c>
      <c r="BN21">
        <v>820.32</v>
      </c>
      <c r="BO21">
        <v>195</v>
      </c>
      <c r="BP21">
        <v>8158.89</v>
      </c>
      <c r="BQ21">
        <v>819.75</v>
      </c>
      <c r="BR21">
        <v>0.56999999999999995</v>
      </c>
      <c r="BS21">
        <v>300</v>
      </c>
      <c r="BT21">
        <v>19.3</v>
      </c>
      <c r="BU21">
        <v>912.97955412992303</v>
      </c>
      <c r="BV21">
        <v>2.1927947651480602</v>
      </c>
      <c r="BW21">
        <v>-76.063723457544199</v>
      </c>
      <c r="BX21">
        <v>1.6080563720879599</v>
      </c>
      <c r="BY21">
        <v>0.98764040453114399</v>
      </c>
      <c r="BZ21">
        <v>-5.1461185761957802E-3</v>
      </c>
      <c r="CA21">
        <v>290</v>
      </c>
      <c r="CB21">
        <v>807.66</v>
      </c>
      <c r="CC21">
        <v>635</v>
      </c>
      <c r="CD21">
        <v>8143.41</v>
      </c>
      <c r="CE21">
        <v>819.57</v>
      </c>
      <c r="CF21">
        <v>-11.91</v>
      </c>
      <c r="CT21">
        <f t="shared" si="42"/>
        <v>400.00049999999999</v>
      </c>
      <c r="CU21">
        <f t="shared" si="43"/>
        <v>337.1853195852857</v>
      </c>
      <c r="CV21">
        <f t="shared" si="44"/>
        <v>0.84296224526040764</v>
      </c>
      <c r="CW21">
        <f t="shared" si="45"/>
        <v>0.16531713335258666</v>
      </c>
      <c r="CX21">
        <v>2</v>
      </c>
      <c r="CY21">
        <v>0.5</v>
      </c>
      <c r="CZ21" t="s">
        <v>418</v>
      </c>
      <c r="DA21">
        <v>2</v>
      </c>
      <c r="DB21">
        <v>1792137364.5999999</v>
      </c>
      <c r="DC21">
        <v>399.93599999999998</v>
      </c>
      <c r="DD21">
        <v>406.07183333333302</v>
      </c>
      <c r="DE21">
        <v>17.735216666666702</v>
      </c>
      <c r="DF21">
        <v>16.523516666666701</v>
      </c>
      <c r="DG21">
        <v>399.08199999999999</v>
      </c>
      <c r="DH21">
        <v>17.8325666666667</v>
      </c>
      <c r="DI21">
        <v>500.00850000000003</v>
      </c>
      <c r="DJ21">
        <v>101.705333333333</v>
      </c>
      <c r="DK21">
        <v>9.9769833333333294E-2</v>
      </c>
      <c r="DL21">
        <v>25.5928166666667</v>
      </c>
      <c r="DM21">
        <v>25.000833333333301</v>
      </c>
      <c r="DN21">
        <v>999.9</v>
      </c>
      <c r="DO21">
        <v>0</v>
      </c>
      <c r="DP21">
        <v>0</v>
      </c>
      <c r="DQ21">
        <v>10004.775</v>
      </c>
      <c r="DR21">
        <v>0</v>
      </c>
      <c r="DS21">
        <v>6.6108650000000004</v>
      </c>
      <c r="DT21">
        <v>-6.1355033333333298</v>
      </c>
      <c r="DU21">
        <v>407.15733333333299</v>
      </c>
      <c r="DV21">
        <v>412.89416666666699</v>
      </c>
      <c r="DW21">
        <v>1.2117150000000001</v>
      </c>
      <c r="DX21">
        <v>406.07183333333302</v>
      </c>
      <c r="DY21">
        <v>16.523516666666701</v>
      </c>
      <c r="DZ21">
        <v>1.8037650000000001</v>
      </c>
      <c r="EA21">
        <v>1.6805283333333301</v>
      </c>
      <c r="EB21">
        <v>15.819466666666701</v>
      </c>
      <c r="EC21">
        <v>14.7177166666667</v>
      </c>
      <c r="ED21">
        <v>400.00049999999999</v>
      </c>
      <c r="EE21">
        <v>0.90000566666666704</v>
      </c>
      <c r="EF21">
        <v>9.9994050000000001E-2</v>
      </c>
      <c r="EG21">
        <v>0</v>
      </c>
      <c r="EH21">
        <v>366.65499999999997</v>
      </c>
      <c r="EI21">
        <v>5.0006399999999998</v>
      </c>
      <c r="EJ21">
        <v>1477.635</v>
      </c>
      <c r="EK21">
        <v>4005.61333333333</v>
      </c>
      <c r="EL21">
        <v>38.436999999999998</v>
      </c>
      <c r="EM21">
        <v>40.7603333333333</v>
      </c>
      <c r="EN21">
        <v>39.8645</v>
      </c>
      <c r="EO21">
        <v>40.561999999999998</v>
      </c>
      <c r="EP21">
        <v>40.728999999999999</v>
      </c>
      <c r="EQ21">
        <v>355.50333333333299</v>
      </c>
      <c r="ER21">
        <v>39.496666666666698</v>
      </c>
      <c r="ES21">
        <v>0</v>
      </c>
      <c r="ET21">
        <v>129.5</v>
      </c>
      <c r="EU21">
        <v>0</v>
      </c>
      <c r="EV21">
        <v>366.67324000000002</v>
      </c>
      <c r="EW21">
        <v>-2.87692359917225E-2</v>
      </c>
      <c r="EX21">
        <v>8.0769239272454593E-2</v>
      </c>
      <c r="EY21">
        <v>1477.6559999999999</v>
      </c>
      <c r="EZ21">
        <v>15</v>
      </c>
      <c r="FA21">
        <v>1792136490.0999999</v>
      </c>
      <c r="FB21" t="s">
        <v>419</v>
      </c>
      <c r="FC21">
        <v>1792136490.0999999</v>
      </c>
      <c r="FD21">
        <v>1792136484.0999999</v>
      </c>
      <c r="FE21">
        <v>72</v>
      </c>
      <c r="FF21">
        <v>0.23599999999999999</v>
      </c>
      <c r="FG21">
        <v>4.0000000000000001E-3</v>
      </c>
      <c r="FH21">
        <v>0.85799999999999998</v>
      </c>
      <c r="FI21">
        <v>-0.17399999999999999</v>
      </c>
      <c r="FJ21">
        <v>410</v>
      </c>
      <c r="FK21">
        <v>16</v>
      </c>
      <c r="FL21">
        <v>0.22</v>
      </c>
      <c r="FM21">
        <v>0.04</v>
      </c>
      <c r="FN21">
        <v>13.862227043596</v>
      </c>
      <c r="FO21">
        <v>-0.30660297353690402</v>
      </c>
      <c r="FP21">
        <v>0.163730523601224</v>
      </c>
      <c r="FQ21">
        <v>1</v>
      </c>
      <c r="FR21">
        <v>-6.0562904761904797</v>
      </c>
      <c r="FS21">
        <v>2.4655324675319799E-2</v>
      </c>
      <c r="FT21">
        <v>7.6424366625173698E-2</v>
      </c>
      <c r="FU21">
        <v>1</v>
      </c>
      <c r="FV21">
        <v>366.64079411764698</v>
      </c>
      <c r="FW21">
        <v>-6.5469826635544598E-2</v>
      </c>
      <c r="FX21">
        <v>0.174264298832981</v>
      </c>
      <c r="FY21">
        <v>1</v>
      </c>
      <c r="FZ21">
        <v>3</v>
      </c>
      <c r="GA21">
        <v>3</v>
      </c>
      <c r="GB21" t="s">
        <v>420</v>
      </c>
      <c r="GC21">
        <v>3.1234700000000002</v>
      </c>
      <c r="GD21">
        <v>2.7654899999999998</v>
      </c>
      <c r="GE21">
        <v>8.8042599999999999E-2</v>
      </c>
      <c r="GF21">
        <v>9.1429700000000003E-2</v>
      </c>
      <c r="GG21">
        <v>9.4624E-2</v>
      </c>
      <c r="GH21">
        <v>9.3038599999999999E-2</v>
      </c>
      <c r="GI21">
        <v>17745.7</v>
      </c>
      <c r="GJ21">
        <v>26655.5</v>
      </c>
      <c r="GK21">
        <v>22740.3</v>
      </c>
      <c r="GL21">
        <v>30064.400000000001</v>
      </c>
      <c r="GM21">
        <v>33777.9</v>
      </c>
      <c r="GN21">
        <v>33975.1</v>
      </c>
      <c r="GO21">
        <v>43035.1</v>
      </c>
      <c r="GP21">
        <v>42826.5</v>
      </c>
      <c r="GQ21">
        <v>1.94638</v>
      </c>
      <c r="GR21">
        <v>1.8044</v>
      </c>
      <c r="GS21">
        <v>3.3438200000000001E-2</v>
      </c>
      <c r="GT21">
        <v>0</v>
      </c>
      <c r="GU21">
        <v>24.4361</v>
      </c>
      <c r="GV21">
        <v>999.9</v>
      </c>
      <c r="GW21">
        <v>37.113999999999997</v>
      </c>
      <c r="GX21">
        <v>33.969000000000001</v>
      </c>
      <c r="GY21">
        <v>19.464200000000002</v>
      </c>
      <c r="GZ21">
        <v>63.255200000000002</v>
      </c>
      <c r="HA21">
        <v>36.201900000000002</v>
      </c>
      <c r="HB21">
        <v>1</v>
      </c>
      <c r="HC21">
        <v>0.116994</v>
      </c>
      <c r="HD21">
        <v>1.3769</v>
      </c>
      <c r="HE21">
        <v>20.238900000000001</v>
      </c>
      <c r="HF21">
        <v>5.2321200000000001</v>
      </c>
      <c r="HG21">
        <v>11.9649</v>
      </c>
      <c r="HH21">
        <v>4.9686500000000002</v>
      </c>
      <c r="HI21">
        <v>3.2953000000000001</v>
      </c>
      <c r="HJ21">
        <v>9999</v>
      </c>
      <c r="HK21">
        <v>999.9</v>
      </c>
      <c r="HL21">
        <v>9999</v>
      </c>
      <c r="HM21">
        <v>9999</v>
      </c>
      <c r="HN21">
        <v>4.96868</v>
      </c>
      <c r="HO21">
        <v>1.8627899999999999</v>
      </c>
      <c r="HP21">
        <v>1.8642700000000001</v>
      </c>
      <c r="HQ21">
        <v>1.86615</v>
      </c>
      <c r="HR21">
        <v>1.8631500000000001</v>
      </c>
      <c r="HS21">
        <v>1.8668800000000001</v>
      </c>
      <c r="HT21">
        <v>1.8635600000000001</v>
      </c>
      <c r="HU21">
        <v>1.86554</v>
      </c>
      <c r="HV21">
        <v>0</v>
      </c>
      <c r="HW21">
        <v>0</v>
      </c>
      <c r="HX21">
        <v>0</v>
      </c>
      <c r="HY21">
        <v>0</v>
      </c>
      <c r="HZ21" t="s">
        <v>421</v>
      </c>
      <c r="IA21" t="s">
        <v>422</v>
      </c>
      <c r="IB21" t="s">
        <v>423</v>
      </c>
      <c r="IC21" t="s">
        <v>423</v>
      </c>
      <c r="ID21" t="s">
        <v>423</v>
      </c>
      <c r="IE21" t="s">
        <v>423</v>
      </c>
      <c r="IF21">
        <v>0</v>
      </c>
      <c r="IG21">
        <v>100</v>
      </c>
      <c r="IH21">
        <v>100</v>
      </c>
      <c r="II21">
        <v>0.85399999999999998</v>
      </c>
      <c r="IJ21">
        <v>-9.7100000000000006E-2</v>
      </c>
      <c r="IK21">
        <v>0.72756088760397097</v>
      </c>
      <c r="IL21">
        <v>2.16929631606078E-4</v>
      </c>
      <c r="IM21">
        <v>2.7226302473163502E-7</v>
      </c>
      <c r="IN21">
        <v>-5.4379205123515401E-11</v>
      </c>
      <c r="IO21">
        <v>-2.1739555751775001E-2</v>
      </c>
      <c r="IP21">
        <v>-5.8443384954566899E-2</v>
      </c>
      <c r="IQ21">
        <v>3.41568706061026E-3</v>
      </c>
      <c r="IR21">
        <v>-2.10952612506686E-5</v>
      </c>
      <c r="IS21">
        <v>0</v>
      </c>
      <c r="IT21">
        <v>1734</v>
      </c>
      <c r="IU21">
        <v>2</v>
      </c>
      <c r="IV21">
        <v>19</v>
      </c>
      <c r="IW21">
        <v>14.6</v>
      </c>
      <c r="IX21">
        <v>14.7</v>
      </c>
      <c r="IY21">
        <v>1.0644499999999999</v>
      </c>
      <c r="IZ21">
        <v>2.5659200000000002</v>
      </c>
      <c r="JA21">
        <v>1.3464400000000001</v>
      </c>
      <c r="JB21">
        <v>2.2546400000000002</v>
      </c>
      <c r="JC21">
        <v>1.5502899999999999</v>
      </c>
      <c r="JD21">
        <v>2.65381</v>
      </c>
      <c r="JE21">
        <v>37.940600000000003</v>
      </c>
      <c r="JF21">
        <v>16.1371</v>
      </c>
      <c r="JG21">
        <v>18</v>
      </c>
      <c r="JH21">
        <v>490.37400000000002</v>
      </c>
      <c r="JI21">
        <v>475.74</v>
      </c>
      <c r="JJ21">
        <v>23.406500000000001</v>
      </c>
      <c r="JK21">
        <v>28.744399999999999</v>
      </c>
      <c r="JL21">
        <v>29.999600000000001</v>
      </c>
      <c r="JM21">
        <v>28.745799999999999</v>
      </c>
      <c r="JN21">
        <v>28.7638</v>
      </c>
      <c r="JO21">
        <v>21.3126</v>
      </c>
      <c r="JP21">
        <v>22.357299999999999</v>
      </c>
      <c r="JQ21">
        <v>39.1143</v>
      </c>
      <c r="JR21">
        <v>23.427</v>
      </c>
      <c r="JS21">
        <v>406.09300000000002</v>
      </c>
      <c r="JT21">
        <v>16.513500000000001</v>
      </c>
      <c r="JU21">
        <v>101.60899999999999</v>
      </c>
      <c r="JV21">
        <v>97.242500000000007</v>
      </c>
    </row>
    <row r="22" spans="1:282" x14ac:dyDescent="0.3">
      <c r="A22">
        <v>6</v>
      </c>
      <c r="B22">
        <v>1792137538.0999999</v>
      </c>
      <c r="C22">
        <v>748</v>
      </c>
      <c r="D22" t="s">
        <v>437</v>
      </c>
      <c r="E22" t="s">
        <v>438</v>
      </c>
      <c r="F22">
        <v>5</v>
      </c>
      <c r="G22">
        <v>1792137534.5999999</v>
      </c>
      <c r="H22">
        <f t="shared" si="0"/>
        <v>2.5746395566973697E-3</v>
      </c>
      <c r="I22">
        <f t="shared" si="1"/>
        <v>2.5746395566973699</v>
      </c>
      <c r="J22">
        <f t="shared" si="2"/>
        <v>8.3698801910772147</v>
      </c>
      <c r="K22">
        <f t="shared" si="3"/>
        <v>399.94799999999998</v>
      </c>
      <c r="L22">
        <f t="shared" si="4"/>
        <v>320.21450207039481</v>
      </c>
      <c r="M22">
        <f t="shared" si="5"/>
        <v>32.599339285563943</v>
      </c>
      <c r="N22">
        <f t="shared" si="6"/>
        <v>40.716583615930332</v>
      </c>
      <c r="O22">
        <f t="shared" si="7"/>
        <v>0.19216038294131285</v>
      </c>
      <c r="P22">
        <f t="shared" si="8"/>
        <v>3.0382599780405259</v>
      </c>
      <c r="Q22">
        <f t="shared" si="9"/>
        <v>0.18565483844161471</v>
      </c>
      <c r="R22">
        <f t="shared" si="10"/>
        <v>0.11660042347352648</v>
      </c>
      <c r="S22">
        <f t="shared" si="11"/>
        <v>33.05372018173739</v>
      </c>
      <c r="T22">
        <f t="shared" si="12"/>
        <v>25.175675240056254</v>
      </c>
      <c r="U22">
        <f t="shared" si="13"/>
        <v>25.019183333333299</v>
      </c>
      <c r="V22">
        <f t="shared" si="14"/>
        <v>3.1833159824349817</v>
      </c>
      <c r="W22">
        <f t="shared" si="15"/>
        <v>54.696370458545033</v>
      </c>
      <c r="X22">
        <f t="shared" si="16"/>
        <v>1.8060967091059259</v>
      </c>
      <c r="Y22">
        <f t="shared" si="17"/>
        <v>3.30204123960069</v>
      </c>
      <c r="Z22">
        <f t="shared" si="18"/>
        <v>1.3772192733290558</v>
      </c>
      <c r="AA22">
        <f t="shared" si="19"/>
        <v>-113.541604450354</v>
      </c>
      <c r="AB22">
        <f t="shared" si="20"/>
        <v>100.85084231106966</v>
      </c>
      <c r="AC22">
        <f t="shared" si="21"/>
        <v>7.0444014098146175</v>
      </c>
      <c r="AD22">
        <f t="shared" si="22"/>
        <v>27.40735945226767</v>
      </c>
      <c r="AE22">
        <v>0</v>
      </c>
      <c r="AF22">
        <v>0</v>
      </c>
      <c r="AG22">
        <f t="shared" si="23"/>
        <v>1</v>
      </c>
      <c r="AH22">
        <f t="shared" si="24"/>
        <v>0</v>
      </c>
      <c r="AI22">
        <f t="shared" si="25"/>
        <v>53997.885515176124</v>
      </c>
      <c r="AJ22" t="s">
        <v>415</v>
      </c>
      <c r="AK22">
        <v>8123.51</v>
      </c>
      <c r="AL22">
        <v>207.29499999999999</v>
      </c>
      <c r="AM22">
        <v>955.27281112415801</v>
      </c>
      <c r="AN22">
        <f t="shared" si="26"/>
        <v>0.78299916255749313</v>
      </c>
      <c r="AO22">
        <v>-1.30156516113038</v>
      </c>
      <c r="AP22" t="s">
        <v>439</v>
      </c>
      <c r="AQ22">
        <v>8136.56</v>
      </c>
      <c r="AR22">
        <v>349.37123076923098</v>
      </c>
      <c r="AS22">
        <v>1013.39459025445</v>
      </c>
      <c r="AT22">
        <f t="shared" si="27"/>
        <v>0.6552465997657354</v>
      </c>
      <c r="AU22">
        <v>0.5</v>
      </c>
      <c r="AV22">
        <f t="shared" si="28"/>
        <v>168.60824569001937</v>
      </c>
      <c r="AW22">
        <f t="shared" si="29"/>
        <v>8.3698801910772147</v>
      </c>
      <c r="AX22">
        <f t="shared" si="30"/>
        <v>55.239989840425451</v>
      </c>
      <c r="AY22">
        <f t="shared" si="31"/>
        <v>5.7360452999364125E-2</v>
      </c>
      <c r="AZ22">
        <f t="shared" si="32"/>
        <v>-5.7353551804236874E-2</v>
      </c>
      <c r="BA22">
        <f t="shared" si="33"/>
        <v>209.90745970699368</v>
      </c>
      <c r="BB22" t="s">
        <v>417</v>
      </c>
      <c r="BC22">
        <v>0</v>
      </c>
      <c r="BD22">
        <f t="shared" si="34"/>
        <v>209.90745970699368</v>
      </c>
      <c r="BE22">
        <f t="shared" si="35"/>
        <v>0.79286700193032544</v>
      </c>
      <c r="BF22">
        <f t="shared" si="36"/>
        <v>0.82642687634932799</v>
      </c>
      <c r="BG22">
        <f t="shared" si="37"/>
        <v>-7.7977570354974199E-2</v>
      </c>
      <c r="BH22">
        <f t="shared" si="38"/>
        <v>0.82374853865837627</v>
      </c>
      <c r="BI22">
        <f t="shared" si="39"/>
        <v>-7.7705218344564328E-2</v>
      </c>
      <c r="BJ22">
        <f t="shared" si="40"/>
        <v>0.49652962513864474</v>
      </c>
      <c r="BK22">
        <f t="shared" si="41"/>
        <v>0.50347037486135526</v>
      </c>
      <c r="BL22">
        <v>1117</v>
      </c>
      <c r="BM22">
        <v>290</v>
      </c>
      <c r="BN22">
        <v>950.24</v>
      </c>
      <c r="BO22">
        <v>295</v>
      </c>
      <c r="BP22">
        <v>8136.56</v>
      </c>
      <c r="BQ22">
        <v>949.67</v>
      </c>
      <c r="BR22">
        <v>0.56999999999999995</v>
      </c>
      <c r="BS22">
        <v>300</v>
      </c>
      <c r="BT22">
        <v>19.3</v>
      </c>
      <c r="BU22">
        <v>1013.39459025445</v>
      </c>
      <c r="BV22">
        <v>1.60752523703934</v>
      </c>
      <c r="BW22">
        <v>-51.850753914023898</v>
      </c>
      <c r="BX22">
        <v>1.1730438579756699</v>
      </c>
      <c r="BY22">
        <v>0.985871479591786</v>
      </c>
      <c r="BZ22">
        <v>-5.2691125695216896E-3</v>
      </c>
      <c r="CA22">
        <v>290</v>
      </c>
      <c r="CB22">
        <v>944.09</v>
      </c>
      <c r="CC22">
        <v>645</v>
      </c>
      <c r="CD22">
        <v>8127.74</v>
      </c>
      <c r="CE22">
        <v>949.6</v>
      </c>
      <c r="CF22">
        <v>-5.51</v>
      </c>
      <c r="CT22">
        <f t="shared" si="42"/>
        <v>200.0275</v>
      </c>
      <c r="CU22">
        <f t="shared" si="43"/>
        <v>168.60824569001937</v>
      </c>
      <c r="CV22">
        <f t="shared" si="44"/>
        <v>0.84292532621774197</v>
      </c>
      <c r="CW22">
        <f t="shared" si="45"/>
        <v>0.16524587960024192</v>
      </c>
      <c r="CX22">
        <v>2</v>
      </c>
      <c r="CY22">
        <v>0.5</v>
      </c>
      <c r="CZ22" t="s">
        <v>418</v>
      </c>
      <c r="DA22">
        <v>2</v>
      </c>
      <c r="DB22">
        <v>1792137534.5999999</v>
      </c>
      <c r="DC22">
        <v>399.94799999999998</v>
      </c>
      <c r="DD22">
        <v>403.70783333333299</v>
      </c>
      <c r="DE22">
        <v>17.7408</v>
      </c>
      <c r="DF22">
        <v>16.729216666666701</v>
      </c>
      <c r="DG22">
        <v>399.20100000000002</v>
      </c>
      <c r="DH22">
        <v>17.848183333333299</v>
      </c>
      <c r="DI22">
        <v>500.00099999999998</v>
      </c>
      <c r="DJ22">
        <v>101.70466666666699</v>
      </c>
      <c r="DK22">
        <v>0.100026983333333</v>
      </c>
      <c r="DL22">
        <v>25.634883333333299</v>
      </c>
      <c r="DM22">
        <v>25.019183333333299</v>
      </c>
      <c r="DN22">
        <v>999.9</v>
      </c>
      <c r="DO22">
        <v>0</v>
      </c>
      <c r="DP22">
        <v>0</v>
      </c>
      <c r="DQ22">
        <v>9994.8866666666709</v>
      </c>
      <c r="DR22">
        <v>0</v>
      </c>
      <c r="DS22">
        <v>6.5453933333333296</v>
      </c>
      <c r="DT22">
        <v>-3.7595133333333299</v>
      </c>
      <c r="DU22">
        <v>407.17166666666702</v>
      </c>
      <c r="DV22">
        <v>410.57616666666701</v>
      </c>
      <c r="DW22">
        <v>1.0115861666666699</v>
      </c>
      <c r="DX22">
        <v>403.70783333333299</v>
      </c>
      <c r="DY22">
        <v>16.729216666666701</v>
      </c>
      <c r="DZ22">
        <v>1.8043233333333299</v>
      </c>
      <c r="EA22">
        <v>1.7014416666666701</v>
      </c>
      <c r="EB22">
        <v>15.824299999999999</v>
      </c>
      <c r="EC22">
        <v>14.9095666666667</v>
      </c>
      <c r="ED22">
        <v>200.0275</v>
      </c>
      <c r="EE22">
        <v>0.89999116666666701</v>
      </c>
      <c r="EF22">
        <v>0.10000895</v>
      </c>
      <c r="EG22">
        <v>0</v>
      </c>
      <c r="EH22">
        <v>349.29783333333302</v>
      </c>
      <c r="EI22">
        <v>5.0006399999999998</v>
      </c>
      <c r="EJ22">
        <v>698.61699999999996</v>
      </c>
      <c r="EK22">
        <v>1977.7183333333301</v>
      </c>
      <c r="EL22">
        <v>37.436999999999998</v>
      </c>
      <c r="EM22">
        <v>40.145666666666699</v>
      </c>
      <c r="EN22">
        <v>39.061999999999998</v>
      </c>
      <c r="EO22">
        <v>40</v>
      </c>
      <c r="EP22">
        <v>39.926666666666698</v>
      </c>
      <c r="EQ22">
        <v>175.523333333333</v>
      </c>
      <c r="ER22">
        <v>19.504999999999999</v>
      </c>
      <c r="ES22">
        <v>0</v>
      </c>
      <c r="ET22">
        <v>168.700000047684</v>
      </c>
      <c r="EU22">
        <v>0</v>
      </c>
      <c r="EV22">
        <v>349.37123076923098</v>
      </c>
      <c r="EW22">
        <v>-1.0960000015601199</v>
      </c>
      <c r="EX22">
        <v>-3.0165470266481198</v>
      </c>
      <c r="EY22">
        <v>698.678615384615</v>
      </c>
      <c r="EZ22">
        <v>15</v>
      </c>
      <c r="FA22">
        <v>1792137440.0999999</v>
      </c>
      <c r="FB22" t="s">
        <v>440</v>
      </c>
      <c r="FC22">
        <v>1792137440.0999999</v>
      </c>
      <c r="FD22">
        <v>1792137436.0999999</v>
      </c>
      <c r="FE22">
        <v>73</v>
      </c>
      <c r="FF22">
        <v>-0.107</v>
      </c>
      <c r="FG22">
        <v>-1.0999999999999999E-2</v>
      </c>
      <c r="FH22">
        <v>0.749</v>
      </c>
      <c r="FI22">
        <v>-0.151</v>
      </c>
      <c r="FJ22">
        <v>404</v>
      </c>
      <c r="FK22">
        <v>17</v>
      </c>
      <c r="FL22">
        <v>0.28999999999999998</v>
      </c>
      <c r="FM22">
        <v>0.03</v>
      </c>
      <c r="FN22">
        <v>8.1979053660318595</v>
      </c>
      <c r="FO22">
        <v>0.59936517367759201</v>
      </c>
      <c r="FP22">
        <v>0.10659113245832</v>
      </c>
      <c r="FQ22">
        <v>1</v>
      </c>
      <c r="FR22">
        <v>-3.71067428571429</v>
      </c>
      <c r="FS22">
        <v>-0.24144155844155901</v>
      </c>
      <c r="FT22">
        <v>4.3861941043561302E-2</v>
      </c>
      <c r="FU22">
        <v>1</v>
      </c>
      <c r="FV22">
        <v>349.46129411764701</v>
      </c>
      <c r="FW22">
        <v>-0.99242169867457897</v>
      </c>
      <c r="FX22">
        <v>0.212002709390538</v>
      </c>
      <c r="FY22">
        <v>1</v>
      </c>
      <c r="FZ22">
        <v>3</v>
      </c>
      <c r="GA22">
        <v>3</v>
      </c>
      <c r="GB22" t="s">
        <v>420</v>
      </c>
      <c r="GC22">
        <v>3.1233200000000001</v>
      </c>
      <c r="GD22">
        <v>2.7651300000000001</v>
      </c>
      <c r="GE22">
        <v>8.8066699999999998E-2</v>
      </c>
      <c r="GF22">
        <v>9.1014600000000001E-2</v>
      </c>
      <c r="GG22">
        <v>9.4691399999999995E-2</v>
      </c>
      <c r="GH22">
        <v>9.4023300000000004E-2</v>
      </c>
      <c r="GI22">
        <v>17745.3</v>
      </c>
      <c r="GJ22">
        <v>26666.5</v>
      </c>
      <c r="GK22">
        <v>22740.5</v>
      </c>
      <c r="GL22">
        <v>30063.200000000001</v>
      </c>
      <c r="GM22">
        <v>33775.9</v>
      </c>
      <c r="GN22">
        <v>33936.699999999997</v>
      </c>
      <c r="GO22">
        <v>43035.6</v>
      </c>
      <c r="GP22">
        <v>42824.9</v>
      </c>
      <c r="GQ22">
        <v>1.9459200000000001</v>
      </c>
      <c r="GR22">
        <v>1.8051999999999999</v>
      </c>
      <c r="GS22">
        <v>2.7827899999999999E-2</v>
      </c>
      <c r="GT22">
        <v>0</v>
      </c>
      <c r="GU22">
        <v>24.570499999999999</v>
      </c>
      <c r="GV22">
        <v>999.9</v>
      </c>
      <c r="GW22">
        <v>37.462000000000003</v>
      </c>
      <c r="GX22">
        <v>33.959000000000003</v>
      </c>
      <c r="GY22">
        <v>19.634699999999999</v>
      </c>
      <c r="GZ22">
        <v>63.385199999999998</v>
      </c>
      <c r="HA22">
        <v>36.470399999999998</v>
      </c>
      <c r="HB22">
        <v>1</v>
      </c>
      <c r="HC22">
        <v>0.118003</v>
      </c>
      <c r="HD22">
        <v>1.36161</v>
      </c>
      <c r="HE22">
        <v>20.241900000000001</v>
      </c>
      <c r="HF22">
        <v>5.2346599999999999</v>
      </c>
      <c r="HG22">
        <v>11.963800000000001</v>
      </c>
      <c r="HH22">
        <v>4.9691000000000001</v>
      </c>
      <c r="HI22">
        <v>3.29515</v>
      </c>
      <c r="HJ22">
        <v>9999</v>
      </c>
      <c r="HK22">
        <v>999.9</v>
      </c>
      <c r="HL22">
        <v>9999</v>
      </c>
      <c r="HM22">
        <v>9999</v>
      </c>
      <c r="HN22">
        <v>4.96868</v>
      </c>
      <c r="HO22">
        <v>1.8626799999999999</v>
      </c>
      <c r="HP22">
        <v>1.8642300000000001</v>
      </c>
      <c r="HQ22">
        <v>1.86615</v>
      </c>
      <c r="HR22">
        <v>1.8631200000000001</v>
      </c>
      <c r="HS22">
        <v>1.8668100000000001</v>
      </c>
      <c r="HT22">
        <v>1.8635600000000001</v>
      </c>
      <c r="HU22">
        <v>1.86551</v>
      </c>
      <c r="HV22">
        <v>0</v>
      </c>
      <c r="HW22">
        <v>0</v>
      </c>
      <c r="HX22">
        <v>0</v>
      </c>
      <c r="HY22">
        <v>0</v>
      </c>
      <c r="HZ22" t="s">
        <v>421</v>
      </c>
      <c r="IA22" t="s">
        <v>422</v>
      </c>
      <c r="IB22" t="s">
        <v>423</v>
      </c>
      <c r="IC22" t="s">
        <v>423</v>
      </c>
      <c r="ID22" t="s">
        <v>423</v>
      </c>
      <c r="IE22" t="s">
        <v>423</v>
      </c>
      <c r="IF22">
        <v>0</v>
      </c>
      <c r="IG22">
        <v>100</v>
      </c>
      <c r="IH22">
        <v>100</v>
      </c>
      <c r="II22">
        <v>0.747</v>
      </c>
      <c r="IJ22">
        <v>-0.107</v>
      </c>
      <c r="IK22">
        <v>0.62049470514258898</v>
      </c>
      <c r="IL22">
        <v>2.16929631606078E-4</v>
      </c>
      <c r="IM22">
        <v>2.7226302473163502E-7</v>
      </c>
      <c r="IN22">
        <v>-5.4379205123515401E-11</v>
      </c>
      <c r="IO22">
        <v>-3.2425331705734597E-2</v>
      </c>
      <c r="IP22">
        <v>-5.8443384954566899E-2</v>
      </c>
      <c r="IQ22">
        <v>3.41568706061026E-3</v>
      </c>
      <c r="IR22">
        <v>-2.10952612506686E-5</v>
      </c>
      <c r="IS22">
        <v>0</v>
      </c>
      <c r="IT22">
        <v>1734</v>
      </c>
      <c r="IU22">
        <v>2</v>
      </c>
      <c r="IV22">
        <v>19</v>
      </c>
      <c r="IW22">
        <v>1.6</v>
      </c>
      <c r="IX22">
        <v>1.7</v>
      </c>
      <c r="IY22">
        <v>1.0595699999999999</v>
      </c>
      <c r="IZ22">
        <v>2.5756800000000002</v>
      </c>
      <c r="JA22">
        <v>1.3476600000000001</v>
      </c>
      <c r="JB22">
        <v>2.2546400000000002</v>
      </c>
      <c r="JC22">
        <v>1.5502899999999999</v>
      </c>
      <c r="JD22">
        <v>2.4316399999999998</v>
      </c>
      <c r="JE22">
        <v>37.843699999999998</v>
      </c>
      <c r="JF22">
        <v>16.110900000000001</v>
      </c>
      <c r="JG22">
        <v>18</v>
      </c>
      <c r="JH22">
        <v>490.286</v>
      </c>
      <c r="JI22">
        <v>476.49400000000003</v>
      </c>
      <c r="JJ22">
        <v>23.693899999999999</v>
      </c>
      <c r="JK22">
        <v>28.766500000000001</v>
      </c>
      <c r="JL22">
        <v>30.0002</v>
      </c>
      <c r="JM22">
        <v>28.7683</v>
      </c>
      <c r="JN22">
        <v>28.7865</v>
      </c>
      <c r="JO22">
        <v>21.221699999999998</v>
      </c>
      <c r="JP22">
        <v>21.726900000000001</v>
      </c>
      <c r="JQ22">
        <v>40.6524</v>
      </c>
      <c r="JR22">
        <v>23.6828</v>
      </c>
      <c r="JS22">
        <v>403.613</v>
      </c>
      <c r="JT22">
        <v>16.764099999999999</v>
      </c>
      <c r="JU22">
        <v>101.61</v>
      </c>
      <c r="JV22">
        <v>97.238799999999998</v>
      </c>
    </row>
    <row r="23" spans="1:282" x14ac:dyDescent="0.3">
      <c r="A23">
        <v>7</v>
      </c>
      <c r="B23">
        <v>1792137661.0999999</v>
      </c>
      <c r="C23">
        <v>871</v>
      </c>
      <c r="D23" t="s">
        <v>441</v>
      </c>
      <c r="E23" t="s">
        <v>442</v>
      </c>
      <c r="F23">
        <v>5</v>
      </c>
      <c r="G23">
        <v>1792137657.5999999</v>
      </c>
      <c r="H23">
        <f t="shared" si="0"/>
        <v>2.0689886190483845E-3</v>
      </c>
      <c r="I23">
        <f t="shared" si="1"/>
        <v>2.0689886190483846</v>
      </c>
      <c r="J23">
        <f t="shared" si="2"/>
        <v>3.4470691615966791</v>
      </c>
      <c r="K23">
        <f t="shared" si="3"/>
        <v>399.98</v>
      </c>
      <c r="L23">
        <f t="shared" si="4"/>
        <v>354.8992321093055</v>
      </c>
      <c r="M23">
        <f t="shared" si="5"/>
        <v>36.130044551423737</v>
      </c>
      <c r="N23">
        <f t="shared" si="6"/>
        <v>40.719432199919808</v>
      </c>
      <c r="O23">
        <f t="shared" si="7"/>
        <v>0.1536600237009319</v>
      </c>
      <c r="P23">
        <f t="shared" si="8"/>
        <v>3.0403127774971983</v>
      </c>
      <c r="Q23">
        <f t="shared" si="9"/>
        <v>0.14947232188316917</v>
      </c>
      <c r="R23">
        <f t="shared" si="10"/>
        <v>9.3786943510882043E-2</v>
      </c>
      <c r="S23">
        <f t="shared" si="11"/>
        <v>16.505217148790187</v>
      </c>
      <c r="T23">
        <f t="shared" si="12"/>
        <v>25.114760848321026</v>
      </c>
      <c r="U23">
        <f t="shared" si="13"/>
        <v>25.009150000000002</v>
      </c>
      <c r="V23">
        <f t="shared" si="14"/>
        <v>3.1814125642881979</v>
      </c>
      <c r="W23">
        <f t="shared" si="15"/>
        <v>55.022925757335081</v>
      </c>
      <c r="X23">
        <f t="shared" si="16"/>
        <v>1.806774219275219</v>
      </c>
      <c r="Y23">
        <f t="shared" si="17"/>
        <v>3.2836752942646976</v>
      </c>
      <c r="Z23">
        <f t="shared" si="18"/>
        <v>1.3746383450129789</v>
      </c>
      <c r="AA23">
        <f t="shared" si="19"/>
        <v>-91.242398100033753</v>
      </c>
      <c r="AB23">
        <f t="shared" si="20"/>
        <v>87.161524675712585</v>
      </c>
      <c r="AC23">
        <f t="shared" si="21"/>
        <v>6.0809133569754543</v>
      </c>
      <c r="AD23">
        <f t="shared" si="22"/>
        <v>18.505257081444469</v>
      </c>
      <c r="AE23">
        <v>0</v>
      </c>
      <c r="AF23">
        <v>0</v>
      </c>
      <c r="AG23">
        <f t="shared" si="23"/>
        <v>1</v>
      </c>
      <c r="AH23">
        <f t="shared" si="24"/>
        <v>0</v>
      </c>
      <c r="AI23">
        <f t="shared" si="25"/>
        <v>54079.164254605275</v>
      </c>
      <c r="AJ23" t="s">
        <v>415</v>
      </c>
      <c r="AK23">
        <v>8123.51</v>
      </c>
      <c r="AL23">
        <v>207.29499999999999</v>
      </c>
      <c r="AM23">
        <v>955.27281112415801</v>
      </c>
      <c r="AN23">
        <f t="shared" si="26"/>
        <v>0.78299916255749313</v>
      </c>
      <c r="AO23">
        <v>-1.30156516113038</v>
      </c>
      <c r="AP23" t="s">
        <v>443</v>
      </c>
      <c r="AQ23">
        <v>8133.01</v>
      </c>
      <c r="AR23">
        <v>338.268384615385</v>
      </c>
      <c r="AS23">
        <v>1075.1823153965299</v>
      </c>
      <c r="AT23">
        <f t="shared" si="27"/>
        <v>0.68538509258252556</v>
      </c>
      <c r="AU23">
        <v>0.5</v>
      </c>
      <c r="AV23">
        <f t="shared" si="28"/>
        <v>84.261758377611514</v>
      </c>
      <c r="AW23">
        <f t="shared" si="29"/>
        <v>3.4470691615966791</v>
      </c>
      <c r="AX23">
        <f t="shared" si="30"/>
        <v>28.875876533402835</v>
      </c>
      <c r="AY23">
        <f t="shared" si="31"/>
        <v>5.6355746831753505E-2</v>
      </c>
      <c r="AZ23">
        <f t="shared" si="32"/>
        <v>-0.11152481077420716</v>
      </c>
      <c r="BA23">
        <f t="shared" si="33"/>
        <v>212.4361627597909</v>
      </c>
      <c r="BB23" t="s">
        <v>417</v>
      </c>
      <c r="BC23">
        <v>0</v>
      </c>
      <c r="BD23">
        <f t="shared" si="34"/>
        <v>212.4361627597909</v>
      </c>
      <c r="BE23">
        <f t="shared" si="35"/>
        <v>0.80241847385534437</v>
      </c>
      <c r="BF23">
        <f t="shared" si="36"/>
        <v>0.85414919386076249</v>
      </c>
      <c r="BG23">
        <f t="shared" si="37"/>
        <v>-0.1614210937712855</v>
      </c>
      <c r="BH23">
        <f t="shared" si="38"/>
        <v>0.84908941254021619</v>
      </c>
      <c r="BI23">
        <f t="shared" si="39"/>
        <v>-0.16031157941992472</v>
      </c>
      <c r="BJ23">
        <f t="shared" si="40"/>
        <v>0.53641482745856461</v>
      </c>
      <c r="BK23">
        <f t="shared" si="41"/>
        <v>0.46358517254143539</v>
      </c>
      <c r="BL23">
        <v>1118</v>
      </c>
      <c r="BM23">
        <v>290</v>
      </c>
      <c r="BN23">
        <v>1011.4</v>
      </c>
      <c r="BO23">
        <v>225</v>
      </c>
      <c r="BP23">
        <v>8133.01</v>
      </c>
      <c r="BQ23">
        <v>1010.51</v>
      </c>
      <c r="BR23">
        <v>0.89</v>
      </c>
      <c r="BS23">
        <v>300</v>
      </c>
      <c r="BT23">
        <v>19.3</v>
      </c>
      <c r="BU23">
        <v>1075.1823153965299</v>
      </c>
      <c r="BV23">
        <v>2.1249701575558202</v>
      </c>
      <c r="BW23">
        <v>-52.602067314160799</v>
      </c>
      <c r="BX23">
        <v>1.54677130636073</v>
      </c>
      <c r="BY23">
        <v>0.97636174704207301</v>
      </c>
      <c r="BZ23">
        <v>-5.3310905450500703E-3</v>
      </c>
      <c r="CA23">
        <v>290</v>
      </c>
      <c r="CB23">
        <v>1001.63</v>
      </c>
      <c r="CC23">
        <v>645</v>
      </c>
      <c r="CD23">
        <v>8120.11</v>
      </c>
      <c r="CE23">
        <v>1010.4</v>
      </c>
      <c r="CF23">
        <v>-8.77</v>
      </c>
      <c r="CT23">
        <f t="shared" si="42"/>
        <v>99.972616666666696</v>
      </c>
      <c r="CU23">
        <f t="shared" si="43"/>
        <v>84.261758377611514</v>
      </c>
      <c r="CV23">
        <f t="shared" si="44"/>
        <v>0.8428483837585341</v>
      </c>
      <c r="CW23">
        <f t="shared" si="45"/>
        <v>0.16509738065397089</v>
      </c>
      <c r="CX23">
        <v>2</v>
      </c>
      <c r="CY23">
        <v>0.5</v>
      </c>
      <c r="CZ23" t="s">
        <v>418</v>
      </c>
      <c r="DA23">
        <v>2</v>
      </c>
      <c r="DB23">
        <v>1792137657.5999999</v>
      </c>
      <c r="DC23">
        <v>399.98</v>
      </c>
      <c r="DD23">
        <v>401.68983333333301</v>
      </c>
      <c r="DE23">
        <v>17.747633333333301</v>
      </c>
      <c r="DF23">
        <v>16.934733333333298</v>
      </c>
      <c r="DG23">
        <v>399.17783333333301</v>
      </c>
      <c r="DH23">
        <v>17.858049999999999</v>
      </c>
      <c r="DI23">
        <v>500.00466666666699</v>
      </c>
      <c r="DJ23">
        <v>101.703666666667</v>
      </c>
      <c r="DK23">
        <v>0.100004016666667</v>
      </c>
      <c r="DL23">
        <v>25.5409166666667</v>
      </c>
      <c r="DM23">
        <v>25.009150000000002</v>
      </c>
      <c r="DN23">
        <v>999.9</v>
      </c>
      <c r="DO23">
        <v>0</v>
      </c>
      <c r="DP23">
        <v>0</v>
      </c>
      <c r="DQ23">
        <v>10007.391666666699</v>
      </c>
      <c r="DR23">
        <v>0</v>
      </c>
      <c r="DS23">
        <v>6.4335449999999996</v>
      </c>
      <c r="DT23">
        <v>-1.7099466666666701</v>
      </c>
      <c r="DU23">
        <v>407.20699999999999</v>
      </c>
      <c r="DV23">
        <v>408.60966666666701</v>
      </c>
      <c r="DW23">
        <v>0.81288733333333296</v>
      </c>
      <c r="DX23">
        <v>401.68983333333301</v>
      </c>
      <c r="DY23">
        <v>16.934733333333298</v>
      </c>
      <c r="DZ23">
        <v>1.8049966666666699</v>
      </c>
      <c r="EA23">
        <v>1.7223233333333301</v>
      </c>
      <c r="EB23">
        <v>15.830133333333301</v>
      </c>
      <c r="EC23">
        <v>15.099116666666699</v>
      </c>
      <c r="ED23">
        <v>99.972616666666696</v>
      </c>
      <c r="EE23">
        <v>0.90002566666666695</v>
      </c>
      <c r="EF23">
        <v>9.9974233333333301E-2</v>
      </c>
      <c r="EG23">
        <v>0</v>
      </c>
      <c r="EH23">
        <v>338.29399999999998</v>
      </c>
      <c r="EI23">
        <v>5.0006399999999998</v>
      </c>
      <c r="EJ23">
        <v>331.02416666666699</v>
      </c>
      <c r="EK23">
        <v>963.09699999999998</v>
      </c>
      <c r="EL23">
        <v>36.822499999999998</v>
      </c>
      <c r="EM23">
        <v>39.686999999999998</v>
      </c>
      <c r="EN23">
        <v>38.541333333333299</v>
      </c>
      <c r="EO23">
        <v>39.593499999999999</v>
      </c>
      <c r="EP23">
        <v>39.3853333333333</v>
      </c>
      <c r="EQ23">
        <v>85.476666666666702</v>
      </c>
      <c r="ER23">
        <v>9.4916666666666707</v>
      </c>
      <c r="ES23">
        <v>0</v>
      </c>
      <c r="ET23">
        <v>121.700000047684</v>
      </c>
      <c r="EU23">
        <v>0</v>
      </c>
      <c r="EV23">
        <v>338.268384615385</v>
      </c>
      <c r="EW23">
        <v>0.12916239805059801</v>
      </c>
      <c r="EX23">
        <v>-1.79494015422591</v>
      </c>
      <c r="EY23">
        <v>331.04669230769201</v>
      </c>
      <c r="EZ23">
        <v>15</v>
      </c>
      <c r="FA23">
        <v>1792137613.0999999</v>
      </c>
      <c r="FB23" t="s">
        <v>444</v>
      </c>
      <c r="FC23">
        <v>1792137613.0999999</v>
      </c>
      <c r="FD23">
        <v>1792137604.0999999</v>
      </c>
      <c r="FE23">
        <v>74</v>
      </c>
      <c r="FF23">
        <v>5.6000000000000001E-2</v>
      </c>
      <c r="FG23">
        <v>-3.0000000000000001E-3</v>
      </c>
      <c r="FH23">
        <v>0.80300000000000005</v>
      </c>
      <c r="FI23">
        <v>-0.14599999999999999</v>
      </c>
      <c r="FJ23">
        <v>402</v>
      </c>
      <c r="FK23">
        <v>17</v>
      </c>
      <c r="FL23">
        <v>0.31</v>
      </c>
      <c r="FM23">
        <v>0.03</v>
      </c>
      <c r="FN23">
        <v>3.2349029681658701</v>
      </c>
      <c r="FO23">
        <v>0.2212651975453</v>
      </c>
      <c r="FP23">
        <v>0.22937974675328501</v>
      </c>
      <c r="FQ23">
        <v>1</v>
      </c>
      <c r="FR23">
        <v>-1.6227115000000001</v>
      </c>
      <c r="FS23">
        <v>-0.40750962406014901</v>
      </c>
      <c r="FT23">
        <v>7.3576707542197098E-2</v>
      </c>
      <c r="FU23">
        <v>1</v>
      </c>
      <c r="FV23">
        <v>338.24117647058802</v>
      </c>
      <c r="FW23">
        <v>0.72935064393916904</v>
      </c>
      <c r="FX23">
        <v>0.19310702162093399</v>
      </c>
      <c r="FY23">
        <v>1</v>
      </c>
      <c r="FZ23">
        <v>3</v>
      </c>
      <c r="GA23">
        <v>3</v>
      </c>
      <c r="GB23" t="s">
        <v>420</v>
      </c>
      <c r="GC23">
        <v>3.1235300000000001</v>
      </c>
      <c r="GD23">
        <v>2.7652000000000001</v>
      </c>
      <c r="GE23">
        <v>8.8054400000000005E-2</v>
      </c>
      <c r="GF23">
        <v>9.0662900000000005E-2</v>
      </c>
      <c r="GG23">
        <v>9.4663600000000001E-2</v>
      </c>
      <c r="GH23">
        <v>9.4751000000000002E-2</v>
      </c>
      <c r="GI23">
        <v>17744.400000000001</v>
      </c>
      <c r="GJ23">
        <v>26676.5</v>
      </c>
      <c r="GK23">
        <v>22739.200000000001</v>
      </c>
      <c r="GL23">
        <v>30062.9</v>
      </c>
      <c r="GM23">
        <v>33775.1</v>
      </c>
      <c r="GN23">
        <v>33908.699999999997</v>
      </c>
      <c r="GO23">
        <v>43033.2</v>
      </c>
      <c r="GP23">
        <v>42824.2</v>
      </c>
      <c r="GQ23">
        <v>1.9452499999999999</v>
      </c>
      <c r="GR23">
        <v>1.8051999999999999</v>
      </c>
      <c r="GS23">
        <v>2.53543E-2</v>
      </c>
      <c r="GT23">
        <v>0</v>
      </c>
      <c r="GU23">
        <v>24.593800000000002</v>
      </c>
      <c r="GV23">
        <v>999.9</v>
      </c>
      <c r="GW23">
        <v>37.790999999999997</v>
      </c>
      <c r="GX23">
        <v>33.929000000000002</v>
      </c>
      <c r="GY23">
        <v>19.775099999999998</v>
      </c>
      <c r="GZ23">
        <v>63.2652</v>
      </c>
      <c r="HA23">
        <v>36.582500000000003</v>
      </c>
      <c r="HB23">
        <v>1</v>
      </c>
      <c r="HC23">
        <v>0.118702</v>
      </c>
      <c r="HD23">
        <v>1.3384</v>
      </c>
      <c r="HE23">
        <v>20.242999999999999</v>
      </c>
      <c r="HF23">
        <v>5.2345100000000002</v>
      </c>
      <c r="HG23">
        <v>11.963200000000001</v>
      </c>
      <c r="HH23">
        <v>4.9695</v>
      </c>
      <c r="HI23">
        <v>3.2952300000000001</v>
      </c>
      <c r="HJ23">
        <v>9999</v>
      </c>
      <c r="HK23">
        <v>999.9</v>
      </c>
      <c r="HL23">
        <v>9999</v>
      </c>
      <c r="HM23">
        <v>9999</v>
      </c>
      <c r="HN23">
        <v>4.9687299999999999</v>
      </c>
      <c r="HO23">
        <v>1.86273</v>
      </c>
      <c r="HP23">
        <v>1.86422</v>
      </c>
      <c r="HQ23">
        <v>1.86615</v>
      </c>
      <c r="HR23">
        <v>1.8631</v>
      </c>
      <c r="HS23">
        <v>1.8668800000000001</v>
      </c>
      <c r="HT23">
        <v>1.8635699999999999</v>
      </c>
      <c r="HU23">
        <v>1.86551</v>
      </c>
      <c r="HV23">
        <v>0</v>
      </c>
      <c r="HW23">
        <v>0</v>
      </c>
      <c r="HX23">
        <v>0</v>
      </c>
      <c r="HY23">
        <v>0</v>
      </c>
      <c r="HZ23" t="s">
        <v>421</v>
      </c>
      <c r="IA23" t="s">
        <v>422</v>
      </c>
      <c r="IB23" t="s">
        <v>423</v>
      </c>
      <c r="IC23" t="s">
        <v>423</v>
      </c>
      <c r="ID23" t="s">
        <v>423</v>
      </c>
      <c r="IE23" t="s">
        <v>423</v>
      </c>
      <c r="IF23">
        <v>0</v>
      </c>
      <c r="IG23">
        <v>100</v>
      </c>
      <c r="IH23">
        <v>100</v>
      </c>
      <c r="II23">
        <v>0.80300000000000005</v>
      </c>
      <c r="IJ23">
        <v>-0.11070000000000001</v>
      </c>
      <c r="IK23">
        <v>0.67581552988698201</v>
      </c>
      <c r="IL23">
        <v>2.16929631606078E-4</v>
      </c>
      <c r="IM23">
        <v>2.7226302473163502E-7</v>
      </c>
      <c r="IN23">
        <v>-5.4379205123515401E-11</v>
      </c>
      <c r="IO23">
        <v>-3.5866868739974203E-2</v>
      </c>
      <c r="IP23">
        <v>-5.8443384954566899E-2</v>
      </c>
      <c r="IQ23">
        <v>3.41568706061026E-3</v>
      </c>
      <c r="IR23">
        <v>-2.10952612506686E-5</v>
      </c>
      <c r="IS23">
        <v>0</v>
      </c>
      <c r="IT23">
        <v>1734</v>
      </c>
      <c r="IU23">
        <v>2</v>
      </c>
      <c r="IV23">
        <v>19</v>
      </c>
      <c r="IW23">
        <v>0.8</v>
      </c>
      <c r="IX23">
        <v>0.9</v>
      </c>
      <c r="IY23">
        <v>1.0559099999999999</v>
      </c>
      <c r="IZ23">
        <v>2.5647000000000002</v>
      </c>
      <c r="JA23">
        <v>1.3464400000000001</v>
      </c>
      <c r="JB23">
        <v>2.2546400000000002</v>
      </c>
      <c r="JC23">
        <v>1.5502899999999999</v>
      </c>
      <c r="JD23">
        <v>2.5561500000000001</v>
      </c>
      <c r="JE23">
        <v>37.771099999999997</v>
      </c>
      <c r="JF23">
        <v>16.110900000000001</v>
      </c>
      <c r="JG23">
        <v>18</v>
      </c>
      <c r="JH23">
        <v>489.983</v>
      </c>
      <c r="JI23">
        <v>476.60199999999998</v>
      </c>
      <c r="JJ23">
        <v>23.637699999999999</v>
      </c>
      <c r="JK23">
        <v>28.781199999999998</v>
      </c>
      <c r="JL23">
        <v>30.0001</v>
      </c>
      <c r="JM23">
        <v>28.7819</v>
      </c>
      <c r="JN23">
        <v>28.7988</v>
      </c>
      <c r="JO23">
        <v>21.140799999999999</v>
      </c>
      <c r="JP23">
        <v>21.792200000000001</v>
      </c>
      <c r="JQ23">
        <v>41.918999999999997</v>
      </c>
      <c r="JR23">
        <v>23.6358</v>
      </c>
      <c r="JS23">
        <v>401.70499999999998</v>
      </c>
      <c r="JT23">
        <v>16.8963</v>
      </c>
      <c r="JU23">
        <v>101.605</v>
      </c>
      <c r="JV23">
        <v>97.237399999999994</v>
      </c>
    </row>
    <row r="24" spans="1:282" x14ac:dyDescent="0.3">
      <c r="A24">
        <v>8</v>
      </c>
      <c r="B24">
        <v>1792137809.0999999</v>
      </c>
      <c r="C24">
        <v>1019</v>
      </c>
      <c r="D24" t="s">
        <v>445</v>
      </c>
      <c r="E24" t="s">
        <v>446</v>
      </c>
      <c r="F24">
        <v>5</v>
      </c>
      <c r="G24">
        <v>1792137805.5999999</v>
      </c>
      <c r="H24">
        <f t="shared" si="0"/>
        <v>1.4258121690951236E-3</v>
      </c>
      <c r="I24">
        <f t="shared" si="1"/>
        <v>1.4258121690951235</v>
      </c>
      <c r="J24">
        <f t="shared" si="2"/>
        <v>0.79786131824514195</v>
      </c>
      <c r="K24">
        <f t="shared" si="3"/>
        <v>400.00883333333297</v>
      </c>
      <c r="L24">
        <f t="shared" si="4"/>
        <v>378.85808052532502</v>
      </c>
      <c r="M24">
        <f t="shared" si="5"/>
        <v>38.569189966092573</v>
      </c>
      <c r="N24">
        <f t="shared" si="6"/>
        <v>40.722416846846386</v>
      </c>
      <c r="O24">
        <f t="shared" si="7"/>
        <v>0.10402410962702233</v>
      </c>
      <c r="P24">
        <f t="shared" si="8"/>
        <v>3.0399695803024533</v>
      </c>
      <c r="Q24">
        <f t="shared" si="9"/>
        <v>0.10208631079401112</v>
      </c>
      <c r="R24">
        <f t="shared" si="10"/>
        <v>6.3975041099977065E-2</v>
      </c>
      <c r="S24">
        <f t="shared" si="11"/>
        <v>8.2446488458351013</v>
      </c>
      <c r="T24">
        <f t="shared" si="12"/>
        <v>25.109601561093964</v>
      </c>
      <c r="U24">
        <f t="shared" si="13"/>
        <v>25.004183333333302</v>
      </c>
      <c r="V24">
        <f t="shared" si="14"/>
        <v>3.1804707087612591</v>
      </c>
      <c r="W24">
        <f t="shared" si="15"/>
        <v>55.003585481201334</v>
      </c>
      <c r="X24">
        <f t="shared" si="16"/>
        <v>1.7933383061654087</v>
      </c>
      <c r="Y24">
        <f t="shared" si="17"/>
        <v>3.2604025546267721</v>
      </c>
      <c r="Z24">
        <f t="shared" si="18"/>
        <v>1.3871324025958505</v>
      </c>
      <c r="AA24">
        <f t="shared" si="19"/>
        <v>-62.878316657094949</v>
      </c>
      <c r="AB24">
        <f t="shared" si="20"/>
        <v>68.342480285531551</v>
      </c>
      <c r="AC24">
        <f t="shared" si="21"/>
        <v>4.7655304637383553</v>
      </c>
      <c r="AD24">
        <f t="shared" si="22"/>
        <v>18.474342938010054</v>
      </c>
      <c r="AE24">
        <v>0</v>
      </c>
      <c r="AF24">
        <v>0</v>
      </c>
      <c r="AG24">
        <f t="shared" si="23"/>
        <v>1</v>
      </c>
      <c r="AH24">
        <f t="shared" si="24"/>
        <v>0</v>
      </c>
      <c r="AI24">
        <f t="shared" si="25"/>
        <v>54090.106799180758</v>
      </c>
      <c r="AJ24" t="s">
        <v>415</v>
      </c>
      <c r="AK24">
        <v>8123.51</v>
      </c>
      <c r="AL24">
        <v>207.29499999999999</v>
      </c>
      <c r="AM24">
        <v>955.27281112415801</v>
      </c>
      <c r="AN24">
        <f t="shared" si="26"/>
        <v>0.78299916255749313</v>
      </c>
      <c r="AO24">
        <v>-1.30156516113038</v>
      </c>
      <c r="AP24" t="s">
        <v>447</v>
      </c>
      <c r="AQ24">
        <v>8129.06</v>
      </c>
      <c r="AR24">
        <v>334.62707999999998</v>
      </c>
      <c r="AS24">
        <v>1129.24500620495</v>
      </c>
      <c r="AT24">
        <f t="shared" si="27"/>
        <v>0.70367185317508718</v>
      </c>
      <c r="AU24">
        <v>0.5</v>
      </c>
      <c r="AV24">
        <f t="shared" si="28"/>
        <v>42.156611754318675</v>
      </c>
      <c r="AW24">
        <f t="shared" si="29"/>
        <v>0.79786131824514195</v>
      </c>
      <c r="AX24">
        <f t="shared" si="30"/>
        <v>14.832210558372042</v>
      </c>
      <c r="AY24">
        <f t="shared" si="31"/>
        <v>4.9800645545486681E-2</v>
      </c>
      <c r="AZ24">
        <f t="shared" si="32"/>
        <v>-0.15406062822935099</v>
      </c>
      <c r="BA24">
        <f t="shared" si="33"/>
        <v>214.46483509813837</v>
      </c>
      <c r="BB24" t="s">
        <v>417</v>
      </c>
      <c r="BC24">
        <v>0</v>
      </c>
      <c r="BD24">
        <f t="shared" si="34"/>
        <v>214.46483509813837</v>
      </c>
      <c r="BE24">
        <f t="shared" si="35"/>
        <v>0.8100812189385812</v>
      </c>
      <c r="BF24">
        <f t="shared" si="36"/>
        <v>0.86864358378420592</v>
      </c>
      <c r="BG24">
        <f t="shared" si="37"/>
        <v>-0.23484114738349071</v>
      </c>
      <c r="BH24">
        <f t="shared" si="38"/>
        <v>0.86188830289817908</v>
      </c>
      <c r="BI24">
        <f t="shared" si="39"/>
        <v>-0.23259004811830444</v>
      </c>
      <c r="BJ24">
        <f t="shared" si="40"/>
        <v>0.55671974591935502</v>
      </c>
      <c r="BK24">
        <f t="shared" si="41"/>
        <v>0.44328025408064498</v>
      </c>
      <c r="BL24">
        <v>1119</v>
      </c>
      <c r="BM24">
        <v>290</v>
      </c>
      <c r="BN24">
        <v>1068.6300000000001</v>
      </c>
      <c r="BO24">
        <v>235</v>
      </c>
      <c r="BP24">
        <v>8129.06</v>
      </c>
      <c r="BQ24">
        <v>1067.99</v>
      </c>
      <c r="BR24">
        <v>0.64</v>
      </c>
      <c r="BS24">
        <v>300</v>
      </c>
      <c r="BT24">
        <v>19.3</v>
      </c>
      <c r="BU24">
        <v>1129.24500620495</v>
      </c>
      <c r="BV24">
        <v>1.5582826760753401</v>
      </c>
      <c r="BW24">
        <v>-49.790716658886303</v>
      </c>
      <c r="BX24">
        <v>1.1329854985054599</v>
      </c>
      <c r="BY24">
        <v>0.98570912708995595</v>
      </c>
      <c r="BZ24">
        <v>-5.3619911012235903E-3</v>
      </c>
      <c r="CA24">
        <v>290</v>
      </c>
      <c r="CB24">
        <v>1057.5999999999999</v>
      </c>
      <c r="CC24">
        <v>615</v>
      </c>
      <c r="CD24">
        <v>8118.29</v>
      </c>
      <c r="CE24">
        <v>1067.9100000000001</v>
      </c>
      <c r="CF24">
        <v>-10.31</v>
      </c>
      <c r="CT24">
        <f t="shared" si="42"/>
        <v>50.025733333333299</v>
      </c>
      <c r="CU24">
        <f t="shared" si="43"/>
        <v>42.156611754318675</v>
      </c>
      <c r="CV24">
        <f t="shared" si="44"/>
        <v>0.84269852624486674</v>
      </c>
      <c r="CW24">
        <f t="shared" si="45"/>
        <v>0.16480815565259294</v>
      </c>
      <c r="CX24">
        <v>2</v>
      </c>
      <c r="CY24">
        <v>0.5</v>
      </c>
      <c r="CZ24" t="s">
        <v>418</v>
      </c>
      <c r="DA24">
        <v>2</v>
      </c>
      <c r="DB24">
        <v>1792137805.5999999</v>
      </c>
      <c r="DC24">
        <v>400.00883333333297</v>
      </c>
      <c r="DD24">
        <v>400.55616666666702</v>
      </c>
      <c r="DE24">
        <v>17.6156333333333</v>
      </c>
      <c r="DF24">
        <v>17.055299999999999</v>
      </c>
      <c r="DG24">
        <v>399.24866666666702</v>
      </c>
      <c r="DH24">
        <v>17.733233333333299</v>
      </c>
      <c r="DI24">
        <v>499.95083333333298</v>
      </c>
      <c r="DJ24">
        <v>101.70383333333299</v>
      </c>
      <c r="DK24">
        <v>9.9960616666666696E-2</v>
      </c>
      <c r="DL24">
        <v>25.4211833333333</v>
      </c>
      <c r="DM24">
        <v>25.004183333333302</v>
      </c>
      <c r="DN24">
        <v>999.9</v>
      </c>
      <c r="DO24">
        <v>0</v>
      </c>
      <c r="DP24">
        <v>0</v>
      </c>
      <c r="DQ24">
        <v>10005.299999999999</v>
      </c>
      <c r="DR24">
        <v>0</v>
      </c>
      <c r="DS24">
        <v>6.47105833333333</v>
      </c>
      <c r="DT24">
        <v>-0.54729216666666702</v>
      </c>
      <c r="DU24">
        <v>407.18166666666701</v>
      </c>
      <c r="DV24">
        <v>407.50633333333298</v>
      </c>
      <c r="DW24">
        <v>0.56034649999999997</v>
      </c>
      <c r="DX24">
        <v>400.55616666666702</v>
      </c>
      <c r="DY24">
        <v>17.055299999999999</v>
      </c>
      <c r="DZ24">
        <v>1.79158</v>
      </c>
      <c r="EA24">
        <v>1.7345883333333301</v>
      </c>
      <c r="EB24">
        <v>15.713483333333301</v>
      </c>
      <c r="EC24">
        <v>15.209483333333299</v>
      </c>
      <c r="ED24">
        <v>50.025733333333299</v>
      </c>
      <c r="EE24">
        <v>0.90009133333333302</v>
      </c>
      <c r="EF24">
        <v>9.9908666666666701E-2</v>
      </c>
      <c r="EG24">
        <v>0</v>
      </c>
      <c r="EH24">
        <v>334.60233333333298</v>
      </c>
      <c r="EI24">
        <v>5.0006399999999998</v>
      </c>
      <c r="EJ24">
        <v>154.96899999999999</v>
      </c>
      <c r="EK24">
        <v>456.60016666666701</v>
      </c>
      <c r="EL24">
        <v>36.186999999999998</v>
      </c>
      <c r="EM24">
        <v>39.166333333333299</v>
      </c>
      <c r="EN24">
        <v>37.936999999999998</v>
      </c>
      <c r="EO24">
        <v>39.125</v>
      </c>
      <c r="EP24">
        <v>38.811999999999998</v>
      </c>
      <c r="EQ24">
        <v>40.526666666666699</v>
      </c>
      <c r="ER24">
        <v>4.5</v>
      </c>
      <c r="ES24">
        <v>0</v>
      </c>
      <c r="ET24">
        <v>146.700000047684</v>
      </c>
      <c r="EU24">
        <v>0</v>
      </c>
      <c r="EV24">
        <v>334.62707999999998</v>
      </c>
      <c r="EW24">
        <v>-5.7076911361210403E-2</v>
      </c>
      <c r="EX24">
        <v>0.69792309772684702</v>
      </c>
      <c r="EY24">
        <v>154.93039999999999</v>
      </c>
      <c r="EZ24">
        <v>15</v>
      </c>
      <c r="FA24">
        <v>1792137731.0999999</v>
      </c>
      <c r="FB24" t="s">
        <v>448</v>
      </c>
      <c r="FC24">
        <v>1792137731.0999999</v>
      </c>
      <c r="FD24">
        <v>1792137725.0999999</v>
      </c>
      <c r="FE24">
        <v>75</v>
      </c>
      <c r="FF24">
        <v>-4.2000000000000003E-2</v>
      </c>
      <c r="FG24">
        <v>-2E-3</v>
      </c>
      <c r="FH24">
        <v>0.76</v>
      </c>
      <c r="FI24">
        <v>-0.14000000000000001</v>
      </c>
      <c r="FJ24">
        <v>401</v>
      </c>
      <c r="FK24">
        <v>17</v>
      </c>
      <c r="FL24">
        <v>0.27</v>
      </c>
      <c r="FM24">
        <v>0.09</v>
      </c>
      <c r="FN24">
        <v>0.91823066648249496</v>
      </c>
      <c r="FO24">
        <v>-0.56753163994278299</v>
      </c>
      <c r="FP24">
        <v>0.123588649297904</v>
      </c>
      <c r="FQ24">
        <v>1</v>
      </c>
      <c r="FR24">
        <v>-0.59823764999999995</v>
      </c>
      <c r="FS24">
        <v>0.40654236090225598</v>
      </c>
      <c r="FT24">
        <v>5.2985952038512099E-2</v>
      </c>
      <c r="FU24">
        <v>1</v>
      </c>
      <c r="FV24">
        <v>334.55279411764701</v>
      </c>
      <c r="FW24">
        <v>0.99915967110134396</v>
      </c>
      <c r="FX24">
        <v>0.224086745206313</v>
      </c>
      <c r="FY24">
        <v>1</v>
      </c>
      <c r="FZ24">
        <v>3</v>
      </c>
      <c r="GA24">
        <v>3</v>
      </c>
      <c r="GB24" t="s">
        <v>420</v>
      </c>
      <c r="GC24">
        <v>3.1234500000000001</v>
      </c>
      <c r="GD24">
        <v>2.7652600000000001</v>
      </c>
      <c r="GE24">
        <v>8.80605E-2</v>
      </c>
      <c r="GF24">
        <v>9.0477399999999999E-2</v>
      </c>
      <c r="GG24">
        <v>9.4194899999999998E-2</v>
      </c>
      <c r="GH24">
        <v>9.5147300000000004E-2</v>
      </c>
      <c r="GI24">
        <v>17743.599999999999</v>
      </c>
      <c r="GJ24">
        <v>26681.3</v>
      </c>
      <c r="GK24">
        <v>22738.2</v>
      </c>
      <c r="GL24">
        <v>30062.1</v>
      </c>
      <c r="GM24">
        <v>33791.800000000003</v>
      </c>
      <c r="GN24">
        <v>33893.1</v>
      </c>
      <c r="GO24">
        <v>43031.7</v>
      </c>
      <c r="GP24">
        <v>42823.199999999997</v>
      </c>
      <c r="GQ24">
        <v>1.94492</v>
      </c>
      <c r="GR24">
        <v>1.8059700000000001</v>
      </c>
      <c r="GS24">
        <v>2.64905E-2</v>
      </c>
      <c r="GT24">
        <v>0</v>
      </c>
      <c r="GU24">
        <v>24.572600000000001</v>
      </c>
      <c r="GV24">
        <v>999.9</v>
      </c>
      <c r="GW24">
        <v>38.28</v>
      </c>
      <c r="GX24">
        <v>33.878</v>
      </c>
      <c r="GY24">
        <v>19.9739</v>
      </c>
      <c r="GZ24">
        <v>63.405200000000001</v>
      </c>
      <c r="HA24">
        <v>36.670699999999997</v>
      </c>
      <c r="HB24">
        <v>1</v>
      </c>
      <c r="HC24">
        <v>0.11960899999999999</v>
      </c>
      <c r="HD24">
        <v>1.25535</v>
      </c>
      <c r="HE24">
        <v>20.244800000000001</v>
      </c>
      <c r="HF24">
        <v>5.2345100000000002</v>
      </c>
      <c r="HG24">
        <v>11.964600000000001</v>
      </c>
      <c r="HH24">
        <v>4.9691000000000001</v>
      </c>
      <c r="HI24">
        <v>3.2957000000000001</v>
      </c>
      <c r="HJ24">
        <v>9999</v>
      </c>
      <c r="HK24">
        <v>999.9</v>
      </c>
      <c r="HL24">
        <v>9999</v>
      </c>
      <c r="HM24">
        <v>9999</v>
      </c>
      <c r="HN24">
        <v>4.9687000000000001</v>
      </c>
      <c r="HO24">
        <v>1.8627</v>
      </c>
      <c r="HP24">
        <v>1.8642000000000001</v>
      </c>
      <c r="HQ24">
        <v>1.86615</v>
      </c>
      <c r="HR24">
        <v>1.8631</v>
      </c>
      <c r="HS24">
        <v>1.8668199999999999</v>
      </c>
      <c r="HT24">
        <v>1.8635600000000001</v>
      </c>
      <c r="HU24">
        <v>1.86551</v>
      </c>
      <c r="HV24">
        <v>0</v>
      </c>
      <c r="HW24">
        <v>0</v>
      </c>
      <c r="HX24">
        <v>0</v>
      </c>
      <c r="HY24">
        <v>0</v>
      </c>
      <c r="HZ24" t="s">
        <v>421</v>
      </c>
      <c r="IA24" t="s">
        <v>422</v>
      </c>
      <c r="IB24" t="s">
        <v>423</v>
      </c>
      <c r="IC24" t="s">
        <v>423</v>
      </c>
      <c r="ID24" t="s">
        <v>423</v>
      </c>
      <c r="IE24" t="s">
        <v>423</v>
      </c>
      <c r="IF24">
        <v>0</v>
      </c>
      <c r="IG24">
        <v>100</v>
      </c>
      <c r="IH24">
        <v>100</v>
      </c>
      <c r="II24">
        <v>0.76</v>
      </c>
      <c r="IJ24">
        <v>-0.1178</v>
      </c>
      <c r="IK24">
        <v>0.63359050388075</v>
      </c>
      <c r="IL24">
        <v>2.16929631606078E-4</v>
      </c>
      <c r="IM24">
        <v>2.7226302473163502E-7</v>
      </c>
      <c r="IN24">
        <v>-5.4379205123515401E-11</v>
      </c>
      <c r="IO24">
        <v>-3.7675829719783498E-2</v>
      </c>
      <c r="IP24">
        <v>-5.8443384954566899E-2</v>
      </c>
      <c r="IQ24">
        <v>3.41568706061026E-3</v>
      </c>
      <c r="IR24">
        <v>-2.10952612506686E-5</v>
      </c>
      <c r="IS24">
        <v>0</v>
      </c>
      <c r="IT24">
        <v>1734</v>
      </c>
      <c r="IU24">
        <v>2</v>
      </c>
      <c r="IV24">
        <v>19</v>
      </c>
      <c r="IW24">
        <v>1.3</v>
      </c>
      <c r="IX24">
        <v>1.4</v>
      </c>
      <c r="IY24">
        <v>1.0534699999999999</v>
      </c>
      <c r="IZ24">
        <v>2.5744600000000002</v>
      </c>
      <c r="JA24">
        <v>1.3476600000000001</v>
      </c>
      <c r="JB24">
        <v>2.2546400000000002</v>
      </c>
      <c r="JC24">
        <v>1.5502899999999999</v>
      </c>
      <c r="JD24">
        <v>2.4475099999999999</v>
      </c>
      <c r="JE24">
        <v>37.722799999999999</v>
      </c>
      <c r="JF24">
        <v>16.093399999999999</v>
      </c>
      <c r="JG24">
        <v>18</v>
      </c>
      <c r="JH24">
        <v>489.89400000000001</v>
      </c>
      <c r="JI24">
        <v>477.27100000000002</v>
      </c>
      <c r="JJ24">
        <v>23.627500000000001</v>
      </c>
      <c r="JK24">
        <v>28.7911</v>
      </c>
      <c r="JL24">
        <v>30</v>
      </c>
      <c r="JM24">
        <v>28.795200000000001</v>
      </c>
      <c r="JN24">
        <v>28.813400000000001</v>
      </c>
      <c r="JO24">
        <v>21.093699999999998</v>
      </c>
      <c r="JP24">
        <v>22.239699999999999</v>
      </c>
      <c r="JQ24">
        <v>43.103099999999998</v>
      </c>
      <c r="JR24">
        <v>23.6265</v>
      </c>
      <c r="JS24">
        <v>400.6</v>
      </c>
      <c r="JT24">
        <v>17.039899999999999</v>
      </c>
      <c r="JU24">
        <v>101.601</v>
      </c>
      <c r="JV24">
        <v>97.235200000000006</v>
      </c>
    </row>
    <row r="25" spans="1:282" x14ac:dyDescent="0.3">
      <c r="A25">
        <v>9</v>
      </c>
      <c r="B25">
        <v>1792137979</v>
      </c>
      <c r="C25">
        <v>1188.9000000953699</v>
      </c>
      <c r="D25" t="s">
        <v>449</v>
      </c>
      <c r="E25" t="s">
        <v>450</v>
      </c>
      <c r="F25">
        <v>5</v>
      </c>
      <c r="G25">
        <v>1792137976</v>
      </c>
      <c r="H25">
        <f t="shared" si="0"/>
        <v>9.9936529341436127E-4</v>
      </c>
      <c r="I25">
        <f t="shared" si="1"/>
        <v>0.9993652934143612</v>
      </c>
      <c r="J25">
        <f t="shared" si="2"/>
        <v>-2.4980196683631291</v>
      </c>
      <c r="K25">
        <f t="shared" si="3"/>
        <v>399.98739999999998</v>
      </c>
      <c r="L25">
        <f t="shared" si="4"/>
        <v>446.63380949169078</v>
      </c>
      <c r="M25">
        <f t="shared" si="5"/>
        <v>45.469550634020955</v>
      </c>
      <c r="N25">
        <f t="shared" si="6"/>
        <v>40.720713369122471</v>
      </c>
      <c r="O25">
        <f t="shared" si="7"/>
        <v>7.1974599003875928E-2</v>
      </c>
      <c r="P25">
        <f t="shared" si="8"/>
        <v>3.0371835591486085</v>
      </c>
      <c r="Q25">
        <f t="shared" si="9"/>
        <v>7.10402963343571E-2</v>
      </c>
      <c r="R25">
        <f t="shared" si="10"/>
        <v>4.4483118084694212E-2</v>
      </c>
      <c r="S25">
        <f t="shared" si="11"/>
        <v>6.3856599478895988E-4</v>
      </c>
      <c r="T25">
        <f t="shared" si="12"/>
        <v>25.101829469632357</v>
      </c>
      <c r="U25">
        <f t="shared" si="13"/>
        <v>25.000139999999998</v>
      </c>
      <c r="V25">
        <f t="shared" si="14"/>
        <v>3.1797041298033872</v>
      </c>
      <c r="W25">
        <f t="shared" si="15"/>
        <v>54.890569555215571</v>
      </c>
      <c r="X25">
        <f t="shared" si="16"/>
        <v>1.7824567445169914</v>
      </c>
      <c r="Y25">
        <f t="shared" si="17"/>
        <v>3.2472913998897042</v>
      </c>
      <c r="Z25">
        <f t="shared" si="18"/>
        <v>1.3972473852863958</v>
      </c>
      <c r="AA25">
        <f t="shared" si="19"/>
        <v>-44.072009439573335</v>
      </c>
      <c r="AB25">
        <f t="shared" si="20"/>
        <v>57.843018500820385</v>
      </c>
      <c r="AC25">
        <f t="shared" si="21"/>
        <v>4.0356424904362491</v>
      </c>
      <c r="AD25">
        <f t="shared" si="22"/>
        <v>17.807290117678086</v>
      </c>
      <c r="AE25">
        <v>0</v>
      </c>
      <c r="AF25">
        <v>0</v>
      </c>
      <c r="AG25">
        <f t="shared" si="23"/>
        <v>1</v>
      </c>
      <c r="AH25">
        <f t="shared" si="24"/>
        <v>0</v>
      </c>
      <c r="AI25">
        <f t="shared" si="25"/>
        <v>54015.114667336435</v>
      </c>
      <c r="AJ25" t="s">
        <v>451</v>
      </c>
      <c r="AK25">
        <v>8132.69</v>
      </c>
      <c r="AL25">
        <v>308.27800000000002</v>
      </c>
      <c r="AM25">
        <v>1231.5408609109199</v>
      </c>
      <c r="AN25">
        <f t="shared" si="26"/>
        <v>0.74968106233034004</v>
      </c>
      <c r="AO25">
        <v>-2.4980196683632698</v>
      </c>
      <c r="AP25" t="s">
        <v>417</v>
      </c>
      <c r="AQ25" t="s">
        <v>417</v>
      </c>
      <c r="AR25">
        <v>0</v>
      </c>
      <c r="AS25">
        <v>0</v>
      </c>
      <c r="AT25" t="e">
        <f t="shared" si="27"/>
        <v>#DIV/0!</v>
      </c>
      <c r="AU25">
        <v>0.5</v>
      </c>
      <c r="AV25">
        <f t="shared" si="28"/>
        <v>3.3608736567839995E-3</v>
      </c>
      <c r="AW25">
        <f t="shared" si="29"/>
        <v>-2.4980196683631291</v>
      </c>
      <c r="AX25" t="e">
        <f t="shared" si="30"/>
        <v>#DIV/0!</v>
      </c>
      <c r="AY25">
        <f t="shared" si="31"/>
        <v>4.1886810960093587E-11</v>
      </c>
      <c r="AZ25" t="e">
        <f t="shared" si="32"/>
        <v>#DIV/0!</v>
      </c>
      <c r="BA25" t="e">
        <f t="shared" si="33"/>
        <v>#DIV/0!</v>
      </c>
      <c r="BB25" t="s">
        <v>417</v>
      </c>
      <c r="BC25">
        <v>0</v>
      </c>
      <c r="BD25" t="e">
        <f t="shared" si="34"/>
        <v>#DIV/0!</v>
      </c>
      <c r="BE25" t="e">
        <f t="shared" si="35"/>
        <v>#DIV/0!</v>
      </c>
      <c r="BF25" t="e">
        <f t="shared" si="36"/>
        <v>#DIV/0!</v>
      </c>
      <c r="BG25" t="e">
        <f t="shared" si="37"/>
        <v>#DIV/0!</v>
      </c>
      <c r="BH25">
        <f t="shared" si="38"/>
        <v>0</v>
      </c>
      <c r="BI25">
        <f t="shared" si="39"/>
        <v>1.3339005748545363</v>
      </c>
      <c r="BJ25" t="e">
        <f t="shared" si="40"/>
        <v>#DIV/0!</v>
      </c>
      <c r="BK25" t="e">
        <f t="shared" si="41"/>
        <v>#DIV/0!</v>
      </c>
      <c r="BL25">
        <v>1120</v>
      </c>
      <c r="BM25">
        <v>290</v>
      </c>
      <c r="BN25">
        <v>1188.7</v>
      </c>
      <c r="BO25">
        <v>175</v>
      </c>
      <c r="BP25">
        <v>8132.69</v>
      </c>
      <c r="BQ25">
        <v>1186.33</v>
      </c>
      <c r="BR25">
        <v>2.37</v>
      </c>
      <c r="BS25">
        <v>300</v>
      </c>
      <c r="BT25">
        <v>19.3</v>
      </c>
      <c r="BU25">
        <v>1231.5408609109199</v>
      </c>
      <c r="BV25">
        <v>1.6789720265661501</v>
      </c>
      <c r="BW25">
        <v>-36.768693044594997</v>
      </c>
      <c r="BX25">
        <v>1.2197250482314299</v>
      </c>
      <c r="BY25">
        <v>0.97010862477944604</v>
      </c>
      <c r="BZ25">
        <v>-5.3910591768631796E-3</v>
      </c>
      <c r="CA25">
        <v>290</v>
      </c>
      <c r="CB25">
        <v>1175.72</v>
      </c>
      <c r="CC25">
        <v>615</v>
      </c>
      <c r="CD25">
        <v>8117.24</v>
      </c>
      <c r="CE25">
        <v>1186.24</v>
      </c>
      <c r="CF25">
        <v>-10.52</v>
      </c>
      <c r="CT25">
        <f t="shared" si="42"/>
        <v>2.0002599999999999E-2</v>
      </c>
      <c r="CU25">
        <f t="shared" si="43"/>
        <v>3.3608736567839995E-3</v>
      </c>
      <c r="CV25">
        <f t="shared" si="44"/>
        <v>0.16802183999999998</v>
      </c>
      <c r="CW25">
        <f t="shared" si="45"/>
        <v>3.1924149599999993E-2</v>
      </c>
      <c r="CX25">
        <v>2</v>
      </c>
      <c r="CY25">
        <v>0.5</v>
      </c>
      <c r="CZ25" t="s">
        <v>418</v>
      </c>
      <c r="DA25">
        <v>2</v>
      </c>
      <c r="DB25">
        <v>1792137976</v>
      </c>
      <c r="DC25">
        <v>399.98739999999998</v>
      </c>
      <c r="DD25">
        <v>399.14839999999998</v>
      </c>
      <c r="DE25">
        <v>17.50854</v>
      </c>
      <c r="DF25">
        <v>17.115939999999998</v>
      </c>
      <c r="DG25">
        <v>399.18099999999998</v>
      </c>
      <c r="DH25">
        <v>17.632180000000002</v>
      </c>
      <c r="DI25">
        <v>500.18740000000003</v>
      </c>
      <c r="DJ25">
        <v>101.70480000000001</v>
      </c>
      <c r="DK25">
        <v>0.10019028000000001</v>
      </c>
      <c r="DL25">
        <v>25.353400000000001</v>
      </c>
      <c r="DM25">
        <v>25.000139999999998</v>
      </c>
      <c r="DN25">
        <v>999.9</v>
      </c>
      <c r="DO25">
        <v>0</v>
      </c>
      <c r="DP25">
        <v>0</v>
      </c>
      <c r="DQ25">
        <v>9988.3739999999998</v>
      </c>
      <c r="DR25">
        <v>0</v>
      </c>
      <c r="DS25">
        <v>6.6017700000000001</v>
      </c>
      <c r="DT25">
        <v>0.8390746</v>
      </c>
      <c r="DU25">
        <v>407.11559999999997</v>
      </c>
      <c r="DV25">
        <v>406.0994</v>
      </c>
      <c r="DW25">
        <v>0.39261400000000002</v>
      </c>
      <c r="DX25">
        <v>399.14839999999998</v>
      </c>
      <c r="DY25">
        <v>17.115939999999998</v>
      </c>
      <c r="DZ25">
        <v>1.7807059999999999</v>
      </c>
      <c r="EA25">
        <v>1.7407760000000001</v>
      </c>
      <c r="EB25">
        <v>15.61844</v>
      </c>
      <c r="EC25">
        <v>15.264900000000001</v>
      </c>
      <c r="ED25">
        <v>2.0002599999999999E-2</v>
      </c>
      <c r="EE25">
        <v>0</v>
      </c>
      <c r="EF25">
        <v>0</v>
      </c>
      <c r="EG25">
        <v>0</v>
      </c>
      <c r="EH25">
        <v>309.39999999999998</v>
      </c>
      <c r="EI25">
        <v>2.0002599999999999E-2</v>
      </c>
      <c r="EJ25">
        <v>-8.67</v>
      </c>
      <c r="EK25">
        <v>0.88</v>
      </c>
      <c r="EL25">
        <v>35.449599999999997</v>
      </c>
      <c r="EM25">
        <v>38.612400000000001</v>
      </c>
      <c r="EN25">
        <v>37.311999999999998</v>
      </c>
      <c r="EO25">
        <v>38.436999999999998</v>
      </c>
      <c r="EP25">
        <v>37.936999999999998</v>
      </c>
      <c r="EQ25">
        <v>0</v>
      </c>
      <c r="ER25">
        <v>0</v>
      </c>
      <c r="ES25">
        <v>0</v>
      </c>
      <c r="ET25">
        <v>169.10000014305101</v>
      </c>
      <c r="EU25">
        <v>0</v>
      </c>
      <c r="EV25">
        <v>308.27800000000002</v>
      </c>
      <c r="EW25">
        <v>1.19038464625677</v>
      </c>
      <c r="EX25">
        <v>-13.3038461796748</v>
      </c>
      <c r="EY25">
        <v>-7.6020000000000003</v>
      </c>
      <c r="EZ25">
        <v>15</v>
      </c>
      <c r="FA25">
        <v>1792137880</v>
      </c>
      <c r="FB25" t="s">
        <v>452</v>
      </c>
      <c r="FC25">
        <v>1792137880</v>
      </c>
      <c r="FD25">
        <v>1792137871</v>
      </c>
      <c r="FE25">
        <v>76</v>
      </c>
      <c r="FF25">
        <v>4.7E-2</v>
      </c>
      <c r="FG25">
        <v>-2E-3</v>
      </c>
      <c r="FH25">
        <v>0.80700000000000005</v>
      </c>
      <c r="FI25">
        <v>-0.14000000000000001</v>
      </c>
      <c r="FJ25">
        <v>400</v>
      </c>
      <c r="FK25">
        <v>17</v>
      </c>
      <c r="FL25">
        <v>0.41</v>
      </c>
      <c r="FM25">
        <v>0.11</v>
      </c>
      <c r="FN25">
        <v>-2.55438149605693</v>
      </c>
      <c r="FO25">
        <v>-0.49033174591100498</v>
      </c>
      <c r="FP25">
        <v>9.4959879807923697E-2</v>
      </c>
      <c r="FQ25">
        <v>1</v>
      </c>
      <c r="FR25">
        <v>0.86558979999999996</v>
      </c>
      <c r="FS25">
        <v>9.9143187969924301E-2</v>
      </c>
      <c r="FT25">
        <v>3.2765445981399403E-2</v>
      </c>
      <c r="FU25">
        <v>1</v>
      </c>
      <c r="FV25">
        <v>308.616911764706</v>
      </c>
      <c r="FW25">
        <v>0.39686785281808501</v>
      </c>
      <c r="FX25">
        <v>2.5711902184150701</v>
      </c>
      <c r="FY25">
        <v>1</v>
      </c>
      <c r="FZ25">
        <v>3</v>
      </c>
      <c r="GA25">
        <v>3</v>
      </c>
      <c r="GB25" t="s">
        <v>420</v>
      </c>
      <c r="GC25">
        <v>3.1236000000000002</v>
      </c>
      <c r="GD25">
        <v>2.7653400000000001</v>
      </c>
      <c r="GE25">
        <v>8.8043800000000005E-2</v>
      </c>
      <c r="GF25">
        <v>9.0222200000000002E-2</v>
      </c>
      <c r="GG25">
        <v>9.3812900000000005E-2</v>
      </c>
      <c r="GH25">
        <v>9.5380900000000005E-2</v>
      </c>
      <c r="GI25">
        <v>17744.2</v>
      </c>
      <c r="GJ25">
        <v>26688.1</v>
      </c>
      <c r="GK25">
        <v>22738.7</v>
      </c>
      <c r="GL25">
        <v>30061.4</v>
      </c>
      <c r="GM25">
        <v>33807.1</v>
      </c>
      <c r="GN25">
        <v>33883.599999999999</v>
      </c>
      <c r="GO25">
        <v>43032.5</v>
      </c>
      <c r="GP25">
        <v>42822.400000000001</v>
      </c>
      <c r="GQ25">
        <v>1.94503</v>
      </c>
      <c r="GR25">
        <v>1.8060499999999999</v>
      </c>
      <c r="GS25">
        <v>2.69748E-2</v>
      </c>
      <c r="GT25">
        <v>0</v>
      </c>
      <c r="GU25">
        <v>24.553999999999998</v>
      </c>
      <c r="GV25">
        <v>999.9</v>
      </c>
      <c r="GW25">
        <v>38.738</v>
      </c>
      <c r="GX25">
        <v>33.847999999999999</v>
      </c>
      <c r="GY25">
        <v>20.178799999999999</v>
      </c>
      <c r="GZ25">
        <v>63.625300000000003</v>
      </c>
      <c r="HA25">
        <v>35.9495</v>
      </c>
      <c r="HB25">
        <v>1</v>
      </c>
      <c r="HC25">
        <v>0.119939</v>
      </c>
      <c r="HD25">
        <v>1.1615500000000001</v>
      </c>
      <c r="HE25">
        <v>20.247399999999999</v>
      </c>
      <c r="HF25">
        <v>5.2349600000000001</v>
      </c>
      <c r="HG25">
        <v>11.9658</v>
      </c>
      <c r="HH25">
        <v>4.96915</v>
      </c>
      <c r="HI25">
        <v>3.2957000000000001</v>
      </c>
      <c r="HJ25">
        <v>9999</v>
      </c>
      <c r="HK25">
        <v>999.9</v>
      </c>
      <c r="HL25">
        <v>9999</v>
      </c>
      <c r="HM25">
        <v>9999</v>
      </c>
      <c r="HN25">
        <v>4.9687299999999999</v>
      </c>
      <c r="HO25">
        <v>1.8626499999999999</v>
      </c>
      <c r="HP25">
        <v>1.8642099999999999</v>
      </c>
      <c r="HQ25">
        <v>1.86615</v>
      </c>
      <c r="HR25">
        <v>1.8631</v>
      </c>
      <c r="HS25">
        <v>1.8668400000000001</v>
      </c>
      <c r="HT25">
        <v>1.8635600000000001</v>
      </c>
      <c r="HU25">
        <v>1.86551</v>
      </c>
      <c r="HV25">
        <v>0</v>
      </c>
      <c r="HW25">
        <v>0</v>
      </c>
      <c r="HX25">
        <v>0</v>
      </c>
      <c r="HY25">
        <v>0</v>
      </c>
      <c r="HZ25" t="s">
        <v>421</v>
      </c>
      <c r="IA25" t="s">
        <v>422</v>
      </c>
      <c r="IB25" t="s">
        <v>423</v>
      </c>
      <c r="IC25" t="s">
        <v>423</v>
      </c>
      <c r="ID25" t="s">
        <v>423</v>
      </c>
      <c r="IE25" t="s">
        <v>423</v>
      </c>
      <c r="IF25">
        <v>0</v>
      </c>
      <c r="IG25">
        <v>100</v>
      </c>
      <c r="IH25">
        <v>100</v>
      </c>
      <c r="II25">
        <v>0.80600000000000005</v>
      </c>
      <c r="IJ25">
        <v>-0.1237</v>
      </c>
      <c r="IK25">
        <v>0.68024660464129705</v>
      </c>
      <c r="IL25">
        <v>2.16929631606078E-4</v>
      </c>
      <c r="IM25">
        <v>2.7226302473163502E-7</v>
      </c>
      <c r="IN25">
        <v>-5.4379205123515401E-11</v>
      </c>
      <c r="IO25">
        <v>-3.9422983756834097E-2</v>
      </c>
      <c r="IP25">
        <v>-5.8443384954566899E-2</v>
      </c>
      <c r="IQ25">
        <v>3.41568706061026E-3</v>
      </c>
      <c r="IR25">
        <v>-2.10952612506686E-5</v>
      </c>
      <c r="IS25">
        <v>0</v>
      </c>
      <c r="IT25">
        <v>1734</v>
      </c>
      <c r="IU25">
        <v>2</v>
      </c>
      <c r="IV25">
        <v>19</v>
      </c>
      <c r="IW25">
        <v>1.6</v>
      </c>
      <c r="IX25">
        <v>1.8</v>
      </c>
      <c r="IY25">
        <v>1.0510299999999999</v>
      </c>
      <c r="IZ25">
        <v>2.5573700000000001</v>
      </c>
      <c r="JA25">
        <v>1.3464400000000001</v>
      </c>
      <c r="JB25">
        <v>2.2546400000000002</v>
      </c>
      <c r="JC25">
        <v>1.5502899999999999</v>
      </c>
      <c r="JD25">
        <v>2.7502399999999998</v>
      </c>
      <c r="JE25">
        <v>37.626300000000001</v>
      </c>
      <c r="JF25">
        <v>16.1021</v>
      </c>
      <c r="JG25">
        <v>18</v>
      </c>
      <c r="JH25">
        <v>490.03800000000001</v>
      </c>
      <c r="JI25">
        <v>477.43</v>
      </c>
      <c r="JJ25">
        <v>23.699100000000001</v>
      </c>
      <c r="JK25">
        <v>28.798500000000001</v>
      </c>
      <c r="JL25">
        <v>30.0001</v>
      </c>
      <c r="JM25">
        <v>28.805</v>
      </c>
      <c r="JN25">
        <v>28.825700000000001</v>
      </c>
      <c r="JO25">
        <v>21.039300000000001</v>
      </c>
      <c r="JP25">
        <v>23.2834</v>
      </c>
      <c r="JQ25">
        <v>44.168300000000002</v>
      </c>
      <c r="JR25">
        <v>23.701899999999998</v>
      </c>
      <c r="JS25">
        <v>399.10500000000002</v>
      </c>
      <c r="JT25">
        <v>17.166899999999998</v>
      </c>
      <c r="JU25">
        <v>101.60299999999999</v>
      </c>
      <c r="JV25">
        <v>97.233099999999993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/>
  </sheetViews>
  <sheetFormatPr defaultRowHeight="16.5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25</v>
      </c>
    </row>
    <row r="15" spans="1:2" x14ac:dyDescent="0.3">
      <c r="A15" t="s">
        <v>27</v>
      </c>
      <c r="B15" t="s">
        <v>23</v>
      </c>
    </row>
    <row r="16" spans="1:2" x14ac:dyDescent="0.3">
      <c r="A16" t="s">
        <v>28</v>
      </c>
      <c r="B16" t="s">
        <v>11</v>
      </c>
    </row>
    <row r="17" spans="1:2" x14ac:dyDescent="0.3">
      <c r="A17" t="s">
        <v>29</v>
      </c>
      <c r="B17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박은빈</cp:lastModifiedBy>
  <dcterms:created xsi:type="dcterms:W3CDTF">2026-10-16T17:07:49Z</dcterms:created>
  <dcterms:modified xsi:type="dcterms:W3CDTF">2026-10-17T10:08:00Z</dcterms:modified>
</cp:coreProperties>
</file>