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<sst xmlns="http://schemas.openxmlformats.org/spreadsheetml/2006/main" count="1144" uniqueCount="459">
  <si>
    <t>File opened</t>
  </si>
  <si>
    <t>2026-10-19 16:35:49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</si>
  <si>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</si>
  <si>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</si>
  <si>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</si>
  <si>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</si>
  <si>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</si>
  <si>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</si>
  <si>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</si>
  <si>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</si>
  <si>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</si>
  <si>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</si>
  <si>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</si>
  <si>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{"co2aspan2a": "0.0929659", "h2obspan2": "0", "ssb_ref": "37478.9", "co2bzero": "1.02053", "h2obspan2a": "0.112101", "co2bspan2": "0.00898303", "co2bspanconc2": "1516", "co2aspan2": "0.0108874", "flowmeterzero": "2.5072", "h2obspan1": "0.995823", "co2bspanconc1": "437.6", "co2aspanconc1": "437.6", "h2obspanconc1": "21.96", "h2oaspan1": "1.0301", "co2aspan2b": "0.0924399", "tbzero": "0.145187", "h2obzero": "1.13925", "h2oazero": "1.14957", "co2aspanconc2": "1516", "flowazero": "0.316", "co2azero": "1.16194", "h2oaspan2": "0", "co2bspan1": "0.993892", "co2aspan1": "0.99333", "h2oaspanconc2": "0", "h2obspanconc2": "0", "oxygen": "21", "h2oaspanconc1": "21.96", "flowbzero": "0.27399", "chamberpressurezero": "2.61687", "ssa_ref": "32366.8", "co2bspan2a": "0.0952815", "co2bspan2b": "0.0947811", "h2obspan2b": "0.111633", "tazero": "0.0951138", "h2oaspan2a": "0.108347", "h2oaspan2b": "0.111609"}</t>
  </si>
  <si>
    <t>Factory cal date</t>
  </si>
  <si>
    <t>04 Oct 2022</t>
  </si>
  <si>
    <t>CO2 rangematch</t>
  </si>
  <si>
    <t>Fri Oct 16 09:52</t>
  </si>
  <si>
    <t>H2O rangematch</t>
  </si>
  <si>
    <t>Fri Oct 16 09:57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</si>
  <si>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</si>
  <si>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</si>
  <si>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</si>
  <si>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</si>
  <si>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</si>
  <si>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</si>
  <si>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</si>
  <si>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</si>
  <si>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</si>
  <si>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16:35:49</t>
  </si>
  <si>
    <t>Stability Definition:	F (FlrLS): Slp&lt;1 Per=20	ΔCO2 (Meas2): Slp&lt;0.5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</si>
  <si>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</si>
  <si>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</si>
  <si>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</si>
  <si>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</si>
  <si>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</si>
  <si>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</si>
  <si>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</si>
  <si>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</si>
  <si>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</si>
  <si>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</si>
  <si>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</si>
  <si>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</si>
  <si>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</si>
  <si>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</si>
  <si>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</si>
  <si>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</si>
  <si>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</si>
  <si>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</si>
  <si>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</si>
  <si>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</si>
  <si>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</si>
  <si>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</si>
  <si>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</si>
  <si>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</si>
  <si>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</si>
  <si>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</si>
  <si>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</si>
  <si>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</si>
  <si>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</si>
  <si>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</si>
  <si>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</si>
  <si>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</si>
  <si>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</si>
  <si>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</si>
  <si>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</si>
  <si>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</si>
  <si>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</si>
  <si>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</si>
  <si>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</si>
  <si>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</si>
  <si>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</si>
  <si>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</si>
  <si>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</si>
  <si>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</si>
  <si>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</si>
  <si>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</si>
  <si>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</si>
  <si>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</si>
  <si>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</si>
  <si>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</si>
  <si>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</si>
  <si>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</si>
  <si>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3.67316 215.33 352.128 586.696 876.376 1080.25 1251.47 1368.14</t>
  </si>
  <si>
    <t>Fs_true</t>
  </si>
  <si>
    <t>-0.129226 238.723 377.082 583.062 812.664 1001.14 1203.78 1400.74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</si>
  <si>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</si>
  <si>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</si>
  <si>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</si>
  <si>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</si>
  <si>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</si>
  <si>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</si>
  <si>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</si>
  <si>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</si>
  <si>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</si>
  <si>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</si>
  <si>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</si>
  <si>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</si>
  <si>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</si>
  <si>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</si>
  <si>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</si>
  <si>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</si>
  <si>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</si>
  <si>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</si>
  <si>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</si>
  <si>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</si>
  <si>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</si>
  <si>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</si>
  <si>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</si>
  <si>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</si>
  <si>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</si>
  <si>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</si>
  <si>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</si>
  <si>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</si>
  <si>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</si>
  <si>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</si>
  <si>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</si>
  <si>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</si>
  <si>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</si>
  <si>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</si>
  <si>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</si>
  <si>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</si>
  <si>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</si>
  <si>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</si>
  <si>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</si>
  <si>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</si>
  <si>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</si>
  <si>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</si>
  <si>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</si>
  <si>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</si>
  <si>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</si>
  <si>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</si>
  <si>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</si>
  <si>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</si>
  <si>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</si>
  <si>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</si>
  <si>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</si>
  <si>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</si>
  <si>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</si>
  <si>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</si>
  <si>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</si>
  <si>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</si>
  <si>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</si>
  <si>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</si>
  <si>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</si>
  <si>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</si>
  <si>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</si>
  <si>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</si>
  <si>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</si>
  <si>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</si>
  <si>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</si>
  <si>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</si>
  <si>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</si>
  <si>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</si>
  <si>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</si>
  <si>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</si>
  <si>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</si>
  <si>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</si>
  <si>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</si>
  <si>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</si>
  <si>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</si>
  <si>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</si>
  <si>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</si>
  <si>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</si>
  <si>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</si>
  <si>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</si>
  <si>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</si>
  <si>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</si>
  <si>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</si>
  <si>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</si>
  <si>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</si>
  <si>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</si>
  <si>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</si>
  <si>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</si>
  <si>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</si>
  <si>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</si>
  <si>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</si>
  <si>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</si>
  <si>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</si>
  <si>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</si>
  <si>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</si>
  <si>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</si>
  <si>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</si>
  <si>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</si>
  <si>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</si>
  <si>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</si>
  <si>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</si>
  <si>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</si>
  <si>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</si>
  <si>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</si>
  <si>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</si>
  <si>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</si>
  <si>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</si>
  <si>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</si>
  <si>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</si>
  <si>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</si>
  <si>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</si>
  <si>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</si>
  <si>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</si>
  <si>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</si>
  <si>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</si>
  <si>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</si>
  <si>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</si>
  <si>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</si>
  <si>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</si>
  <si>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</si>
  <si>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</si>
  <si>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</si>
  <si>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</si>
  <si>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</si>
  <si>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</si>
  <si>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</si>
  <si>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</si>
  <si>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</si>
  <si>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</si>
  <si>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</si>
  <si>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</si>
  <si>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</si>
  <si>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</si>
  <si>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</si>
  <si>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</si>
  <si>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</si>
  <si>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</si>
  <si>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</si>
  <si>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</si>
  <si>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</si>
  <si>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</si>
  <si>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</si>
  <si>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</si>
  <si>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</si>
  <si>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</si>
  <si>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</si>
  <si>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</si>
  <si>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</si>
  <si>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</si>
  <si>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</si>
  <si>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</si>
  <si>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</si>
  <si>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</si>
  <si>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</si>
  <si>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</si>
  <si>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</si>
  <si>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</si>
  <si>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</si>
  <si>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</si>
  <si>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</si>
  <si>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</si>
  <si>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</si>
  <si>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</si>
  <si>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</si>
  <si>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</si>
  <si>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</si>
  <si>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</si>
  <si>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</si>
  <si>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</si>
  <si>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</si>
  <si>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</si>
  <si>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</si>
  <si>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</si>
  <si>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</si>
  <si>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</si>
  <si>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</si>
  <si>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</si>
  <si>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</si>
  <si>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</si>
  <si>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</si>
  <si>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</si>
  <si>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</si>
  <si>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</si>
  <si>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</si>
  <si>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</si>
  <si>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</si>
  <si>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</si>
  <si>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</si>
  <si>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</si>
  <si>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</si>
  <si>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</si>
  <si>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</si>
  <si>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</si>
  <si>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</si>
  <si>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</si>
  <si>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</si>
  <si>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</si>
  <si>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</si>
  <si>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</si>
  <si>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</si>
  <si>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</si>
  <si>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</si>
  <si>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</si>
  <si>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</si>
  <si>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</si>
  <si>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</si>
  <si>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</si>
  <si>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</si>
  <si>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</si>
  <si>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</si>
  <si>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</si>
  <si>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</si>
  <si>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</si>
  <si>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</si>
  <si>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</si>
  <si>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</si>
  <si>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</si>
  <si>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</si>
  <si>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</si>
  <si>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</si>
  <si>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</si>
  <si>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</si>
  <si>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</si>
  <si>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</si>
  <si>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</si>
  <si>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</si>
  <si>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</si>
  <si>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</si>
  <si>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</si>
  <si>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</si>
  <si>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</si>
  <si>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</si>
  <si>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CO2_hrs</t>
  </si>
  <si>
    <t>AccH2O_des</t>
  </si>
  <si>
    <t>AccCO2_soda</t>
  </si>
  <si>
    <t>AccH2O_hum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</si>
  <si>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</si>
  <si>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</si>
  <si>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</si>
  <si>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</si>
  <si>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</si>
  <si>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</si>
  <si>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</si>
  <si>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</si>
  <si>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</si>
  <si>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</si>
  <si>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</si>
  <si>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</si>
  <si>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</si>
  <si>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</si>
  <si>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</si>
  <si>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</si>
  <si>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</si>
  <si>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</si>
  <si>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</si>
  <si>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</si>
  <si>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</si>
  <si>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</si>
  <si>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</si>
  <si>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</si>
  <si>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</si>
  <si>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</si>
  <si>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</si>
  <si>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</si>
  <si>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</si>
  <si>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</si>
  <si>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</si>
  <si>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</si>
  <si>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</si>
  <si>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</si>
  <si>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</si>
  <si>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</si>
  <si>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</si>
  <si>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</si>
  <si>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</si>
  <si>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</si>
  <si>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</si>
  <si>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</si>
  <si>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</si>
  <si>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</si>
  <si>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</si>
  <si>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</si>
  <si>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</si>
  <si>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</si>
  <si>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</si>
  <si>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</si>
  <si>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</si>
  <si>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</si>
  <si>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</si>
  <si>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</si>
  <si>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</si>
  <si>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</si>
  <si>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</si>
  <si>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</si>
  <si>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</si>
  <si>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</si>
  <si>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</si>
  <si>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</si>
  <si>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</si>
  <si>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</si>
  <si>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</si>
  <si>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</si>
  <si>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</si>
  <si>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</si>
  <si>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</si>
  <si>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</si>
  <si>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</si>
  <si>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</si>
  <si>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</si>
  <si>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</si>
  <si>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</si>
  <si>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</si>
  <si>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</si>
  <si>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</si>
  <si>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</si>
  <si>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</si>
  <si>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</si>
  <si>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</si>
  <si>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</si>
  <si>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</si>
  <si>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</si>
  <si>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</si>
  <si>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</si>
  <si>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V</t>
  </si>
  <si>
    <t>mV</t>
  </si>
  <si>
    <t>hrs</t>
  </si>
  <si>
    <t>mg</t>
  </si>
  <si>
    <t>min</t>
  </si>
  <si>
    <t>20261019 17:14:18</t>
  </si>
  <si>
    <t>17:14:18</t>
  </si>
  <si>
    <t>-</t>
  </si>
  <si>
    <t>0: Broadleaf</t>
  </si>
  <si>
    <t>17:13:18</t>
  </si>
  <si>
    <t>3/3</t>
  </si>
  <si>
    <t>11111111</t>
  </si>
  <si>
    <t>oooooooo</t>
  </si>
  <si>
    <t>on</t>
  </si>
  <si>
    <t>20261019 17:16:21</t>
  </si>
  <si>
    <t>17:16:21</t>
  </si>
  <si>
    <t>17:15:25</t>
  </si>
  <si>
    <t>20261019 17:18:22</t>
  </si>
  <si>
    <t>17:18:22</t>
  </si>
  <si>
    <t>17:17:29</t>
  </si>
  <si>
    <t>20261019 17:20:25</t>
  </si>
  <si>
    <t>17:20:25</t>
  </si>
  <si>
    <t>17:19:34</t>
  </si>
  <si>
    <t>20261019 17:22:26</t>
  </si>
  <si>
    <t>17:22:26</t>
  </si>
  <si>
    <t>17:21:31</t>
  </si>
  <si>
    <t>20261019 17:24:51</t>
  </si>
  <si>
    <t>17:24:51</t>
  </si>
  <si>
    <t>17:23:33</t>
  </si>
  <si>
    <t>20261019 17:26:52</t>
  </si>
  <si>
    <t>17:26:52</t>
  </si>
  <si>
    <t>17:25:52</t>
  </si>
  <si>
    <t>20261019 17:28:53</t>
  </si>
  <si>
    <t>17:28:53</t>
  </si>
  <si>
    <t>17:27:50</t>
  </si>
  <si>
    <t>20261019 17:30:54</t>
  </si>
  <si>
    <t>17:30:54</t>
  </si>
  <si>
    <t>17:29:55</t>
  </si>
  <si>
    <t>20261019 17:32:57</t>
  </si>
  <si>
    <t>17:32:57</t>
  </si>
  <si>
    <t>17:32:12</t>
  </si>
  <si>
    <t>20261019 17:35:15</t>
  </si>
  <si>
    <t>17:35:15</t>
  </si>
  <si>
    <t>17:34:09</t>
  </si>
  <si>
    <t>20261019 17:37:45</t>
  </si>
  <si>
    <t>17:37:45</t>
  </si>
  <si>
    <t>17:36:15</t>
  </si>
  <si>
    <t>20261019 17:39:49</t>
  </si>
  <si>
    <t>17:39:49</t>
  </si>
  <si>
    <t>17:38:55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</si>
</sst>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V29"/>
  <sheetViews>
    <sheetView tabSelected="1" workbookViewId="0"/>
  </sheetViews>
  <sheetFormatPr defaultRowHeight="15"/>
  <sheetData>
    <row r="2" spans="1:282">
      <c r="A2" t="s">
        <v>31</v>
      </c>
      <c r="B2" t="s">
        <v>32</v>
      </c>
      <c r="C2" t="s">
        <v>34</v>
      </c>
    </row>
    <row r="3" spans="1:282">
      <c r="B3" t="s">
        <v>33</v>
      </c>
      <c r="C3">
        <v>21</v>
      </c>
    </row>
    <row r="4" spans="1:282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82">
      <c r="B5" t="s">
        <v>21</v>
      </c>
      <c r="C5" t="s">
        <v>38</v>
      </c>
      <c r="D5">
        <v>0.572</v>
      </c>
      <c r="E5">
        <v>0.3872742</v>
      </c>
      <c r="F5">
        <v>-0.01870584</v>
      </c>
      <c r="G5">
        <v>0</v>
      </c>
      <c r="H5">
        <v>-0.00737389</v>
      </c>
      <c r="I5">
        <v>1</v>
      </c>
      <c r="J5">
        <v>2</v>
      </c>
      <c r="K5">
        <v>96.9</v>
      </c>
    </row>
    <row r="6" spans="1:282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82">
      <c r="B7">
        <v>0</v>
      </c>
      <c r="C7">
        <v>1</v>
      </c>
      <c r="D7">
        <v>0</v>
      </c>
      <c r="E7">
        <v>0</v>
      </c>
    </row>
    <row r="8" spans="1:282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82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82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82">
      <c r="B11">
        <v>0</v>
      </c>
      <c r="C11">
        <v>0</v>
      </c>
      <c r="D11">
        <v>0</v>
      </c>
      <c r="E11">
        <v>0</v>
      </c>
      <c r="F11">
        <v>1</v>
      </c>
    </row>
    <row r="12" spans="1:282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82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82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97</v>
      </c>
      <c r="ET14" t="s">
        <v>97</v>
      </c>
      <c r="EU14" t="s">
        <v>97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101</v>
      </c>
      <c r="GT14" t="s">
        <v>101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102</v>
      </c>
      <c r="HK14" t="s">
        <v>102</v>
      </c>
      <c r="HL14" t="s">
        <v>102</v>
      </c>
      <c r="HM14" t="s">
        <v>102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103</v>
      </c>
      <c r="ID14" t="s">
        <v>103</v>
      </c>
      <c r="IE14" t="s">
        <v>103</v>
      </c>
      <c r="IF14" t="s">
        <v>103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104</v>
      </c>
      <c r="IW14" t="s">
        <v>104</v>
      </c>
      <c r="IX14" t="s">
        <v>104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106</v>
      </c>
    </row>
    <row r="15" spans="1:28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116</v>
      </c>
      <c r="K15" t="s">
        <v>117</v>
      </c>
      <c r="L15" t="s">
        <v>118</v>
      </c>
      <c r="M15" t="s">
        <v>119</v>
      </c>
      <c r="N15" t="s">
        <v>120</v>
      </c>
      <c r="O15" t="s">
        <v>121</v>
      </c>
      <c r="P15" t="s">
        <v>122</v>
      </c>
      <c r="Q15" t="s">
        <v>123</v>
      </c>
      <c r="R15" t="s">
        <v>124</v>
      </c>
      <c r="S15" t="s">
        <v>125</v>
      </c>
      <c r="T15" t="s">
        <v>126</v>
      </c>
      <c r="U15" t="s">
        <v>127</v>
      </c>
      <c r="V15" t="s">
        <v>128</v>
      </c>
      <c r="W15" t="s">
        <v>129</v>
      </c>
      <c r="X15" t="s">
        <v>130</v>
      </c>
      <c r="Y15" t="s">
        <v>131</v>
      </c>
      <c r="Z15" t="s">
        <v>132</v>
      </c>
      <c r="AA15" t="s">
        <v>133</v>
      </c>
      <c r="AB15" t="s">
        <v>134</v>
      </c>
      <c r="AC15" t="s">
        <v>135</v>
      </c>
      <c r="AD15" t="s">
        <v>136</v>
      </c>
      <c r="AE15" t="s">
        <v>89</v>
      </c>
      <c r="AF15" t="s">
        <v>137</v>
      </c>
      <c r="AG15" t="s">
        <v>138</v>
      </c>
      <c r="AH15" t="s">
        <v>139</v>
      </c>
      <c r="AI15" t="s">
        <v>140</v>
      </c>
      <c r="AJ15" t="s">
        <v>141</v>
      </c>
      <c r="AK15" t="s">
        <v>142</v>
      </c>
      <c r="AL15" t="s">
        <v>143</v>
      </c>
      <c r="AM15" t="s">
        <v>144</v>
      </c>
      <c r="AN15" t="s">
        <v>145</v>
      </c>
      <c r="AO15" t="s">
        <v>146</v>
      </c>
      <c r="AP15" t="s">
        <v>147</v>
      </c>
      <c r="AQ15" t="s">
        <v>148</v>
      </c>
      <c r="AR15" t="s">
        <v>149</v>
      </c>
      <c r="AS15" t="s">
        <v>150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185</v>
      </c>
      <c r="CC15" t="s">
        <v>186</v>
      </c>
      <c r="CD15" t="s">
        <v>187</v>
      </c>
      <c r="CE15" t="s">
        <v>188</v>
      </c>
      <c r="CF15" t="s">
        <v>189</v>
      </c>
      <c r="CG15" t="s">
        <v>169</v>
      </c>
      <c r="CH15" t="s">
        <v>190</v>
      </c>
      <c r="CI15" t="s">
        <v>191</v>
      </c>
      <c r="CJ15" t="s">
        <v>192</v>
      </c>
      <c r="CK15" t="s">
        <v>143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113</v>
      </c>
      <c r="DC15" t="s">
        <v>209</v>
      </c>
      <c r="DD15" t="s">
        <v>210</v>
      </c>
      <c r="DE15" t="s">
        <v>211</v>
      </c>
      <c r="DF15" t="s">
        <v>212</v>
      </c>
      <c r="DG15" t="s">
        <v>213</v>
      </c>
      <c r="DH15" t="s">
        <v>214</v>
      </c>
      <c r="DI15" t="s">
        <v>215</v>
      </c>
      <c r="DJ15" t="s">
        <v>216</v>
      </c>
      <c r="DK15" t="s">
        <v>217</v>
      </c>
      <c r="DL15" t="s">
        <v>218</v>
      </c>
      <c r="DM15" t="s">
        <v>219</v>
      </c>
      <c r="DN15" t="s">
        <v>220</v>
      </c>
      <c r="DO15" t="s">
        <v>221</v>
      </c>
      <c r="DP15" t="s">
        <v>222</v>
      </c>
      <c r="DQ15" t="s">
        <v>223</v>
      </c>
      <c r="DR15" t="s">
        <v>224</v>
      </c>
      <c r="DS15" t="s">
        <v>225</v>
      </c>
      <c r="DT15" t="s">
        <v>226</v>
      </c>
      <c r="DU15" t="s">
        <v>227</v>
      </c>
      <c r="DV15" t="s">
        <v>228</v>
      </c>
      <c r="DW15" t="s">
        <v>229</v>
      </c>
      <c r="DX15" t="s">
        <v>230</v>
      </c>
      <c r="DY15" t="s">
        <v>231</v>
      </c>
      <c r="DZ15" t="s">
        <v>232</v>
      </c>
      <c r="EA15" t="s">
        <v>233</v>
      </c>
      <c r="EB15" t="s">
        <v>234</v>
      </c>
      <c r="EC15" t="s">
        <v>235</v>
      </c>
      <c r="ED15" t="s">
        <v>236</v>
      </c>
      <c r="EE15" t="s">
        <v>237</v>
      </c>
      <c r="EF15" t="s">
        <v>238</v>
      </c>
      <c r="EG15" t="s">
        <v>239</v>
      </c>
      <c r="EH15" t="s">
        <v>240</v>
      </c>
      <c r="EI15" t="s">
        <v>241</v>
      </c>
      <c r="EJ15" t="s">
        <v>242</v>
      </c>
      <c r="EK15" t="s">
        <v>243</v>
      </c>
      <c r="EL15" t="s">
        <v>244</v>
      </c>
      <c r="EM15" t="s">
        <v>245</v>
      </c>
      <c r="EN15" t="s">
        <v>246</v>
      </c>
      <c r="EO15" t="s">
        <v>247</v>
      </c>
      <c r="EP15" t="s">
        <v>248</v>
      </c>
      <c r="EQ15" t="s">
        <v>249</v>
      </c>
      <c r="ER15" t="s">
        <v>250</v>
      </c>
      <c r="ES15" t="s">
        <v>251</v>
      </c>
      <c r="ET15" t="s">
        <v>252</v>
      </c>
      <c r="EU15" t="s">
        <v>253</v>
      </c>
      <c r="EV15" t="s">
        <v>254</v>
      </c>
      <c r="EW15" t="s">
        <v>255</v>
      </c>
      <c r="EX15" t="s">
        <v>256</v>
      </c>
      <c r="EY15" t="s">
        <v>257</v>
      </c>
      <c r="EZ15" t="s">
        <v>258</v>
      </c>
      <c r="FA15" t="s">
        <v>108</v>
      </c>
      <c r="FB15" t="s">
        <v>111</v>
      </c>
      <c r="FC15" t="s">
        <v>259</v>
      </c>
      <c r="FD15" t="s">
        <v>260</v>
      </c>
      <c r="FE15" t="s">
        <v>261</v>
      </c>
      <c r="FF15" t="s">
        <v>262</v>
      </c>
      <c r="FG15" t="s">
        <v>263</v>
      </c>
      <c r="FH15" t="s">
        <v>264</v>
      </c>
      <c r="FI15" t="s">
        <v>265</v>
      </c>
      <c r="FJ15" t="s">
        <v>266</v>
      </c>
      <c r="FK15" t="s">
        <v>267</v>
      </c>
      <c r="FL15" t="s">
        <v>268</v>
      </c>
      <c r="FM15" t="s">
        <v>269</v>
      </c>
      <c r="FN15" t="s">
        <v>270</v>
      </c>
      <c r="FO15" t="s">
        <v>271</v>
      </c>
      <c r="FP15" t="s">
        <v>272</v>
      </c>
      <c r="FQ15" t="s">
        <v>273</v>
      </c>
      <c r="FR15" t="s">
        <v>274</v>
      </c>
      <c r="FS15" t="s">
        <v>275</v>
      </c>
      <c r="FT15" t="s">
        <v>276</v>
      </c>
      <c r="FU15" t="s">
        <v>277</v>
      </c>
      <c r="FV15" t="s">
        <v>278</v>
      </c>
      <c r="FW15" t="s">
        <v>279</v>
      </c>
      <c r="FX15" t="s">
        <v>280</v>
      </c>
      <c r="FY15" t="s">
        <v>281</v>
      </c>
      <c r="FZ15" t="s">
        <v>282</v>
      </c>
      <c r="GA15" t="s">
        <v>283</v>
      </c>
      <c r="GB15" t="s">
        <v>284</v>
      </c>
      <c r="GC15" t="s">
        <v>285</v>
      </c>
      <c r="GD15" t="s">
        <v>286</v>
      </c>
      <c r="GE15" t="s">
        <v>287</v>
      </c>
      <c r="GF15" t="s">
        <v>288</v>
      </c>
      <c r="GG15" t="s">
        <v>289</v>
      </c>
      <c r="GH15" t="s">
        <v>290</v>
      </c>
      <c r="GI15" t="s">
        <v>291</v>
      </c>
      <c r="GJ15" t="s">
        <v>292</v>
      </c>
      <c r="GK15" t="s">
        <v>293</v>
      </c>
      <c r="GL15" t="s">
        <v>294</v>
      </c>
      <c r="GM15" t="s">
        <v>295</v>
      </c>
      <c r="GN15" t="s">
        <v>296</v>
      </c>
      <c r="GO15" t="s">
        <v>297</v>
      </c>
      <c r="GP15" t="s">
        <v>298</v>
      </c>
      <c r="GQ15" t="s">
        <v>299</v>
      </c>
      <c r="GR15" t="s">
        <v>300</v>
      </c>
      <c r="GS15" t="s">
        <v>301</v>
      </c>
      <c r="GT15" t="s">
        <v>302</v>
      </c>
      <c r="GU15" t="s">
        <v>303</v>
      </c>
      <c r="GV15" t="s">
        <v>304</v>
      </c>
      <c r="GW15" t="s">
        <v>305</v>
      </c>
      <c r="GX15" t="s">
        <v>306</v>
      </c>
      <c r="GY15" t="s">
        <v>307</v>
      </c>
      <c r="GZ15" t="s">
        <v>308</v>
      </c>
      <c r="HA15" t="s">
        <v>309</v>
      </c>
      <c r="HB15" t="s">
        <v>310</v>
      </c>
      <c r="HC15" t="s">
        <v>311</v>
      </c>
      <c r="HD15" t="s">
        <v>312</v>
      </c>
      <c r="HE15" t="s">
        <v>313</v>
      </c>
      <c r="HF15" t="s">
        <v>314</v>
      </c>
      <c r="HG15" t="s">
        <v>315</v>
      </c>
      <c r="HH15" t="s">
        <v>316</v>
      </c>
      <c r="HI15" t="s">
        <v>317</v>
      </c>
      <c r="HJ15" t="s">
        <v>318</v>
      </c>
      <c r="HK15" t="s">
        <v>319</v>
      </c>
      <c r="HL15" t="s">
        <v>320</v>
      </c>
      <c r="HM15" t="s">
        <v>321</v>
      </c>
      <c r="HN15" t="s">
        <v>322</v>
      </c>
      <c r="HO15" t="s">
        <v>323</v>
      </c>
      <c r="HP15" t="s">
        <v>324</v>
      </c>
      <c r="HQ15" t="s">
        <v>325</v>
      </c>
      <c r="HR15" t="s">
        <v>326</v>
      </c>
      <c r="HS15" t="s">
        <v>327</v>
      </c>
      <c r="HT15" t="s">
        <v>328</v>
      </c>
      <c r="HU15" t="s">
        <v>329</v>
      </c>
      <c r="HV15" t="s">
        <v>330</v>
      </c>
      <c r="HW15" t="s">
        <v>331</v>
      </c>
      <c r="HX15" t="s">
        <v>332</v>
      </c>
      <c r="HY15" t="s">
        <v>333</v>
      </c>
      <c r="HZ15" t="s">
        <v>334</v>
      </c>
      <c r="IA15" t="s">
        <v>335</v>
      </c>
      <c r="IB15" t="s">
        <v>336</v>
      </c>
      <c r="IC15" t="s">
        <v>337</v>
      </c>
      <c r="ID15" t="s">
        <v>338</v>
      </c>
      <c r="IE15" t="s">
        <v>339</v>
      </c>
      <c r="IF15" t="s">
        <v>340</v>
      </c>
      <c r="IG15" t="s">
        <v>341</v>
      </c>
      <c r="IH15" t="s">
        <v>342</v>
      </c>
      <c r="II15" t="s">
        <v>343</v>
      </c>
      <c r="IJ15" t="s">
        <v>344</v>
      </c>
      <c r="IK15" t="s">
        <v>345</v>
      </c>
      <c r="IL15" t="s">
        <v>346</v>
      </c>
      <c r="IM15" t="s">
        <v>347</v>
      </c>
      <c r="IN15" t="s">
        <v>348</v>
      </c>
      <c r="IO15" t="s">
        <v>349</v>
      </c>
      <c r="IP15" t="s">
        <v>350</v>
      </c>
      <c r="IQ15" t="s">
        <v>351</v>
      </c>
      <c r="IR15" t="s">
        <v>352</v>
      </c>
      <c r="IS15" t="s">
        <v>353</v>
      </c>
      <c r="IT15" t="s">
        <v>354</v>
      </c>
      <c r="IU15" t="s">
        <v>355</v>
      </c>
      <c r="IV15" t="s">
        <v>356</v>
      </c>
      <c r="IW15" t="s">
        <v>357</v>
      </c>
      <c r="IX15" t="s">
        <v>358</v>
      </c>
      <c r="IY15" t="s">
        <v>359</v>
      </c>
      <c r="IZ15" t="s">
        <v>360</v>
      </c>
      <c r="JA15" t="s">
        <v>361</v>
      </c>
      <c r="JB15" t="s">
        <v>362</v>
      </c>
      <c r="JC15" t="s">
        <v>363</v>
      </c>
      <c r="JD15" t="s">
        <v>364</v>
      </c>
      <c r="JE15" t="s">
        <v>365</v>
      </c>
      <c r="JF15" t="s">
        <v>366</v>
      </c>
      <c r="JG15" t="s">
        <v>367</v>
      </c>
      <c r="JH15" t="s">
        <v>368</v>
      </c>
      <c r="JI15" t="s">
        <v>369</v>
      </c>
      <c r="JJ15" t="s">
        <v>370</v>
      </c>
      <c r="JK15" t="s">
        <v>371</v>
      </c>
      <c r="JL15" t="s">
        <v>372</v>
      </c>
      <c r="JM15" t="s">
        <v>373</v>
      </c>
      <c r="JN15" t="s">
        <v>374</v>
      </c>
      <c r="JO15" t="s">
        <v>375</v>
      </c>
      <c r="JP15" t="s">
        <v>376</v>
      </c>
      <c r="JQ15" t="s">
        <v>377</v>
      </c>
      <c r="JR15" t="s">
        <v>378</v>
      </c>
      <c r="JS15" t="s">
        <v>379</v>
      </c>
      <c r="JT15" t="s">
        <v>380</v>
      </c>
      <c r="JU15" t="s">
        <v>381</v>
      </c>
      <c r="JV15" t="s">
        <v>382</v>
      </c>
    </row>
    <row r="16" spans="1:282">
      <c r="B16" t="s">
        <v>383</v>
      </c>
      <c r="C16" t="s">
        <v>383</v>
      </c>
      <c r="F16" t="s">
        <v>383</v>
      </c>
      <c r="G16" t="s">
        <v>383</v>
      </c>
      <c r="H16" t="s">
        <v>384</v>
      </c>
      <c r="I16" t="s">
        <v>385</v>
      </c>
      <c r="J16" t="s">
        <v>386</v>
      </c>
      <c r="K16" t="s">
        <v>387</v>
      </c>
      <c r="L16" t="s">
        <v>387</v>
      </c>
      <c r="M16" t="s">
        <v>216</v>
      </c>
      <c r="N16" t="s">
        <v>216</v>
      </c>
      <c r="O16" t="s">
        <v>384</v>
      </c>
      <c r="P16" t="s">
        <v>384</v>
      </c>
      <c r="Q16" t="s">
        <v>384</v>
      </c>
      <c r="R16" t="s">
        <v>384</v>
      </c>
      <c r="S16" t="s">
        <v>388</v>
      </c>
      <c r="T16" t="s">
        <v>389</v>
      </c>
      <c r="U16" t="s">
        <v>389</v>
      </c>
      <c r="V16" t="s">
        <v>390</v>
      </c>
      <c r="W16" t="s">
        <v>391</v>
      </c>
      <c r="X16" t="s">
        <v>390</v>
      </c>
      <c r="Y16" t="s">
        <v>390</v>
      </c>
      <c r="Z16" t="s">
        <v>390</v>
      </c>
      <c r="AA16" t="s">
        <v>388</v>
      </c>
      <c r="AB16" t="s">
        <v>388</v>
      </c>
      <c r="AC16" t="s">
        <v>388</v>
      </c>
      <c r="AD16" t="s">
        <v>388</v>
      </c>
      <c r="AE16" t="s">
        <v>392</v>
      </c>
      <c r="AF16" t="s">
        <v>391</v>
      </c>
      <c r="AH16" t="s">
        <v>391</v>
      </c>
      <c r="AI16" t="s">
        <v>392</v>
      </c>
      <c r="AO16" t="s">
        <v>386</v>
      </c>
      <c r="AV16" t="s">
        <v>386</v>
      </c>
      <c r="AW16" t="s">
        <v>386</v>
      </c>
      <c r="AX16" t="s">
        <v>386</v>
      </c>
      <c r="AY16" t="s">
        <v>393</v>
      </c>
      <c r="BM16" t="s">
        <v>394</v>
      </c>
      <c r="BO16" t="s">
        <v>394</v>
      </c>
      <c r="BP16" t="s">
        <v>386</v>
      </c>
      <c r="BS16" t="s">
        <v>394</v>
      </c>
      <c r="BT16" t="s">
        <v>391</v>
      </c>
      <c r="BW16" t="s">
        <v>395</v>
      </c>
      <c r="BX16" t="s">
        <v>395</v>
      </c>
      <c r="BZ16" t="s">
        <v>396</v>
      </c>
      <c r="CA16" t="s">
        <v>394</v>
      </c>
      <c r="CC16" t="s">
        <v>394</v>
      </c>
      <c r="CD16" t="s">
        <v>386</v>
      </c>
      <c r="CH16" t="s">
        <v>394</v>
      </c>
      <c r="CJ16" t="s">
        <v>397</v>
      </c>
      <c r="CM16" t="s">
        <v>394</v>
      </c>
      <c r="CN16" t="s">
        <v>394</v>
      </c>
      <c r="CP16" t="s">
        <v>394</v>
      </c>
      <c r="CR16" t="s">
        <v>394</v>
      </c>
      <c r="CT16" t="s">
        <v>386</v>
      </c>
      <c r="CU16" t="s">
        <v>386</v>
      </c>
      <c r="CW16" t="s">
        <v>398</v>
      </c>
      <c r="CX16" t="s">
        <v>399</v>
      </c>
      <c r="DA16" t="s">
        <v>384</v>
      </c>
      <c r="DB16" t="s">
        <v>383</v>
      </c>
      <c r="DC16" t="s">
        <v>387</v>
      </c>
      <c r="DD16" t="s">
        <v>387</v>
      </c>
      <c r="DE16" t="s">
        <v>400</v>
      </c>
      <c r="DF16" t="s">
        <v>400</v>
      </c>
      <c r="DG16" t="s">
        <v>387</v>
      </c>
      <c r="DH16" t="s">
        <v>400</v>
      </c>
      <c r="DI16" t="s">
        <v>392</v>
      </c>
      <c r="DJ16" t="s">
        <v>390</v>
      </c>
      <c r="DK16" t="s">
        <v>390</v>
      </c>
      <c r="DL16" t="s">
        <v>389</v>
      </c>
      <c r="DM16" t="s">
        <v>389</v>
      </c>
      <c r="DN16" t="s">
        <v>389</v>
      </c>
      <c r="DO16" t="s">
        <v>389</v>
      </c>
      <c r="DP16" t="s">
        <v>389</v>
      </c>
      <c r="DQ16" t="s">
        <v>401</v>
      </c>
      <c r="DR16" t="s">
        <v>386</v>
      </c>
      <c r="DS16" t="s">
        <v>386</v>
      </c>
      <c r="DT16" t="s">
        <v>387</v>
      </c>
      <c r="DU16" t="s">
        <v>387</v>
      </c>
      <c r="DV16" t="s">
        <v>387</v>
      </c>
      <c r="DW16" t="s">
        <v>400</v>
      </c>
      <c r="DX16" t="s">
        <v>387</v>
      </c>
      <c r="DY16" t="s">
        <v>400</v>
      </c>
      <c r="DZ16" t="s">
        <v>390</v>
      </c>
      <c r="EA16" t="s">
        <v>390</v>
      </c>
      <c r="EB16" t="s">
        <v>389</v>
      </c>
      <c r="EC16" t="s">
        <v>389</v>
      </c>
      <c r="ED16" t="s">
        <v>386</v>
      </c>
      <c r="EI16" t="s">
        <v>386</v>
      </c>
      <c r="EL16" t="s">
        <v>389</v>
      </c>
      <c r="EM16" t="s">
        <v>389</v>
      </c>
      <c r="EN16" t="s">
        <v>389</v>
      </c>
      <c r="EO16" t="s">
        <v>389</v>
      </c>
      <c r="EP16" t="s">
        <v>389</v>
      </c>
      <c r="EQ16" t="s">
        <v>386</v>
      </c>
      <c r="ER16" t="s">
        <v>386</v>
      </c>
      <c r="ES16" t="s">
        <v>386</v>
      </c>
      <c r="ET16" t="s">
        <v>383</v>
      </c>
      <c r="EW16" t="s">
        <v>402</v>
      </c>
      <c r="EX16" t="s">
        <v>402</v>
      </c>
      <c r="EZ16" t="s">
        <v>383</v>
      </c>
      <c r="FA16" t="s">
        <v>403</v>
      </c>
      <c r="FC16" t="s">
        <v>383</v>
      </c>
      <c r="FD16" t="s">
        <v>383</v>
      </c>
      <c r="FF16" t="s">
        <v>404</v>
      </c>
      <c r="FG16" t="s">
        <v>405</v>
      </c>
      <c r="FH16" t="s">
        <v>404</v>
      </c>
      <c r="FI16" t="s">
        <v>405</v>
      </c>
      <c r="FJ16" t="s">
        <v>404</v>
      </c>
      <c r="FK16" t="s">
        <v>405</v>
      </c>
      <c r="FL16" t="s">
        <v>391</v>
      </c>
      <c r="FM16" t="s">
        <v>391</v>
      </c>
      <c r="FN16" t="s">
        <v>386</v>
      </c>
      <c r="FO16" t="s">
        <v>406</v>
      </c>
      <c r="FP16" t="s">
        <v>386</v>
      </c>
      <c r="FR16" t="s">
        <v>387</v>
      </c>
      <c r="FS16" t="s">
        <v>407</v>
      </c>
      <c r="FT16" t="s">
        <v>387</v>
      </c>
      <c r="FW16" t="s">
        <v>408</v>
      </c>
      <c r="GC16" t="s">
        <v>409</v>
      </c>
      <c r="GD16" t="s">
        <v>409</v>
      </c>
      <c r="GQ16" t="s">
        <v>409</v>
      </c>
      <c r="GR16" t="s">
        <v>409</v>
      </c>
      <c r="GS16" t="s">
        <v>410</v>
      </c>
      <c r="GT16" t="s">
        <v>410</v>
      </c>
      <c r="GU16" t="s">
        <v>389</v>
      </c>
      <c r="GV16" t="s">
        <v>389</v>
      </c>
      <c r="GW16" t="s">
        <v>391</v>
      </c>
      <c r="GX16" t="s">
        <v>389</v>
      </c>
      <c r="GY16" t="s">
        <v>400</v>
      </c>
      <c r="GZ16" t="s">
        <v>391</v>
      </c>
      <c r="HA16" t="s">
        <v>391</v>
      </c>
      <c r="HC16" t="s">
        <v>409</v>
      </c>
      <c r="HD16" t="s">
        <v>409</v>
      </c>
      <c r="HE16" t="s">
        <v>409</v>
      </c>
      <c r="HF16" t="s">
        <v>409</v>
      </c>
      <c r="HG16" t="s">
        <v>409</v>
      </c>
      <c r="HH16" t="s">
        <v>409</v>
      </c>
      <c r="HI16" t="s">
        <v>409</v>
      </c>
      <c r="HJ16" t="s">
        <v>411</v>
      </c>
      <c r="HK16" t="s">
        <v>412</v>
      </c>
      <c r="HL16" t="s">
        <v>412</v>
      </c>
      <c r="HM16" t="s">
        <v>412</v>
      </c>
      <c r="HN16" t="s">
        <v>409</v>
      </c>
      <c r="HO16" t="s">
        <v>409</v>
      </c>
      <c r="HP16" t="s">
        <v>409</v>
      </c>
      <c r="HQ16" t="s">
        <v>409</v>
      </c>
      <c r="HR16" t="s">
        <v>409</v>
      </c>
      <c r="HS16" t="s">
        <v>409</v>
      </c>
      <c r="HT16" t="s">
        <v>409</v>
      </c>
      <c r="HU16" t="s">
        <v>409</v>
      </c>
      <c r="HV16" t="s">
        <v>409</v>
      </c>
      <c r="HW16" t="s">
        <v>409</v>
      </c>
      <c r="HX16" t="s">
        <v>409</v>
      </c>
      <c r="HY16" t="s">
        <v>409</v>
      </c>
      <c r="IF16" t="s">
        <v>409</v>
      </c>
      <c r="IG16" t="s">
        <v>391</v>
      </c>
      <c r="IH16" t="s">
        <v>391</v>
      </c>
      <c r="II16" t="s">
        <v>404</v>
      </c>
      <c r="IJ16" t="s">
        <v>405</v>
      </c>
      <c r="IK16" t="s">
        <v>404</v>
      </c>
      <c r="IO16" t="s">
        <v>405</v>
      </c>
      <c r="IS16" t="s">
        <v>387</v>
      </c>
      <c r="IT16" t="s">
        <v>387</v>
      </c>
      <c r="IU16" t="s">
        <v>400</v>
      </c>
      <c r="IV16" t="s">
        <v>400</v>
      </c>
      <c r="IW16" t="s">
        <v>413</v>
      </c>
      <c r="IX16" t="s">
        <v>413</v>
      </c>
      <c r="IY16" t="s">
        <v>409</v>
      </c>
      <c r="IZ16" t="s">
        <v>409</v>
      </c>
      <c r="JA16" t="s">
        <v>409</v>
      </c>
      <c r="JB16" t="s">
        <v>409</v>
      </c>
      <c r="JC16" t="s">
        <v>409</v>
      </c>
      <c r="JD16" t="s">
        <v>409</v>
      </c>
      <c r="JE16" t="s">
        <v>389</v>
      </c>
      <c r="JF16" t="s">
        <v>409</v>
      </c>
      <c r="JH16" t="s">
        <v>392</v>
      </c>
      <c r="JI16" t="s">
        <v>392</v>
      </c>
      <c r="JJ16" t="s">
        <v>389</v>
      </c>
      <c r="JK16" t="s">
        <v>389</v>
      </c>
      <c r="JL16" t="s">
        <v>389</v>
      </c>
      <c r="JM16" t="s">
        <v>389</v>
      </c>
      <c r="JN16" t="s">
        <v>389</v>
      </c>
      <c r="JO16" t="s">
        <v>391</v>
      </c>
      <c r="JP16" t="s">
        <v>391</v>
      </c>
      <c r="JQ16" t="s">
        <v>391</v>
      </c>
      <c r="JR16" t="s">
        <v>389</v>
      </c>
      <c r="JS16" t="s">
        <v>387</v>
      </c>
      <c r="JT16" t="s">
        <v>400</v>
      </c>
      <c r="JU16" t="s">
        <v>391</v>
      </c>
      <c r="JV16" t="s">
        <v>391</v>
      </c>
    </row>
    <row r="17" spans="1:282">
      <c r="A17">
        <v>1</v>
      </c>
      <c r="B17">
        <v>1792397658</v>
      </c>
      <c r="C17">
        <v>0</v>
      </c>
      <c r="D17" t="s">
        <v>414</v>
      </c>
      <c r="E17" t="s">
        <v>415</v>
      </c>
      <c r="F17">
        <v>5</v>
      </c>
      <c r="G17">
        <v>1792397654.5</v>
      </c>
      <c r="H17">
        <f>(I17)/1000</f>
        <v>0</v>
      </c>
      <c r="I17">
        <f>1000*DI17*AG17*(DE17-DF17)/(100*CX17*(1000-AG17*DE17))</f>
        <v>0</v>
      </c>
      <c r="J17">
        <f>DI17*AG17*(DD17-DC17*(1000-AG17*DF17)/(1000-AG17*DE17))/(100*CX17)</f>
        <v>0</v>
      </c>
      <c r="K17">
        <f>DC17 - IF(AG17&gt;1, J17*CX17*100.0/(AI17), 0)</f>
        <v>0</v>
      </c>
      <c r="L17">
        <f>((R17-H17/2)*K17-J17)/(R17+H17/2)</f>
        <v>0</v>
      </c>
      <c r="M17">
        <f>L17*(DJ17+DK17)/1000.0</f>
        <v>0</v>
      </c>
      <c r="N17">
        <f>(DC17 - IF(AG17&gt;1, J17*CX17*100.0/(AI17), 0))*(DJ17+DK17)/1000.0</f>
        <v>0</v>
      </c>
      <c r="O17">
        <f>2.0/((1/Q17-1/P17)+SIGN(Q17)*SQRT((1/Q17-1/P17)*(1/Q17-1/P17) + 4*CY17/((CY17+1)*(CY17+1))*(2*1/Q17*1/P17-1/P17*1/P17)))</f>
        <v>0</v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>0</v>
      </c>
      <c r="Q17">
        <f>H17*(1000-(1000*0.61365*exp(17.502*U17/(240.97+U17))/(DJ17+DK17)+DE17)/2)/(1000*0.61365*exp(17.502*U17/(240.97+U17))/(DJ17+DK17)-DE17)</f>
        <v>0</v>
      </c>
      <c r="R17">
        <f>1/((CY17+1)/(O17/1.6)+1/(P17/1.37)) + CY17/((CY17+1)/(O17/1.6) + CY17/(P17/1.37))</f>
        <v>0</v>
      </c>
      <c r="S17">
        <f>(CT17*CW17)</f>
        <v>0</v>
      </c>
      <c r="T17">
        <f>(DL17+(S17+2*0.95*5.67E-8*(((DL17+$B$7)+273)^4-(DL17+273)^4)-44100*H17)/(1.84*29.3*P17+8*0.95*5.67E-8*(DL17+273)^3))</f>
        <v>0</v>
      </c>
      <c r="U17">
        <f>($C$7*DM17+$D$7*DN17+$E$7*T17)</f>
        <v>0</v>
      </c>
      <c r="V17">
        <f>0.61365*exp(17.502*U17/(240.97+U17))</f>
        <v>0</v>
      </c>
      <c r="W17">
        <f>(X17/Y17*100)</f>
        <v>0</v>
      </c>
      <c r="X17">
        <f>DE17*(DJ17+DK17)/1000</f>
        <v>0</v>
      </c>
      <c r="Y17">
        <f>0.61365*exp(17.502*DL17/(240.97+DL17))</f>
        <v>0</v>
      </c>
      <c r="Z17">
        <f>(V17-DE17*(DJ17+DK17)/1000)</f>
        <v>0</v>
      </c>
      <c r="AA17">
        <f>(-H17*44100)</f>
        <v>0</v>
      </c>
      <c r="AB17">
        <f>2*29.3*P17*0.92*(DL17-U17)</f>
        <v>0</v>
      </c>
      <c r="AC17">
        <f>2*0.95*5.67E-8*(((DL17+$B$7)+273)^4-(U17+273)^4)</f>
        <v>0</v>
      </c>
      <c r="AD17">
        <f>S17+AC17+AA17+AB17</f>
        <v>0</v>
      </c>
      <c r="AE17">
        <v>0</v>
      </c>
      <c r="AF17">
        <v>0</v>
      </c>
      <c r="AG17">
        <f>IF(AE17*$H$13&gt;=AI17,1.0,(AI17/(AI17-AE17*$H$13)))</f>
        <v>0</v>
      </c>
      <c r="AH17">
        <f>(AG17-1)*100</f>
        <v>0</v>
      </c>
      <c r="AI17">
        <f>MAX(0,($B$13+$C$13*DQ17)/(1+$D$13*DQ17)*DJ17/(DL17+273)*$E$13)</f>
        <v>0</v>
      </c>
      <c r="AJ17" t="s">
        <v>416</v>
      </c>
      <c r="AK17" t="s">
        <v>416</v>
      </c>
      <c r="AL17">
        <v>0</v>
      </c>
      <c r="AM17">
        <v>0</v>
      </c>
      <c r="AN17">
        <f>1-AL17/AM17</f>
        <v>0</v>
      </c>
      <c r="AO17">
        <v>0</v>
      </c>
      <c r="AP17" t="s">
        <v>416</v>
      </c>
      <c r="AQ17" t="s">
        <v>416</v>
      </c>
      <c r="AR17">
        <v>0</v>
      </c>
      <c r="AS17">
        <v>0</v>
      </c>
      <c r="AT17">
        <f>1-AR17/AS17</f>
        <v>0</v>
      </c>
      <c r="AU17">
        <v>0.5</v>
      </c>
      <c r="AV17">
        <f>CU17</f>
        <v>0</v>
      </c>
      <c r="AW17">
        <f>J17</f>
        <v>0</v>
      </c>
      <c r="AX17">
        <f>AT17*AU17*AV17</f>
        <v>0</v>
      </c>
      <c r="AY17">
        <f>(AW17-AO17)/AV17</f>
        <v>0</v>
      </c>
      <c r="AZ17">
        <f>(AM17-AS17)/AS17</f>
        <v>0</v>
      </c>
      <c r="BA17">
        <f>AL17/(AN17+AL17/AS17)</f>
        <v>0</v>
      </c>
      <c r="BB17" t="s">
        <v>416</v>
      </c>
      <c r="BC17">
        <v>0</v>
      </c>
      <c r="BD17">
        <f>IF(BC17&lt;&gt;0, BC17, BA17)</f>
        <v>0</v>
      </c>
      <c r="BE17">
        <f>1-BD17/AS17</f>
        <v>0</v>
      </c>
      <c r="BF17">
        <f>(AS17-AR17)/(AS17-BD17)</f>
        <v>0</v>
      </c>
      <c r="BG17">
        <f>(AM17-AS17)/(AM17-BD17)</f>
        <v>0</v>
      </c>
      <c r="BH17">
        <f>(AS17-AR17)/(AS17-AL17)</f>
        <v>0</v>
      </c>
      <c r="BI17">
        <f>(AM17-AS17)/(AM17-AL17)</f>
        <v>0</v>
      </c>
      <c r="BJ17">
        <f>(BF17*BD17/AR17)</f>
        <v>0</v>
      </c>
      <c r="BK17">
        <f>(1-BJ17)</f>
        <v>0</v>
      </c>
      <c r="BL17">
        <v>1211</v>
      </c>
      <c r="BM17">
        <v>290</v>
      </c>
      <c r="BN17">
        <v>854.02</v>
      </c>
      <c r="BO17">
        <v>135</v>
      </c>
      <c r="BP17">
        <v>8118.76</v>
      </c>
      <c r="BQ17">
        <v>850.06</v>
      </c>
      <c r="BR17">
        <v>3.96</v>
      </c>
      <c r="BS17">
        <v>300</v>
      </c>
      <c r="BT17">
        <v>19.3</v>
      </c>
      <c r="BU17">
        <v>879.257022088825</v>
      </c>
      <c r="BV17">
        <v>1.85043100621219</v>
      </c>
      <c r="BW17">
        <v>-23.7015574963064</v>
      </c>
      <c r="BX17">
        <v>1.34141796524398</v>
      </c>
      <c r="BY17">
        <v>0.917694192479961</v>
      </c>
      <c r="BZ17">
        <v>-0.00537916729699666</v>
      </c>
      <c r="CA17">
        <v>290</v>
      </c>
      <c r="CB17">
        <v>841.85</v>
      </c>
      <c r="CC17">
        <v>615</v>
      </c>
      <c r="CD17">
        <v>8099.98</v>
      </c>
      <c r="CE17">
        <v>850</v>
      </c>
      <c r="CF17">
        <v>-8.15</v>
      </c>
      <c r="CT17">
        <f>$B$11*DR17+$C$11*DS17+$F$11*ED17*(1-EG17)</f>
        <v>0</v>
      </c>
      <c r="CU17">
        <f>CT17*CV17</f>
        <v>0</v>
      </c>
      <c r="CV17">
        <f>($B$11*$D$9+$C$11*$D$9+$F$11*((EQ17+EI17)/MAX(EQ17+EI17+ER17, 0.1)*$I$9+ER17/MAX(EQ17+EI17+ER17, 0.1)*$J$9))/($B$11+$C$11+$F$11)</f>
        <v>0</v>
      </c>
      <c r="CW17">
        <f>($B$11*$K$9+$C$11*$K$9+$F$11*((EQ17+EI17)/MAX(EQ17+EI17+ER17, 0.1)*$P$9+ER17/MAX(EQ17+EI17+ER17, 0.1)*$Q$9))/($B$11+$C$11+$F$11)</f>
        <v>0</v>
      </c>
      <c r="CX17">
        <v>2</v>
      </c>
      <c r="CY17">
        <v>0.5</v>
      </c>
      <c r="CZ17" t="s">
        <v>417</v>
      </c>
      <c r="DA17">
        <v>2</v>
      </c>
      <c r="DB17">
        <v>1792397654.5</v>
      </c>
      <c r="DC17">
        <v>393.703666666667</v>
      </c>
      <c r="DD17">
        <v>400.024333333333</v>
      </c>
      <c r="DE17">
        <v>17.3140833333333</v>
      </c>
      <c r="DF17">
        <v>15.6395666666667</v>
      </c>
      <c r="DG17">
        <v>392.9015</v>
      </c>
      <c r="DH17">
        <v>17.3982833333333</v>
      </c>
      <c r="DI17">
        <v>500.056833333333</v>
      </c>
      <c r="DJ17">
        <v>101.316166666667</v>
      </c>
      <c r="DK17">
        <v>0.0999554333333333</v>
      </c>
      <c r="DL17">
        <v>25.0323166666667</v>
      </c>
      <c r="DM17">
        <v>25.0054666666667</v>
      </c>
      <c r="DN17">
        <v>999.9</v>
      </c>
      <c r="DO17">
        <v>0</v>
      </c>
      <c r="DP17">
        <v>0</v>
      </c>
      <c r="DQ17">
        <v>10006.8916666667</v>
      </c>
      <c r="DR17">
        <v>0</v>
      </c>
      <c r="DS17">
        <v>6.026165</v>
      </c>
      <c r="DT17">
        <v>-6.32074666666667</v>
      </c>
      <c r="DU17">
        <v>400.6405</v>
      </c>
      <c r="DV17">
        <v>406.380166666667</v>
      </c>
      <c r="DW17">
        <v>1.67453166666667</v>
      </c>
      <c r="DX17">
        <v>400.024333333333</v>
      </c>
      <c r="DY17">
        <v>15.6395666666667</v>
      </c>
      <c r="DZ17">
        <v>1.75419666666667</v>
      </c>
      <c r="EA17">
        <v>1.58454</v>
      </c>
      <c r="EB17">
        <v>15.3845333333333</v>
      </c>
      <c r="EC17">
        <v>13.8093</v>
      </c>
      <c r="ED17">
        <v>1499.98</v>
      </c>
      <c r="EE17">
        <v>0.972999666666667</v>
      </c>
      <c r="EF17">
        <v>0.0270004</v>
      </c>
      <c r="EG17">
        <v>0</v>
      </c>
      <c r="EH17">
        <v>348.295333333333</v>
      </c>
      <c r="EI17">
        <v>5.00064</v>
      </c>
      <c r="EJ17">
        <v>5399.28166666667</v>
      </c>
      <c r="EK17">
        <v>15439.0166666667</v>
      </c>
      <c r="EL17">
        <v>40.75</v>
      </c>
      <c r="EM17">
        <v>41.4163333333333</v>
      </c>
      <c r="EN17">
        <v>41.062</v>
      </c>
      <c r="EO17">
        <v>41</v>
      </c>
      <c r="EP17">
        <v>42.25</v>
      </c>
      <c r="EQ17">
        <v>1454.61</v>
      </c>
      <c r="ER17">
        <v>40.3633333333333</v>
      </c>
      <c r="ES17">
        <v>0</v>
      </c>
      <c r="ET17">
        <v>7179</v>
      </c>
      <c r="EU17">
        <v>0</v>
      </c>
      <c r="EV17">
        <v>348.25856</v>
      </c>
      <c r="EW17">
        <v>-0.000615379141284204</v>
      </c>
      <c r="EX17">
        <v>-11.3023076904662</v>
      </c>
      <c r="EY17">
        <v>5399.8696</v>
      </c>
      <c r="EZ17">
        <v>15</v>
      </c>
      <c r="FA17">
        <v>1792397598</v>
      </c>
      <c r="FB17" t="s">
        <v>418</v>
      </c>
      <c r="FC17">
        <v>1792397598</v>
      </c>
      <c r="FD17">
        <v>1792397594</v>
      </c>
      <c r="FE17">
        <v>75</v>
      </c>
      <c r="FF17">
        <v>0.032</v>
      </c>
      <c r="FG17">
        <v>0.001</v>
      </c>
      <c r="FH17">
        <v>0.805</v>
      </c>
      <c r="FI17">
        <v>-0.146</v>
      </c>
      <c r="FJ17">
        <v>400</v>
      </c>
      <c r="FK17">
        <v>16</v>
      </c>
      <c r="FL17">
        <v>0.25</v>
      </c>
      <c r="FM17">
        <v>0.02</v>
      </c>
      <c r="FN17">
        <v>14.083365895538</v>
      </c>
      <c r="FO17">
        <v>0.219301908052298</v>
      </c>
      <c r="FP17">
        <v>0.0999759335282919</v>
      </c>
      <c r="FQ17">
        <v>1</v>
      </c>
      <c r="FR17">
        <v>-6.31353714285714</v>
      </c>
      <c r="FS17">
        <v>-0.0545883116883093</v>
      </c>
      <c r="FT17">
        <v>0.0395763510605172</v>
      </c>
      <c r="FU17">
        <v>1</v>
      </c>
      <c r="FV17">
        <v>348.246382352941</v>
      </c>
      <c r="FW17">
        <v>0.450557681418503</v>
      </c>
      <c r="FX17">
        <v>0.179680437690308</v>
      </c>
      <c r="FY17">
        <v>1</v>
      </c>
      <c r="FZ17">
        <v>3</v>
      </c>
      <c r="GA17">
        <v>3</v>
      </c>
      <c r="GB17" t="s">
        <v>419</v>
      </c>
      <c r="GC17">
        <v>3.12358</v>
      </c>
      <c r="GD17">
        <v>2.76561</v>
      </c>
      <c r="GE17">
        <v>0.0869176</v>
      </c>
      <c r="GF17">
        <v>0.0902934</v>
      </c>
      <c r="GG17">
        <v>0.0928247</v>
      </c>
      <c r="GH17">
        <v>0.0893503</v>
      </c>
      <c r="GI17">
        <v>17792.7</v>
      </c>
      <c r="GJ17">
        <v>26751.7</v>
      </c>
      <c r="GK17">
        <v>22768</v>
      </c>
      <c r="GL17">
        <v>30131.3</v>
      </c>
      <c r="GM17">
        <v>33874.2</v>
      </c>
      <c r="GN17">
        <v>34188.5</v>
      </c>
      <c r="GO17">
        <v>43073.7</v>
      </c>
      <c r="GP17">
        <v>42921.4</v>
      </c>
      <c r="GQ17">
        <v>1.97875</v>
      </c>
      <c r="GR17">
        <v>1.8282</v>
      </c>
      <c r="GS17">
        <v>0.0801533</v>
      </c>
      <c r="GT17">
        <v>0</v>
      </c>
      <c r="GU17">
        <v>23.6903</v>
      </c>
      <c r="GV17">
        <v>999.9</v>
      </c>
      <c r="GW17">
        <v>40.355</v>
      </c>
      <c r="GX17">
        <v>32.055</v>
      </c>
      <c r="GY17">
        <v>19.0795</v>
      </c>
      <c r="GZ17">
        <v>63.2086</v>
      </c>
      <c r="HA17">
        <v>33.8502</v>
      </c>
      <c r="HB17">
        <v>1</v>
      </c>
      <c r="HC17">
        <v>0.0325229</v>
      </c>
      <c r="HD17">
        <v>2.17158</v>
      </c>
      <c r="HE17">
        <v>20.2267</v>
      </c>
      <c r="HF17">
        <v>5.22972</v>
      </c>
      <c r="HG17">
        <v>11.962</v>
      </c>
      <c r="HH17">
        <v>4.96805</v>
      </c>
      <c r="HI17">
        <v>3.29503</v>
      </c>
      <c r="HJ17">
        <v>999.9</v>
      </c>
      <c r="HK17">
        <v>9999</v>
      </c>
      <c r="HL17">
        <v>9999</v>
      </c>
      <c r="HM17">
        <v>9999</v>
      </c>
      <c r="HN17">
        <v>4.96851</v>
      </c>
      <c r="HO17">
        <v>1.86234</v>
      </c>
      <c r="HP17">
        <v>1.86386</v>
      </c>
      <c r="HQ17">
        <v>1.86577</v>
      </c>
      <c r="HR17">
        <v>1.8628</v>
      </c>
      <c r="HS17">
        <v>1.86646</v>
      </c>
      <c r="HT17">
        <v>1.86325</v>
      </c>
      <c r="HU17">
        <v>1.86523</v>
      </c>
      <c r="HV17">
        <v>0</v>
      </c>
      <c r="HW17">
        <v>0</v>
      </c>
      <c r="HX17">
        <v>0</v>
      </c>
      <c r="HY17">
        <v>0</v>
      </c>
      <c r="HZ17" t="s">
        <v>420</v>
      </c>
      <c r="IA17" t="s">
        <v>421</v>
      </c>
      <c r="IB17" t="s">
        <v>422</v>
      </c>
      <c r="IC17" t="s">
        <v>422</v>
      </c>
      <c r="ID17" t="s">
        <v>422</v>
      </c>
      <c r="IE17" t="s">
        <v>422</v>
      </c>
      <c r="IF17">
        <v>0</v>
      </c>
      <c r="IG17">
        <v>100</v>
      </c>
      <c r="IH17">
        <v>100</v>
      </c>
      <c r="II17">
        <v>0.802</v>
      </c>
      <c r="IJ17">
        <v>-0.0842</v>
      </c>
      <c r="IK17">
        <v>0.678473151272543</v>
      </c>
      <c r="IL17">
        <v>0.000216929631606078</v>
      </c>
      <c r="IM17">
        <v>2.72263024731635e-07</v>
      </c>
      <c r="IN17">
        <v>-5.43792051235154e-11</v>
      </c>
      <c r="IO17">
        <v>0.00978869665463198</v>
      </c>
      <c r="IP17">
        <v>-0.0584433849545669</v>
      </c>
      <c r="IQ17">
        <v>0.00341568706061026</v>
      </c>
      <c r="IR17">
        <v>-2.10952612506686e-05</v>
      </c>
      <c r="IS17">
        <v>-0</v>
      </c>
      <c r="IT17">
        <v>1734</v>
      </c>
      <c r="IU17">
        <v>2</v>
      </c>
      <c r="IV17">
        <v>19</v>
      </c>
      <c r="IW17">
        <v>1</v>
      </c>
      <c r="IX17">
        <v>1.1</v>
      </c>
      <c r="IY17">
        <v>1.05591</v>
      </c>
      <c r="IZ17">
        <v>2.57202</v>
      </c>
      <c r="JA17">
        <v>1.34766</v>
      </c>
      <c r="JB17">
        <v>2.2583</v>
      </c>
      <c r="JC17">
        <v>1.55029</v>
      </c>
      <c r="JD17">
        <v>2.41577</v>
      </c>
      <c r="JE17">
        <v>35.8944</v>
      </c>
      <c r="JF17">
        <v>14.8413</v>
      </c>
      <c r="JG17">
        <v>18</v>
      </c>
      <c r="JH17">
        <v>500.672</v>
      </c>
      <c r="JI17">
        <v>482.106</v>
      </c>
      <c r="JJ17">
        <v>21.377</v>
      </c>
      <c r="JK17">
        <v>27.6178</v>
      </c>
      <c r="JL17">
        <v>30.0001</v>
      </c>
      <c r="JM17">
        <v>27.6057</v>
      </c>
      <c r="JN17">
        <v>27.6178</v>
      </c>
      <c r="JO17">
        <v>21.1448</v>
      </c>
      <c r="JP17">
        <v>27.1489</v>
      </c>
      <c r="JQ17">
        <v>31.8445</v>
      </c>
      <c r="JR17">
        <v>21.3843</v>
      </c>
      <c r="JS17">
        <v>400</v>
      </c>
      <c r="JT17">
        <v>15.6039</v>
      </c>
      <c r="JU17">
        <v>101.712</v>
      </c>
      <c r="JV17">
        <v>97.4584</v>
      </c>
    </row>
    <row r="18" spans="1:282">
      <c r="A18">
        <v>2</v>
      </c>
      <c r="B18">
        <v>1792397781</v>
      </c>
      <c r="C18">
        <v>123</v>
      </c>
      <c r="D18" t="s">
        <v>423</v>
      </c>
      <c r="E18" t="s">
        <v>424</v>
      </c>
      <c r="F18">
        <v>5</v>
      </c>
      <c r="G18">
        <v>1792397777.5</v>
      </c>
      <c r="H18">
        <f>(I18)/1000</f>
        <v>0</v>
      </c>
      <c r="I18">
        <f>1000*DI18*AG18*(DE18-DF18)/(100*CX18*(1000-AG18*DE18))</f>
        <v>0</v>
      </c>
      <c r="J18">
        <f>DI18*AG18*(DD18-DC18*(1000-AG18*DF18)/(1000-AG18*DE18))/(100*CX18)</f>
        <v>0</v>
      </c>
      <c r="K18">
        <f>DC18 - IF(AG18&gt;1, J18*CX18*100.0/(AI18), 0)</f>
        <v>0</v>
      </c>
      <c r="L18">
        <f>((R18-H18/2)*K18-J18)/(R18+H18/2)</f>
        <v>0</v>
      </c>
      <c r="M18">
        <f>L18*(DJ18+DK18)/1000.0</f>
        <v>0</v>
      </c>
      <c r="N18">
        <f>(DC18 - IF(AG18&gt;1, J18*CX18*100.0/(AI18), 0))*(DJ18+DK18)/1000.0</f>
        <v>0</v>
      </c>
      <c r="O18">
        <f>2.0/((1/Q18-1/P18)+SIGN(Q18)*SQRT((1/Q18-1/P18)*(1/Q18-1/P18) + 4*CY18/((CY18+1)*(CY18+1))*(2*1/Q18*1/P18-1/P18*1/P18)))</f>
        <v>0</v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>0</v>
      </c>
      <c r="Q18">
        <f>H18*(1000-(1000*0.61365*exp(17.502*U18/(240.97+U18))/(DJ18+DK18)+DE18)/2)/(1000*0.61365*exp(17.502*U18/(240.97+U18))/(DJ18+DK18)-DE18)</f>
        <v>0</v>
      </c>
      <c r="R18">
        <f>1/((CY18+1)/(O18/1.6)+1/(P18/1.37)) + CY18/((CY18+1)/(O18/1.6) + CY18/(P18/1.37))</f>
        <v>0</v>
      </c>
      <c r="S18">
        <f>(CT18*CW18)</f>
        <v>0</v>
      </c>
      <c r="T18">
        <f>(DL18+(S18+2*0.95*5.67E-8*(((DL18+$B$7)+273)^4-(DL18+273)^4)-44100*H18)/(1.84*29.3*P18+8*0.95*5.67E-8*(DL18+273)^3))</f>
        <v>0</v>
      </c>
      <c r="U18">
        <f>($C$7*DM18+$D$7*DN18+$E$7*T18)</f>
        <v>0</v>
      </c>
      <c r="V18">
        <f>0.61365*exp(17.502*U18/(240.97+U18))</f>
        <v>0</v>
      </c>
      <c r="W18">
        <f>(X18/Y18*100)</f>
        <v>0</v>
      </c>
      <c r="X18">
        <f>DE18*(DJ18+DK18)/1000</f>
        <v>0</v>
      </c>
      <c r="Y18">
        <f>0.61365*exp(17.502*DL18/(240.97+DL18))</f>
        <v>0</v>
      </c>
      <c r="Z18">
        <f>(V18-DE18*(DJ18+DK18)/1000)</f>
        <v>0</v>
      </c>
      <c r="AA18">
        <f>(-H18*44100)</f>
        <v>0</v>
      </c>
      <c r="AB18">
        <f>2*29.3*P18*0.92*(DL18-U18)</f>
        <v>0</v>
      </c>
      <c r="AC18">
        <f>2*0.95*5.67E-8*(((DL18+$B$7)+273)^4-(U18+273)^4)</f>
        <v>0</v>
      </c>
      <c r="AD18">
        <f>S18+AC18+AA18+AB18</f>
        <v>0</v>
      </c>
      <c r="AE18">
        <v>0</v>
      </c>
      <c r="AF18">
        <v>0</v>
      </c>
      <c r="AG18">
        <f>IF(AE18*$H$13&gt;=AI18,1.0,(AI18/(AI18-AE18*$H$13)))</f>
        <v>0</v>
      </c>
      <c r="AH18">
        <f>(AG18-1)*100</f>
        <v>0</v>
      </c>
      <c r="AI18">
        <f>MAX(0,($B$13+$C$13*DQ18)/(1+$D$13*DQ18)*DJ18/(DL18+273)*$E$13)</f>
        <v>0</v>
      </c>
      <c r="AJ18" t="s">
        <v>416</v>
      </c>
      <c r="AK18" t="s">
        <v>416</v>
      </c>
      <c r="AL18">
        <v>0</v>
      </c>
      <c r="AM18">
        <v>0</v>
      </c>
      <c r="AN18">
        <f>1-AL18/AM18</f>
        <v>0</v>
      </c>
      <c r="AO18">
        <v>0</v>
      </c>
      <c r="AP18" t="s">
        <v>416</v>
      </c>
      <c r="AQ18" t="s">
        <v>416</v>
      </c>
      <c r="AR18">
        <v>0</v>
      </c>
      <c r="AS18">
        <v>0</v>
      </c>
      <c r="AT18">
        <f>1-AR18/AS18</f>
        <v>0</v>
      </c>
      <c r="AU18">
        <v>0.5</v>
      </c>
      <c r="AV18">
        <f>CU18</f>
        <v>0</v>
      </c>
      <c r="AW18">
        <f>J18</f>
        <v>0</v>
      </c>
      <c r="AX18">
        <f>AT18*AU18*AV18</f>
        <v>0</v>
      </c>
      <c r="AY18">
        <f>(AW18-AO18)/AV18</f>
        <v>0</v>
      </c>
      <c r="AZ18">
        <f>(AM18-AS18)/AS18</f>
        <v>0</v>
      </c>
      <c r="BA18">
        <f>AL18/(AN18+AL18/AS18)</f>
        <v>0</v>
      </c>
      <c r="BB18" t="s">
        <v>416</v>
      </c>
      <c r="BC18">
        <v>0</v>
      </c>
      <c r="BD18">
        <f>IF(BC18&lt;&gt;0, BC18, BA18)</f>
        <v>0</v>
      </c>
      <c r="BE18">
        <f>1-BD18/AS18</f>
        <v>0</v>
      </c>
      <c r="BF18">
        <f>(AS18-AR18)/(AS18-BD18)</f>
        <v>0</v>
      </c>
      <c r="BG18">
        <f>(AM18-AS18)/(AM18-BD18)</f>
        <v>0</v>
      </c>
      <c r="BH18">
        <f>(AS18-AR18)/(AS18-AL18)</f>
        <v>0</v>
      </c>
      <c r="BI18">
        <f>(AM18-AS18)/(AM18-AL18)</f>
        <v>0</v>
      </c>
      <c r="BJ18">
        <f>(BF18*BD18/AR18)</f>
        <v>0</v>
      </c>
      <c r="BK18">
        <f>(1-BJ18)</f>
        <v>0</v>
      </c>
      <c r="BL18">
        <v>1211</v>
      </c>
      <c r="BM18">
        <v>290</v>
      </c>
      <c r="BN18">
        <v>854.02</v>
      </c>
      <c r="BO18">
        <v>135</v>
      </c>
      <c r="BP18">
        <v>8118.76</v>
      </c>
      <c r="BQ18">
        <v>850.06</v>
      </c>
      <c r="BR18">
        <v>3.96</v>
      </c>
      <c r="BS18">
        <v>300</v>
      </c>
      <c r="BT18">
        <v>19.3</v>
      </c>
      <c r="BU18">
        <v>879.257022088825</v>
      </c>
      <c r="BV18">
        <v>1.85043100621219</v>
      </c>
      <c r="BW18">
        <v>-23.7015574963064</v>
      </c>
      <c r="BX18">
        <v>1.34141796524398</v>
      </c>
      <c r="BY18">
        <v>0.917694192479961</v>
      </c>
      <c r="BZ18">
        <v>-0.00537916729699666</v>
      </c>
      <c r="CA18">
        <v>290</v>
      </c>
      <c r="CB18">
        <v>841.85</v>
      </c>
      <c r="CC18">
        <v>615</v>
      </c>
      <c r="CD18">
        <v>8099.98</v>
      </c>
      <c r="CE18">
        <v>850</v>
      </c>
      <c r="CF18">
        <v>-8.15</v>
      </c>
      <c r="CT18">
        <f>$B$11*DR18+$C$11*DS18+$F$11*ED18*(1-EG18)</f>
        <v>0</v>
      </c>
      <c r="CU18">
        <f>CT18*CV18</f>
        <v>0</v>
      </c>
      <c r="CV18">
        <f>($B$11*$D$9+$C$11*$D$9+$F$11*((EQ18+EI18)/MAX(EQ18+EI18+ER18, 0.1)*$I$9+ER18/MAX(EQ18+EI18+ER18, 0.1)*$J$9))/($B$11+$C$11+$F$11)</f>
        <v>0</v>
      </c>
      <c r="CW18">
        <f>($B$11*$K$9+$C$11*$K$9+$F$11*((EQ18+EI18)/MAX(EQ18+EI18+ER18, 0.1)*$P$9+ER18/MAX(EQ18+EI18+ER18, 0.1)*$Q$9))/($B$11+$C$11+$F$11)</f>
        <v>0</v>
      </c>
      <c r="CX18">
        <v>2</v>
      </c>
      <c r="CY18">
        <v>0.5</v>
      </c>
      <c r="CZ18" t="s">
        <v>417</v>
      </c>
      <c r="DA18">
        <v>2</v>
      </c>
      <c r="DB18">
        <v>1792397777.5</v>
      </c>
      <c r="DC18">
        <v>295.460833333333</v>
      </c>
      <c r="DD18">
        <v>299.972833333333</v>
      </c>
      <c r="DE18">
        <v>17.2296</v>
      </c>
      <c r="DF18">
        <v>15.7074833333333</v>
      </c>
      <c r="DG18">
        <v>294.910833333333</v>
      </c>
      <c r="DH18">
        <v>17.3182666666667</v>
      </c>
      <c r="DI18">
        <v>499.970833333333</v>
      </c>
      <c r="DJ18">
        <v>101.309833333333</v>
      </c>
      <c r="DK18">
        <v>0.100053533333333</v>
      </c>
      <c r="DL18">
        <v>24.9171333333333</v>
      </c>
      <c r="DM18">
        <v>24.9999333333333</v>
      </c>
      <c r="DN18">
        <v>999.9</v>
      </c>
      <c r="DO18">
        <v>0</v>
      </c>
      <c r="DP18">
        <v>0</v>
      </c>
      <c r="DQ18">
        <v>9991.86666666667</v>
      </c>
      <c r="DR18">
        <v>0</v>
      </c>
      <c r="DS18">
        <v>6.18347666666667</v>
      </c>
      <c r="DT18">
        <v>-4.51185</v>
      </c>
      <c r="DU18">
        <v>300.640833333333</v>
      </c>
      <c r="DV18">
        <v>304.7595</v>
      </c>
      <c r="DW18">
        <v>1.52213333333333</v>
      </c>
      <c r="DX18">
        <v>299.972833333333</v>
      </c>
      <c r="DY18">
        <v>15.7074833333333</v>
      </c>
      <c r="DZ18">
        <v>1.74553333333333</v>
      </c>
      <c r="EA18">
        <v>1.591325</v>
      </c>
      <c r="EB18">
        <v>15.3073666666667</v>
      </c>
      <c r="EC18">
        <v>13.87505</v>
      </c>
      <c r="ED18">
        <v>1499.94166666667</v>
      </c>
      <c r="EE18">
        <v>0.972998333333333</v>
      </c>
      <c r="EF18">
        <v>0.0270017</v>
      </c>
      <c r="EG18">
        <v>0</v>
      </c>
      <c r="EH18">
        <v>347.073666666667</v>
      </c>
      <c r="EI18">
        <v>5.00064</v>
      </c>
      <c r="EJ18">
        <v>5380.78333333333</v>
      </c>
      <c r="EK18">
        <v>15438.6166666667</v>
      </c>
      <c r="EL18">
        <v>40.75</v>
      </c>
      <c r="EM18">
        <v>41.437</v>
      </c>
      <c r="EN18">
        <v>41.062</v>
      </c>
      <c r="EO18">
        <v>41</v>
      </c>
      <c r="EP18">
        <v>42.25</v>
      </c>
      <c r="EQ18">
        <v>1454.57166666667</v>
      </c>
      <c r="ER18">
        <v>40.37</v>
      </c>
      <c r="ES18">
        <v>0</v>
      </c>
      <c r="ET18">
        <v>7302</v>
      </c>
      <c r="EU18">
        <v>0</v>
      </c>
      <c r="EV18">
        <v>347.064461538462</v>
      </c>
      <c r="EW18">
        <v>0.0508034110722558</v>
      </c>
      <c r="EX18">
        <v>-7.01675211767754</v>
      </c>
      <c r="EY18">
        <v>5381.63538461538</v>
      </c>
      <c r="EZ18">
        <v>15</v>
      </c>
      <c r="FA18">
        <v>1792397725</v>
      </c>
      <c r="FB18" t="s">
        <v>425</v>
      </c>
      <c r="FC18">
        <v>1792397725</v>
      </c>
      <c r="FD18">
        <v>1792397725</v>
      </c>
      <c r="FE18">
        <v>76</v>
      </c>
      <c r="FF18">
        <v>-0.215</v>
      </c>
      <c r="FG18">
        <v>-0.001</v>
      </c>
      <c r="FH18">
        <v>0.552</v>
      </c>
      <c r="FI18">
        <v>-0.146</v>
      </c>
      <c r="FJ18">
        <v>300</v>
      </c>
      <c r="FK18">
        <v>16</v>
      </c>
      <c r="FL18">
        <v>0.5</v>
      </c>
      <c r="FM18">
        <v>0.06</v>
      </c>
      <c r="FN18">
        <v>10.1571772707095</v>
      </c>
      <c r="FO18">
        <v>-0.382225094643929</v>
      </c>
      <c r="FP18">
        <v>0.0725938209372213</v>
      </c>
      <c r="FQ18">
        <v>1</v>
      </c>
      <c r="FR18">
        <v>-4.52911714285714</v>
      </c>
      <c r="FS18">
        <v>0.154721298701299</v>
      </c>
      <c r="FT18">
        <v>0.0312537773934696</v>
      </c>
      <c r="FU18">
        <v>1</v>
      </c>
      <c r="FV18">
        <v>347.0635</v>
      </c>
      <c r="FW18">
        <v>0.139022148505359</v>
      </c>
      <c r="FX18">
        <v>0.184239015156626</v>
      </c>
      <c r="FY18">
        <v>1</v>
      </c>
      <c r="FZ18">
        <v>3</v>
      </c>
      <c r="GA18">
        <v>3</v>
      </c>
      <c r="GB18" t="s">
        <v>419</v>
      </c>
      <c r="GC18">
        <v>3.12333</v>
      </c>
      <c r="GD18">
        <v>2.7652</v>
      </c>
      <c r="GE18">
        <v>0.0693261</v>
      </c>
      <c r="GF18">
        <v>0.0720204</v>
      </c>
      <c r="GG18">
        <v>0.0925008</v>
      </c>
      <c r="GH18">
        <v>0.08962</v>
      </c>
      <c r="GI18">
        <v>18136</v>
      </c>
      <c r="GJ18">
        <v>27288.9</v>
      </c>
      <c r="GK18">
        <v>22768.6</v>
      </c>
      <c r="GL18">
        <v>30131.1</v>
      </c>
      <c r="GM18">
        <v>33885.7</v>
      </c>
      <c r="GN18">
        <v>34177.1</v>
      </c>
      <c r="GO18">
        <v>43073.8</v>
      </c>
      <c r="GP18">
        <v>42921.4</v>
      </c>
      <c r="GQ18">
        <v>1.97808</v>
      </c>
      <c r="GR18">
        <v>1.82812</v>
      </c>
      <c r="GS18">
        <v>0.0828654</v>
      </c>
      <c r="GT18">
        <v>0</v>
      </c>
      <c r="GU18">
        <v>23.6471</v>
      </c>
      <c r="GV18">
        <v>999.9</v>
      </c>
      <c r="GW18">
        <v>40.331</v>
      </c>
      <c r="GX18">
        <v>32.045</v>
      </c>
      <c r="GY18">
        <v>19.0596</v>
      </c>
      <c r="GZ18">
        <v>63.0286</v>
      </c>
      <c r="HA18">
        <v>33.9663</v>
      </c>
      <c r="HB18">
        <v>1</v>
      </c>
      <c r="HC18">
        <v>0.0339482</v>
      </c>
      <c r="HD18">
        <v>2.11964</v>
      </c>
      <c r="HE18">
        <v>20.2264</v>
      </c>
      <c r="HF18">
        <v>5.23421</v>
      </c>
      <c r="HG18">
        <v>11.962</v>
      </c>
      <c r="HH18">
        <v>4.96905</v>
      </c>
      <c r="HI18">
        <v>3.295</v>
      </c>
      <c r="HJ18">
        <v>999.9</v>
      </c>
      <c r="HK18">
        <v>9999</v>
      </c>
      <c r="HL18">
        <v>9999</v>
      </c>
      <c r="HM18">
        <v>9999</v>
      </c>
      <c r="HN18">
        <v>4.9685</v>
      </c>
      <c r="HO18">
        <v>1.86233</v>
      </c>
      <c r="HP18">
        <v>1.86386</v>
      </c>
      <c r="HQ18">
        <v>1.86574</v>
      </c>
      <c r="HR18">
        <v>1.86279</v>
      </c>
      <c r="HS18">
        <v>1.86646</v>
      </c>
      <c r="HT18">
        <v>1.86325</v>
      </c>
      <c r="HU18">
        <v>1.86523</v>
      </c>
      <c r="HV18">
        <v>0</v>
      </c>
      <c r="HW18">
        <v>0</v>
      </c>
      <c r="HX18">
        <v>0</v>
      </c>
      <c r="HY18">
        <v>0</v>
      </c>
      <c r="HZ18" t="s">
        <v>420</v>
      </c>
      <c r="IA18" t="s">
        <v>421</v>
      </c>
      <c r="IB18" t="s">
        <v>422</v>
      </c>
      <c r="IC18" t="s">
        <v>422</v>
      </c>
      <c r="ID18" t="s">
        <v>422</v>
      </c>
      <c r="IE18" t="s">
        <v>422</v>
      </c>
      <c r="IF18">
        <v>0</v>
      </c>
      <c r="IG18">
        <v>100</v>
      </c>
      <c r="IH18">
        <v>100</v>
      </c>
      <c r="II18">
        <v>0.55</v>
      </c>
      <c r="IJ18">
        <v>-0.0888</v>
      </c>
      <c r="IK18">
        <v>0.463706201603009</v>
      </c>
      <c r="IL18">
        <v>0.000216929631606078</v>
      </c>
      <c r="IM18">
        <v>2.72263024731635e-07</v>
      </c>
      <c r="IN18">
        <v>-5.43792051235154e-11</v>
      </c>
      <c r="IO18">
        <v>0.00860657128136797</v>
      </c>
      <c r="IP18">
        <v>-0.0584433849545669</v>
      </c>
      <c r="IQ18">
        <v>0.00341568706061026</v>
      </c>
      <c r="IR18">
        <v>-2.10952612506686e-05</v>
      </c>
      <c r="IS18">
        <v>-0</v>
      </c>
      <c r="IT18">
        <v>1734</v>
      </c>
      <c r="IU18">
        <v>2</v>
      </c>
      <c r="IV18">
        <v>19</v>
      </c>
      <c r="IW18">
        <v>0.9</v>
      </c>
      <c r="IX18">
        <v>0.9</v>
      </c>
      <c r="IY18">
        <v>0.849609</v>
      </c>
      <c r="IZ18">
        <v>2.56226</v>
      </c>
      <c r="JA18">
        <v>1.34644</v>
      </c>
      <c r="JB18">
        <v>2.25708</v>
      </c>
      <c r="JC18">
        <v>1.55029</v>
      </c>
      <c r="JD18">
        <v>2.71729</v>
      </c>
      <c r="JE18">
        <v>35.8711</v>
      </c>
      <c r="JF18">
        <v>14.8413</v>
      </c>
      <c r="JG18">
        <v>18</v>
      </c>
      <c r="JH18">
        <v>500.272</v>
      </c>
      <c r="JI18">
        <v>482.075</v>
      </c>
      <c r="JJ18">
        <v>21.069</v>
      </c>
      <c r="JK18">
        <v>27.6299</v>
      </c>
      <c r="JL18">
        <v>30</v>
      </c>
      <c r="JM18">
        <v>27.608</v>
      </c>
      <c r="JN18">
        <v>27.6202</v>
      </c>
      <c r="JO18">
        <v>17.0258</v>
      </c>
      <c r="JP18">
        <v>26.3992</v>
      </c>
      <c r="JQ18">
        <v>31.7835</v>
      </c>
      <c r="JR18">
        <v>21.2771</v>
      </c>
      <c r="JS18">
        <v>300</v>
      </c>
      <c r="JT18">
        <v>15.6807</v>
      </c>
      <c r="JU18">
        <v>101.713</v>
      </c>
      <c r="JV18">
        <v>97.4582</v>
      </c>
    </row>
    <row r="19" spans="1:282">
      <c r="A19">
        <v>3</v>
      </c>
      <c r="B19">
        <v>1792397902</v>
      </c>
      <c r="C19">
        <v>244</v>
      </c>
      <c r="D19" t="s">
        <v>426</v>
      </c>
      <c r="E19" t="s">
        <v>427</v>
      </c>
      <c r="F19">
        <v>5</v>
      </c>
      <c r="G19">
        <v>1792397899</v>
      </c>
      <c r="H19">
        <f>(I19)/1000</f>
        <v>0</v>
      </c>
      <c r="I19">
        <f>1000*DI19*AG19*(DE19-DF19)/(100*CX19*(1000-AG19*DE19))</f>
        <v>0</v>
      </c>
      <c r="J19">
        <f>DI19*AG19*(DD19-DC19*(1000-AG19*DF19)/(1000-AG19*DE19))/(100*CX19)</f>
        <v>0</v>
      </c>
      <c r="K19">
        <f>DC19 - IF(AG19&gt;1, J19*CX19*100.0/(AI19), 0)</f>
        <v>0</v>
      </c>
      <c r="L19">
        <f>((R19-H19/2)*K19-J19)/(R19+H19/2)</f>
        <v>0</v>
      </c>
      <c r="M19">
        <f>L19*(DJ19+DK19)/1000.0</f>
        <v>0</v>
      </c>
      <c r="N19">
        <f>(DC19 - IF(AG19&gt;1, J19*CX19*100.0/(AI19), 0))*(DJ19+DK19)/1000.0</f>
        <v>0</v>
      </c>
      <c r="O19">
        <f>2.0/((1/Q19-1/P19)+SIGN(Q19)*SQRT((1/Q19-1/P19)*(1/Q19-1/P19) + 4*CY19/((CY19+1)*(CY19+1))*(2*1/Q19*1/P19-1/P19*1/P19)))</f>
        <v>0</v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>0</v>
      </c>
      <c r="Q19">
        <f>H19*(1000-(1000*0.61365*exp(17.502*U19/(240.97+U19))/(DJ19+DK19)+DE19)/2)/(1000*0.61365*exp(17.502*U19/(240.97+U19))/(DJ19+DK19)-DE19)</f>
        <v>0</v>
      </c>
      <c r="R19">
        <f>1/((CY19+1)/(O19/1.6)+1/(P19/1.37)) + CY19/((CY19+1)/(O19/1.6) + CY19/(P19/1.37))</f>
        <v>0</v>
      </c>
      <c r="S19">
        <f>(CT19*CW19)</f>
        <v>0</v>
      </c>
      <c r="T19">
        <f>(DL19+(S19+2*0.95*5.67E-8*(((DL19+$B$7)+273)^4-(DL19+273)^4)-44100*H19)/(1.84*29.3*P19+8*0.95*5.67E-8*(DL19+273)^3))</f>
        <v>0</v>
      </c>
      <c r="U19">
        <f>($C$7*DM19+$D$7*DN19+$E$7*T19)</f>
        <v>0</v>
      </c>
      <c r="V19">
        <f>0.61365*exp(17.502*U19/(240.97+U19))</f>
        <v>0</v>
      </c>
      <c r="W19">
        <f>(X19/Y19*100)</f>
        <v>0</v>
      </c>
      <c r="X19">
        <f>DE19*(DJ19+DK19)/1000</f>
        <v>0</v>
      </c>
      <c r="Y19">
        <f>0.61365*exp(17.502*DL19/(240.97+DL19))</f>
        <v>0</v>
      </c>
      <c r="Z19">
        <f>(V19-DE19*(DJ19+DK19)/1000)</f>
        <v>0</v>
      </c>
      <c r="AA19">
        <f>(-H19*44100)</f>
        <v>0</v>
      </c>
      <c r="AB19">
        <f>2*29.3*P19*0.92*(DL19-U19)</f>
        <v>0</v>
      </c>
      <c r="AC19">
        <f>2*0.95*5.67E-8*(((DL19+$B$7)+273)^4-(U19+273)^4)</f>
        <v>0</v>
      </c>
      <c r="AD19">
        <f>S19+AC19+AA19+AB19</f>
        <v>0</v>
      </c>
      <c r="AE19">
        <v>0</v>
      </c>
      <c r="AF19">
        <v>0</v>
      </c>
      <c r="AG19">
        <f>IF(AE19*$H$13&gt;=AI19,1.0,(AI19/(AI19-AE19*$H$13)))</f>
        <v>0</v>
      </c>
      <c r="AH19">
        <f>(AG19-1)*100</f>
        <v>0</v>
      </c>
      <c r="AI19">
        <f>MAX(0,($B$13+$C$13*DQ19)/(1+$D$13*DQ19)*DJ19/(DL19+273)*$E$13)</f>
        <v>0</v>
      </c>
      <c r="AJ19" t="s">
        <v>416</v>
      </c>
      <c r="AK19" t="s">
        <v>416</v>
      </c>
      <c r="AL19">
        <v>0</v>
      </c>
      <c r="AM19">
        <v>0</v>
      </c>
      <c r="AN19">
        <f>1-AL19/AM19</f>
        <v>0</v>
      </c>
      <c r="AO19">
        <v>0</v>
      </c>
      <c r="AP19" t="s">
        <v>416</v>
      </c>
      <c r="AQ19" t="s">
        <v>416</v>
      </c>
      <c r="AR19">
        <v>0</v>
      </c>
      <c r="AS19">
        <v>0</v>
      </c>
      <c r="AT19">
        <f>1-AR19/AS19</f>
        <v>0</v>
      </c>
      <c r="AU19">
        <v>0.5</v>
      </c>
      <c r="AV19">
        <f>CU19</f>
        <v>0</v>
      </c>
      <c r="AW19">
        <f>J19</f>
        <v>0</v>
      </c>
      <c r="AX19">
        <f>AT19*AU19*AV19</f>
        <v>0</v>
      </c>
      <c r="AY19">
        <f>(AW19-AO19)/AV19</f>
        <v>0</v>
      </c>
      <c r="AZ19">
        <f>(AM19-AS19)/AS19</f>
        <v>0</v>
      </c>
      <c r="BA19">
        <f>AL19/(AN19+AL19/AS19)</f>
        <v>0</v>
      </c>
      <c r="BB19" t="s">
        <v>416</v>
      </c>
      <c r="BC19">
        <v>0</v>
      </c>
      <c r="BD19">
        <f>IF(BC19&lt;&gt;0, BC19, BA19)</f>
        <v>0</v>
      </c>
      <c r="BE19">
        <f>1-BD19/AS19</f>
        <v>0</v>
      </c>
      <c r="BF19">
        <f>(AS19-AR19)/(AS19-BD19)</f>
        <v>0</v>
      </c>
      <c r="BG19">
        <f>(AM19-AS19)/(AM19-BD19)</f>
        <v>0</v>
      </c>
      <c r="BH19">
        <f>(AS19-AR19)/(AS19-AL19)</f>
        <v>0</v>
      </c>
      <c r="BI19">
        <f>(AM19-AS19)/(AM19-AL19)</f>
        <v>0</v>
      </c>
      <c r="BJ19">
        <f>(BF19*BD19/AR19)</f>
        <v>0</v>
      </c>
      <c r="BK19">
        <f>(1-BJ19)</f>
        <v>0</v>
      </c>
      <c r="BL19">
        <v>1211</v>
      </c>
      <c r="BM19">
        <v>290</v>
      </c>
      <c r="BN19">
        <v>854.02</v>
      </c>
      <c r="BO19">
        <v>135</v>
      </c>
      <c r="BP19">
        <v>8118.76</v>
      </c>
      <c r="BQ19">
        <v>850.06</v>
      </c>
      <c r="BR19">
        <v>3.96</v>
      </c>
      <c r="BS19">
        <v>300</v>
      </c>
      <c r="BT19">
        <v>19.3</v>
      </c>
      <c r="BU19">
        <v>879.257022088825</v>
      </c>
      <c r="BV19">
        <v>1.85043100621219</v>
      </c>
      <c r="BW19">
        <v>-23.7015574963064</v>
      </c>
      <c r="BX19">
        <v>1.34141796524398</v>
      </c>
      <c r="BY19">
        <v>0.917694192479961</v>
      </c>
      <c r="BZ19">
        <v>-0.00537916729699666</v>
      </c>
      <c r="CA19">
        <v>290</v>
      </c>
      <c r="CB19">
        <v>841.85</v>
      </c>
      <c r="CC19">
        <v>615</v>
      </c>
      <c r="CD19">
        <v>8099.98</v>
      </c>
      <c r="CE19">
        <v>850</v>
      </c>
      <c r="CF19">
        <v>-8.15</v>
      </c>
      <c r="CT19">
        <f>$B$11*DR19+$C$11*DS19+$F$11*ED19*(1-EG19)</f>
        <v>0</v>
      </c>
      <c r="CU19">
        <f>CT19*CV19</f>
        <v>0</v>
      </c>
      <c r="CV19">
        <f>($B$11*$D$9+$C$11*$D$9+$F$11*((EQ19+EI19)/MAX(EQ19+EI19+ER19, 0.1)*$I$9+ER19/MAX(EQ19+EI19+ER19, 0.1)*$J$9))/($B$11+$C$11+$F$11)</f>
        <v>0</v>
      </c>
      <c r="CW19">
        <f>($B$11*$K$9+$C$11*$K$9+$F$11*((EQ19+EI19)/MAX(EQ19+EI19+ER19, 0.1)*$P$9+ER19/MAX(EQ19+EI19+ER19, 0.1)*$Q$9))/($B$11+$C$11+$F$11)</f>
        <v>0</v>
      </c>
      <c r="CX19">
        <v>2</v>
      </c>
      <c r="CY19">
        <v>0.5</v>
      </c>
      <c r="CZ19" t="s">
        <v>417</v>
      </c>
      <c r="DA19">
        <v>2</v>
      </c>
      <c r="DB19">
        <v>1792397899</v>
      </c>
      <c r="DC19">
        <v>197.415</v>
      </c>
      <c r="DD19">
        <v>200.025</v>
      </c>
      <c r="DE19">
        <v>17.12974</v>
      </c>
      <c r="DF19">
        <v>15.71434</v>
      </c>
      <c r="DG19">
        <v>197.0566</v>
      </c>
      <c r="DH19">
        <v>17.22722</v>
      </c>
      <c r="DI19">
        <v>500.1936</v>
      </c>
      <c r="DJ19">
        <v>101.2962</v>
      </c>
      <c r="DK19">
        <v>0.100038</v>
      </c>
      <c r="DL19">
        <v>24.82592</v>
      </c>
      <c r="DM19">
        <v>24.99808</v>
      </c>
      <c r="DN19">
        <v>999.9</v>
      </c>
      <c r="DO19">
        <v>0</v>
      </c>
      <c r="DP19">
        <v>0</v>
      </c>
      <c r="DQ19">
        <v>10012.48</v>
      </c>
      <c r="DR19">
        <v>0</v>
      </c>
      <c r="DS19">
        <v>6.198026</v>
      </c>
      <c r="DT19">
        <v>-2.610196</v>
      </c>
      <c r="DU19">
        <v>200.8554</v>
      </c>
      <c r="DV19">
        <v>203.2184</v>
      </c>
      <c r="DW19">
        <v>1.415388</v>
      </c>
      <c r="DX19">
        <v>200.025</v>
      </c>
      <c r="DY19">
        <v>15.71434</v>
      </c>
      <c r="DZ19">
        <v>1.735182</v>
      </c>
      <c r="EA19">
        <v>1.591808</v>
      </c>
      <c r="EB19">
        <v>15.2148</v>
      </c>
      <c r="EC19">
        <v>13.87974</v>
      </c>
      <c r="ED19">
        <v>1499.996</v>
      </c>
      <c r="EE19">
        <v>0.9729986</v>
      </c>
      <c r="EF19">
        <v>0.02700146</v>
      </c>
      <c r="EG19">
        <v>0</v>
      </c>
      <c r="EH19">
        <v>346.7878</v>
      </c>
      <c r="EI19">
        <v>5.00064</v>
      </c>
      <c r="EJ19">
        <v>5376.392</v>
      </c>
      <c r="EK19">
        <v>15439.12</v>
      </c>
      <c r="EL19">
        <v>40.75</v>
      </c>
      <c r="EM19">
        <v>41.437</v>
      </c>
      <c r="EN19">
        <v>41.0872</v>
      </c>
      <c r="EO19">
        <v>41</v>
      </c>
      <c r="EP19">
        <v>42.25</v>
      </c>
      <c r="EQ19">
        <v>1454.626</v>
      </c>
      <c r="ER19">
        <v>40.37</v>
      </c>
      <c r="ES19">
        <v>0</v>
      </c>
      <c r="ET19">
        <v>7422.59999990463</v>
      </c>
      <c r="EU19">
        <v>0</v>
      </c>
      <c r="EV19">
        <v>346.69016</v>
      </c>
      <c r="EW19">
        <v>0.476615382172625</v>
      </c>
      <c r="EX19">
        <v>7.55538460780321</v>
      </c>
      <c r="EY19">
        <v>5375.9348</v>
      </c>
      <c r="EZ19">
        <v>15</v>
      </c>
      <c r="FA19">
        <v>1792397849</v>
      </c>
      <c r="FB19" t="s">
        <v>428</v>
      </c>
      <c r="FC19">
        <v>1792397849</v>
      </c>
      <c r="FD19">
        <v>1792397841</v>
      </c>
      <c r="FE19">
        <v>77</v>
      </c>
      <c r="FF19">
        <v>-0.158</v>
      </c>
      <c r="FG19">
        <v>-0.005</v>
      </c>
      <c r="FH19">
        <v>0.359</v>
      </c>
      <c r="FI19">
        <v>-0.149</v>
      </c>
      <c r="FJ19">
        <v>200</v>
      </c>
      <c r="FK19">
        <v>16</v>
      </c>
      <c r="FL19">
        <v>0.31</v>
      </c>
      <c r="FM19">
        <v>0.06</v>
      </c>
      <c r="FN19">
        <v>5.81528608444244</v>
      </c>
      <c r="FO19">
        <v>-0.208237188651009</v>
      </c>
      <c r="FP19">
        <v>0.0623058872665405</v>
      </c>
      <c r="FQ19">
        <v>1</v>
      </c>
      <c r="FR19">
        <v>-2.61331619047619</v>
      </c>
      <c r="FS19">
        <v>0.071364155844156</v>
      </c>
      <c r="FT19">
        <v>0.0253770647250417</v>
      </c>
      <c r="FU19">
        <v>1</v>
      </c>
      <c r="FV19">
        <v>346.657911764706</v>
      </c>
      <c r="FW19">
        <v>0.665286474406686</v>
      </c>
      <c r="FX19">
        <v>0.224356906794277</v>
      </c>
      <c r="FY19">
        <v>1</v>
      </c>
      <c r="FZ19">
        <v>3</v>
      </c>
      <c r="GA19">
        <v>3</v>
      </c>
      <c r="GB19" t="s">
        <v>419</v>
      </c>
      <c r="GC19">
        <v>3.12364</v>
      </c>
      <c r="GD19">
        <v>2.76532</v>
      </c>
      <c r="GE19">
        <v>0.0493635</v>
      </c>
      <c r="GF19">
        <v>0.0512599</v>
      </c>
      <c r="GG19">
        <v>0.09213</v>
      </c>
      <c r="GH19">
        <v>0.089638</v>
      </c>
      <c r="GI19">
        <v>18525.2</v>
      </c>
      <c r="GJ19">
        <v>27899</v>
      </c>
      <c r="GK19">
        <v>22768.8</v>
      </c>
      <c r="GL19">
        <v>30130.4</v>
      </c>
      <c r="GM19">
        <v>33898.9</v>
      </c>
      <c r="GN19">
        <v>34174.4</v>
      </c>
      <c r="GO19">
        <v>43073.9</v>
      </c>
      <c r="GP19">
        <v>42920.7</v>
      </c>
      <c r="GQ19">
        <v>1.97822</v>
      </c>
      <c r="GR19">
        <v>1.82733</v>
      </c>
      <c r="GS19">
        <v>0.0857934</v>
      </c>
      <c r="GT19">
        <v>0</v>
      </c>
      <c r="GU19">
        <v>23.5835</v>
      </c>
      <c r="GV19">
        <v>999.9</v>
      </c>
      <c r="GW19">
        <v>40.441</v>
      </c>
      <c r="GX19">
        <v>32.045</v>
      </c>
      <c r="GY19">
        <v>19.1124</v>
      </c>
      <c r="GZ19">
        <v>63.3186</v>
      </c>
      <c r="HA19">
        <v>33.2412</v>
      </c>
      <c r="HB19">
        <v>1</v>
      </c>
      <c r="HC19">
        <v>0.0339482</v>
      </c>
      <c r="HD19">
        <v>2.21851</v>
      </c>
      <c r="HE19">
        <v>20.2258</v>
      </c>
      <c r="HF19">
        <v>5.22957</v>
      </c>
      <c r="HG19">
        <v>11.962</v>
      </c>
      <c r="HH19">
        <v>4.96915</v>
      </c>
      <c r="HI19">
        <v>3.295</v>
      </c>
      <c r="HJ19">
        <v>999.9</v>
      </c>
      <c r="HK19">
        <v>9999</v>
      </c>
      <c r="HL19">
        <v>9999</v>
      </c>
      <c r="HM19">
        <v>9999</v>
      </c>
      <c r="HN19">
        <v>4.96851</v>
      </c>
      <c r="HO19">
        <v>1.86234</v>
      </c>
      <c r="HP19">
        <v>1.86386</v>
      </c>
      <c r="HQ19">
        <v>1.86581</v>
      </c>
      <c r="HR19">
        <v>1.86282</v>
      </c>
      <c r="HS19">
        <v>1.86647</v>
      </c>
      <c r="HT19">
        <v>1.86325</v>
      </c>
      <c r="HU19">
        <v>1.86523</v>
      </c>
      <c r="HV19">
        <v>0</v>
      </c>
      <c r="HW19">
        <v>0</v>
      </c>
      <c r="HX19">
        <v>0</v>
      </c>
      <c r="HY19">
        <v>0</v>
      </c>
      <c r="HZ19" t="s">
        <v>420</v>
      </c>
      <c r="IA19" t="s">
        <v>421</v>
      </c>
      <c r="IB19" t="s">
        <v>422</v>
      </c>
      <c r="IC19" t="s">
        <v>422</v>
      </c>
      <c r="ID19" t="s">
        <v>422</v>
      </c>
      <c r="IE19" t="s">
        <v>422</v>
      </c>
      <c r="IF19">
        <v>0</v>
      </c>
      <c r="IG19">
        <v>100</v>
      </c>
      <c r="IH19">
        <v>100</v>
      </c>
      <c r="II19">
        <v>0.358</v>
      </c>
      <c r="IJ19">
        <v>-0.0977</v>
      </c>
      <c r="IK19">
        <v>0.305284357005866</v>
      </c>
      <c r="IL19">
        <v>0.000216929631606078</v>
      </c>
      <c r="IM19">
        <v>2.72263024731635e-07</v>
      </c>
      <c r="IN19">
        <v>-5.43792051235154e-11</v>
      </c>
      <c r="IO19">
        <v>0.00348336862640933</v>
      </c>
      <c r="IP19">
        <v>-0.0584433849545669</v>
      </c>
      <c r="IQ19">
        <v>0.00341568706061026</v>
      </c>
      <c r="IR19">
        <v>-2.10952612506686e-05</v>
      </c>
      <c r="IS19">
        <v>-0</v>
      </c>
      <c r="IT19">
        <v>1734</v>
      </c>
      <c r="IU19">
        <v>2</v>
      </c>
      <c r="IV19">
        <v>19</v>
      </c>
      <c r="IW19">
        <v>0.9</v>
      </c>
      <c r="IX19">
        <v>1</v>
      </c>
      <c r="IY19">
        <v>0.635986</v>
      </c>
      <c r="IZ19">
        <v>2.58545</v>
      </c>
      <c r="JA19">
        <v>1.34644</v>
      </c>
      <c r="JB19">
        <v>2.2583</v>
      </c>
      <c r="JC19">
        <v>1.55029</v>
      </c>
      <c r="JD19">
        <v>2.4353</v>
      </c>
      <c r="JE19">
        <v>35.8944</v>
      </c>
      <c r="JF19">
        <v>14.7887</v>
      </c>
      <c r="JG19">
        <v>18</v>
      </c>
      <c r="JH19">
        <v>500.427</v>
      </c>
      <c r="JI19">
        <v>481.543</v>
      </c>
      <c r="JJ19">
        <v>21.1498</v>
      </c>
      <c r="JK19">
        <v>27.6393</v>
      </c>
      <c r="JL19">
        <v>30.0002</v>
      </c>
      <c r="JM19">
        <v>27.615</v>
      </c>
      <c r="JN19">
        <v>27.6231</v>
      </c>
      <c r="JO19">
        <v>12.737</v>
      </c>
      <c r="JP19">
        <v>26.8771</v>
      </c>
      <c r="JQ19">
        <v>32.0677</v>
      </c>
      <c r="JR19">
        <v>21.1467</v>
      </c>
      <c r="JS19">
        <v>200</v>
      </c>
      <c r="JT19">
        <v>15.6704</v>
      </c>
      <c r="JU19">
        <v>101.713</v>
      </c>
      <c r="JV19">
        <v>97.4562</v>
      </c>
    </row>
    <row r="20" spans="1:282">
      <c r="A20">
        <v>4</v>
      </c>
      <c r="B20">
        <v>1792398025</v>
      </c>
      <c r="C20">
        <v>367</v>
      </c>
      <c r="D20" t="s">
        <v>429</v>
      </c>
      <c r="E20" t="s">
        <v>430</v>
      </c>
      <c r="F20">
        <v>5</v>
      </c>
      <c r="G20">
        <v>1792398022</v>
      </c>
      <c r="H20">
        <f>(I20)/1000</f>
        <v>0</v>
      </c>
      <c r="I20">
        <f>1000*DI20*AG20*(DE20-DF20)/(100*CX20*(1000-AG20*DE20))</f>
        <v>0</v>
      </c>
      <c r="J20">
        <f>DI20*AG20*(DD20-DC20*(1000-AG20*DF20)/(1000-AG20*DE20))/(100*CX20)</f>
        <v>0</v>
      </c>
      <c r="K20">
        <f>DC20 - IF(AG20&gt;1, J20*CX20*100.0/(AI20), 0)</f>
        <v>0</v>
      </c>
      <c r="L20">
        <f>((R20-H20/2)*K20-J20)/(R20+H20/2)</f>
        <v>0</v>
      </c>
      <c r="M20">
        <f>L20*(DJ20+DK20)/1000.0</f>
        <v>0</v>
      </c>
      <c r="N20">
        <f>(DC20 - IF(AG20&gt;1, J20*CX20*100.0/(AI20), 0))*(DJ20+DK20)/1000.0</f>
        <v>0</v>
      </c>
      <c r="O20">
        <f>2.0/((1/Q20-1/P20)+SIGN(Q20)*SQRT((1/Q20-1/P20)*(1/Q20-1/P20) + 4*CY20/((CY20+1)*(CY20+1))*(2*1/Q20*1/P20-1/P20*1/P20)))</f>
        <v>0</v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>0</v>
      </c>
      <c r="Q20">
        <f>H20*(1000-(1000*0.61365*exp(17.502*U20/(240.97+U20))/(DJ20+DK20)+DE20)/2)/(1000*0.61365*exp(17.502*U20/(240.97+U20))/(DJ20+DK20)-DE20)</f>
        <v>0</v>
      </c>
      <c r="R20">
        <f>1/((CY20+1)/(O20/1.6)+1/(P20/1.37)) + CY20/((CY20+1)/(O20/1.6) + CY20/(P20/1.37))</f>
        <v>0</v>
      </c>
      <c r="S20">
        <f>(CT20*CW20)</f>
        <v>0</v>
      </c>
      <c r="T20">
        <f>(DL20+(S20+2*0.95*5.67E-8*(((DL20+$B$7)+273)^4-(DL20+273)^4)-44100*H20)/(1.84*29.3*P20+8*0.95*5.67E-8*(DL20+273)^3))</f>
        <v>0</v>
      </c>
      <c r="U20">
        <f>($C$7*DM20+$D$7*DN20+$E$7*T20)</f>
        <v>0</v>
      </c>
      <c r="V20">
        <f>0.61365*exp(17.502*U20/(240.97+U20))</f>
        <v>0</v>
      </c>
      <c r="W20">
        <f>(X20/Y20*100)</f>
        <v>0</v>
      </c>
      <c r="X20">
        <f>DE20*(DJ20+DK20)/1000</f>
        <v>0</v>
      </c>
      <c r="Y20">
        <f>0.61365*exp(17.502*DL20/(240.97+DL20))</f>
        <v>0</v>
      </c>
      <c r="Z20">
        <f>(V20-DE20*(DJ20+DK20)/1000)</f>
        <v>0</v>
      </c>
      <c r="AA20">
        <f>(-H20*44100)</f>
        <v>0</v>
      </c>
      <c r="AB20">
        <f>2*29.3*P20*0.92*(DL20-U20)</f>
        <v>0</v>
      </c>
      <c r="AC20">
        <f>2*0.95*5.67E-8*(((DL20+$B$7)+273)^4-(U20+273)^4)</f>
        <v>0</v>
      </c>
      <c r="AD20">
        <f>S20+AC20+AA20+AB20</f>
        <v>0</v>
      </c>
      <c r="AE20">
        <v>0</v>
      </c>
      <c r="AF20">
        <v>0</v>
      </c>
      <c r="AG20">
        <f>IF(AE20*$H$13&gt;=AI20,1.0,(AI20/(AI20-AE20*$H$13)))</f>
        <v>0</v>
      </c>
      <c r="AH20">
        <f>(AG20-1)*100</f>
        <v>0</v>
      </c>
      <c r="AI20">
        <f>MAX(0,($B$13+$C$13*DQ20)/(1+$D$13*DQ20)*DJ20/(DL20+273)*$E$13)</f>
        <v>0</v>
      </c>
      <c r="AJ20" t="s">
        <v>416</v>
      </c>
      <c r="AK20" t="s">
        <v>416</v>
      </c>
      <c r="AL20">
        <v>0</v>
      </c>
      <c r="AM20">
        <v>0</v>
      </c>
      <c r="AN20">
        <f>1-AL20/AM20</f>
        <v>0</v>
      </c>
      <c r="AO20">
        <v>0</v>
      </c>
      <c r="AP20" t="s">
        <v>416</v>
      </c>
      <c r="AQ20" t="s">
        <v>416</v>
      </c>
      <c r="AR20">
        <v>0</v>
      </c>
      <c r="AS20">
        <v>0</v>
      </c>
      <c r="AT20">
        <f>1-AR20/AS20</f>
        <v>0</v>
      </c>
      <c r="AU20">
        <v>0.5</v>
      </c>
      <c r="AV20">
        <f>CU20</f>
        <v>0</v>
      </c>
      <c r="AW20">
        <f>J20</f>
        <v>0</v>
      </c>
      <c r="AX20">
        <f>AT20*AU20*AV20</f>
        <v>0</v>
      </c>
      <c r="AY20">
        <f>(AW20-AO20)/AV20</f>
        <v>0</v>
      </c>
      <c r="AZ20">
        <f>(AM20-AS20)/AS20</f>
        <v>0</v>
      </c>
      <c r="BA20">
        <f>AL20/(AN20+AL20/AS20)</f>
        <v>0</v>
      </c>
      <c r="BB20" t="s">
        <v>416</v>
      </c>
      <c r="BC20">
        <v>0</v>
      </c>
      <c r="BD20">
        <f>IF(BC20&lt;&gt;0, BC20, BA20)</f>
        <v>0</v>
      </c>
      <c r="BE20">
        <f>1-BD20/AS20</f>
        <v>0</v>
      </c>
      <c r="BF20">
        <f>(AS20-AR20)/(AS20-BD20)</f>
        <v>0</v>
      </c>
      <c r="BG20">
        <f>(AM20-AS20)/(AM20-BD20)</f>
        <v>0</v>
      </c>
      <c r="BH20">
        <f>(AS20-AR20)/(AS20-AL20)</f>
        <v>0</v>
      </c>
      <c r="BI20">
        <f>(AM20-AS20)/(AM20-AL20)</f>
        <v>0</v>
      </c>
      <c r="BJ20">
        <f>(BF20*BD20/AR20)</f>
        <v>0</v>
      </c>
      <c r="BK20">
        <f>(1-BJ20)</f>
        <v>0</v>
      </c>
      <c r="BL20">
        <v>1211</v>
      </c>
      <c r="BM20">
        <v>290</v>
      </c>
      <c r="BN20">
        <v>854.02</v>
      </c>
      <c r="BO20">
        <v>135</v>
      </c>
      <c r="BP20">
        <v>8118.76</v>
      </c>
      <c r="BQ20">
        <v>850.06</v>
      </c>
      <c r="BR20">
        <v>3.96</v>
      </c>
      <c r="BS20">
        <v>300</v>
      </c>
      <c r="BT20">
        <v>19.3</v>
      </c>
      <c r="BU20">
        <v>879.257022088825</v>
      </c>
      <c r="BV20">
        <v>1.85043100621219</v>
      </c>
      <c r="BW20">
        <v>-23.7015574963064</v>
      </c>
      <c r="BX20">
        <v>1.34141796524398</v>
      </c>
      <c r="BY20">
        <v>0.917694192479961</v>
      </c>
      <c r="BZ20">
        <v>-0.00537916729699666</v>
      </c>
      <c r="CA20">
        <v>290</v>
      </c>
      <c r="CB20">
        <v>841.85</v>
      </c>
      <c r="CC20">
        <v>615</v>
      </c>
      <c r="CD20">
        <v>8099.98</v>
      </c>
      <c r="CE20">
        <v>850</v>
      </c>
      <c r="CF20">
        <v>-8.15</v>
      </c>
      <c r="CT20">
        <f>$B$11*DR20+$C$11*DS20+$F$11*ED20*(1-EG20)</f>
        <v>0</v>
      </c>
      <c r="CU20">
        <f>CT20*CV20</f>
        <v>0</v>
      </c>
      <c r="CV20">
        <f>($B$11*$D$9+$C$11*$D$9+$F$11*((EQ20+EI20)/MAX(EQ20+EI20+ER20, 0.1)*$I$9+ER20/MAX(EQ20+EI20+ER20, 0.1)*$J$9))/($B$11+$C$11+$F$11)</f>
        <v>0</v>
      </c>
      <c r="CW20">
        <f>($B$11*$K$9+$C$11*$K$9+$F$11*((EQ20+EI20)/MAX(EQ20+EI20+ER20, 0.1)*$P$9+ER20/MAX(EQ20+EI20+ER20, 0.1)*$Q$9))/($B$11+$C$11+$F$11)</f>
        <v>0</v>
      </c>
      <c r="CX20">
        <v>2</v>
      </c>
      <c r="CY20">
        <v>0.5</v>
      </c>
      <c r="CZ20" t="s">
        <v>417</v>
      </c>
      <c r="DA20">
        <v>2</v>
      </c>
      <c r="DB20">
        <v>1792398022</v>
      </c>
      <c r="DC20">
        <v>99.34258</v>
      </c>
      <c r="DD20">
        <v>99.98214</v>
      </c>
      <c r="DE20">
        <v>17.07144</v>
      </c>
      <c r="DF20">
        <v>15.76224</v>
      </c>
      <c r="DG20">
        <v>99.29722</v>
      </c>
      <c r="DH20">
        <v>17.17258</v>
      </c>
      <c r="DI20">
        <v>500.095</v>
      </c>
      <c r="DJ20">
        <v>101.2978</v>
      </c>
      <c r="DK20">
        <v>0.10000314</v>
      </c>
      <c r="DL20">
        <v>24.75044</v>
      </c>
      <c r="DM20">
        <v>24.995</v>
      </c>
      <c r="DN20">
        <v>999.9</v>
      </c>
      <c r="DO20">
        <v>0</v>
      </c>
      <c r="DP20">
        <v>0</v>
      </c>
      <c r="DQ20">
        <v>9994.51</v>
      </c>
      <c r="DR20">
        <v>0</v>
      </c>
      <c r="DS20">
        <v>6.173474</v>
      </c>
      <c r="DT20">
        <v>-0.6395646</v>
      </c>
      <c r="DU20">
        <v>101.0678</v>
      </c>
      <c r="DV20">
        <v>101.5832</v>
      </c>
      <c r="DW20">
        <v>1.309182</v>
      </c>
      <c r="DX20">
        <v>99.98214</v>
      </c>
      <c r="DY20">
        <v>15.76224</v>
      </c>
      <c r="DZ20">
        <v>1.729304</v>
      </c>
      <c r="EA20">
        <v>1.596686</v>
      </c>
      <c r="EB20">
        <v>15.162</v>
      </c>
      <c r="EC20">
        <v>13.92686</v>
      </c>
      <c r="ED20">
        <v>1500.034</v>
      </c>
      <c r="EE20">
        <v>0.9729994</v>
      </c>
      <c r="EF20">
        <v>0.02700068</v>
      </c>
      <c r="EG20">
        <v>0</v>
      </c>
      <c r="EH20">
        <v>347.672</v>
      </c>
      <c r="EI20">
        <v>5.00064</v>
      </c>
      <c r="EJ20">
        <v>5391.964</v>
      </c>
      <c r="EK20">
        <v>15439.58</v>
      </c>
      <c r="EL20">
        <v>40.75</v>
      </c>
      <c r="EM20">
        <v>41.437</v>
      </c>
      <c r="EN20">
        <v>41.0998</v>
      </c>
      <c r="EO20">
        <v>41</v>
      </c>
      <c r="EP20">
        <v>42.2374</v>
      </c>
      <c r="EQ20">
        <v>1454.664</v>
      </c>
      <c r="ER20">
        <v>40.37</v>
      </c>
      <c r="ES20">
        <v>0</v>
      </c>
      <c r="ET20">
        <v>7546.19999980927</v>
      </c>
      <c r="EU20">
        <v>0</v>
      </c>
      <c r="EV20">
        <v>347.83596</v>
      </c>
      <c r="EW20">
        <v>-0.539153859104307</v>
      </c>
      <c r="EX20">
        <v>1.22999999710386</v>
      </c>
      <c r="EY20">
        <v>5391.8848</v>
      </c>
      <c r="EZ20">
        <v>15</v>
      </c>
      <c r="FA20">
        <v>1792397974</v>
      </c>
      <c r="FB20" t="s">
        <v>431</v>
      </c>
      <c r="FC20">
        <v>1792397974</v>
      </c>
      <c r="FD20">
        <v>1792397965</v>
      </c>
      <c r="FE20">
        <v>78</v>
      </c>
      <c r="FF20">
        <v>-0.284</v>
      </c>
      <c r="FG20">
        <v>-0.001</v>
      </c>
      <c r="FH20">
        <v>0.046</v>
      </c>
      <c r="FI20">
        <v>-0.15</v>
      </c>
      <c r="FJ20">
        <v>100</v>
      </c>
      <c r="FK20">
        <v>16</v>
      </c>
      <c r="FL20">
        <v>0.22</v>
      </c>
      <c r="FM20">
        <v>0.06</v>
      </c>
      <c r="FN20">
        <v>1.29250280069534</v>
      </c>
      <c r="FO20">
        <v>0.0453820577047317</v>
      </c>
      <c r="FP20">
        <v>0.0689046241652866</v>
      </c>
      <c r="FQ20">
        <v>1</v>
      </c>
      <c r="FR20">
        <v>-0.650326047619048</v>
      </c>
      <c r="FS20">
        <v>-0.0223743896103898</v>
      </c>
      <c r="FT20">
        <v>0.0271492189688171</v>
      </c>
      <c r="FU20">
        <v>1</v>
      </c>
      <c r="FV20">
        <v>347.870647058824</v>
      </c>
      <c r="FW20">
        <v>-0.886539345144543</v>
      </c>
      <c r="FX20">
        <v>0.216392872878302</v>
      </c>
      <c r="FY20">
        <v>1</v>
      </c>
      <c r="FZ20">
        <v>3</v>
      </c>
      <c r="GA20">
        <v>3</v>
      </c>
      <c r="GB20" t="s">
        <v>419</v>
      </c>
      <c r="GC20">
        <v>3.12377</v>
      </c>
      <c r="GD20">
        <v>2.76532</v>
      </c>
      <c r="GE20">
        <v>0.0264459</v>
      </c>
      <c r="GF20">
        <v>0.0273238</v>
      </c>
      <c r="GG20">
        <v>0.0919374</v>
      </c>
      <c r="GH20">
        <v>0.0898355</v>
      </c>
      <c r="GI20">
        <v>18971.6</v>
      </c>
      <c r="GJ20">
        <v>28602.8</v>
      </c>
      <c r="GK20">
        <v>22768.2</v>
      </c>
      <c r="GL20">
        <v>30130</v>
      </c>
      <c r="GM20">
        <v>33904.2</v>
      </c>
      <c r="GN20">
        <v>34165.4</v>
      </c>
      <c r="GO20">
        <v>43073</v>
      </c>
      <c r="GP20">
        <v>42920.9</v>
      </c>
      <c r="GQ20">
        <v>1.97815</v>
      </c>
      <c r="GR20">
        <v>1.82703</v>
      </c>
      <c r="GS20">
        <v>0.0904873</v>
      </c>
      <c r="GT20">
        <v>0</v>
      </c>
      <c r="GU20">
        <v>23.5265</v>
      </c>
      <c r="GV20">
        <v>999.9</v>
      </c>
      <c r="GW20">
        <v>40.459</v>
      </c>
      <c r="GX20">
        <v>32.015</v>
      </c>
      <c r="GY20">
        <v>19.0895</v>
      </c>
      <c r="GZ20">
        <v>63.3787</v>
      </c>
      <c r="HA20">
        <v>33.4495</v>
      </c>
      <c r="HB20">
        <v>1</v>
      </c>
      <c r="HC20">
        <v>0.0344004</v>
      </c>
      <c r="HD20">
        <v>2.20864</v>
      </c>
      <c r="HE20">
        <v>20.2274</v>
      </c>
      <c r="HF20">
        <v>5.23406</v>
      </c>
      <c r="HG20">
        <v>11.9622</v>
      </c>
      <c r="HH20">
        <v>4.96835</v>
      </c>
      <c r="HI20">
        <v>3.29503</v>
      </c>
      <c r="HJ20">
        <v>999.9</v>
      </c>
      <c r="HK20">
        <v>9999</v>
      </c>
      <c r="HL20">
        <v>9999</v>
      </c>
      <c r="HM20">
        <v>9999</v>
      </c>
      <c r="HN20">
        <v>4.96852</v>
      </c>
      <c r="HO20">
        <v>1.86234</v>
      </c>
      <c r="HP20">
        <v>1.86386</v>
      </c>
      <c r="HQ20">
        <v>1.86584</v>
      </c>
      <c r="HR20">
        <v>1.8628</v>
      </c>
      <c r="HS20">
        <v>1.86648</v>
      </c>
      <c r="HT20">
        <v>1.86325</v>
      </c>
      <c r="HU20">
        <v>1.86523</v>
      </c>
      <c r="HV20">
        <v>0</v>
      </c>
      <c r="HW20">
        <v>0</v>
      </c>
      <c r="HX20">
        <v>0</v>
      </c>
      <c r="HY20">
        <v>0</v>
      </c>
      <c r="HZ20" t="s">
        <v>420</v>
      </c>
      <c r="IA20" t="s">
        <v>421</v>
      </c>
      <c r="IB20" t="s">
        <v>422</v>
      </c>
      <c r="IC20" t="s">
        <v>422</v>
      </c>
      <c r="ID20" t="s">
        <v>422</v>
      </c>
      <c r="IE20" t="s">
        <v>422</v>
      </c>
      <c r="IF20">
        <v>0</v>
      </c>
      <c r="IG20">
        <v>100</v>
      </c>
      <c r="IH20">
        <v>100</v>
      </c>
      <c r="II20">
        <v>0.045</v>
      </c>
      <c r="IJ20">
        <v>-0.1012</v>
      </c>
      <c r="IK20">
        <v>0.021183964809585</v>
      </c>
      <c r="IL20">
        <v>0.000216929631606078</v>
      </c>
      <c r="IM20">
        <v>2.72263024731635e-07</v>
      </c>
      <c r="IN20">
        <v>-5.43792051235154e-11</v>
      </c>
      <c r="IO20">
        <v>0.00202640123516041</v>
      </c>
      <c r="IP20">
        <v>-0.0584433849545669</v>
      </c>
      <c r="IQ20">
        <v>0.00341568706061026</v>
      </c>
      <c r="IR20">
        <v>-2.10952612506686e-05</v>
      </c>
      <c r="IS20">
        <v>-0</v>
      </c>
      <c r="IT20">
        <v>1734</v>
      </c>
      <c r="IU20">
        <v>2</v>
      </c>
      <c r="IV20">
        <v>19</v>
      </c>
      <c r="IW20">
        <v>0.8</v>
      </c>
      <c r="IX20">
        <v>1</v>
      </c>
      <c r="IY20">
        <v>0.415039</v>
      </c>
      <c r="IZ20">
        <v>2.58301</v>
      </c>
      <c r="JA20">
        <v>1.34644</v>
      </c>
      <c r="JB20">
        <v>2.2583</v>
      </c>
      <c r="JC20">
        <v>1.55029</v>
      </c>
      <c r="JD20">
        <v>2.70264</v>
      </c>
      <c r="JE20">
        <v>35.8477</v>
      </c>
      <c r="JF20">
        <v>14.78</v>
      </c>
      <c r="JG20">
        <v>18</v>
      </c>
      <c r="JH20">
        <v>500.421</v>
      </c>
      <c r="JI20">
        <v>481.376</v>
      </c>
      <c r="JJ20">
        <v>21.0817</v>
      </c>
      <c r="JK20">
        <v>27.6464</v>
      </c>
      <c r="JL20">
        <v>30.0002</v>
      </c>
      <c r="JM20">
        <v>27.6197</v>
      </c>
      <c r="JN20">
        <v>27.6277</v>
      </c>
      <c r="JO20">
        <v>8.33071</v>
      </c>
      <c r="JP20">
        <v>26.6769</v>
      </c>
      <c r="JQ20">
        <v>32.0777</v>
      </c>
      <c r="JR20">
        <v>21.0699</v>
      </c>
      <c r="JS20">
        <v>100</v>
      </c>
      <c r="JT20">
        <v>15.7069</v>
      </c>
      <c r="JU20">
        <v>101.711</v>
      </c>
      <c r="JV20">
        <v>97.456</v>
      </c>
    </row>
    <row r="21" spans="1:282">
      <c r="A21">
        <v>5</v>
      </c>
      <c r="B21">
        <v>1792398146</v>
      </c>
      <c r="C21">
        <v>488</v>
      </c>
      <c r="D21" t="s">
        <v>432</v>
      </c>
      <c r="E21" t="s">
        <v>433</v>
      </c>
      <c r="F21">
        <v>5</v>
      </c>
      <c r="G21">
        <v>1792398143</v>
      </c>
      <c r="H21">
        <f>(I21)/1000</f>
        <v>0</v>
      </c>
      <c r="I21">
        <f>1000*DI21*AG21*(DE21-DF21)/(100*CX21*(1000-AG21*DE21))</f>
        <v>0</v>
      </c>
      <c r="J21">
        <f>DI21*AG21*(DD21-DC21*(1000-AG21*DF21)/(1000-AG21*DE21))/(100*CX21)</f>
        <v>0</v>
      </c>
      <c r="K21">
        <f>DC21 - IF(AG21&gt;1, J21*CX21*100.0/(AI21), 0)</f>
        <v>0</v>
      </c>
      <c r="L21">
        <f>((R21-H21/2)*K21-J21)/(R21+H21/2)</f>
        <v>0</v>
      </c>
      <c r="M21">
        <f>L21*(DJ21+DK21)/1000.0</f>
        <v>0</v>
      </c>
      <c r="N21">
        <f>(DC21 - IF(AG21&gt;1, J21*CX21*100.0/(AI21), 0))*(DJ21+DK21)/1000.0</f>
        <v>0</v>
      </c>
      <c r="O21">
        <f>2.0/((1/Q21-1/P21)+SIGN(Q21)*SQRT((1/Q21-1/P21)*(1/Q21-1/P21) + 4*CY21/((CY21+1)*(CY21+1))*(2*1/Q21*1/P21-1/P21*1/P21)))</f>
        <v>0</v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>0</v>
      </c>
      <c r="Q21">
        <f>H21*(1000-(1000*0.61365*exp(17.502*U21/(240.97+U21))/(DJ21+DK21)+DE21)/2)/(1000*0.61365*exp(17.502*U21/(240.97+U21))/(DJ21+DK21)-DE21)</f>
        <v>0</v>
      </c>
      <c r="R21">
        <f>1/((CY21+1)/(O21/1.6)+1/(P21/1.37)) + CY21/((CY21+1)/(O21/1.6) + CY21/(P21/1.37))</f>
        <v>0</v>
      </c>
      <c r="S21">
        <f>(CT21*CW21)</f>
        <v>0</v>
      </c>
      <c r="T21">
        <f>(DL21+(S21+2*0.95*5.67E-8*(((DL21+$B$7)+273)^4-(DL21+273)^4)-44100*H21)/(1.84*29.3*P21+8*0.95*5.67E-8*(DL21+273)^3))</f>
        <v>0</v>
      </c>
      <c r="U21">
        <f>($C$7*DM21+$D$7*DN21+$E$7*T21)</f>
        <v>0</v>
      </c>
      <c r="V21">
        <f>0.61365*exp(17.502*U21/(240.97+U21))</f>
        <v>0</v>
      </c>
      <c r="W21">
        <f>(X21/Y21*100)</f>
        <v>0</v>
      </c>
      <c r="X21">
        <f>DE21*(DJ21+DK21)/1000</f>
        <v>0</v>
      </c>
      <c r="Y21">
        <f>0.61365*exp(17.502*DL21/(240.97+DL21))</f>
        <v>0</v>
      </c>
      <c r="Z21">
        <f>(V21-DE21*(DJ21+DK21)/1000)</f>
        <v>0</v>
      </c>
      <c r="AA21">
        <f>(-H21*44100)</f>
        <v>0</v>
      </c>
      <c r="AB21">
        <f>2*29.3*P21*0.92*(DL21-U21)</f>
        <v>0</v>
      </c>
      <c r="AC21">
        <f>2*0.95*5.67E-8*(((DL21+$B$7)+273)^4-(U21+273)^4)</f>
        <v>0</v>
      </c>
      <c r="AD21">
        <f>S21+AC21+AA21+AB21</f>
        <v>0</v>
      </c>
      <c r="AE21">
        <v>0</v>
      </c>
      <c r="AF21">
        <v>0</v>
      </c>
      <c r="AG21">
        <f>IF(AE21*$H$13&gt;=AI21,1.0,(AI21/(AI21-AE21*$H$13)))</f>
        <v>0</v>
      </c>
      <c r="AH21">
        <f>(AG21-1)*100</f>
        <v>0</v>
      </c>
      <c r="AI21">
        <f>MAX(0,($B$13+$C$13*DQ21)/(1+$D$13*DQ21)*DJ21/(DL21+273)*$E$13)</f>
        <v>0</v>
      </c>
      <c r="AJ21" t="s">
        <v>416</v>
      </c>
      <c r="AK21" t="s">
        <v>416</v>
      </c>
      <c r="AL21">
        <v>0</v>
      </c>
      <c r="AM21">
        <v>0</v>
      </c>
      <c r="AN21">
        <f>1-AL21/AM21</f>
        <v>0</v>
      </c>
      <c r="AO21">
        <v>0</v>
      </c>
      <c r="AP21" t="s">
        <v>416</v>
      </c>
      <c r="AQ21" t="s">
        <v>416</v>
      </c>
      <c r="AR21">
        <v>0</v>
      </c>
      <c r="AS21">
        <v>0</v>
      </c>
      <c r="AT21">
        <f>1-AR21/AS21</f>
        <v>0</v>
      </c>
      <c r="AU21">
        <v>0.5</v>
      </c>
      <c r="AV21">
        <f>CU21</f>
        <v>0</v>
      </c>
      <c r="AW21">
        <f>J21</f>
        <v>0</v>
      </c>
      <c r="AX21">
        <f>AT21*AU21*AV21</f>
        <v>0</v>
      </c>
      <c r="AY21">
        <f>(AW21-AO21)/AV21</f>
        <v>0</v>
      </c>
      <c r="AZ21">
        <f>(AM21-AS21)/AS21</f>
        <v>0</v>
      </c>
      <c r="BA21">
        <f>AL21/(AN21+AL21/AS21)</f>
        <v>0</v>
      </c>
      <c r="BB21" t="s">
        <v>416</v>
      </c>
      <c r="BC21">
        <v>0</v>
      </c>
      <c r="BD21">
        <f>IF(BC21&lt;&gt;0, BC21, BA21)</f>
        <v>0</v>
      </c>
      <c r="BE21">
        <f>1-BD21/AS21</f>
        <v>0</v>
      </c>
      <c r="BF21">
        <f>(AS21-AR21)/(AS21-BD21)</f>
        <v>0</v>
      </c>
      <c r="BG21">
        <f>(AM21-AS21)/(AM21-BD21)</f>
        <v>0</v>
      </c>
      <c r="BH21">
        <f>(AS21-AR21)/(AS21-AL21)</f>
        <v>0</v>
      </c>
      <c r="BI21">
        <f>(AM21-AS21)/(AM21-AL21)</f>
        <v>0</v>
      </c>
      <c r="BJ21">
        <f>(BF21*BD21/AR21)</f>
        <v>0</v>
      </c>
      <c r="BK21">
        <f>(1-BJ21)</f>
        <v>0</v>
      </c>
      <c r="BL21">
        <v>1211</v>
      </c>
      <c r="BM21">
        <v>290</v>
      </c>
      <c r="BN21">
        <v>854.02</v>
      </c>
      <c r="BO21">
        <v>135</v>
      </c>
      <c r="BP21">
        <v>8118.76</v>
      </c>
      <c r="BQ21">
        <v>850.06</v>
      </c>
      <c r="BR21">
        <v>3.96</v>
      </c>
      <c r="BS21">
        <v>300</v>
      </c>
      <c r="BT21">
        <v>19.3</v>
      </c>
      <c r="BU21">
        <v>879.257022088825</v>
      </c>
      <c r="BV21">
        <v>1.85043100621219</v>
      </c>
      <c r="BW21">
        <v>-23.7015574963064</v>
      </c>
      <c r="BX21">
        <v>1.34141796524398</v>
      </c>
      <c r="BY21">
        <v>0.917694192479961</v>
      </c>
      <c r="BZ21">
        <v>-0.00537916729699666</v>
      </c>
      <c r="CA21">
        <v>290</v>
      </c>
      <c r="CB21">
        <v>841.85</v>
      </c>
      <c r="CC21">
        <v>615</v>
      </c>
      <c r="CD21">
        <v>8099.98</v>
      </c>
      <c r="CE21">
        <v>850</v>
      </c>
      <c r="CF21">
        <v>-8.15</v>
      </c>
      <c r="CT21">
        <f>$B$11*DR21+$C$11*DS21+$F$11*ED21*(1-EG21)</f>
        <v>0</v>
      </c>
      <c r="CU21">
        <f>CT21*CV21</f>
        <v>0</v>
      </c>
      <c r="CV21">
        <f>($B$11*$D$9+$C$11*$D$9+$F$11*((EQ21+EI21)/MAX(EQ21+EI21+ER21, 0.1)*$I$9+ER21/MAX(EQ21+EI21+ER21, 0.1)*$J$9))/($B$11+$C$11+$F$11)</f>
        <v>0</v>
      </c>
      <c r="CW21">
        <f>($B$11*$K$9+$C$11*$K$9+$F$11*((EQ21+EI21)/MAX(EQ21+EI21+ER21, 0.1)*$P$9+ER21/MAX(EQ21+EI21+ER21, 0.1)*$Q$9))/($B$11+$C$11+$F$11)</f>
        <v>0</v>
      </c>
      <c r="CX21">
        <v>2</v>
      </c>
      <c r="CY21">
        <v>0.5</v>
      </c>
      <c r="CZ21" t="s">
        <v>417</v>
      </c>
      <c r="DA21">
        <v>2</v>
      </c>
      <c r="DB21">
        <v>1792398143</v>
      </c>
      <c r="DC21">
        <v>50.27114</v>
      </c>
      <c r="DD21">
        <v>50.00802</v>
      </c>
      <c r="DE21">
        <v>17.00596</v>
      </c>
      <c r="DF21">
        <v>15.7671</v>
      </c>
      <c r="DG21">
        <v>50.2961</v>
      </c>
      <c r="DH21">
        <v>17.10988</v>
      </c>
      <c r="DI21">
        <v>500.0164</v>
      </c>
      <c r="DJ21">
        <v>101.2974</v>
      </c>
      <c r="DK21">
        <v>0.0998968</v>
      </c>
      <c r="DL21">
        <v>24.71792</v>
      </c>
      <c r="DM21">
        <v>25.01724</v>
      </c>
      <c r="DN21">
        <v>999.9</v>
      </c>
      <c r="DO21">
        <v>0</v>
      </c>
      <c r="DP21">
        <v>0</v>
      </c>
      <c r="DQ21">
        <v>10009.996</v>
      </c>
      <c r="DR21">
        <v>0</v>
      </c>
      <c r="DS21">
        <v>6.01525</v>
      </c>
      <c r="DT21">
        <v>0.2631004</v>
      </c>
      <c r="DU21">
        <v>51.14082</v>
      </c>
      <c r="DV21">
        <v>50.80914</v>
      </c>
      <c r="DW21">
        <v>1.238874</v>
      </c>
      <c r="DX21">
        <v>50.00802</v>
      </c>
      <c r="DY21">
        <v>15.7671</v>
      </c>
      <c r="DZ21">
        <v>1.722664</v>
      </c>
      <c r="EA21">
        <v>1.597168</v>
      </c>
      <c r="EB21">
        <v>15.10214</v>
      </c>
      <c r="EC21">
        <v>13.93148</v>
      </c>
      <c r="ED21">
        <v>1499.986</v>
      </c>
      <c r="EE21">
        <v>0.9729986</v>
      </c>
      <c r="EF21">
        <v>0.02700142</v>
      </c>
      <c r="EG21">
        <v>0</v>
      </c>
      <c r="EH21">
        <v>349.2186</v>
      </c>
      <c r="EI21">
        <v>5.00064</v>
      </c>
      <c r="EJ21">
        <v>5412.944</v>
      </c>
      <c r="EK21">
        <v>15439.1</v>
      </c>
      <c r="EL21">
        <v>40.75</v>
      </c>
      <c r="EM21">
        <v>41.437</v>
      </c>
      <c r="EN21">
        <v>41.125</v>
      </c>
      <c r="EO21">
        <v>41</v>
      </c>
      <c r="EP21">
        <v>42.25</v>
      </c>
      <c r="EQ21">
        <v>1454.616</v>
      </c>
      <c r="ER21">
        <v>40.37</v>
      </c>
      <c r="ES21">
        <v>0</v>
      </c>
      <c r="ET21">
        <v>7666.79999995232</v>
      </c>
      <c r="EU21">
        <v>0</v>
      </c>
      <c r="EV21">
        <v>349.253192307692</v>
      </c>
      <c r="EW21">
        <v>0.0101538479223179</v>
      </c>
      <c r="EX21">
        <v>2.60752134556518</v>
      </c>
      <c r="EY21">
        <v>5412.45115384615</v>
      </c>
      <c r="EZ21">
        <v>15</v>
      </c>
      <c r="FA21">
        <v>1792398091</v>
      </c>
      <c r="FB21" t="s">
        <v>434</v>
      </c>
      <c r="FC21">
        <v>1792398091</v>
      </c>
      <c r="FD21">
        <v>1792398085</v>
      </c>
      <c r="FE21">
        <v>79</v>
      </c>
      <c r="FF21">
        <v>-0.058</v>
      </c>
      <c r="FG21">
        <v>-0</v>
      </c>
      <c r="FH21">
        <v>-0.025</v>
      </c>
      <c r="FI21">
        <v>-0.15</v>
      </c>
      <c r="FJ21">
        <v>50</v>
      </c>
      <c r="FK21">
        <v>16</v>
      </c>
      <c r="FL21">
        <v>0.26</v>
      </c>
      <c r="FM21">
        <v>0.05</v>
      </c>
      <c r="FN21">
        <v>-0.849368202626633</v>
      </c>
      <c r="FO21">
        <v>-0.0095000623069364</v>
      </c>
      <c r="FP21">
        <v>0.0824832277899279</v>
      </c>
      <c r="FQ21">
        <v>1</v>
      </c>
      <c r="FR21">
        <v>0.27628975</v>
      </c>
      <c r="FS21">
        <v>-0.0314773082706764</v>
      </c>
      <c r="FT21">
        <v>0.0336089851496218</v>
      </c>
      <c r="FU21">
        <v>1</v>
      </c>
      <c r="FV21">
        <v>349.306147058824</v>
      </c>
      <c r="FW21">
        <v>-0.804568371388754</v>
      </c>
      <c r="FX21">
        <v>0.173256208165308</v>
      </c>
      <c r="FY21">
        <v>1</v>
      </c>
      <c r="FZ21">
        <v>3</v>
      </c>
      <c r="GA21">
        <v>3</v>
      </c>
      <c r="GB21" t="s">
        <v>419</v>
      </c>
      <c r="GC21">
        <v>3.12356</v>
      </c>
      <c r="GD21">
        <v>2.76535</v>
      </c>
      <c r="GE21">
        <v>0.0137571</v>
      </c>
      <c r="GF21">
        <v>0.0140605</v>
      </c>
      <c r="GG21">
        <v>0.0916916</v>
      </c>
      <c r="GH21">
        <v>0.0898495</v>
      </c>
      <c r="GI21">
        <v>19219</v>
      </c>
      <c r="GJ21">
        <v>28992.9</v>
      </c>
      <c r="GK21">
        <v>22768.3</v>
      </c>
      <c r="GL21">
        <v>30129.9</v>
      </c>
      <c r="GM21">
        <v>33913.1</v>
      </c>
      <c r="GN21">
        <v>34163.7</v>
      </c>
      <c r="GO21">
        <v>43073.3</v>
      </c>
      <c r="GP21">
        <v>42920.5</v>
      </c>
      <c r="GQ21">
        <v>1.97773</v>
      </c>
      <c r="GR21">
        <v>1.82733</v>
      </c>
      <c r="GS21">
        <v>0.0933632</v>
      </c>
      <c r="GT21">
        <v>0</v>
      </c>
      <c r="GU21">
        <v>23.483</v>
      </c>
      <c r="GV21">
        <v>999.9</v>
      </c>
      <c r="GW21">
        <v>40.538</v>
      </c>
      <c r="GX21">
        <v>32.005</v>
      </c>
      <c r="GY21">
        <v>19.1149</v>
      </c>
      <c r="GZ21">
        <v>63.0987</v>
      </c>
      <c r="HA21">
        <v>33.9663</v>
      </c>
      <c r="HB21">
        <v>1</v>
      </c>
      <c r="HC21">
        <v>0.034718</v>
      </c>
      <c r="HD21">
        <v>2.21005</v>
      </c>
      <c r="HE21">
        <v>20.2262</v>
      </c>
      <c r="HF21">
        <v>5.22942</v>
      </c>
      <c r="HG21">
        <v>11.962</v>
      </c>
      <c r="HH21">
        <v>4.96935</v>
      </c>
      <c r="HI21">
        <v>3.29503</v>
      </c>
      <c r="HJ21">
        <v>999.9</v>
      </c>
      <c r="HK21">
        <v>9999</v>
      </c>
      <c r="HL21">
        <v>9999</v>
      </c>
      <c r="HM21">
        <v>9999</v>
      </c>
      <c r="HN21">
        <v>4.96852</v>
      </c>
      <c r="HO21">
        <v>1.86234</v>
      </c>
      <c r="HP21">
        <v>1.86386</v>
      </c>
      <c r="HQ21">
        <v>1.86583</v>
      </c>
      <c r="HR21">
        <v>1.86284</v>
      </c>
      <c r="HS21">
        <v>1.86652</v>
      </c>
      <c r="HT21">
        <v>1.86325</v>
      </c>
      <c r="HU21">
        <v>1.86523</v>
      </c>
      <c r="HV21">
        <v>0</v>
      </c>
      <c r="HW21">
        <v>0</v>
      </c>
      <c r="HX21">
        <v>0</v>
      </c>
      <c r="HY21">
        <v>0</v>
      </c>
      <c r="HZ21" t="s">
        <v>420</v>
      </c>
      <c r="IA21" t="s">
        <v>421</v>
      </c>
      <c r="IB21" t="s">
        <v>422</v>
      </c>
      <c r="IC21" t="s">
        <v>422</v>
      </c>
      <c r="ID21" t="s">
        <v>422</v>
      </c>
      <c r="IE21" t="s">
        <v>422</v>
      </c>
      <c r="IF21">
        <v>0</v>
      </c>
      <c r="IG21">
        <v>100</v>
      </c>
      <c r="IH21">
        <v>100</v>
      </c>
      <c r="II21">
        <v>-0.025</v>
      </c>
      <c r="IJ21">
        <v>-0.1039</v>
      </c>
      <c r="IK21">
        <v>-0.0365881431552077</v>
      </c>
      <c r="IL21">
        <v>0.000216929631606078</v>
      </c>
      <c r="IM21">
        <v>2.72263024731635e-07</v>
      </c>
      <c r="IN21">
        <v>-5.43792051235154e-11</v>
      </c>
      <c r="IO21">
        <v>0.00177654414791149</v>
      </c>
      <c r="IP21">
        <v>-0.0584433849545669</v>
      </c>
      <c r="IQ21">
        <v>0.00341568706061026</v>
      </c>
      <c r="IR21">
        <v>-2.10952612506686e-05</v>
      </c>
      <c r="IS21">
        <v>-0</v>
      </c>
      <c r="IT21">
        <v>1734</v>
      </c>
      <c r="IU21">
        <v>2</v>
      </c>
      <c r="IV21">
        <v>19</v>
      </c>
      <c r="IW21">
        <v>0.9</v>
      </c>
      <c r="IX21">
        <v>1</v>
      </c>
      <c r="IY21">
        <v>0.302734</v>
      </c>
      <c r="IZ21">
        <v>2.59277</v>
      </c>
      <c r="JA21">
        <v>1.34644</v>
      </c>
      <c r="JB21">
        <v>2.2583</v>
      </c>
      <c r="JC21">
        <v>1.55029</v>
      </c>
      <c r="JD21">
        <v>2.59888</v>
      </c>
      <c r="JE21">
        <v>35.8477</v>
      </c>
      <c r="JF21">
        <v>14.7537</v>
      </c>
      <c r="JG21">
        <v>18</v>
      </c>
      <c r="JH21">
        <v>500.177</v>
      </c>
      <c r="JI21">
        <v>481.627</v>
      </c>
      <c r="JJ21">
        <v>21.0587</v>
      </c>
      <c r="JK21">
        <v>27.6487</v>
      </c>
      <c r="JL21">
        <v>30.0002</v>
      </c>
      <c r="JM21">
        <v>27.622</v>
      </c>
      <c r="JN21">
        <v>27.6324</v>
      </c>
      <c r="JO21">
        <v>6.09591</v>
      </c>
      <c r="JP21">
        <v>26.4539</v>
      </c>
      <c r="JQ21">
        <v>32.0777</v>
      </c>
      <c r="JR21">
        <v>21.0456</v>
      </c>
      <c r="JS21">
        <v>50</v>
      </c>
      <c r="JT21">
        <v>15.718</v>
      </c>
      <c r="JU21">
        <v>101.712</v>
      </c>
      <c r="JV21">
        <v>97.4553</v>
      </c>
    </row>
    <row r="22" spans="1:282">
      <c r="A22">
        <v>6</v>
      </c>
      <c r="B22">
        <v>1792398291</v>
      </c>
      <c r="C22">
        <v>633</v>
      </c>
      <c r="D22" t="s">
        <v>435</v>
      </c>
      <c r="E22" t="s">
        <v>436</v>
      </c>
      <c r="F22">
        <v>5</v>
      </c>
      <c r="G22">
        <v>1792398287.5</v>
      </c>
      <c r="H22">
        <f>(I22)/1000</f>
        <v>0</v>
      </c>
      <c r="I22">
        <f>1000*DI22*AG22*(DE22-DF22)/(100*CX22*(1000-AG22*DE22))</f>
        <v>0</v>
      </c>
      <c r="J22">
        <f>DI22*AG22*(DD22-DC22*(1000-AG22*DF22)/(1000-AG22*DE22))/(100*CX22)</f>
        <v>0</v>
      </c>
      <c r="K22">
        <f>DC22 - IF(AG22&gt;1, J22*CX22*100.0/(AI22), 0)</f>
        <v>0</v>
      </c>
      <c r="L22">
        <f>((R22-H22/2)*K22-J22)/(R22+H22/2)</f>
        <v>0</v>
      </c>
      <c r="M22">
        <f>L22*(DJ22+DK22)/1000.0</f>
        <v>0</v>
      </c>
      <c r="N22">
        <f>(DC22 - IF(AG22&gt;1, J22*CX22*100.0/(AI22), 0))*(DJ22+DK22)/1000.0</f>
        <v>0</v>
      </c>
      <c r="O22">
        <f>2.0/((1/Q22-1/P22)+SIGN(Q22)*SQRT((1/Q22-1/P22)*(1/Q22-1/P22) + 4*CY22/((CY22+1)*(CY22+1))*(2*1/Q22*1/P22-1/P22*1/P22)))</f>
        <v>0</v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>0</v>
      </c>
      <c r="Q22">
        <f>H22*(1000-(1000*0.61365*exp(17.502*U22/(240.97+U22))/(DJ22+DK22)+DE22)/2)/(1000*0.61365*exp(17.502*U22/(240.97+U22))/(DJ22+DK22)-DE22)</f>
        <v>0</v>
      </c>
      <c r="R22">
        <f>1/((CY22+1)/(O22/1.6)+1/(P22/1.37)) + CY22/((CY22+1)/(O22/1.6) + CY22/(P22/1.37))</f>
        <v>0</v>
      </c>
      <c r="S22">
        <f>(CT22*CW22)</f>
        <v>0</v>
      </c>
      <c r="T22">
        <f>(DL22+(S22+2*0.95*5.67E-8*(((DL22+$B$7)+273)^4-(DL22+273)^4)-44100*H22)/(1.84*29.3*P22+8*0.95*5.67E-8*(DL22+273)^3))</f>
        <v>0</v>
      </c>
      <c r="U22">
        <f>($C$7*DM22+$D$7*DN22+$E$7*T22)</f>
        <v>0</v>
      </c>
      <c r="V22">
        <f>0.61365*exp(17.502*U22/(240.97+U22))</f>
        <v>0</v>
      </c>
      <c r="W22">
        <f>(X22/Y22*100)</f>
        <v>0</v>
      </c>
      <c r="X22">
        <f>DE22*(DJ22+DK22)/1000</f>
        <v>0</v>
      </c>
      <c r="Y22">
        <f>0.61365*exp(17.502*DL22/(240.97+DL22))</f>
        <v>0</v>
      </c>
      <c r="Z22">
        <f>(V22-DE22*(DJ22+DK22)/1000)</f>
        <v>0</v>
      </c>
      <c r="AA22">
        <f>(-H22*44100)</f>
        <v>0</v>
      </c>
      <c r="AB22">
        <f>2*29.3*P22*0.92*(DL22-U22)</f>
        <v>0</v>
      </c>
      <c r="AC22">
        <f>2*0.95*5.67E-8*(((DL22+$B$7)+273)^4-(U22+273)^4)</f>
        <v>0</v>
      </c>
      <c r="AD22">
        <f>S22+AC22+AA22+AB22</f>
        <v>0</v>
      </c>
      <c r="AE22">
        <v>0</v>
      </c>
      <c r="AF22">
        <v>0</v>
      </c>
      <c r="AG22">
        <f>IF(AE22*$H$13&gt;=AI22,1.0,(AI22/(AI22-AE22*$H$13)))</f>
        <v>0</v>
      </c>
      <c r="AH22">
        <f>(AG22-1)*100</f>
        <v>0</v>
      </c>
      <c r="AI22">
        <f>MAX(0,($B$13+$C$13*DQ22)/(1+$D$13*DQ22)*DJ22/(DL22+273)*$E$13)</f>
        <v>0</v>
      </c>
      <c r="AJ22" t="s">
        <v>416</v>
      </c>
      <c r="AK22" t="s">
        <v>416</v>
      </c>
      <c r="AL22">
        <v>0</v>
      </c>
      <c r="AM22">
        <v>0</v>
      </c>
      <c r="AN22">
        <f>1-AL22/AM22</f>
        <v>0</v>
      </c>
      <c r="AO22">
        <v>0</v>
      </c>
      <c r="AP22" t="s">
        <v>416</v>
      </c>
      <c r="AQ22" t="s">
        <v>416</v>
      </c>
      <c r="AR22">
        <v>0</v>
      </c>
      <c r="AS22">
        <v>0</v>
      </c>
      <c r="AT22">
        <f>1-AR22/AS22</f>
        <v>0</v>
      </c>
      <c r="AU22">
        <v>0.5</v>
      </c>
      <c r="AV22">
        <f>CU22</f>
        <v>0</v>
      </c>
      <c r="AW22">
        <f>J22</f>
        <v>0</v>
      </c>
      <c r="AX22">
        <f>AT22*AU22*AV22</f>
        <v>0</v>
      </c>
      <c r="AY22">
        <f>(AW22-AO22)/AV22</f>
        <v>0</v>
      </c>
      <c r="AZ22">
        <f>(AM22-AS22)/AS22</f>
        <v>0</v>
      </c>
      <c r="BA22">
        <f>AL22/(AN22+AL22/AS22)</f>
        <v>0</v>
      </c>
      <c r="BB22" t="s">
        <v>416</v>
      </c>
      <c r="BC22">
        <v>0</v>
      </c>
      <c r="BD22">
        <f>IF(BC22&lt;&gt;0, BC22, BA22)</f>
        <v>0</v>
      </c>
      <c r="BE22">
        <f>1-BD22/AS22</f>
        <v>0</v>
      </c>
      <c r="BF22">
        <f>(AS22-AR22)/(AS22-BD22)</f>
        <v>0</v>
      </c>
      <c r="BG22">
        <f>(AM22-AS22)/(AM22-BD22)</f>
        <v>0</v>
      </c>
      <c r="BH22">
        <f>(AS22-AR22)/(AS22-AL22)</f>
        <v>0</v>
      </c>
      <c r="BI22">
        <f>(AM22-AS22)/(AM22-AL22)</f>
        <v>0</v>
      </c>
      <c r="BJ22">
        <f>(BF22*BD22/AR22)</f>
        <v>0</v>
      </c>
      <c r="BK22">
        <f>(1-BJ22)</f>
        <v>0</v>
      </c>
      <c r="BL22">
        <v>1211</v>
      </c>
      <c r="BM22">
        <v>290</v>
      </c>
      <c r="BN22">
        <v>854.02</v>
      </c>
      <c r="BO22">
        <v>135</v>
      </c>
      <c r="BP22">
        <v>8118.76</v>
      </c>
      <c r="BQ22">
        <v>850.06</v>
      </c>
      <c r="BR22">
        <v>3.96</v>
      </c>
      <c r="BS22">
        <v>300</v>
      </c>
      <c r="BT22">
        <v>19.3</v>
      </c>
      <c r="BU22">
        <v>879.257022088825</v>
      </c>
      <c r="BV22">
        <v>1.85043100621219</v>
      </c>
      <c r="BW22">
        <v>-23.7015574963064</v>
      </c>
      <c r="BX22">
        <v>1.34141796524398</v>
      </c>
      <c r="BY22">
        <v>0.917694192479961</v>
      </c>
      <c r="BZ22">
        <v>-0.00537916729699666</v>
      </c>
      <c r="CA22">
        <v>290</v>
      </c>
      <c r="CB22">
        <v>841.85</v>
      </c>
      <c r="CC22">
        <v>615</v>
      </c>
      <c r="CD22">
        <v>8099.98</v>
      </c>
      <c r="CE22">
        <v>850</v>
      </c>
      <c r="CF22">
        <v>-8.15</v>
      </c>
      <c r="CT22">
        <f>$B$11*DR22+$C$11*DS22+$F$11*ED22*(1-EG22)</f>
        <v>0</v>
      </c>
      <c r="CU22">
        <f>CT22*CV22</f>
        <v>0</v>
      </c>
      <c r="CV22">
        <f>($B$11*$D$9+$C$11*$D$9+$F$11*((EQ22+EI22)/MAX(EQ22+EI22+ER22, 0.1)*$I$9+ER22/MAX(EQ22+EI22+ER22, 0.1)*$J$9))/($B$11+$C$11+$F$11)</f>
        <v>0</v>
      </c>
      <c r="CW22">
        <f>($B$11*$K$9+$C$11*$K$9+$F$11*((EQ22+EI22)/MAX(EQ22+EI22+ER22, 0.1)*$P$9+ER22/MAX(EQ22+EI22+ER22, 0.1)*$Q$9))/($B$11+$C$11+$F$11)</f>
        <v>0</v>
      </c>
      <c r="CX22">
        <v>2</v>
      </c>
      <c r="CY22">
        <v>0.5</v>
      </c>
      <c r="CZ22" t="s">
        <v>417</v>
      </c>
      <c r="DA22">
        <v>2</v>
      </c>
      <c r="DB22">
        <v>1792398287.5</v>
      </c>
      <c r="DC22">
        <v>394.906166666667</v>
      </c>
      <c r="DD22">
        <v>399.988666666667</v>
      </c>
      <c r="DE22">
        <v>16.9462333333333</v>
      </c>
      <c r="DF22">
        <v>15.7779333333333</v>
      </c>
      <c r="DG22">
        <v>394.041666666667</v>
      </c>
      <c r="DH22">
        <v>17.0466</v>
      </c>
      <c r="DI22">
        <v>500.044</v>
      </c>
      <c r="DJ22">
        <v>101.290833333333</v>
      </c>
      <c r="DK22">
        <v>0.0999016833333333</v>
      </c>
      <c r="DL22">
        <v>24.7203</v>
      </c>
      <c r="DM22">
        <v>25.016</v>
      </c>
      <c r="DN22">
        <v>999.9</v>
      </c>
      <c r="DO22">
        <v>0</v>
      </c>
      <c r="DP22">
        <v>0</v>
      </c>
      <c r="DQ22">
        <v>10003.75</v>
      </c>
      <c r="DR22">
        <v>0</v>
      </c>
      <c r="DS22">
        <v>6.16529</v>
      </c>
      <c r="DT22">
        <v>-5.082485</v>
      </c>
      <c r="DU22">
        <v>401.713833333333</v>
      </c>
      <c r="DV22">
        <v>406.401</v>
      </c>
      <c r="DW22">
        <v>1.16831</v>
      </c>
      <c r="DX22">
        <v>399.988666666667</v>
      </c>
      <c r="DY22">
        <v>15.7779333333333</v>
      </c>
      <c r="DZ22">
        <v>1.71649833333333</v>
      </c>
      <c r="EA22">
        <v>1.59816</v>
      </c>
      <c r="EB22">
        <v>15.0464333333333</v>
      </c>
      <c r="EC22">
        <v>13.94105</v>
      </c>
      <c r="ED22">
        <v>1499.99166666667</v>
      </c>
      <c r="EE22">
        <v>0.972999</v>
      </c>
      <c r="EF22">
        <v>0.0270010333333333</v>
      </c>
      <c r="EG22">
        <v>0</v>
      </c>
      <c r="EH22">
        <v>344.9735</v>
      </c>
      <c r="EI22">
        <v>5.00064</v>
      </c>
      <c r="EJ22">
        <v>5352.09</v>
      </c>
      <c r="EK22">
        <v>15439.1</v>
      </c>
      <c r="EL22">
        <v>40.75</v>
      </c>
      <c r="EM22">
        <v>41.437</v>
      </c>
      <c r="EN22">
        <v>41.1145</v>
      </c>
      <c r="EO22">
        <v>41</v>
      </c>
      <c r="EP22">
        <v>42.208</v>
      </c>
      <c r="EQ22">
        <v>1454.62166666667</v>
      </c>
      <c r="ER22">
        <v>40.37</v>
      </c>
      <c r="ES22">
        <v>0</v>
      </c>
      <c r="ET22">
        <v>7812</v>
      </c>
      <c r="EU22">
        <v>0</v>
      </c>
      <c r="EV22">
        <v>344.941384615385</v>
      </c>
      <c r="EW22">
        <v>0.860102539221963</v>
      </c>
      <c r="EX22">
        <v>9.94735041710795</v>
      </c>
      <c r="EY22">
        <v>5351.41153846154</v>
      </c>
      <c r="EZ22">
        <v>15</v>
      </c>
      <c r="FA22">
        <v>1792398213</v>
      </c>
      <c r="FB22" t="s">
        <v>437</v>
      </c>
      <c r="FC22">
        <v>1792398213</v>
      </c>
      <c r="FD22">
        <v>1792398208</v>
      </c>
      <c r="FE22">
        <v>80</v>
      </c>
      <c r="FF22">
        <v>0.777</v>
      </c>
      <c r="FG22">
        <v>0.006</v>
      </c>
      <c r="FH22">
        <v>0.867</v>
      </c>
      <c r="FI22">
        <v>-0.143</v>
      </c>
      <c r="FJ22">
        <v>400</v>
      </c>
      <c r="FK22">
        <v>16</v>
      </c>
      <c r="FL22">
        <v>0.2</v>
      </c>
      <c r="FM22">
        <v>0.06</v>
      </c>
      <c r="FN22">
        <v>11.5247537113588</v>
      </c>
      <c r="FO22">
        <v>-0.393729882694821</v>
      </c>
      <c r="FP22">
        <v>0.0813238811592707</v>
      </c>
      <c r="FQ22">
        <v>1</v>
      </c>
      <c r="FR22">
        <v>-5.08437761904762</v>
      </c>
      <c r="FS22">
        <v>0.159693506493517</v>
      </c>
      <c r="FT22">
        <v>0.0334352019946986</v>
      </c>
      <c r="FU22">
        <v>1</v>
      </c>
      <c r="FV22">
        <v>344.902588235294</v>
      </c>
      <c r="FW22">
        <v>0.946646287938379</v>
      </c>
      <c r="FX22">
        <v>0.217938215428008</v>
      </c>
      <c r="FY22">
        <v>1</v>
      </c>
      <c r="FZ22">
        <v>3</v>
      </c>
      <c r="GA22">
        <v>3</v>
      </c>
      <c r="GB22" t="s">
        <v>419</v>
      </c>
      <c r="GC22">
        <v>3.12359</v>
      </c>
      <c r="GD22">
        <v>2.76535</v>
      </c>
      <c r="GE22">
        <v>0.0870854</v>
      </c>
      <c r="GF22">
        <v>0.0902753</v>
      </c>
      <c r="GG22">
        <v>0.0914245</v>
      </c>
      <c r="GH22">
        <v>0.089894</v>
      </c>
      <c r="GI22">
        <v>17788.3</v>
      </c>
      <c r="GJ22">
        <v>26750.4</v>
      </c>
      <c r="GK22">
        <v>22766.7</v>
      </c>
      <c r="GL22">
        <v>30129.4</v>
      </c>
      <c r="GM22">
        <v>33926</v>
      </c>
      <c r="GN22">
        <v>34166.3</v>
      </c>
      <c r="GO22">
        <v>43071</v>
      </c>
      <c r="GP22">
        <v>42919.3</v>
      </c>
      <c r="GQ22">
        <v>1.9779</v>
      </c>
      <c r="GR22">
        <v>1.82808</v>
      </c>
      <c r="GS22">
        <v>0.0938624</v>
      </c>
      <c r="GT22">
        <v>0</v>
      </c>
      <c r="GU22">
        <v>23.4632</v>
      </c>
      <c r="GV22">
        <v>999.9</v>
      </c>
      <c r="GW22">
        <v>40.563</v>
      </c>
      <c r="GX22">
        <v>31.985</v>
      </c>
      <c r="GY22">
        <v>19.1039</v>
      </c>
      <c r="GZ22">
        <v>63.2687</v>
      </c>
      <c r="HA22">
        <v>33.3494</v>
      </c>
      <c r="HB22">
        <v>1</v>
      </c>
      <c r="HC22">
        <v>0.0357724</v>
      </c>
      <c r="HD22">
        <v>2.36671</v>
      </c>
      <c r="HE22">
        <v>20.1534</v>
      </c>
      <c r="HF22">
        <v>5.23406</v>
      </c>
      <c r="HG22">
        <v>11.9622</v>
      </c>
      <c r="HH22">
        <v>4.9689</v>
      </c>
      <c r="HI22">
        <v>3.295</v>
      </c>
      <c r="HJ22">
        <v>999.9</v>
      </c>
      <c r="HK22">
        <v>9999</v>
      </c>
      <c r="HL22">
        <v>9999</v>
      </c>
      <c r="HM22">
        <v>9999</v>
      </c>
      <c r="HN22">
        <v>4.96964</v>
      </c>
      <c r="HO22">
        <v>1.86325</v>
      </c>
      <c r="HP22">
        <v>1.86478</v>
      </c>
      <c r="HQ22">
        <v>1.86674</v>
      </c>
      <c r="HR22">
        <v>1.8638</v>
      </c>
      <c r="HS22">
        <v>1.86744</v>
      </c>
      <c r="HT22">
        <v>1.86419</v>
      </c>
      <c r="HU22">
        <v>1.86615</v>
      </c>
      <c r="HV22">
        <v>0</v>
      </c>
      <c r="HW22">
        <v>0</v>
      </c>
      <c r="HX22">
        <v>0</v>
      </c>
      <c r="HY22">
        <v>0</v>
      </c>
      <c r="HZ22" t="s">
        <v>420</v>
      </c>
      <c r="IA22" t="s">
        <v>421</v>
      </c>
      <c r="IB22" t="s">
        <v>422</v>
      </c>
      <c r="IC22" t="s">
        <v>422</v>
      </c>
      <c r="ID22" t="s">
        <v>422</v>
      </c>
      <c r="IE22" t="s">
        <v>422</v>
      </c>
      <c r="IF22">
        <v>0</v>
      </c>
      <c r="IG22">
        <v>100</v>
      </c>
      <c r="IH22">
        <v>100</v>
      </c>
      <c r="II22">
        <v>0.864</v>
      </c>
      <c r="IJ22">
        <v>-0.1005</v>
      </c>
      <c r="IK22">
        <v>0.7401349374176</v>
      </c>
      <c r="IL22">
        <v>0.000216929631606078</v>
      </c>
      <c r="IM22">
        <v>2.72263024731635e-07</v>
      </c>
      <c r="IN22">
        <v>-5.43792051235154e-11</v>
      </c>
      <c r="IO22">
        <v>0.00784906751852289</v>
      </c>
      <c r="IP22">
        <v>-0.0584433849545669</v>
      </c>
      <c r="IQ22">
        <v>0.00341568706061026</v>
      </c>
      <c r="IR22">
        <v>-2.10952612506686e-05</v>
      </c>
      <c r="IS22">
        <v>-0</v>
      </c>
      <c r="IT22">
        <v>1734</v>
      </c>
      <c r="IU22">
        <v>2</v>
      </c>
      <c r="IV22">
        <v>19</v>
      </c>
      <c r="IW22">
        <v>1.3</v>
      </c>
      <c r="IX22">
        <v>1.4</v>
      </c>
      <c r="IY22">
        <v>1.05591</v>
      </c>
      <c r="IZ22">
        <v>2.5769</v>
      </c>
      <c r="JA22">
        <v>1.34644</v>
      </c>
      <c r="JB22">
        <v>2.2583</v>
      </c>
      <c r="JC22">
        <v>1.55029</v>
      </c>
      <c r="JD22">
        <v>2.59644</v>
      </c>
      <c r="JE22">
        <v>36.0816</v>
      </c>
      <c r="JF22">
        <v>23.9912</v>
      </c>
      <c r="JG22">
        <v>18</v>
      </c>
      <c r="JH22">
        <v>500.326</v>
      </c>
      <c r="JI22">
        <v>482.193</v>
      </c>
      <c r="JJ22">
        <v>21.029</v>
      </c>
      <c r="JK22">
        <v>27.6534</v>
      </c>
      <c r="JL22">
        <v>30.0002</v>
      </c>
      <c r="JM22">
        <v>27.6267</v>
      </c>
      <c r="JN22">
        <v>27.6371</v>
      </c>
      <c r="JO22">
        <v>21.1493</v>
      </c>
      <c r="JP22">
        <v>26.6863</v>
      </c>
      <c r="JQ22">
        <v>32.0777</v>
      </c>
      <c r="JR22">
        <v>21.0155</v>
      </c>
      <c r="JS22">
        <v>400</v>
      </c>
      <c r="JT22">
        <v>15.7534</v>
      </c>
      <c r="JU22">
        <v>101.706</v>
      </c>
      <c r="JV22">
        <v>97.4531</v>
      </c>
    </row>
    <row r="23" spans="1:282">
      <c r="A23">
        <v>7</v>
      </c>
      <c r="B23">
        <v>1792398412</v>
      </c>
      <c r="C23">
        <v>754</v>
      </c>
      <c r="D23" t="s">
        <v>438</v>
      </c>
      <c r="E23" t="s">
        <v>439</v>
      </c>
      <c r="F23">
        <v>5</v>
      </c>
      <c r="G23">
        <v>1792398408.5</v>
      </c>
      <c r="H23">
        <f>(I23)/1000</f>
        <v>0</v>
      </c>
      <c r="I23">
        <f>1000*DI23*AG23*(DE23-DF23)/(100*CX23*(1000-AG23*DE23))</f>
        <v>0</v>
      </c>
      <c r="J23">
        <f>DI23*AG23*(DD23-DC23*(1000-AG23*DF23)/(1000-AG23*DE23))/(100*CX23)</f>
        <v>0</v>
      </c>
      <c r="K23">
        <f>DC23 - IF(AG23&gt;1, J23*CX23*100.0/(AI23), 0)</f>
        <v>0</v>
      </c>
      <c r="L23">
        <f>((R23-H23/2)*K23-J23)/(R23+H23/2)</f>
        <v>0</v>
      </c>
      <c r="M23">
        <f>L23*(DJ23+DK23)/1000.0</f>
        <v>0</v>
      </c>
      <c r="N23">
        <f>(DC23 - IF(AG23&gt;1, J23*CX23*100.0/(AI23), 0))*(DJ23+DK23)/1000.0</f>
        <v>0</v>
      </c>
      <c r="O23">
        <f>2.0/((1/Q23-1/P23)+SIGN(Q23)*SQRT((1/Q23-1/P23)*(1/Q23-1/P23) + 4*CY23/((CY23+1)*(CY23+1))*(2*1/Q23*1/P23-1/P23*1/P23)))</f>
        <v>0</v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>0</v>
      </c>
      <c r="Q23">
        <f>H23*(1000-(1000*0.61365*exp(17.502*U23/(240.97+U23))/(DJ23+DK23)+DE23)/2)/(1000*0.61365*exp(17.502*U23/(240.97+U23))/(DJ23+DK23)-DE23)</f>
        <v>0</v>
      </c>
      <c r="R23">
        <f>1/((CY23+1)/(O23/1.6)+1/(P23/1.37)) + CY23/((CY23+1)/(O23/1.6) + CY23/(P23/1.37))</f>
        <v>0</v>
      </c>
      <c r="S23">
        <f>(CT23*CW23)</f>
        <v>0</v>
      </c>
      <c r="T23">
        <f>(DL23+(S23+2*0.95*5.67E-8*(((DL23+$B$7)+273)^4-(DL23+273)^4)-44100*H23)/(1.84*29.3*P23+8*0.95*5.67E-8*(DL23+273)^3))</f>
        <v>0</v>
      </c>
      <c r="U23">
        <f>($C$7*DM23+$D$7*DN23+$E$7*T23)</f>
        <v>0</v>
      </c>
      <c r="V23">
        <f>0.61365*exp(17.502*U23/(240.97+U23))</f>
        <v>0</v>
      </c>
      <c r="W23">
        <f>(X23/Y23*100)</f>
        <v>0</v>
      </c>
      <c r="X23">
        <f>DE23*(DJ23+DK23)/1000</f>
        <v>0</v>
      </c>
      <c r="Y23">
        <f>0.61365*exp(17.502*DL23/(240.97+DL23))</f>
        <v>0</v>
      </c>
      <c r="Z23">
        <f>(V23-DE23*(DJ23+DK23)/1000)</f>
        <v>0</v>
      </c>
      <c r="AA23">
        <f>(-H23*44100)</f>
        <v>0</v>
      </c>
      <c r="AB23">
        <f>2*29.3*P23*0.92*(DL23-U23)</f>
        <v>0</v>
      </c>
      <c r="AC23">
        <f>2*0.95*5.67E-8*(((DL23+$B$7)+273)^4-(U23+273)^4)</f>
        <v>0</v>
      </c>
      <c r="AD23">
        <f>S23+AC23+AA23+AB23</f>
        <v>0</v>
      </c>
      <c r="AE23">
        <v>0</v>
      </c>
      <c r="AF23">
        <v>0</v>
      </c>
      <c r="AG23">
        <f>IF(AE23*$H$13&gt;=AI23,1.0,(AI23/(AI23-AE23*$H$13)))</f>
        <v>0</v>
      </c>
      <c r="AH23">
        <f>(AG23-1)*100</f>
        <v>0</v>
      </c>
      <c r="AI23">
        <f>MAX(0,($B$13+$C$13*DQ23)/(1+$D$13*DQ23)*DJ23/(DL23+273)*$E$13)</f>
        <v>0</v>
      </c>
      <c r="AJ23" t="s">
        <v>416</v>
      </c>
      <c r="AK23" t="s">
        <v>416</v>
      </c>
      <c r="AL23">
        <v>0</v>
      </c>
      <c r="AM23">
        <v>0</v>
      </c>
      <c r="AN23">
        <f>1-AL23/AM23</f>
        <v>0</v>
      </c>
      <c r="AO23">
        <v>0</v>
      </c>
      <c r="AP23" t="s">
        <v>416</v>
      </c>
      <c r="AQ23" t="s">
        <v>416</v>
      </c>
      <c r="AR23">
        <v>0</v>
      </c>
      <c r="AS23">
        <v>0</v>
      </c>
      <c r="AT23">
        <f>1-AR23/AS23</f>
        <v>0</v>
      </c>
      <c r="AU23">
        <v>0.5</v>
      </c>
      <c r="AV23">
        <f>CU23</f>
        <v>0</v>
      </c>
      <c r="AW23">
        <f>J23</f>
        <v>0</v>
      </c>
      <c r="AX23">
        <f>AT23*AU23*AV23</f>
        <v>0</v>
      </c>
      <c r="AY23">
        <f>(AW23-AO23)/AV23</f>
        <v>0</v>
      </c>
      <c r="AZ23">
        <f>(AM23-AS23)/AS23</f>
        <v>0</v>
      </c>
      <c r="BA23">
        <f>AL23/(AN23+AL23/AS23)</f>
        <v>0</v>
      </c>
      <c r="BB23" t="s">
        <v>416</v>
      </c>
      <c r="BC23">
        <v>0</v>
      </c>
      <c r="BD23">
        <f>IF(BC23&lt;&gt;0, BC23, BA23)</f>
        <v>0</v>
      </c>
      <c r="BE23">
        <f>1-BD23/AS23</f>
        <v>0</v>
      </c>
      <c r="BF23">
        <f>(AS23-AR23)/(AS23-BD23)</f>
        <v>0</v>
      </c>
      <c r="BG23">
        <f>(AM23-AS23)/(AM23-BD23)</f>
        <v>0</v>
      </c>
      <c r="BH23">
        <f>(AS23-AR23)/(AS23-AL23)</f>
        <v>0</v>
      </c>
      <c r="BI23">
        <f>(AM23-AS23)/(AM23-AL23)</f>
        <v>0</v>
      </c>
      <c r="BJ23">
        <f>(BF23*BD23/AR23)</f>
        <v>0</v>
      </c>
      <c r="BK23">
        <f>(1-BJ23)</f>
        <v>0</v>
      </c>
      <c r="BL23">
        <v>1211</v>
      </c>
      <c r="BM23">
        <v>290</v>
      </c>
      <c r="BN23">
        <v>854.02</v>
      </c>
      <c r="BO23">
        <v>135</v>
      </c>
      <c r="BP23">
        <v>8118.76</v>
      </c>
      <c r="BQ23">
        <v>850.06</v>
      </c>
      <c r="BR23">
        <v>3.96</v>
      </c>
      <c r="BS23">
        <v>300</v>
      </c>
      <c r="BT23">
        <v>19.3</v>
      </c>
      <c r="BU23">
        <v>879.257022088825</v>
      </c>
      <c r="BV23">
        <v>1.85043100621219</v>
      </c>
      <c r="BW23">
        <v>-23.7015574963064</v>
      </c>
      <c r="BX23">
        <v>1.34141796524398</v>
      </c>
      <c r="BY23">
        <v>0.917694192479961</v>
      </c>
      <c r="BZ23">
        <v>-0.00537916729699666</v>
      </c>
      <c r="CA23">
        <v>290</v>
      </c>
      <c r="CB23">
        <v>841.85</v>
      </c>
      <c r="CC23">
        <v>615</v>
      </c>
      <c r="CD23">
        <v>8099.98</v>
      </c>
      <c r="CE23">
        <v>850</v>
      </c>
      <c r="CF23">
        <v>-8.15</v>
      </c>
      <c r="CT23">
        <f>$B$11*DR23+$C$11*DS23+$F$11*ED23*(1-EG23)</f>
        <v>0</v>
      </c>
      <c r="CU23">
        <f>CT23*CV23</f>
        <v>0</v>
      </c>
      <c r="CV23">
        <f>($B$11*$D$9+$C$11*$D$9+$F$11*((EQ23+EI23)/MAX(EQ23+EI23+ER23, 0.1)*$I$9+ER23/MAX(EQ23+EI23+ER23, 0.1)*$J$9))/($B$11+$C$11+$F$11)</f>
        <v>0</v>
      </c>
      <c r="CW23">
        <f>($B$11*$K$9+$C$11*$K$9+$F$11*((EQ23+EI23)/MAX(EQ23+EI23+ER23, 0.1)*$P$9+ER23/MAX(EQ23+EI23+ER23, 0.1)*$Q$9))/($B$11+$C$11+$F$11)</f>
        <v>0</v>
      </c>
      <c r="CX23">
        <v>2</v>
      </c>
      <c r="CY23">
        <v>0.5</v>
      </c>
      <c r="CZ23" t="s">
        <v>417</v>
      </c>
      <c r="DA23">
        <v>2</v>
      </c>
      <c r="DB23">
        <v>1792398408.5</v>
      </c>
      <c r="DC23">
        <v>394.879333333333</v>
      </c>
      <c r="DD23">
        <v>400.020833333333</v>
      </c>
      <c r="DE23">
        <v>16.9043333333333</v>
      </c>
      <c r="DF23">
        <v>15.8534333333333</v>
      </c>
      <c r="DG23">
        <v>394.097833333333</v>
      </c>
      <c r="DH23">
        <v>17.0063</v>
      </c>
      <c r="DI23">
        <v>500.0385</v>
      </c>
      <c r="DJ23">
        <v>101.292666666667</v>
      </c>
      <c r="DK23">
        <v>0.09982495</v>
      </c>
      <c r="DL23">
        <v>24.6392333333333</v>
      </c>
      <c r="DM23">
        <v>25.0027333333333</v>
      </c>
      <c r="DN23">
        <v>999.9</v>
      </c>
      <c r="DO23">
        <v>0</v>
      </c>
      <c r="DP23">
        <v>0</v>
      </c>
      <c r="DQ23">
        <v>10014.5533333333</v>
      </c>
      <c r="DR23">
        <v>0</v>
      </c>
      <c r="DS23">
        <v>6.17665666666667</v>
      </c>
      <c r="DT23">
        <v>-5.14158666666667</v>
      </c>
      <c r="DU23">
        <v>401.669333333333</v>
      </c>
      <c r="DV23">
        <v>406.464833333333</v>
      </c>
      <c r="DW23">
        <v>1.05089</v>
      </c>
      <c r="DX23">
        <v>400.020833333333</v>
      </c>
      <c r="DY23">
        <v>15.8534333333333</v>
      </c>
      <c r="DZ23">
        <v>1.71228333333333</v>
      </c>
      <c r="EA23">
        <v>1.60583833333333</v>
      </c>
      <c r="EB23">
        <v>15.00825</v>
      </c>
      <c r="EC23">
        <v>14.0149166666667</v>
      </c>
      <c r="ED23">
        <v>1500.005</v>
      </c>
      <c r="EE23">
        <v>0.973000333333333</v>
      </c>
      <c r="EF23">
        <v>0.02699975</v>
      </c>
      <c r="EG23">
        <v>0</v>
      </c>
      <c r="EH23">
        <v>343.823666666667</v>
      </c>
      <c r="EI23">
        <v>5.00064</v>
      </c>
      <c r="EJ23">
        <v>5337.57666666667</v>
      </c>
      <c r="EK23">
        <v>15439.2833333333</v>
      </c>
      <c r="EL23">
        <v>40.75</v>
      </c>
      <c r="EM23">
        <v>41.437</v>
      </c>
      <c r="EN23">
        <v>41.1145</v>
      </c>
      <c r="EO23">
        <v>41</v>
      </c>
      <c r="EP23">
        <v>42.208</v>
      </c>
      <c r="EQ23">
        <v>1454.63833333333</v>
      </c>
      <c r="ER23">
        <v>40.36</v>
      </c>
      <c r="ES23">
        <v>0</v>
      </c>
      <c r="ET23">
        <v>7932.59999990463</v>
      </c>
      <c r="EU23">
        <v>0</v>
      </c>
      <c r="EV23">
        <v>344.02748</v>
      </c>
      <c r="EW23">
        <v>-1.98561538503349</v>
      </c>
      <c r="EX23">
        <v>-12.7776923108515</v>
      </c>
      <c r="EY23">
        <v>5338.1408</v>
      </c>
      <c r="EZ23">
        <v>15</v>
      </c>
      <c r="FA23">
        <v>1792398352</v>
      </c>
      <c r="FB23" t="s">
        <v>440</v>
      </c>
      <c r="FC23">
        <v>1792398352</v>
      </c>
      <c r="FD23">
        <v>1792398344</v>
      </c>
      <c r="FE23">
        <v>81</v>
      </c>
      <c r="FF23">
        <v>-0.083</v>
      </c>
      <c r="FG23">
        <v>-0</v>
      </c>
      <c r="FH23">
        <v>0.784</v>
      </c>
      <c r="FI23">
        <v>-0.142</v>
      </c>
      <c r="FJ23">
        <v>400</v>
      </c>
      <c r="FK23">
        <v>16</v>
      </c>
      <c r="FL23">
        <v>0.43</v>
      </c>
      <c r="FM23">
        <v>0.08</v>
      </c>
      <c r="FN23">
        <v>11.799674159643</v>
      </c>
      <c r="FO23">
        <v>0.0794654044264446</v>
      </c>
      <c r="FP23">
        <v>0.0549086663261279</v>
      </c>
      <c r="FQ23">
        <v>1</v>
      </c>
      <c r="FR23">
        <v>-5.1477015</v>
      </c>
      <c r="FS23">
        <v>0.0140305263157835</v>
      </c>
      <c r="FT23">
        <v>0.0220676807288396</v>
      </c>
      <c r="FU23">
        <v>1</v>
      </c>
      <c r="FV23">
        <v>344.100735294118</v>
      </c>
      <c r="FW23">
        <v>-0.788495039367163</v>
      </c>
      <c r="FX23">
        <v>0.218865968765676</v>
      </c>
      <c r="FY23">
        <v>1</v>
      </c>
      <c r="FZ23">
        <v>3</v>
      </c>
      <c r="GA23">
        <v>3</v>
      </c>
      <c r="GB23" t="s">
        <v>419</v>
      </c>
      <c r="GC23">
        <v>3.12349</v>
      </c>
      <c r="GD23">
        <v>2.76552</v>
      </c>
      <c r="GE23">
        <v>0.0871016</v>
      </c>
      <c r="GF23">
        <v>0.0902779</v>
      </c>
      <c r="GG23">
        <v>0.0912778</v>
      </c>
      <c r="GH23">
        <v>0.0901967</v>
      </c>
      <c r="GI23">
        <v>17788.1</v>
      </c>
      <c r="GJ23">
        <v>26750.4</v>
      </c>
      <c r="GK23">
        <v>22766.9</v>
      </c>
      <c r="GL23">
        <v>30129.5</v>
      </c>
      <c r="GM23">
        <v>33931.9</v>
      </c>
      <c r="GN23">
        <v>34155.2</v>
      </c>
      <c r="GO23">
        <v>43071.3</v>
      </c>
      <c r="GP23">
        <v>42919.6</v>
      </c>
      <c r="GQ23">
        <v>1.97775</v>
      </c>
      <c r="GR23">
        <v>1.8276</v>
      </c>
      <c r="GS23">
        <v>0.0967979</v>
      </c>
      <c r="GT23">
        <v>0</v>
      </c>
      <c r="GU23">
        <v>23.4258</v>
      </c>
      <c r="GV23">
        <v>999.9</v>
      </c>
      <c r="GW23">
        <v>40.587</v>
      </c>
      <c r="GX23">
        <v>31.985</v>
      </c>
      <c r="GY23">
        <v>19.1175</v>
      </c>
      <c r="GZ23">
        <v>63.1987</v>
      </c>
      <c r="HA23">
        <v>33.6779</v>
      </c>
      <c r="HB23">
        <v>1</v>
      </c>
      <c r="HC23">
        <v>0.0365879</v>
      </c>
      <c r="HD23">
        <v>2.44047</v>
      </c>
      <c r="HE23">
        <v>20.1505</v>
      </c>
      <c r="HF23">
        <v>5.23466</v>
      </c>
      <c r="HG23">
        <v>11.962</v>
      </c>
      <c r="HH23">
        <v>4.96945</v>
      </c>
      <c r="HI23">
        <v>3.295</v>
      </c>
      <c r="HJ23">
        <v>999.9</v>
      </c>
      <c r="HK23">
        <v>9999</v>
      </c>
      <c r="HL23">
        <v>9999</v>
      </c>
      <c r="HM23">
        <v>9999</v>
      </c>
      <c r="HN23">
        <v>4.9697</v>
      </c>
      <c r="HO23">
        <v>1.86345</v>
      </c>
      <c r="HP23">
        <v>1.86495</v>
      </c>
      <c r="HQ23">
        <v>1.86691</v>
      </c>
      <c r="HR23">
        <v>1.864</v>
      </c>
      <c r="HS23">
        <v>1.86768</v>
      </c>
      <c r="HT23">
        <v>1.86441</v>
      </c>
      <c r="HU23">
        <v>1.86634</v>
      </c>
      <c r="HV23">
        <v>0</v>
      </c>
      <c r="HW23">
        <v>0</v>
      </c>
      <c r="HX23">
        <v>0</v>
      </c>
      <c r="HY23">
        <v>0</v>
      </c>
      <c r="HZ23" t="s">
        <v>420</v>
      </c>
      <c r="IA23" t="s">
        <v>421</v>
      </c>
      <c r="IB23" t="s">
        <v>422</v>
      </c>
      <c r="IC23" t="s">
        <v>422</v>
      </c>
      <c r="ID23" t="s">
        <v>422</v>
      </c>
      <c r="IE23" t="s">
        <v>422</v>
      </c>
      <c r="IF23">
        <v>0</v>
      </c>
      <c r="IG23">
        <v>100</v>
      </c>
      <c r="IH23">
        <v>100</v>
      </c>
      <c r="II23">
        <v>0.781</v>
      </c>
      <c r="IJ23">
        <v>-0.1021</v>
      </c>
      <c r="IK23">
        <v>0.656918271113967</v>
      </c>
      <c r="IL23">
        <v>0.000216929631606078</v>
      </c>
      <c r="IM23">
        <v>2.72263024731635e-07</v>
      </c>
      <c r="IN23">
        <v>-5.43792051235154e-11</v>
      </c>
      <c r="IO23">
        <v>0.00781264419807757</v>
      </c>
      <c r="IP23">
        <v>-0.0584433849545669</v>
      </c>
      <c r="IQ23">
        <v>0.00341568706061026</v>
      </c>
      <c r="IR23">
        <v>-2.10952612506686e-05</v>
      </c>
      <c r="IS23">
        <v>-0</v>
      </c>
      <c r="IT23">
        <v>1734</v>
      </c>
      <c r="IU23">
        <v>2</v>
      </c>
      <c r="IV23">
        <v>19</v>
      </c>
      <c r="IW23">
        <v>1</v>
      </c>
      <c r="IX23">
        <v>1.1</v>
      </c>
      <c r="IY23">
        <v>1.05591</v>
      </c>
      <c r="IZ23">
        <v>2.57324</v>
      </c>
      <c r="JA23">
        <v>1.34644</v>
      </c>
      <c r="JB23">
        <v>2.2583</v>
      </c>
      <c r="JC23">
        <v>1.55029</v>
      </c>
      <c r="JD23">
        <v>2.72705</v>
      </c>
      <c r="JE23">
        <v>36.5051</v>
      </c>
      <c r="JF23">
        <v>23.9999</v>
      </c>
      <c r="JG23">
        <v>18</v>
      </c>
      <c r="JH23">
        <v>500.274</v>
      </c>
      <c r="JI23">
        <v>481.903</v>
      </c>
      <c r="JJ23">
        <v>20.7913</v>
      </c>
      <c r="JK23">
        <v>27.6581</v>
      </c>
      <c r="JL23">
        <v>30.0002</v>
      </c>
      <c r="JM23">
        <v>27.6314</v>
      </c>
      <c r="JN23">
        <v>27.6417</v>
      </c>
      <c r="JO23">
        <v>21.1477</v>
      </c>
      <c r="JP23">
        <v>26.2374</v>
      </c>
      <c r="JQ23">
        <v>32.0777</v>
      </c>
      <c r="JR23">
        <v>20.7973</v>
      </c>
      <c r="JS23">
        <v>400</v>
      </c>
      <c r="JT23">
        <v>15.8419</v>
      </c>
      <c r="JU23">
        <v>101.706</v>
      </c>
      <c r="JV23">
        <v>97.4537</v>
      </c>
    </row>
    <row r="24" spans="1:282">
      <c r="A24">
        <v>8</v>
      </c>
      <c r="B24">
        <v>1792398533</v>
      </c>
      <c r="C24">
        <v>875</v>
      </c>
      <c r="D24" t="s">
        <v>441</v>
      </c>
      <c r="E24" t="s">
        <v>442</v>
      </c>
      <c r="F24">
        <v>5</v>
      </c>
      <c r="G24">
        <v>1792398530</v>
      </c>
      <c r="H24">
        <f>(I24)/1000</f>
        <v>0</v>
      </c>
      <c r="I24">
        <f>1000*DI24*AG24*(DE24-DF24)/(100*CX24*(1000-AG24*DE24))</f>
        <v>0</v>
      </c>
      <c r="J24">
        <f>DI24*AG24*(DD24-DC24*(1000-AG24*DF24)/(1000-AG24*DE24))/(100*CX24)</f>
        <v>0</v>
      </c>
      <c r="K24">
        <f>DC24 - IF(AG24&gt;1, J24*CX24*100.0/(AI24), 0)</f>
        <v>0</v>
      </c>
      <c r="L24">
        <f>((R24-H24/2)*K24-J24)/(R24+H24/2)</f>
        <v>0</v>
      </c>
      <c r="M24">
        <f>L24*(DJ24+DK24)/1000.0</f>
        <v>0</v>
      </c>
      <c r="N24">
        <f>(DC24 - IF(AG24&gt;1, J24*CX24*100.0/(AI24), 0))*(DJ24+DK24)/1000.0</f>
        <v>0</v>
      </c>
      <c r="O24">
        <f>2.0/((1/Q24-1/P24)+SIGN(Q24)*SQRT((1/Q24-1/P24)*(1/Q24-1/P24) + 4*CY24/((CY24+1)*(CY24+1))*(2*1/Q24*1/P24-1/P24*1/P24)))</f>
        <v>0</v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>0</v>
      </c>
      <c r="Q24">
        <f>H24*(1000-(1000*0.61365*exp(17.502*U24/(240.97+U24))/(DJ24+DK24)+DE24)/2)/(1000*0.61365*exp(17.502*U24/(240.97+U24))/(DJ24+DK24)-DE24)</f>
        <v>0</v>
      </c>
      <c r="R24">
        <f>1/((CY24+1)/(O24/1.6)+1/(P24/1.37)) + CY24/((CY24+1)/(O24/1.6) + CY24/(P24/1.37))</f>
        <v>0</v>
      </c>
      <c r="S24">
        <f>(CT24*CW24)</f>
        <v>0</v>
      </c>
      <c r="T24">
        <f>(DL24+(S24+2*0.95*5.67E-8*(((DL24+$B$7)+273)^4-(DL24+273)^4)-44100*H24)/(1.84*29.3*P24+8*0.95*5.67E-8*(DL24+273)^3))</f>
        <v>0</v>
      </c>
      <c r="U24">
        <f>($C$7*DM24+$D$7*DN24+$E$7*T24)</f>
        <v>0</v>
      </c>
      <c r="V24">
        <f>0.61365*exp(17.502*U24/(240.97+U24))</f>
        <v>0</v>
      </c>
      <c r="W24">
        <f>(X24/Y24*100)</f>
        <v>0</v>
      </c>
      <c r="X24">
        <f>DE24*(DJ24+DK24)/1000</f>
        <v>0</v>
      </c>
      <c r="Y24">
        <f>0.61365*exp(17.502*DL24/(240.97+DL24))</f>
        <v>0</v>
      </c>
      <c r="Z24">
        <f>(V24-DE24*(DJ24+DK24)/1000)</f>
        <v>0</v>
      </c>
      <c r="AA24">
        <f>(-H24*44100)</f>
        <v>0</v>
      </c>
      <c r="AB24">
        <f>2*29.3*P24*0.92*(DL24-U24)</f>
        <v>0</v>
      </c>
      <c r="AC24">
        <f>2*0.95*5.67E-8*(((DL24+$B$7)+273)^4-(U24+273)^4)</f>
        <v>0</v>
      </c>
      <c r="AD24">
        <f>S24+AC24+AA24+AB24</f>
        <v>0</v>
      </c>
      <c r="AE24">
        <v>0</v>
      </c>
      <c r="AF24">
        <v>0</v>
      </c>
      <c r="AG24">
        <f>IF(AE24*$H$13&gt;=AI24,1.0,(AI24/(AI24-AE24*$H$13)))</f>
        <v>0</v>
      </c>
      <c r="AH24">
        <f>(AG24-1)*100</f>
        <v>0</v>
      </c>
      <c r="AI24">
        <f>MAX(0,($B$13+$C$13*DQ24)/(1+$D$13*DQ24)*DJ24/(DL24+273)*$E$13)</f>
        <v>0</v>
      </c>
      <c r="AJ24" t="s">
        <v>416</v>
      </c>
      <c r="AK24" t="s">
        <v>416</v>
      </c>
      <c r="AL24">
        <v>0</v>
      </c>
      <c r="AM24">
        <v>0</v>
      </c>
      <c r="AN24">
        <f>1-AL24/AM24</f>
        <v>0</v>
      </c>
      <c r="AO24">
        <v>0</v>
      </c>
      <c r="AP24" t="s">
        <v>416</v>
      </c>
      <c r="AQ24" t="s">
        <v>416</v>
      </c>
      <c r="AR24">
        <v>0</v>
      </c>
      <c r="AS24">
        <v>0</v>
      </c>
      <c r="AT24">
        <f>1-AR24/AS24</f>
        <v>0</v>
      </c>
      <c r="AU24">
        <v>0.5</v>
      </c>
      <c r="AV24">
        <f>CU24</f>
        <v>0</v>
      </c>
      <c r="AW24">
        <f>J24</f>
        <v>0</v>
      </c>
      <c r="AX24">
        <f>AT24*AU24*AV24</f>
        <v>0</v>
      </c>
      <c r="AY24">
        <f>(AW24-AO24)/AV24</f>
        <v>0</v>
      </c>
      <c r="AZ24">
        <f>(AM24-AS24)/AS24</f>
        <v>0</v>
      </c>
      <c r="BA24">
        <f>AL24/(AN24+AL24/AS24)</f>
        <v>0</v>
      </c>
      <c r="BB24" t="s">
        <v>416</v>
      </c>
      <c r="BC24">
        <v>0</v>
      </c>
      <c r="BD24">
        <f>IF(BC24&lt;&gt;0, BC24, BA24)</f>
        <v>0</v>
      </c>
      <c r="BE24">
        <f>1-BD24/AS24</f>
        <v>0</v>
      </c>
      <c r="BF24">
        <f>(AS24-AR24)/(AS24-BD24)</f>
        <v>0</v>
      </c>
      <c r="BG24">
        <f>(AM24-AS24)/(AM24-BD24)</f>
        <v>0</v>
      </c>
      <c r="BH24">
        <f>(AS24-AR24)/(AS24-AL24)</f>
        <v>0</v>
      </c>
      <c r="BI24">
        <f>(AM24-AS24)/(AM24-AL24)</f>
        <v>0</v>
      </c>
      <c r="BJ24">
        <f>(BF24*BD24/AR24)</f>
        <v>0</v>
      </c>
      <c r="BK24">
        <f>(1-BJ24)</f>
        <v>0</v>
      </c>
      <c r="BL24">
        <v>1211</v>
      </c>
      <c r="BM24">
        <v>290</v>
      </c>
      <c r="BN24">
        <v>854.02</v>
      </c>
      <c r="BO24">
        <v>135</v>
      </c>
      <c r="BP24">
        <v>8118.76</v>
      </c>
      <c r="BQ24">
        <v>850.06</v>
      </c>
      <c r="BR24">
        <v>3.96</v>
      </c>
      <c r="BS24">
        <v>300</v>
      </c>
      <c r="BT24">
        <v>19.3</v>
      </c>
      <c r="BU24">
        <v>879.257022088825</v>
      </c>
      <c r="BV24">
        <v>1.85043100621219</v>
      </c>
      <c r="BW24">
        <v>-23.7015574963064</v>
      </c>
      <c r="BX24">
        <v>1.34141796524398</v>
      </c>
      <c r="BY24">
        <v>0.917694192479961</v>
      </c>
      <c r="BZ24">
        <v>-0.00537916729699666</v>
      </c>
      <c r="CA24">
        <v>290</v>
      </c>
      <c r="CB24">
        <v>841.85</v>
      </c>
      <c r="CC24">
        <v>615</v>
      </c>
      <c r="CD24">
        <v>8099.98</v>
      </c>
      <c r="CE24">
        <v>850</v>
      </c>
      <c r="CF24">
        <v>-8.15</v>
      </c>
      <c r="CT24">
        <f>$B$11*DR24+$C$11*DS24+$F$11*ED24*(1-EG24)</f>
        <v>0</v>
      </c>
      <c r="CU24">
        <f>CT24*CV24</f>
        <v>0</v>
      </c>
      <c r="CV24">
        <f>($B$11*$D$9+$C$11*$D$9+$F$11*((EQ24+EI24)/MAX(EQ24+EI24+ER24, 0.1)*$I$9+ER24/MAX(EQ24+EI24+ER24, 0.1)*$J$9))/($B$11+$C$11+$F$11)</f>
        <v>0</v>
      </c>
      <c r="CW24">
        <f>($B$11*$K$9+$C$11*$K$9+$F$11*((EQ24+EI24)/MAX(EQ24+EI24+ER24, 0.1)*$P$9+ER24/MAX(EQ24+EI24+ER24, 0.1)*$Q$9))/($B$11+$C$11+$F$11)</f>
        <v>0</v>
      </c>
      <c r="CX24">
        <v>2</v>
      </c>
      <c r="CY24">
        <v>0.5</v>
      </c>
      <c r="CZ24" t="s">
        <v>417</v>
      </c>
      <c r="DA24">
        <v>2</v>
      </c>
      <c r="DB24">
        <v>1792398530</v>
      </c>
      <c r="DC24">
        <v>692.7754</v>
      </c>
      <c r="DD24">
        <v>700.0328</v>
      </c>
      <c r="DE24">
        <v>16.84942</v>
      </c>
      <c r="DF24">
        <v>15.924</v>
      </c>
      <c r="DG24">
        <v>691.8742</v>
      </c>
      <c r="DH24">
        <v>16.94996</v>
      </c>
      <c r="DI24">
        <v>499.9224</v>
      </c>
      <c r="DJ24">
        <v>101.2908</v>
      </c>
      <c r="DK24">
        <v>0.0997654</v>
      </c>
      <c r="DL24">
        <v>24.56786</v>
      </c>
      <c r="DM24">
        <v>25.01116</v>
      </c>
      <c r="DN24">
        <v>999.9</v>
      </c>
      <c r="DO24">
        <v>0</v>
      </c>
      <c r="DP24">
        <v>0</v>
      </c>
      <c r="DQ24">
        <v>10017.76</v>
      </c>
      <c r="DR24">
        <v>0</v>
      </c>
      <c r="DS24">
        <v>6.21985</v>
      </c>
      <c r="DT24">
        <v>-7.257608</v>
      </c>
      <c r="DU24">
        <v>704.6484</v>
      </c>
      <c r="DV24">
        <v>711.3606</v>
      </c>
      <c r="DW24">
        <v>0.9254014</v>
      </c>
      <c r="DX24">
        <v>700.0328</v>
      </c>
      <c r="DY24">
        <v>15.924</v>
      </c>
      <c r="DZ24">
        <v>1.70669</v>
      </c>
      <c r="EA24">
        <v>1.612958</v>
      </c>
      <c r="EB24">
        <v>14.95742</v>
      </c>
      <c r="EC24">
        <v>14.08314</v>
      </c>
      <c r="ED24">
        <v>1499.986</v>
      </c>
      <c r="EE24">
        <v>0.9730018</v>
      </c>
      <c r="EF24">
        <v>0.0269983</v>
      </c>
      <c r="EG24">
        <v>0</v>
      </c>
      <c r="EH24">
        <v>341.9574</v>
      </c>
      <c r="EI24">
        <v>5.00064</v>
      </c>
      <c r="EJ24">
        <v>5307.55</v>
      </c>
      <c r="EK24">
        <v>15439.08</v>
      </c>
      <c r="EL24">
        <v>40.75</v>
      </c>
      <c r="EM24">
        <v>41.4622</v>
      </c>
      <c r="EN24">
        <v>41.125</v>
      </c>
      <c r="EO24">
        <v>41.0124</v>
      </c>
      <c r="EP24">
        <v>42.187</v>
      </c>
      <c r="EQ24">
        <v>1454.626</v>
      </c>
      <c r="ER24">
        <v>40.36</v>
      </c>
      <c r="ES24">
        <v>0</v>
      </c>
      <c r="ET24">
        <v>8053.79999995232</v>
      </c>
      <c r="EU24">
        <v>0</v>
      </c>
      <c r="EV24">
        <v>341.93848</v>
      </c>
      <c r="EW24">
        <v>-0.355615375928308</v>
      </c>
      <c r="EX24">
        <v>-4.76538458603895</v>
      </c>
      <c r="EY24">
        <v>5307.7412</v>
      </c>
      <c r="EZ24">
        <v>15</v>
      </c>
      <c r="FA24">
        <v>1792398470</v>
      </c>
      <c r="FB24" t="s">
        <v>443</v>
      </c>
      <c r="FC24">
        <v>1792398470</v>
      </c>
      <c r="FD24">
        <v>1792398470</v>
      </c>
      <c r="FE24">
        <v>82</v>
      </c>
      <c r="FF24">
        <v>-0.018</v>
      </c>
      <c r="FG24">
        <v>0.004</v>
      </c>
      <c r="FH24">
        <v>0.905</v>
      </c>
      <c r="FI24">
        <v>-0.135</v>
      </c>
      <c r="FJ24">
        <v>700</v>
      </c>
      <c r="FK24">
        <v>16</v>
      </c>
      <c r="FL24">
        <v>0.17</v>
      </c>
      <c r="FM24">
        <v>0.05</v>
      </c>
      <c r="FN24">
        <v>16.4948507451731</v>
      </c>
      <c r="FO24">
        <v>0.0208803237438528</v>
      </c>
      <c r="FP24">
        <v>0.101314320072963</v>
      </c>
      <c r="FQ24">
        <v>1</v>
      </c>
      <c r="FR24">
        <v>-7.2580385</v>
      </c>
      <c r="FS24">
        <v>-0.0556209022556499</v>
      </c>
      <c r="FT24">
        <v>0.04205258794355</v>
      </c>
      <c r="FU24">
        <v>1</v>
      </c>
      <c r="FV24">
        <v>341.958117647059</v>
      </c>
      <c r="FW24">
        <v>-0.0243544621243572</v>
      </c>
      <c r="FX24">
        <v>0.184086099533677</v>
      </c>
      <c r="FY24">
        <v>1</v>
      </c>
      <c r="FZ24">
        <v>3</v>
      </c>
      <c r="GA24">
        <v>3</v>
      </c>
      <c r="GB24" t="s">
        <v>419</v>
      </c>
      <c r="GC24">
        <v>3.12322</v>
      </c>
      <c r="GD24">
        <v>2.76519</v>
      </c>
      <c r="GE24">
        <v>0.130592</v>
      </c>
      <c r="GF24">
        <v>0.134969</v>
      </c>
      <c r="GG24">
        <v>0.0910375</v>
      </c>
      <c r="GH24">
        <v>0.0904827</v>
      </c>
      <c r="GI24">
        <v>16939.8</v>
      </c>
      <c r="GJ24">
        <v>25436.1</v>
      </c>
      <c r="GK24">
        <v>22765.8</v>
      </c>
      <c r="GL24">
        <v>30129.5</v>
      </c>
      <c r="GM24">
        <v>33943</v>
      </c>
      <c r="GN24">
        <v>34147.7</v>
      </c>
      <c r="GO24">
        <v>43070.3</v>
      </c>
      <c r="GP24">
        <v>42920</v>
      </c>
      <c r="GQ24">
        <v>1.97733</v>
      </c>
      <c r="GR24">
        <v>1.82815</v>
      </c>
      <c r="GS24">
        <v>0.100292</v>
      </c>
      <c r="GT24">
        <v>0</v>
      </c>
      <c r="GU24">
        <v>23.3849</v>
      </c>
      <c r="GV24">
        <v>999.9</v>
      </c>
      <c r="GW24">
        <v>40.587</v>
      </c>
      <c r="GX24">
        <v>32.015</v>
      </c>
      <c r="GY24">
        <v>19.1515</v>
      </c>
      <c r="GZ24">
        <v>62.8588</v>
      </c>
      <c r="HA24">
        <v>34.0505</v>
      </c>
      <c r="HB24">
        <v>1</v>
      </c>
      <c r="HC24">
        <v>0.0364939</v>
      </c>
      <c r="HD24">
        <v>2.46642</v>
      </c>
      <c r="HE24">
        <v>20.1489</v>
      </c>
      <c r="HF24">
        <v>5.23271</v>
      </c>
      <c r="HG24">
        <v>11.962</v>
      </c>
      <c r="HH24">
        <v>4.96925</v>
      </c>
      <c r="HI24">
        <v>3.29503</v>
      </c>
      <c r="HJ24">
        <v>999.9</v>
      </c>
      <c r="HK24">
        <v>9999</v>
      </c>
      <c r="HL24">
        <v>9999</v>
      </c>
      <c r="HM24">
        <v>9999</v>
      </c>
      <c r="HN24">
        <v>4.96966</v>
      </c>
      <c r="HO24">
        <v>1.86356</v>
      </c>
      <c r="HP24">
        <v>1.86508</v>
      </c>
      <c r="HQ24">
        <v>1.86699</v>
      </c>
      <c r="HR24">
        <v>1.86401</v>
      </c>
      <c r="HS24">
        <v>1.8677</v>
      </c>
      <c r="HT24">
        <v>1.86447</v>
      </c>
      <c r="HU24">
        <v>1.86646</v>
      </c>
      <c r="HV24">
        <v>0</v>
      </c>
      <c r="HW24">
        <v>0</v>
      </c>
      <c r="HX24">
        <v>0</v>
      </c>
      <c r="HY24">
        <v>0</v>
      </c>
      <c r="HZ24" t="s">
        <v>420</v>
      </c>
      <c r="IA24" t="s">
        <v>421</v>
      </c>
      <c r="IB24" t="s">
        <v>422</v>
      </c>
      <c r="IC24" t="s">
        <v>422</v>
      </c>
      <c r="ID24" t="s">
        <v>422</v>
      </c>
      <c r="IE24" t="s">
        <v>422</v>
      </c>
      <c r="IF24">
        <v>0</v>
      </c>
      <c r="IG24">
        <v>100</v>
      </c>
      <c r="IH24">
        <v>100</v>
      </c>
      <c r="II24">
        <v>0.901</v>
      </c>
      <c r="IJ24">
        <v>-0.1008</v>
      </c>
      <c r="IK24">
        <v>0.63867211797158</v>
      </c>
      <c r="IL24">
        <v>0.000216929631606078</v>
      </c>
      <c r="IM24">
        <v>2.72263024731635e-07</v>
      </c>
      <c r="IN24">
        <v>-5.43792051235154e-11</v>
      </c>
      <c r="IO24">
        <v>0.0114952437179128</v>
      </c>
      <c r="IP24">
        <v>-0.0584433849545669</v>
      </c>
      <c r="IQ24">
        <v>0.00341568706061026</v>
      </c>
      <c r="IR24">
        <v>-2.10952612506686e-05</v>
      </c>
      <c r="IS24">
        <v>-0</v>
      </c>
      <c r="IT24">
        <v>1734</v>
      </c>
      <c r="IU24">
        <v>2</v>
      </c>
      <c r="IV24">
        <v>19</v>
      </c>
      <c r="IW24">
        <v>1.1</v>
      </c>
      <c r="IX24">
        <v>1.1</v>
      </c>
      <c r="IY24">
        <v>1.63818</v>
      </c>
      <c r="IZ24">
        <v>2.56592</v>
      </c>
      <c r="JA24">
        <v>1.34644</v>
      </c>
      <c r="JB24">
        <v>2.2583</v>
      </c>
      <c r="JC24">
        <v>1.55029</v>
      </c>
      <c r="JD24">
        <v>2.71118</v>
      </c>
      <c r="JE24">
        <v>36.8842</v>
      </c>
      <c r="JF24">
        <v>23.9912</v>
      </c>
      <c r="JG24">
        <v>18</v>
      </c>
      <c r="JH24">
        <v>500.03</v>
      </c>
      <c r="JI24">
        <v>482.309</v>
      </c>
      <c r="JJ24">
        <v>20.7595</v>
      </c>
      <c r="JK24">
        <v>27.6581</v>
      </c>
      <c r="JL24">
        <v>30.0003</v>
      </c>
      <c r="JM24">
        <v>27.6337</v>
      </c>
      <c r="JN24">
        <v>27.6441</v>
      </c>
      <c r="JO24">
        <v>32.7781</v>
      </c>
      <c r="JP24">
        <v>26.1587</v>
      </c>
      <c r="JQ24">
        <v>32.0777</v>
      </c>
      <c r="JR24">
        <v>20.7472</v>
      </c>
      <c r="JS24">
        <v>700</v>
      </c>
      <c r="JT24">
        <v>15.8812</v>
      </c>
      <c r="JU24">
        <v>101.703</v>
      </c>
      <c r="JV24">
        <v>97.4541</v>
      </c>
    </row>
    <row r="25" spans="1:282">
      <c r="A25">
        <v>9</v>
      </c>
      <c r="B25">
        <v>1792398654.1</v>
      </c>
      <c r="C25">
        <v>996.099999904633</v>
      </c>
      <c r="D25" t="s">
        <v>444</v>
      </c>
      <c r="E25" t="s">
        <v>445</v>
      </c>
      <c r="F25">
        <v>5</v>
      </c>
      <c r="G25">
        <v>1792398651.1</v>
      </c>
      <c r="H25">
        <f>(I25)/1000</f>
        <v>0</v>
      </c>
      <c r="I25">
        <f>1000*DI25*AG25*(DE25-DF25)/(100*CX25*(1000-AG25*DE25))</f>
        <v>0</v>
      </c>
      <c r="J25">
        <f>DI25*AG25*(DD25-DC25*(1000-AG25*DF25)/(1000-AG25*DE25))/(100*CX25)</f>
        <v>0</v>
      </c>
      <c r="K25">
        <f>DC25 - IF(AG25&gt;1, J25*CX25*100.0/(AI25), 0)</f>
        <v>0</v>
      </c>
      <c r="L25">
        <f>((R25-H25/2)*K25-J25)/(R25+H25/2)</f>
        <v>0</v>
      </c>
      <c r="M25">
        <f>L25*(DJ25+DK25)/1000.0</f>
        <v>0</v>
      </c>
      <c r="N25">
        <f>(DC25 - IF(AG25&gt;1, J25*CX25*100.0/(AI25), 0))*(DJ25+DK25)/1000.0</f>
        <v>0</v>
      </c>
      <c r="O25">
        <f>2.0/((1/Q25-1/P25)+SIGN(Q25)*SQRT((1/Q25-1/P25)*(1/Q25-1/P25) + 4*CY25/((CY25+1)*(CY25+1))*(2*1/Q25*1/P25-1/P25*1/P25)))</f>
        <v>0</v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>0</v>
      </c>
      <c r="Q25">
        <f>H25*(1000-(1000*0.61365*exp(17.502*U25/(240.97+U25))/(DJ25+DK25)+DE25)/2)/(1000*0.61365*exp(17.502*U25/(240.97+U25))/(DJ25+DK25)-DE25)</f>
        <v>0</v>
      </c>
      <c r="R25">
        <f>1/((CY25+1)/(O25/1.6)+1/(P25/1.37)) + CY25/((CY25+1)/(O25/1.6) + CY25/(P25/1.37))</f>
        <v>0</v>
      </c>
      <c r="S25">
        <f>(CT25*CW25)</f>
        <v>0</v>
      </c>
      <c r="T25">
        <f>(DL25+(S25+2*0.95*5.67E-8*(((DL25+$B$7)+273)^4-(DL25+273)^4)-44100*H25)/(1.84*29.3*P25+8*0.95*5.67E-8*(DL25+273)^3))</f>
        <v>0</v>
      </c>
      <c r="U25">
        <f>($C$7*DM25+$D$7*DN25+$E$7*T25)</f>
        <v>0</v>
      </c>
      <c r="V25">
        <f>0.61365*exp(17.502*U25/(240.97+U25))</f>
        <v>0</v>
      </c>
      <c r="W25">
        <f>(X25/Y25*100)</f>
        <v>0</v>
      </c>
      <c r="X25">
        <f>DE25*(DJ25+DK25)/1000</f>
        <v>0</v>
      </c>
      <c r="Y25">
        <f>0.61365*exp(17.502*DL25/(240.97+DL25))</f>
        <v>0</v>
      </c>
      <c r="Z25">
        <f>(V25-DE25*(DJ25+DK25)/1000)</f>
        <v>0</v>
      </c>
      <c r="AA25">
        <f>(-H25*44100)</f>
        <v>0</v>
      </c>
      <c r="AB25">
        <f>2*29.3*P25*0.92*(DL25-U25)</f>
        <v>0</v>
      </c>
      <c r="AC25">
        <f>2*0.95*5.67E-8*(((DL25+$B$7)+273)^4-(U25+273)^4)</f>
        <v>0</v>
      </c>
      <c r="AD25">
        <f>S25+AC25+AA25+AB25</f>
        <v>0</v>
      </c>
      <c r="AE25">
        <v>0</v>
      </c>
      <c r="AF25">
        <v>0</v>
      </c>
      <c r="AG25">
        <f>IF(AE25*$H$13&gt;=AI25,1.0,(AI25/(AI25-AE25*$H$13)))</f>
        <v>0</v>
      </c>
      <c r="AH25">
        <f>(AG25-1)*100</f>
        <v>0</v>
      </c>
      <c r="AI25">
        <f>MAX(0,($B$13+$C$13*DQ25)/(1+$D$13*DQ25)*DJ25/(DL25+273)*$E$13)</f>
        <v>0</v>
      </c>
      <c r="AJ25" t="s">
        <v>416</v>
      </c>
      <c r="AK25" t="s">
        <v>416</v>
      </c>
      <c r="AL25">
        <v>0</v>
      </c>
      <c r="AM25">
        <v>0</v>
      </c>
      <c r="AN25">
        <f>1-AL25/AM25</f>
        <v>0</v>
      </c>
      <c r="AO25">
        <v>0</v>
      </c>
      <c r="AP25" t="s">
        <v>416</v>
      </c>
      <c r="AQ25" t="s">
        <v>416</v>
      </c>
      <c r="AR25">
        <v>0</v>
      </c>
      <c r="AS25">
        <v>0</v>
      </c>
      <c r="AT25">
        <f>1-AR25/AS25</f>
        <v>0</v>
      </c>
      <c r="AU25">
        <v>0.5</v>
      </c>
      <c r="AV25">
        <f>CU25</f>
        <v>0</v>
      </c>
      <c r="AW25">
        <f>J25</f>
        <v>0</v>
      </c>
      <c r="AX25">
        <f>AT25*AU25*AV25</f>
        <v>0</v>
      </c>
      <c r="AY25">
        <f>(AW25-AO25)/AV25</f>
        <v>0</v>
      </c>
      <c r="AZ25">
        <f>(AM25-AS25)/AS25</f>
        <v>0</v>
      </c>
      <c r="BA25">
        <f>AL25/(AN25+AL25/AS25)</f>
        <v>0</v>
      </c>
      <c r="BB25" t="s">
        <v>416</v>
      </c>
      <c r="BC25">
        <v>0</v>
      </c>
      <c r="BD25">
        <f>IF(BC25&lt;&gt;0, BC25, BA25)</f>
        <v>0</v>
      </c>
      <c r="BE25">
        <f>1-BD25/AS25</f>
        <v>0</v>
      </c>
      <c r="BF25">
        <f>(AS25-AR25)/(AS25-BD25)</f>
        <v>0</v>
      </c>
      <c r="BG25">
        <f>(AM25-AS25)/(AM25-BD25)</f>
        <v>0</v>
      </c>
      <c r="BH25">
        <f>(AS25-AR25)/(AS25-AL25)</f>
        <v>0</v>
      </c>
      <c r="BI25">
        <f>(AM25-AS25)/(AM25-AL25)</f>
        <v>0</v>
      </c>
      <c r="BJ25">
        <f>(BF25*BD25/AR25)</f>
        <v>0</v>
      </c>
      <c r="BK25">
        <f>(1-BJ25)</f>
        <v>0</v>
      </c>
      <c r="BL25">
        <v>1211</v>
      </c>
      <c r="BM25">
        <v>290</v>
      </c>
      <c r="BN25">
        <v>854.02</v>
      </c>
      <c r="BO25">
        <v>135</v>
      </c>
      <c r="BP25">
        <v>8118.76</v>
      </c>
      <c r="BQ25">
        <v>850.06</v>
      </c>
      <c r="BR25">
        <v>3.96</v>
      </c>
      <c r="BS25">
        <v>300</v>
      </c>
      <c r="BT25">
        <v>19.3</v>
      </c>
      <c r="BU25">
        <v>879.257022088825</v>
      </c>
      <c r="BV25">
        <v>1.85043100621219</v>
      </c>
      <c r="BW25">
        <v>-23.7015574963064</v>
      </c>
      <c r="BX25">
        <v>1.34141796524398</v>
      </c>
      <c r="BY25">
        <v>0.917694192479961</v>
      </c>
      <c r="BZ25">
        <v>-0.00537916729699666</v>
      </c>
      <c r="CA25">
        <v>290</v>
      </c>
      <c r="CB25">
        <v>841.85</v>
      </c>
      <c r="CC25">
        <v>615</v>
      </c>
      <c r="CD25">
        <v>8099.98</v>
      </c>
      <c r="CE25">
        <v>850</v>
      </c>
      <c r="CF25">
        <v>-8.15</v>
      </c>
      <c r="CT25">
        <f>$B$11*DR25+$C$11*DS25+$F$11*ED25*(1-EG25)</f>
        <v>0</v>
      </c>
      <c r="CU25">
        <f>CT25*CV25</f>
        <v>0</v>
      </c>
      <c r="CV25">
        <f>($B$11*$D$9+$C$11*$D$9+$F$11*((EQ25+EI25)/MAX(EQ25+EI25+ER25, 0.1)*$I$9+ER25/MAX(EQ25+EI25+ER25, 0.1)*$J$9))/($B$11+$C$11+$F$11)</f>
        <v>0</v>
      </c>
      <c r="CW25">
        <f>($B$11*$K$9+$C$11*$K$9+$F$11*((EQ25+EI25)/MAX(EQ25+EI25+ER25, 0.1)*$P$9+ER25/MAX(EQ25+EI25+ER25, 0.1)*$Q$9))/($B$11+$C$11+$F$11)</f>
        <v>0</v>
      </c>
      <c r="CX25">
        <v>2</v>
      </c>
      <c r="CY25">
        <v>0.5</v>
      </c>
      <c r="CZ25" t="s">
        <v>417</v>
      </c>
      <c r="DA25">
        <v>2</v>
      </c>
      <c r="DB25">
        <v>1792398651.1</v>
      </c>
      <c r="DC25">
        <v>991.924</v>
      </c>
      <c r="DD25">
        <v>1000.062</v>
      </c>
      <c r="DE25">
        <v>16.6599</v>
      </c>
      <c r="DF25">
        <v>15.95488</v>
      </c>
      <c r="DG25">
        <v>991.0444</v>
      </c>
      <c r="DH25">
        <v>16.7658</v>
      </c>
      <c r="DI25">
        <v>500.111</v>
      </c>
      <c r="DJ25">
        <v>101.2814</v>
      </c>
      <c r="DK25">
        <v>0.0999416</v>
      </c>
      <c r="DL25">
        <v>24.42592</v>
      </c>
      <c r="DM25">
        <v>25.0336</v>
      </c>
      <c r="DN25">
        <v>999.9</v>
      </c>
      <c r="DO25">
        <v>0</v>
      </c>
      <c r="DP25">
        <v>0</v>
      </c>
      <c r="DQ25">
        <v>9997.49</v>
      </c>
      <c r="DR25">
        <v>0</v>
      </c>
      <c r="DS25">
        <v>6.21985</v>
      </c>
      <c r="DT25">
        <v>-8.137512</v>
      </c>
      <c r="DU25">
        <v>1008.728</v>
      </c>
      <c r="DV25">
        <v>1016.276</v>
      </c>
      <c r="DW25">
        <v>0.7050254</v>
      </c>
      <c r="DX25">
        <v>1000.062</v>
      </c>
      <c r="DY25">
        <v>15.95488</v>
      </c>
      <c r="DZ25">
        <v>1.687342</v>
      </c>
      <c r="EA25">
        <v>1.615932</v>
      </c>
      <c r="EB25">
        <v>14.78044</v>
      </c>
      <c r="EC25">
        <v>14.1116</v>
      </c>
      <c r="ED25">
        <v>1500.02</v>
      </c>
      <c r="EE25">
        <v>0.9730042</v>
      </c>
      <c r="EF25">
        <v>0.0269959</v>
      </c>
      <c r="EG25">
        <v>0</v>
      </c>
      <c r="EH25">
        <v>341.0306</v>
      </c>
      <c r="EI25">
        <v>5.00064</v>
      </c>
      <c r="EJ25">
        <v>5294.564</v>
      </c>
      <c r="EK25">
        <v>15439.44</v>
      </c>
      <c r="EL25">
        <v>40.75</v>
      </c>
      <c r="EM25">
        <v>41.4496</v>
      </c>
      <c r="EN25">
        <v>41.125</v>
      </c>
      <c r="EO25">
        <v>41</v>
      </c>
      <c r="EP25">
        <v>42.187</v>
      </c>
      <c r="EQ25">
        <v>1454.66</v>
      </c>
      <c r="ER25">
        <v>40.36</v>
      </c>
      <c r="ES25">
        <v>0</v>
      </c>
      <c r="ET25">
        <v>8175</v>
      </c>
      <c r="EU25">
        <v>0</v>
      </c>
      <c r="EV25">
        <v>341.08636</v>
      </c>
      <c r="EW25">
        <v>0.0150000069175788</v>
      </c>
      <c r="EX25">
        <v>-2.45461538278372</v>
      </c>
      <c r="EY25">
        <v>5294.582</v>
      </c>
      <c r="EZ25">
        <v>15</v>
      </c>
      <c r="FA25">
        <v>1792398595.1</v>
      </c>
      <c r="FB25" t="s">
        <v>446</v>
      </c>
      <c r="FC25">
        <v>1792398595.1</v>
      </c>
      <c r="FD25">
        <v>1792398589.1</v>
      </c>
      <c r="FE25">
        <v>83</v>
      </c>
      <c r="FF25">
        <v>-0.19</v>
      </c>
      <c r="FG25">
        <v>0.002</v>
      </c>
      <c r="FH25">
        <v>0.885</v>
      </c>
      <c r="FI25">
        <v>-0.131</v>
      </c>
      <c r="FJ25">
        <v>1000</v>
      </c>
      <c r="FK25">
        <v>16</v>
      </c>
      <c r="FL25">
        <v>0.14</v>
      </c>
      <c r="FM25">
        <v>0.12</v>
      </c>
      <c r="FN25">
        <v>18.4429821561887</v>
      </c>
      <c r="FO25">
        <v>0.0243875732873358</v>
      </c>
      <c r="FP25">
        <v>0.194638739239962</v>
      </c>
      <c r="FQ25">
        <v>1</v>
      </c>
      <c r="FR25">
        <v>-8.1100245</v>
      </c>
      <c r="FS25">
        <v>0.0857959398496136</v>
      </c>
      <c r="FT25">
        <v>0.0764614435826973</v>
      </c>
      <c r="FU25">
        <v>1</v>
      </c>
      <c r="FV25">
        <v>341.043058823529</v>
      </c>
      <c r="FW25">
        <v>0.456867842758116</v>
      </c>
      <c r="FX25">
        <v>0.19499863365682</v>
      </c>
      <c r="FY25">
        <v>1</v>
      </c>
      <c r="FZ25">
        <v>3</v>
      </c>
      <c r="GA25">
        <v>3</v>
      </c>
      <c r="GB25" t="s">
        <v>419</v>
      </c>
      <c r="GC25">
        <v>3.12344</v>
      </c>
      <c r="GD25">
        <v>2.76526</v>
      </c>
      <c r="GE25">
        <v>0.165136</v>
      </c>
      <c r="GF25">
        <v>0.170298</v>
      </c>
      <c r="GG25">
        <v>0.0902965</v>
      </c>
      <c r="GH25">
        <v>0.0906021</v>
      </c>
      <c r="GI25">
        <v>16266.2</v>
      </c>
      <c r="GJ25">
        <v>24396.6</v>
      </c>
      <c r="GK25">
        <v>22765</v>
      </c>
      <c r="GL25">
        <v>30128.6</v>
      </c>
      <c r="GM25">
        <v>33972.4</v>
      </c>
      <c r="GN25">
        <v>34144.3</v>
      </c>
      <c r="GO25">
        <v>43068.8</v>
      </c>
      <c r="GP25">
        <v>42918.3</v>
      </c>
      <c r="GQ25">
        <v>1.9778</v>
      </c>
      <c r="GR25">
        <v>1.82835</v>
      </c>
      <c r="GS25">
        <v>0.105113</v>
      </c>
      <c r="GT25">
        <v>0</v>
      </c>
      <c r="GU25">
        <v>23.3003</v>
      </c>
      <c r="GV25">
        <v>999.9</v>
      </c>
      <c r="GW25">
        <v>40.563</v>
      </c>
      <c r="GX25">
        <v>32.045</v>
      </c>
      <c r="GY25">
        <v>19.173</v>
      </c>
      <c r="GZ25">
        <v>63.2497</v>
      </c>
      <c r="HA25">
        <v>33.75</v>
      </c>
      <c r="HB25">
        <v>1</v>
      </c>
      <c r="HC25">
        <v>0.0383181</v>
      </c>
      <c r="HD25">
        <v>2.87853</v>
      </c>
      <c r="HE25">
        <v>20.1418</v>
      </c>
      <c r="HF25">
        <v>5.23481</v>
      </c>
      <c r="HG25">
        <v>11.962</v>
      </c>
      <c r="HH25">
        <v>4.9695</v>
      </c>
      <c r="HI25">
        <v>3.295</v>
      </c>
      <c r="HJ25">
        <v>999.9</v>
      </c>
      <c r="HK25">
        <v>9999</v>
      </c>
      <c r="HL25">
        <v>9999</v>
      </c>
      <c r="HM25">
        <v>9999</v>
      </c>
      <c r="HN25">
        <v>4.96966</v>
      </c>
      <c r="HO25">
        <v>1.86359</v>
      </c>
      <c r="HP25">
        <v>1.8651</v>
      </c>
      <c r="HQ25">
        <v>1.86707</v>
      </c>
      <c r="HR25">
        <v>1.86406</v>
      </c>
      <c r="HS25">
        <v>1.86777</v>
      </c>
      <c r="HT25">
        <v>1.86448</v>
      </c>
      <c r="HU25">
        <v>1.86646</v>
      </c>
      <c r="HV25">
        <v>0</v>
      </c>
      <c r="HW25">
        <v>0</v>
      </c>
      <c r="HX25">
        <v>0</v>
      </c>
      <c r="HY25">
        <v>0</v>
      </c>
      <c r="HZ25" t="s">
        <v>420</v>
      </c>
      <c r="IA25" t="s">
        <v>421</v>
      </c>
      <c r="IB25" t="s">
        <v>422</v>
      </c>
      <c r="IC25" t="s">
        <v>422</v>
      </c>
      <c r="ID25" t="s">
        <v>422</v>
      </c>
      <c r="IE25" t="s">
        <v>422</v>
      </c>
      <c r="IF25">
        <v>0</v>
      </c>
      <c r="IG25">
        <v>100</v>
      </c>
      <c r="IH25">
        <v>100</v>
      </c>
      <c r="II25">
        <v>0.88</v>
      </c>
      <c r="IJ25">
        <v>-0.1062</v>
      </c>
      <c r="IK25">
        <v>0.450157224752653</v>
      </c>
      <c r="IL25">
        <v>0.000216929631606078</v>
      </c>
      <c r="IM25">
        <v>2.72263024731635e-07</v>
      </c>
      <c r="IN25">
        <v>-5.43792051235154e-11</v>
      </c>
      <c r="IO25">
        <v>0.0132582197425327</v>
      </c>
      <c r="IP25">
        <v>-0.0584433849545669</v>
      </c>
      <c r="IQ25">
        <v>0.00341568706061026</v>
      </c>
      <c r="IR25">
        <v>-2.10952612506686e-05</v>
      </c>
      <c r="IS25">
        <v>-0</v>
      </c>
      <c r="IT25">
        <v>1734</v>
      </c>
      <c r="IU25">
        <v>2</v>
      </c>
      <c r="IV25">
        <v>19</v>
      </c>
      <c r="IW25">
        <v>1</v>
      </c>
      <c r="IX25">
        <v>1.1</v>
      </c>
      <c r="IY25">
        <v>2.17773</v>
      </c>
      <c r="IZ25">
        <v>2.57446</v>
      </c>
      <c r="JA25">
        <v>1.34644</v>
      </c>
      <c r="JB25">
        <v>2.26074</v>
      </c>
      <c r="JC25">
        <v>1.55029</v>
      </c>
      <c r="JD25">
        <v>2.40845</v>
      </c>
      <c r="JE25">
        <v>37.1702</v>
      </c>
      <c r="JF25">
        <v>23.9737</v>
      </c>
      <c r="JG25">
        <v>18</v>
      </c>
      <c r="JH25">
        <v>500.346</v>
      </c>
      <c r="JI25">
        <v>482.47</v>
      </c>
      <c r="JJ25">
        <v>20.3714</v>
      </c>
      <c r="JK25">
        <v>27.6581</v>
      </c>
      <c r="JL25">
        <v>30.0002</v>
      </c>
      <c r="JM25">
        <v>27.636</v>
      </c>
      <c r="JN25">
        <v>27.6464</v>
      </c>
      <c r="JO25">
        <v>43.5972</v>
      </c>
      <c r="JP25">
        <v>25.9793</v>
      </c>
      <c r="JQ25">
        <v>32.0777</v>
      </c>
      <c r="JR25">
        <v>20.3683</v>
      </c>
      <c r="JS25">
        <v>1000</v>
      </c>
      <c r="JT25">
        <v>15.9648</v>
      </c>
      <c r="JU25">
        <v>101.7</v>
      </c>
      <c r="JV25">
        <v>97.4507</v>
      </c>
    </row>
    <row r="26" spans="1:282">
      <c r="A26">
        <v>10</v>
      </c>
      <c r="B26">
        <v>1792398777.1</v>
      </c>
      <c r="C26">
        <v>1119.09999990463</v>
      </c>
      <c r="D26" t="s">
        <v>447</v>
      </c>
      <c r="E26" t="s">
        <v>448</v>
      </c>
      <c r="F26">
        <v>5</v>
      </c>
      <c r="G26">
        <v>1792398774.1</v>
      </c>
      <c r="H26">
        <f>(I26)/1000</f>
        <v>0</v>
      </c>
      <c r="I26">
        <f>1000*DI26*AG26*(DE26-DF26)/(100*CX26*(1000-AG26*DE26))</f>
        <v>0</v>
      </c>
      <c r="J26">
        <f>DI26*AG26*(DD26-DC26*(1000-AG26*DF26)/(1000-AG26*DE26))/(100*CX26)</f>
        <v>0</v>
      </c>
      <c r="K26">
        <f>DC26 - IF(AG26&gt;1, J26*CX26*100.0/(AI26), 0)</f>
        <v>0</v>
      </c>
      <c r="L26">
        <f>((R26-H26/2)*K26-J26)/(R26+H26/2)</f>
        <v>0</v>
      </c>
      <c r="M26">
        <f>L26*(DJ26+DK26)/1000.0</f>
        <v>0</v>
      </c>
      <c r="N26">
        <f>(DC26 - IF(AG26&gt;1, J26*CX26*100.0/(AI26), 0))*(DJ26+DK26)/1000.0</f>
        <v>0</v>
      </c>
      <c r="O26">
        <f>2.0/((1/Q26-1/P26)+SIGN(Q26)*SQRT((1/Q26-1/P26)*(1/Q26-1/P26) + 4*CY26/((CY26+1)*(CY26+1))*(2*1/Q26*1/P26-1/P26*1/P26)))</f>
        <v>0</v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>0</v>
      </c>
      <c r="Q26">
        <f>H26*(1000-(1000*0.61365*exp(17.502*U26/(240.97+U26))/(DJ26+DK26)+DE26)/2)/(1000*0.61365*exp(17.502*U26/(240.97+U26))/(DJ26+DK26)-DE26)</f>
        <v>0</v>
      </c>
      <c r="R26">
        <f>1/((CY26+1)/(O26/1.6)+1/(P26/1.37)) + CY26/((CY26+1)/(O26/1.6) + CY26/(P26/1.37))</f>
        <v>0</v>
      </c>
      <c r="S26">
        <f>(CT26*CW26)</f>
        <v>0</v>
      </c>
      <c r="T26">
        <f>(DL26+(S26+2*0.95*5.67E-8*(((DL26+$B$7)+273)^4-(DL26+273)^4)-44100*H26)/(1.84*29.3*P26+8*0.95*5.67E-8*(DL26+273)^3))</f>
        <v>0</v>
      </c>
      <c r="U26">
        <f>($C$7*DM26+$D$7*DN26+$E$7*T26)</f>
        <v>0</v>
      </c>
      <c r="V26">
        <f>0.61365*exp(17.502*U26/(240.97+U26))</f>
        <v>0</v>
      </c>
      <c r="W26">
        <f>(X26/Y26*100)</f>
        <v>0</v>
      </c>
      <c r="X26">
        <f>DE26*(DJ26+DK26)/1000</f>
        <v>0</v>
      </c>
      <c r="Y26">
        <f>0.61365*exp(17.502*DL26/(240.97+DL26))</f>
        <v>0</v>
      </c>
      <c r="Z26">
        <f>(V26-DE26*(DJ26+DK26)/1000)</f>
        <v>0</v>
      </c>
      <c r="AA26">
        <f>(-H26*44100)</f>
        <v>0</v>
      </c>
      <c r="AB26">
        <f>2*29.3*P26*0.92*(DL26-U26)</f>
        <v>0</v>
      </c>
      <c r="AC26">
        <f>2*0.95*5.67E-8*(((DL26+$B$7)+273)^4-(U26+273)^4)</f>
        <v>0</v>
      </c>
      <c r="AD26">
        <f>S26+AC26+AA26+AB26</f>
        <v>0</v>
      </c>
      <c r="AE26">
        <v>0</v>
      </c>
      <c r="AF26">
        <v>0</v>
      </c>
      <c r="AG26">
        <f>IF(AE26*$H$13&gt;=AI26,1.0,(AI26/(AI26-AE26*$H$13)))</f>
        <v>0</v>
      </c>
      <c r="AH26">
        <f>(AG26-1)*100</f>
        <v>0</v>
      </c>
      <c r="AI26">
        <f>MAX(0,($B$13+$C$13*DQ26)/(1+$D$13*DQ26)*DJ26/(DL26+273)*$E$13)</f>
        <v>0</v>
      </c>
      <c r="AJ26" t="s">
        <v>416</v>
      </c>
      <c r="AK26" t="s">
        <v>416</v>
      </c>
      <c r="AL26">
        <v>0</v>
      </c>
      <c r="AM26">
        <v>0</v>
      </c>
      <c r="AN26">
        <f>1-AL26/AM26</f>
        <v>0</v>
      </c>
      <c r="AO26">
        <v>0</v>
      </c>
      <c r="AP26" t="s">
        <v>416</v>
      </c>
      <c r="AQ26" t="s">
        <v>416</v>
      </c>
      <c r="AR26">
        <v>0</v>
      </c>
      <c r="AS26">
        <v>0</v>
      </c>
      <c r="AT26">
        <f>1-AR26/AS26</f>
        <v>0</v>
      </c>
      <c r="AU26">
        <v>0.5</v>
      </c>
      <c r="AV26">
        <f>CU26</f>
        <v>0</v>
      </c>
      <c r="AW26">
        <f>J26</f>
        <v>0</v>
      </c>
      <c r="AX26">
        <f>AT26*AU26*AV26</f>
        <v>0</v>
      </c>
      <c r="AY26">
        <f>(AW26-AO26)/AV26</f>
        <v>0</v>
      </c>
      <c r="AZ26">
        <f>(AM26-AS26)/AS26</f>
        <v>0</v>
      </c>
      <c r="BA26">
        <f>AL26/(AN26+AL26/AS26)</f>
        <v>0</v>
      </c>
      <c r="BB26" t="s">
        <v>416</v>
      </c>
      <c r="BC26">
        <v>0</v>
      </c>
      <c r="BD26">
        <f>IF(BC26&lt;&gt;0, BC26, BA26)</f>
        <v>0</v>
      </c>
      <c r="BE26">
        <f>1-BD26/AS26</f>
        <v>0</v>
      </c>
      <c r="BF26">
        <f>(AS26-AR26)/(AS26-BD26)</f>
        <v>0</v>
      </c>
      <c r="BG26">
        <f>(AM26-AS26)/(AM26-BD26)</f>
        <v>0</v>
      </c>
      <c r="BH26">
        <f>(AS26-AR26)/(AS26-AL26)</f>
        <v>0</v>
      </c>
      <c r="BI26">
        <f>(AM26-AS26)/(AM26-AL26)</f>
        <v>0</v>
      </c>
      <c r="BJ26">
        <f>(BF26*BD26/AR26)</f>
        <v>0</v>
      </c>
      <c r="BK26">
        <f>(1-BJ26)</f>
        <v>0</v>
      </c>
      <c r="BL26">
        <v>1211</v>
      </c>
      <c r="BM26">
        <v>290</v>
      </c>
      <c r="BN26">
        <v>854.02</v>
      </c>
      <c r="BO26">
        <v>135</v>
      </c>
      <c r="BP26">
        <v>8118.76</v>
      </c>
      <c r="BQ26">
        <v>850.06</v>
      </c>
      <c r="BR26">
        <v>3.96</v>
      </c>
      <c r="BS26">
        <v>300</v>
      </c>
      <c r="BT26">
        <v>19.3</v>
      </c>
      <c r="BU26">
        <v>879.257022088825</v>
      </c>
      <c r="BV26">
        <v>1.85043100621219</v>
      </c>
      <c r="BW26">
        <v>-23.7015574963064</v>
      </c>
      <c r="BX26">
        <v>1.34141796524398</v>
      </c>
      <c r="BY26">
        <v>0.917694192479961</v>
      </c>
      <c r="BZ26">
        <v>-0.00537916729699666</v>
      </c>
      <c r="CA26">
        <v>290</v>
      </c>
      <c r="CB26">
        <v>841.85</v>
      </c>
      <c r="CC26">
        <v>615</v>
      </c>
      <c r="CD26">
        <v>8099.98</v>
      </c>
      <c r="CE26">
        <v>850</v>
      </c>
      <c r="CF26">
        <v>-8.15</v>
      </c>
      <c r="CT26">
        <f>$B$11*DR26+$C$11*DS26+$F$11*ED26*(1-EG26)</f>
        <v>0</v>
      </c>
      <c r="CU26">
        <f>CT26*CV26</f>
        <v>0</v>
      </c>
      <c r="CV26">
        <f>($B$11*$D$9+$C$11*$D$9+$F$11*((EQ26+EI26)/MAX(EQ26+EI26+ER26, 0.1)*$I$9+ER26/MAX(EQ26+EI26+ER26, 0.1)*$J$9))/($B$11+$C$11+$F$11)</f>
        <v>0</v>
      </c>
      <c r="CW26">
        <f>($B$11*$K$9+$C$11*$K$9+$F$11*((EQ26+EI26)/MAX(EQ26+EI26+ER26, 0.1)*$P$9+ER26/MAX(EQ26+EI26+ER26, 0.1)*$Q$9))/($B$11+$C$11+$F$11)</f>
        <v>0</v>
      </c>
      <c r="CX26">
        <v>2</v>
      </c>
      <c r="CY26">
        <v>0.5</v>
      </c>
      <c r="CZ26" t="s">
        <v>417</v>
      </c>
      <c r="DA26">
        <v>2</v>
      </c>
      <c r="DB26">
        <v>1792398774.1</v>
      </c>
      <c r="DC26">
        <v>1191.888</v>
      </c>
      <c r="DD26">
        <v>1200.012</v>
      </c>
      <c r="DE26">
        <v>16.59526</v>
      </c>
      <c r="DF26">
        <v>16.1157</v>
      </c>
      <c r="DG26">
        <v>1190.4</v>
      </c>
      <c r="DH26">
        <v>16.70096</v>
      </c>
      <c r="DI26">
        <v>499.9142</v>
      </c>
      <c r="DJ26">
        <v>101.2688</v>
      </c>
      <c r="DK26">
        <v>0.0999086</v>
      </c>
      <c r="DL26">
        <v>24.2805</v>
      </c>
      <c r="DM26">
        <v>25.02344</v>
      </c>
      <c r="DN26">
        <v>999.9</v>
      </c>
      <c r="DO26">
        <v>0</v>
      </c>
      <c r="DP26">
        <v>0</v>
      </c>
      <c r="DQ26">
        <v>9994.48</v>
      </c>
      <c r="DR26">
        <v>0</v>
      </c>
      <c r="DS26">
        <v>6.21985</v>
      </c>
      <c r="DT26">
        <v>-8.122436</v>
      </c>
      <c r="DU26">
        <v>1212</v>
      </c>
      <c r="DV26">
        <v>1219.664</v>
      </c>
      <c r="DW26">
        <v>0.4795276</v>
      </c>
      <c r="DX26">
        <v>1200.012</v>
      </c>
      <c r="DY26">
        <v>16.1157</v>
      </c>
      <c r="DZ26">
        <v>1.680578</v>
      </c>
      <c r="EA26">
        <v>1.632018</v>
      </c>
      <c r="EB26">
        <v>14.7182</v>
      </c>
      <c r="EC26">
        <v>14.26448</v>
      </c>
      <c r="ED26">
        <v>1499.974</v>
      </c>
      <c r="EE26">
        <v>0.973005</v>
      </c>
      <c r="EF26">
        <v>0.0269951</v>
      </c>
      <c r="EG26">
        <v>0</v>
      </c>
      <c r="EH26">
        <v>340.8716</v>
      </c>
      <c r="EI26">
        <v>5.00064</v>
      </c>
      <c r="EJ26">
        <v>5290.286</v>
      </c>
      <c r="EK26">
        <v>15439</v>
      </c>
      <c r="EL26">
        <v>40.6996</v>
      </c>
      <c r="EM26">
        <v>41.437</v>
      </c>
      <c r="EN26">
        <v>41.062</v>
      </c>
      <c r="EO26">
        <v>41</v>
      </c>
      <c r="EP26">
        <v>42.187</v>
      </c>
      <c r="EQ26">
        <v>1454.614</v>
      </c>
      <c r="ER26">
        <v>40.36</v>
      </c>
      <c r="ES26">
        <v>0</v>
      </c>
      <c r="ET26">
        <v>8298</v>
      </c>
      <c r="EU26">
        <v>0</v>
      </c>
      <c r="EV26">
        <v>340.847153846154</v>
      </c>
      <c r="EW26">
        <v>-0.084034181943887</v>
      </c>
      <c r="EX26">
        <v>-2.86803416792638</v>
      </c>
      <c r="EY26">
        <v>5290.44423076923</v>
      </c>
      <c r="EZ26">
        <v>15</v>
      </c>
      <c r="FA26">
        <v>1792398732.1</v>
      </c>
      <c r="FB26" t="s">
        <v>449</v>
      </c>
      <c r="FC26">
        <v>1792398732.1</v>
      </c>
      <c r="FD26">
        <v>1792398716.1</v>
      </c>
      <c r="FE26">
        <v>84</v>
      </c>
      <c r="FF26">
        <v>0.483</v>
      </c>
      <c r="FG26">
        <v>0.003</v>
      </c>
      <c r="FH26">
        <v>1.491</v>
      </c>
      <c r="FI26">
        <v>-0.126</v>
      </c>
      <c r="FJ26">
        <v>1200</v>
      </c>
      <c r="FK26">
        <v>16</v>
      </c>
      <c r="FL26">
        <v>0.27</v>
      </c>
      <c r="FM26">
        <v>0.09</v>
      </c>
      <c r="FN26">
        <v>18.8497419884311</v>
      </c>
      <c r="FO26">
        <v>-0.425964891137721</v>
      </c>
      <c r="FP26">
        <v>0.136943884980405</v>
      </c>
      <c r="FQ26">
        <v>1</v>
      </c>
      <c r="FR26">
        <v>-8.119037</v>
      </c>
      <c r="FS26">
        <v>0.0755837593985094</v>
      </c>
      <c r="FT26">
        <v>0.0440763778117033</v>
      </c>
      <c r="FU26">
        <v>1</v>
      </c>
      <c r="FV26">
        <v>340.878205882353</v>
      </c>
      <c r="FW26">
        <v>-0.735813598425176</v>
      </c>
      <c r="FX26">
        <v>0.209349381405368</v>
      </c>
      <c r="FY26">
        <v>1</v>
      </c>
      <c r="FZ26">
        <v>3</v>
      </c>
      <c r="GA26">
        <v>3</v>
      </c>
      <c r="GB26" t="s">
        <v>419</v>
      </c>
      <c r="GC26">
        <v>3.12357</v>
      </c>
      <c r="GD26">
        <v>2.76535</v>
      </c>
      <c r="GE26">
        <v>0.18495</v>
      </c>
      <c r="GF26">
        <v>0.190581</v>
      </c>
      <c r="GG26">
        <v>0.0900538</v>
      </c>
      <c r="GH26">
        <v>0.091245</v>
      </c>
      <c r="GI26">
        <v>15880.3</v>
      </c>
      <c r="GJ26">
        <v>23800.7</v>
      </c>
      <c r="GK26">
        <v>22765</v>
      </c>
      <c r="GL26">
        <v>30129.1</v>
      </c>
      <c r="GM26">
        <v>33983.3</v>
      </c>
      <c r="GN26">
        <v>34122.3</v>
      </c>
      <c r="GO26">
        <v>43069.3</v>
      </c>
      <c r="GP26">
        <v>42919.4</v>
      </c>
      <c r="GQ26">
        <v>1.97765</v>
      </c>
      <c r="GR26">
        <v>1.8284</v>
      </c>
      <c r="GS26">
        <v>0.111748</v>
      </c>
      <c r="GT26">
        <v>0</v>
      </c>
      <c r="GU26">
        <v>23.1976</v>
      </c>
      <c r="GV26">
        <v>999.9</v>
      </c>
      <c r="GW26">
        <v>40.551</v>
      </c>
      <c r="GX26">
        <v>32.086</v>
      </c>
      <c r="GY26">
        <v>19.2133</v>
      </c>
      <c r="GZ26">
        <v>63.3097</v>
      </c>
      <c r="HA26">
        <v>33.5537</v>
      </c>
      <c r="HB26">
        <v>1</v>
      </c>
      <c r="HC26">
        <v>0.0374898</v>
      </c>
      <c r="HD26">
        <v>2.71048</v>
      </c>
      <c r="HE26">
        <v>20.1445</v>
      </c>
      <c r="HF26">
        <v>5.23466</v>
      </c>
      <c r="HG26">
        <v>11.962</v>
      </c>
      <c r="HH26">
        <v>4.9694</v>
      </c>
      <c r="HI26">
        <v>3.295</v>
      </c>
      <c r="HJ26">
        <v>999.9</v>
      </c>
      <c r="HK26">
        <v>9999</v>
      </c>
      <c r="HL26">
        <v>9999</v>
      </c>
      <c r="HM26">
        <v>9999</v>
      </c>
      <c r="HN26">
        <v>4.96968</v>
      </c>
      <c r="HO26">
        <v>1.86362</v>
      </c>
      <c r="HP26">
        <v>1.86514</v>
      </c>
      <c r="HQ26">
        <v>1.86707</v>
      </c>
      <c r="HR26">
        <v>1.86412</v>
      </c>
      <c r="HS26">
        <v>1.86782</v>
      </c>
      <c r="HT26">
        <v>1.86449</v>
      </c>
      <c r="HU26">
        <v>1.86646</v>
      </c>
      <c r="HV26">
        <v>0</v>
      </c>
      <c r="HW26">
        <v>0</v>
      </c>
      <c r="HX26">
        <v>0</v>
      </c>
      <c r="HY26">
        <v>0</v>
      </c>
      <c r="HZ26" t="s">
        <v>420</v>
      </c>
      <c r="IA26" t="s">
        <v>421</v>
      </c>
      <c r="IB26" t="s">
        <v>422</v>
      </c>
      <c r="IC26" t="s">
        <v>422</v>
      </c>
      <c r="ID26" t="s">
        <v>422</v>
      </c>
      <c r="IE26" t="s">
        <v>422</v>
      </c>
      <c r="IF26">
        <v>0</v>
      </c>
      <c r="IG26">
        <v>100</v>
      </c>
      <c r="IH26">
        <v>100</v>
      </c>
      <c r="II26">
        <v>1.49</v>
      </c>
      <c r="IJ26">
        <v>-0.1058</v>
      </c>
      <c r="IK26">
        <v>0.933303917457791</v>
      </c>
      <c r="IL26">
        <v>0.000216929631606078</v>
      </c>
      <c r="IM26">
        <v>2.72263024731635e-07</v>
      </c>
      <c r="IN26">
        <v>-5.43792051235154e-11</v>
      </c>
      <c r="IO26">
        <v>0.0158664059655983</v>
      </c>
      <c r="IP26">
        <v>-0.0584433849545669</v>
      </c>
      <c r="IQ26">
        <v>0.00341568706061026</v>
      </c>
      <c r="IR26">
        <v>-2.10952612506686e-05</v>
      </c>
      <c r="IS26">
        <v>-0</v>
      </c>
      <c r="IT26">
        <v>1734</v>
      </c>
      <c r="IU26">
        <v>2</v>
      </c>
      <c r="IV26">
        <v>19</v>
      </c>
      <c r="IW26">
        <v>0.8</v>
      </c>
      <c r="IX26">
        <v>1</v>
      </c>
      <c r="IY26">
        <v>2.51953</v>
      </c>
      <c r="IZ26">
        <v>2.56836</v>
      </c>
      <c r="JA26">
        <v>1.34644</v>
      </c>
      <c r="JB26">
        <v>2.25952</v>
      </c>
      <c r="JC26">
        <v>1.55029</v>
      </c>
      <c r="JD26">
        <v>2.48291</v>
      </c>
      <c r="JE26">
        <v>37.3858</v>
      </c>
      <c r="JF26">
        <v>23.9824</v>
      </c>
      <c r="JG26">
        <v>18</v>
      </c>
      <c r="JH26">
        <v>500.252</v>
      </c>
      <c r="JI26">
        <v>482.505</v>
      </c>
      <c r="JJ26">
        <v>20.2488</v>
      </c>
      <c r="JK26">
        <v>27.6605</v>
      </c>
      <c r="JL26">
        <v>30.0002</v>
      </c>
      <c r="JM26">
        <v>27.636</v>
      </c>
      <c r="JN26">
        <v>27.6464</v>
      </c>
      <c r="JO26">
        <v>50.4323</v>
      </c>
      <c r="JP26">
        <v>25.2321</v>
      </c>
      <c r="JQ26">
        <v>32.0777</v>
      </c>
      <c r="JR26">
        <v>20.2298</v>
      </c>
      <c r="JS26">
        <v>1200</v>
      </c>
      <c r="JT26">
        <v>16.065</v>
      </c>
      <c r="JU26">
        <v>101.7</v>
      </c>
      <c r="JV26">
        <v>97.4528</v>
      </c>
    </row>
    <row r="27" spans="1:282">
      <c r="A27">
        <v>11</v>
      </c>
      <c r="B27">
        <v>1792398915.1</v>
      </c>
      <c r="C27">
        <v>1257.09999990463</v>
      </c>
      <c r="D27" t="s">
        <v>450</v>
      </c>
      <c r="E27" t="s">
        <v>451</v>
      </c>
      <c r="F27">
        <v>5</v>
      </c>
      <c r="G27">
        <v>1792398911.6</v>
      </c>
      <c r="H27">
        <f>(I27)/1000</f>
        <v>0</v>
      </c>
      <c r="I27">
        <f>1000*DI27*AG27*(DE27-DF27)/(100*CX27*(1000-AG27*DE27))</f>
        <v>0</v>
      </c>
      <c r="J27">
        <f>DI27*AG27*(DD27-DC27*(1000-AG27*DF27)/(1000-AG27*DE27))/(100*CX27)</f>
        <v>0</v>
      </c>
      <c r="K27">
        <f>DC27 - IF(AG27&gt;1, J27*CX27*100.0/(AI27), 0)</f>
        <v>0</v>
      </c>
      <c r="L27">
        <f>((R27-H27/2)*K27-J27)/(R27+H27/2)</f>
        <v>0</v>
      </c>
      <c r="M27">
        <f>L27*(DJ27+DK27)/1000.0</f>
        <v>0</v>
      </c>
      <c r="N27">
        <f>(DC27 - IF(AG27&gt;1, J27*CX27*100.0/(AI27), 0))*(DJ27+DK27)/1000.0</f>
        <v>0</v>
      </c>
      <c r="O27">
        <f>2.0/((1/Q27-1/P27)+SIGN(Q27)*SQRT((1/Q27-1/P27)*(1/Q27-1/P27) + 4*CY27/((CY27+1)*(CY27+1))*(2*1/Q27*1/P27-1/P27*1/P27)))</f>
        <v>0</v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>0</v>
      </c>
      <c r="Q27">
        <f>H27*(1000-(1000*0.61365*exp(17.502*U27/(240.97+U27))/(DJ27+DK27)+DE27)/2)/(1000*0.61365*exp(17.502*U27/(240.97+U27))/(DJ27+DK27)-DE27)</f>
        <v>0</v>
      </c>
      <c r="R27">
        <f>1/((CY27+1)/(O27/1.6)+1/(P27/1.37)) + CY27/((CY27+1)/(O27/1.6) + CY27/(P27/1.37))</f>
        <v>0</v>
      </c>
      <c r="S27">
        <f>(CT27*CW27)</f>
        <v>0</v>
      </c>
      <c r="T27">
        <f>(DL27+(S27+2*0.95*5.67E-8*(((DL27+$B$7)+273)^4-(DL27+273)^4)-44100*H27)/(1.84*29.3*P27+8*0.95*5.67E-8*(DL27+273)^3))</f>
        <v>0</v>
      </c>
      <c r="U27">
        <f>($C$7*DM27+$D$7*DN27+$E$7*T27)</f>
        <v>0</v>
      </c>
      <c r="V27">
        <f>0.61365*exp(17.502*U27/(240.97+U27))</f>
        <v>0</v>
      </c>
      <c r="W27">
        <f>(X27/Y27*100)</f>
        <v>0</v>
      </c>
      <c r="X27">
        <f>DE27*(DJ27+DK27)/1000</f>
        <v>0</v>
      </c>
      <c r="Y27">
        <f>0.61365*exp(17.502*DL27/(240.97+DL27))</f>
        <v>0</v>
      </c>
      <c r="Z27">
        <f>(V27-DE27*(DJ27+DK27)/1000)</f>
        <v>0</v>
      </c>
      <c r="AA27">
        <f>(-H27*44100)</f>
        <v>0</v>
      </c>
      <c r="AB27">
        <f>2*29.3*P27*0.92*(DL27-U27)</f>
        <v>0</v>
      </c>
      <c r="AC27">
        <f>2*0.95*5.67E-8*(((DL27+$B$7)+273)^4-(U27+273)^4)</f>
        <v>0</v>
      </c>
      <c r="AD27">
        <f>S27+AC27+AA27+AB27</f>
        <v>0</v>
      </c>
      <c r="AE27">
        <v>0</v>
      </c>
      <c r="AF27">
        <v>0</v>
      </c>
      <c r="AG27">
        <f>IF(AE27*$H$13&gt;=AI27,1.0,(AI27/(AI27-AE27*$H$13)))</f>
        <v>0</v>
      </c>
      <c r="AH27">
        <f>(AG27-1)*100</f>
        <v>0</v>
      </c>
      <c r="AI27">
        <f>MAX(0,($B$13+$C$13*DQ27)/(1+$D$13*DQ27)*DJ27/(DL27+273)*$E$13)</f>
        <v>0</v>
      </c>
      <c r="AJ27" t="s">
        <v>416</v>
      </c>
      <c r="AK27" t="s">
        <v>416</v>
      </c>
      <c r="AL27">
        <v>0</v>
      </c>
      <c r="AM27">
        <v>0</v>
      </c>
      <c r="AN27">
        <f>1-AL27/AM27</f>
        <v>0</v>
      </c>
      <c r="AO27">
        <v>0</v>
      </c>
      <c r="AP27" t="s">
        <v>416</v>
      </c>
      <c r="AQ27" t="s">
        <v>416</v>
      </c>
      <c r="AR27">
        <v>0</v>
      </c>
      <c r="AS27">
        <v>0</v>
      </c>
      <c r="AT27">
        <f>1-AR27/AS27</f>
        <v>0</v>
      </c>
      <c r="AU27">
        <v>0.5</v>
      </c>
      <c r="AV27">
        <f>CU27</f>
        <v>0</v>
      </c>
      <c r="AW27">
        <f>J27</f>
        <v>0</v>
      </c>
      <c r="AX27">
        <f>AT27*AU27*AV27</f>
        <v>0</v>
      </c>
      <c r="AY27">
        <f>(AW27-AO27)/AV27</f>
        <v>0</v>
      </c>
      <c r="AZ27">
        <f>(AM27-AS27)/AS27</f>
        <v>0</v>
      </c>
      <c r="BA27">
        <f>AL27/(AN27+AL27/AS27)</f>
        <v>0</v>
      </c>
      <c r="BB27" t="s">
        <v>416</v>
      </c>
      <c r="BC27">
        <v>0</v>
      </c>
      <c r="BD27">
        <f>IF(BC27&lt;&gt;0, BC27, BA27)</f>
        <v>0</v>
      </c>
      <c r="BE27">
        <f>1-BD27/AS27</f>
        <v>0</v>
      </c>
      <c r="BF27">
        <f>(AS27-AR27)/(AS27-BD27)</f>
        <v>0</v>
      </c>
      <c r="BG27">
        <f>(AM27-AS27)/(AM27-BD27)</f>
        <v>0</v>
      </c>
      <c r="BH27">
        <f>(AS27-AR27)/(AS27-AL27)</f>
        <v>0</v>
      </c>
      <c r="BI27">
        <f>(AM27-AS27)/(AM27-AL27)</f>
        <v>0</v>
      </c>
      <c r="BJ27">
        <f>(BF27*BD27/AR27)</f>
        <v>0</v>
      </c>
      <c r="BK27">
        <f>(1-BJ27)</f>
        <v>0</v>
      </c>
      <c r="BL27">
        <v>1211</v>
      </c>
      <c r="BM27">
        <v>290</v>
      </c>
      <c r="BN27">
        <v>854.02</v>
      </c>
      <c r="BO27">
        <v>135</v>
      </c>
      <c r="BP27">
        <v>8118.76</v>
      </c>
      <c r="BQ27">
        <v>850.06</v>
      </c>
      <c r="BR27">
        <v>3.96</v>
      </c>
      <c r="BS27">
        <v>300</v>
      </c>
      <c r="BT27">
        <v>19.3</v>
      </c>
      <c r="BU27">
        <v>879.257022088825</v>
      </c>
      <c r="BV27">
        <v>1.85043100621219</v>
      </c>
      <c r="BW27">
        <v>-23.7015574963064</v>
      </c>
      <c r="BX27">
        <v>1.34141796524398</v>
      </c>
      <c r="BY27">
        <v>0.917694192479961</v>
      </c>
      <c r="BZ27">
        <v>-0.00537916729699666</v>
      </c>
      <c r="CA27">
        <v>290</v>
      </c>
      <c r="CB27">
        <v>841.85</v>
      </c>
      <c r="CC27">
        <v>615</v>
      </c>
      <c r="CD27">
        <v>8099.98</v>
      </c>
      <c r="CE27">
        <v>850</v>
      </c>
      <c r="CF27">
        <v>-8.15</v>
      </c>
      <c r="CT27">
        <f>$B$11*DR27+$C$11*DS27+$F$11*ED27*(1-EG27)</f>
        <v>0</v>
      </c>
      <c r="CU27">
        <f>CT27*CV27</f>
        <v>0</v>
      </c>
      <c r="CV27">
        <f>($B$11*$D$9+$C$11*$D$9+$F$11*((EQ27+EI27)/MAX(EQ27+EI27+ER27, 0.1)*$I$9+ER27/MAX(EQ27+EI27+ER27, 0.1)*$J$9))/($B$11+$C$11+$F$11)</f>
        <v>0</v>
      </c>
      <c r="CW27">
        <f>($B$11*$K$9+$C$11*$K$9+$F$11*((EQ27+EI27)/MAX(EQ27+EI27+ER27, 0.1)*$P$9+ER27/MAX(EQ27+EI27+ER27, 0.1)*$Q$9))/($B$11+$C$11+$F$11)</f>
        <v>0</v>
      </c>
      <c r="CX27">
        <v>2</v>
      </c>
      <c r="CY27">
        <v>0.5</v>
      </c>
      <c r="CZ27" t="s">
        <v>417</v>
      </c>
      <c r="DA27">
        <v>2</v>
      </c>
      <c r="DB27">
        <v>1792398911.6</v>
      </c>
      <c r="DC27">
        <v>1492.10833333333</v>
      </c>
      <c r="DD27">
        <v>1500.00666666667</v>
      </c>
      <c r="DE27">
        <v>16.4148666666667</v>
      </c>
      <c r="DF27">
        <v>16.0807333333333</v>
      </c>
      <c r="DG27">
        <v>1489.97333333333</v>
      </c>
      <c r="DH27">
        <v>16.5272333333333</v>
      </c>
      <c r="DI27">
        <v>500.078333333333</v>
      </c>
      <c r="DJ27">
        <v>101.264666666667</v>
      </c>
      <c r="DK27">
        <v>0.0999468666666667</v>
      </c>
      <c r="DL27">
        <v>24.182</v>
      </c>
      <c r="DM27">
        <v>24.9773</v>
      </c>
      <c r="DN27">
        <v>999.9</v>
      </c>
      <c r="DO27">
        <v>0</v>
      </c>
      <c r="DP27">
        <v>0</v>
      </c>
      <c r="DQ27">
        <v>10003.75</v>
      </c>
      <c r="DR27">
        <v>0</v>
      </c>
      <c r="DS27">
        <v>6.21985</v>
      </c>
      <c r="DT27">
        <v>-7.89736</v>
      </c>
      <c r="DU27">
        <v>1517.01166666667</v>
      </c>
      <c r="DV27">
        <v>1524.52166666667</v>
      </c>
      <c r="DW27">
        <v>0.3341395</v>
      </c>
      <c r="DX27">
        <v>1500.00666666667</v>
      </c>
      <c r="DY27">
        <v>16.0807333333333</v>
      </c>
      <c r="DZ27">
        <v>1.66224666666667</v>
      </c>
      <c r="EA27">
        <v>1.62841</v>
      </c>
      <c r="EB27">
        <v>14.5482666666667</v>
      </c>
      <c r="EC27">
        <v>14.2303333333333</v>
      </c>
      <c r="ED27">
        <v>1499.975</v>
      </c>
      <c r="EE27">
        <v>0.973006333333333</v>
      </c>
      <c r="EF27">
        <v>0.0269937666666667</v>
      </c>
      <c r="EG27">
        <v>0</v>
      </c>
      <c r="EH27">
        <v>340.4005</v>
      </c>
      <c r="EI27">
        <v>5.00064</v>
      </c>
      <c r="EJ27">
        <v>5283.155</v>
      </c>
      <c r="EK27">
        <v>15438.9833333333</v>
      </c>
      <c r="EL27">
        <v>40.687</v>
      </c>
      <c r="EM27">
        <v>41.375</v>
      </c>
      <c r="EN27">
        <v>41.062</v>
      </c>
      <c r="EO27">
        <v>40.937</v>
      </c>
      <c r="EP27">
        <v>42.125</v>
      </c>
      <c r="EQ27">
        <v>1454.615</v>
      </c>
      <c r="ER27">
        <v>40.3533333333333</v>
      </c>
      <c r="ES27">
        <v>0</v>
      </c>
      <c r="ET27">
        <v>8436</v>
      </c>
      <c r="EU27">
        <v>0</v>
      </c>
      <c r="EV27">
        <v>340.371115384615</v>
      </c>
      <c r="EW27">
        <v>-0.417880337186543</v>
      </c>
      <c r="EX27">
        <v>-8.98803420486858</v>
      </c>
      <c r="EY27">
        <v>5283.98</v>
      </c>
      <c r="EZ27">
        <v>15</v>
      </c>
      <c r="FA27">
        <v>1792398849.1</v>
      </c>
      <c r="FB27" t="s">
        <v>452</v>
      </c>
      <c r="FC27">
        <v>1792398849.1</v>
      </c>
      <c r="FD27">
        <v>1792398837.1</v>
      </c>
      <c r="FE27">
        <v>85</v>
      </c>
      <c r="FF27">
        <v>0.453</v>
      </c>
      <c r="FG27">
        <v>-0</v>
      </c>
      <c r="FH27">
        <v>2.141</v>
      </c>
      <c r="FI27">
        <v>-0.124</v>
      </c>
      <c r="FJ27">
        <v>1500</v>
      </c>
      <c r="FK27">
        <v>16</v>
      </c>
      <c r="FL27">
        <v>0.15</v>
      </c>
      <c r="FM27">
        <v>0.11</v>
      </c>
      <c r="FN27">
        <v>18.3753480571786</v>
      </c>
      <c r="FO27">
        <v>0.0967342886553605</v>
      </c>
      <c r="FP27">
        <v>0.238677665133612</v>
      </c>
      <c r="FQ27">
        <v>1</v>
      </c>
      <c r="FR27">
        <v>-7.876098</v>
      </c>
      <c r="FS27">
        <v>-0.0850863157894711</v>
      </c>
      <c r="FT27">
        <v>0.0804327093662771</v>
      </c>
      <c r="FU27">
        <v>1</v>
      </c>
      <c r="FV27">
        <v>340.429647058824</v>
      </c>
      <c r="FW27">
        <v>-0.84815889753776</v>
      </c>
      <c r="FX27">
        <v>0.17045577007005</v>
      </c>
      <c r="FY27">
        <v>1</v>
      </c>
      <c r="FZ27">
        <v>3</v>
      </c>
      <c r="GA27">
        <v>3</v>
      </c>
      <c r="GB27" t="s">
        <v>419</v>
      </c>
      <c r="GC27">
        <v>3.12364</v>
      </c>
      <c r="GD27">
        <v>2.76525</v>
      </c>
      <c r="GE27">
        <v>0.211373</v>
      </c>
      <c r="GF27">
        <v>0.217559</v>
      </c>
      <c r="GG27">
        <v>0.0893567</v>
      </c>
      <c r="GH27">
        <v>0.0910993</v>
      </c>
      <c r="GI27">
        <v>15365.8</v>
      </c>
      <c r="GJ27">
        <v>23007.6</v>
      </c>
      <c r="GK27">
        <v>22765.4</v>
      </c>
      <c r="GL27">
        <v>30129</v>
      </c>
      <c r="GM27">
        <v>34011.7</v>
      </c>
      <c r="GN27">
        <v>34129.5</v>
      </c>
      <c r="GO27">
        <v>43069.4</v>
      </c>
      <c r="GP27">
        <v>42919.1</v>
      </c>
      <c r="GQ27">
        <v>1.97765</v>
      </c>
      <c r="GR27">
        <v>1.82855</v>
      </c>
      <c r="GS27">
        <v>0.113718</v>
      </c>
      <c r="GT27">
        <v>0</v>
      </c>
      <c r="GU27">
        <v>23.1041</v>
      </c>
      <c r="GV27">
        <v>999.9</v>
      </c>
      <c r="GW27">
        <v>40.514</v>
      </c>
      <c r="GX27">
        <v>32.126</v>
      </c>
      <c r="GY27">
        <v>19.241</v>
      </c>
      <c r="GZ27">
        <v>63.0097</v>
      </c>
      <c r="HA27">
        <v>33.4776</v>
      </c>
      <c r="HB27">
        <v>1</v>
      </c>
      <c r="HC27">
        <v>0.036908</v>
      </c>
      <c r="HD27">
        <v>2.53921</v>
      </c>
      <c r="HE27">
        <v>20.1468</v>
      </c>
      <c r="HF27">
        <v>5.23451</v>
      </c>
      <c r="HG27">
        <v>11.962</v>
      </c>
      <c r="HH27">
        <v>4.96915</v>
      </c>
      <c r="HI27">
        <v>3.29503</v>
      </c>
      <c r="HJ27">
        <v>999.9</v>
      </c>
      <c r="HK27">
        <v>9999</v>
      </c>
      <c r="HL27">
        <v>9999</v>
      </c>
      <c r="HM27">
        <v>9999</v>
      </c>
      <c r="HN27">
        <v>4.96967</v>
      </c>
      <c r="HO27">
        <v>1.86368</v>
      </c>
      <c r="HP27">
        <v>1.86518</v>
      </c>
      <c r="HQ27">
        <v>1.86707</v>
      </c>
      <c r="HR27">
        <v>1.86416</v>
      </c>
      <c r="HS27">
        <v>1.86783</v>
      </c>
      <c r="HT27">
        <v>1.86455</v>
      </c>
      <c r="HU27">
        <v>1.86647</v>
      </c>
      <c r="HV27">
        <v>0</v>
      </c>
      <c r="HW27">
        <v>0</v>
      </c>
      <c r="HX27">
        <v>0</v>
      </c>
      <c r="HY27">
        <v>0</v>
      </c>
      <c r="HZ27" t="s">
        <v>420</v>
      </c>
      <c r="IA27" t="s">
        <v>421</v>
      </c>
      <c r="IB27" t="s">
        <v>422</v>
      </c>
      <c r="IC27" t="s">
        <v>422</v>
      </c>
      <c r="ID27" t="s">
        <v>422</v>
      </c>
      <c r="IE27" t="s">
        <v>422</v>
      </c>
      <c r="IF27">
        <v>0</v>
      </c>
      <c r="IG27">
        <v>100</v>
      </c>
      <c r="IH27">
        <v>100</v>
      </c>
      <c r="II27">
        <v>2.14</v>
      </c>
      <c r="IJ27">
        <v>-0.1125</v>
      </c>
      <c r="IK27">
        <v>1.38786277419376</v>
      </c>
      <c r="IL27">
        <v>0.000216929631606078</v>
      </c>
      <c r="IM27">
        <v>2.72263024731635e-07</v>
      </c>
      <c r="IN27">
        <v>-5.43792051235154e-11</v>
      </c>
      <c r="IO27">
        <v>0.0157715931689366</v>
      </c>
      <c r="IP27">
        <v>-0.0584433849545669</v>
      </c>
      <c r="IQ27">
        <v>0.00341568706061026</v>
      </c>
      <c r="IR27">
        <v>-2.10952612506686e-05</v>
      </c>
      <c r="IS27">
        <v>-0</v>
      </c>
      <c r="IT27">
        <v>1734</v>
      </c>
      <c r="IU27">
        <v>2</v>
      </c>
      <c r="IV27">
        <v>19</v>
      </c>
      <c r="IW27">
        <v>1.1</v>
      </c>
      <c r="IX27">
        <v>1.3</v>
      </c>
      <c r="IY27">
        <v>3.00659</v>
      </c>
      <c r="IZ27">
        <v>2.52563</v>
      </c>
      <c r="JA27">
        <v>1.34644</v>
      </c>
      <c r="JB27">
        <v>2.25952</v>
      </c>
      <c r="JC27">
        <v>1.55029</v>
      </c>
      <c r="JD27">
        <v>2.7063</v>
      </c>
      <c r="JE27">
        <v>37.6263</v>
      </c>
      <c r="JF27">
        <v>23.9912</v>
      </c>
      <c r="JG27">
        <v>18</v>
      </c>
      <c r="JH27">
        <v>500.253</v>
      </c>
      <c r="JI27">
        <v>482.61</v>
      </c>
      <c r="JJ27">
        <v>20.2365</v>
      </c>
      <c r="JK27">
        <v>27.6581</v>
      </c>
      <c r="JL27">
        <v>29.9999</v>
      </c>
      <c r="JM27">
        <v>27.636</v>
      </c>
      <c r="JN27">
        <v>27.6464</v>
      </c>
      <c r="JO27">
        <v>60.1991</v>
      </c>
      <c r="JP27">
        <v>25.6243</v>
      </c>
      <c r="JQ27">
        <v>32.0777</v>
      </c>
      <c r="JR27">
        <v>20.2602</v>
      </c>
      <c r="JS27">
        <v>1500</v>
      </c>
      <c r="JT27">
        <v>16.1045</v>
      </c>
      <c r="JU27">
        <v>101.701</v>
      </c>
      <c r="JV27">
        <v>97.4524</v>
      </c>
    </row>
    <row r="28" spans="1:282">
      <c r="A28">
        <v>12</v>
      </c>
      <c r="B28">
        <v>1792399065.1</v>
      </c>
      <c r="C28">
        <v>1407.09999990463</v>
      </c>
      <c r="D28" t="s">
        <v>453</v>
      </c>
      <c r="E28" t="s">
        <v>454</v>
      </c>
      <c r="F28">
        <v>5</v>
      </c>
      <c r="G28">
        <v>1792399061.6</v>
      </c>
      <c r="H28">
        <f>(I28)/1000</f>
        <v>0</v>
      </c>
      <c r="I28">
        <f>1000*DI28*AG28*(DE28-DF28)/(100*CX28*(1000-AG28*DE28))</f>
        <v>0</v>
      </c>
      <c r="J28">
        <f>DI28*AG28*(DD28-DC28*(1000-AG28*DF28)/(1000-AG28*DE28))/(100*CX28)</f>
        <v>0</v>
      </c>
      <c r="K28">
        <f>DC28 - IF(AG28&gt;1, J28*CX28*100.0/(AI28), 0)</f>
        <v>0</v>
      </c>
      <c r="L28">
        <f>((R28-H28/2)*K28-J28)/(R28+H28/2)</f>
        <v>0</v>
      </c>
      <c r="M28">
        <f>L28*(DJ28+DK28)/1000.0</f>
        <v>0</v>
      </c>
      <c r="N28">
        <f>(DC28 - IF(AG28&gt;1, J28*CX28*100.0/(AI28), 0))*(DJ28+DK28)/1000.0</f>
        <v>0</v>
      </c>
      <c r="O28">
        <f>2.0/((1/Q28-1/P28)+SIGN(Q28)*SQRT((1/Q28-1/P28)*(1/Q28-1/P28) + 4*CY28/((CY28+1)*(CY28+1))*(2*1/Q28*1/P28-1/P28*1/P28)))</f>
        <v>0</v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>0</v>
      </c>
      <c r="Q28">
        <f>H28*(1000-(1000*0.61365*exp(17.502*U28/(240.97+U28))/(DJ28+DK28)+DE28)/2)/(1000*0.61365*exp(17.502*U28/(240.97+U28))/(DJ28+DK28)-DE28)</f>
        <v>0</v>
      </c>
      <c r="R28">
        <f>1/((CY28+1)/(O28/1.6)+1/(P28/1.37)) + CY28/((CY28+1)/(O28/1.6) + CY28/(P28/1.37))</f>
        <v>0</v>
      </c>
      <c r="S28">
        <f>(CT28*CW28)</f>
        <v>0</v>
      </c>
      <c r="T28">
        <f>(DL28+(S28+2*0.95*5.67E-8*(((DL28+$B$7)+273)^4-(DL28+273)^4)-44100*H28)/(1.84*29.3*P28+8*0.95*5.67E-8*(DL28+273)^3))</f>
        <v>0</v>
      </c>
      <c r="U28">
        <f>($C$7*DM28+$D$7*DN28+$E$7*T28)</f>
        <v>0</v>
      </c>
      <c r="V28">
        <f>0.61365*exp(17.502*U28/(240.97+U28))</f>
        <v>0</v>
      </c>
      <c r="W28">
        <f>(X28/Y28*100)</f>
        <v>0</v>
      </c>
      <c r="X28">
        <f>DE28*(DJ28+DK28)/1000</f>
        <v>0</v>
      </c>
      <c r="Y28">
        <f>0.61365*exp(17.502*DL28/(240.97+DL28))</f>
        <v>0</v>
      </c>
      <c r="Z28">
        <f>(V28-DE28*(DJ28+DK28)/1000)</f>
        <v>0</v>
      </c>
      <c r="AA28">
        <f>(-H28*44100)</f>
        <v>0</v>
      </c>
      <c r="AB28">
        <f>2*29.3*P28*0.92*(DL28-U28)</f>
        <v>0</v>
      </c>
      <c r="AC28">
        <f>2*0.95*5.67E-8*(((DL28+$B$7)+273)^4-(U28+273)^4)</f>
        <v>0</v>
      </c>
      <c r="AD28">
        <f>S28+AC28+AA28+AB28</f>
        <v>0</v>
      </c>
      <c r="AE28">
        <v>0</v>
      </c>
      <c r="AF28">
        <v>0</v>
      </c>
      <c r="AG28">
        <f>IF(AE28*$H$13&gt;=AI28,1.0,(AI28/(AI28-AE28*$H$13)))</f>
        <v>0</v>
      </c>
      <c r="AH28">
        <f>(AG28-1)*100</f>
        <v>0</v>
      </c>
      <c r="AI28">
        <f>MAX(0,($B$13+$C$13*DQ28)/(1+$D$13*DQ28)*DJ28/(DL28+273)*$E$13)</f>
        <v>0</v>
      </c>
      <c r="AJ28" t="s">
        <v>416</v>
      </c>
      <c r="AK28" t="s">
        <v>416</v>
      </c>
      <c r="AL28">
        <v>0</v>
      </c>
      <c r="AM28">
        <v>0</v>
      </c>
      <c r="AN28">
        <f>1-AL28/AM28</f>
        <v>0</v>
      </c>
      <c r="AO28">
        <v>0</v>
      </c>
      <c r="AP28" t="s">
        <v>416</v>
      </c>
      <c r="AQ28" t="s">
        <v>416</v>
      </c>
      <c r="AR28">
        <v>0</v>
      </c>
      <c r="AS28">
        <v>0</v>
      </c>
      <c r="AT28">
        <f>1-AR28/AS28</f>
        <v>0</v>
      </c>
      <c r="AU28">
        <v>0.5</v>
      </c>
      <c r="AV28">
        <f>CU28</f>
        <v>0</v>
      </c>
      <c r="AW28">
        <f>J28</f>
        <v>0</v>
      </c>
      <c r="AX28">
        <f>AT28*AU28*AV28</f>
        <v>0</v>
      </c>
      <c r="AY28">
        <f>(AW28-AO28)/AV28</f>
        <v>0</v>
      </c>
      <c r="AZ28">
        <f>(AM28-AS28)/AS28</f>
        <v>0</v>
      </c>
      <c r="BA28">
        <f>AL28/(AN28+AL28/AS28)</f>
        <v>0</v>
      </c>
      <c r="BB28" t="s">
        <v>416</v>
      </c>
      <c r="BC28">
        <v>0</v>
      </c>
      <c r="BD28">
        <f>IF(BC28&lt;&gt;0, BC28, BA28)</f>
        <v>0</v>
      </c>
      <c r="BE28">
        <f>1-BD28/AS28</f>
        <v>0</v>
      </c>
      <c r="BF28">
        <f>(AS28-AR28)/(AS28-BD28)</f>
        <v>0</v>
      </c>
      <c r="BG28">
        <f>(AM28-AS28)/(AM28-BD28)</f>
        <v>0</v>
      </c>
      <c r="BH28">
        <f>(AS28-AR28)/(AS28-AL28)</f>
        <v>0</v>
      </c>
      <c r="BI28">
        <f>(AM28-AS28)/(AM28-AL28)</f>
        <v>0</v>
      </c>
      <c r="BJ28">
        <f>(BF28*BD28/AR28)</f>
        <v>0</v>
      </c>
      <c r="BK28">
        <f>(1-BJ28)</f>
        <v>0</v>
      </c>
      <c r="BL28">
        <v>1211</v>
      </c>
      <c r="BM28">
        <v>290</v>
      </c>
      <c r="BN28">
        <v>854.02</v>
      </c>
      <c r="BO28">
        <v>135</v>
      </c>
      <c r="BP28">
        <v>8118.76</v>
      </c>
      <c r="BQ28">
        <v>850.06</v>
      </c>
      <c r="BR28">
        <v>3.96</v>
      </c>
      <c r="BS28">
        <v>300</v>
      </c>
      <c r="BT28">
        <v>19.3</v>
      </c>
      <c r="BU28">
        <v>879.257022088825</v>
      </c>
      <c r="BV28">
        <v>1.85043100621219</v>
      </c>
      <c r="BW28">
        <v>-23.7015574963064</v>
      </c>
      <c r="BX28">
        <v>1.34141796524398</v>
      </c>
      <c r="BY28">
        <v>0.917694192479961</v>
      </c>
      <c r="BZ28">
        <v>-0.00537916729699666</v>
      </c>
      <c r="CA28">
        <v>290</v>
      </c>
      <c r="CB28">
        <v>841.85</v>
      </c>
      <c r="CC28">
        <v>615</v>
      </c>
      <c r="CD28">
        <v>8099.98</v>
      </c>
      <c r="CE28">
        <v>850</v>
      </c>
      <c r="CF28">
        <v>-8.15</v>
      </c>
      <c r="CT28">
        <f>$B$11*DR28+$C$11*DS28+$F$11*ED28*(1-EG28)</f>
        <v>0</v>
      </c>
      <c r="CU28">
        <f>CT28*CV28</f>
        <v>0</v>
      </c>
      <c r="CV28">
        <f>($B$11*$D$9+$C$11*$D$9+$F$11*((EQ28+EI28)/MAX(EQ28+EI28+ER28, 0.1)*$I$9+ER28/MAX(EQ28+EI28+ER28, 0.1)*$J$9))/($B$11+$C$11+$F$11)</f>
        <v>0</v>
      </c>
      <c r="CW28">
        <f>($B$11*$K$9+$C$11*$K$9+$F$11*((EQ28+EI28)/MAX(EQ28+EI28+ER28, 0.1)*$P$9+ER28/MAX(EQ28+EI28+ER28, 0.1)*$Q$9))/($B$11+$C$11+$F$11)</f>
        <v>0</v>
      </c>
      <c r="CX28">
        <v>2</v>
      </c>
      <c r="CY28">
        <v>0.5</v>
      </c>
      <c r="CZ28" t="s">
        <v>417</v>
      </c>
      <c r="DA28">
        <v>2</v>
      </c>
      <c r="DB28">
        <v>1792399061.6</v>
      </c>
      <c r="DC28">
        <v>1792.775</v>
      </c>
      <c r="DD28">
        <v>1800.00666666667</v>
      </c>
      <c r="DE28">
        <v>16.42245</v>
      </c>
      <c r="DF28">
        <v>16.2188666666667</v>
      </c>
      <c r="DG28">
        <v>1790.39333333333</v>
      </c>
      <c r="DH28">
        <v>16.5298166666667</v>
      </c>
      <c r="DI28">
        <v>499.9715</v>
      </c>
      <c r="DJ28">
        <v>101.268</v>
      </c>
      <c r="DK28">
        <v>0.0999762833333333</v>
      </c>
      <c r="DL28">
        <v>24.1570333333333</v>
      </c>
      <c r="DM28">
        <v>24.9937833333333</v>
      </c>
      <c r="DN28">
        <v>999.9</v>
      </c>
      <c r="DO28">
        <v>0</v>
      </c>
      <c r="DP28">
        <v>0</v>
      </c>
      <c r="DQ28">
        <v>9999.59166666667</v>
      </c>
      <c r="DR28">
        <v>0</v>
      </c>
      <c r="DS28">
        <v>6.21985</v>
      </c>
      <c r="DT28">
        <v>-7.23026333333333</v>
      </c>
      <c r="DU28">
        <v>1822.71</v>
      </c>
      <c r="DV28">
        <v>1829.68166666667</v>
      </c>
      <c r="DW28">
        <v>0.203551</v>
      </c>
      <c r="DX28">
        <v>1800.00666666667</v>
      </c>
      <c r="DY28">
        <v>16.2188666666667</v>
      </c>
      <c r="DZ28">
        <v>1.66307166666667</v>
      </c>
      <c r="EA28">
        <v>1.64245666666667</v>
      </c>
      <c r="EB28">
        <v>14.5559333333333</v>
      </c>
      <c r="EC28">
        <v>14.3630166666667</v>
      </c>
      <c r="ED28">
        <v>1500.04333333333</v>
      </c>
      <c r="EE28">
        <v>0.973009</v>
      </c>
      <c r="EF28">
        <v>0.0269911</v>
      </c>
      <c r="EG28">
        <v>0</v>
      </c>
      <c r="EH28">
        <v>339.977833333333</v>
      </c>
      <c r="EI28">
        <v>5.00064</v>
      </c>
      <c r="EJ28">
        <v>5279.81333333333</v>
      </c>
      <c r="EK28">
        <v>15439.6833333333</v>
      </c>
      <c r="EL28">
        <v>40.6766666666667</v>
      </c>
      <c r="EM28">
        <v>41.375</v>
      </c>
      <c r="EN28">
        <v>41.0413333333333</v>
      </c>
      <c r="EO28">
        <v>40.937</v>
      </c>
      <c r="EP28">
        <v>42.062</v>
      </c>
      <c r="EQ28">
        <v>1454.69333333333</v>
      </c>
      <c r="ER28">
        <v>40.35</v>
      </c>
      <c r="ES28">
        <v>0</v>
      </c>
      <c r="ET28">
        <v>8586</v>
      </c>
      <c r="EU28">
        <v>0</v>
      </c>
      <c r="EV28">
        <v>340.043461538462</v>
      </c>
      <c r="EW28">
        <v>-0.533606833035787</v>
      </c>
      <c r="EX28">
        <v>1.96888890585659</v>
      </c>
      <c r="EY28">
        <v>5279.30423076923</v>
      </c>
      <c r="EZ28">
        <v>15</v>
      </c>
      <c r="FA28">
        <v>1792398975.1</v>
      </c>
      <c r="FB28" t="s">
        <v>455</v>
      </c>
      <c r="FC28">
        <v>1792398975.1</v>
      </c>
      <c r="FD28">
        <v>1792398966.1</v>
      </c>
      <c r="FE28">
        <v>86</v>
      </c>
      <c r="FF28">
        <v>0.007</v>
      </c>
      <c r="FG28">
        <v>0.005</v>
      </c>
      <c r="FH28">
        <v>2.347</v>
      </c>
      <c r="FI28">
        <v>-0.118</v>
      </c>
      <c r="FJ28">
        <v>1800</v>
      </c>
      <c r="FK28">
        <v>16</v>
      </c>
      <c r="FL28">
        <v>0.12</v>
      </c>
      <c r="FM28">
        <v>0.2</v>
      </c>
      <c r="FN28">
        <v>17.251061646874</v>
      </c>
      <c r="FO28">
        <v>-0.462008414415954</v>
      </c>
      <c r="FP28">
        <v>0.17166092179099</v>
      </c>
      <c r="FQ28">
        <v>1</v>
      </c>
      <c r="FR28">
        <v>-7.2691885</v>
      </c>
      <c r="FS28">
        <v>0.242506015037599</v>
      </c>
      <c r="FT28">
        <v>0.06942071652432</v>
      </c>
      <c r="FU28">
        <v>1</v>
      </c>
      <c r="FV28">
        <v>340.043117647059</v>
      </c>
      <c r="FW28">
        <v>-0.205286478815539</v>
      </c>
      <c r="FX28">
        <v>0.172661819190657</v>
      </c>
      <c r="FY28">
        <v>1</v>
      </c>
      <c r="FZ28">
        <v>3</v>
      </c>
      <c r="GA28">
        <v>3</v>
      </c>
      <c r="GB28" t="s">
        <v>419</v>
      </c>
      <c r="GC28">
        <v>3.12373</v>
      </c>
      <c r="GD28">
        <v>2.76548</v>
      </c>
      <c r="GE28">
        <v>0.234764</v>
      </c>
      <c r="GF28">
        <v>0.241393</v>
      </c>
      <c r="GG28">
        <v>0.0893887</v>
      </c>
      <c r="GH28">
        <v>0.0916616</v>
      </c>
      <c r="GI28">
        <v>14910</v>
      </c>
      <c r="GJ28">
        <v>22306.8</v>
      </c>
      <c r="GK28">
        <v>22764.9</v>
      </c>
      <c r="GL28">
        <v>30128.7</v>
      </c>
      <c r="GM28">
        <v>34011.5</v>
      </c>
      <c r="GN28">
        <v>34109.8</v>
      </c>
      <c r="GO28">
        <v>43068.9</v>
      </c>
      <c r="GP28">
        <v>42919</v>
      </c>
      <c r="GQ28">
        <v>1.9783</v>
      </c>
      <c r="GR28">
        <v>1.82865</v>
      </c>
      <c r="GS28">
        <v>0.119071</v>
      </c>
      <c r="GT28">
        <v>0</v>
      </c>
      <c r="GU28">
        <v>23.0502</v>
      </c>
      <c r="GV28">
        <v>999.9</v>
      </c>
      <c r="GW28">
        <v>40.477</v>
      </c>
      <c r="GX28">
        <v>32.196</v>
      </c>
      <c r="GY28">
        <v>19.2997</v>
      </c>
      <c r="GZ28">
        <v>63.3997</v>
      </c>
      <c r="HA28">
        <v>33.5537</v>
      </c>
      <c r="HB28">
        <v>1</v>
      </c>
      <c r="HC28">
        <v>0.0362195</v>
      </c>
      <c r="HD28">
        <v>2.48497</v>
      </c>
      <c r="HE28">
        <v>20.1472</v>
      </c>
      <c r="HF28">
        <v>5.23436</v>
      </c>
      <c r="HG28">
        <v>11.962</v>
      </c>
      <c r="HH28">
        <v>4.9676</v>
      </c>
      <c r="HI28">
        <v>3.29503</v>
      </c>
      <c r="HJ28">
        <v>999.9</v>
      </c>
      <c r="HK28">
        <v>9999</v>
      </c>
      <c r="HL28">
        <v>9999</v>
      </c>
      <c r="HM28">
        <v>9999</v>
      </c>
      <c r="HN28">
        <v>4.96971</v>
      </c>
      <c r="HO28">
        <v>1.86371</v>
      </c>
      <c r="HP28">
        <v>1.86523</v>
      </c>
      <c r="HQ28">
        <v>1.86707</v>
      </c>
      <c r="HR28">
        <v>1.86417</v>
      </c>
      <c r="HS28">
        <v>1.86783</v>
      </c>
      <c r="HT28">
        <v>1.86459</v>
      </c>
      <c r="HU28">
        <v>1.86649</v>
      </c>
      <c r="HV28">
        <v>0</v>
      </c>
      <c r="HW28">
        <v>0</v>
      </c>
      <c r="HX28">
        <v>0</v>
      </c>
      <c r="HY28">
        <v>0</v>
      </c>
      <c r="HZ28" t="s">
        <v>420</v>
      </c>
      <c r="IA28" t="s">
        <v>421</v>
      </c>
      <c r="IB28" t="s">
        <v>422</v>
      </c>
      <c r="IC28" t="s">
        <v>422</v>
      </c>
      <c r="ID28" t="s">
        <v>422</v>
      </c>
      <c r="IE28" t="s">
        <v>422</v>
      </c>
      <c r="IF28">
        <v>0</v>
      </c>
      <c r="IG28">
        <v>100</v>
      </c>
      <c r="IH28">
        <v>100</v>
      </c>
      <c r="II28">
        <v>2.38</v>
      </c>
      <c r="IJ28">
        <v>-0.1074</v>
      </c>
      <c r="IK28">
        <v>1.43631442382611</v>
      </c>
      <c r="IL28">
        <v>0.000216929631606078</v>
      </c>
      <c r="IM28">
        <v>2.72263024731635e-07</v>
      </c>
      <c r="IN28">
        <v>-5.43792051235154e-11</v>
      </c>
      <c r="IO28">
        <v>0.0206836422939659</v>
      </c>
      <c r="IP28">
        <v>-0.0584433849545669</v>
      </c>
      <c r="IQ28">
        <v>0.00341568706061026</v>
      </c>
      <c r="IR28">
        <v>-2.10952612506686e-05</v>
      </c>
      <c r="IS28">
        <v>-0</v>
      </c>
      <c r="IT28">
        <v>1734</v>
      </c>
      <c r="IU28">
        <v>2</v>
      </c>
      <c r="IV28">
        <v>19</v>
      </c>
      <c r="IW28">
        <v>1.5</v>
      </c>
      <c r="IX28">
        <v>1.6</v>
      </c>
      <c r="IY28">
        <v>3.47046</v>
      </c>
      <c r="IZ28">
        <v>2.50488</v>
      </c>
      <c r="JA28">
        <v>1.34766</v>
      </c>
      <c r="JB28">
        <v>2.25952</v>
      </c>
      <c r="JC28">
        <v>1.55029</v>
      </c>
      <c r="JD28">
        <v>2.68799</v>
      </c>
      <c r="JE28">
        <v>37.8195</v>
      </c>
      <c r="JF28">
        <v>23.9824</v>
      </c>
      <c r="JG28">
        <v>18</v>
      </c>
      <c r="JH28">
        <v>500.617</v>
      </c>
      <c r="JI28">
        <v>482.658</v>
      </c>
      <c r="JJ28">
        <v>20.2534</v>
      </c>
      <c r="JK28">
        <v>27.6487</v>
      </c>
      <c r="JL28">
        <v>29.9999</v>
      </c>
      <c r="JM28">
        <v>27.6314</v>
      </c>
      <c r="JN28">
        <v>27.6441</v>
      </c>
      <c r="JO28">
        <v>69.4671</v>
      </c>
      <c r="JP28">
        <v>25.222</v>
      </c>
      <c r="JQ28">
        <v>32.0777</v>
      </c>
      <c r="JR28">
        <v>20.2594</v>
      </c>
      <c r="JS28">
        <v>1800</v>
      </c>
      <c r="JT28">
        <v>16.176</v>
      </c>
      <c r="JU28">
        <v>101.7</v>
      </c>
      <c r="JV28">
        <v>97.4517</v>
      </c>
    </row>
    <row r="29" spans="1:282">
      <c r="A29">
        <v>13</v>
      </c>
      <c r="B29">
        <v>1792399189.1</v>
      </c>
      <c r="C29">
        <v>1531.09999990463</v>
      </c>
      <c r="D29" t="s">
        <v>456</v>
      </c>
      <c r="E29" t="s">
        <v>457</v>
      </c>
      <c r="F29">
        <v>5</v>
      </c>
      <c r="G29">
        <v>1792399185.6</v>
      </c>
      <c r="H29">
        <f>(I29)/1000</f>
        <v>0</v>
      </c>
      <c r="I29">
        <f>1000*DI29*AG29*(DE29-DF29)/(100*CX29*(1000-AG29*DE29))</f>
        <v>0</v>
      </c>
      <c r="J29">
        <f>DI29*AG29*(DD29-DC29*(1000-AG29*DF29)/(1000-AG29*DE29))/(100*CX29)</f>
        <v>0</v>
      </c>
      <c r="K29">
        <f>DC29 - IF(AG29&gt;1, J29*CX29*100.0/(AI29), 0)</f>
        <v>0</v>
      </c>
      <c r="L29">
        <f>((R29-H29/2)*K29-J29)/(R29+H29/2)</f>
        <v>0</v>
      </c>
      <c r="M29">
        <f>L29*(DJ29+DK29)/1000.0</f>
        <v>0</v>
      </c>
      <c r="N29">
        <f>(DC29 - IF(AG29&gt;1, J29*CX29*100.0/(AI29), 0))*(DJ29+DK29)/1000.0</f>
        <v>0</v>
      </c>
      <c r="O29">
        <f>2.0/((1/Q29-1/P29)+SIGN(Q29)*SQRT((1/Q29-1/P29)*(1/Q29-1/P29) + 4*CY29/((CY29+1)*(CY29+1))*(2*1/Q29*1/P29-1/P29*1/P29)))</f>
        <v>0</v>
      </c>
      <c r="P29">
        <f>IF(LEFT(CZ29,1)&lt;&gt;"0",IF(LEFT(CZ29,1)="1",3.0,DA29),$D$5+$E$5*(DQ29*DJ29/($K$5*1000))+$F$5*(DQ29*DJ29/($K$5*1000))*MAX(MIN(CX29,$J$5),$I$5)*MAX(MIN(CX29,$J$5),$I$5)+$G$5*MAX(MIN(CX29,$J$5),$I$5)*(DQ29*DJ29/($K$5*1000))+$H$5*(DQ29*DJ29/($K$5*1000))*(DQ29*DJ29/($K$5*1000)))</f>
        <v>0</v>
      </c>
      <c r="Q29">
        <f>H29*(1000-(1000*0.61365*exp(17.502*U29/(240.97+U29))/(DJ29+DK29)+DE29)/2)/(1000*0.61365*exp(17.502*U29/(240.97+U29))/(DJ29+DK29)-DE29)</f>
        <v>0</v>
      </c>
      <c r="R29">
        <f>1/((CY29+1)/(O29/1.6)+1/(P29/1.37)) + CY29/((CY29+1)/(O29/1.6) + CY29/(P29/1.37))</f>
        <v>0</v>
      </c>
      <c r="S29">
        <f>(CT29*CW29)</f>
        <v>0</v>
      </c>
      <c r="T29">
        <f>(DL29+(S29+2*0.95*5.67E-8*(((DL29+$B$7)+273)^4-(DL29+273)^4)-44100*H29)/(1.84*29.3*P29+8*0.95*5.67E-8*(DL29+273)^3))</f>
        <v>0</v>
      </c>
      <c r="U29">
        <f>($C$7*DM29+$D$7*DN29+$E$7*T29)</f>
        <v>0</v>
      </c>
      <c r="V29">
        <f>0.61365*exp(17.502*U29/(240.97+U29))</f>
        <v>0</v>
      </c>
      <c r="W29">
        <f>(X29/Y29*100)</f>
        <v>0</v>
      </c>
      <c r="X29">
        <f>DE29*(DJ29+DK29)/1000</f>
        <v>0</v>
      </c>
      <c r="Y29">
        <f>0.61365*exp(17.502*DL29/(240.97+DL29))</f>
        <v>0</v>
      </c>
      <c r="Z29">
        <f>(V29-DE29*(DJ29+DK29)/1000)</f>
        <v>0</v>
      </c>
      <c r="AA29">
        <f>(-H29*44100)</f>
        <v>0</v>
      </c>
      <c r="AB29">
        <f>2*29.3*P29*0.92*(DL29-U29)</f>
        <v>0</v>
      </c>
      <c r="AC29">
        <f>2*0.95*5.67E-8*(((DL29+$B$7)+273)^4-(U29+273)^4)</f>
        <v>0</v>
      </c>
      <c r="AD29">
        <f>S29+AC29+AA29+AB29</f>
        <v>0</v>
      </c>
      <c r="AE29">
        <v>0</v>
      </c>
      <c r="AF29">
        <v>0</v>
      </c>
      <c r="AG29">
        <f>IF(AE29*$H$13&gt;=AI29,1.0,(AI29/(AI29-AE29*$H$13)))</f>
        <v>0</v>
      </c>
      <c r="AH29">
        <f>(AG29-1)*100</f>
        <v>0</v>
      </c>
      <c r="AI29">
        <f>MAX(0,($B$13+$C$13*DQ29)/(1+$D$13*DQ29)*DJ29/(DL29+273)*$E$13)</f>
        <v>0</v>
      </c>
      <c r="AJ29" t="s">
        <v>416</v>
      </c>
      <c r="AK29" t="s">
        <v>416</v>
      </c>
      <c r="AL29">
        <v>0</v>
      </c>
      <c r="AM29">
        <v>0</v>
      </c>
      <c r="AN29">
        <f>1-AL29/AM29</f>
        <v>0</v>
      </c>
      <c r="AO29">
        <v>0</v>
      </c>
      <c r="AP29" t="s">
        <v>416</v>
      </c>
      <c r="AQ29" t="s">
        <v>416</v>
      </c>
      <c r="AR29">
        <v>0</v>
      </c>
      <c r="AS29">
        <v>0</v>
      </c>
      <c r="AT29">
        <f>1-AR29/AS29</f>
        <v>0</v>
      </c>
      <c r="AU29">
        <v>0.5</v>
      </c>
      <c r="AV29">
        <f>CU29</f>
        <v>0</v>
      </c>
      <c r="AW29">
        <f>J29</f>
        <v>0</v>
      </c>
      <c r="AX29">
        <f>AT29*AU29*AV29</f>
        <v>0</v>
      </c>
      <c r="AY29">
        <f>(AW29-AO29)/AV29</f>
        <v>0</v>
      </c>
      <c r="AZ29">
        <f>(AM29-AS29)/AS29</f>
        <v>0</v>
      </c>
      <c r="BA29">
        <f>AL29/(AN29+AL29/AS29)</f>
        <v>0</v>
      </c>
      <c r="BB29" t="s">
        <v>416</v>
      </c>
      <c r="BC29">
        <v>0</v>
      </c>
      <c r="BD29">
        <f>IF(BC29&lt;&gt;0, BC29, BA29)</f>
        <v>0</v>
      </c>
      <c r="BE29">
        <f>1-BD29/AS29</f>
        <v>0</v>
      </c>
      <c r="BF29">
        <f>(AS29-AR29)/(AS29-BD29)</f>
        <v>0</v>
      </c>
      <c r="BG29">
        <f>(AM29-AS29)/(AM29-BD29)</f>
        <v>0</v>
      </c>
      <c r="BH29">
        <f>(AS29-AR29)/(AS29-AL29)</f>
        <v>0</v>
      </c>
      <c r="BI29">
        <f>(AM29-AS29)/(AM29-AL29)</f>
        <v>0</v>
      </c>
      <c r="BJ29">
        <f>(BF29*BD29/AR29)</f>
        <v>0</v>
      </c>
      <c r="BK29">
        <f>(1-BJ29)</f>
        <v>0</v>
      </c>
      <c r="BL29">
        <v>1211</v>
      </c>
      <c r="BM29">
        <v>290</v>
      </c>
      <c r="BN29">
        <v>854.02</v>
      </c>
      <c r="BO29">
        <v>135</v>
      </c>
      <c r="BP29">
        <v>8118.76</v>
      </c>
      <c r="BQ29">
        <v>850.06</v>
      </c>
      <c r="BR29">
        <v>3.96</v>
      </c>
      <c r="BS29">
        <v>300</v>
      </c>
      <c r="BT29">
        <v>19.3</v>
      </c>
      <c r="BU29">
        <v>879.257022088825</v>
      </c>
      <c r="BV29">
        <v>1.85043100621219</v>
      </c>
      <c r="BW29">
        <v>-23.7015574963064</v>
      </c>
      <c r="BX29">
        <v>1.34141796524398</v>
      </c>
      <c r="BY29">
        <v>0.917694192479961</v>
      </c>
      <c r="BZ29">
        <v>-0.00537916729699666</v>
      </c>
      <c r="CA29">
        <v>290</v>
      </c>
      <c r="CB29">
        <v>841.85</v>
      </c>
      <c r="CC29">
        <v>615</v>
      </c>
      <c r="CD29">
        <v>8099.98</v>
      </c>
      <c r="CE29">
        <v>850</v>
      </c>
      <c r="CF29">
        <v>-8.15</v>
      </c>
      <c r="CT29">
        <f>$B$11*DR29+$C$11*DS29+$F$11*ED29*(1-EG29)</f>
        <v>0</v>
      </c>
      <c r="CU29">
        <f>CT29*CV29</f>
        <v>0</v>
      </c>
      <c r="CV29">
        <f>($B$11*$D$9+$C$11*$D$9+$F$11*((EQ29+EI29)/MAX(EQ29+EI29+ER29, 0.1)*$I$9+ER29/MAX(EQ29+EI29+ER29, 0.1)*$J$9))/($B$11+$C$11+$F$11)</f>
        <v>0</v>
      </c>
      <c r="CW29">
        <f>($B$11*$K$9+$C$11*$K$9+$F$11*((EQ29+EI29)/MAX(EQ29+EI29+ER29, 0.1)*$P$9+ER29/MAX(EQ29+EI29+ER29, 0.1)*$Q$9))/($B$11+$C$11+$F$11)</f>
        <v>0</v>
      </c>
      <c r="CX29">
        <v>2</v>
      </c>
      <c r="CY29">
        <v>0.5</v>
      </c>
      <c r="CZ29" t="s">
        <v>417</v>
      </c>
      <c r="DA29">
        <v>2</v>
      </c>
      <c r="DB29">
        <v>1792399185.6</v>
      </c>
      <c r="DC29">
        <v>398.847833333333</v>
      </c>
      <c r="DD29">
        <v>399.985333333333</v>
      </c>
      <c r="DE29">
        <v>16.4034</v>
      </c>
      <c r="DF29">
        <v>16.2555333333333</v>
      </c>
      <c r="DG29">
        <v>398.3535</v>
      </c>
      <c r="DH29">
        <v>16.5238166666667</v>
      </c>
      <c r="DI29">
        <v>500.168666666667</v>
      </c>
      <c r="DJ29">
        <v>101.273833333333</v>
      </c>
      <c r="DK29">
        <v>0.100123966666667</v>
      </c>
      <c r="DL29">
        <v>24.1231</v>
      </c>
      <c r="DM29">
        <v>24.9943333333333</v>
      </c>
      <c r="DN29">
        <v>999.9</v>
      </c>
      <c r="DO29">
        <v>0</v>
      </c>
      <c r="DP29">
        <v>0</v>
      </c>
      <c r="DQ29">
        <v>10005.4133333333</v>
      </c>
      <c r="DR29">
        <v>0</v>
      </c>
      <c r="DS29">
        <v>6.21985</v>
      </c>
      <c r="DT29">
        <v>-1.13734833333333</v>
      </c>
      <c r="DU29">
        <v>405.4995</v>
      </c>
      <c r="DV29">
        <v>406.595</v>
      </c>
      <c r="DW29">
        <v>0.147848666666667</v>
      </c>
      <c r="DX29">
        <v>399.985333333333</v>
      </c>
      <c r="DY29">
        <v>16.2555333333333</v>
      </c>
      <c r="DZ29">
        <v>1.661235</v>
      </c>
      <c r="EA29">
        <v>1.64626166666667</v>
      </c>
      <c r="EB29">
        <v>14.5388666666667</v>
      </c>
      <c r="EC29">
        <v>14.3987833333333</v>
      </c>
      <c r="ED29">
        <v>1499.96</v>
      </c>
      <c r="EE29">
        <v>0.973004833333333</v>
      </c>
      <c r="EF29">
        <v>0.0269952333333333</v>
      </c>
      <c r="EG29">
        <v>0</v>
      </c>
      <c r="EH29">
        <v>340.280833333333</v>
      </c>
      <c r="EI29">
        <v>5.00064</v>
      </c>
      <c r="EJ29">
        <v>5278.34</v>
      </c>
      <c r="EK29">
        <v>15438.85</v>
      </c>
      <c r="EL29">
        <v>40.6353333333333</v>
      </c>
      <c r="EM29">
        <v>41.375</v>
      </c>
      <c r="EN29">
        <v>41</v>
      </c>
      <c r="EO29">
        <v>40.937</v>
      </c>
      <c r="EP29">
        <v>42.062</v>
      </c>
      <c r="EQ29">
        <v>1454.605</v>
      </c>
      <c r="ER29">
        <v>40.355</v>
      </c>
      <c r="ES29">
        <v>0</v>
      </c>
      <c r="ET29">
        <v>8710.19999980927</v>
      </c>
      <c r="EU29">
        <v>0</v>
      </c>
      <c r="EV29">
        <v>340.31896</v>
      </c>
      <c r="EW29">
        <v>-1.1105384684659</v>
      </c>
      <c r="EX29">
        <v>-15.7946154053916</v>
      </c>
      <c r="EY29">
        <v>5279.3348</v>
      </c>
      <c r="EZ29">
        <v>15</v>
      </c>
      <c r="FA29">
        <v>1792399135.1</v>
      </c>
      <c r="FB29" t="s">
        <v>458</v>
      </c>
      <c r="FC29">
        <v>1792399135.1</v>
      </c>
      <c r="FD29">
        <v>1792399121.1</v>
      </c>
      <c r="FE29">
        <v>87</v>
      </c>
      <c r="FF29">
        <v>-1.068</v>
      </c>
      <c r="FG29">
        <v>-0.013</v>
      </c>
      <c r="FH29">
        <v>0.494</v>
      </c>
      <c r="FI29">
        <v>-0.129</v>
      </c>
      <c r="FJ29">
        <v>399</v>
      </c>
      <c r="FK29">
        <v>16</v>
      </c>
      <c r="FL29">
        <v>0.09</v>
      </c>
      <c r="FM29">
        <v>0.11</v>
      </c>
      <c r="FN29">
        <v>2.68553016223969</v>
      </c>
      <c r="FO29">
        <v>-0.27763091254848</v>
      </c>
      <c r="FP29">
        <v>0.0908793932747481</v>
      </c>
      <c r="FQ29">
        <v>1</v>
      </c>
      <c r="FR29">
        <v>-1.1302345</v>
      </c>
      <c r="FS29">
        <v>0.0437959398496229</v>
      </c>
      <c r="FT29">
        <v>0.0351500946620347</v>
      </c>
      <c r="FU29">
        <v>1</v>
      </c>
      <c r="FV29">
        <v>340.425323529412</v>
      </c>
      <c r="FW29">
        <v>-0.918120706400012</v>
      </c>
      <c r="FX29">
        <v>0.198369044161788</v>
      </c>
      <c r="FY29">
        <v>1</v>
      </c>
      <c r="FZ29">
        <v>3</v>
      </c>
      <c r="GA29">
        <v>3</v>
      </c>
      <c r="GB29" t="s">
        <v>419</v>
      </c>
      <c r="GC29">
        <v>3.12359</v>
      </c>
      <c r="GD29">
        <v>2.76532</v>
      </c>
      <c r="GE29">
        <v>0.0877972</v>
      </c>
      <c r="GF29">
        <v>0.0902633</v>
      </c>
      <c r="GG29">
        <v>0.0893778</v>
      </c>
      <c r="GH29">
        <v>0.0918149</v>
      </c>
      <c r="GI29">
        <v>17773.7</v>
      </c>
      <c r="GJ29">
        <v>26750.5</v>
      </c>
      <c r="GK29">
        <v>22765.6</v>
      </c>
      <c r="GL29">
        <v>30129.1</v>
      </c>
      <c r="GM29">
        <v>34002.8</v>
      </c>
      <c r="GN29">
        <v>34093.1</v>
      </c>
      <c r="GO29">
        <v>43068.6</v>
      </c>
      <c r="GP29">
        <v>42918.5</v>
      </c>
      <c r="GQ29">
        <v>1.9775</v>
      </c>
      <c r="GR29">
        <v>1.82463</v>
      </c>
      <c r="GS29">
        <v>0.121042</v>
      </c>
      <c r="GT29">
        <v>0</v>
      </c>
      <c r="GU29">
        <v>23.0114</v>
      </c>
      <c r="GV29">
        <v>999.9</v>
      </c>
      <c r="GW29">
        <v>40.453</v>
      </c>
      <c r="GX29">
        <v>32.237</v>
      </c>
      <c r="GY29">
        <v>19.3311</v>
      </c>
      <c r="GZ29">
        <v>63.4498</v>
      </c>
      <c r="HA29">
        <v>34.0184</v>
      </c>
      <c r="HB29">
        <v>1</v>
      </c>
      <c r="HC29">
        <v>0.0356936</v>
      </c>
      <c r="HD29">
        <v>2.46156</v>
      </c>
      <c r="HE29">
        <v>20.1475</v>
      </c>
      <c r="HF29">
        <v>5.23256</v>
      </c>
      <c r="HG29">
        <v>11.962</v>
      </c>
      <c r="HH29">
        <v>4.9681</v>
      </c>
      <c r="HI29">
        <v>3.295</v>
      </c>
      <c r="HJ29">
        <v>999.9</v>
      </c>
      <c r="HK29">
        <v>9999</v>
      </c>
      <c r="HL29">
        <v>9999</v>
      </c>
      <c r="HM29">
        <v>9999</v>
      </c>
      <c r="HN29">
        <v>4.9697</v>
      </c>
      <c r="HO29">
        <v>1.86368</v>
      </c>
      <c r="HP29">
        <v>1.86522</v>
      </c>
      <c r="HQ29">
        <v>1.86707</v>
      </c>
      <c r="HR29">
        <v>1.86417</v>
      </c>
      <c r="HS29">
        <v>1.86783</v>
      </c>
      <c r="HT29">
        <v>1.86457</v>
      </c>
      <c r="HU29">
        <v>1.86649</v>
      </c>
      <c r="HV29">
        <v>0</v>
      </c>
      <c r="HW29">
        <v>0</v>
      </c>
      <c r="HX29">
        <v>0</v>
      </c>
      <c r="HY29">
        <v>0</v>
      </c>
      <c r="HZ29" t="s">
        <v>420</v>
      </c>
      <c r="IA29" t="s">
        <v>421</v>
      </c>
      <c r="IB29" t="s">
        <v>422</v>
      </c>
      <c r="IC29" t="s">
        <v>422</v>
      </c>
      <c r="ID29" t="s">
        <v>422</v>
      </c>
      <c r="IE29" t="s">
        <v>422</v>
      </c>
      <c r="IF29">
        <v>0</v>
      </c>
      <c r="IG29">
        <v>100</v>
      </c>
      <c r="IH29">
        <v>100</v>
      </c>
      <c r="II29">
        <v>0.494</v>
      </c>
      <c r="IJ29">
        <v>-0.1204</v>
      </c>
      <c r="IK29">
        <v>0.368136586103744</v>
      </c>
      <c r="IL29">
        <v>0.000216929631606078</v>
      </c>
      <c r="IM29">
        <v>2.72263024731635e-07</v>
      </c>
      <c r="IN29">
        <v>-5.43792051235154e-11</v>
      </c>
      <c r="IO29">
        <v>0.00782936656791178</v>
      </c>
      <c r="IP29">
        <v>-0.0584433849545669</v>
      </c>
      <c r="IQ29">
        <v>0.00341568706061026</v>
      </c>
      <c r="IR29">
        <v>-2.10952612506686e-05</v>
      </c>
      <c r="IS29">
        <v>-0</v>
      </c>
      <c r="IT29">
        <v>1734</v>
      </c>
      <c r="IU29">
        <v>2</v>
      </c>
      <c r="IV29">
        <v>19</v>
      </c>
      <c r="IW29">
        <v>0.9</v>
      </c>
      <c r="IX29">
        <v>1.1</v>
      </c>
      <c r="IY29">
        <v>1.05469</v>
      </c>
      <c r="IZ29">
        <v>2.55371</v>
      </c>
      <c r="JA29">
        <v>1.34644</v>
      </c>
      <c r="JB29">
        <v>2.25952</v>
      </c>
      <c r="JC29">
        <v>1.55029</v>
      </c>
      <c r="JD29">
        <v>2.72095</v>
      </c>
      <c r="JE29">
        <v>37.9406</v>
      </c>
      <c r="JF29">
        <v>23.9824</v>
      </c>
      <c r="JG29">
        <v>18</v>
      </c>
      <c r="JH29">
        <v>500.077</v>
      </c>
      <c r="JI29">
        <v>479.808</v>
      </c>
      <c r="JJ29">
        <v>20.2423</v>
      </c>
      <c r="JK29">
        <v>27.6393</v>
      </c>
      <c r="JL29">
        <v>30.0002</v>
      </c>
      <c r="JM29">
        <v>27.6267</v>
      </c>
      <c r="JN29">
        <v>27.6394</v>
      </c>
      <c r="JO29">
        <v>21.1154</v>
      </c>
      <c r="JP29">
        <v>24.5855</v>
      </c>
      <c r="JQ29">
        <v>32.0777</v>
      </c>
      <c r="JR29">
        <v>20.2396</v>
      </c>
      <c r="JS29">
        <v>400</v>
      </c>
      <c r="JT29">
        <v>16.2557</v>
      </c>
      <c r="JU29">
        <v>101.7</v>
      </c>
      <c r="JV29">
        <v>97.4516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2026-10-19T18:18:28Z</dcterms:created>
  <dcterms:modified xsi:type="dcterms:W3CDTF">2026-10-19T18:18:28Z</dcterms:modified>
</cp:coreProperties>
</file>