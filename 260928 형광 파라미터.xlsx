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광합성 데이터/"/>
    </mc:Choice>
  </mc:AlternateContent>
  <xr:revisionPtr revIDLastSave="108" documentId="11_ACE07100B0A3D69E775D76952D83B9D028C73BD3" xr6:coauthVersionLast="47" xr6:coauthVersionMax="47" xr10:uidLastSave="{7E02D561-258A-4382-884F-1F5E38502CD9}"/>
  <bookViews>
    <workbookView xWindow="28680" yWindow="-120" windowWidth="29040" windowHeight="15720" activeTab="2" xr2:uid="{00000000-000D-0000-FFFF-FFFF00000000}"/>
  </bookViews>
  <sheets>
    <sheet name="Measurements" sheetId="1" r:id="rId1"/>
    <sheet name="Remarks" sheetId="2" r:id="rId2"/>
    <sheet name="형광 정리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3" l="1"/>
  <c r="J3" i="3"/>
  <c r="J4" i="3"/>
  <c r="J5" i="3"/>
  <c r="J6" i="3"/>
  <c r="J7" i="3"/>
  <c r="I2" i="3"/>
  <c r="I3" i="3"/>
  <c r="I4" i="3"/>
  <c r="I5" i="3"/>
  <c r="I6" i="3"/>
  <c r="I7" i="3"/>
  <c r="H7" i="3"/>
  <c r="H6" i="3"/>
  <c r="H5" i="3"/>
  <c r="H4" i="3"/>
  <c r="H3" i="3"/>
  <c r="H2" i="3"/>
  <c r="E7" i="3"/>
  <c r="E3" i="3"/>
  <c r="E4" i="3"/>
  <c r="E5" i="3"/>
  <c r="E6" i="3"/>
  <c r="E2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CW46" i="1"/>
  <c r="CV46" i="1"/>
  <c r="CU46" i="1"/>
  <c r="CT46" i="1"/>
  <c r="BI46" i="1"/>
  <c r="BH46" i="1"/>
  <c r="BA46" i="1"/>
  <c r="BD46" i="1" s="1"/>
  <c r="AZ46" i="1"/>
  <c r="AV46" i="1"/>
  <c r="AX46" i="1" s="1"/>
  <c r="AT46" i="1"/>
  <c r="AN46" i="1"/>
  <c r="AI46" i="1"/>
  <c r="AG46" i="1" s="1"/>
  <c r="Y46" i="1"/>
  <c r="X46" i="1"/>
  <c r="W46" i="1"/>
  <c r="S46" i="1"/>
  <c r="P46" i="1"/>
  <c r="CW45" i="1"/>
  <c r="CV45" i="1"/>
  <c r="CU45" i="1"/>
  <c r="AV45" i="1" s="1"/>
  <c r="AX45" i="1" s="1"/>
  <c r="CT45" i="1"/>
  <c r="BI45" i="1"/>
  <c r="BH45" i="1"/>
  <c r="AZ45" i="1"/>
  <c r="AT45" i="1"/>
  <c r="AN45" i="1"/>
  <c r="BA45" i="1" s="1"/>
  <c r="BD45" i="1" s="1"/>
  <c r="AI45" i="1"/>
  <c r="AG45" i="1" s="1"/>
  <c r="Y45" i="1"/>
  <c r="X45" i="1"/>
  <c r="W45" i="1" s="1"/>
  <c r="S45" i="1"/>
  <c r="P45" i="1"/>
  <c r="CW44" i="1"/>
  <c r="CV44" i="1"/>
  <c r="CT44" i="1"/>
  <c r="S44" i="1" s="1"/>
  <c r="BI44" i="1"/>
  <c r="BH44" i="1"/>
  <c r="BA44" i="1"/>
  <c r="BD44" i="1" s="1"/>
  <c r="AZ44" i="1"/>
  <c r="AT44" i="1"/>
  <c r="AN44" i="1"/>
  <c r="AI44" i="1"/>
  <c r="AH44" i="1"/>
  <c r="AG44" i="1"/>
  <c r="Y44" i="1"/>
  <c r="W44" i="1" s="1"/>
  <c r="X44" i="1"/>
  <c r="P44" i="1"/>
  <c r="N44" i="1"/>
  <c r="K44" i="1"/>
  <c r="J44" i="1"/>
  <c r="AW44" i="1" s="1"/>
  <c r="I44" i="1"/>
  <c r="H44" i="1"/>
  <c r="AA44" i="1" s="1"/>
  <c r="CW43" i="1"/>
  <c r="CV43" i="1"/>
  <c r="CT43" i="1"/>
  <c r="BI43" i="1"/>
  <c r="BH43" i="1"/>
  <c r="AZ43" i="1"/>
  <c r="AT43" i="1"/>
  <c r="AN43" i="1"/>
  <c r="BA43" i="1" s="1"/>
  <c r="BD43" i="1" s="1"/>
  <c r="AI43" i="1"/>
  <c r="AG43" i="1"/>
  <c r="Y43" i="1"/>
  <c r="X43" i="1"/>
  <c r="W43" i="1" s="1"/>
  <c r="P43" i="1"/>
  <c r="N43" i="1"/>
  <c r="CW42" i="1"/>
  <c r="CV42" i="1"/>
  <c r="CT42" i="1"/>
  <c r="CU42" i="1" s="1"/>
  <c r="AV42" i="1" s="1"/>
  <c r="BI42" i="1"/>
  <c r="BH42" i="1"/>
  <c r="BA42" i="1"/>
  <c r="BD42" i="1" s="1"/>
  <c r="AZ42" i="1"/>
  <c r="AT42" i="1"/>
  <c r="AN42" i="1"/>
  <c r="AI42" i="1"/>
  <c r="AG42" i="1"/>
  <c r="AH42" i="1" s="1"/>
  <c r="Y42" i="1"/>
  <c r="X42" i="1"/>
  <c r="W42" i="1" s="1"/>
  <c r="S42" i="1"/>
  <c r="P42" i="1"/>
  <c r="I42" i="1"/>
  <c r="H42" i="1" s="1"/>
  <c r="CW41" i="1"/>
  <c r="CV41" i="1"/>
  <c r="CT41" i="1"/>
  <c r="S41" i="1" s="1"/>
  <c r="BI41" i="1"/>
  <c r="BH41" i="1"/>
  <c r="AZ41" i="1"/>
  <c r="AT41" i="1"/>
  <c r="AN41" i="1"/>
  <c r="BA41" i="1" s="1"/>
  <c r="BD41" i="1" s="1"/>
  <c r="AI41" i="1"/>
  <c r="AG41" i="1" s="1"/>
  <c r="AH41" i="1"/>
  <c r="Y41" i="1"/>
  <c r="X41" i="1"/>
  <c r="W41" i="1"/>
  <c r="P41" i="1"/>
  <c r="N41" i="1"/>
  <c r="CW40" i="1"/>
  <c r="CV40" i="1"/>
  <c r="CU40" i="1" s="1"/>
  <c r="AV40" i="1" s="1"/>
  <c r="AX40" i="1" s="1"/>
  <c r="CT40" i="1"/>
  <c r="S40" i="1" s="1"/>
  <c r="BI40" i="1"/>
  <c r="BH40" i="1"/>
  <c r="AZ40" i="1"/>
  <c r="AT40" i="1"/>
  <c r="AN40" i="1"/>
  <c r="BA40" i="1" s="1"/>
  <c r="BD40" i="1" s="1"/>
  <c r="AI40" i="1"/>
  <c r="AG40" i="1" s="1"/>
  <c r="Y40" i="1"/>
  <c r="X40" i="1"/>
  <c r="W40" i="1" s="1"/>
  <c r="P40" i="1"/>
  <c r="CW39" i="1"/>
  <c r="S39" i="1" s="1"/>
  <c r="CV39" i="1"/>
  <c r="CT39" i="1"/>
  <c r="CU39" i="1" s="1"/>
  <c r="AV39" i="1" s="1"/>
  <c r="BI39" i="1"/>
  <c r="BH39" i="1"/>
  <c r="AZ39" i="1"/>
  <c r="AT39" i="1"/>
  <c r="AN39" i="1"/>
  <c r="BA39" i="1" s="1"/>
  <c r="BD39" i="1" s="1"/>
  <c r="AI39" i="1"/>
  <c r="AG39" i="1"/>
  <c r="AH39" i="1" s="1"/>
  <c r="Y39" i="1"/>
  <c r="X39" i="1"/>
  <c r="W39" i="1" s="1"/>
  <c r="P39" i="1"/>
  <c r="J39" i="1"/>
  <c r="AW39" i="1" s="1"/>
  <c r="CW38" i="1"/>
  <c r="CV38" i="1"/>
  <c r="CT38" i="1"/>
  <c r="S38" i="1" s="1"/>
  <c r="BI38" i="1"/>
  <c r="BH38" i="1"/>
  <c r="BA38" i="1"/>
  <c r="BD38" i="1" s="1"/>
  <c r="BE38" i="1" s="1"/>
  <c r="AZ38" i="1"/>
  <c r="AT38" i="1"/>
  <c r="AN38" i="1"/>
  <c r="AI38" i="1"/>
  <c r="AG38" i="1"/>
  <c r="AH38" i="1" s="1"/>
  <c r="AA38" i="1"/>
  <c r="Y38" i="1"/>
  <c r="X38" i="1"/>
  <c r="W38" i="1"/>
  <c r="T38" i="1"/>
  <c r="U38" i="1" s="1"/>
  <c r="P38" i="1"/>
  <c r="J38" i="1"/>
  <c r="AW38" i="1" s="1"/>
  <c r="I38" i="1"/>
  <c r="H38" i="1"/>
  <c r="CW37" i="1"/>
  <c r="CV37" i="1"/>
  <c r="CU37" i="1"/>
  <c r="CT37" i="1"/>
  <c r="BI37" i="1"/>
  <c r="BH37" i="1"/>
  <c r="BA37" i="1"/>
  <c r="BD37" i="1" s="1"/>
  <c r="AZ37" i="1"/>
  <c r="AV37" i="1"/>
  <c r="AX37" i="1" s="1"/>
  <c r="AT37" i="1"/>
  <c r="AN37" i="1"/>
  <c r="AI37" i="1"/>
  <c r="AG37" i="1" s="1"/>
  <c r="Y37" i="1"/>
  <c r="X37" i="1"/>
  <c r="W37" i="1"/>
  <c r="S37" i="1"/>
  <c r="P37" i="1"/>
  <c r="CW36" i="1"/>
  <c r="CV36" i="1"/>
  <c r="CU36" i="1"/>
  <c r="AV36" i="1" s="1"/>
  <c r="AX36" i="1" s="1"/>
  <c r="CT36" i="1"/>
  <c r="BI36" i="1"/>
  <c r="BH36" i="1"/>
  <c r="AZ36" i="1"/>
  <c r="AT36" i="1"/>
  <c r="AN36" i="1"/>
  <c r="BA36" i="1" s="1"/>
  <c r="BD36" i="1" s="1"/>
  <c r="AI36" i="1"/>
  <c r="AG36" i="1" s="1"/>
  <c r="Y36" i="1"/>
  <c r="X36" i="1"/>
  <c r="W36" i="1" s="1"/>
  <c r="S36" i="1"/>
  <c r="P36" i="1"/>
  <c r="K36" i="1"/>
  <c r="J36" i="1"/>
  <c r="AW36" i="1" s="1"/>
  <c r="AY36" i="1" s="1"/>
  <c r="CW35" i="1"/>
  <c r="CV35" i="1"/>
  <c r="CT35" i="1"/>
  <c r="BI35" i="1"/>
  <c r="BH35" i="1"/>
  <c r="BA35" i="1"/>
  <c r="BD35" i="1" s="1"/>
  <c r="AZ35" i="1"/>
  <c r="AT35" i="1"/>
  <c r="AN35" i="1"/>
  <c r="AI35" i="1"/>
  <c r="AH35" i="1"/>
  <c r="AG35" i="1"/>
  <c r="I35" i="1" s="1"/>
  <c r="H35" i="1" s="1"/>
  <c r="Y35" i="1"/>
  <c r="X35" i="1"/>
  <c r="W35" i="1" s="1"/>
  <c r="P35" i="1"/>
  <c r="N35" i="1"/>
  <c r="K35" i="1"/>
  <c r="J35" i="1"/>
  <c r="AW35" i="1" s="1"/>
  <c r="CW34" i="1"/>
  <c r="CV34" i="1"/>
  <c r="CT34" i="1"/>
  <c r="BI34" i="1"/>
  <c r="BH34" i="1"/>
  <c r="BD34" i="1"/>
  <c r="AZ34" i="1"/>
  <c r="AT34" i="1"/>
  <c r="AN34" i="1"/>
  <c r="BA34" i="1" s="1"/>
  <c r="AI34" i="1"/>
  <c r="AG34" i="1"/>
  <c r="Y34" i="1"/>
  <c r="X34" i="1"/>
  <c r="W34" i="1" s="1"/>
  <c r="P34" i="1"/>
  <c r="N34" i="1"/>
  <c r="CW33" i="1"/>
  <c r="CV33" i="1"/>
  <c r="CT33" i="1"/>
  <c r="BI33" i="1"/>
  <c r="BH33" i="1"/>
  <c r="BA33" i="1"/>
  <c r="BD33" i="1" s="1"/>
  <c r="AZ33" i="1"/>
  <c r="AT33" i="1"/>
  <c r="AN33" i="1"/>
  <c r="AI33" i="1"/>
  <c r="AH33" i="1"/>
  <c r="AG33" i="1"/>
  <c r="K33" i="1" s="1"/>
  <c r="Y33" i="1"/>
  <c r="X33" i="1"/>
  <c r="W33" i="1"/>
  <c r="P33" i="1"/>
  <c r="N33" i="1"/>
  <c r="I33" i="1"/>
  <c r="H33" i="1" s="1"/>
  <c r="CW32" i="1"/>
  <c r="CV32" i="1"/>
  <c r="CT32" i="1"/>
  <c r="S32" i="1" s="1"/>
  <c r="BI32" i="1"/>
  <c r="BH32" i="1"/>
  <c r="AZ32" i="1"/>
  <c r="AT32" i="1"/>
  <c r="AN32" i="1"/>
  <c r="BA32" i="1" s="1"/>
  <c r="BD32" i="1" s="1"/>
  <c r="AI32" i="1"/>
  <c r="AG32" i="1" s="1"/>
  <c r="AH32" i="1"/>
  <c r="Y32" i="1"/>
  <c r="X32" i="1"/>
  <c r="W32" i="1" s="1"/>
  <c r="P32" i="1"/>
  <c r="CW31" i="1"/>
  <c r="CV31" i="1"/>
  <c r="CU31" i="1" s="1"/>
  <c r="AV31" i="1" s="1"/>
  <c r="AX31" i="1" s="1"/>
  <c r="CT31" i="1"/>
  <c r="S31" i="1" s="1"/>
  <c r="BI31" i="1"/>
  <c r="BH31" i="1"/>
  <c r="BD31" i="1"/>
  <c r="BG31" i="1" s="1"/>
  <c r="AZ31" i="1"/>
  <c r="AT31" i="1"/>
  <c r="AN31" i="1"/>
  <c r="BA31" i="1" s="1"/>
  <c r="AI31" i="1"/>
  <c r="AG31" i="1" s="1"/>
  <c r="Y31" i="1"/>
  <c r="X31" i="1"/>
  <c r="P31" i="1"/>
  <c r="K31" i="1"/>
  <c r="CW30" i="1"/>
  <c r="S30" i="1" s="1"/>
  <c r="CV30" i="1"/>
  <c r="CT30" i="1"/>
  <c r="CU30" i="1" s="1"/>
  <c r="AV30" i="1" s="1"/>
  <c r="BI30" i="1"/>
  <c r="BH30" i="1"/>
  <c r="BF30" i="1"/>
  <c r="BJ30" i="1" s="1"/>
  <c r="BK30" i="1" s="1"/>
  <c r="BE30" i="1"/>
  <c r="AZ30" i="1"/>
  <c r="AT30" i="1"/>
  <c r="AN30" i="1"/>
  <c r="BA30" i="1" s="1"/>
  <c r="BD30" i="1" s="1"/>
  <c r="BG30" i="1" s="1"/>
  <c r="AI30" i="1"/>
  <c r="AG30" i="1"/>
  <c r="AH30" i="1" s="1"/>
  <c r="Y30" i="1"/>
  <c r="X30" i="1"/>
  <c r="W30" i="1" s="1"/>
  <c r="P30" i="1"/>
  <c r="J30" i="1"/>
  <c r="AW30" i="1" s="1"/>
  <c r="AY30" i="1" s="1"/>
  <c r="CW29" i="1"/>
  <c r="CV29" i="1"/>
  <c r="CT29" i="1"/>
  <c r="BI29" i="1"/>
  <c r="BH29" i="1"/>
  <c r="BA29" i="1"/>
  <c r="BD29" i="1" s="1"/>
  <c r="BE29" i="1" s="1"/>
  <c r="AZ29" i="1"/>
  <c r="AT29" i="1"/>
  <c r="AN29" i="1"/>
  <c r="AI29" i="1"/>
  <c r="AG29" i="1"/>
  <c r="J29" i="1" s="1"/>
  <c r="AW29" i="1" s="1"/>
  <c r="Y29" i="1"/>
  <c r="X29" i="1"/>
  <c r="W29" i="1"/>
  <c r="P29" i="1"/>
  <c r="CW28" i="1"/>
  <c r="CV28" i="1"/>
  <c r="CU28" i="1"/>
  <c r="CT28" i="1"/>
  <c r="BI28" i="1"/>
  <c r="BH28" i="1"/>
  <c r="BA28" i="1"/>
  <c r="BD28" i="1" s="1"/>
  <c r="AZ28" i="1"/>
  <c r="AX28" i="1"/>
  <c r="AV28" i="1"/>
  <c r="AT28" i="1"/>
  <c r="AN28" i="1"/>
  <c r="AI28" i="1"/>
  <c r="AG28" i="1" s="1"/>
  <c r="AA28" i="1"/>
  <c r="Y28" i="1"/>
  <c r="X28" i="1"/>
  <c r="W28" i="1"/>
  <c r="S28" i="1"/>
  <c r="T28" i="1" s="1"/>
  <c r="U28" i="1" s="1"/>
  <c r="P28" i="1"/>
  <c r="J28" i="1"/>
  <c r="AW28" i="1" s="1"/>
  <c r="AY28" i="1" s="1"/>
  <c r="I28" i="1"/>
  <c r="H28" i="1" s="1"/>
  <c r="CW27" i="1"/>
  <c r="CV27" i="1"/>
  <c r="CU27" i="1"/>
  <c r="AV27" i="1" s="1"/>
  <c r="CT27" i="1"/>
  <c r="BI27" i="1"/>
  <c r="BH27" i="1"/>
  <c r="AZ27" i="1"/>
  <c r="AX27" i="1"/>
  <c r="AT27" i="1"/>
  <c r="AN27" i="1"/>
  <c r="BA27" i="1" s="1"/>
  <c r="BD27" i="1" s="1"/>
  <c r="AI27" i="1"/>
  <c r="AG27" i="1" s="1"/>
  <c r="J27" i="1" s="1"/>
  <c r="AW27" i="1" s="1"/>
  <c r="AY27" i="1" s="1"/>
  <c r="Y27" i="1"/>
  <c r="X27" i="1"/>
  <c r="W27" i="1" s="1"/>
  <c r="S27" i="1"/>
  <c r="P27" i="1"/>
  <c r="CW26" i="1"/>
  <c r="CV26" i="1"/>
  <c r="CT26" i="1"/>
  <c r="BI26" i="1"/>
  <c r="BH26" i="1"/>
  <c r="AZ26" i="1"/>
  <c r="AT26" i="1"/>
  <c r="AN26" i="1"/>
  <c r="BA26" i="1" s="1"/>
  <c r="BD26" i="1" s="1"/>
  <c r="AI26" i="1"/>
  <c r="AH26" i="1"/>
  <c r="AG26" i="1"/>
  <c r="I26" i="1" s="1"/>
  <c r="H26" i="1" s="1"/>
  <c r="Y26" i="1"/>
  <c r="X26" i="1"/>
  <c r="W26" i="1" s="1"/>
  <c r="P26" i="1"/>
  <c r="N26" i="1"/>
  <c r="K26" i="1"/>
  <c r="J26" i="1"/>
  <c r="AW26" i="1" s="1"/>
  <c r="CW25" i="1"/>
  <c r="CV25" i="1"/>
  <c r="CT25" i="1"/>
  <c r="BI25" i="1"/>
  <c r="BH25" i="1"/>
  <c r="AZ25" i="1"/>
  <c r="AT25" i="1"/>
  <c r="AN25" i="1"/>
  <c r="BA25" i="1" s="1"/>
  <c r="BD25" i="1" s="1"/>
  <c r="AI25" i="1"/>
  <c r="AG25" i="1"/>
  <c r="Y25" i="1"/>
  <c r="X25" i="1"/>
  <c r="W25" i="1" s="1"/>
  <c r="P25" i="1"/>
  <c r="N25" i="1"/>
  <c r="CW24" i="1"/>
  <c r="CV24" i="1"/>
  <c r="CT24" i="1"/>
  <c r="BI24" i="1"/>
  <c r="BH24" i="1"/>
  <c r="AZ24" i="1"/>
  <c r="AT24" i="1"/>
  <c r="AN24" i="1"/>
  <c r="BA24" i="1" s="1"/>
  <c r="BD24" i="1" s="1"/>
  <c r="AI24" i="1"/>
  <c r="AG24" i="1"/>
  <c r="AH24" i="1" s="1"/>
  <c r="Y24" i="1"/>
  <c r="X24" i="1"/>
  <c r="W24" i="1"/>
  <c r="P24" i="1"/>
  <c r="CW23" i="1"/>
  <c r="CV23" i="1"/>
  <c r="CT23" i="1"/>
  <c r="CU23" i="1" s="1"/>
  <c r="AV23" i="1" s="1"/>
  <c r="BI23" i="1"/>
  <c r="BH23" i="1"/>
  <c r="AZ23" i="1"/>
  <c r="AT23" i="1"/>
  <c r="AN23" i="1"/>
  <c r="BA23" i="1" s="1"/>
  <c r="BD23" i="1" s="1"/>
  <c r="AI23" i="1"/>
  <c r="AG23" i="1" s="1"/>
  <c r="I23" i="1" s="1"/>
  <c r="H23" i="1" s="1"/>
  <c r="Y23" i="1"/>
  <c r="X23" i="1"/>
  <c r="W23" i="1" s="1"/>
  <c r="P23" i="1"/>
  <c r="CW22" i="1"/>
  <c r="CV22" i="1"/>
  <c r="CT22" i="1"/>
  <c r="S22" i="1" s="1"/>
  <c r="BI22" i="1"/>
  <c r="BH22" i="1"/>
  <c r="BD22" i="1"/>
  <c r="BG22" i="1" s="1"/>
  <c r="AZ22" i="1"/>
  <c r="AT22" i="1"/>
  <c r="AN22" i="1"/>
  <c r="BA22" i="1" s="1"/>
  <c r="AI22" i="1"/>
  <c r="AG22" i="1" s="1"/>
  <c r="I22" i="1" s="1"/>
  <c r="H22" i="1" s="1"/>
  <c r="AH22" i="1"/>
  <c r="Y22" i="1"/>
  <c r="X22" i="1"/>
  <c r="W22" i="1" s="1"/>
  <c r="P22" i="1"/>
  <c r="CW21" i="1"/>
  <c r="S21" i="1" s="1"/>
  <c r="CV21" i="1"/>
  <c r="CT21" i="1"/>
  <c r="CU21" i="1" s="1"/>
  <c r="AV21" i="1" s="1"/>
  <c r="AX21" i="1" s="1"/>
  <c r="BI21" i="1"/>
  <c r="BH21" i="1"/>
  <c r="BD21" i="1"/>
  <c r="BG21" i="1" s="1"/>
  <c r="AZ21" i="1"/>
  <c r="AT21" i="1"/>
  <c r="AN21" i="1"/>
  <c r="BA21" i="1" s="1"/>
  <c r="AI21" i="1"/>
  <c r="AG21" i="1"/>
  <c r="Y21" i="1"/>
  <c r="X21" i="1"/>
  <c r="W21" i="1" s="1"/>
  <c r="P21" i="1"/>
  <c r="J21" i="1"/>
  <c r="AW21" i="1" s="1"/>
  <c r="CW20" i="1"/>
  <c r="S20" i="1" s="1"/>
  <c r="CV20" i="1"/>
  <c r="CT20" i="1"/>
  <c r="BI20" i="1"/>
  <c r="BH20" i="1"/>
  <c r="BA20" i="1"/>
  <c r="BD20" i="1" s="1"/>
  <c r="BE20" i="1" s="1"/>
  <c r="AZ20" i="1"/>
  <c r="AT20" i="1"/>
  <c r="AN20" i="1"/>
  <c r="AI20" i="1"/>
  <c r="AG20" i="1"/>
  <c r="Y20" i="1"/>
  <c r="X20" i="1"/>
  <c r="W20" i="1"/>
  <c r="P20" i="1"/>
  <c r="J20" i="1"/>
  <c r="AW20" i="1" s="1"/>
  <c r="CW19" i="1"/>
  <c r="CV19" i="1"/>
  <c r="CU19" i="1"/>
  <c r="CT19" i="1"/>
  <c r="BI19" i="1"/>
  <c r="BH19" i="1"/>
  <c r="BA19" i="1"/>
  <c r="BD19" i="1" s="1"/>
  <c r="BE19" i="1" s="1"/>
  <c r="AZ19" i="1"/>
  <c r="AV19" i="1"/>
  <c r="AX19" i="1" s="1"/>
  <c r="AT19" i="1"/>
  <c r="AN19" i="1"/>
  <c r="AI19" i="1"/>
  <c r="AG19" i="1" s="1"/>
  <c r="K19" i="1" s="1"/>
  <c r="AH19" i="1"/>
  <c r="AA19" i="1"/>
  <c r="Y19" i="1"/>
  <c r="X19" i="1"/>
  <c r="W19" i="1"/>
  <c r="S19" i="1"/>
  <c r="P19" i="1"/>
  <c r="N19" i="1"/>
  <c r="J19" i="1"/>
  <c r="AW19" i="1" s="1"/>
  <c r="AY19" i="1" s="1"/>
  <c r="I19" i="1"/>
  <c r="H19" i="1"/>
  <c r="CW18" i="1"/>
  <c r="CV18" i="1"/>
  <c r="CU18" i="1"/>
  <c r="CT18" i="1"/>
  <c r="BI18" i="1"/>
  <c r="BH18" i="1"/>
  <c r="AZ18" i="1"/>
  <c r="AV18" i="1"/>
  <c r="AX18" i="1" s="1"/>
  <c r="AT18" i="1"/>
  <c r="AN18" i="1"/>
  <c r="BA18" i="1" s="1"/>
  <c r="BD18" i="1" s="1"/>
  <c r="AI18" i="1"/>
  <c r="AG18" i="1" s="1"/>
  <c r="I18" i="1" s="1"/>
  <c r="H18" i="1" s="1"/>
  <c r="Y18" i="1"/>
  <c r="X18" i="1"/>
  <c r="S18" i="1"/>
  <c r="P18" i="1"/>
  <c r="CW17" i="1"/>
  <c r="CV17" i="1"/>
  <c r="CT17" i="1"/>
  <c r="BI17" i="1"/>
  <c r="BH17" i="1"/>
  <c r="AZ17" i="1"/>
  <c r="AT17" i="1"/>
  <c r="AN17" i="1"/>
  <c r="BA17" i="1" s="1"/>
  <c r="BD17" i="1" s="1"/>
  <c r="AI17" i="1"/>
  <c r="AH17" i="1"/>
  <c r="AG17" i="1"/>
  <c r="I17" i="1" s="1"/>
  <c r="H17" i="1" s="1"/>
  <c r="AA17" i="1" s="1"/>
  <c r="Y17" i="1"/>
  <c r="X17" i="1"/>
  <c r="P17" i="1"/>
  <c r="N17" i="1"/>
  <c r="K17" i="1"/>
  <c r="J17" i="1"/>
  <c r="AW17" i="1" s="1"/>
  <c r="BG23" i="1" l="1"/>
  <c r="BE23" i="1"/>
  <c r="BF23" i="1"/>
  <c r="BJ23" i="1" s="1"/>
  <c r="BK23" i="1" s="1"/>
  <c r="T27" i="1"/>
  <c r="U27" i="1" s="1"/>
  <c r="AA22" i="1"/>
  <c r="BG40" i="1"/>
  <c r="BF40" i="1"/>
  <c r="BJ40" i="1" s="1"/>
  <c r="BK40" i="1" s="1"/>
  <c r="BE40" i="1"/>
  <c r="BG17" i="1"/>
  <c r="BF17" i="1"/>
  <c r="BJ17" i="1" s="1"/>
  <c r="BK17" i="1" s="1"/>
  <c r="BE17" i="1"/>
  <c r="BG42" i="1"/>
  <c r="BF42" i="1"/>
  <c r="BJ42" i="1" s="1"/>
  <c r="BK42" i="1" s="1"/>
  <c r="BE42" i="1"/>
  <c r="AC28" i="1"/>
  <c r="V28" i="1"/>
  <c r="Z28" i="1" s="1"/>
  <c r="AB28" i="1"/>
  <c r="AY21" i="1"/>
  <c r="BF24" i="1"/>
  <c r="BJ24" i="1" s="1"/>
  <c r="BK24" i="1" s="1"/>
  <c r="BE24" i="1"/>
  <c r="BG24" i="1"/>
  <c r="BG32" i="1"/>
  <c r="BE32" i="1"/>
  <c r="BF32" i="1"/>
  <c r="BJ32" i="1" s="1"/>
  <c r="BK32" i="1" s="1"/>
  <c r="AA23" i="1"/>
  <c r="AY17" i="1"/>
  <c r="BF33" i="1"/>
  <c r="BJ33" i="1" s="1"/>
  <c r="BK33" i="1" s="1"/>
  <c r="BE33" i="1"/>
  <c r="BG33" i="1"/>
  <c r="T32" i="1"/>
  <c r="U32" i="1" s="1"/>
  <c r="BG18" i="1"/>
  <c r="BF18" i="1"/>
  <c r="BJ18" i="1" s="1"/>
  <c r="BK18" i="1" s="1"/>
  <c r="BE18" i="1"/>
  <c r="BG25" i="1"/>
  <c r="BF25" i="1"/>
  <c r="BJ25" i="1" s="1"/>
  <c r="BK25" i="1" s="1"/>
  <c r="BE25" i="1"/>
  <c r="V38" i="1"/>
  <c r="Z38" i="1" s="1"/>
  <c r="AC38" i="1"/>
  <c r="AD38" i="1" s="1"/>
  <c r="AA35" i="1"/>
  <c r="BG37" i="1"/>
  <c r="BF37" i="1"/>
  <c r="BJ37" i="1" s="1"/>
  <c r="BK37" i="1" s="1"/>
  <c r="BE37" i="1"/>
  <c r="BG44" i="1"/>
  <c r="BF44" i="1"/>
  <c r="BJ44" i="1" s="1"/>
  <c r="BK44" i="1" s="1"/>
  <c r="BE44" i="1"/>
  <c r="AA18" i="1"/>
  <c r="Q18" i="1"/>
  <c r="O18" i="1" s="1"/>
  <c r="R18" i="1" s="1"/>
  <c r="L18" i="1" s="1"/>
  <c r="M18" i="1" s="1"/>
  <c r="BE21" i="1"/>
  <c r="K32" i="1"/>
  <c r="J32" i="1"/>
  <c r="AW32" i="1" s="1"/>
  <c r="AY32" i="1" s="1"/>
  <c r="I32" i="1"/>
  <c r="H32" i="1" s="1"/>
  <c r="I45" i="1"/>
  <c r="H45" i="1" s="1"/>
  <c r="AH45" i="1"/>
  <c r="N45" i="1"/>
  <c r="BF31" i="1"/>
  <c r="BJ31" i="1" s="1"/>
  <c r="BK31" i="1" s="1"/>
  <c r="BG19" i="1"/>
  <c r="N23" i="1"/>
  <c r="AD28" i="1"/>
  <c r="I29" i="1"/>
  <c r="H29" i="1" s="1"/>
  <c r="AA33" i="1"/>
  <c r="AH40" i="1"/>
  <c r="N40" i="1"/>
  <c r="K40" i="1"/>
  <c r="J40" i="1"/>
  <c r="AW40" i="1" s="1"/>
  <c r="AY40" i="1" s="1"/>
  <c r="I40" i="1"/>
  <c r="H40" i="1" s="1"/>
  <c r="I27" i="1"/>
  <c r="H27" i="1" s="1"/>
  <c r="AH27" i="1"/>
  <c r="N27" i="1"/>
  <c r="S33" i="1"/>
  <c r="CU33" i="1"/>
  <c r="AV33" i="1" s="1"/>
  <c r="AA42" i="1"/>
  <c r="K18" i="1"/>
  <c r="AH46" i="1"/>
  <c r="N46" i="1"/>
  <c r="K46" i="1"/>
  <c r="J46" i="1"/>
  <c r="AW46" i="1" s="1"/>
  <c r="AY46" i="1" s="1"/>
  <c r="I46" i="1"/>
  <c r="H46" i="1" s="1"/>
  <c r="S34" i="1"/>
  <c r="CU34" i="1"/>
  <c r="AV34" i="1" s="1"/>
  <c r="AX34" i="1" s="1"/>
  <c r="AB38" i="1"/>
  <c r="AA26" i="1"/>
  <c r="AH28" i="1"/>
  <c r="N28" i="1"/>
  <c r="K28" i="1"/>
  <c r="K41" i="1"/>
  <c r="J41" i="1"/>
  <c r="AW41" i="1" s="1"/>
  <c r="AY41" i="1" s="1"/>
  <c r="I41" i="1"/>
  <c r="H41" i="1" s="1"/>
  <c r="BF20" i="1"/>
  <c r="BJ20" i="1" s="1"/>
  <c r="BK20" i="1" s="1"/>
  <c r="BG20" i="1"/>
  <c r="BF19" i="1"/>
  <c r="BJ19" i="1" s="1"/>
  <c r="BK19" i="1" s="1"/>
  <c r="BG41" i="1"/>
  <c r="BE41" i="1"/>
  <c r="K43" i="1"/>
  <c r="J43" i="1"/>
  <c r="AW43" i="1" s="1"/>
  <c r="AY43" i="1" s="1"/>
  <c r="I43" i="1"/>
  <c r="H43" i="1" s="1"/>
  <c r="AB44" i="1"/>
  <c r="S43" i="1"/>
  <c r="CU43" i="1"/>
  <c r="AV43" i="1" s="1"/>
  <c r="AX43" i="1" s="1"/>
  <c r="T18" i="1"/>
  <c r="U18" i="1" s="1"/>
  <c r="AH21" i="1"/>
  <c r="N21" i="1"/>
  <c r="K21" i="1"/>
  <c r="I21" i="1"/>
  <c r="H21" i="1" s="1"/>
  <c r="CU20" i="1"/>
  <c r="AV20" i="1" s="1"/>
  <c r="AY20" i="1" s="1"/>
  <c r="J22" i="1"/>
  <c r="AW22" i="1" s="1"/>
  <c r="AY22" i="1" s="1"/>
  <c r="S23" i="1"/>
  <c r="S25" i="1"/>
  <c r="CU25" i="1"/>
  <c r="AV25" i="1" s="1"/>
  <c r="AX25" i="1" s="1"/>
  <c r="BF29" i="1"/>
  <c r="BJ29" i="1" s="1"/>
  <c r="BK29" i="1" s="1"/>
  <c r="BG35" i="1"/>
  <c r="BF35" i="1"/>
  <c r="BJ35" i="1" s="1"/>
  <c r="BK35" i="1" s="1"/>
  <c r="AH43" i="1"/>
  <c r="T44" i="1"/>
  <c r="U44" i="1" s="1"/>
  <c r="BG46" i="1"/>
  <c r="BF46" i="1"/>
  <c r="BJ46" i="1" s="1"/>
  <c r="BK46" i="1" s="1"/>
  <c r="BE46" i="1"/>
  <c r="J18" i="1"/>
  <c r="AW18" i="1" s="1"/>
  <c r="AY18" i="1" s="1"/>
  <c r="BF21" i="1"/>
  <c r="BJ21" i="1" s="1"/>
  <c r="BK21" i="1" s="1"/>
  <c r="S26" i="1"/>
  <c r="CU26" i="1"/>
  <c r="AV26" i="1" s="1"/>
  <c r="AX26" i="1" s="1"/>
  <c r="AB40" i="1"/>
  <c r="J23" i="1"/>
  <c r="AW23" i="1" s="1"/>
  <c r="AY23" i="1" s="1"/>
  <c r="K24" i="1"/>
  <c r="J24" i="1"/>
  <c r="AW24" i="1" s="1"/>
  <c r="AY24" i="1" s="1"/>
  <c r="W18" i="1"/>
  <c r="K22" i="1"/>
  <c r="BG26" i="1"/>
  <c r="BF26" i="1"/>
  <c r="BJ26" i="1" s="1"/>
  <c r="BK26" i="1" s="1"/>
  <c r="BG29" i="1"/>
  <c r="W31" i="1"/>
  <c r="BE35" i="1"/>
  <c r="BG39" i="1"/>
  <c r="BF39" i="1"/>
  <c r="BJ39" i="1" s="1"/>
  <c r="BK39" i="1" s="1"/>
  <c r="BE39" i="1"/>
  <c r="AX42" i="1"/>
  <c r="J45" i="1"/>
  <c r="AW45" i="1" s="1"/>
  <c r="AY45" i="1" s="1"/>
  <c r="AX23" i="1"/>
  <c r="K27" i="1"/>
  <c r="N22" i="1"/>
  <c r="N32" i="1"/>
  <c r="AX33" i="1"/>
  <c r="AX39" i="1"/>
  <c r="BF41" i="1"/>
  <c r="BJ41" i="1" s="1"/>
  <c r="BK41" i="1" s="1"/>
  <c r="BG43" i="1"/>
  <c r="BF43" i="1"/>
  <c r="BJ43" i="1" s="1"/>
  <c r="BK43" i="1" s="1"/>
  <c r="BE43" i="1"/>
  <c r="K45" i="1"/>
  <c r="N18" i="1"/>
  <c r="I24" i="1"/>
  <c r="H24" i="1" s="1"/>
  <c r="Q28" i="1"/>
  <c r="O28" i="1" s="1"/>
  <c r="R28" i="1" s="1"/>
  <c r="L28" i="1" s="1"/>
  <c r="M28" i="1" s="1"/>
  <c r="AX30" i="1"/>
  <c r="K34" i="1"/>
  <c r="I34" i="1"/>
  <c r="H34" i="1" s="1"/>
  <c r="J34" i="1"/>
  <c r="AW34" i="1" s="1"/>
  <c r="I36" i="1"/>
  <c r="H36" i="1" s="1"/>
  <c r="AH36" i="1"/>
  <c r="N36" i="1"/>
  <c r="Q38" i="1"/>
  <c r="O38" i="1" s="1"/>
  <c r="R38" i="1" s="1"/>
  <c r="L38" i="1" s="1"/>
  <c r="M38" i="1" s="1"/>
  <c r="AH29" i="1"/>
  <c r="N29" i="1"/>
  <c r="K29" i="1"/>
  <c r="AY39" i="1"/>
  <c r="AB32" i="1"/>
  <c r="CU32" i="1"/>
  <c r="AV32" i="1" s="1"/>
  <c r="AX32" i="1" s="1"/>
  <c r="AH34" i="1"/>
  <c r="BG36" i="1"/>
  <c r="BF36" i="1"/>
  <c r="BJ36" i="1" s="1"/>
  <c r="BK36" i="1" s="1"/>
  <c r="BE36" i="1"/>
  <c r="BF38" i="1"/>
  <c r="BJ38" i="1" s="1"/>
  <c r="BK38" i="1" s="1"/>
  <c r="S24" i="1"/>
  <c r="CU24" i="1"/>
  <c r="AV24" i="1" s="1"/>
  <c r="AX24" i="1" s="1"/>
  <c r="AB42" i="1"/>
  <c r="BG45" i="1"/>
  <c r="BF45" i="1"/>
  <c r="BJ45" i="1" s="1"/>
  <c r="BK45" i="1" s="1"/>
  <c r="BE45" i="1"/>
  <c r="AH20" i="1"/>
  <c r="N20" i="1"/>
  <c r="K20" i="1"/>
  <c r="K25" i="1"/>
  <c r="J25" i="1"/>
  <c r="AW25" i="1" s="1"/>
  <c r="I25" i="1"/>
  <c r="H25" i="1" s="1"/>
  <c r="AH31" i="1"/>
  <c r="N31" i="1"/>
  <c r="J31" i="1"/>
  <c r="AW31" i="1" s="1"/>
  <c r="AY31" i="1" s="1"/>
  <c r="I31" i="1"/>
  <c r="H31" i="1" s="1"/>
  <c r="S35" i="1"/>
  <c r="CU35" i="1"/>
  <c r="AV35" i="1" s="1"/>
  <c r="AX35" i="1" s="1"/>
  <c r="AY38" i="1"/>
  <c r="BG38" i="1"/>
  <c r="T41" i="1"/>
  <c r="U41" i="1" s="1"/>
  <c r="T45" i="1"/>
  <c r="U45" i="1" s="1"/>
  <c r="CU22" i="1"/>
  <c r="AV22" i="1" s="1"/>
  <c r="AX22" i="1" s="1"/>
  <c r="BG27" i="1"/>
  <c r="BF27" i="1"/>
  <c r="BJ27" i="1" s="1"/>
  <c r="BK27" i="1" s="1"/>
  <c r="BE27" i="1"/>
  <c r="BG34" i="1"/>
  <c r="BF34" i="1"/>
  <c r="BJ34" i="1" s="1"/>
  <c r="BK34" i="1" s="1"/>
  <c r="BE34" i="1"/>
  <c r="BE31" i="1"/>
  <c r="T42" i="1"/>
  <c r="U42" i="1" s="1"/>
  <c r="Q42" i="1" s="1"/>
  <c r="O42" i="1" s="1"/>
  <c r="R42" i="1" s="1"/>
  <c r="L42" i="1" s="1"/>
  <c r="M42" i="1" s="1"/>
  <c r="T19" i="1"/>
  <c r="U19" i="1" s="1"/>
  <c r="K23" i="1"/>
  <c r="BE22" i="1"/>
  <c r="Q19" i="1"/>
  <c r="O19" i="1" s="1"/>
  <c r="R19" i="1" s="1"/>
  <c r="L19" i="1" s="1"/>
  <c r="M19" i="1" s="1"/>
  <c r="BF22" i="1"/>
  <c r="BJ22" i="1" s="1"/>
  <c r="BK22" i="1" s="1"/>
  <c r="BF28" i="1"/>
  <c r="BJ28" i="1" s="1"/>
  <c r="BK28" i="1" s="1"/>
  <c r="BE28" i="1"/>
  <c r="S29" i="1"/>
  <c r="W17" i="1"/>
  <c r="S17" i="1"/>
  <c r="CU17" i="1"/>
  <c r="AV17" i="1" s="1"/>
  <c r="AX17" i="1" s="1"/>
  <c r="AH18" i="1"/>
  <c r="I20" i="1"/>
  <c r="H20" i="1" s="1"/>
  <c r="T22" i="1"/>
  <c r="U22" i="1" s="1"/>
  <c r="AH23" i="1"/>
  <c r="N24" i="1"/>
  <c r="AH25" i="1"/>
  <c r="BE26" i="1"/>
  <c r="BG28" i="1"/>
  <c r="AH37" i="1"/>
  <c r="N37" i="1"/>
  <c r="K37" i="1"/>
  <c r="J37" i="1"/>
  <c r="AW37" i="1" s="1"/>
  <c r="AY37" i="1" s="1"/>
  <c r="I37" i="1"/>
  <c r="H37" i="1" s="1"/>
  <c r="T37" i="1" s="1"/>
  <c r="U37" i="1" s="1"/>
  <c r="T40" i="1"/>
  <c r="U40" i="1" s="1"/>
  <c r="CU41" i="1"/>
  <c r="AV41" i="1" s="1"/>
  <c r="AX41" i="1" s="1"/>
  <c r="K38" i="1"/>
  <c r="J33" i="1"/>
  <c r="AW33" i="1" s="1"/>
  <c r="AY33" i="1" s="1"/>
  <c r="N38" i="1"/>
  <c r="J42" i="1"/>
  <c r="AW42" i="1" s="1"/>
  <c r="AY42" i="1" s="1"/>
  <c r="CU29" i="1"/>
  <c r="AV29" i="1" s="1"/>
  <c r="AY29" i="1" s="1"/>
  <c r="CU38" i="1"/>
  <c r="AV38" i="1" s="1"/>
  <c r="AX38" i="1" s="1"/>
  <c r="K42" i="1"/>
  <c r="N42" i="1"/>
  <c r="I30" i="1"/>
  <c r="H30" i="1" s="1"/>
  <c r="I39" i="1"/>
  <c r="H39" i="1" s="1"/>
  <c r="K30" i="1"/>
  <c r="K39" i="1"/>
  <c r="CU44" i="1"/>
  <c r="AV44" i="1" s="1"/>
  <c r="N30" i="1"/>
  <c r="N39" i="1"/>
  <c r="AC37" i="1" l="1"/>
  <c r="AB37" i="1"/>
  <c r="V37" i="1"/>
  <c r="Z37" i="1" s="1"/>
  <c r="AY26" i="1"/>
  <c r="T34" i="1"/>
  <c r="U34" i="1" s="1"/>
  <c r="T26" i="1"/>
  <c r="U26" i="1" s="1"/>
  <c r="AY35" i="1"/>
  <c r="AA30" i="1"/>
  <c r="Q30" i="1"/>
  <c r="O30" i="1" s="1"/>
  <c r="R30" i="1" s="1"/>
  <c r="L30" i="1" s="1"/>
  <c r="M30" i="1" s="1"/>
  <c r="AC41" i="1"/>
  <c r="AD41" i="1" s="1"/>
  <c r="V41" i="1"/>
  <c r="Z41" i="1" s="1"/>
  <c r="AC19" i="1"/>
  <c r="AB19" i="1"/>
  <c r="V19" i="1"/>
  <c r="Z19" i="1" s="1"/>
  <c r="AA21" i="1"/>
  <c r="T21" i="1"/>
  <c r="U21" i="1" s="1"/>
  <c r="AA29" i="1"/>
  <c r="T25" i="1"/>
  <c r="U25" i="1" s="1"/>
  <c r="Q25" i="1" s="1"/>
  <c r="O25" i="1" s="1"/>
  <c r="R25" i="1" s="1"/>
  <c r="L25" i="1" s="1"/>
  <c r="M25" i="1" s="1"/>
  <c r="AA31" i="1"/>
  <c r="T31" i="1"/>
  <c r="U31" i="1" s="1"/>
  <c r="AA24" i="1"/>
  <c r="AA36" i="1"/>
  <c r="T36" i="1"/>
  <c r="U36" i="1" s="1"/>
  <c r="AY34" i="1"/>
  <c r="V22" i="1"/>
  <c r="Z22" i="1" s="1"/>
  <c r="AB22" i="1"/>
  <c r="AC22" i="1"/>
  <c r="AD22" i="1" s="1"/>
  <c r="AC32" i="1"/>
  <c r="AD32" i="1" s="1"/>
  <c r="V32" i="1"/>
  <c r="Z32" i="1" s="1"/>
  <c r="AX20" i="1"/>
  <c r="Q22" i="1"/>
  <c r="O22" i="1" s="1"/>
  <c r="R22" i="1" s="1"/>
  <c r="L22" i="1" s="1"/>
  <c r="M22" i="1" s="1"/>
  <c r="AA41" i="1"/>
  <c r="Q41" i="1"/>
  <c r="O41" i="1" s="1"/>
  <c r="R41" i="1" s="1"/>
  <c r="L41" i="1" s="1"/>
  <c r="M41" i="1" s="1"/>
  <c r="AX29" i="1"/>
  <c r="T23" i="1"/>
  <c r="U23" i="1" s="1"/>
  <c r="AC27" i="1"/>
  <c r="AD27" i="1" s="1"/>
  <c r="AB27" i="1"/>
  <c r="V27" i="1"/>
  <c r="Z27" i="1" s="1"/>
  <c r="AA39" i="1"/>
  <c r="Q39" i="1"/>
  <c r="O39" i="1" s="1"/>
  <c r="R39" i="1" s="1"/>
  <c r="L39" i="1" s="1"/>
  <c r="M39" i="1" s="1"/>
  <c r="AY44" i="1"/>
  <c r="AX44" i="1"/>
  <c r="T35" i="1"/>
  <c r="U35" i="1" s="1"/>
  <c r="AB18" i="1"/>
  <c r="AC18" i="1"/>
  <c r="V18" i="1"/>
  <c r="Z18" i="1" s="1"/>
  <c r="T17" i="1"/>
  <c r="U17" i="1" s="1"/>
  <c r="T30" i="1"/>
  <c r="U30" i="1" s="1"/>
  <c r="AA25" i="1"/>
  <c r="Q37" i="1"/>
  <c r="O37" i="1" s="1"/>
  <c r="R37" i="1" s="1"/>
  <c r="L37" i="1" s="1"/>
  <c r="M37" i="1" s="1"/>
  <c r="AA37" i="1"/>
  <c r="AA43" i="1"/>
  <c r="Q43" i="1"/>
  <c r="O43" i="1" s="1"/>
  <c r="R43" i="1" s="1"/>
  <c r="L43" i="1" s="1"/>
  <c r="M43" i="1" s="1"/>
  <c r="T24" i="1"/>
  <c r="U24" i="1" s="1"/>
  <c r="AA34" i="1"/>
  <c r="Q34" i="1"/>
  <c r="O34" i="1" s="1"/>
  <c r="R34" i="1" s="1"/>
  <c r="L34" i="1" s="1"/>
  <c r="M34" i="1" s="1"/>
  <c r="AC42" i="1"/>
  <c r="AD42" i="1" s="1"/>
  <c r="V42" i="1"/>
  <c r="Z42" i="1" s="1"/>
  <c r="AA20" i="1"/>
  <c r="T20" i="1"/>
  <c r="U20" i="1" s="1"/>
  <c r="T39" i="1"/>
  <c r="U39" i="1" s="1"/>
  <c r="T29" i="1"/>
  <c r="U29" i="1" s="1"/>
  <c r="T43" i="1"/>
  <c r="U43" i="1" s="1"/>
  <c r="AA27" i="1"/>
  <c r="Q27" i="1"/>
  <c r="O27" i="1" s="1"/>
  <c r="R27" i="1" s="1"/>
  <c r="L27" i="1" s="1"/>
  <c r="M27" i="1" s="1"/>
  <c r="AA45" i="1"/>
  <c r="Q45" i="1"/>
  <c r="O45" i="1" s="1"/>
  <c r="R45" i="1" s="1"/>
  <c r="L45" i="1" s="1"/>
  <c r="M45" i="1" s="1"/>
  <c r="V45" i="1"/>
  <c r="Z45" i="1" s="1"/>
  <c r="AC45" i="1"/>
  <c r="AB45" i="1"/>
  <c r="AA46" i="1"/>
  <c r="T46" i="1"/>
  <c r="U46" i="1" s="1"/>
  <c r="AY25" i="1"/>
  <c r="Q44" i="1"/>
  <c r="O44" i="1" s="1"/>
  <c r="R44" i="1" s="1"/>
  <c r="L44" i="1" s="1"/>
  <c r="M44" i="1" s="1"/>
  <c r="AC44" i="1"/>
  <c r="AD44" i="1" s="1"/>
  <c r="V44" i="1"/>
  <c r="Z44" i="1" s="1"/>
  <c r="T33" i="1"/>
  <c r="U33" i="1" s="1"/>
  <c r="AB41" i="1"/>
  <c r="V40" i="1"/>
  <c r="Z40" i="1" s="1"/>
  <c r="AC40" i="1"/>
  <c r="Q40" i="1"/>
  <c r="O40" i="1" s="1"/>
  <c r="R40" i="1" s="1"/>
  <c r="L40" i="1" s="1"/>
  <c r="M40" i="1" s="1"/>
  <c r="AA40" i="1"/>
  <c r="AA32" i="1"/>
  <c r="Q32" i="1"/>
  <c r="O32" i="1" s="1"/>
  <c r="R32" i="1" s="1"/>
  <c r="L32" i="1" s="1"/>
  <c r="M32" i="1" s="1"/>
  <c r="AD45" i="1" l="1"/>
  <c r="AC36" i="1"/>
  <c r="AB36" i="1"/>
  <c r="V36" i="1"/>
  <c r="Z36" i="1" s="1"/>
  <c r="AC24" i="1"/>
  <c r="AD24" i="1" s="1"/>
  <c r="V24" i="1"/>
  <c r="Z24" i="1" s="1"/>
  <c r="AB24" i="1"/>
  <c r="Q36" i="1"/>
  <c r="O36" i="1" s="1"/>
  <c r="R36" i="1" s="1"/>
  <c r="L36" i="1" s="1"/>
  <c r="M36" i="1" s="1"/>
  <c r="AC46" i="1"/>
  <c r="AD46" i="1" s="1"/>
  <c r="AB46" i="1"/>
  <c r="V46" i="1"/>
  <c r="Z46" i="1" s="1"/>
  <c r="Q46" i="1"/>
  <c r="O46" i="1" s="1"/>
  <c r="R46" i="1" s="1"/>
  <c r="L46" i="1" s="1"/>
  <c r="M46" i="1" s="1"/>
  <c r="AC35" i="1"/>
  <c r="AD35" i="1" s="1"/>
  <c r="AB35" i="1"/>
  <c r="V35" i="1"/>
  <c r="Z35" i="1" s="1"/>
  <c r="Q35" i="1"/>
  <c r="O35" i="1" s="1"/>
  <c r="R35" i="1" s="1"/>
  <c r="L35" i="1" s="1"/>
  <c r="M35" i="1" s="1"/>
  <c r="AC23" i="1"/>
  <c r="AD23" i="1" s="1"/>
  <c r="V23" i="1"/>
  <c r="Z23" i="1" s="1"/>
  <c r="AB23" i="1"/>
  <c r="Q23" i="1"/>
  <c r="O23" i="1" s="1"/>
  <c r="R23" i="1" s="1"/>
  <c r="L23" i="1" s="1"/>
  <c r="M23" i="1" s="1"/>
  <c r="V31" i="1"/>
  <c r="Z31" i="1" s="1"/>
  <c r="AC31" i="1"/>
  <c r="AB31" i="1"/>
  <c r="V26" i="1"/>
  <c r="Z26" i="1" s="1"/>
  <c r="AC26" i="1"/>
  <c r="AB26" i="1"/>
  <c r="Q26" i="1"/>
  <c r="O26" i="1" s="1"/>
  <c r="R26" i="1" s="1"/>
  <c r="L26" i="1" s="1"/>
  <c r="M26" i="1" s="1"/>
  <c r="AD19" i="1"/>
  <c r="Q24" i="1"/>
  <c r="O24" i="1" s="1"/>
  <c r="R24" i="1" s="1"/>
  <c r="L24" i="1" s="1"/>
  <c r="M24" i="1" s="1"/>
  <c r="AD40" i="1"/>
  <c r="AC43" i="1"/>
  <c r="V43" i="1"/>
  <c r="Z43" i="1" s="1"/>
  <c r="AB43" i="1"/>
  <c r="Q31" i="1"/>
  <c r="O31" i="1" s="1"/>
  <c r="R31" i="1" s="1"/>
  <c r="L31" i="1" s="1"/>
  <c r="M31" i="1" s="1"/>
  <c r="AC30" i="1"/>
  <c r="AD30" i="1" s="1"/>
  <c r="V30" i="1"/>
  <c r="Z30" i="1" s="1"/>
  <c r="AB30" i="1"/>
  <c r="AC25" i="1"/>
  <c r="V25" i="1"/>
  <c r="Z25" i="1" s="1"/>
  <c r="AB25" i="1"/>
  <c r="AC34" i="1"/>
  <c r="AD34" i="1" s="1"/>
  <c r="V34" i="1"/>
  <c r="Z34" i="1" s="1"/>
  <c r="AB34" i="1"/>
  <c r="AC33" i="1"/>
  <c r="V33" i="1"/>
  <c r="Z33" i="1" s="1"/>
  <c r="Q33" i="1"/>
  <c r="O33" i="1" s="1"/>
  <c r="R33" i="1" s="1"/>
  <c r="L33" i="1" s="1"/>
  <c r="M33" i="1" s="1"/>
  <c r="AB33" i="1"/>
  <c r="V29" i="1"/>
  <c r="Z29" i="1" s="1"/>
  <c r="AC29" i="1"/>
  <c r="AB29" i="1"/>
  <c r="V17" i="1"/>
  <c r="Z17" i="1" s="1"/>
  <c r="AB17" i="1"/>
  <c r="AC17" i="1"/>
  <c r="Q17" i="1"/>
  <c r="O17" i="1" s="1"/>
  <c r="R17" i="1" s="1"/>
  <c r="L17" i="1" s="1"/>
  <c r="M17" i="1" s="1"/>
  <c r="AC20" i="1"/>
  <c r="V20" i="1"/>
  <c r="Z20" i="1" s="1"/>
  <c r="AB20" i="1"/>
  <c r="Q29" i="1"/>
  <c r="O29" i="1" s="1"/>
  <c r="R29" i="1" s="1"/>
  <c r="L29" i="1" s="1"/>
  <c r="M29" i="1" s="1"/>
  <c r="AC21" i="1"/>
  <c r="AD21" i="1" s="1"/>
  <c r="V21" i="1"/>
  <c r="Z21" i="1" s="1"/>
  <c r="AB21" i="1"/>
  <c r="AC39" i="1"/>
  <c r="V39" i="1"/>
  <c r="Z39" i="1" s="1"/>
  <c r="AB39" i="1"/>
  <c r="Q20" i="1"/>
  <c r="O20" i="1" s="1"/>
  <c r="R20" i="1" s="1"/>
  <c r="L20" i="1" s="1"/>
  <c r="M20" i="1" s="1"/>
  <c r="AD18" i="1"/>
  <c r="Q21" i="1"/>
  <c r="O21" i="1" s="1"/>
  <c r="R21" i="1" s="1"/>
  <c r="L21" i="1" s="1"/>
  <c r="M21" i="1" s="1"/>
  <c r="AD37" i="1"/>
  <c r="AD17" i="1" l="1"/>
  <c r="AD29" i="1"/>
  <c r="AD33" i="1"/>
  <c r="AD26" i="1"/>
  <c r="AD39" i="1"/>
  <c r="AD31" i="1"/>
  <c r="AD43" i="1"/>
  <c r="AD25" i="1"/>
  <c r="AD36" i="1"/>
  <c r="AD20" i="1"/>
</calcChain>
</file>

<file path=xl/sharedStrings.xml><?xml version="1.0" encoding="utf-8"?>
<sst xmlns="http://schemas.openxmlformats.org/spreadsheetml/2006/main" count="1366" uniqueCount="537">
  <si>
    <t>File opened</t>
  </si>
  <si>
    <t>2026-09-28 20:38:33</t>
  </si>
  <si>
    <t>Console s/n</t>
  </si>
  <si>
    <t>68C-812349</t>
  </si>
  <si>
    <t>Console ver</t>
  </si>
  <si>
    <t>Bluestem v.2.1.13</t>
  </si>
  <si>
    <t>Scripts ver</t>
  </si>
  <si>
    <t>2024.01  2.1.13, Apr 2024</t>
  </si>
  <si>
    <t>Head s/n</t>
  </si>
  <si>
    <t>68H-982339</t>
  </si>
  <si>
    <t>Head ver</t>
  </si>
  <si>
    <t>1.4.23</t>
  </si>
  <si>
    <t>Head cal</t>
  </si>
  <si>
    <t>{"ssa_ref": "32366.8", "h2obspanconc1": "21.96", "co2bzero": "1.02053", "co2bspan2a": "0.0952815", "chamberpressurezero": "2.61687", "h2oazero": "1.14957", "co2bspan2": "0.00898303", "co2aspan1": "0.99333", "co2bspan1": "0.993892", "oxygen": "21", "flowmeterzero": "2.5072", "co2bspan2b": "0.0947811", "h2oaspanconc1": "21.96", "h2obspanconc2": "0", "co2aspan2a": "0.0929659", "tbzero": "0.145187", "h2oaspan1": "1.0301", "h2obspan2": "0", "flowbzero": "0.27399", "h2oaspan2": "0", "co2bspanconc1": "437.6", "co2aspanconc1": "437.6", "h2oaspan2b": "0.111609", "flowazero": "0.316", "h2obzero": "1.13925", "co2aspan2": "0.0108874", "h2obspan2a": "0.112101", "ssb_ref": "37478.9", "co2aspan2b": "0.0924399", "h2obspan1": "0.995823", "h2obspan2b": "0.111633", "co2bspanconc2": "1516", "co2azero": "1.16194", "h2oaspan2a": "0.108347", "co2aspanconc2": "1516", "tazero": "0.0951138", "h2oaspanconc2": "0"}</t>
  </si>
  <si>
    <t>Factory cal date</t>
  </si>
  <si>
    <t>04 Oct 2022</t>
  </si>
  <si>
    <t>CO2 rangematch</t>
  </si>
  <si>
    <t>Tue Sep 15 09:35</t>
  </si>
  <si>
    <t>H2O rangematch</t>
  </si>
  <si>
    <t>Tue Sep 15 09:41</t>
  </si>
  <si>
    <t>Chamber type</t>
  </si>
  <si>
    <t>6800-01A</t>
  </si>
  <si>
    <t>Chamber s/n</t>
  </si>
  <si>
    <t>MPF-282040</t>
  </si>
  <si>
    <t>Chamber rev</t>
  </si>
  <si>
    <t>0</t>
  </si>
  <si>
    <t>Chamber cal</t>
  </si>
  <si>
    <t>Fluorometer</t>
  </si>
  <si>
    <t>Flr. Version</t>
  </si>
  <si>
    <t>20:38:33</t>
  </si>
  <si>
    <t>Stability Definition:	F (FlrLS): Slp&lt;1 Per=20	ΔCO2 (Meas2): Slp&lt;0.5 Per=20	ΔH2O (Meas2): Per=20	A (GasEx): Slp&lt;0.6 Per=20</t>
  </si>
  <si>
    <t>SysConst</t>
  </si>
  <si>
    <t>AvgTime</t>
  </si>
  <si>
    <t>4</t>
  </si>
  <si>
    <t>Oxygen</t>
  </si>
  <si>
    <t>21</t>
  </si>
  <si>
    <t>ChambConst</t>
  </si>
  <si>
    <t>Chamber</t>
  </si>
  <si>
    <t>Aperture</t>
  </si>
  <si>
    <t>2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</si>
  <si>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</si>
  <si>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</si>
  <si>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</si>
  <si>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</si>
  <si>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</si>
  <si>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</si>
  <si>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</si>
  <si>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</si>
  <si>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</si>
  <si>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</si>
  <si>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</si>
  <si>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</si>
  <si>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</si>
  <si>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</si>
  <si>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</si>
  <si>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</si>
  <si>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</si>
  <si>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</si>
  <si>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</si>
  <si>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</si>
  <si>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</si>
  <si>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</si>
  <si>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</si>
  <si>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</si>
  <si>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</si>
  <si>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</si>
  <si>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</si>
  <si>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</si>
  <si>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</si>
  <si>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</si>
  <si>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</si>
  <si>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</si>
  <si>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</si>
  <si>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</si>
  <si>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</si>
  <si>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</si>
  <si>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</si>
  <si>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</si>
  <si>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</si>
  <si>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</si>
  <si>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</si>
  <si>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</si>
  <si>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</si>
  <si>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</si>
  <si>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4.32103 214.66 353.558 592.454 873.076 1083.21 1240.16 1351.09</t>
  </si>
  <si>
    <t>Fs_true</t>
  </si>
  <si>
    <t>0.888661 237.071 374.766 584.531 813.684 1009.29 1200.95 1401.61</t>
  </si>
  <si>
    <t>leak_wt</t>
  </si>
  <si>
    <t>SysObs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</si>
  <si>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</si>
  <si>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</si>
  <si>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</si>
  <si>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</si>
  <si>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</si>
  <si>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</si>
  <si>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</si>
  <si>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</si>
  <si>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</si>
  <si>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</si>
  <si>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</si>
  <si>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</si>
  <si>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</si>
  <si>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</si>
  <si>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</si>
  <si>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</si>
  <si>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</si>
  <si>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</si>
  <si>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</si>
  <si>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</si>
  <si>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</si>
  <si>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</si>
  <si>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</si>
  <si>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</si>
  <si>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</si>
  <si>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</si>
  <si>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</si>
  <si>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</si>
  <si>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</si>
  <si>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</si>
  <si>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</si>
  <si>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</si>
  <si>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</si>
  <si>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</si>
  <si>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</si>
  <si>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</si>
  <si>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</si>
  <si>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</si>
  <si>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</si>
  <si>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</si>
  <si>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</si>
  <si>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</si>
  <si>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</si>
  <si>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</si>
  <si>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</si>
  <si>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</si>
  <si>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</si>
  <si>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</si>
  <si>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</si>
  <si>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</si>
  <si>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</si>
  <si>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</si>
  <si>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</si>
  <si>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</si>
  <si>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</si>
  <si>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</si>
  <si>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</si>
  <si>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</si>
  <si>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</si>
  <si>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</si>
  <si>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</si>
  <si>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</si>
  <si>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</si>
  <si>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</si>
  <si>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</si>
  <si>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</si>
  <si>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</si>
  <si>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</si>
  <si>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</si>
  <si>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</si>
  <si>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</si>
  <si>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</si>
  <si>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</si>
  <si>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</si>
  <si>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</si>
  <si>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</si>
  <si>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</si>
  <si>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</si>
  <si>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</si>
  <si>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</si>
  <si>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</si>
  <si>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</si>
  <si>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</si>
  <si>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</si>
  <si>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</si>
  <si>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</si>
  <si>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</si>
  <si>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</si>
  <si>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</si>
  <si>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</si>
  <si>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</si>
  <si>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</si>
  <si>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</si>
  <si>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</si>
  <si>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</si>
  <si>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</si>
  <si>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</si>
  <si>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</si>
  <si>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</si>
  <si>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</si>
  <si>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</si>
  <si>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</si>
  <si>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</si>
  <si>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</si>
  <si>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</si>
  <si>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</si>
  <si>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</si>
  <si>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</si>
  <si>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</si>
  <si>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</si>
  <si>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</si>
  <si>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</si>
  <si>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</si>
  <si>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</si>
  <si>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</si>
  <si>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</si>
  <si>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</si>
  <si>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</si>
  <si>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</si>
  <si>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</si>
  <si>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</si>
  <si>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</si>
  <si>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</si>
  <si>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</si>
  <si>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</si>
  <si>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</si>
  <si>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</si>
  <si>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</si>
  <si>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</si>
  <si>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</si>
  <si>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</si>
  <si>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</si>
  <si>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</si>
  <si>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</si>
  <si>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</si>
  <si>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</si>
  <si>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</si>
  <si>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</si>
  <si>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</si>
  <si>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</si>
  <si>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</si>
  <si>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</si>
  <si>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</si>
  <si>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</si>
  <si>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</si>
  <si>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</si>
  <si>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</si>
  <si>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</si>
  <si>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</si>
  <si>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</si>
  <si>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</si>
  <si>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</si>
  <si>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</si>
  <si>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</si>
  <si>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</si>
  <si>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</si>
  <si>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</si>
  <si>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</si>
  <si>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</si>
  <si>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</si>
  <si>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</si>
  <si>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</si>
  <si>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</si>
  <si>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</si>
  <si>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</si>
  <si>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</si>
  <si>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</si>
  <si>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</si>
  <si>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</si>
  <si>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</si>
  <si>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</si>
  <si>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</si>
  <si>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</si>
  <si>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</si>
  <si>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</si>
  <si>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</si>
  <si>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</si>
  <si>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</si>
  <si>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</si>
  <si>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</si>
  <si>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</si>
  <si>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</si>
  <si>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</si>
  <si>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</si>
  <si>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</si>
  <si>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</si>
  <si>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ΔCO2:MN</t>
  </si>
  <si>
    <t>ΔCO2:SLP</t>
  </si>
  <si>
    <t>ΔCO2:SD</t>
  </si>
  <si>
    <t>ΔCO2:OK</t>
  </si>
  <si>
    <t>F:MN</t>
  </si>
  <si>
    <t>F:SLP</t>
  </si>
  <si>
    <t>F:SD</t>
  </si>
  <si>
    <t>F:OK</t>
  </si>
  <si>
    <t>ΔH2O:MN</t>
  </si>
  <si>
    <t>ΔH2O:SLP</t>
  </si>
  <si>
    <t>ΔH2O:SD</t>
  </si>
  <si>
    <t>ΔH2O:OK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</si>
  <si>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</si>
  <si>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</si>
  <si>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</si>
  <si>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</si>
  <si>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</si>
  <si>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</si>
  <si>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</si>
  <si>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</si>
  <si>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</si>
  <si>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</si>
  <si>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</si>
  <si>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</si>
  <si>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</si>
  <si>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</si>
  <si>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</si>
  <si>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</si>
  <si>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</si>
  <si>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</si>
  <si>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</si>
  <si>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</si>
  <si>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</si>
  <si>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</si>
  <si>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</si>
  <si>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</si>
  <si>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</si>
  <si>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</si>
  <si>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</si>
  <si>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</si>
  <si>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</si>
  <si>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</si>
  <si>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</si>
  <si>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</si>
  <si>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</si>
  <si>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</si>
  <si>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</si>
  <si>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</si>
  <si>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AccH2O_hum</t>
  </si>
  <si>
    <t>CO2_hrs</t>
  </si>
  <si>
    <t>AccCO2_soda</t>
  </si>
  <si>
    <t>AccH2O_des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</si>
  <si>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</si>
  <si>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</si>
  <si>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</si>
  <si>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</si>
  <si>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</si>
  <si>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</si>
  <si>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</si>
  <si>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</si>
  <si>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</si>
  <si>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</si>
  <si>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</si>
  <si>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</si>
  <si>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</si>
  <si>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</si>
  <si>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</si>
  <si>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</si>
  <si>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</si>
  <si>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</si>
  <si>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</si>
  <si>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</si>
  <si>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</si>
  <si>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</si>
  <si>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</si>
  <si>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</si>
  <si>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</si>
  <si>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</si>
  <si>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</si>
  <si>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</si>
  <si>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</si>
  <si>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</si>
  <si>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</si>
  <si>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</si>
  <si>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</si>
  <si>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</si>
  <si>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</si>
  <si>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</si>
  <si>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</si>
  <si>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</si>
  <si>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</si>
  <si>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</si>
  <si>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</si>
  <si>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</si>
  <si>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</si>
  <si>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</si>
  <si>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</si>
  <si>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</si>
  <si>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</si>
  <si>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</si>
  <si>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</si>
  <si>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</si>
  <si>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</si>
  <si>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</si>
  <si>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</si>
  <si>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</si>
  <si>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</si>
  <si>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</si>
  <si>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</si>
  <si>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</si>
  <si>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</si>
  <si>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</si>
  <si>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</si>
  <si>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</si>
  <si>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</si>
  <si>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</si>
  <si>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</si>
  <si>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</si>
  <si>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</si>
  <si>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</si>
  <si>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</si>
  <si>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</si>
  <si>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</si>
  <si>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</si>
  <si>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</si>
  <si>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</si>
  <si>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</si>
  <si>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</si>
  <si>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</si>
  <si>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</si>
  <si>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</si>
  <si>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</si>
  <si>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</si>
  <si>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</si>
  <si>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</si>
  <si>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</si>
  <si>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</si>
  <si>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</si>
  <si>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 xml:space="preserve"> min⁻¹</t>
  </si>
  <si>
    <t>mmol mol⁻¹ min⁻¹</t>
  </si>
  <si>
    <t>V</t>
  </si>
  <si>
    <t>mV</t>
  </si>
  <si>
    <t>mg</t>
  </si>
  <si>
    <t>hrs</t>
  </si>
  <si>
    <t>min</t>
  </si>
  <si>
    <t>20221005 22:19:30</t>
  </si>
  <si>
    <t>22:19:30</t>
  </si>
  <si>
    <t>RECT-948-20260928-20_39_36</t>
  </si>
  <si>
    <t>-</t>
  </si>
  <si>
    <t>0: Broadleaf</t>
  </si>
  <si>
    <t>22:20:01</t>
  </si>
  <si>
    <t>0/3</t>
  </si>
  <si>
    <t>11111111</t>
  </si>
  <si>
    <t>oooooooo</t>
  </si>
  <si>
    <t>on</t>
  </si>
  <si>
    <t>20221005 22:21:15</t>
  </si>
  <si>
    <t>22:21:15</t>
  </si>
  <si>
    <t>RECT-949-20260928-20_41_20</t>
  </si>
  <si>
    <t>20221005 22:22:48</t>
  </si>
  <si>
    <t>22:22:48</t>
  </si>
  <si>
    <t>RECT-950-20260928-20_42_53</t>
  </si>
  <si>
    <t>20221005 22:24:01</t>
  </si>
  <si>
    <t>22:24:01</t>
  </si>
  <si>
    <t>RECT-951-20260928-20_44_06</t>
  </si>
  <si>
    <t>20221005 22:25:12</t>
  </si>
  <si>
    <t>22:25:12</t>
  </si>
  <si>
    <t>RECT-952-20260928-20_45_17</t>
  </si>
  <si>
    <t>20221005 22:26:11</t>
  </si>
  <si>
    <t>22:26:11</t>
  </si>
  <si>
    <t>RECT-953-20260928-20_46_17</t>
  </si>
  <si>
    <t>1/3</t>
  </si>
  <si>
    <t>20221005 22:27:57</t>
  </si>
  <si>
    <t>22:27:57</t>
  </si>
  <si>
    <t>RECT-954-20260928-20_48_03</t>
  </si>
  <si>
    <t>20:49:04</t>
  </si>
  <si>
    <t>Stability Definition:	F (FlrLS): Slp&lt;1 Per=20	ΔCO2 (Meas2): Per=20	ΔH2O (Meas2): Per=20	A (GasEx): Slp&lt;0.6 Per=20</t>
  </si>
  <si>
    <t>Stability Definition:	F (FlrLS): Slp&lt;1 Per=20	ΔCO2 (Meas2): Per=20	ΔH2O (Meas2): Per=20	A (GasEx): Per=20</t>
  </si>
  <si>
    <t>20:49:13</t>
  </si>
  <si>
    <t>Stability Definition:	F (FlrLS): Slp&lt;1 Per=20	ΔCO2 (Meas2): Slp&lt;0.5 Per=20	ΔH2O (Meas2): Per=20	A (GasEx): Per=20</t>
  </si>
  <si>
    <t>20:49:14</t>
  </si>
  <si>
    <t>20221005 22:29:15</t>
  </si>
  <si>
    <t>22:29:15</t>
  </si>
  <si>
    <t>RECT-955-20260928-20_49_20</t>
  </si>
  <si>
    <t>0/1</t>
  </si>
  <si>
    <t>20221005 22:30:40</t>
  </si>
  <si>
    <t>22:30:40</t>
  </si>
  <si>
    <t>RECT-956-20260928-20_50_46</t>
  </si>
  <si>
    <t>20221005 22:32:08</t>
  </si>
  <si>
    <t>22:32:08</t>
  </si>
  <si>
    <t>RECT-957-20260928-20_52_13</t>
  </si>
  <si>
    <t>20221005 22:34:04</t>
  </si>
  <si>
    <t>22:34:04</t>
  </si>
  <si>
    <t>RECT-958-20260928-20_54_10</t>
  </si>
  <si>
    <t>1/1</t>
  </si>
  <si>
    <t>20221005 22:35:37</t>
  </si>
  <si>
    <t>22:35:37</t>
  </si>
  <si>
    <t>RECT-959-20260928-20_55_42</t>
  </si>
  <si>
    <t>20221005 22:37:37</t>
  </si>
  <si>
    <t>22:37:37</t>
  </si>
  <si>
    <t>RECT-960-20260928-20_57_43</t>
  </si>
  <si>
    <t>20221005 22:38:48</t>
  </si>
  <si>
    <t>22:38:48</t>
  </si>
  <si>
    <t>RECT-961-20260928-20_58_54</t>
  </si>
  <si>
    <t>20221005 22:40:28</t>
  </si>
  <si>
    <t>22:40:28</t>
  </si>
  <si>
    <t>RECT-962-20260928-21_00_34</t>
  </si>
  <si>
    <t>20221005 22:41:58</t>
  </si>
  <si>
    <t>22:41:58</t>
  </si>
  <si>
    <t>RECT-963-20260928-21_02_03</t>
  </si>
  <si>
    <t>20221005 22:43:08</t>
  </si>
  <si>
    <t>22:43:08</t>
  </si>
  <si>
    <t>RECT-964-20260928-21_03_14</t>
  </si>
  <si>
    <t>20221005 22:44:35</t>
  </si>
  <si>
    <t>22:44:35</t>
  </si>
  <si>
    <t>RECT-965-20260928-21_04_41</t>
  </si>
  <si>
    <t>20221005 22:46:09</t>
  </si>
  <si>
    <t>22:46:09</t>
  </si>
  <si>
    <t>RECT-966-20260928-21_06_15</t>
  </si>
  <si>
    <t>20221005 22:47:18</t>
  </si>
  <si>
    <t>22:47:18</t>
  </si>
  <si>
    <t>RECT-967-20260928-21_07_24</t>
  </si>
  <si>
    <t>20221005 22:48:27</t>
  </si>
  <si>
    <t>22:48:27</t>
  </si>
  <si>
    <t>RECT-968-20260928-21_08_33</t>
  </si>
  <si>
    <t>20221005 22:49:38</t>
  </si>
  <si>
    <t>22:49:38</t>
  </si>
  <si>
    <t>RECT-969-20260928-21_09_43</t>
  </si>
  <si>
    <t>20221005 22:50:42</t>
  </si>
  <si>
    <t>22:50:42</t>
  </si>
  <si>
    <t>RECT-970-20260928-21_10_48</t>
  </si>
  <si>
    <t>20221005 22:51:47</t>
  </si>
  <si>
    <t>22:51:47</t>
  </si>
  <si>
    <t>RECT-971-20260928-21_11_53</t>
  </si>
  <si>
    <t>20221005 22:53:19</t>
  </si>
  <si>
    <t>22:53:19</t>
  </si>
  <si>
    <t>RECT-972-20260928-21_13_25</t>
  </si>
  <si>
    <t>20221005 22:54:27</t>
  </si>
  <si>
    <t>22:54:27</t>
  </si>
  <si>
    <t>RECT-973-20260928-21_14_33</t>
  </si>
  <si>
    <t>20221005 22:55:27</t>
  </si>
  <si>
    <t>22:55:27</t>
  </si>
  <si>
    <t>RECT-974-20260928-21_15_33</t>
  </si>
  <si>
    <t>20221005 22:57:05</t>
  </si>
  <si>
    <t>22:57:05</t>
  </si>
  <si>
    <t>RECT-975-20260928-21_17_11</t>
  </si>
  <si>
    <t>20221005 22:58:46</t>
  </si>
  <si>
    <t>22:58:46</t>
  </si>
  <si>
    <t>RECT-976-20260928-21_18_52</t>
  </si>
  <si>
    <t>20221005 22:59:47</t>
  </si>
  <si>
    <t>22:59:47</t>
  </si>
  <si>
    <t>RECT-977-20260928-21_19_53</t>
  </si>
  <si>
    <t>처리</t>
    <phoneticPr fontId="1" type="noConversion"/>
  </si>
  <si>
    <t>반복</t>
    <phoneticPr fontId="1" type="noConversion"/>
  </si>
  <si>
    <t>ETc</t>
    <phoneticPr fontId="1" type="noConversion"/>
  </si>
  <si>
    <t>ETc75</t>
    <phoneticPr fontId="1" type="noConversion"/>
  </si>
  <si>
    <t>ETc50</t>
    <phoneticPr fontId="1" type="noConversion"/>
  </si>
  <si>
    <t>ETc25</t>
    <phoneticPr fontId="1" type="noConversion"/>
  </si>
  <si>
    <t>침수ETc</t>
    <phoneticPr fontId="1" type="noConversion"/>
  </si>
  <si>
    <t>침수ETc50</t>
    <phoneticPr fontId="1" type="noConversion"/>
  </si>
  <si>
    <t>Fm</t>
    <phoneticPr fontId="1" type="noConversion"/>
  </si>
  <si>
    <t>Fo</t>
    <phoneticPr fontId="1" type="noConversion"/>
  </si>
  <si>
    <t>Fv/Fm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</si>
</sst>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2" borderId="15" xfId="0" applyFill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2" borderId="22" xfId="0" applyFill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'형광 정리'!$H$1</c:f>
              <c:strCache>
                <c:ptCount val="1"/>
                <c:pt idx="0">
                  <c:v>Fo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'형광 정리'!$G$2:$G$7</c:f>
              <c:strCache>
                <c:ptCount val="6"/>
                <c:pt idx="0">
                  <c:v>ETc</c:v>
                </c:pt>
                <c:pt idx="1">
                  <c:v>ETc75</c:v>
                </c:pt>
                <c:pt idx="2">
                  <c:v>ETc50</c:v>
                </c:pt>
                <c:pt idx="3">
                  <c:v>ETc25</c:v>
                </c:pt>
                <c:pt idx="4">
                  <c:v>침수ETc</c:v>
                </c:pt>
                <c:pt idx="5">
                  <c:v>침수ETc50</c:v>
                </c:pt>
              </c:strCache>
            </c:strRef>
          </c:xVal>
          <c:yVal>
            <c:numRef>
              <c:f>'형광 정리'!$H$2:$H$7</c:f>
              <c:numCache>
                <c:formatCode>General</c:formatCode>
                <c:ptCount val="6"/>
                <c:pt idx="0">
                  <c:v>238.40599999999998</c:v>
                </c:pt>
                <c:pt idx="1">
                  <c:v>224.84549358974348</c:v>
                </c:pt>
                <c:pt idx="2">
                  <c:v>223.06134615384619</c:v>
                </c:pt>
                <c:pt idx="3">
                  <c:v>239.24210897435901</c:v>
                </c:pt>
                <c:pt idx="4">
                  <c:v>232.11116666666666</c:v>
                </c:pt>
                <c:pt idx="5">
                  <c:v>241.77113461538465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1B-479B-B521-AF814D8D33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570144"/>
        <c:axId val="1237917264"/>
      </c:scatterChart>
      <c:valAx>
        <c:axId val="123957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7917264"/>
        <c:crosses val="autoZero"/>
        <c:crossBetween val="midCat"/>
      </c:valAx>
      <c:valAx>
        <c:axId val="123791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9570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'형광 정리'!$I$1</c:f>
              <c:strCache>
                <c:ptCount val="1"/>
                <c:pt idx="0">
                  <c:v>Fm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'형광 정리'!$G$2:$G$7</c:f>
              <c:strCache>
                <c:ptCount val="6"/>
                <c:pt idx="0">
                  <c:v>ETc</c:v>
                </c:pt>
                <c:pt idx="1">
                  <c:v>ETc75</c:v>
                </c:pt>
                <c:pt idx="2">
                  <c:v>ETc50</c:v>
                </c:pt>
                <c:pt idx="3">
                  <c:v>ETc25</c:v>
                </c:pt>
                <c:pt idx="4">
                  <c:v>침수ETc</c:v>
                </c:pt>
                <c:pt idx="5">
                  <c:v>침수ETc50</c:v>
                </c:pt>
              </c:strCache>
            </c:strRef>
          </c:xVal>
          <c:yVal>
            <c:numRef>
              <c:f>'형광 정리'!$I$2:$I$7</c:f>
              <c:numCache>
                <c:formatCode>General</c:formatCode>
                <c:ptCount val="6"/>
                <c:pt idx="0">
                  <c:v>1597.9016666666666</c:v>
                </c:pt>
                <c:pt idx="1">
                  <c:v>1486.6683333333333</c:v>
                </c:pt>
                <c:pt idx="2">
                  <c:v>1482.278333333333</c:v>
                </c:pt>
                <c:pt idx="3">
                  <c:v>1515.3816666666669</c:v>
                </c:pt>
                <c:pt idx="4">
                  <c:v>1495.9216666666669</c:v>
                </c:pt>
                <c:pt idx="5">
                  <c:v>1560.9399999999998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29-429B-AF98-4D35B275E3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673616"/>
        <c:axId val="1237764144"/>
      </c:scatterChart>
      <c:valAx>
        <c:axId val="1239673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7764144"/>
        <c:crosses val="autoZero"/>
        <c:crossBetween val="midCat"/>
      </c:valAx>
      <c:valAx>
        <c:axId val="123776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9673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'형광 정리'!$J$1</c:f>
              <c:strCache>
                <c:ptCount val="1"/>
                <c:pt idx="0">
                  <c:v>Fv/Fm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'형광 정리'!$G$2:$G$7</c:f>
              <c:strCache>
                <c:ptCount val="6"/>
                <c:pt idx="0">
                  <c:v>ETc</c:v>
                </c:pt>
                <c:pt idx="1">
                  <c:v>ETc75</c:v>
                </c:pt>
                <c:pt idx="2">
                  <c:v>ETc50</c:v>
                </c:pt>
                <c:pt idx="3">
                  <c:v>ETc25</c:v>
                </c:pt>
                <c:pt idx="4">
                  <c:v>침수ETc</c:v>
                </c:pt>
                <c:pt idx="5">
                  <c:v>침수ETc50</c:v>
                </c:pt>
              </c:strCache>
            </c:strRef>
          </c:xVal>
          <c:yVal>
            <c:numRef>
              <c:f>'형광 정리'!$J$2:$J$7</c:f>
              <c:numCache>
                <c:formatCode>General</c:formatCode>
                <c:ptCount val="6"/>
                <c:pt idx="0">
                  <c:v>0.85067084286667871</c:v>
                </c:pt>
                <c:pt idx="1">
                  <c:v>0.84877719564738718</c:v>
                </c:pt>
                <c:pt idx="2">
                  <c:v>0.8496053775416178</c:v>
                </c:pt>
                <c:pt idx="3">
                  <c:v>0.84225850284305481</c:v>
                </c:pt>
                <c:pt idx="4">
                  <c:v>0.84459223663709482</c:v>
                </c:pt>
                <c:pt idx="5">
                  <c:v>0.8451850509256903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3B-4DC8-BC5F-A8026B940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570608"/>
        <c:axId val="1237882704"/>
      </c:scatterChart>
      <c:valAx>
        <c:axId val="1239570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7882704"/>
        <c:crosses val="autoZero"/>
        <c:crossBetween val="midCat"/>
      </c:valAx>
      <c:valAx>
        <c:axId val="123788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39570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627697</xdr:colOff>
      <xdr:row>7</xdr:row>
      <xdr:rowOff>11430</xdr:rowOff>
    </xdr:from>
    <xdr:to>
      <xdr:col>12</xdr:col>
      <xdr:colOff>429577</xdr:colOff>
      <xdr:row>19</xdr:row>
      <xdr:rowOff>121920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13C311D3-C1FC-AD90-7864-FAE0B01AC2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473392</xdr:colOff>
      <xdr:row>7</xdr:row>
      <xdr:rowOff>9525</xdr:rowOff>
    </xdr:from>
    <xdr:to>
      <xdr:col>19</xdr:col>
      <xdr:colOff>389572</xdr:colOff>
      <xdr:row>19</xdr:row>
      <xdr:rowOff>120015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CB103E0-6A4A-ABA7-032F-399B4CD3B1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132397</xdr:colOff>
      <xdr:row>19</xdr:row>
      <xdr:rowOff>20955</xdr:rowOff>
    </xdr:from>
    <xdr:to>
      <xdr:col>16</xdr:col>
      <xdr:colOff>48577</xdr:colOff>
      <xdr:row>31</xdr:row>
      <xdr:rowOff>140970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7104DC97-F036-0F57-8993-57039CBCDD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Z46"/>
  <sheetViews>
    <sheetView topLeftCell="AB14" workbookViewId="0">
      <selection activeCell="AO32" sqref="AO32"/>
    </sheetView>
  </sheetViews>
  <sheetFormatPr defaultRowHeight="17.399999999999999" x14ac:dyDescent="0.4"/>
  <sheetData>
    <row r="2" spans="1:286" x14ac:dyDescent="0.4">
      <c r="A2" t="s">
        <v>31</v>
      </c>
      <c r="B2" t="s">
        <v>32</v>
      </c>
      <c r="C2" t="s">
        <v>34</v>
      </c>
    </row>
    <row r="3" spans="1:286" x14ac:dyDescent="0.4">
      <c r="B3" t="s">
        <v>33</v>
      </c>
      <c r="C3" t="s">
        <v>35</v>
      </c>
    </row>
    <row r="4" spans="1:286" x14ac:dyDescent="0.4">
      <c r="A4" t="s">
        <v>36</v>
      </c>
      <c r="B4" t="s">
        <v>37</v>
      </c>
      <c r="C4" t="s">
        <v>38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</row>
    <row r="5" spans="1:286" x14ac:dyDescent="0.4">
      <c r="B5" t="s">
        <v>21</v>
      </c>
      <c r="C5" t="s">
        <v>39</v>
      </c>
      <c r="D5">
        <v>0.57199999999999995</v>
      </c>
      <c r="E5">
        <v>0.38727420000000001</v>
      </c>
      <c r="F5">
        <v>-1.8705840000000001E-2</v>
      </c>
      <c r="G5">
        <v>0</v>
      </c>
      <c r="H5">
        <v>-7.3738900000000001E-3</v>
      </c>
      <c r="I5">
        <v>1</v>
      </c>
      <c r="J5">
        <v>2</v>
      </c>
      <c r="K5">
        <v>96.9</v>
      </c>
    </row>
    <row r="6" spans="1:286" x14ac:dyDescent="0.4">
      <c r="A6" t="s">
        <v>48</v>
      </c>
      <c r="B6" t="s">
        <v>49</v>
      </c>
      <c r="C6" t="s">
        <v>50</v>
      </c>
      <c r="D6" t="s">
        <v>51</v>
      </c>
      <c r="E6" t="s">
        <v>52</v>
      </c>
    </row>
    <row r="7" spans="1:286" x14ac:dyDescent="0.4">
      <c r="B7">
        <v>0</v>
      </c>
      <c r="C7">
        <v>1</v>
      </c>
      <c r="D7">
        <v>0</v>
      </c>
      <c r="E7">
        <v>0</v>
      </c>
    </row>
    <row r="8" spans="1:286" x14ac:dyDescent="0.4">
      <c r="A8" t="s">
        <v>53</v>
      </c>
      <c r="B8" t="s">
        <v>54</v>
      </c>
      <c r="C8" t="s">
        <v>56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s">
        <v>68</v>
      </c>
      <c r="O8" t="s">
        <v>69</v>
      </c>
      <c r="P8" t="s">
        <v>70</v>
      </c>
      <c r="Q8" t="s">
        <v>71</v>
      </c>
    </row>
    <row r="9" spans="1:286" x14ac:dyDescent="0.4">
      <c r="B9" t="s">
        <v>55</v>
      </c>
      <c r="C9" t="s">
        <v>57</v>
      </c>
      <c r="D9">
        <v>0.8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0.19109999999999999</v>
      </c>
      <c r="L9">
        <v>0.1512</v>
      </c>
      <c r="M9">
        <v>0.161</v>
      </c>
      <c r="N9">
        <v>0.22620000000000001</v>
      </c>
      <c r="O9">
        <v>0.1575</v>
      </c>
      <c r="P9">
        <v>0.15959999999999999</v>
      </c>
      <c r="Q9">
        <v>0.2175</v>
      </c>
    </row>
    <row r="10" spans="1:286" x14ac:dyDescent="0.4">
      <c r="A10" t="s">
        <v>72</v>
      </c>
      <c r="B10" t="s">
        <v>73</v>
      </c>
      <c r="C10" t="s">
        <v>74</v>
      </c>
      <c r="D10" t="s">
        <v>75</v>
      </c>
      <c r="E10" t="s">
        <v>76</v>
      </c>
      <c r="F10" t="s">
        <v>77</v>
      </c>
    </row>
    <row r="11" spans="1:286" x14ac:dyDescent="0.4">
      <c r="B11">
        <v>0</v>
      </c>
      <c r="C11">
        <v>0</v>
      </c>
      <c r="D11">
        <v>0</v>
      </c>
      <c r="E11">
        <v>0</v>
      </c>
      <c r="F11">
        <v>1</v>
      </c>
    </row>
    <row r="12" spans="1:286" x14ac:dyDescent="0.4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83</v>
      </c>
      <c r="G12" t="s">
        <v>85</v>
      </c>
      <c r="H12" t="s">
        <v>87</v>
      </c>
    </row>
    <row r="13" spans="1:286" x14ac:dyDescent="0.4">
      <c r="B13">
        <v>-6276</v>
      </c>
      <c r="C13">
        <v>6.6</v>
      </c>
      <c r="D13">
        <v>1.7090000000000001E-5</v>
      </c>
      <c r="E13">
        <v>3.11</v>
      </c>
      <c r="F13" t="s">
        <v>84</v>
      </c>
      <c r="G13" t="s">
        <v>86</v>
      </c>
      <c r="H13">
        <v>0</v>
      </c>
    </row>
    <row r="14" spans="1:286" x14ac:dyDescent="0.4">
      <c r="A14" t="s">
        <v>88</v>
      </c>
      <c r="B14" t="s">
        <v>88</v>
      </c>
      <c r="C14" t="s">
        <v>88</v>
      </c>
      <c r="D14" t="s">
        <v>88</v>
      </c>
      <c r="E14" t="s">
        <v>88</v>
      </c>
      <c r="F14" t="s">
        <v>88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 t="s">
        <v>89</v>
      </c>
      <c r="AC14" t="s">
        <v>89</v>
      </c>
      <c r="AD14" t="s">
        <v>89</v>
      </c>
      <c r="AE14" t="s">
        <v>90</v>
      </c>
      <c r="AF14" t="s">
        <v>90</v>
      </c>
      <c r="AG14" t="s">
        <v>90</v>
      </c>
      <c r="AH14" t="s">
        <v>90</v>
      </c>
      <c r="AI14" t="s">
        <v>90</v>
      </c>
      <c r="AJ14" t="s">
        <v>91</v>
      </c>
      <c r="AK14" t="s">
        <v>91</v>
      </c>
      <c r="AL14" t="s">
        <v>91</v>
      </c>
      <c r="AM14" t="s">
        <v>91</v>
      </c>
      <c r="AN14" t="s">
        <v>91</v>
      </c>
      <c r="AO14" t="s">
        <v>91</v>
      </c>
      <c r="AP14" t="s">
        <v>91</v>
      </c>
      <c r="AQ14" t="s">
        <v>91</v>
      </c>
      <c r="AR14" t="s">
        <v>91</v>
      </c>
      <c r="AS14" t="s">
        <v>91</v>
      </c>
      <c r="AT14" t="s">
        <v>91</v>
      </c>
      <c r="AU14" t="s">
        <v>91</v>
      </c>
      <c r="AV14" t="s">
        <v>91</v>
      </c>
      <c r="AW14" t="s">
        <v>91</v>
      </c>
      <c r="AX14" t="s">
        <v>91</v>
      </c>
      <c r="AY14" t="s">
        <v>91</v>
      </c>
      <c r="AZ14" t="s">
        <v>91</v>
      </c>
      <c r="BA14" t="s">
        <v>91</v>
      </c>
      <c r="BB14" t="s">
        <v>91</v>
      </c>
      <c r="BC14" t="s">
        <v>91</v>
      </c>
      <c r="BD14" t="s">
        <v>91</v>
      </c>
      <c r="BE14" t="s">
        <v>91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91</v>
      </c>
      <c r="BL14" t="s">
        <v>92</v>
      </c>
      <c r="BM14" t="s">
        <v>92</v>
      </c>
      <c r="BN14" t="s">
        <v>92</v>
      </c>
      <c r="BO14" t="s">
        <v>92</v>
      </c>
      <c r="BP14" t="s">
        <v>92</v>
      </c>
      <c r="BQ14" t="s">
        <v>92</v>
      </c>
      <c r="BR14" t="s">
        <v>92</v>
      </c>
      <c r="BS14" t="s">
        <v>92</v>
      </c>
      <c r="BT14" t="s">
        <v>92</v>
      </c>
      <c r="BU14" t="s">
        <v>92</v>
      </c>
      <c r="BV14" t="s">
        <v>92</v>
      </c>
      <c r="BW14" t="s">
        <v>92</v>
      </c>
      <c r="BX14" t="s">
        <v>92</v>
      </c>
      <c r="BY14" t="s">
        <v>92</v>
      </c>
      <c r="BZ14" t="s">
        <v>92</v>
      </c>
      <c r="CA14" t="s">
        <v>92</v>
      </c>
      <c r="CB14" t="s">
        <v>92</v>
      </c>
      <c r="CC14" t="s">
        <v>92</v>
      </c>
      <c r="CD14" t="s">
        <v>92</v>
      </c>
      <c r="CE14" t="s">
        <v>92</v>
      </c>
      <c r="CF14" t="s">
        <v>92</v>
      </c>
      <c r="CG14" t="s">
        <v>93</v>
      </c>
      <c r="CH14" t="s">
        <v>93</v>
      </c>
      <c r="CI14" t="s">
        <v>93</v>
      </c>
      <c r="CJ14" t="s">
        <v>93</v>
      </c>
      <c r="CK14" t="s">
        <v>93</v>
      </c>
      <c r="CL14" t="s">
        <v>93</v>
      </c>
      <c r="CM14" t="s">
        <v>93</v>
      </c>
      <c r="CN14" t="s">
        <v>93</v>
      </c>
      <c r="CO14" t="s">
        <v>93</v>
      </c>
      <c r="CP14" t="s">
        <v>93</v>
      </c>
      <c r="CQ14" t="s">
        <v>93</v>
      </c>
      <c r="CR14" t="s">
        <v>93</v>
      </c>
      <c r="CS14" t="s">
        <v>93</v>
      </c>
      <c r="CT14" t="s">
        <v>94</v>
      </c>
      <c r="CU14" t="s">
        <v>94</v>
      </c>
      <c r="CV14" t="s">
        <v>94</v>
      </c>
      <c r="CW14" t="s">
        <v>94</v>
      </c>
      <c r="CX14" t="s">
        <v>95</v>
      </c>
      <c r="CY14" t="s">
        <v>95</v>
      </c>
      <c r="CZ14" t="s">
        <v>95</v>
      </c>
      <c r="DA14" t="s">
        <v>95</v>
      </c>
      <c r="DB14" t="s">
        <v>96</v>
      </c>
      <c r="DC14" t="s">
        <v>96</v>
      </c>
      <c r="DD14" t="s">
        <v>96</v>
      </c>
      <c r="DE14" t="s">
        <v>96</v>
      </c>
      <c r="DF14" t="s">
        <v>96</v>
      </c>
      <c r="DG14" t="s">
        <v>96</v>
      </c>
      <c r="DH14" t="s">
        <v>96</v>
      </c>
      <c r="DI14" t="s">
        <v>96</v>
      </c>
      <c r="DJ14" t="s">
        <v>96</v>
      </c>
      <c r="DK14" t="s">
        <v>96</v>
      </c>
      <c r="DL14" t="s">
        <v>96</v>
      </c>
      <c r="DM14" t="s">
        <v>96</v>
      </c>
      <c r="DN14" t="s">
        <v>96</v>
      </c>
      <c r="DO14" t="s">
        <v>96</v>
      </c>
      <c r="DP14" t="s">
        <v>96</v>
      </c>
      <c r="DQ14" t="s">
        <v>96</v>
      </c>
      <c r="DR14" t="s">
        <v>96</v>
      </c>
      <c r="DS14" t="s">
        <v>96</v>
      </c>
      <c r="DT14" t="s">
        <v>97</v>
      </c>
      <c r="DU14" t="s">
        <v>97</v>
      </c>
      <c r="DV14" t="s">
        <v>97</v>
      </c>
      <c r="DW14" t="s">
        <v>97</v>
      </c>
      <c r="DX14" t="s">
        <v>97</v>
      </c>
      <c r="DY14" t="s">
        <v>97</v>
      </c>
      <c r="DZ14" t="s">
        <v>97</v>
      </c>
      <c r="EA14" t="s">
        <v>97</v>
      </c>
      <c r="EB14" t="s">
        <v>97</v>
      </c>
      <c r="EC14" t="s">
        <v>97</v>
      </c>
      <c r="ED14" t="s">
        <v>98</v>
      </c>
      <c r="EE14" t="s">
        <v>98</v>
      </c>
      <c r="EF14" t="s">
        <v>98</v>
      </c>
      <c r="EG14" t="s">
        <v>98</v>
      </c>
      <c r="EH14" t="s">
        <v>98</v>
      </c>
      <c r="EI14" t="s">
        <v>98</v>
      </c>
      <c r="EJ14" t="s">
        <v>98</v>
      </c>
      <c r="EK14" t="s">
        <v>98</v>
      </c>
      <c r="EL14" t="s">
        <v>98</v>
      </c>
      <c r="EM14" t="s">
        <v>98</v>
      </c>
      <c r="EN14" t="s">
        <v>98</v>
      </c>
      <c r="EO14" t="s">
        <v>98</v>
      </c>
      <c r="EP14" t="s">
        <v>98</v>
      </c>
      <c r="EQ14" t="s">
        <v>98</v>
      </c>
      <c r="ER14" t="s">
        <v>98</v>
      </c>
      <c r="ES14" t="s">
        <v>98</v>
      </c>
      <c r="ET14" t="s">
        <v>98</v>
      </c>
      <c r="EU14" t="s">
        <v>98</v>
      </c>
      <c r="EV14" t="s">
        <v>99</v>
      </c>
      <c r="EW14" t="s">
        <v>99</v>
      </c>
      <c r="EX14" t="s">
        <v>99</v>
      </c>
      <c r="EY14" t="s">
        <v>99</v>
      </c>
      <c r="EZ14" t="s">
        <v>99</v>
      </c>
      <c r="FA14" t="s">
        <v>100</v>
      </c>
      <c r="FB14" t="s">
        <v>100</v>
      </c>
      <c r="FC14" t="s">
        <v>100</v>
      </c>
      <c r="FD14" t="s">
        <v>100</v>
      </c>
      <c r="FE14" t="s">
        <v>100</v>
      </c>
      <c r="FF14" t="s">
        <v>100</v>
      </c>
      <c r="FG14" t="s">
        <v>100</v>
      </c>
      <c r="FH14" t="s">
        <v>100</v>
      </c>
      <c r="FI14" t="s">
        <v>100</v>
      </c>
      <c r="FJ14" t="s">
        <v>100</v>
      </c>
      <c r="FK14" t="s">
        <v>100</v>
      </c>
      <c r="FL14" t="s">
        <v>100</v>
      </c>
      <c r="FM14" t="s">
        <v>100</v>
      </c>
      <c r="FN14" t="s">
        <v>101</v>
      </c>
      <c r="FO14" t="s">
        <v>101</v>
      </c>
      <c r="FP14" t="s">
        <v>101</v>
      </c>
      <c r="FQ14" t="s">
        <v>101</v>
      </c>
      <c r="FR14" t="s">
        <v>101</v>
      </c>
      <c r="FS14" t="s">
        <v>101</v>
      </c>
      <c r="FT14" t="s">
        <v>101</v>
      </c>
      <c r="FU14" t="s">
        <v>101</v>
      </c>
      <c r="FV14" t="s">
        <v>101</v>
      </c>
      <c r="FW14" t="s">
        <v>101</v>
      </c>
      <c r="FX14" t="s">
        <v>101</v>
      </c>
      <c r="FY14" t="s">
        <v>101</v>
      </c>
      <c r="FZ14" t="s">
        <v>101</v>
      </c>
      <c r="GA14" t="s">
        <v>101</v>
      </c>
      <c r="GB14" t="s">
        <v>101</v>
      </c>
      <c r="GC14" t="s">
        <v>101</v>
      </c>
      <c r="GD14" t="s">
        <v>101</v>
      </c>
      <c r="GE14" t="s">
        <v>101</v>
      </c>
      <c r="GF14" t="s">
        <v>101</v>
      </c>
      <c r="GG14" t="s">
        <v>102</v>
      </c>
      <c r="GH14" t="s">
        <v>102</v>
      </c>
      <c r="GI14" t="s">
        <v>102</v>
      </c>
      <c r="GJ14" t="s">
        <v>102</v>
      </c>
      <c r="GK14" t="s">
        <v>102</v>
      </c>
      <c r="GL14" t="s">
        <v>102</v>
      </c>
      <c r="GM14" t="s">
        <v>102</v>
      </c>
      <c r="GN14" t="s">
        <v>102</v>
      </c>
      <c r="GO14" t="s">
        <v>102</v>
      </c>
      <c r="GP14" t="s">
        <v>102</v>
      </c>
      <c r="GQ14" t="s">
        <v>102</v>
      </c>
      <c r="GR14" t="s">
        <v>102</v>
      </c>
      <c r="GS14" t="s">
        <v>102</v>
      </c>
      <c r="GT14" t="s">
        <v>102</v>
      </c>
      <c r="GU14" t="s">
        <v>102</v>
      </c>
      <c r="GV14" t="s">
        <v>102</v>
      </c>
      <c r="GW14" t="s">
        <v>102</v>
      </c>
      <c r="GX14" t="s">
        <v>102</v>
      </c>
      <c r="GY14" t="s">
        <v>103</v>
      </c>
      <c r="GZ14" t="s">
        <v>103</v>
      </c>
      <c r="HA14" t="s">
        <v>103</v>
      </c>
      <c r="HB14" t="s">
        <v>103</v>
      </c>
      <c r="HC14" t="s">
        <v>103</v>
      </c>
      <c r="HD14" t="s">
        <v>103</v>
      </c>
      <c r="HE14" t="s">
        <v>103</v>
      </c>
      <c r="HF14" t="s">
        <v>103</v>
      </c>
      <c r="HG14" t="s">
        <v>103</v>
      </c>
      <c r="HH14" t="s">
        <v>103</v>
      </c>
      <c r="HI14" t="s">
        <v>103</v>
      </c>
      <c r="HJ14" t="s">
        <v>103</v>
      </c>
      <c r="HK14" t="s">
        <v>103</v>
      </c>
      <c r="HL14" t="s">
        <v>103</v>
      </c>
      <c r="HM14" t="s">
        <v>103</v>
      </c>
      <c r="HN14" t="s">
        <v>103</v>
      </c>
      <c r="HO14" t="s">
        <v>103</v>
      </c>
      <c r="HP14" t="s">
        <v>103</v>
      </c>
      <c r="HQ14" t="s">
        <v>103</v>
      </c>
      <c r="HR14" t="s">
        <v>104</v>
      </c>
      <c r="HS14" t="s">
        <v>104</v>
      </c>
      <c r="HT14" t="s">
        <v>104</v>
      </c>
      <c r="HU14" t="s">
        <v>104</v>
      </c>
      <c r="HV14" t="s">
        <v>104</v>
      </c>
      <c r="HW14" t="s">
        <v>104</v>
      </c>
      <c r="HX14" t="s">
        <v>104</v>
      </c>
      <c r="HY14" t="s">
        <v>104</v>
      </c>
      <c r="HZ14" t="s">
        <v>104</v>
      </c>
      <c r="IA14" t="s">
        <v>104</v>
      </c>
      <c r="IB14" t="s">
        <v>104</v>
      </c>
      <c r="IC14" t="s">
        <v>104</v>
      </c>
      <c r="ID14" t="s">
        <v>104</v>
      </c>
      <c r="IE14" t="s">
        <v>104</v>
      </c>
      <c r="IF14" t="s">
        <v>104</v>
      </c>
      <c r="IG14" t="s">
        <v>104</v>
      </c>
      <c r="IH14" t="s">
        <v>104</v>
      </c>
      <c r="II14" t="s">
        <v>104</v>
      </c>
      <c r="IJ14" t="s">
        <v>104</v>
      </c>
      <c r="IK14" t="s">
        <v>105</v>
      </c>
      <c r="IL14" t="s">
        <v>105</v>
      </c>
      <c r="IM14" t="s">
        <v>105</v>
      </c>
      <c r="IN14" t="s">
        <v>105</v>
      </c>
      <c r="IO14" t="s">
        <v>105</v>
      </c>
      <c r="IP14" t="s">
        <v>105</v>
      </c>
      <c r="IQ14" t="s">
        <v>105</v>
      </c>
      <c r="IR14" t="s">
        <v>105</v>
      </c>
      <c r="IS14" t="s">
        <v>105</v>
      </c>
      <c r="IT14" t="s">
        <v>105</v>
      </c>
      <c r="IU14" t="s">
        <v>105</v>
      </c>
      <c r="IV14" t="s">
        <v>105</v>
      </c>
      <c r="IW14" t="s">
        <v>105</v>
      </c>
      <c r="IX14" t="s">
        <v>105</v>
      </c>
      <c r="IY14" t="s">
        <v>105</v>
      </c>
      <c r="IZ14" t="s">
        <v>105</v>
      </c>
      <c r="JA14" t="s">
        <v>105</v>
      </c>
      <c r="JB14" t="s">
        <v>105</v>
      </c>
      <c r="JC14" t="s">
        <v>106</v>
      </c>
      <c r="JD14" t="s">
        <v>106</v>
      </c>
      <c r="JE14" t="s">
        <v>106</v>
      </c>
      <c r="JF14" t="s">
        <v>106</v>
      </c>
      <c r="JG14" t="s">
        <v>106</v>
      </c>
      <c r="JH14" t="s">
        <v>106</v>
      </c>
      <c r="JI14" t="s">
        <v>106</v>
      </c>
      <c r="JJ14" t="s">
        <v>106</v>
      </c>
      <c r="JK14" t="s">
        <v>107</v>
      </c>
      <c r="JL14" t="s">
        <v>107</v>
      </c>
      <c r="JM14" t="s">
        <v>107</v>
      </c>
      <c r="JN14" t="s">
        <v>107</v>
      </c>
      <c r="JO14" t="s">
        <v>107</v>
      </c>
      <c r="JP14" t="s">
        <v>107</v>
      </c>
      <c r="JQ14" t="s">
        <v>107</v>
      </c>
      <c r="JR14" t="s">
        <v>107</v>
      </c>
      <c r="JS14" t="s">
        <v>107</v>
      </c>
      <c r="JT14" t="s">
        <v>107</v>
      </c>
      <c r="JU14" t="s">
        <v>107</v>
      </c>
      <c r="JV14" t="s">
        <v>107</v>
      </c>
      <c r="JW14" t="s">
        <v>107</v>
      </c>
      <c r="JX14" t="s">
        <v>107</v>
      </c>
      <c r="JY14" t="s">
        <v>107</v>
      </c>
      <c r="JZ14" t="s">
        <v>107</v>
      </c>
    </row>
    <row r="15" spans="1:286" x14ac:dyDescent="0.4">
      <c r="A15" t="s">
        <v>108</v>
      </c>
      <c r="B15" t="s">
        <v>109</v>
      </c>
      <c r="C15" t="s">
        <v>110</v>
      </c>
      <c r="D15" t="s">
        <v>111</v>
      </c>
      <c r="E15" t="s">
        <v>112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 t="s">
        <v>119</v>
      </c>
      <c r="M15" t="s">
        <v>120</v>
      </c>
      <c r="N15" t="s">
        <v>121</v>
      </c>
      <c r="O15" t="s">
        <v>122</v>
      </c>
      <c r="P15" t="s">
        <v>123</v>
      </c>
      <c r="Q15" t="s">
        <v>124</v>
      </c>
      <c r="R15" t="s">
        <v>125</v>
      </c>
      <c r="S15" t="s">
        <v>126</v>
      </c>
      <c r="T15" t="s">
        <v>127</v>
      </c>
      <c r="U15" t="s">
        <v>128</v>
      </c>
      <c r="V15" t="s">
        <v>129</v>
      </c>
      <c r="W15" t="s">
        <v>130</v>
      </c>
      <c r="X15" t="s">
        <v>131</v>
      </c>
      <c r="Y15" t="s">
        <v>132</v>
      </c>
      <c r="Z15" t="s">
        <v>133</v>
      </c>
      <c r="AA15" t="s">
        <v>134</v>
      </c>
      <c r="AB15" t="s">
        <v>135</v>
      </c>
      <c r="AC15" t="s">
        <v>136</v>
      </c>
      <c r="AD15" t="s">
        <v>137</v>
      </c>
      <c r="AE15" t="s">
        <v>90</v>
      </c>
      <c r="AF15" t="s">
        <v>138</v>
      </c>
      <c r="AG15" t="s">
        <v>139</v>
      </c>
      <c r="AH15" t="s">
        <v>140</v>
      </c>
      <c r="AI15" t="s">
        <v>141</v>
      </c>
      <c r="AJ15" t="s">
        <v>142</v>
      </c>
      <c r="AK15" t="s">
        <v>143</v>
      </c>
      <c r="AL15" t="s">
        <v>144</v>
      </c>
      <c r="AM15" t="s">
        <v>145</v>
      </c>
      <c r="AN15" t="s">
        <v>146</v>
      </c>
      <c r="AO15" t="s">
        <v>147</v>
      </c>
      <c r="AP15" t="s">
        <v>148</v>
      </c>
      <c r="AQ15" t="s">
        <v>149</v>
      </c>
      <c r="AR15" t="s">
        <v>150</v>
      </c>
      <c r="AS15" t="s">
        <v>151</v>
      </c>
      <c r="AT15" t="s">
        <v>152</v>
      </c>
      <c r="AU15" t="s">
        <v>153</v>
      </c>
      <c r="AV15" t="s">
        <v>154</v>
      </c>
      <c r="AW15" t="s">
        <v>155</v>
      </c>
      <c r="AX15" t="s">
        <v>156</v>
      </c>
      <c r="AY15" t="s">
        <v>157</v>
      </c>
      <c r="AZ15" t="s">
        <v>158</v>
      </c>
      <c r="BA15" t="s">
        <v>159</v>
      </c>
      <c r="BB15" t="s">
        <v>160</v>
      </c>
      <c r="BC15" t="s">
        <v>161</v>
      </c>
      <c r="BD15" t="s">
        <v>162</v>
      </c>
      <c r="BE15" t="s">
        <v>163</v>
      </c>
      <c r="BF15" t="s">
        <v>164</v>
      </c>
      <c r="BG15" t="s">
        <v>165</v>
      </c>
      <c r="BH15" t="s">
        <v>166</v>
      </c>
      <c r="BI15" t="s">
        <v>167</v>
      </c>
      <c r="BJ15" t="s">
        <v>168</v>
      </c>
      <c r="BK15" t="s">
        <v>169</v>
      </c>
      <c r="BL15" t="s">
        <v>170</v>
      </c>
      <c r="BM15" t="s">
        <v>171</v>
      </c>
      <c r="BN15" t="s">
        <v>172</v>
      </c>
      <c r="BO15" t="s">
        <v>173</v>
      </c>
      <c r="BP15" t="s">
        <v>174</v>
      </c>
      <c r="BQ15" t="s">
        <v>175</v>
      </c>
      <c r="BR15" t="s">
        <v>176</v>
      </c>
      <c r="BS15" t="s">
        <v>177</v>
      </c>
      <c r="BT15" t="s">
        <v>178</v>
      </c>
      <c r="BU15" t="s">
        <v>179</v>
      </c>
      <c r="BV15" t="s">
        <v>180</v>
      </c>
      <c r="BW15" t="s">
        <v>181</v>
      </c>
      <c r="BX15" t="s">
        <v>182</v>
      </c>
      <c r="BY15" t="s">
        <v>183</v>
      </c>
      <c r="BZ15" t="s">
        <v>184</v>
      </c>
      <c r="CA15" t="s">
        <v>185</v>
      </c>
      <c r="CB15" t="s">
        <v>186</v>
      </c>
      <c r="CC15" t="s">
        <v>187</v>
      </c>
      <c r="CD15" t="s">
        <v>188</v>
      </c>
      <c r="CE15" t="s">
        <v>189</v>
      </c>
      <c r="CF15" t="s">
        <v>190</v>
      </c>
      <c r="CG15" t="s">
        <v>170</v>
      </c>
      <c r="CH15" t="s">
        <v>191</v>
      </c>
      <c r="CI15" t="s">
        <v>192</v>
      </c>
      <c r="CJ15" t="s">
        <v>193</v>
      </c>
      <c r="CK15" t="s">
        <v>144</v>
      </c>
      <c r="CL15" t="s">
        <v>194</v>
      </c>
      <c r="CM15" t="s">
        <v>195</v>
      </c>
      <c r="CN15" t="s">
        <v>196</v>
      </c>
      <c r="CO15" t="s">
        <v>197</v>
      </c>
      <c r="CP15" t="s">
        <v>198</v>
      </c>
      <c r="CQ15" t="s">
        <v>199</v>
      </c>
      <c r="CR15" t="s">
        <v>200</v>
      </c>
      <c r="CS15" t="s">
        <v>201</v>
      </c>
      <c r="CT15" t="s">
        <v>202</v>
      </c>
      <c r="CU15" t="s">
        <v>203</v>
      </c>
      <c r="CV15" t="s">
        <v>204</v>
      </c>
      <c r="CW15" t="s">
        <v>205</v>
      </c>
      <c r="CX15" t="s">
        <v>206</v>
      </c>
      <c r="CY15" t="s">
        <v>207</v>
      </c>
      <c r="CZ15" t="s">
        <v>208</v>
      </c>
      <c r="DA15" t="s">
        <v>209</v>
      </c>
      <c r="DB15" t="s">
        <v>114</v>
      </c>
      <c r="DC15" t="s">
        <v>210</v>
      </c>
      <c r="DD15" t="s">
        <v>211</v>
      </c>
      <c r="DE15" t="s">
        <v>212</v>
      </c>
      <c r="DF15" t="s">
        <v>213</v>
      </c>
      <c r="DG15" t="s">
        <v>214</v>
      </c>
      <c r="DH15" t="s">
        <v>215</v>
      </c>
      <c r="DI15" t="s">
        <v>216</v>
      </c>
      <c r="DJ15" t="s">
        <v>217</v>
      </c>
      <c r="DK15" t="s">
        <v>218</v>
      </c>
      <c r="DL15" t="s">
        <v>219</v>
      </c>
      <c r="DM15" t="s">
        <v>220</v>
      </c>
      <c r="DN15" t="s">
        <v>221</v>
      </c>
      <c r="DO15" t="s">
        <v>222</v>
      </c>
      <c r="DP15" t="s">
        <v>223</v>
      </c>
      <c r="DQ15" t="s">
        <v>224</v>
      </c>
      <c r="DR15" t="s">
        <v>225</v>
      </c>
      <c r="DS15" t="s">
        <v>226</v>
      </c>
      <c r="DT15" t="s">
        <v>227</v>
      </c>
      <c r="DU15" t="s">
        <v>228</v>
      </c>
      <c r="DV15" t="s">
        <v>229</v>
      </c>
      <c r="DW15" t="s">
        <v>230</v>
      </c>
      <c r="DX15" t="s">
        <v>231</v>
      </c>
      <c r="DY15" t="s">
        <v>232</v>
      </c>
      <c r="DZ15" t="s">
        <v>233</v>
      </c>
      <c r="EA15" t="s">
        <v>234</v>
      </c>
      <c r="EB15" t="s">
        <v>235</v>
      </c>
      <c r="EC15" t="s">
        <v>236</v>
      </c>
      <c r="ED15" t="s">
        <v>237</v>
      </c>
      <c r="EE15" t="s">
        <v>238</v>
      </c>
      <c r="EF15" t="s">
        <v>239</v>
      </c>
      <c r="EG15" t="s">
        <v>240</v>
      </c>
      <c r="EH15" t="s">
        <v>241</v>
      </c>
      <c r="EI15" t="s">
        <v>242</v>
      </c>
      <c r="EJ15" t="s">
        <v>243</v>
      </c>
      <c r="EK15" t="s">
        <v>244</v>
      </c>
      <c r="EL15" t="s">
        <v>245</v>
      </c>
      <c r="EM15" t="s">
        <v>246</v>
      </c>
      <c r="EN15" t="s">
        <v>247</v>
      </c>
      <c r="EO15" t="s">
        <v>248</v>
      </c>
      <c r="EP15" t="s">
        <v>249</v>
      </c>
      <c r="EQ15" t="s">
        <v>250</v>
      </c>
      <c r="ER15" t="s">
        <v>251</v>
      </c>
      <c r="ES15" t="s">
        <v>252</v>
      </c>
      <c r="ET15" t="s">
        <v>253</v>
      </c>
      <c r="EU15" t="s">
        <v>254</v>
      </c>
      <c r="EV15" t="s">
        <v>255</v>
      </c>
      <c r="EW15" t="s">
        <v>256</v>
      </c>
      <c r="EX15" t="s">
        <v>257</v>
      </c>
      <c r="EY15" t="s">
        <v>258</v>
      </c>
      <c r="EZ15" t="s">
        <v>259</v>
      </c>
      <c r="FA15" t="s">
        <v>109</v>
      </c>
      <c r="FB15" t="s">
        <v>112</v>
      </c>
      <c r="FC15" t="s">
        <v>260</v>
      </c>
      <c r="FD15" t="s">
        <v>261</v>
      </c>
      <c r="FE15" t="s">
        <v>262</v>
      </c>
      <c r="FF15" t="s">
        <v>263</v>
      </c>
      <c r="FG15" t="s">
        <v>264</v>
      </c>
      <c r="FH15" t="s">
        <v>265</v>
      </c>
      <c r="FI15" t="s">
        <v>266</v>
      </c>
      <c r="FJ15" t="s">
        <v>267</v>
      </c>
      <c r="FK15" t="s">
        <v>268</v>
      </c>
      <c r="FL15" t="s">
        <v>269</v>
      </c>
      <c r="FM15" t="s">
        <v>270</v>
      </c>
      <c r="FN15" t="s">
        <v>271</v>
      </c>
      <c r="FO15" t="s">
        <v>272</v>
      </c>
      <c r="FP15" t="s">
        <v>273</v>
      </c>
      <c r="FQ15" t="s">
        <v>274</v>
      </c>
      <c r="FR15" t="s">
        <v>275</v>
      </c>
      <c r="FS15" t="s">
        <v>276</v>
      </c>
      <c r="FT15" t="s">
        <v>277</v>
      </c>
      <c r="FU15" t="s">
        <v>278</v>
      </c>
      <c r="FV15" t="s">
        <v>279</v>
      </c>
      <c r="FW15" t="s">
        <v>280</v>
      </c>
      <c r="FX15" t="s">
        <v>281</v>
      </c>
      <c r="FY15" t="s">
        <v>282</v>
      </c>
      <c r="FZ15" t="s">
        <v>283</v>
      </c>
      <c r="GA15" t="s">
        <v>284</v>
      </c>
      <c r="GB15" t="s">
        <v>285</v>
      </c>
      <c r="GC15" t="s">
        <v>286</v>
      </c>
      <c r="GD15" t="s">
        <v>287</v>
      </c>
      <c r="GE15" t="s">
        <v>288</v>
      </c>
      <c r="GF15" t="s">
        <v>289</v>
      </c>
      <c r="GG15" t="s">
        <v>290</v>
      </c>
      <c r="GH15" t="s">
        <v>291</v>
      </c>
      <c r="GI15" t="s">
        <v>292</v>
      </c>
      <c r="GJ15" t="s">
        <v>293</v>
      </c>
      <c r="GK15" t="s">
        <v>294</v>
      </c>
      <c r="GL15" t="s">
        <v>295</v>
      </c>
      <c r="GM15" t="s">
        <v>296</v>
      </c>
      <c r="GN15" t="s">
        <v>297</v>
      </c>
      <c r="GO15" t="s">
        <v>298</v>
      </c>
      <c r="GP15" t="s">
        <v>299</v>
      </c>
      <c r="GQ15" t="s">
        <v>300</v>
      </c>
      <c r="GR15" t="s">
        <v>301</v>
      </c>
      <c r="GS15" t="s">
        <v>302</v>
      </c>
      <c r="GT15" t="s">
        <v>303</v>
      </c>
      <c r="GU15" t="s">
        <v>304</v>
      </c>
      <c r="GV15" t="s">
        <v>305</v>
      </c>
      <c r="GW15" t="s">
        <v>306</v>
      </c>
      <c r="GX15" t="s">
        <v>307</v>
      </c>
      <c r="GY15" t="s">
        <v>308</v>
      </c>
      <c r="GZ15" t="s">
        <v>309</v>
      </c>
      <c r="HA15" t="s">
        <v>310</v>
      </c>
      <c r="HB15" t="s">
        <v>311</v>
      </c>
      <c r="HC15" t="s">
        <v>312</v>
      </c>
      <c r="HD15" t="s">
        <v>313</v>
      </c>
      <c r="HE15" t="s">
        <v>314</v>
      </c>
      <c r="HF15" t="s">
        <v>315</v>
      </c>
      <c r="HG15" t="s">
        <v>316</v>
      </c>
      <c r="HH15" t="s">
        <v>317</v>
      </c>
      <c r="HI15" t="s">
        <v>318</v>
      </c>
      <c r="HJ15" t="s">
        <v>319</v>
      </c>
      <c r="HK15" t="s">
        <v>320</v>
      </c>
      <c r="HL15" t="s">
        <v>321</v>
      </c>
      <c r="HM15" t="s">
        <v>322</v>
      </c>
      <c r="HN15" t="s">
        <v>323</v>
      </c>
      <c r="HO15" t="s">
        <v>324</v>
      </c>
      <c r="HP15" t="s">
        <v>325</v>
      </c>
      <c r="HQ15" t="s">
        <v>326</v>
      </c>
      <c r="HR15" t="s">
        <v>327</v>
      </c>
      <c r="HS15" t="s">
        <v>328</v>
      </c>
      <c r="HT15" t="s">
        <v>329</v>
      </c>
      <c r="HU15" t="s">
        <v>330</v>
      </c>
      <c r="HV15" t="s">
        <v>331</v>
      </c>
      <c r="HW15" t="s">
        <v>332</v>
      </c>
      <c r="HX15" t="s">
        <v>333</v>
      </c>
      <c r="HY15" t="s">
        <v>334</v>
      </c>
      <c r="HZ15" t="s">
        <v>335</v>
      </c>
      <c r="IA15" t="s">
        <v>336</v>
      </c>
      <c r="IB15" t="s">
        <v>337</v>
      </c>
      <c r="IC15" t="s">
        <v>338</v>
      </c>
      <c r="ID15" t="s">
        <v>339</v>
      </c>
      <c r="IE15" t="s">
        <v>340</v>
      </c>
      <c r="IF15" t="s">
        <v>341</v>
      </c>
      <c r="IG15" t="s">
        <v>342</v>
      </c>
      <c r="IH15" t="s">
        <v>343</v>
      </c>
      <c r="II15" t="s">
        <v>344</v>
      </c>
      <c r="IJ15" t="s">
        <v>345</v>
      </c>
      <c r="IK15" t="s">
        <v>346</v>
      </c>
      <c r="IL15" t="s">
        <v>347</v>
      </c>
      <c r="IM15" t="s">
        <v>348</v>
      </c>
      <c r="IN15" t="s">
        <v>349</v>
      </c>
      <c r="IO15" t="s">
        <v>350</v>
      </c>
      <c r="IP15" t="s">
        <v>351</v>
      </c>
      <c r="IQ15" t="s">
        <v>352</v>
      </c>
      <c r="IR15" t="s">
        <v>353</v>
      </c>
      <c r="IS15" t="s">
        <v>354</v>
      </c>
      <c r="IT15" t="s">
        <v>355</v>
      </c>
      <c r="IU15" t="s">
        <v>356</v>
      </c>
      <c r="IV15" t="s">
        <v>357</v>
      </c>
      <c r="IW15" t="s">
        <v>358</v>
      </c>
      <c r="IX15" t="s">
        <v>359</v>
      </c>
      <c r="IY15" t="s">
        <v>360</v>
      </c>
      <c r="IZ15" t="s">
        <v>361</v>
      </c>
      <c r="JA15" t="s">
        <v>362</v>
      </c>
      <c r="JB15" t="s">
        <v>363</v>
      </c>
      <c r="JC15" t="s">
        <v>364</v>
      </c>
      <c r="JD15" t="s">
        <v>365</v>
      </c>
      <c r="JE15" t="s">
        <v>366</v>
      </c>
      <c r="JF15" t="s">
        <v>367</v>
      </c>
      <c r="JG15" t="s">
        <v>368</v>
      </c>
      <c r="JH15" t="s">
        <v>369</v>
      </c>
      <c r="JI15" t="s">
        <v>370</v>
      </c>
      <c r="JJ15" t="s">
        <v>371</v>
      </c>
      <c r="JK15" t="s">
        <v>372</v>
      </c>
      <c r="JL15" t="s">
        <v>373</v>
      </c>
      <c r="JM15" t="s">
        <v>374</v>
      </c>
      <c r="JN15" t="s">
        <v>375</v>
      </c>
      <c r="JO15" t="s">
        <v>376</v>
      </c>
      <c r="JP15" t="s">
        <v>377</v>
      </c>
      <c r="JQ15" t="s">
        <v>378</v>
      </c>
      <c r="JR15" t="s">
        <v>379</v>
      </c>
      <c r="JS15" t="s">
        <v>380</v>
      </c>
      <c r="JT15" t="s">
        <v>381</v>
      </c>
      <c r="JU15" t="s">
        <v>382</v>
      </c>
      <c r="JV15" t="s">
        <v>383</v>
      </c>
      <c r="JW15" t="s">
        <v>384</v>
      </c>
      <c r="JX15" t="s">
        <v>385</v>
      </c>
      <c r="JY15" t="s">
        <v>386</v>
      </c>
      <c r="JZ15" t="s">
        <v>387</v>
      </c>
    </row>
    <row r="16" spans="1:286" x14ac:dyDescent="0.4">
      <c r="B16" t="s">
        <v>388</v>
      </c>
      <c r="C16" t="s">
        <v>388</v>
      </c>
      <c r="F16" t="s">
        <v>388</v>
      </c>
      <c r="G16" t="s">
        <v>388</v>
      </c>
      <c r="H16" t="s">
        <v>389</v>
      </c>
      <c r="I16" t="s">
        <v>390</v>
      </c>
      <c r="J16" t="s">
        <v>391</v>
      </c>
      <c r="K16" t="s">
        <v>392</v>
      </c>
      <c r="L16" t="s">
        <v>392</v>
      </c>
      <c r="M16" t="s">
        <v>217</v>
      </c>
      <c r="N16" t="s">
        <v>217</v>
      </c>
      <c r="O16" t="s">
        <v>389</v>
      </c>
      <c r="P16" t="s">
        <v>389</v>
      </c>
      <c r="Q16" t="s">
        <v>389</v>
      </c>
      <c r="R16" t="s">
        <v>389</v>
      </c>
      <c r="S16" t="s">
        <v>393</v>
      </c>
      <c r="T16" t="s">
        <v>394</v>
      </c>
      <c r="U16" t="s">
        <v>394</v>
      </c>
      <c r="V16" t="s">
        <v>395</v>
      </c>
      <c r="W16" t="s">
        <v>396</v>
      </c>
      <c r="X16" t="s">
        <v>395</v>
      </c>
      <c r="Y16" t="s">
        <v>395</v>
      </c>
      <c r="Z16" t="s">
        <v>395</v>
      </c>
      <c r="AA16" t="s">
        <v>393</v>
      </c>
      <c r="AB16" t="s">
        <v>393</v>
      </c>
      <c r="AC16" t="s">
        <v>393</v>
      </c>
      <c r="AD16" t="s">
        <v>393</v>
      </c>
      <c r="AE16" t="s">
        <v>397</v>
      </c>
      <c r="AF16" t="s">
        <v>396</v>
      </c>
      <c r="AH16" t="s">
        <v>396</v>
      </c>
      <c r="AI16" t="s">
        <v>397</v>
      </c>
      <c r="AO16" t="s">
        <v>391</v>
      </c>
      <c r="AV16" t="s">
        <v>391</v>
      </c>
      <c r="AW16" t="s">
        <v>391</v>
      </c>
      <c r="AX16" t="s">
        <v>391</v>
      </c>
      <c r="AY16" t="s">
        <v>398</v>
      </c>
      <c r="BM16" t="s">
        <v>399</v>
      </c>
      <c r="BO16" t="s">
        <v>399</v>
      </c>
      <c r="BP16" t="s">
        <v>391</v>
      </c>
      <c r="BS16" t="s">
        <v>399</v>
      </c>
      <c r="BT16" t="s">
        <v>396</v>
      </c>
      <c r="BW16" t="s">
        <v>400</v>
      </c>
      <c r="BX16" t="s">
        <v>400</v>
      </c>
      <c r="BZ16" t="s">
        <v>401</v>
      </c>
      <c r="CA16" t="s">
        <v>399</v>
      </c>
      <c r="CC16" t="s">
        <v>399</v>
      </c>
      <c r="CD16" t="s">
        <v>391</v>
      </c>
      <c r="CH16" t="s">
        <v>399</v>
      </c>
      <c r="CJ16" t="s">
        <v>402</v>
      </c>
      <c r="CM16" t="s">
        <v>399</v>
      </c>
      <c r="CN16" t="s">
        <v>399</v>
      </c>
      <c r="CP16" t="s">
        <v>399</v>
      </c>
      <c r="CR16" t="s">
        <v>399</v>
      </c>
      <c r="CT16" t="s">
        <v>391</v>
      </c>
      <c r="CU16" t="s">
        <v>391</v>
      </c>
      <c r="CW16" t="s">
        <v>403</v>
      </c>
      <c r="CX16" t="s">
        <v>404</v>
      </c>
      <c r="DA16" t="s">
        <v>389</v>
      </c>
      <c r="DB16" t="s">
        <v>388</v>
      </c>
      <c r="DC16" t="s">
        <v>392</v>
      </c>
      <c r="DD16" t="s">
        <v>392</v>
      </c>
      <c r="DE16" t="s">
        <v>405</v>
      </c>
      <c r="DF16" t="s">
        <v>405</v>
      </c>
      <c r="DG16" t="s">
        <v>392</v>
      </c>
      <c r="DH16" t="s">
        <v>405</v>
      </c>
      <c r="DI16" t="s">
        <v>397</v>
      </c>
      <c r="DJ16" t="s">
        <v>395</v>
      </c>
      <c r="DK16" t="s">
        <v>395</v>
      </c>
      <c r="DL16" t="s">
        <v>394</v>
      </c>
      <c r="DM16" t="s">
        <v>394</v>
      </c>
      <c r="DN16" t="s">
        <v>394</v>
      </c>
      <c r="DO16" t="s">
        <v>394</v>
      </c>
      <c r="DP16" t="s">
        <v>394</v>
      </c>
      <c r="DQ16" t="s">
        <v>406</v>
      </c>
      <c r="DR16" t="s">
        <v>391</v>
      </c>
      <c r="DS16" t="s">
        <v>391</v>
      </c>
      <c r="DT16" t="s">
        <v>392</v>
      </c>
      <c r="DU16" t="s">
        <v>392</v>
      </c>
      <c r="DV16" t="s">
        <v>392</v>
      </c>
      <c r="DW16" t="s">
        <v>405</v>
      </c>
      <c r="DX16" t="s">
        <v>392</v>
      </c>
      <c r="DY16" t="s">
        <v>405</v>
      </c>
      <c r="DZ16" t="s">
        <v>395</v>
      </c>
      <c r="EA16" t="s">
        <v>395</v>
      </c>
      <c r="EB16" t="s">
        <v>394</v>
      </c>
      <c r="EC16" t="s">
        <v>394</v>
      </c>
      <c r="ED16" t="s">
        <v>391</v>
      </c>
      <c r="EI16" t="s">
        <v>391</v>
      </c>
      <c r="EL16" t="s">
        <v>394</v>
      </c>
      <c r="EM16" t="s">
        <v>394</v>
      </c>
      <c r="EN16" t="s">
        <v>394</v>
      </c>
      <c r="EO16" t="s">
        <v>394</v>
      </c>
      <c r="EP16" t="s">
        <v>394</v>
      </c>
      <c r="EQ16" t="s">
        <v>391</v>
      </c>
      <c r="ER16" t="s">
        <v>391</v>
      </c>
      <c r="ES16" t="s">
        <v>391</v>
      </c>
      <c r="ET16" t="s">
        <v>388</v>
      </c>
      <c r="EW16" t="s">
        <v>407</v>
      </c>
      <c r="EX16" t="s">
        <v>407</v>
      </c>
      <c r="EZ16" t="s">
        <v>388</v>
      </c>
      <c r="FA16" t="s">
        <v>408</v>
      </c>
      <c r="FC16" t="s">
        <v>388</v>
      </c>
      <c r="FD16" t="s">
        <v>388</v>
      </c>
      <c r="FF16" t="s">
        <v>409</v>
      </c>
      <c r="FG16" t="s">
        <v>410</v>
      </c>
      <c r="FH16" t="s">
        <v>409</v>
      </c>
      <c r="FI16" t="s">
        <v>410</v>
      </c>
      <c r="FJ16" t="s">
        <v>409</v>
      </c>
      <c r="FK16" t="s">
        <v>410</v>
      </c>
      <c r="FL16" t="s">
        <v>396</v>
      </c>
      <c r="FM16" t="s">
        <v>396</v>
      </c>
      <c r="FN16" t="s">
        <v>391</v>
      </c>
      <c r="FO16" t="s">
        <v>411</v>
      </c>
      <c r="FP16" t="s">
        <v>391</v>
      </c>
      <c r="FR16" t="s">
        <v>392</v>
      </c>
      <c r="FS16" t="s">
        <v>412</v>
      </c>
      <c r="FT16" t="s">
        <v>392</v>
      </c>
      <c r="FW16" t="s">
        <v>413</v>
      </c>
      <c r="FZ16" t="s">
        <v>405</v>
      </c>
      <c r="GA16" t="s">
        <v>414</v>
      </c>
      <c r="GB16" t="s">
        <v>405</v>
      </c>
      <c r="GG16" t="s">
        <v>415</v>
      </c>
      <c r="GH16" t="s">
        <v>415</v>
      </c>
      <c r="GU16" t="s">
        <v>415</v>
      </c>
      <c r="GV16" t="s">
        <v>415</v>
      </c>
      <c r="GW16" t="s">
        <v>416</v>
      </c>
      <c r="GX16" t="s">
        <v>416</v>
      </c>
      <c r="GY16" t="s">
        <v>394</v>
      </c>
      <c r="GZ16" t="s">
        <v>394</v>
      </c>
      <c r="HA16" t="s">
        <v>396</v>
      </c>
      <c r="HB16" t="s">
        <v>394</v>
      </c>
      <c r="HC16" t="s">
        <v>405</v>
      </c>
      <c r="HD16" t="s">
        <v>396</v>
      </c>
      <c r="HE16" t="s">
        <v>396</v>
      </c>
      <c r="HG16" t="s">
        <v>415</v>
      </c>
      <c r="HH16" t="s">
        <v>415</v>
      </c>
      <c r="HI16" t="s">
        <v>415</v>
      </c>
      <c r="HJ16" t="s">
        <v>415</v>
      </c>
      <c r="HK16" t="s">
        <v>415</v>
      </c>
      <c r="HL16" t="s">
        <v>415</v>
      </c>
      <c r="HM16" t="s">
        <v>415</v>
      </c>
      <c r="HN16" t="s">
        <v>417</v>
      </c>
      <c r="HO16" t="s">
        <v>418</v>
      </c>
      <c r="HP16" t="s">
        <v>417</v>
      </c>
      <c r="HQ16" t="s">
        <v>417</v>
      </c>
      <c r="HR16" t="s">
        <v>415</v>
      </c>
      <c r="HS16" t="s">
        <v>415</v>
      </c>
      <c r="HT16" t="s">
        <v>415</v>
      </c>
      <c r="HU16" t="s">
        <v>415</v>
      </c>
      <c r="HV16" t="s">
        <v>415</v>
      </c>
      <c r="HW16" t="s">
        <v>415</v>
      </c>
      <c r="HX16" t="s">
        <v>415</v>
      </c>
      <c r="HY16" t="s">
        <v>415</v>
      </c>
      <c r="HZ16" t="s">
        <v>415</v>
      </c>
      <c r="IA16" t="s">
        <v>415</v>
      </c>
      <c r="IB16" t="s">
        <v>415</v>
      </c>
      <c r="IC16" t="s">
        <v>415</v>
      </c>
      <c r="IJ16" t="s">
        <v>415</v>
      </c>
      <c r="IK16" t="s">
        <v>396</v>
      </c>
      <c r="IL16" t="s">
        <v>396</v>
      </c>
      <c r="IM16" t="s">
        <v>409</v>
      </c>
      <c r="IN16" t="s">
        <v>410</v>
      </c>
      <c r="IO16" t="s">
        <v>409</v>
      </c>
      <c r="IS16" t="s">
        <v>410</v>
      </c>
      <c r="IW16" t="s">
        <v>392</v>
      </c>
      <c r="IX16" t="s">
        <v>392</v>
      </c>
      <c r="IY16" t="s">
        <v>405</v>
      </c>
      <c r="IZ16" t="s">
        <v>405</v>
      </c>
      <c r="JA16" t="s">
        <v>419</v>
      </c>
      <c r="JB16" t="s">
        <v>419</v>
      </c>
      <c r="JC16" t="s">
        <v>415</v>
      </c>
      <c r="JD16" t="s">
        <v>415</v>
      </c>
      <c r="JE16" t="s">
        <v>415</v>
      </c>
      <c r="JF16" t="s">
        <v>415</v>
      </c>
      <c r="JG16" t="s">
        <v>415</v>
      </c>
      <c r="JH16" t="s">
        <v>415</v>
      </c>
      <c r="JI16" t="s">
        <v>394</v>
      </c>
      <c r="JJ16" t="s">
        <v>415</v>
      </c>
      <c r="JL16" t="s">
        <v>397</v>
      </c>
      <c r="JM16" t="s">
        <v>397</v>
      </c>
      <c r="JN16" t="s">
        <v>394</v>
      </c>
      <c r="JO16" t="s">
        <v>394</v>
      </c>
      <c r="JP16" t="s">
        <v>394</v>
      </c>
      <c r="JQ16" t="s">
        <v>394</v>
      </c>
      <c r="JR16" t="s">
        <v>394</v>
      </c>
      <c r="JS16" t="s">
        <v>396</v>
      </c>
      <c r="JT16" t="s">
        <v>396</v>
      </c>
      <c r="JU16" t="s">
        <v>396</v>
      </c>
      <c r="JV16" t="s">
        <v>394</v>
      </c>
      <c r="JW16" t="s">
        <v>392</v>
      </c>
      <c r="JX16" t="s">
        <v>405</v>
      </c>
      <c r="JY16" t="s">
        <v>396</v>
      </c>
      <c r="JZ16" t="s">
        <v>396</v>
      </c>
    </row>
    <row r="17" spans="1:286" x14ac:dyDescent="0.4">
      <c r="A17">
        <v>1</v>
      </c>
      <c r="B17">
        <v>1664975970.0999999</v>
      </c>
      <c r="C17">
        <v>0</v>
      </c>
      <c r="D17" t="s">
        <v>420</v>
      </c>
      <c r="E17" t="s">
        <v>421</v>
      </c>
      <c r="F17">
        <v>5</v>
      </c>
      <c r="G17">
        <v>1664975961.5999999</v>
      </c>
      <c r="H17">
        <f t="shared" ref="H17:H46" si="0">(I17)/1000</f>
        <v>2.7784971210283123E-4</v>
      </c>
      <c r="I17">
        <f t="shared" ref="I17:I46" si="1">1000*DI17*AG17*(DE17-DF17)/(100*CX17*(1000-AG17*DE17))</f>
        <v>0.27784971210283121</v>
      </c>
      <c r="J17">
        <f t="shared" ref="J17:J46" si="2">DI17*AG17*(DD17-DC17*(1000-AG17*DF17)/(1000-AG17*DE17))/(100*CX17)</f>
        <v>-9.3633909311728587</v>
      </c>
      <c r="K17">
        <f t="shared" ref="K17:K46" si="3">DC17 - IF(AG17&gt;1, J17*CX17*100/(AI17), 0)</f>
        <v>454.37431249999997</v>
      </c>
      <c r="L17">
        <f t="shared" ref="L17:L46" si="4">((R17-H17/2)*K17-J17)/(R17+H17/2)</f>
        <v>1285.5980915801272</v>
      </c>
      <c r="M17">
        <f t="shared" ref="M17:M46" si="5">L17*(DJ17+DK17)/1000</f>
        <v>129.90255652168401</v>
      </c>
      <c r="N17">
        <f t="shared" ref="N17:N46" si="6">(DC17 - IF(AG17&gt;1, J17*CX17*100/(AI17), 0))*(DJ17+DK17)/1000</f>
        <v>45.912004068849974</v>
      </c>
      <c r="O17">
        <f t="shared" ref="O17:O46" si="7">2/((1/Q17-1/P17)+SIGN(Q17)*SQRT((1/Q17-1/P17)*(1/Q17-1/P17) + 4*CY17/((CY17+1)*(CY17+1))*(2*1/Q17*1/P17-1/P17*1/P17)))</f>
        <v>1.7606585344128314E-2</v>
      </c>
      <c r="P17">
        <f t="shared" ref="P17:P46" si="8">IF(LEFT(CZ17,1)&lt;&gt;"0",IF(LEFT(CZ17,1)="1",3,DA17),$D$5+$E$5*(DQ17*DJ17/($K$5*1000))+$F$5*(DQ17*DJ17/($K$5*1000))*MAX(MIN(CX17,$J$5),$I$5)*MAX(MIN(CX17,$J$5),$I$5)+$G$5*MAX(MIN(CX17,$J$5),$I$5)*(DQ17*DJ17/($K$5*1000))+$H$5*(DQ17*DJ17/($K$5*1000))*(DQ17*DJ17/($K$5*1000)))</f>
        <v>3.0288932032277138</v>
      </c>
      <c r="Q17">
        <f t="shared" ref="Q17:Q46" si="9">H17*(1000-(1000*0.61365*EXP(17.502*U17/(240.97+U17))/(DJ17+DK17)+DE17)/2)/(1000*0.61365*EXP(17.502*U17/(240.97+U17))/(DJ17+DK17)-DE17)</f>
        <v>1.7549924635604657E-2</v>
      </c>
      <c r="R17">
        <f t="shared" ref="R17:R46" si="10">1/((CY17+1)/(O17/1.6)+1/(P17/1.37)) + CY17/((CY17+1)/(O17/1.6) + CY17/(P17/1.37))</f>
        <v>1.0973778355447279E-2</v>
      </c>
      <c r="S17">
        <f t="shared" ref="S17:S46" si="11">(CT17*CW17)</f>
        <v>6.3856599478895988E-4</v>
      </c>
      <c r="T17">
        <f t="shared" ref="T17:T46" si="12">(DL17+(S17+2*0.95*0.0000000567*(((DL17+$B$7)+273)^4-(DL17+273)^4)-44100*H17)/(1.84*29.3*P17+8*0.95*0.0000000567*(DL17+273)^3))</f>
        <v>26.254087987570866</v>
      </c>
      <c r="U17">
        <f t="shared" ref="U17:U46" si="13">($C$7*DM17+$D$7*DN17+$E$7*T17)</f>
        <v>25.872875000000001</v>
      </c>
      <c r="V17">
        <f t="shared" ref="V17:V46" si="14">0.61365*EXP(17.502*U17/(240.97+U17))</f>
        <v>3.3489591291587719</v>
      </c>
      <c r="W17">
        <f t="shared" ref="W17:W46" si="15">(X17/Y17*100)</f>
        <v>52.039315085573769</v>
      </c>
      <c r="X17">
        <f t="shared" ref="X17:X46" si="16">DE17*(DJ17+DK17)/1000</f>
        <v>1.7899065006581152</v>
      </c>
      <c r="Y17">
        <f t="shared" ref="Y17:Y46" si="17">0.61365*EXP(17.502*DL17/(240.97+DL17))</f>
        <v>3.4395273990727628</v>
      </c>
      <c r="Z17">
        <f t="shared" ref="Z17:Z46" si="18">(V17-DE17*(DJ17+DK17)/1000)</f>
        <v>1.5590526285006567</v>
      </c>
      <c r="AA17">
        <f t="shared" ref="AA17:AA46" si="19">(-H17*44100)</f>
        <v>-12.253172303734857</v>
      </c>
      <c r="AB17">
        <f t="shared" ref="AB17:AB46" si="20">2*29.3*P17*0.92*(DL17-U17)</f>
        <v>73.692401293940009</v>
      </c>
      <c r="AC17">
        <f t="shared" ref="AC17:AC46" si="21">2*0.95*0.0000000567*(((DL17+$B$7)+273)^4-(U17+273)^4)</f>
        <v>5.2034692142451116</v>
      </c>
      <c r="AD17">
        <f t="shared" ref="AD17:AD46" si="22">S17+AC17+AA17+AB17</f>
        <v>66.643336770445046</v>
      </c>
      <c r="AE17">
        <v>5</v>
      </c>
      <c r="AF17">
        <v>100</v>
      </c>
      <c r="AG17">
        <f t="shared" ref="AG17:AG46" si="23">IF(AE17*$H$13&gt;=AI17,1,(AI17/(AI17-AE17*$H$13)))</f>
        <v>1</v>
      </c>
      <c r="AH17">
        <f t="shared" ref="AH17:AH46" si="24">(AG17-1)*100</f>
        <v>0</v>
      </c>
      <c r="AI17">
        <f t="shared" ref="AI17:AI46" si="25">MAX(0,($B$13+$C$13*DQ17)/(1+$D$13*DQ17)*DJ17/(DL17+273)*$E$13)</f>
        <v>53567.654964133297</v>
      </c>
      <c r="AJ17" t="s">
        <v>422</v>
      </c>
      <c r="AK17">
        <v>8120.18</v>
      </c>
      <c r="AL17">
        <v>219.32788461538499</v>
      </c>
      <c r="AM17">
        <v>1444.07</v>
      </c>
      <c r="AN17">
        <f t="shared" ref="AN17:AN46" si="26">1-AL17/AM17</f>
        <v>0.84811824591925256</v>
      </c>
      <c r="AO17">
        <v>-9.3633909311728605</v>
      </c>
      <c r="AP17" t="s">
        <v>423</v>
      </c>
      <c r="AQ17" t="s">
        <v>423</v>
      </c>
      <c r="AR17">
        <v>0</v>
      </c>
      <c r="AS17">
        <v>0</v>
      </c>
      <c r="AT17" t="e">
        <f t="shared" ref="AT17:AT46" si="27">1-AR17/AS17</f>
        <v>#DIV/0!</v>
      </c>
      <c r="AU17">
        <v>0.5</v>
      </c>
      <c r="AV17">
        <f t="shared" ref="AV17:AV46" si="28">CU17</f>
        <v>3.3608736567839995E-3</v>
      </c>
      <c r="AW17">
        <f t="shared" ref="AW17:AW46" si="29">J17</f>
        <v>-9.3633909311728587</v>
      </c>
      <c r="AX17" t="e">
        <f t="shared" ref="AX17:AX46" si="30">AT17*AU17*AV17</f>
        <v>#DIV/0!</v>
      </c>
      <c r="AY17">
        <f t="shared" ref="AY17:AY46" si="31">(AW17-AO17)/AV17</f>
        <v>5.285402013891936E-13</v>
      </c>
      <c r="AZ17" t="e">
        <f t="shared" ref="AZ17:AZ46" si="32">(AM17-AS17)/AS17</f>
        <v>#DIV/0!</v>
      </c>
      <c r="BA17" t="e">
        <f t="shared" ref="BA17:BA46" si="33">AL17/(AN17+AL17/AS17)</f>
        <v>#DIV/0!</v>
      </c>
      <c r="BB17" t="s">
        <v>423</v>
      </c>
      <c r="BC17">
        <v>0</v>
      </c>
      <c r="BD17" t="e">
        <f t="shared" ref="BD17:BD46" si="34">IF(BC17&lt;&gt;0, BC17, BA17)</f>
        <v>#DIV/0!</v>
      </c>
      <c r="BE17" t="e">
        <f t="shared" ref="BE17:BE46" si="35">1-BD17/AS17</f>
        <v>#DIV/0!</v>
      </c>
      <c r="BF17" t="e">
        <f t="shared" ref="BF17:BF46" si="36">(AS17-AR17)/(AS17-BD17)</f>
        <v>#DIV/0!</v>
      </c>
      <c r="BG17" t="e">
        <f t="shared" ref="BG17:BG46" si="37">(AM17-AS17)/(AM17-BD17)</f>
        <v>#DIV/0!</v>
      </c>
      <c r="BH17">
        <f t="shared" ref="BH17:BH46" si="38">(AS17-AR17)/(AS17-AL17)</f>
        <v>0</v>
      </c>
      <c r="BI17">
        <f t="shared" ref="BI17:BI46" si="39">(AM17-AS17)/(AM17-AL17)</f>
        <v>1.1790808708709326</v>
      </c>
      <c r="BJ17" t="e">
        <f t="shared" ref="BJ17:BJ46" si="40">(BF17*BD17/AR17)</f>
        <v>#DIV/0!</v>
      </c>
      <c r="BK17" t="e">
        <f t="shared" ref="BK17:BK46" si="41">(1-BJ17)</f>
        <v>#DIV/0!</v>
      </c>
      <c r="BL17">
        <v>939</v>
      </c>
      <c r="BM17">
        <v>290</v>
      </c>
      <c r="BN17">
        <v>1558.67</v>
      </c>
      <c r="BO17">
        <v>165</v>
      </c>
      <c r="BP17">
        <v>8114.57</v>
      </c>
      <c r="BQ17">
        <v>1551.92</v>
      </c>
      <c r="BR17">
        <v>6.75</v>
      </c>
      <c r="BS17">
        <v>300</v>
      </c>
      <c r="BT17">
        <v>19.2</v>
      </c>
      <c r="BU17">
        <v>1584.3896717483201</v>
      </c>
      <c r="BV17">
        <v>1.88110366540944</v>
      </c>
      <c r="BW17">
        <v>-26.347569484426199</v>
      </c>
      <c r="BX17">
        <v>1.36356822732003</v>
      </c>
      <c r="BY17">
        <v>0.93023713121789597</v>
      </c>
      <c r="BZ17">
        <v>-5.3779617352614001E-3</v>
      </c>
      <c r="CA17">
        <v>290</v>
      </c>
      <c r="CB17">
        <v>1543.03</v>
      </c>
      <c r="CC17">
        <v>615</v>
      </c>
      <c r="CD17">
        <v>8099.76</v>
      </c>
      <c r="CE17">
        <v>1551.86</v>
      </c>
      <c r="CF17">
        <v>-8.83</v>
      </c>
      <c r="CT17">
        <f t="shared" ref="CT17:CT46" si="42">$B$11*DR17+$C$11*DS17+$F$11*ED17*(1-EG17)</f>
        <v>2.0002599999999999E-2</v>
      </c>
      <c r="CU17">
        <f t="shared" ref="CU17:CU46" si="43">CT17*CV17</f>
        <v>3.3608736567839995E-3</v>
      </c>
      <c r="CV17">
        <f t="shared" ref="CV17:CV46" si="44">($B$11*$D$9+$C$11*$D$9+$F$11*((EQ17+EI17)/MAX(EQ17+EI17+ER17, 0.1)*$I$9+ER17/MAX(EQ17+EI17+ER17, 0.1)*$J$9))/($B$11+$C$11+$F$11)</f>
        <v>0.16802183999999998</v>
      </c>
      <c r="CW17">
        <f t="shared" ref="CW17:CW46" si="45">($B$11*$K$9+$C$11*$K$9+$F$11*((EQ17+EI17)/MAX(EQ17+EI17+ER17, 0.1)*$P$9+ER17/MAX(EQ17+EI17+ER17, 0.1)*$Q$9))/($B$11+$C$11+$F$11)</f>
        <v>3.1924149599999993E-2</v>
      </c>
      <c r="CX17">
        <v>2</v>
      </c>
      <c r="CY17">
        <v>0.5</v>
      </c>
      <c r="CZ17" t="s">
        <v>424</v>
      </c>
      <c r="DA17">
        <v>2</v>
      </c>
      <c r="DB17">
        <v>1664975961.5999999</v>
      </c>
      <c r="DC17">
        <v>454.37431249999997</v>
      </c>
      <c r="DD17">
        <v>463.56693749999999</v>
      </c>
      <c r="DE17">
        <v>17.71405</v>
      </c>
      <c r="DF17">
        <v>17.9856625</v>
      </c>
      <c r="DG17">
        <v>453.03731249999998</v>
      </c>
      <c r="DH17">
        <v>17.8206375</v>
      </c>
      <c r="DI17">
        <v>-200.96856249999999</v>
      </c>
      <c r="DJ17">
        <v>101.0485</v>
      </c>
      <c r="DK17">
        <v>-4.0465487500000001E-3</v>
      </c>
      <c r="DL17">
        <v>26.3241625</v>
      </c>
      <c r="DM17">
        <v>25.872875000000001</v>
      </c>
      <c r="DN17">
        <v>999.9</v>
      </c>
      <c r="DO17">
        <v>0</v>
      </c>
      <c r="DP17">
        <v>0</v>
      </c>
      <c r="DQ17">
        <v>10003.003124999999</v>
      </c>
      <c r="DR17">
        <v>0</v>
      </c>
      <c r="DS17">
        <v>0.21823999999999999</v>
      </c>
      <c r="DT17">
        <v>-9.4995581250000001</v>
      </c>
      <c r="DU17">
        <v>462.25606249999998</v>
      </c>
      <c r="DV17">
        <v>472.0575</v>
      </c>
      <c r="DW17">
        <v>-0.27162020625</v>
      </c>
      <c r="DX17">
        <v>463.56693749999999</v>
      </c>
      <c r="DY17">
        <v>17.9856625</v>
      </c>
      <c r="DZ17">
        <v>1.7899799999999999</v>
      </c>
      <c r="EA17">
        <v>1.8174275</v>
      </c>
      <c r="EB17">
        <v>15.699237500000001</v>
      </c>
      <c r="EC17">
        <v>15.93745625</v>
      </c>
      <c r="ED17">
        <v>2.0002599999999999E-2</v>
      </c>
      <c r="EE17">
        <v>0</v>
      </c>
      <c r="EF17">
        <v>0</v>
      </c>
      <c r="EG17">
        <v>0</v>
      </c>
      <c r="EH17">
        <v>219.72812500000001</v>
      </c>
      <c r="EI17">
        <v>2.0002599999999999E-2</v>
      </c>
      <c r="EJ17">
        <v>-6.0546875</v>
      </c>
      <c r="EK17">
        <v>0.88437500000000002</v>
      </c>
      <c r="EL17">
        <v>35.91375</v>
      </c>
      <c r="EM17">
        <v>40.448999999999998</v>
      </c>
      <c r="EN17">
        <v>38.413812499999999</v>
      </c>
      <c r="EO17">
        <v>41.6989375</v>
      </c>
      <c r="EP17">
        <v>39.241999999999997</v>
      </c>
      <c r="EQ17">
        <v>0</v>
      </c>
      <c r="ER17">
        <v>0</v>
      </c>
      <c r="ES17">
        <v>0</v>
      </c>
      <c r="ET17">
        <v>173.10000014305101</v>
      </c>
      <c r="EU17">
        <v>0</v>
      </c>
      <c r="EV17">
        <v>219.32788461538499</v>
      </c>
      <c r="EW17">
        <v>5.0675214727465496</v>
      </c>
      <c r="EX17">
        <v>-3.63675226231274</v>
      </c>
      <c r="EY17">
        <v>-6.0028846153846196</v>
      </c>
      <c r="EZ17">
        <v>15</v>
      </c>
      <c r="FA17">
        <v>1664976001.0999999</v>
      </c>
      <c r="FB17" t="s">
        <v>425</v>
      </c>
      <c r="FC17">
        <v>1664976001.0999999</v>
      </c>
      <c r="FD17">
        <v>1790572693.0999999</v>
      </c>
      <c r="FE17">
        <v>1</v>
      </c>
      <c r="FF17">
        <v>0.30399999999999999</v>
      </c>
      <c r="FG17">
        <v>0</v>
      </c>
      <c r="FH17">
        <v>1.337</v>
      </c>
      <c r="FI17">
        <v>-0.128</v>
      </c>
      <c r="FJ17">
        <v>462</v>
      </c>
      <c r="FK17">
        <v>17</v>
      </c>
      <c r="FL17">
        <v>0.87</v>
      </c>
      <c r="FM17">
        <v>0.1</v>
      </c>
      <c r="FN17">
        <v>-13.9326477482737</v>
      </c>
      <c r="FO17">
        <v>56.337700692530497</v>
      </c>
      <c r="FP17">
        <v>5.8716472002523101</v>
      </c>
      <c r="FQ17">
        <v>0</v>
      </c>
      <c r="FR17">
        <v>-12.110144999999999</v>
      </c>
      <c r="FS17">
        <v>47.795375639097799</v>
      </c>
      <c r="FT17">
        <v>4.7090699414528796</v>
      </c>
      <c r="FU17">
        <v>0</v>
      </c>
      <c r="FV17">
        <v>219.04632352941201</v>
      </c>
      <c r="FW17">
        <v>6.7658518163655801</v>
      </c>
      <c r="FX17">
        <v>3.1499715939016899</v>
      </c>
      <c r="FY17">
        <v>0</v>
      </c>
      <c r="FZ17">
        <v>-0.379799585</v>
      </c>
      <c r="GA17">
        <v>1.87929427218045</v>
      </c>
      <c r="GB17">
        <v>0.18647135145531701</v>
      </c>
      <c r="GC17">
        <v>-1</v>
      </c>
      <c r="GD17">
        <v>0</v>
      </c>
      <c r="GE17">
        <v>3</v>
      </c>
      <c r="GF17" t="s">
        <v>426</v>
      </c>
      <c r="GG17">
        <v>2.1421899999999998</v>
      </c>
      <c r="GH17">
        <v>2.65381</v>
      </c>
      <c r="GI17">
        <v>9.7166799999999998E-2</v>
      </c>
      <c r="GJ17">
        <v>0.100216</v>
      </c>
      <c r="GK17">
        <v>9.5993499999999995E-2</v>
      </c>
      <c r="GL17">
        <v>9.8586199999999999E-2</v>
      </c>
      <c r="GM17">
        <v>17630.099999999999</v>
      </c>
      <c r="GN17">
        <v>26507.200000000001</v>
      </c>
      <c r="GO17">
        <v>22811.4</v>
      </c>
      <c r="GP17">
        <v>30181.4</v>
      </c>
      <c r="GQ17">
        <v>33802.400000000001</v>
      </c>
      <c r="GR17">
        <v>33868.699999999997</v>
      </c>
      <c r="GS17">
        <v>43141.3</v>
      </c>
      <c r="GT17">
        <v>42958.7</v>
      </c>
      <c r="GU17">
        <v>0.02</v>
      </c>
      <c r="GV17">
        <v>1.43448</v>
      </c>
      <c r="GW17">
        <v>8.1606200000000004E-2</v>
      </c>
      <c r="GX17">
        <v>0</v>
      </c>
      <c r="GY17">
        <v>24.523199999999999</v>
      </c>
      <c r="GZ17">
        <v>999.9</v>
      </c>
      <c r="HA17">
        <v>37.462000000000003</v>
      </c>
      <c r="HB17">
        <v>27.492999999999999</v>
      </c>
      <c r="HC17">
        <v>13.657</v>
      </c>
      <c r="HD17">
        <v>63.290100000000002</v>
      </c>
      <c r="HE17">
        <v>0</v>
      </c>
      <c r="HF17">
        <v>0</v>
      </c>
      <c r="HG17">
        <v>-7.0193099999999994E-2</v>
      </c>
      <c r="HH17">
        <v>0</v>
      </c>
      <c r="HI17">
        <v>20.2712</v>
      </c>
      <c r="HJ17">
        <v>5.2343599999999997</v>
      </c>
      <c r="HK17">
        <v>11.962</v>
      </c>
      <c r="HL17">
        <v>4.9687999999999999</v>
      </c>
      <c r="HM17">
        <v>3.2953000000000001</v>
      </c>
      <c r="HN17">
        <v>9999</v>
      </c>
      <c r="HO17">
        <v>999.9</v>
      </c>
      <c r="HP17">
        <v>9999</v>
      </c>
      <c r="HQ17">
        <v>9999</v>
      </c>
      <c r="HR17">
        <v>4.9684100000000004</v>
      </c>
      <c r="HS17">
        <v>1.86188</v>
      </c>
      <c r="HT17">
        <v>1.86354</v>
      </c>
      <c r="HU17">
        <v>1.86551</v>
      </c>
      <c r="HV17">
        <v>1.8625700000000001</v>
      </c>
      <c r="HW17">
        <v>1.8662799999999999</v>
      </c>
      <c r="HX17">
        <v>1.8630899999999999</v>
      </c>
      <c r="HY17">
        <v>1.86493</v>
      </c>
      <c r="HZ17">
        <v>0</v>
      </c>
      <c r="IA17">
        <v>0</v>
      </c>
      <c r="IB17">
        <v>0</v>
      </c>
      <c r="IC17">
        <v>0</v>
      </c>
      <c r="ID17" t="s">
        <v>427</v>
      </c>
      <c r="IE17" t="s">
        <v>428</v>
      </c>
      <c r="IF17" t="s">
        <v>429</v>
      </c>
      <c r="IG17" t="s">
        <v>429</v>
      </c>
      <c r="IH17" t="s">
        <v>429</v>
      </c>
      <c r="II17" t="s">
        <v>429</v>
      </c>
      <c r="IJ17">
        <v>0</v>
      </c>
      <c r="IK17">
        <v>100</v>
      </c>
      <c r="IL17">
        <v>100</v>
      </c>
      <c r="IM17">
        <v>1.337</v>
      </c>
      <c r="IN17">
        <v>-9.5500000000000002E-2</v>
      </c>
      <c r="IO17">
        <v>0.60625867813358303</v>
      </c>
      <c r="IP17">
        <v>1.61658254425633E-3</v>
      </c>
      <c r="IQ17">
        <v>-1.89604851270483E-6</v>
      </c>
      <c r="IR17">
        <v>8.6681353432279101E-10</v>
      </c>
      <c r="IS17">
        <v>-4.47525518804959E-2</v>
      </c>
      <c r="IT17">
        <v>-3.5871989026399903E-2</v>
      </c>
      <c r="IU17">
        <v>1.9028800927848801E-3</v>
      </c>
      <c r="IV17">
        <v>-4.7539144078026999E-6</v>
      </c>
      <c r="IW17">
        <v>1</v>
      </c>
      <c r="IX17">
        <v>1704</v>
      </c>
      <c r="IY17">
        <v>4</v>
      </c>
      <c r="IZ17">
        <v>25</v>
      </c>
      <c r="JA17">
        <v>-2093278.8</v>
      </c>
      <c r="JB17">
        <v>-2093278.7</v>
      </c>
      <c r="JC17">
        <v>0.162354</v>
      </c>
      <c r="JD17">
        <v>4.99878</v>
      </c>
      <c r="JE17">
        <v>0.238037</v>
      </c>
      <c r="JF17">
        <v>1.2206999999999999E-3</v>
      </c>
      <c r="JG17">
        <v>0.26733400000000002</v>
      </c>
      <c r="JH17">
        <v>4.99878</v>
      </c>
      <c r="JI17">
        <v>31.193899999999999</v>
      </c>
      <c r="JJ17">
        <v>15.918200000000001</v>
      </c>
      <c r="JK17">
        <v>2</v>
      </c>
      <c r="JL17">
        <v>-27.100100000000001</v>
      </c>
      <c r="JM17">
        <v>255.988</v>
      </c>
      <c r="JN17">
        <v>25.934899999999999</v>
      </c>
      <c r="JO17">
        <v>26.421700000000001</v>
      </c>
      <c r="JP17">
        <v>30.000499999999999</v>
      </c>
      <c r="JQ17">
        <v>26.424900000000001</v>
      </c>
      <c r="JR17">
        <v>26.386399999999998</v>
      </c>
      <c r="JS17">
        <v>-1</v>
      </c>
      <c r="JT17">
        <v>-30</v>
      </c>
      <c r="JU17">
        <v>-30</v>
      </c>
      <c r="JV17">
        <v>-999.9</v>
      </c>
      <c r="JW17">
        <v>0</v>
      </c>
      <c r="JX17">
        <v>0</v>
      </c>
      <c r="JY17">
        <v>101.883</v>
      </c>
      <c r="JZ17">
        <v>97.575000000000003</v>
      </c>
    </row>
    <row r="18" spans="1:286" x14ac:dyDescent="0.4">
      <c r="A18">
        <v>2</v>
      </c>
      <c r="B18">
        <v>1664976075.0999999</v>
      </c>
      <c r="C18">
        <v>105</v>
      </c>
      <c r="D18" t="s">
        <v>430</v>
      </c>
      <c r="E18" t="s">
        <v>431</v>
      </c>
      <c r="F18">
        <v>5</v>
      </c>
      <c r="G18">
        <v>1664976067.0999999</v>
      </c>
      <c r="H18">
        <f t="shared" si="0"/>
        <v>7.8714019169339117E-4</v>
      </c>
      <c r="I18">
        <f t="shared" si="1"/>
        <v>0.78714019169339122</v>
      </c>
      <c r="J18">
        <f t="shared" si="2"/>
        <v>-52.22775473074288</v>
      </c>
      <c r="K18">
        <f t="shared" si="3"/>
        <v>452.32073333333301</v>
      </c>
      <c r="L18">
        <f t="shared" si="4"/>
        <v>2163.6855003889327</v>
      </c>
      <c r="M18">
        <f t="shared" si="5"/>
        <v>218.62610201929357</v>
      </c>
      <c r="N18">
        <f t="shared" si="6"/>
        <v>45.704016953202839</v>
      </c>
      <c r="O18">
        <f t="shared" si="7"/>
        <v>4.822887917129811E-2</v>
      </c>
      <c r="P18">
        <f t="shared" si="8"/>
        <v>3.0287731241037648</v>
      </c>
      <c r="Q18">
        <f t="shared" si="9"/>
        <v>4.7806261743592808E-2</v>
      </c>
      <c r="R18">
        <f t="shared" si="10"/>
        <v>2.9916575292529612E-2</v>
      </c>
      <c r="S18">
        <f t="shared" si="11"/>
        <v>6.3856599478895988E-4</v>
      </c>
      <c r="T18">
        <f t="shared" si="12"/>
        <v>26.207584336124832</v>
      </c>
      <c r="U18">
        <f t="shared" si="13"/>
        <v>26.05744</v>
      </c>
      <c r="V18">
        <f t="shared" si="14"/>
        <v>3.3857442901778643</v>
      </c>
      <c r="W18">
        <f t="shared" si="15"/>
        <v>51.051532773074626</v>
      </c>
      <c r="X18">
        <f t="shared" si="16"/>
        <v>1.7644431251823733</v>
      </c>
      <c r="Y18">
        <f t="shared" si="17"/>
        <v>3.4562000969204356</v>
      </c>
      <c r="Z18">
        <f t="shared" si="18"/>
        <v>1.6213011649954909</v>
      </c>
      <c r="AA18">
        <f t="shared" si="19"/>
        <v>-34.712882453678553</v>
      </c>
      <c r="AB18">
        <f t="shared" si="20"/>
        <v>56.932809544455623</v>
      </c>
      <c r="AC18">
        <f t="shared" si="21"/>
        <v>4.0255974786493551</v>
      </c>
      <c r="AD18">
        <f t="shared" si="22"/>
        <v>26.246163135421213</v>
      </c>
      <c r="AE18">
        <v>5</v>
      </c>
      <c r="AF18">
        <v>100</v>
      </c>
      <c r="AG18">
        <f t="shared" si="23"/>
        <v>1</v>
      </c>
      <c r="AH18">
        <f t="shared" si="24"/>
        <v>0</v>
      </c>
      <c r="AI18">
        <f t="shared" si="25"/>
        <v>53549.25581603172</v>
      </c>
      <c r="AJ18" t="s">
        <v>432</v>
      </c>
      <c r="AK18">
        <v>8113.29</v>
      </c>
      <c r="AL18">
        <v>234.56800000000001</v>
      </c>
      <c r="AM18">
        <v>1467.89</v>
      </c>
      <c r="AN18">
        <f t="shared" si="26"/>
        <v>0.84020055998746501</v>
      </c>
      <c r="AO18">
        <v>-52.227754730742902</v>
      </c>
      <c r="AP18" t="s">
        <v>423</v>
      </c>
      <c r="AQ18" t="s">
        <v>423</v>
      </c>
      <c r="AR18">
        <v>0</v>
      </c>
      <c r="AS18">
        <v>0</v>
      </c>
      <c r="AT18" t="e">
        <f t="shared" si="27"/>
        <v>#DIV/0!</v>
      </c>
      <c r="AU18">
        <v>0.5</v>
      </c>
      <c r="AV18">
        <f t="shared" si="28"/>
        <v>3.3608736567839995E-3</v>
      </c>
      <c r="AW18">
        <f t="shared" si="29"/>
        <v>-52.22775473074288</v>
      </c>
      <c r="AX18" t="e">
        <f t="shared" si="30"/>
        <v>#DIV/0!</v>
      </c>
      <c r="AY18">
        <f t="shared" si="31"/>
        <v>6.3424824166703228E-12</v>
      </c>
      <c r="AZ18" t="e">
        <f t="shared" si="32"/>
        <v>#DIV/0!</v>
      </c>
      <c r="BA18" t="e">
        <f t="shared" si="33"/>
        <v>#DIV/0!</v>
      </c>
      <c r="BB18" t="s">
        <v>423</v>
      </c>
      <c r="BC18">
        <v>0</v>
      </c>
      <c r="BD18" t="e">
        <f t="shared" si="34"/>
        <v>#DIV/0!</v>
      </c>
      <c r="BE18" t="e">
        <f t="shared" si="35"/>
        <v>#DIV/0!</v>
      </c>
      <c r="BF18" t="e">
        <f t="shared" si="36"/>
        <v>#DIV/0!</v>
      </c>
      <c r="BG18" t="e">
        <f t="shared" si="37"/>
        <v>#DIV/0!</v>
      </c>
      <c r="BH18">
        <f t="shared" si="38"/>
        <v>0</v>
      </c>
      <c r="BI18">
        <f t="shared" si="39"/>
        <v>1.1901920179807057</v>
      </c>
      <c r="BJ18" t="e">
        <f t="shared" si="40"/>
        <v>#DIV/0!</v>
      </c>
      <c r="BK18" t="e">
        <f t="shared" si="41"/>
        <v>#DIV/0!</v>
      </c>
      <c r="BL18">
        <v>939</v>
      </c>
      <c r="BM18">
        <v>290</v>
      </c>
      <c r="BN18">
        <v>1558.67</v>
      </c>
      <c r="BO18">
        <v>165</v>
      </c>
      <c r="BP18">
        <v>8114.57</v>
      </c>
      <c r="BQ18">
        <v>1551.92</v>
      </c>
      <c r="BR18">
        <v>6.75</v>
      </c>
      <c r="BS18">
        <v>300</v>
      </c>
      <c r="BT18">
        <v>19.2</v>
      </c>
      <c r="BU18">
        <v>1584.3896717483201</v>
      </c>
      <c r="BV18">
        <v>1.88110366540944</v>
      </c>
      <c r="BW18">
        <v>-26.347569484426199</v>
      </c>
      <c r="BX18">
        <v>1.36356822732003</v>
      </c>
      <c r="BY18">
        <v>0.93023713121789597</v>
      </c>
      <c r="BZ18">
        <v>-5.3779617352614001E-3</v>
      </c>
      <c r="CA18">
        <v>290</v>
      </c>
      <c r="CB18">
        <v>1543.03</v>
      </c>
      <c r="CC18">
        <v>615</v>
      </c>
      <c r="CD18">
        <v>8099.76</v>
      </c>
      <c r="CE18">
        <v>1551.86</v>
      </c>
      <c r="CF18">
        <v>-8.83</v>
      </c>
      <c r="CT18">
        <f t="shared" si="42"/>
        <v>2.0002599999999999E-2</v>
      </c>
      <c r="CU18">
        <f t="shared" si="43"/>
        <v>3.3608736567839995E-3</v>
      </c>
      <c r="CV18">
        <f t="shared" si="44"/>
        <v>0.16802183999999998</v>
      </c>
      <c r="CW18">
        <f t="shared" si="45"/>
        <v>3.1924149599999993E-2</v>
      </c>
      <c r="CX18">
        <v>2</v>
      </c>
      <c r="CY18">
        <v>0.5</v>
      </c>
      <c r="CZ18" t="s">
        <v>424</v>
      </c>
      <c r="DA18">
        <v>2</v>
      </c>
      <c r="DB18">
        <v>1664976067.0999999</v>
      </c>
      <c r="DC18">
        <v>452.32073333333301</v>
      </c>
      <c r="DD18">
        <v>503.95133333333303</v>
      </c>
      <c r="DE18">
        <v>17.462233333333302</v>
      </c>
      <c r="DF18">
        <v>18.232033333333298</v>
      </c>
      <c r="DG18">
        <v>450.98753333333298</v>
      </c>
      <c r="DH18">
        <v>17.57536</v>
      </c>
      <c r="DI18">
        <v>-200.934</v>
      </c>
      <c r="DJ18">
        <v>101.048</v>
      </c>
      <c r="DK18">
        <v>-4.6173179999999996E-3</v>
      </c>
      <c r="DL18">
        <v>26.406106666666702</v>
      </c>
      <c r="DM18">
        <v>26.05744</v>
      </c>
      <c r="DN18">
        <v>999.9</v>
      </c>
      <c r="DO18">
        <v>0</v>
      </c>
      <c r="DP18">
        <v>0</v>
      </c>
      <c r="DQ18">
        <v>10002.3266666667</v>
      </c>
      <c r="DR18">
        <v>0</v>
      </c>
      <c r="DS18">
        <v>0.21823999999999999</v>
      </c>
      <c r="DT18">
        <v>-51.6304533333333</v>
      </c>
      <c r="DU18">
        <v>460.359266666667</v>
      </c>
      <c r="DV18">
        <v>513.30999999999995</v>
      </c>
      <c r="DW18">
        <v>-0.76979753333333301</v>
      </c>
      <c r="DX18">
        <v>503.95133333333303</v>
      </c>
      <c r="DY18">
        <v>18.232033333333298</v>
      </c>
      <c r="DZ18">
        <v>1.7645253333333299</v>
      </c>
      <c r="EA18">
        <v>1.84231066666667</v>
      </c>
      <c r="EB18">
        <v>15.47434</v>
      </c>
      <c r="EC18">
        <v>16.150480000000002</v>
      </c>
      <c r="ED18">
        <v>2.0002599999999999E-2</v>
      </c>
      <c r="EE18">
        <v>0</v>
      </c>
      <c r="EF18">
        <v>0</v>
      </c>
      <c r="EG18">
        <v>0</v>
      </c>
      <c r="EH18">
        <v>233.82333333333301</v>
      </c>
      <c r="EI18">
        <v>2.0002599999999999E-2</v>
      </c>
      <c r="EJ18">
        <v>-8.1483333333333299</v>
      </c>
      <c r="EK18">
        <v>0.36499999999999999</v>
      </c>
      <c r="EL18">
        <v>35.387266666666697</v>
      </c>
      <c r="EM18">
        <v>38.3414</v>
      </c>
      <c r="EN18">
        <v>37.158133333333303</v>
      </c>
      <c r="EO18">
        <v>38.562199999999997</v>
      </c>
      <c r="EP18">
        <v>38.024733333333302</v>
      </c>
      <c r="EQ18">
        <v>0</v>
      </c>
      <c r="ER18">
        <v>0</v>
      </c>
      <c r="ES18">
        <v>0</v>
      </c>
      <c r="ET18">
        <v>103.39999985694899</v>
      </c>
      <c r="EU18">
        <v>0</v>
      </c>
      <c r="EV18">
        <v>234.56800000000001</v>
      </c>
      <c r="EW18">
        <v>12.0903847695634</v>
      </c>
      <c r="EX18">
        <v>-4.8942308141458799</v>
      </c>
      <c r="EY18">
        <v>-7.8579999999999997</v>
      </c>
      <c r="EZ18">
        <v>15</v>
      </c>
      <c r="FA18">
        <v>1664976001.0999999</v>
      </c>
      <c r="FB18" t="s">
        <v>425</v>
      </c>
      <c r="FC18">
        <v>1664976001.0999999</v>
      </c>
      <c r="FD18">
        <v>1790572693.0999999</v>
      </c>
      <c r="FE18">
        <v>1</v>
      </c>
      <c r="FF18">
        <v>0.30399999999999999</v>
      </c>
      <c r="FG18">
        <v>0</v>
      </c>
      <c r="FH18">
        <v>1.337</v>
      </c>
      <c r="FI18">
        <v>-0.128</v>
      </c>
      <c r="FJ18">
        <v>462</v>
      </c>
      <c r="FK18">
        <v>17</v>
      </c>
      <c r="FL18">
        <v>0.87</v>
      </c>
      <c r="FM18">
        <v>0.1</v>
      </c>
      <c r="FN18">
        <v>-75.496775070857893</v>
      </c>
      <c r="FO18">
        <v>344.18322512395298</v>
      </c>
      <c r="FP18">
        <v>34.988017499534102</v>
      </c>
      <c r="FQ18">
        <v>0</v>
      </c>
      <c r="FR18">
        <v>-66.108864999999994</v>
      </c>
      <c r="FS18">
        <v>321.37776992481201</v>
      </c>
      <c r="FT18">
        <v>31.1100297198874</v>
      </c>
      <c r="FU18">
        <v>0</v>
      </c>
      <c r="FV18">
        <v>234.5</v>
      </c>
      <c r="FW18">
        <v>3.4904507747400801</v>
      </c>
      <c r="FX18">
        <v>2.3288472280861798</v>
      </c>
      <c r="FY18">
        <v>0</v>
      </c>
      <c r="FZ18">
        <v>-0.64998509999999998</v>
      </c>
      <c r="GA18">
        <v>-3.0956119398496198</v>
      </c>
      <c r="GB18">
        <v>0.310688181866144</v>
      </c>
      <c r="GC18">
        <v>-1</v>
      </c>
      <c r="GD18">
        <v>0</v>
      </c>
      <c r="GE18">
        <v>3</v>
      </c>
      <c r="GF18" t="s">
        <v>426</v>
      </c>
      <c r="GG18">
        <v>2.1428500000000001</v>
      </c>
      <c r="GH18">
        <v>2.65394</v>
      </c>
      <c r="GI18">
        <v>9.6340700000000001E-2</v>
      </c>
      <c r="GJ18">
        <v>0.103092</v>
      </c>
      <c r="GK18">
        <v>9.2337699999999995E-2</v>
      </c>
      <c r="GL18">
        <v>9.9391199999999999E-2</v>
      </c>
      <c r="GM18">
        <v>17641.8</v>
      </c>
      <c r="GN18">
        <v>26415.8</v>
      </c>
      <c r="GO18">
        <v>22806</v>
      </c>
      <c r="GP18">
        <v>30174</v>
      </c>
      <c r="GQ18">
        <v>33937.4</v>
      </c>
      <c r="GR18">
        <v>33831</v>
      </c>
      <c r="GS18">
        <v>43133</v>
      </c>
      <c r="GT18">
        <v>42949</v>
      </c>
      <c r="GU18">
        <v>0.02</v>
      </c>
      <c r="GV18">
        <v>1.43228</v>
      </c>
      <c r="GW18">
        <v>9.3065200000000001E-2</v>
      </c>
      <c r="GX18">
        <v>0</v>
      </c>
      <c r="GY18">
        <v>24.555299999999999</v>
      </c>
      <c r="GZ18">
        <v>999.9</v>
      </c>
      <c r="HA18">
        <v>37.186999999999998</v>
      </c>
      <c r="HB18">
        <v>27.523</v>
      </c>
      <c r="HC18">
        <v>13.5815</v>
      </c>
      <c r="HD18">
        <v>63.290100000000002</v>
      </c>
      <c r="HE18">
        <v>0</v>
      </c>
      <c r="HF18">
        <v>0</v>
      </c>
      <c r="HG18">
        <v>-6.1331299999999998E-2</v>
      </c>
      <c r="HH18">
        <v>0</v>
      </c>
      <c r="HI18">
        <v>20.269500000000001</v>
      </c>
      <c r="HJ18">
        <v>5.2339099999999998</v>
      </c>
      <c r="HK18">
        <v>11.962</v>
      </c>
      <c r="HL18">
        <v>4.9695</v>
      </c>
      <c r="HM18">
        <v>3.2953000000000001</v>
      </c>
      <c r="HN18">
        <v>9999</v>
      </c>
      <c r="HO18">
        <v>999.9</v>
      </c>
      <c r="HP18">
        <v>9999</v>
      </c>
      <c r="HQ18">
        <v>9999</v>
      </c>
      <c r="HR18">
        <v>4.9683999999999999</v>
      </c>
      <c r="HS18">
        <v>1.86192</v>
      </c>
      <c r="HT18">
        <v>1.8635600000000001</v>
      </c>
      <c r="HU18">
        <v>1.8655299999999999</v>
      </c>
      <c r="HV18">
        <v>1.8625400000000001</v>
      </c>
      <c r="HW18">
        <v>1.8662799999999999</v>
      </c>
      <c r="HX18">
        <v>1.8631</v>
      </c>
      <c r="HY18">
        <v>1.86493</v>
      </c>
      <c r="HZ18">
        <v>0</v>
      </c>
      <c r="IA18">
        <v>0</v>
      </c>
      <c r="IB18">
        <v>0</v>
      </c>
      <c r="IC18">
        <v>0</v>
      </c>
      <c r="ID18" t="s">
        <v>427</v>
      </c>
      <c r="IE18" t="s">
        <v>428</v>
      </c>
      <c r="IF18" t="s">
        <v>429</v>
      </c>
      <c r="IG18" t="s">
        <v>429</v>
      </c>
      <c r="IH18" t="s">
        <v>429</v>
      </c>
      <c r="II18" t="s">
        <v>429</v>
      </c>
      <c r="IJ18">
        <v>0</v>
      </c>
      <c r="IK18">
        <v>100</v>
      </c>
      <c r="IL18">
        <v>100</v>
      </c>
      <c r="IM18">
        <v>1.333</v>
      </c>
      <c r="IN18">
        <v>-0.1212</v>
      </c>
      <c r="IO18">
        <v>0.91043272280072696</v>
      </c>
      <c r="IP18">
        <v>1.61658254425633E-3</v>
      </c>
      <c r="IQ18">
        <v>-1.89604851270483E-6</v>
      </c>
      <c r="IR18">
        <v>8.6681353432279101E-10</v>
      </c>
      <c r="IS18">
        <v>-4.47525518804959E-2</v>
      </c>
      <c r="IT18">
        <v>-3.5871989026399903E-2</v>
      </c>
      <c r="IU18">
        <v>1.9028800927848801E-3</v>
      </c>
      <c r="IV18">
        <v>-4.7539144078026999E-6</v>
      </c>
      <c r="IW18">
        <v>1</v>
      </c>
      <c r="IX18">
        <v>1704</v>
      </c>
      <c r="IY18">
        <v>4</v>
      </c>
      <c r="IZ18">
        <v>25</v>
      </c>
      <c r="JA18">
        <v>1.2</v>
      </c>
      <c r="JB18">
        <v>-2093277</v>
      </c>
      <c r="JC18">
        <v>0.162354</v>
      </c>
      <c r="JD18">
        <v>4.99878</v>
      </c>
      <c r="JE18">
        <v>0.239258</v>
      </c>
      <c r="JF18">
        <v>1.2206999999999999E-3</v>
      </c>
      <c r="JG18">
        <v>0.26611299999999999</v>
      </c>
      <c r="JH18">
        <v>4.99878</v>
      </c>
      <c r="JI18">
        <v>31.215599999999998</v>
      </c>
      <c r="JJ18">
        <v>15.891999999999999</v>
      </c>
      <c r="JK18">
        <v>2</v>
      </c>
      <c r="JL18">
        <v>-27.082899999999999</v>
      </c>
      <c r="JM18">
        <v>255.38300000000001</v>
      </c>
      <c r="JN18">
        <v>26.0229</v>
      </c>
      <c r="JO18">
        <v>26.5121</v>
      </c>
      <c r="JP18">
        <v>30.000499999999999</v>
      </c>
      <c r="JQ18">
        <v>26.5123</v>
      </c>
      <c r="JR18">
        <v>26.4587</v>
      </c>
      <c r="JS18">
        <v>-1</v>
      </c>
      <c r="JT18">
        <v>-30</v>
      </c>
      <c r="JU18">
        <v>-30</v>
      </c>
      <c r="JV18">
        <v>-999.9</v>
      </c>
      <c r="JW18">
        <v>0</v>
      </c>
      <c r="JX18">
        <v>0</v>
      </c>
      <c r="JY18">
        <v>101.86199999999999</v>
      </c>
      <c r="JZ18">
        <v>97.552300000000002</v>
      </c>
    </row>
    <row r="19" spans="1:286" x14ac:dyDescent="0.4">
      <c r="A19">
        <v>3</v>
      </c>
      <c r="B19">
        <v>1664976168.0999999</v>
      </c>
      <c r="C19">
        <v>198</v>
      </c>
      <c r="D19" t="s">
        <v>433</v>
      </c>
      <c r="E19" t="s">
        <v>434</v>
      </c>
      <c r="F19">
        <v>5</v>
      </c>
      <c r="G19">
        <v>1664976160.0999999</v>
      </c>
      <c r="H19">
        <f t="shared" si="0"/>
        <v>9.9557214696482973E-5</v>
      </c>
      <c r="I19">
        <f t="shared" si="1"/>
        <v>9.9557214696482974E-2</v>
      </c>
      <c r="J19">
        <f t="shared" si="2"/>
        <v>-4.5254198725765464</v>
      </c>
      <c r="K19">
        <f t="shared" si="3"/>
        <v>459.0052</v>
      </c>
      <c r="L19">
        <f t="shared" si="4"/>
        <v>1596.3012770410885</v>
      </c>
      <c r="M19">
        <f t="shared" si="5"/>
        <v>161.29910148858755</v>
      </c>
      <c r="N19">
        <f t="shared" si="6"/>
        <v>46.380421668160906</v>
      </c>
      <c r="O19">
        <f t="shared" si="7"/>
        <v>6.2287204258957979E-3</v>
      </c>
      <c r="P19">
        <f t="shared" si="8"/>
        <v>3.0282019665878801</v>
      </c>
      <c r="Q19">
        <f t="shared" si="9"/>
        <v>6.2216114880709206E-3</v>
      </c>
      <c r="R19">
        <f t="shared" si="10"/>
        <v>3.889145199536129E-3</v>
      </c>
      <c r="S19">
        <f t="shared" si="11"/>
        <v>6.3856599478895988E-4</v>
      </c>
      <c r="T19">
        <f t="shared" si="12"/>
        <v>26.384736462454814</v>
      </c>
      <c r="U19">
        <f t="shared" si="13"/>
        <v>25.9511133333333</v>
      </c>
      <c r="V19">
        <f t="shared" si="14"/>
        <v>3.3645097566021591</v>
      </c>
      <c r="W19">
        <f t="shared" si="15"/>
        <v>51.745629470856422</v>
      </c>
      <c r="X19">
        <f t="shared" si="16"/>
        <v>1.7888271271596765</v>
      </c>
      <c r="Y19">
        <f t="shared" si="17"/>
        <v>3.4569627337650979</v>
      </c>
      <c r="Z19">
        <f t="shared" si="18"/>
        <v>1.5756826294424826</v>
      </c>
      <c r="AA19">
        <f t="shared" si="19"/>
        <v>-4.390473168114899</v>
      </c>
      <c r="AB19">
        <f t="shared" si="20"/>
        <v>74.891163763510733</v>
      </c>
      <c r="AC19">
        <f t="shared" si="21"/>
        <v>5.2936712747008281</v>
      </c>
      <c r="AD19">
        <f t="shared" si="22"/>
        <v>75.795000436091456</v>
      </c>
      <c r="AE19">
        <v>5</v>
      </c>
      <c r="AF19">
        <v>100</v>
      </c>
      <c r="AG19">
        <f t="shared" si="23"/>
        <v>1</v>
      </c>
      <c r="AH19">
        <f t="shared" si="24"/>
        <v>0</v>
      </c>
      <c r="AI19">
        <f t="shared" si="25"/>
        <v>53530.907748471509</v>
      </c>
      <c r="AJ19" t="s">
        <v>435</v>
      </c>
      <c r="AK19">
        <v>8121.32</v>
      </c>
      <c r="AL19">
        <v>228.054</v>
      </c>
      <c r="AM19">
        <v>1517.82</v>
      </c>
      <c r="AN19">
        <f t="shared" si="26"/>
        <v>0.8497489820927383</v>
      </c>
      <c r="AO19">
        <v>-4.5254198725765997</v>
      </c>
      <c r="AP19" t="s">
        <v>423</v>
      </c>
      <c r="AQ19" t="s">
        <v>423</v>
      </c>
      <c r="AR19">
        <v>0</v>
      </c>
      <c r="AS19">
        <v>0</v>
      </c>
      <c r="AT19" t="e">
        <f t="shared" si="27"/>
        <v>#DIV/0!</v>
      </c>
      <c r="AU19">
        <v>0.5</v>
      </c>
      <c r="AV19">
        <f t="shared" si="28"/>
        <v>3.3608736567839995E-3</v>
      </c>
      <c r="AW19">
        <f t="shared" si="29"/>
        <v>-4.5254198725765464</v>
      </c>
      <c r="AX19" t="e">
        <f t="shared" si="30"/>
        <v>#DIV/0!</v>
      </c>
      <c r="AY19">
        <f t="shared" si="31"/>
        <v>1.5856206041675807E-11</v>
      </c>
      <c r="AZ19" t="e">
        <f t="shared" si="32"/>
        <v>#DIV/0!</v>
      </c>
      <c r="BA19" t="e">
        <f t="shared" si="33"/>
        <v>#DIV/0!</v>
      </c>
      <c r="BB19" t="s">
        <v>423</v>
      </c>
      <c r="BC19">
        <v>0</v>
      </c>
      <c r="BD19" t="e">
        <f t="shared" si="34"/>
        <v>#DIV/0!</v>
      </c>
      <c r="BE19" t="e">
        <f t="shared" si="35"/>
        <v>#DIV/0!</v>
      </c>
      <c r="BF19" t="e">
        <f t="shared" si="36"/>
        <v>#DIV/0!</v>
      </c>
      <c r="BG19" t="e">
        <f t="shared" si="37"/>
        <v>#DIV/0!</v>
      </c>
      <c r="BH19">
        <f t="shared" si="38"/>
        <v>0</v>
      </c>
      <c r="BI19">
        <f t="shared" si="39"/>
        <v>1.1768181204962762</v>
      </c>
      <c r="BJ19" t="e">
        <f t="shared" si="40"/>
        <v>#DIV/0!</v>
      </c>
      <c r="BK19" t="e">
        <f t="shared" si="41"/>
        <v>#DIV/0!</v>
      </c>
      <c r="BL19">
        <v>939</v>
      </c>
      <c r="BM19">
        <v>290</v>
      </c>
      <c r="BN19">
        <v>1558.67</v>
      </c>
      <c r="BO19">
        <v>165</v>
      </c>
      <c r="BP19">
        <v>8114.57</v>
      </c>
      <c r="BQ19">
        <v>1551.92</v>
      </c>
      <c r="BR19">
        <v>6.75</v>
      </c>
      <c r="BS19">
        <v>300</v>
      </c>
      <c r="BT19">
        <v>19.2</v>
      </c>
      <c r="BU19">
        <v>1584.3896717483201</v>
      </c>
      <c r="BV19">
        <v>1.88110366540944</v>
      </c>
      <c r="BW19">
        <v>-26.347569484426199</v>
      </c>
      <c r="BX19">
        <v>1.36356822732003</v>
      </c>
      <c r="BY19">
        <v>0.93023713121789597</v>
      </c>
      <c r="BZ19">
        <v>-5.3779617352614001E-3</v>
      </c>
      <c r="CA19">
        <v>290</v>
      </c>
      <c r="CB19">
        <v>1543.03</v>
      </c>
      <c r="CC19">
        <v>615</v>
      </c>
      <c r="CD19">
        <v>8099.76</v>
      </c>
      <c r="CE19">
        <v>1551.86</v>
      </c>
      <c r="CF19">
        <v>-8.83</v>
      </c>
      <c r="CT19">
        <f t="shared" si="42"/>
        <v>2.0002599999999999E-2</v>
      </c>
      <c r="CU19">
        <f t="shared" si="43"/>
        <v>3.3608736567839995E-3</v>
      </c>
      <c r="CV19">
        <f t="shared" si="44"/>
        <v>0.16802183999999998</v>
      </c>
      <c r="CW19">
        <f t="shared" si="45"/>
        <v>3.1924149599999993E-2</v>
      </c>
      <c r="CX19">
        <v>2</v>
      </c>
      <c r="CY19">
        <v>0.5</v>
      </c>
      <c r="CZ19" t="s">
        <v>424</v>
      </c>
      <c r="DA19">
        <v>2</v>
      </c>
      <c r="DB19">
        <v>1664976160.0999999</v>
      </c>
      <c r="DC19">
        <v>459.0052</v>
      </c>
      <c r="DD19">
        <v>463.47019999999998</v>
      </c>
      <c r="DE19">
        <v>17.70318</v>
      </c>
      <c r="DF19">
        <v>17.800653333333301</v>
      </c>
      <c r="DG19">
        <v>457.66913333333298</v>
      </c>
      <c r="DH19">
        <v>17.8100666666667</v>
      </c>
      <c r="DI19">
        <v>-200.65946666666699</v>
      </c>
      <c r="DJ19">
        <v>101.0502</v>
      </c>
      <c r="DK19">
        <v>-4.6744413333333302E-3</v>
      </c>
      <c r="DL19">
        <v>26.409846666666699</v>
      </c>
      <c r="DM19">
        <v>25.9511133333333</v>
      </c>
      <c r="DN19">
        <v>999.9</v>
      </c>
      <c r="DO19">
        <v>0</v>
      </c>
      <c r="DP19">
        <v>0</v>
      </c>
      <c r="DQ19">
        <v>9998.6566666666695</v>
      </c>
      <c r="DR19">
        <v>0</v>
      </c>
      <c r="DS19">
        <v>0.21823999999999999</v>
      </c>
      <c r="DT19">
        <v>-4.4650066666666701</v>
      </c>
      <c r="DU19">
        <v>467.27766666666702</v>
      </c>
      <c r="DV19">
        <v>471.86986666666701</v>
      </c>
      <c r="DW19">
        <v>-9.7471654000000005E-2</v>
      </c>
      <c r="DX19">
        <v>463.47019999999998</v>
      </c>
      <c r="DY19">
        <v>17.800653333333301</v>
      </c>
      <c r="DZ19">
        <v>1.7889093333333299</v>
      </c>
      <c r="EA19">
        <v>1.79875933333333</v>
      </c>
      <c r="EB19">
        <v>15.6900266666667</v>
      </c>
      <c r="EC19">
        <v>15.776006666666699</v>
      </c>
      <c r="ED19">
        <v>2.0002599999999999E-2</v>
      </c>
      <c r="EE19">
        <v>0</v>
      </c>
      <c r="EF19">
        <v>0</v>
      </c>
      <c r="EG19">
        <v>0</v>
      </c>
      <c r="EH19">
        <v>228.30166666666699</v>
      </c>
      <c r="EI19">
        <v>2.0002599999999999E-2</v>
      </c>
      <c r="EJ19">
        <v>-7.5149999999999997</v>
      </c>
      <c r="EK19">
        <v>0.31666666666666698</v>
      </c>
      <c r="EL19">
        <v>35.424599999999998</v>
      </c>
      <c r="EM19">
        <v>39.1788666666667</v>
      </c>
      <c r="EN19">
        <v>37.674799999999998</v>
      </c>
      <c r="EO19">
        <v>39.649733333333302</v>
      </c>
      <c r="EP19">
        <v>38.499733333333303</v>
      </c>
      <c r="EQ19">
        <v>0</v>
      </c>
      <c r="ER19">
        <v>0</v>
      </c>
      <c r="ES19">
        <v>0</v>
      </c>
      <c r="ET19">
        <v>91.800000190734906</v>
      </c>
      <c r="EU19">
        <v>0</v>
      </c>
      <c r="EV19">
        <v>228.054</v>
      </c>
      <c r="EW19">
        <v>1.3288462127520999</v>
      </c>
      <c r="EX19">
        <v>-7.2961537914516104</v>
      </c>
      <c r="EY19">
        <v>-7.6909999999999998</v>
      </c>
      <c r="EZ19">
        <v>15</v>
      </c>
      <c r="FA19">
        <v>1664976001.0999999</v>
      </c>
      <c r="FB19" t="s">
        <v>425</v>
      </c>
      <c r="FC19">
        <v>1664976001.0999999</v>
      </c>
      <c r="FD19">
        <v>1790572693.0999999</v>
      </c>
      <c r="FE19">
        <v>1</v>
      </c>
      <c r="FF19">
        <v>0.30399999999999999</v>
      </c>
      <c r="FG19">
        <v>0</v>
      </c>
      <c r="FH19">
        <v>1.337</v>
      </c>
      <c r="FI19">
        <v>-0.128</v>
      </c>
      <c r="FJ19">
        <v>462</v>
      </c>
      <c r="FK19">
        <v>17</v>
      </c>
      <c r="FL19">
        <v>0.87</v>
      </c>
      <c r="FM19">
        <v>0.1</v>
      </c>
      <c r="FN19">
        <v>-7.63057010972706</v>
      </c>
      <c r="FO19">
        <v>40.936708805968401</v>
      </c>
      <c r="FP19">
        <v>4.5475078879414896</v>
      </c>
      <c r="FQ19">
        <v>0</v>
      </c>
      <c r="FR19">
        <v>-6.5357535000000002</v>
      </c>
      <c r="FS19">
        <v>31.737047368421099</v>
      </c>
      <c r="FT19">
        <v>3.5903407376727801</v>
      </c>
      <c r="FU19">
        <v>0</v>
      </c>
      <c r="FV19">
        <v>228.199264705882</v>
      </c>
      <c r="FW19">
        <v>1.1997708138396801</v>
      </c>
      <c r="FX19">
        <v>2.9351037491315499</v>
      </c>
      <c r="FY19">
        <v>0</v>
      </c>
      <c r="FZ19">
        <v>-0.1466609405</v>
      </c>
      <c r="GA19">
        <v>0.68060046812030095</v>
      </c>
      <c r="GB19">
        <v>0.12693165744799501</v>
      </c>
      <c r="GC19">
        <v>-1</v>
      </c>
      <c r="GD19">
        <v>0</v>
      </c>
      <c r="GE19">
        <v>3</v>
      </c>
      <c r="GF19" t="s">
        <v>426</v>
      </c>
      <c r="GG19">
        <v>2.1428600000000002</v>
      </c>
      <c r="GH19">
        <v>2.6533799999999998</v>
      </c>
      <c r="GI19">
        <v>9.7140699999999996E-2</v>
      </c>
      <c r="GJ19">
        <v>0.100618</v>
      </c>
      <c r="GK19">
        <v>9.3845200000000004E-2</v>
      </c>
      <c r="GL19">
        <v>9.8147799999999993E-2</v>
      </c>
      <c r="GM19">
        <v>17622.099999999999</v>
      </c>
      <c r="GN19">
        <v>26483.9</v>
      </c>
      <c r="GO19">
        <v>22801.1</v>
      </c>
      <c r="GP19">
        <v>30168.9</v>
      </c>
      <c r="GQ19">
        <v>33873.300000000003</v>
      </c>
      <c r="GR19">
        <v>33873.199999999997</v>
      </c>
      <c r="GS19">
        <v>43125.2</v>
      </c>
      <c r="GT19">
        <v>42943.1</v>
      </c>
      <c r="GU19">
        <v>0.02</v>
      </c>
      <c r="GV19">
        <v>1.4315199999999999</v>
      </c>
      <c r="GW19">
        <v>9.3251500000000001E-2</v>
      </c>
      <c r="GX19">
        <v>0</v>
      </c>
      <c r="GY19">
        <v>24.509899999999998</v>
      </c>
      <c r="GZ19">
        <v>999.9</v>
      </c>
      <c r="HA19">
        <v>37.034999999999997</v>
      </c>
      <c r="HB19">
        <v>27.542999999999999</v>
      </c>
      <c r="HC19">
        <v>13.5426</v>
      </c>
      <c r="HD19">
        <v>63.4101</v>
      </c>
      <c r="HE19">
        <v>0</v>
      </c>
      <c r="HF19">
        <v>0</v>
      </c>
      <c r="HG19">
        <v>-5.4578300000000003E-2</v>
      </c>
      <c r="HH19">
        <v>0</v>
      </c>
      <c r="HI19">
        <v>20.271699999999999</v>
      </c>
      <c r="HJ19">
        <v>5.2346599999999999</v>
      </c>
      <c r="HK19">
        <v>11.962</v>
      </c>
      <c r="HL19">
        <v>4.9678000000000004</v>
      </c>
      <c r="HM19">
        <v>3.29528</v>
      </c>
      <c r="HN19">
        <v>9999</v>
      </c>
      <c r="HO19">
        <v>999.9</v>
      </c>
      <c r="HP19">
        <v>9999</v>
      </c>
      <c r="HQ19">
        <v>9999</v>
      </c>
      <c r="HR19">
        <v>4.9684100000000004</v>
      </c>
      <c r="HS19">
        <v>1.8620000000000001</v>
      </c>
      <c r="HT19">
        <v>1.8635600000000001</v>
      </c>
      <c r="HU19">
        <v>1.86554</v>
      </c>
      <c r="HV19">
        <v>1.8626199999999999</v>
      </c>
      <c r="HW19">
        <v>1.86629</v>
      </c>
      <c r="HX19">
        <v>1.8631</v>
      </c>
      <c r="HY19">
        <v>1.86493</v>
      </c>
      <c r="HZ19">
        <v>0</v>
      </c>
      <c r="IA19">
        <v>0</v>
      </c>
      <c r="IB19">
        <v>0</v>
      </c>
      <c r="IC19">
        <v>0</v>
      </c>
      <c r="ID19" t="s">
        <v>427</v>
      </c>
      <c r="IE19" t="s">
        <v>428</v>
      </c>
      <c r="IF19" t="s">
        <v>429</v>
      </c>
      <c r="IG19" t="s">
        <v>429</v>
      </c>
      <c r="IH19" t="s">
        <v>429</v>
      </c>
      <c r="II19" t="s">
        <v>429</v>
      </c>
      <c r="IJ19">
        <v>0</v>
      </c>
      <c r="IK19">
        <v>100</v>
      </c>
      <c r="IL19">
        <v>100</v>
      </c>
      <c r="IM19">
        <v>1.3360000000000001</v>
      </c>
      <c r="IN19">
        <v>-0.1108</v>
      </c>
      <c r="IO19">
        <v>0.91043272280072696</v>
      </c>
      <c r="IP19">
        <v>1.61658254425633E-3</v>
      </c>
      <c r="IQ19">
        <v>-1.89604851270483E-6</v>
      </c>
      <c r="IR19">
        <v>8.6681353432279101E-10</v>
      </c>
      <c r="IS19">
        <v>-4.47525518804959E-2</v>
      </c>
      <c r="IT19">
        <v>-3.5871989026399903E-2</v>
      </c>
      <c r="IU19">
        <v>1.9028800927848801E-3</v>
      </c>
      <c r="IV19">
        <v>-4.7539144078026999E-6</v>
      </c>
      <c r="IW19">
        <v>1</v>
      </c>
      <c r="IX19">
        <v>1704</v>
      </c>
      <c r="IY19">
        <v>4</v>
      </c>
      <c r="IZ19">
        <v>25</v>
      </c>
      <c r="JA19">
        <v>2.8</v>
      </c>
      <c r="JB19">
        <v>-2093275.4</v>
      </c>
      <c r="JC19">
        <v>0.162354</v>
      </c>
      <c r="JD19">
        <v>4.99878</v>
      </c>
      <c r="JE19">
        <v>0.239258</v>
      </c>
      <c r="JF19">
        <v>1.2206999999999999E-3</v>
      </c>
      <c r="JG19">
        <v>0.26733400000000002</v>
      </c>
      <c r="JH19">
        <v>4.99878</v>
      </c>
      <c r="JI19">
        <v>31.215599999999998</v>
      </c>
      <c r="JJ19">
        <v>15.891999999999999</v>
      </c>
      <c r="JK19">
        <v>2</v>
      </c>
      <c r="JL19">
        <v>-27.066099999999999</v>
      </c>
      <c r="JM19">
        <v>255.37299999999999</v>
      </c>
      <c r="JN19">
        <v>26.079899999999999</v>
      </c>
      <c r="JO19">
        <v>26.597000000000001</v>
      </c>
      <c r="JP19">
        <v>30.000299999999999</v>
      </c>
      <c r="JQ19">
        <v>26.597999999999999</v>
      </c>
      <c r="JR19">
        <v>26.525700000000001</v>
      </c>
      <c r="JS19">
        <v>-1</v>
      </c>
      <c r="JT19">
        <v>-30</v>
      </c>
      <c r="JU19">
        <v>-30</v>
      </c>
      <c r="JV19">
        <v>-999.9</v>
      </c>
      <c r="JW19">
        <v>0</v>
      </c>
      <c r="JX19">
        <v>0</v>
      </c>
      <c r="JY19">
        <v>101.842</v>
      </c>
      <c r="JZ19">
        <v>97.537599999999998</v>
      </c>
    </row>
    <row r="20" spans="1:286" x14ac:dyDescent="0.4">
      <c r="A20">
        <v>4</v>
      </c>
      <c r="B20">
        <v>1664976241.0999999</v>
      </c>
      <c r="C20">
        <v>271</v>
      </c>
      <c r="D20" t="s">
        <v>436</v>
      </c>
      <c r="E20" t="s">
        <v>437</v>
      </c>
      <c r="F20">
        <v>5</v>
      </c>
      <c r="G20">
        <v>1664976233.0999999</v>
      </c>
      <c r="H20">
        <f t="shared" si="0"/>
        <v>9.3293613263126265E-5</v>
      </c>
      <c r="I20">
        <f t="shared" si="1"/>
        <v>9.3293613263126268E-2</v>
      </c>
      <c r="J20">
        <f t="shared" si="2"/>
        <v>1.5357112395697814</v>
      </c>
      <c r="K20">
        <f t="shared" si="3"/>
        <v>464.17433333333298</v>
      </c>
      <c r="L20">
        <f t="shared" si="4"/>
        <v>35.606098984164319</v>
      </c>
      <c r="M20">
        <f t="shared" si="5"/>
        <v>3.5978748016880244</v>
      </c>
      <c r="N20">
        <f t="shared" si="6"/>
        <v>46.903232455571199</v>
      </c>
      <c r="O20">
        <f t="shared" si="7"/>
        <v>5.8257254766962592E-3</v>
      </c>
      <c r="P20">
        <f t="shared" si="8"/>
        <v>3.0292422909960282</v>
      </c>
      <c r="Q20">
        <f t="shared" si="9"/>
        <v>5.8195083072935128E-3</v>
      </c>
      <c r="R20">
        <f t="shared" si="10"/>
        <v>3.6377507145901678E-3</v>
      </c>
      <c r="S20">
        <f t="shared" si="11"/>
        <v>6.3856599478895988E-4</v>
      </c>
      <c r="T20">
        <f t="shared" si="12"/>
        <v>26.424824637137533</v>
      </c>
      <c r="U20">
        <f t="shared" si="13"/>
        <v>25.933453333333301</v>
      </c>
      <c r="V20">
        <f t="shared" si="14"/>
        <v>3.3609941600446023</v>
      </c>
      <c r="W20">
        <f t="shared" si="15"/>
        <v>51.44057636179997</v>
      </c>
      <c r="X20">
        <f t="shared" si="16"/>
        <v>1.7823243826927171</v>
      </c>
      <c r="Y20">
        <f t="shared" si="17"/>
        <v>3.4648219533097611</v>
      </c>
      <c r="Z20">
        <f t="shared" si="18"/>
        <v>1.5786697773518852</v>
      </c>
      <c r="AA20">
        <f t="shared" si="19"/>
        <v>-4.114248344903868</v>
      </c>
      <c r="AB20">
        <f t="shared" si="20"/>
        <v>84.088522850874114</v>
      </c>
      <c r="AC20">
        <f t="shared" si="21"/>
        <v>5.9423657921297268</v>
      </c>
      <c r="AD20">
        <f t="shared" si="22"/>
        <v>85.917278864094754</v>
      </c>
      <c r="AE20">
        <v>5</v>
      </c>
      <c r="AF20">
        <v>100</v>
      </c>
      <c r="AG20">
        <f t="shared" si="23"/>
        <v>1</v>
      </c>
      <c r="AH20">
        <f t="shared" si="24"/>
        <v>0</v>
      </c>
      <c r="AI20">
        <f t="shared" si="25"/>
        <v>53556.337174515131</v>
      </c>
      <c r="AJ20" t="s">
        <v>438</v>
      </c>
      <c r="AK20">
        <v>8116.9</v>
      </c>
      <c r="AL20">
        <v>218.8</v>
      </c>
      <c r="AM20">
        <v>1489.68</v>
      </c>
      <c r="AN20">
        <f t="shared" si="26"/>
        <v>0.85312281832339831</v>
      </c>
      <c r="AO20">
        <v>1.53571123957047</v>
      </c>
      <c r="AP20" t="s">
        <v>423</v>
      </c>
      <c r="AQ20" t="s">
        <v>423</v>
      </c>
      <c r="AR20">
        <v>0</v>
      </c>
      <c r="AS20">
        <v>0</v>
      </c>
      <c r="AT20" t="e">
        <f t="shared" si="27"/>
        <v>#DIV/0!</v>
      </c>
      <c r="AU20">
        <v>0.5</v>
      </c>
      <c r="AV20">
        <f t="shared" si="28"/>
        <v>3.3608736567839995E-3</v>
      </c>
      <c r="AW20">
        <f t="shared" si="29"/>
        <v>1.5357112395697814</v>
      </c>
      <c r="AX20" t="e">
        <f t="shared" si="30"/>
        <v>#DIV/0!</v>
      </c>
      <c r="AY20">
        <f t="shared" si="31"/>
        <v>-2.0487539556348614E-10</v>
      </c>
      <c r="AZ20" t="e">
        <f t="shared" si="32"/>
        <v>#DIV/0!</v>
      </c>
      <c r="BA20" t="e">
        <f t="shared" si="33"/>
        <v>#DIV/0!</v>
      </c>
      <c r="BB20" t="s">
        <v>423</v>
      </c>
      <c r="BC20">
        <v>0</v>
      </c>
      <c r="BD20" t="e">
        <f t="shared" si="34"/>
        <v>#DIV/0!</v>
      </c>
      <c r="BE20" t="e">
        <f t="shared" si="35"/>
        <v>#DIV/0!</v>
      </c>
      <c r="BF20" t="e">
        <f t="shared" si="36"/>
        <v>#DIV/0!</v>
      </c>
      <c r="BG20" t="e">
        <f t="shared" si="37"/>
        <v>#DIV/0!</v>
      </c>
      <c r="BH20">
        <f t="shared" si="38"/>
        <v>0</v>
      </c>
      <c r="BI20">
        <f t="shared" si="39"/>
        <v>1.1721641697091778</v>
      </c>
      <c r="BJ20" t="e">
        <f t="shared" si="40"/>
        <v>#DIV/0!</v>
      </c>
      <c r="BK20" t="e">
        <f t="shared" si="41"/>
        <v>#DIV/0!</v>
      </c>
      <c r="BL20">
        <v>939</v>
      </c>
      <c r="BM20">
        <v>290</v>
      </c>
      <c r="BN20">
        <v>1558.67</v>
      </c>
      <c r="BO20">
        <v>165</v>
      </c>
      <c r="BP20">
        <v>8114.57</v>
      </c>
      <c r="BQ20">
        <v>1551.92</v>
      </c>
      <c r="BR20">
        <v>6.75</v>
      </c>
      <c r="BS20">
        <v>300</v>
      </c>
      <c r="BT20">
        <v>19.2</v>
      </c>
      <c r="BU20">
        <v>1584.3896717483201</v>
      </c>
      <c r="BV20">
        <v>1.88110366540944</v>
      </c>
      <c r="BW20">
        <v>-26.347569484426199</v>
      </c>
      <c r="BX20">
        <v>1.36356822732003</v>
      </c>
      <c r="BY20">
        <v>0.93023713121789597</v>
      </c>
      <c r="BZ20">
        <v>-5.3779617352614001E-3</v>
      </c>
      <c r="CA20">
        <v>290</v>
      </c>
      <c r="CB20">
        <v>1543.03</v>
      </c>
      <c r="CC20">
        <v>615</v>
      </c>
      <c r="CD20">
        <v>8099.76</v>
      </c>
      <c r="CE20">
        <v>1551.86</v>
      </c>
      <c r="CF20">
        <v>-8.83</v>
      </c>
      <c r="CT20">
        <f t="shared" si="42"/>
        <v>2.0002599999999999E-2</v>
      </c>
      <c r="CU20">
        <f t="shared" si="43"/>
        <v>3.3608736567839995E-3</v>
      </c>
      <c r="CV20">
        <f t="shared" si="44"/>
        <v>0.16802183999999998</v>
      </c>
      <c r="CW20">
        <f t="shared" si="45"/>
        <v>3.1924149599999993E-2</v>
      </c>
      <c r="CX20">
        <v>2</v>
      </c>
      <c r="CY20">
        <v>0.5</v>
      </c>
      <c r="CZ20" t="s">
        <v>424</v>
      </c>
      <c r="DA20">
        <v>2</v>
      </c>
      <c r="DB20">
        <v>1664976233.0999999</v>
      </c>
      <c r="DC20">
        <v>464.17433333333298</v>
      </c>
      <c r="DD20">
        <v>462.60326666666703</v>
      </c>
      <c r="DE20">
        <v>17.638639999999999</v>
      </c>
      <c r="DF20">
        <v>17.7298266666667</v>
      </c>
      <c r="DG20">
        <v>462.835733333333</v>
      </c>
      <c r="DH20">
        <v>17.747219999999999</v>
      </c>
      <c r="DI20">
        <v>-201.01193333333299</v>
      </c>
      <c r="DJ20">
        <v>101.05133333333301</v>
      </c>
      <c r="DK20">
        <v>-4.7456886666666703E-3</v>
      </c>
      <c r="DL20">
        <v>26.448346666666701</v>
      </c>
      <c r="DM20">
        <v>25.933453333333301</v>
      </c>
      <c r="DN20">
        <v>999.9</v>
      </c>
      <c r="DO20">
        <v>0</v>
      </c>
      <c r="DP20">
        <v>0</v>
      </c>
      <c r="DQ20">
        <v>10004.833333333299</v>
      </c>
      <c r="DR20">
        <v>0</v>
      </c>
      <c r="DS20">
        <v>0.21823999999999999</v>
      </c>
      <c r="DT20">
        <v>1.5709652000000001</v>
      </c>
      <c r="DU20">
        <v>472.50786666666698</v>
      </c>
      <c r="DV20">
        <v>470.95319999999998</v>
      </c>
      <c r="DW20">
        <v>-9.1170119999999993E-2</v>
      </c>
      <c r="DX20">
        <v>462.60326666666703</v>
      </c>
      <c r="DY20">
        <v>17.7298266666667</v>
      </c>
      <c r="DZ20">
        <v>1.78240933333333</v>
      </c>
      <c r="EA20">
        <v>1.7916226666666699</v>
      </c>
      <c r="EB20">
        <v>15.632759999999999</v>
      </c>
      <c r="EC20">
        <v>15.71388</v>
      </c>
      <c r="ED20">
        <v>2.0002599999999999E-2</v>
      </c>
      <c r="EE20">
        <v>0</v>
      </c>
      <c r="EF20">
        <v>0</v>
      </c>
      <c r="EG20">
        <v>0</v>
      </c>
      <c r="EH20">
        <v>218.63</v>
      </c>
      <c r="EI20">
        <v>2.0002599999999999E-2</v>
      </c>
      <c r="EJ20">
        <v>-7.1716666666666704</v>
      </c>
      <c r="EK20">
        <v>0.64</v>
      </c>
      <c r="EL20">
        <v>35.895666666666699</v>
      </c>
      <c r="EM20">
        <v>40.237200000000001</v>
      </c>
      <c r="EN20">
        <v>38.266466666666702</v>
      </c>
      <c r="EO20">
        <v>41.370600000000003</v>
      </c>
      <c r="EP20">
        <v>39.1706</v>
      </c>
      <c r="EQ20">
        <v>0</v>
      </c>
      <c r="ER20">
        <v>0</v>
      </c>
      <c r="ES20">
        <v>0</v>
      </c>
      <c r="ET20">
        <v>71.799999952316298</v>
      </c>
      <c r="EU20">
        <v>0</v>
      </c>
      <c r="EV20">
        <v>218.8</v>
      </c>
      <c r="EW20">
        <v>-11.7076923204734</v>
      </c>
      <c r="EX20">
        <v>-4.4760684889123699</v>
      </c>
      <c r="EY20">
        <v>-7.7221153846153801</v>
      </c>
      <c r="EZ20">
        <v>15</v>
      </c>
      <c r="FA20">
        <v>1664976001.0999999</v>
      </c>
      <c r="FB20" t="s">
        <v>425</v>
      </c>
      <c r="FC20">
        <v>1664976001.0999999</v>
      </c>
      <c r="FD20">
        <v>1790572693.0999999</v>
      </c>
      <c r="FE20">
        <v>1</v>
      </c>
      <c r="FF20">
        <v>0.30399999999999999</v>
      </c>
      <c r="FG20">
        <v>0</v>
      </c>
      <c r="FH20">
        <v>1.337</v>
      </c>
      <c r="FI20">
        <v>-0.128</v>
      </c>
      <c r="FJ20">
        <v>462</v>
      </c>
      <c r="FK20">
        <v>17</v>
      </c>
      <c r="FL20">
        <v>0.87</v>
      </c>
      <c r="FM20">
        <v>0.1</v>
      </c>
      <c r="FN20">
        <v>-0.33082537521536898</v>
      </c>
      <c r="FO20">
        <v>17.046491022078602</v>
      </c>
      <c r="FP20">
        <v>6.0591296761726001</v>
      </c>
      <c r="FQ20">
        <v>0</v>
      </c>
      <c r="FR20">
        <v>-0.45597771428571399</v>
      </c>
      <c r="FS20">
        <v>10.421487272727299</v>
      </c>
      <c r="FT20">
        <v>5.9587127576245704</v>
      </c>
      <c r="FU20">
        <v>0</v>
      </c>
      <c r="FV20">
        <v>218.71617647058801</v>
      </c>
      <c r="FW20">
        <v>2.2039724810733801</v>
      </c>
      <c r="FX20">
        <v>2.7079803247893799</v>
      </c>
      <c r="FY20">
        <v>0</v>
      </c>
      <c r="FZ20">
        <v>-0.18490932380952399</v>
      </c>
      <c r="GA20">
        <v>1.5938228649350601</v>
      </c>
      <c r="GB20">
        <v>0.167909750362389</v>
      </c>
      <c r="GC20">
        <v>-1</v>
      </c>
      <c r="GD20">
        <v>0</v>
      </c>
      <c r="GE20">
        <v>3</v>
      </c>
      <c r="GF20" t="s">
        <v>426</v>
      </c>
      <c r="GG20">
        <v>2.1427499999999999</v>
      </c>
      <c r="GH20">
        <v>2.6530999999999998</v>
      </c>
      <c r="GI20">
        <v>9.7710900000000003E-2</v>
      </c>
      <c r="GJ20">
        <v>0.100976</v>
      </c>
      <c r="GK20">
        <v>9.5051499999999997E-2</v>
      </c>
      <c r="GL20">
        <v>9.7950200000000001E-2</v>
      </c>
      <c r="GM20">
        <v>17608.400000000001</v>
      </c>
      <c r="GN20">
        <v>26471.7</v>
      </c>
      <c r="GO20">
        <v>22797.9</v>
      </c>
      <c r="GP20">
        <v>30167.1</v>
      </c>
      <c r="GQ20">
        <v>33823.199999999997</v>
      </c>
      <c r="GR20">
        <v>33879.5</v>
      </c>
      <c r="GS20">
        <v>43120.5</v>
      </c>
      <c r="GT20">
        <v>42941.5</v>
      </c>
      <c r="GU20">
        <v>0.02</v>
      </c>
      <c r="GV20">
        <v>1.4317</v>
      </c>
      <c r="GW20">
        <v>8.9861499999999997E-2</v>
      </c>
      <c r="GX20">
        <v>0</v>
      </c>
      <c r="GY20">
        <v>24.46</v>
      </c>
      <c r="GZ20">
        <v>999.9</v>
      </c>
      <c r="HA20">
        <v>36.893999999999998</v>
      </c>
      <c r="HB20">
        <v>27.562999999999999</v>
      </c>
      <c r="HC20">
        <v>13.507</v>
      </c>
      <c r="HD20">
        <v>63.100200000000001</v>
      </c>
      <c r="HE20">
        <v>0</v>
      </c>
      <c r="HF20">
        <v>0</v>
      </c>
      <c r="HG20">
        <v>-5.2098600000000002E-2</v>
      </c>
      <c r="HH20">
        <v>0</v>
      </c>
      <c r="HI20">
        <v>20.2715</v>
      </c>
      <c r="HJ20">
        <v>5.2349600000000001</v>
      </c>
      <c r="HK20">
        <v>11.962</v>
      </c>
      <c r="HL20">
        <v>4.9694000000000003</v>
      </c>
      <c r="HM20">
        <v>3.2953999999999999</v>
      </c>
      <c r="HN20">
        <v>9999</v>
      </c>
      <c r="HO20">
        <v>999.9</v>
      </c>
      <c r="HP20">
        <v>9999</v>
      </c>
      <c r="HQ20">
        <v>9999</v>
      </c>
      <c r="HR20">
        <v>4.9684100000000004</v>
      </c>
      <c r="HS20">
        <v>1.8619699999999999</v>
      </c>
      <c r="HT20">
        <v>1.8635600000000001</v>
      </c>
      <c r="HU20">
        <v>1.8655299999999999</v>
      </c>
      <c r="HV20">
        <v>1.86259</v>
      </c>
      <c r="HW20">
        <v>1.8663000000000001</v>
      </c>
      <c r="HX20">
        <v>1.8631</v>
      </c>
      <c r="HY20">
        <v>1.86493</v>
      </c>
      <c r="HZ20">
        <v>0</v>
      </c>
      <c r="IA20">
        <v>0</v>
      </c>
      <c r="IB20">
        <v>0</v>
      </c>
      <c r="IC20">
        <v>0</v>
      </c>
      <c r="ID20" t="s">
        <v>427</v>
      </c>
      <c r="IE20" t="s">
        <v>428</v>
      </c>
      <c r="IF20" t="s">
        <v>429</v>
      </c>
      <c r="IG20" t="s">
        <v>429</v>
      </c>
      <c r="IH20" t="s">
        <v>429</v>
      </c>
      <c r="II20" t="s">
        <v>429</v>
      </c>
      <c r="IJ20">
        <v>0</v>
      </c>
      <c r="IK20">
        <v>100</v>
      </c>
      <c r="IL20">
        <v>100</v>
      </c>
      <c r="IM20">
        <v>1.337</v>
      </c>
      <c r="IN20">
        <v>-0.1022</v>
      </c>
      <c r="IO20">
        <v>0.91043272280072696</v>
      </c>
      <c r="IP20">
        <v>1.61658254425633E-3</v>
      </c>
      <c r="IQ20">
        <v>-1.89604851270483E-6</v>
      </c>
      <c r="IR20">
        <v>8.6681353432279101E-10</v>
      </c>
      <c r="IS20">
        <v>-4.47525518804959E-2</v>
      </c>
      <c r="IT20">
        <v>-3.5871989026399903E-2</v>
      </c>
      <c r="IU20">
        <v>1.9028800927848801E-3</v>
      </c>
      <c r="IV20">
        <v>-4.7539144078026999E-6</v>
      </c>
      <c r="IW20">
        <v>1</v>
      </c>
      <c r="IX20">
        <v>1704</v>
      </c>
      <c r="IY20">
        <v>4</v>
      </c>
      <c r="IZ20">
        <v>25</v>
      </c>
      <c r="JA20">
        <v>4</v>
      </c>
      <c r="JB20">
        <v>-2093274.2</v>
      </c>
      <c r="JC20">
        <v>0.162354</v>
      </c>
      <c r="JD20">
        <v>4.99878</v>
      </c>
      <c r="JE20">
        <v>0.239258</v>
      </c>
      <c r="JF20">
        <v>1.2206999999999999E-3</v>
      </c>
      <c r="JG20">
        <v>0.26733400000000002</v>
      </c>
      <c r="JH20">
        <v>4.99878</v>
      </c>
      <c r="JI20">
        <v>31.2591</v>
      </c>
      <c r="JJ20">
        <v>15.8832</v>
      </c>
      <c r="JK20">
        <v>2</v>
      </c>
      <c r="JL20">
        <v>-27.058800000000002</v>
      </c>
      <c r="JM20">
        <v>255.6</v>
      </c>
      <c r="JN20">
        <v>26.116599999999998</v>
      </c>
      <c r="JO20">
        <v>26.630500000000001</v>
      </c>
      <c r="JP20">
        <v>30</v>
      </c>
      <c r="JQ20">
        <v>26.635200000000001</v>
      </c>
      <c r="JR20">
        <v>26.558399999999999</v>
      </c>
      <c r="JS20">
        <v>-1</v>
      </c>
      <c r="JT20">
        <v>-30</v>
      </c>
      <c r="JU20">
        <v>-30</v>
      </c>
      <c r="JV20">
        <v>-999.9</v>
      </c>
      <c r="JW20">
        <v>0</v>
      </c>
      <c r="JX20">
        <v>0</v>
      </c>
      <c r="JY20">
        <v>101.83</v>
      </c>
      <c r="JZ20">
        <v>97.533100000000005</v>
      </c>
    </row>
    <row r="21" spans="1:286" x14ac:dyDescent="0.4">
      <c r="A21">
        <v>5</v>
      </c>
      <c r="B21">
        <v>1664976312</v>
      </c>
      <c r="C21">
        <v>341.90000009536698</v>
      </c>
      <c r="D21" t="s">
        <v>439</v>
      </c>
      <c r="E21" t="s">
        <v>440</v>
      </c>
      <c r="F21">
        <v>5</v>
      </c>
      <c r="G21">
        <v>1664976304</v>
      </c>
      <c r="H21">
        <f t="shared" si="0"/>
        <v>5.9616344300694193E-4</v>
      </c>
      <c r="I21">
        <f t="shared" si="1"/>
        <v>0.59616344300694191</v>
      </c>
      <c r="J21">
        <f t="shared" si="2"/>
        <v>-5.5973628242531719</v>
      </c>
      <c r="K21">
        <f t="shared" si="3"/>
        <v>457.19333333333299</v>
      </c>
      <c r="L21">
        <f t="shared" si="4"/>
        <v>680.91589419500531</v>
      </c>
      <c r="M21">
        <f t="shared" si="5"/>
        <v>68.809239866871266</v>
      </c>
      <c r="N21">
        <f t="shared" si="6"/>
        <v>46.201191670021821</v>
      </c>
      <c r="O21">
        <f t="shared" si="7"/>
        <v>3.7827789690002667E-2</v>
      </c>
      <c r="P21">
        <f t="shared" si="8"/>
        <v>3.0294155634420488</v>
      </c>
      <c r="Q21">
        <f t="shared" si="9"/>
        <v>3.7567324244907288E-2</v>
      </c>
      <c r="R21">
        <f t="shared" si="10"/>
        <v>2.3502829782569991E-2</v>
      </c>
      <c r="S21">
        <f t="shared" si="11"/>
        <v>6.3856599478895988E-4</v>
      </c>
      <c r="T21">
        <f t="shared" si="12"/>
        <v>26.346109686612397</v>
      </c>
      <c r="U21">
        <f t="shared" si="13"/>
        <v>25.892293333333299</v>
      </c>
      <c r="V21">
        <f t="shared" si="14"/>
        <v>3.3528128423295915</v>
      </c>
      <c r="W21">
        <f t="shared" si="15"/>
        <v>51.515082956568591</v>
      </c>
      <c r="X21">
        <f t="shared" si="16"/>
        <v>1.7899733098471324</v>
      </c>
      <c r="Y21">
        <f t="shared" si="17"/>
        <v>3.4746586962816806</v>
      </c>
      <c r="Z21">
        <f t="shared" si="18"/>
        <v>1.5628395324824591</v>
      </c>
      <c r="AA21">
        <f t="shared" si="19"/>
        <v>-26.290807836606138</v>
      </c>
      <c r="AB21">
        <f t="shared" si="20"/>
        <v>98.668174768122995</v>
      </c>
      <c r="AC21">
        <f t="shared" si="21"/>
        <v>6.9725253238914116</v>
      </c>
      <c r="AD21">
        <f t="shared" si="22"/>
        <v>79.350530821403055</v>
      </c>
      <c r="AE21">
        <v>5</v>
      </c>
      <c r="AF21">
        <v>100</v>
      </c>
      <c r="AG21">
        <f t="shared" si="23"/>
        <v>1</v>
      </c>
      <c r="AH21">
        <f t="shared" si="24"/>
        <v>0</v>
      </c>
      <c r="AI21">
        <f t="shared" si="25"/>
        <v>53553.282731060528</v>
      </c>
      <c r="AJ21" t="s">
        <v>441</v>
      </c>
      <c r="AK21">
        <v>8129.58</v>
      </c>
      <c r="AL21">
        <v>209.961538461538</v>
      </c>
      <c r="AM21">
        <v>1451.32</v>
      </c>
      <c r="AN21">
        <f t="shared" si="26"/>
        <v>0.8553306379974519</v>
      </c>
      <c r="AO21">
        <v>-5.5973628242532403</v>
      </c>
      <c r="AP21" t="s">
        <v>423</v>
      </c>
      <c r="AQ21" t="s">
        <v>423</v>
      </c>
      <c r="AR21">
        <v>0</v>
      </c>
      <c r="AS21">
        <v>0</v>
      </c>
      <c r="AT21" t="e">
        <f t="shared" si="27"/>
        <v>#DIV/0!</v>
      </c>
      <c r="AU21">
        <v>0.5</v>
      </c>
      <c r="AV21">
        <f t="shared" si="28"/>
        <v>3.3608736567839995E-3</v>
      </c>
      <c r="AW21">
        <f t="shared" si="29"/>
        <v>-5.5973628242531719</v>
      </c>
      <c r="AX21" t="e">
        <f t="shared" si="30"/>
        <v>#DIV/0!</v>
      </c>
      <c r="AY21">
        <f t="shared" si="31"/>
        <v>2.0348797753483951E-11</v>
      </c>
      <c r="AZ21" t="e">
        <f t="shared" si="32"/>
        <v>#DIV/0!</v>
      </c>
      <c r="BA21" t="e">
        <f t="shared" si="33"/>
        <v>#DIV/0!</v>
      </c>
      <c r="BB21" t="s">
        <v>423</v>
      </c>
      <c r="BC21">
        <v>0</v>
      </c>
      <c r="BD21" t="e">
        <f t="shared" si="34"/>
        <v>#DIV/0!</v>
      </c>
      <c r="BE21" t="e">
        <f t="shared" si="35"/>
        <v>#DIV/0!</v>
      </c>
      <c r="BF21" t="e">
        <f t="shared" si="36"/>
        <v>#DIV/0!</v>
      </c>
      <c r="BG21" t="e">
        <f t="shared" si="37"/>
        <v>#DIV/0!</v>
      </c>
      <c r="BH21">
        <f t="shared" si="38"/>
        <v>0</v>
      </c>
      <c r="BI21">
        <f t="shared" si="39"/>
        <v>1.1691385244205164</v>
      </c>
      <c r="BJ21" t="e">
        <f t="shared" si="40"/>
        <v>#DIV/0!</v>
      </c>
      <c r="BK21" t="e">
        <f t="shared" si="41"/>
        <v>#DIV/0!</v>
      </c>
      <c r="BL21">
        <v>939</v>
      </c>
      <c r="BM21">
        <v>290</v>
      </c>
      <c r="BN21">
        <v>1558.67</v>
      </c>
      <c r="BO21">
        <v>165</v>
      </c>
      <c r="BP21">
        <v>8114.57</v>
      </c>
      <c r="BQ21">
        <v>1551.92</v>
      </c>
      <c r="BR21">
        <v>6.75</v>
      </c>
      <c r="BS21">
        <v>300</v>
      </c>
      <c r="BT21">
        <v>19.2</v>
      </c>
      <c r="BU21">
        <v>1584.3896717483201</v>
      </c>
      <c r="BV21">
        <v>1.88110366540944</v>
      </c>
      <c r="BW21">
        <v>-26.347569484426199</v>
      </c>
      <c r="BX21">
        <v>1.36356822732003</v>
      </c>
      <c r="BY21">
        <v>0.93023713121789597</v>
      </c>
      <c r="BZ21">
        <v>-5.3779617352614001E-3</v>
      </c>
      <c r="CA21">
        <v>290</v>
      </c>
      <c r="CB21">
        <v>1543.03</v>
      </c>
      <c r="CC21">
        <v>615</v>
      </c>
      <c r="CD21">
        <v>8099.76</v>
      </c>
      <c r="CE21">
        <v>1551.86</v>
      </c>
      <c r="CF21">
        <v>-8.83</v>
      </c>
      <c r="CT21">
        <f t="shared" si="42"/>
        <v>2.0002599999999999E-2</v>
      </c>
      <c r="CU21">
        <f t="shared" si="43"/>
        <v>3.3608736567839995E-3</v>
      </c>
      <c r="CV21">
        <f t="shared" si="44"/>
        <v>0.16802183999999998</v>
      </c>
      <c r="CW21">
        <f t="shared" si="45"/>
        <v>3.1924149599999993E-2</v>
      </c>
      <c r="CX21">
        <v>2</v>
      </c>
      <c r="CY21">
        <v>0.5</v>
      </c>
      <c r="CZ21" t="s">
        <v>424</v>
      </c>
      <c r="DA21">
        <v>2</v>
      </c>
      <c r="DB21">
        <v>1664976304</v>
      </c>
      <c r="DC21">
        <v>457.19333333333299</v>
      </c>
      <c r="DD21">
        <v>462.49573333333302</v>
      </c>
      <c r="DE21">
        <v>17.713046666666699</v>
      </c>
      <c r="DF21">
        <v>18.296186666666699</v>
      </c>
      <c r="DG21">
        <v>455.85806666666701</v>
      </c>
      <c r="DH21">
        <v>17.81962</v>
      </c>
      <c r="DI21">
        <v>-200.84493333333299</v>
      </c>
      <c r="DJ21">
        <v>101.058933333333</v>
      </c>
      <c r="DK21">
        <v>-4.9845953333333397E-3</v>
      </c>
      <c r="DL21">
        <v>26.4964266666667</v>
      </c>
      <c r="DM21">
        <v>25.892293333333299</v>
      </c>
      <c r="DN21">
        <v>999.9</v>
      </c>
      <c r="DO21">
        <v>0</v>
      </c>
      <c r="DP21">
        <v>0</v>
      </c>
      <c r="DQ21">
        <v>10005.1286666667</v>
      </c>
      <c r="DR21">
        <v>0</v>
      </c>
      <c r="DS21">
        <v>0.21823999999999999</v>
      </c>
      <c r="DT21">
        <v>-5.30225186666667</v>
      </c>
      <c r="DU21">
        <v>465.43799999999999</v>
      </c>
      <c r="DV21">
        <v>471.11546666666698</v>
      </c>
      <c r="DW21">
        <v>-0.583137866666667</v>
      </c>
      <c r="DX21">
        <v>462.49573333333302</v>
      </c>
      <c r="DY21">
        <v>18.296186666666699</v>
      </c>
      <c r="DZ21">
        <v>1.79006</v>
      </c>
      <c r="EA21">
        <v>1.848992</v>
      </c>
      <c r="EB21">
        <v>15.699386666666699</v>
      </c>
      <c r="EC21">
        <v>16.20722</v>
      </c>
      <c r="ED21">
        <v>2.0002599999999999E-2</v>
      </c>
      <c r="EE21">
        <v>0</v>
      </c>
      <c r="EF21">
        <v>0</v>
      </c>
      <c r="EG21">
        <v>0</v>
      </c>
      <c r="EH21">
        <v>210.07333333333301</v>
      </c>
      <c r="EI21">
        <v>2.0002599999999999E-2</v>
      </c>
      <c r="EJ21">
        <v>-6.3116666666666701</v>
      </c>
      <c r="EK21">
        <v>0.663333333333333</v>
      </c>
      <c r="EL21">
        <v>35.883000000000003</v>
      </c>
      <c r="EM21">
        <v>39.328933333333303</v>
      </c>
      <c r="EN21">
        <v>37.7580666666667</v>
      </c>
      <c r="EO21">
        <v>40.0955333333333</v>
      </c>
      <c r="EP21">
        <v>38.7164</v>
      </c>
      <c r="EQ21">
        <v>0</v>
      </c>
      <c r="ER21">
        <v>0</v>
      </c>
      <c r="ES21">
        <v>0</v>
      </c>
      <c r="ET21">
        <v>69.900000095367403</v>
      </c>
      <c r="EU21">
        <v>0</v>
      </c>
      <c r="EV21">
        <v>209.961538461538</v>
      </c>
      <c r="EW21">
        <v>2.7418802470794801</v>
      </c>
      <c r="EX21">
        <v>1.5145300310506</v>
      </c>
      <c r="EY21">
        <v>-5.9903846153846096</v>
      </c>
      <c r="EZ21">
        <v>15</v>
      </c>
      <c r="FA21">
        <v>1664976001.0999999</v>
      </c>
      <c r="FB21" t="s">
        <v>425</v>
      </c>
      <c r="FC21">
        <v>1664976001.0999999</v>
      </c>
      <c r="FD21">
        <v>1790572693.0999999</v>
      </c>
      <c r="FE21">
        <v>1</v>
      </c>
      <c r="FF21">
        <v>0.30399999999999999</v>
      </c>
      <c r="FG21">
        <v>0</v>
      </c>
      <c r="FH21">
        <v>1.337</v>
      </c>
      <c r="FI21">
        <v>-0.128</v>
      </c>
      <c r="FJ21">
        <v>462</v>
      </c>
      <c r="FK21">
        <v>17</v>
      </c>
      <c r="FL21">
        <v>0.87</v>
      </c>
      <c r="FM21">
        <v>0.1</v>
      </c>
      <c r="FN21">
        <v>-5.8265080869274399</v>
      </c>
      <c r="FO21">
        <v>-5.8659107574409299</v>
      </c>
      <c r="FP21">
        <v>1.0143154440989099</v>
      </c>
      <c r="FQ21">
        <v>0</v>
      </c>
      <c r="FR21">
        <v>-5.3838933333333303</v>
      </c>
      <c r="FS21">
        <v>-1.5564537662337701</v>
      </c>
      <c r="FT21">
        <v>1.2258285172635299</v>
      </c>
      <c r="FU21">
        <v>0</v>
      </c>
      <c r="FV21">
        <v>210.19705882352901</v>
      </c>
      <c r="FW21">
        <v>4.5469824314927996</v>
      </c>
      <c r="FX21">
        <v>3.11990622918265</v>
      </c>
      <c r="FY21">
        <v>0</v>
      </c>
      <c r="FZ21">
        <v>-0.52159333333333302</v>
      </c>
      <c r="GA21">
        <v>-1.4614305194805199</v>
      </c>
      <c r="GB21">
        <v>0.17840428051621399</v>
      </c>
      <c r="GC21">
        <v>-1</v>
      </c>
      <c r="GD21">
        <v>0</v>
      </c>
      <c r="GE21">
        <v>3</v>
      </c>
      <c r="GF21" t="s">
        <v>426</v>
      </c>
      <c r="GG21">
        <v>2.1427100000000001</v>
      </c>
      <c r="GH21">
        <v>2.6533099999999998</v>
      </c>
      <c r="GI21">
        <v>9.7622E-2</v>
      </c>
      <c r="GJ21">
        <v>0.100311</v>
      </c>
      <c r="GK21">
        <v>9.4120800000000004E-2</v>
      </c>
      <c r="GL21">
        <v>9.9608000000000002E-2</v>
      </c>
      <c r="GM21">
        <v>17609.599999999999</v>
      </c>
      <c r="GN21">
        <v>26492.7</v>
      </c>
      <c r="GO21">
        <v>22797.200000000001</v>
      </c>
      <c r="GP21">
        <v>30168.7</v>
      </c>
      <c r="GQ21">
        <v>33857.300000000003</v>
      </c>
      <c r="GR21">
        <v>33819.1</v>
      </c>
      <c r="GS21">
        <v>43118.2</v>
      </c>
      <c r="GT21">
        <v>42944.4</v>
      </c>
      <c r="GU21">
        <v>0.02</v>
      </c>
      <c r="GV21">
        <v>1.43147</v>
      </c>
      <c r="GW21">
        <v>9.6492499999999995E-2</v>
      </c>
      <c r="GX21">
        <v>0</v>
      </c>
      <c r="GY21">
        <v>24.428999999999998</v>
      </c>
      <c r="GZ21">
        <v>999.9</v>
      </c>
      <c r="HA21">
        <v>36.783999999999999</v>
      </c>
      <c r="HB21">
        <v>27.573</v>
      </c>
      <c r="HC21">
        <v>13.472300000000001</v>
      </c>
      <c r="HD21">
        <v>63.170200000000001</v>
      </c>
      <c r="HE21">
        <v>0</v>
      </c>
      <c r="HF21">
        <v>0</v>
      </c>
      <c r="HG21">
        <v>-5.22129E-2</v>
      </c>
      <c r="HH21">
        <v>0</v>
      </c>
      <c r="HI21">
        <v>20.269200000000001</v>
      </c>
      <c r="HJ21">
        <v>5.2300199999999997</v>
      </c>
      <c r="HK21">
        <v>11.962</v>
      </c>
      <c r="HL21">
        <v>4.9690000000000003</v>
      </c>
      <c r="HM21">
        <v>3.2951800000000002</v>
      </c>
      <c r="HN21">
        <v>9999</v>
      </c>
      <c r="HO21">
        <v>999.9</v>
      </c>
      <c r="HP21">
        <v>9999</v>
      </c>
      <c r="HQ21">
        <v>9999</v>
      </c>
      <c r="HR21">
        <v>4.9684100000000004</v>
      </c>
      <c r="HS21">
        <v>1.8620000000000001</v>
      </c>
      <c r="HT21">
        <v>1.8635600000000001</v>
      </c>
      <c r="HU21">
        <v>1.86554</v>
      </c>
      <c r="HV21">
        <v>1.8626100000000001</v>
      </c>
      <c r="HW21">
        <v>1.86629</v>
      </c>
      <c r="HX21">
        <v>1.8631</v>
      </c>
      <c r="HY21">
        <v>1.86493</v>
      </c>
      <c r="HZ21">
        <v>0</v>
      </c>
      <c r="IA21">
        <v>0</v>
      </c>
      <c r="IB21">
        <v>0</v>
      </c>
      <c r="IC21">
        <v>0</v>
      </c>
      <c r="ID21" t="s">
        <v>427</v>
      </c>
      <c r="IE21" t="s">
        <v>428</v>
      </c>
      <c r="IF21" t="s">
        <v>429</v>
      </c>
      <c r="IG21" t="s">
        <v>429</v>
      </c>
      <c r="IH21" t="s">
        <v>429</v>
      </c>
      <c r="II21" t="s">
        <v>429</v>
      </c>
      <c r="IJ21">
        <v>0</v>
      </c>
      <c r="IK21">
        <v>100</v>
      </c>
      <c r="IL21">
        <v>100</v>
      </c>
      <c r="IM21">
        <v>1.337</v>
      </c>
      <c r="IN21">
        <v>-0.1089</v>
      </c>
      <c r="IO21">
        <v>0.91043272280072696</v>
      </c>
      <c r="IP21">
        <v>1.61658254425633E-3</v>
      </c>
      <c r="IQ21">
        <v>-1.89604851270483E-6</v>
      </c>
      <c r="IR21">
        <v>8.6681353432279101E-10</v>
      </c>
      <c r="IS21">
        <v>-4.47525518804959E-2</v>
      </c>
      <c r="IT21">
        <v>-3.5871989026399903E-2</v>
      </c>
      <c r="IU21">
        <v>1.9028800927848801E-3</v>
      </c>
      <c r="IV21">
        <v>-4.7539144078026999E-6</v>
      </c>
      <c r="IW21">
        <v>1</v>
      </c>
      <c r="IX21">
        <v>1704</v>
      </c>
      <c r="IY21">
        <v>4</v>
      </c>
      <c r="IZ21">
        <v>25</v>
      </c>
      <c r="JA21">
        <v>5.2</v>
      </c>
      <c r="JB21">
        <v>-2093273</v>
      </c>
      <c r="JC21">
        <v>0.162354</v>
      </c>
      <c r="JD21">
        <v>4.99878</v>
      </c>
      <c r="JE21">
        <v>0.238037</v>
      </c>
      <c r="JF21">
        <v>1.2206999999999999E-3</v>
      </c>
      <c r="JG21">
        <v>0.26733400000000002</v>
      </c>
      <c r="JH21">
        <v>4.99878</v>
      </c>
      <c r="JI21">
        <v>31.237400000000001</v>
      </c>
      <c r="JJ21">
        <v>15.8657</v>
      </c>
      <c r="JK21">
        <v>2</v>
      </c>
      <c r="JL21">
        <v>-27.0578</v>
      </c>
      <c r="JM21">
        <v>255.57599999999999</v>
      </c>
      <c r="JN21">
        <v>26.145900000000001</v>
      </c>
      <c r="JO21">
        <v>26.635000000000002</v>
      </c>
      <c r="JP21">
        <v>30</v>
      </c>
      <c r="JQ21">
        <v>26.6402</v>
      </c>
      <c r="JR21">
        <v>26.574000000000002</v>
      </c>
      <c r="JS21">
        <v>-1</v>
      </c>
      <c r="JT21">
        <v>-30</v>
      </c>
      <c r="JU21">
        <v>-30</v>
      </c>
      <c r="JV21">
        <v>-999.9</v>
      </c>
      <c r="JW21">
        <v>0</v>
      </c>
      <c r="JX21">
        <v>0</v>
      </c>
      <c r="JY21">
        <v>101.82599999999999</v>
      </c>
      <c r="JZ21">
        <v>97.539100000000005</v>
      </c>
    </row>
    <row r="22" spans="1:286" x14ac:dyDescent="0.4">
      <c r="A22">
        <v>6</v>
      </c>
      <c r="B22">
        <v>1664976371</v>
      </c>
      <c r="C22">
        <v>400.90000009536698</v>
      </c>
      <c r="D22" t="s">
        <v>442</v>
      </c>
      <c r="E22" t="s">
        <v>443</v>
      </c>
      <c r="F22">
        <v>5</v>
      </c>
      <c r="G22">
        <v>1664976363</v>
      </c>
      <c r="H22">
        <f t="shared" si="0"/>
        <v>4.4125755689180217E-4</v>
      </c>
      <c r="I22">
        <f t="shared" si="1"/>
        <v>0.44125755689180218</v>
      </c>
      <c r="J22">
        <f t="shared" si="2"/>
        <v>-2.0783006897204301</v>
      </c>
      <c r="K22">
        <f t="shared" si="3"/>
        <v>460.19126666666699</v>
      </c>
      <c r="L22">
        <f t="shared" si="4"/>
        <v>567.28248084524262</v>
      </c>
      <c r="M22">
        <f t="shared" si="5"/>
        <v>57.32803768460073</v>
      </c>
      <c r="N22">
        <f t="shared" si="6"/>
        <v>46.505688379944743</v>
      </c>
      <c r="O22">
        <f t="shared" si="7"/>
        <v>2.7784771008148627E-2</v>
      </c>
      <c r="P22">
        <f t="shared" si="8"/>
        <v>3.0277160275949</v>
      </c>
      <c r="Q22">
        <f t="shared" si="9"/>
        <v>2.7643893409643322E-2</v>
      </c>
      <c r="R22">
        <f t="shared" si="10"/>
        <v>1.7290030990161957E-2</v>
      </c>
      <c r="S22">
        <f t="shared" si="11"/>
        <v>6.3856599478895988E-4</v>
      </c>
      <c r="T22">
        <f t="shared" si="12"/>
        <v>26.372062744835269</v>
      </c>
      <c r="U22">
        <f t="shared" si="13"/>
        <v>26.083106666666701</v>
      </c>
      <c r="V22">
        <f t="shared" si="14"/>
        <v>3.3908876916271615</v>
      </c>
      <c r="W22">
        <f t="shared" si="15"/>
        <v>52.401511764040841</v>
      </c>
      <c r="X22">
        <f t="shared" si="16"/>
        <v>1.81937370556428</v>
      </c>
      <c r="Y22">
        <f t="shared" si="17"/>
        <v>3.4719870559398198</v>
      </c>
      <c r="Z22">
        <f t="shared" si="18"/>
        <v>1.5715139860628815</v>
      </c>
      <c r="AA22">
        <f t="shared" si="19"/>
        <v>-19.459458258928475</v>
      </c>
      <c r="AB22">
        <f t="shared" si="20"/>
        <v>65.336706853777358</v>
      </c>
      <c r="AC22">
        <f t="shared" si="21"/>
        <v>4.623817754610748</v>
      </c>
      <c r="AD22">
        <f t="shared" si="22"/>
        <v>50.501704915454418</v>
      </c>
      <c r="AE22">
        <v>5</v>
      </c>
      <c r="AF22">
        <v>100</v>
      </c>
      <c r="AG22">
        <f t="shared" si="23"/>
        <v>1</v>
      </c>
      <c r="AH22">
        <f t="shared" si="24"/>
        <v>0</v>
      </c>
      <c r="AI22">
        <f t="shared" si="25"/>
        <v>53502.917813292974</v>
      </c>
      <c r="AJ22" t="s">
        <v>444</v>
      </c>
      <c r="AK22">
        <v>8114.12</v>
      </c>
      <c r="AL22">
        <v>238.361538461538</v>
      </c>
      <c r="AM22">
        <v>1549.23</v>
      </c>
      <c r="AN22">
        <f t="shared" si="26"/>
        <v>0.8461419295640169</v>
      </c>
      <c r="AO22">
        <v>-2.0783006897210501</v>
      </c>
      <c r="AP22" t="s">
        <v>423</v>
      </c>
      <c r="AQ22" t="s">
        <v>423</v>
      </c>
      <c r="AR22">
        <v>0</v>
      </c>
      <c r="AS22">
        <v>0</v>
      </c>
      <c r="AT22" t="e">
        <f t="shared" si="27"/>
        <v>#DIV/0!</v>
      </c>
      <c r="AU22">
        <v>0.5</v>
      </c>
      <c r="AV22">
        <f t="shared" si="28"/>
        <v>3.3608736567839995E-3</v>
      </c>
      <c r="AW22">
        <f t="shared" si="29"/>
        <v>-2.0783006897204301</v>
      </c>
      <c r="AX22" t="e">
        <f t="shared" si="30"/>
        <v>#DIV/0!</v>
      </c>
      <c r="AY22">
        <f t="shared" si="31"/>
        <v>1.8446053028482854E-10</v>
      </c>
      <c r="AZ22" t="e">
        <f t="shared" si="32"/>
        <v>#DIV/0!</v>
      </c>
      <c r="BA22" t="e">
        <f t="shared" si="33"/>
        <v>#DIV/0!</v>
      </c>
      <c r="BB22" t="s">
        <v>423</v>
      </c>
      <c r="BC22">
        <v>0</v>
      </c>
      <c r="BD22" t="e">
        <f t="shared" si="34"/>
        <v>#DIV/0!</v>
      </c>
      <c r="BE22" t="e">
        <f t="shared" si="35"/>
        <v>#DIV/0!</v>
      </c>
      <c r="BF22" t="e">
        <f t="shared" si="36"/>
        <v>#DIV/0!</v>
      </c>
      <c r="BG22" t="e">
        <f t="shared" si="37"/>
        <v>#DIV/0!</v>
      </c>
      <c r="BH22">
        <f t="shared" si="38"/>
        <v>0</v>
      </c>
      <c r="BI22">
        <f t="shared" si="39"/>
        <v>1.1818348258846596</v>
      </c>
      <c r="BJ22" t="e">
        <f t="shared" si="40"/>
        <v>#DIV/0!</v>
      </c>
      <c r="BK22" t="e">
        <f t="shared" si="41"/>
        <v>#DIV/0!</v>
      </c>
      <c r="BL22">
        <v>939</v>
      </c>
      <c r="BM22">
        <v>290</v>
      </c>
      <c r="BN22">
        <v>1558.67</v>
      </c>
      <c r="BO22">
        <v>165</v>
      </c>
      <c r="BP22">
        <v>8114.57</v>
      </c>
      <c r="BQ22">
        <v>1551.92</v>
      </c>
      <c r="BR22">
        <v>6.75</v>
      </c>
      <c r="BS22">
        <v>300</v>
      </c>
      <c r="BT22">
        <v>19.2</v>
      </c>
      <c r="BU22">
        <v>1584.3896717483201</v>
      </c>
      <c r="BV22">
        <v>1.88110366540944</v>
      </c>
      <c r="BW22">
        <v>-26.347569484426199</v>
      </c>
      <c r="BX22">
        <v>1.36356822732003</v>
      </c>
      <c r="BY22">
        <v>0.93023713121789597</v>
      </c>
      <c r="BZ22">
        <v>-5.3779617352614001E-3</v>
      </c>
      <c r="CA22">
        <v>290</v>
      </c>
      <c r="CB22">
        <v>1543.03</v>
      </c>
      <c r="CC22">
        <v>615</v>
      </c>
      <c r="CD22">
        <v>8099.76</v>
      </c>
      <c r="CE22">
        <v>1551.86</v>
      </c>
      <c r="CF22">
        <v>-8.83</v>
      </c>
      <c r="CT22">
        <f t="shared" si="42"/>
        <v>2.0002599999999999E-2</v>
      </c>
      <c r="CU22">
        <f t="shared" si="43"/>
        <v>3.3608736567839995E-3</v>
      </c>
      <c r="CV22">
        <f t="shared" si="44"/>
        <v>0.16802183999999998</v>
      </c>
      <c r="CW22">
        <f t="shared" si="45"/>
        <v>3.1924149599999993E-2</v>
      </c>
      <c r="CX22">
        <v>2</v>
      </c>
      <c r="CY22">
        <v>0.5</v>
      </c>
      <c r="CZ22" t="s">
        <v>424</v>
      </c>
      <c r="DA22">
        <v>2</v>
      </c>
      <c r="DB22">
        <v>1664976363</v>
      </c>
      <c r="DC22">
        <v>460.19126666666699</v>
      </c>
      <c r="DD22">
        <v>462.05773333333298</v>
      </c>
      <c r="DE22">
        <v>18.0033866666667</v>
      </c>
      <c r="DF22">
        <v>18.434673333333301</v>
      </c>
      <c r="DG22">
        <v>458.85446666666701</v>
      </c>
      <c r="DH22">
        <v>18.102160000000001</v>
      </c>
      <c r="DI22">
        <v>-200.939866666667</v>
      </c>
      <c r="DJ22">
        <v>101.0608</v>
      </c>
      <c r="DK22">
        <v>-3.4967686666666701E-3</v>
      </c>
      <c r="DL22">
        <v>26.48338</v>
      </c>
      <c r="DM22">
        <v>26.083106666666701</v>
      </c>
      <c r="DN22">
        <v>999.9</v>
      </c>
      <c r="DO22">
        <v>0</v>
      </c>
      <c r="DP22">
        <v>0</v>
      </c>
      <c r="DQ22">
        <v>9994.6720000000005</v>
      </c>
      <c r="DR22">
        <v>0</v>
      </c>
      <c r="DS22">
        <v>0.21823999999999999</v>
      </c>
      <c r="DT22">
        <v>-1.8663480666666701</v>
      </c>
      <c r="DU22">
        <v>468.62819999999999</v>
      </c>
      <c r="DV22">
        <v>470.73553333333302</v>
      </c>
      <c r="DW22">
        <v>-0.43127973333333303</v>
      </c>
      <c r="DX22">
        <v>462.05773333333298</v>
      </c>
      <c r="DY22">
        <v>18.434673333333301</v>
      </c>
      <c r="DZ22">
        <v>1.8194366666666699</v>
      </c>
      <c r="EA22">
        <v>1.86302266666667</v>
      </c>
      <c r="EB22">
        <v>15.9547333333333</v>
      </c>
      <c r="EC22">
        <v>16.3258333333333</v>
      </c>
      <c r="ED22">
        <v>2.0002599999999999E-2</v>
      </c>
      <c r="EE22">
        <v>0</v>
      </c>
      <c r="EF22">
        <v>0</v>
      </c>
      <c r="EG22">
        <v>0</v>
      </c>
      <c r="EH22">
        <v>238.29</v>
      </c>
      <c r="EI22">
        <v>2.0002599999999999E-2</v>
      </c>
      <c r="EJ22">
        <v>-6.6016666666666701</v>
      </c>
      <c r="EK22">
        <v>0.91666666666666696</v>
      </c>
      <c r="EL22">
        <v>35.395533333333297</v>
      </c>
      <c r="EM22">
        <v>38.2164</v>
      </c>
      <c r="EN22">
        <v>37.103866666666697</v>
      </c>
      <c r="EO22">
        <v>38.420533333333303</v>
      </c>
      <c r="EP22">
        <v>38.016399999999997</v>
      </c>
      <c r="EQ22">
        <v>0</v>
      </c>
      <c r="ER22">
        <v>0</v>
      </c>
      <c r="ES22">
        <v>0</v>
      </c>
      <c r="ET22">
        <v>57.400000095367403</v>
      </c>
      <c r="EU22">
        <v>0</v>
      </c>
      <c r="EV22">
        <v>238.361538461538</v>
      </c>
      <c r="EW22">
        <v>7.6393162310591398</v>
      </c>
      <c r="EX22">
        <v>-3.3923075500925601</v>
      </c>
      <c r="EY22">
        <v>-6.9586538461538501</v>
      </c>
      <c r="EZ22">
        <v>15</v>
      </c>
      <c r="FA22">
        <v>1664976001.0999999</v>
      </c>
      <c r="FB22" t="s">
        <v>425</v>
      </c>
      <c r="FC22">
        <v>1664976001.0999999</v>
      </c>
      <c r="FD22">
        <v>1790572693.0999999</v>
      </c>
      <c r="FE22">
        <v>1</v>
      </c>
      <c r="FF22">
        <v>0.30399999999999999</v>
      </c>
      <c r="FG22">
        <v>0</v>
      </c>
      <c r="FH22">
        <v>1.337</v>
      </c>
      <c r="FI22">
        <v>-0.128</v>
      </c>
      <c r="FJ22">
        <v>462</v>
      </c>
      <c r="FK22">
        <v>17</v>
      </c>
      <c r="FL22">
        <v>0.87</v>
      </c>
      <c r="FM22">
        <v>0.1</v>
      </c>
      <c r="FN22">
        <v>-3.48039194461052</v>
      </c>
      <c r="FO22">
        <v>17.9318736294925</v>
      </c>
      <c r="FP22">
        <v>1.87609974363086</v>
      </c>
      <c r="FQ22">
        <v>0</v>
      </c>
      <c r="FR22">
        <v>-2.8396241999999998</v>
      </c>
      <c r="FS22">
        <v>17.363746375939801</v>
      </c>
      <c r="FT22">
        <v>1.7374322700359499</v>
      </c>
      <c r="FU22">
        <v>0</v>
      </c>
      <c r="FV22">
        <v>237.857352941176</v>
      </c>
      <c r="FW22">
        <v>-0.49427045142721698</v>
      </c>
      <c r="FX22">
        <v>3.2081269125764398</v>
      </c>
      <c r="FY22">
        <v>1</v>
      </c>
      <c r="FZ22">
        <v>-0.41787534999999998</v>
      </c>
      <c r="GA22">
        <v>-0.20967730827067699</v>
      </c>
      <c r="GB22">
        <v>6.20829074289172E-2</v>
      </c>
      <c r="GC22">
        <v>-1</v>
      </c>
      <c r="GD22">
        <v>1</v>
      </c>
      <c r="GE22">
        <v>3</v>
      </c>
      <c r="GF22" t="s">
        <v>445</v>
      </c>
      <c r="GG22">
        <v>2.1426099999999999</v>
      </c>
      <c r="GH22">
        <v>2.6540499999999998</v>
      </c>
      <c r="GI22">
        <v>9.7919500000000007E-2</v>
      </c>
      <c r="GJ22">
        <v>0.100588</v>
      </c>
      <c r="GK22">
        <v>9.6102099999999996E-2</v>
      </c>
      <c r="GL22">
        <v>0.10014000000000001</v>
      </c>
      <c r="GM22">
        <v>17599.400000000001</v>
      </c>
      <c r="GN22">
        <v>26486.2</v>
      </c>
      <c r="GO22">
        <v>22791.5</v>
      </c>
      <c r="GP22">
        <v>30170.7</v>
      </c>
      <c r="GQ22">
        <v>33773.5</v>
      </c>
      <c r="GR22">
        <v>33800.800000000003</v>
      </c>
      <c r="GS22">
        <v>43109</v>
      </c>
      <c r="GT22">
        <v>42946.6</v>
      </c>
      <c r="GU22">
        <v>0.02</v>
      </c>
      <c r="GV22">
        <v>1.4318500000000001</v>
      </c>
      <c r="GW22">
        <v>0.10302699999999999</v>
      </c>
      <c r="GX22">
        <v>0</v>
      </c>
      <c r="GY22">
        <v>24.433800000000002</v>
      </c>
      <c r="GZ22">
        <v>999.9</v>
      </c>
      <c r="HA22">
        <v>36.661999999999999</v>
      </c>
      <c r="HB22">
        <v>27.603000000000002</v>
      </c>
      <c r="HC22">
        <v>13.4506</v>
      </c>
      <c r="HD22">
        <v>63.120199999999997</v>
      </c>
      <c r="HE22">
        <v>0</v>
      </c>
      <c r="HF22">
        <v>0</v>
      </c>
      <c r="HG22">
        <v>-5.2782000000000003E-2</v>
      </c>
      <c r="HH22">
        <v>0</v>
      </c>
      <c r="HI22">
        <v>20.2699</v>
      </c>
      <c r="HJ22">
        <v>5.23346</v>
      </c>
      <c r="HK22">
        <v>11.962</v>
      </c>
      <c r="HL22">
        <v>4.9678000000000004</v>
      </c>
      <c r="HM22">
        <v>3.2951299999999999</v>
      </c>
      <c r="HN22">
        <v>9999</v>
      </c>
      <c r="HO22">
        <v>999.9</v>
      </c>
      <c r="HP22">
        <v>9999</v>
      </c>
      <c r="HQ22">
        <v>9999</v>
      </c>
      <c r="HR22">
        <v>4.9684100000000004</v>
      </c>
      <c r="HS22">
        <v>1.86202</v>
      </c>
      <c r="HT22">
        <v>1.8635600000000001</v>
      </c>
      <c r="HU22">
        <v>1.86554</v>
      </c>
      <c r="HV22">
        <v>1.86263</v>
      </c>
      <c r="HW22">
        <v>1.8663000000000001</v>
      </c>
      <c r="HX22">
        <v>1.8631</v>
      </c>
      <c r="HY22">
        <v>1.86493</v>
      </c>
      <c r="HZ22">
        <v>0</v>
      </c>
      <c r="IA22">
        <v>0</v>
      </c>
      <c r="IB22">
        <v>0</v>
      </c>
      <c r="IC22">
        <v>0</v>
      </c>
      <c r="ID22" t="s">
        <v>427</v>
      </c>
      <c r="IE22" t="s">
        <v>428</v>
      </c>
      <c r="IF22" t="s">
        <v>429</v>
      </c>
      <c r="IG22" t="s">
        <v>429</v>
      </c>
      <c r="IH22" t="s">
        <v>429</v>
      </c>
      <c r="II22" t="s">
        <v>429</v>
      </c>
      <c r="IJ22">
        <v>0</v>
      </c>
      <c r="IK22">
        <v>100</v>
      </c>
      <c r="IL22">
        <v>100</v>
      </c>
      <c r="IM22">
        <v>1.337</v>
      </c>
      <c r="IN22">
        <v>-9.4399999999999998E-2</v>
      </c>
      <c r="IO22">
        <v>0.91043272280072696</v>
      </c>
      <c r="IP22">
        <v>1.61658254425633E-3</v>
      </c>
      <c r="IQ22">
        <v>-1.89604851270483E-6</v>
      </c>
      <c r="IR22">
        <v>8.6681353432279101E-10</v>
      </c>
      <c r="IS22">
        <v>-4.47525518804959E-2</v>
      </c>
      <c r="IT22">
        <v>-3.5871989026399903E-2</v>
      </c>
      <c r="IU22">
        <v>1.9028800927848801E-3</v>
      </c>
      <c r="IV22">
        <v>-4.7539144078026999E-6</v>
      </c>
      <c r="IW22">
        <v>1</v>
      </c>
      <c r="IX22">
        <v>1704</v>
      </c>
      <c r="IY22">
        <v>4</v>
      </c>
      <c r="IZ22">
        <v>25</v>
      </c>
      <c r="JA22">
        <v>6.2</v>
      </c>
      <c r="JB22">
        <v>-2093272</v>
      </c>
      <c r="JC22">
        <v>0.162354</v>
      </c>
      <c r="JD22">
        <v>4.99878</v>
      </c>
      <c r="JE22">
        <v>0.239258</v>
      </c>
      <c r="JF22">
        <v>1.2206999999999999E-3</v>
      </c>
      <c r="JG22">
        <v>0.26733400000000002</v>
      </c>
      <c r="JH22">
        <v>4.99878</v>
      </c>
      <c r="JI22">
        <v>31.2591</v>
      </c>
      <c r="JJ22">
        <v>15.8569</v>
      </c>
      <c r="JK22">
        <v>2</v>
      </c>
      <c r="JL22">
        <v>-27.058299999999999</v>
      </c>
      <c r="JM22">
        <v>255.75700000000001</v>
      </c>
      <c r="JN22">
        <v>26.1616</v>
      </c>
      <c r="JO22">
        <v>26.630500000000001</v>
      </c>
      <c r="JP22">
        <v>30.0001</v>
      </c>
      <c r="JQ22">
        <v>26.638000000000002</v>
      </c>
      <c r="JR22">
        <v>26.5792</v>
      </c>
      <c r="JS22">
        <v>-1</v>
      </c>
      <c r="JT22">
        <v>-30</v>
      </c>
      <c r="JU22">
        <v>-30</v>
      </c>
      <c r="JV22">
        <v>-999.9</v>
      </c>
      <c r="JW22">
        <v>0</v>
      </c>
      <c r="JX22">
        <v>0</v>
      </c>
      <c r="JY22">
        <v>101.803</v>
      </c>
      <c r="JZ22">
        <v>97.544600000000003</v>
      </c>
    </row>
    <row r="23" spans="1:286" x14ac:dyDescent="0.4">
      <c r="A23">
        <v>7</v>
      </c>
      <c r="B23">
        <v>1664976477</v>
      </c>
      <c r="C23">
        <v>506.90000009536698</v>
      </c>
      <c r="D23" t="s">
        <v>446</v>
      </c>
      <c r="E23" t="s">
        <v>447</v>
      </c>
      <c r="F23">
        <v>5</v>
      </c>
      <c r="G23">
        <v>1664976468.5</v>
      </c>
      <c r="H23">
        <f t="shared" si="0"/>
        <v>4.6282521544694386E-4</v>
      </c>
      <c r="I23">
        <f t="shared" si="1"/>
        <v>0.46282521544694388</v>
      </c>
      <c r="J23">
        <f t="shared" si="2"/>
        <v>4.548053012248479</v>
      </c>
      <c r="K23">
        <f t="shared" si="3"/>
        <v>507.35362500000002</v>
      </c>
      <c r="L23">
        <f t="shared" si="4"/>
        <v>250.49147178069074</v>
      </c>
      <c r="M23">
        <f t="shared" si="5"/>
        <v>25.314451773173268</v>
      </c>
      <c r="N23">
        <f t="shared" si="6"/>
        <v>51.272719109781583</v>
      </c>
      <c r="O23">
        <f t="shared" si="7"/>
        <v>2.9558874425299673E-2</v>
      </c>
      <c r="P23">
        <f t="shared" si="8"/>
        <v>3.0288567106944537</v>
      </c>
      <c r="Q23">
        <f t="shared" si="9"/>
        <v>2.9399547305361384E-2</v>
      </c>
      <c r="R23">
        <f t="shared" si="10"/>
        <v>1.83889602385762E-2</v>
      </c>
      <c r="S23">
        <f t="shared" si="11"/>
        <v>6.3856599478895988E-4</v>
      </c>
      <c r="T23">
        <f t="shared" si="12"/>
        <v>26.306884319835945</v>
      </c>
      <c r="U23">
        <f t="shared" si="13"/>
        <v>25.92044375</v>
      </c>
      <c r="V23">
        <f t="shared" si="14"/>
        <v>3.3584063801127901</v>
      </c>
      <c r="W23">
        <f t="shared" si="15"/>
        <v>52.261876200042892</v>
      </c>
      <c r="X23">
        <f t="shared" si="16"/>
        <v>1.80814059127851</v>
      </c>
      <c r="Y23">
        <f t="shared" si="17"/>
        <v>3.4597697647851118</v>
      </c>
      <c r="Z23">
        <f t="shared" si="18"/>
        <v>1.5502657888342801</v>
      </c>
      <c r="AA23">
        <f t="shared" si="19"/>
        <v>-20.410592001210222</v>
      </c>
      <c r="AB23">
        <f t="shared" si="20"/>
        <v>82.162271567425705</v>
      </c>
      <c r="AC23">
        <f t="shared" si="21"/>
        <v>5.8058815030644642</v>
      </c>
      <c r="AD23">
        <f t="shared" si="22"/>
        <v>67.558199635274732</v>
      </c>
      <c r="AE23">
        <v>5</v>
      </c>
      <c r="AF23">
        <v>100</v>
      </c>
      <c r="AG23">
        <f t="shared" si="23"/>
        <v>1</v>
      </c>
      <c r="AH23">
        <f t="shared" si="24"/>
        <v>0</v>
      </c>
      <c r="AI23">
        <f t="shared" si="25"/>
        <v>53549.022885387603</v>
      </c>
      <c r="AJ23" t="s">
        <v>448</v>
      </c>
      <c r="AK23">
        <v>8112.42</v>
      </c>
      <c r="AL23">
        <v>203.565</v>
      </c>
      <c r="AM23">
        <v>1445.52</v>
      </c>
      <c r="AN23">
        <f t="shared" si="26"/>
        <v>0.85917524489457087</v>
      </c>
      <c r="AO23">
        <v>4.5480530122485403</v>
      </c>
      <c r="AP23" t="s">
        <v>423</v>
      </c>
      <c r="AQ23" t="s">
        <v>423</v>
      </c>
      <c r="AR23">
        <v>0</v>
      </c>
      <c r="AS23">
        <v>0</v>
      </c>
      <c r="AT23" t="e">
        <f t="shared" si="27"/>
        <v>#DIV/0!</v>
      </c>
      <c r="AU23">
        <v>0.5</v>
      </c>
      <c r="AV23">
        <f t="shared" si="28"/>
        <v>3.3608736567839995E-3</v>
      </c>
      <c r="AW23">
        <f t="shared" si="29"/>
        <v>4.548053012248479</v>
      </c>
      <c r="AX23" t="e">
        <f t="shared" si="30"/>
        <v>#DIV/0!</v>
      </c>
      <c r="AY23">
        <f t="shared" si="31"/>
        <v>-1.8234636947927177E-11</v>
      </c>
      <c r="AZ23" t="e">
        <f t="shared" si="32"/>
        <v>#DIV/0!</v>
      </c>
      <c r="BA23" t="e">
        <f t="shared" si="33"/>
        <v>#DIV/0!</v>
      </c>
      <c r="BB23" t="s">
        <v>423</v>
      </c>
      <c r="BC23">
        <v>0</v>
      </c>
      <c r="BD23" t="e">
        <f t="shared" si="34"/>
        <v>#DIV/0!</v>
      </c>
      <c r="BE23" t="e">
        <f t="shared" si="35"/>
        <v>#DIV/0!</v>
      </c>
      <c r="BF23" t="e">
        <f t="shared" si="36"/>
        <v>#DIV/0!</v>
      </c>
      <c r="BG23" t="e">
        <f t="shared" si="37"/>
        <v>#DIV/0!</v>
      </c>
      <c r="BH23">
        <f t="shared" si="38"/>
        <v>0</v>
      </c>
      <c r="BI23">
        <f t="shared" si="39"/>
        <v>1.1639069048395474</v>
      </c>
      <c r="BJ23" t="e">
        <f t="shared" si="40"/>
        <v>#DIV/0!</v>
      </c>
      <c r="BK23" t="e">
        <f t="shared" si="41"/>
        <v>#DIV/0!</v>
      </c>
      <c r="BL23">
        <v>939</v>
      </c>
      <c r="BM23">
        <v>290</v>
      </c>
      <c r="BN23">
        <v>1558.67</v>
      </c>
      <c r="BO23">
        <v>165</v>
      </c>
      <c r="BP23">
        <v>8114.57</v>
      </c>
      <c r="BQ23">
        <v>1551.92</v>
      </c>
      <c r="BR23">
        <v>6.75</v>
      </c>
      <c r="BS23">
        <v>300</v>
      </c>
      <c r="BT23">
        <v>19.2</v>
      </c>
      <c r="BU23">
        <v>1584.3896717483201</v>
      </c>
      <c r="BV23">
        <v>1.88110366540944</v>
      </c>
      <c r="BW23">
        <v>-26.347569484426199</v>
      </c>
      <c r="BX23">
        <v>1.36356822732003</v>
      </c>
      <c r="BY23">
        <v>0.93023713121789597</v>
      </c>
      <c r="BZ23">
        <v>-5.3779617352614001E-3</v>
      </c>
      <c r="CA23">
        <v>290</v>
      </c>
      <c r="CB23">
        <v>1543.03</v>
      </c>
      <c r="CC23">
        <v>615</v>
      </c>
      <c r="CD23">
        <v>8099.76</v>
      </c>
      <c r="CE23">
        <v>1551.86</v>
      </c>
      <c r="CF23">
        <v>-8.83</v>
      </c>
      <c r="CT23">
        <f t="shared" si="42"/>
        <v>2.0002599999999999E-2</v>
      </c>
      <c r="CU23">
        <f t="shared" si="43"/>
        <v>3.3608736567839995E-3</v>
      </c>
      <c r="CV23">
        <f t="shared" si="44"/>
        <v>0.16802183999999998</v>
      </c>
      <c r="CW23">
        <f t="shared" si="45"/>
        <v>3.1924149599999993E-2</v>
      </c>
      <c r="CX23">
        <v>2</v>
      </c>
      <c r="CY23">
        <v>0.5</v>
      </c>
      <c r="CZ23" t="s">
        <v>424</v>
      </c>
      <c r="DA23">
        <v>2</v>
      </c>
      <c r="DB23">
        <v>1664976468.5</v>
      </c>
      <c r="DC23">
        <v>507.35362500000002</v>
      </c>
      <c r="DD23">
        <v>502.58687500000002</v>
      </c>
      <c r="DE23">
        <v>17.891906250000002</v>
      </c>
      <c r="DF23">
        <v>18.344918750000001</v>
      </c>
      <c r="DG23">
        <v>505.99987499999997</v>
      </c>
      <c r="DH23">
        <v>17.993737500000002</v>
      </c>
      <c r="DI23">
        <v>-200.67631249999999</v>
      </c>
      <c r="DJ23">
        <v>101.0619375</v>
      </c>
      <c r="DK23">
        <v>-2.8012618750000002E-3</v>
      </c>
      <c r="DL23">
        <v>26.423606249999999</v>
      </c>
      <c r="DM23">
        <v>25.92044375</v>
      </c>
      <c r="DN23">
        <v>999.9</v>
      </c>
      <c r="DO23">
        <v>0</v>
      </c>
      <c r="DP23">
        <v>0</v>
      </c>
      <c r="DQ23">
        <v>10001.452499999999</v>
      </c>
      <c r="DR23">
        <v>0</v>
      </c>
      <c r="DS23">
        <v>0.21823999999999999</v>
      </c>
      <c r="DT23">
        <v>4.766861875</v>
      </c>
      <c r="DU23">
        <v>516.59643749999998</v>
      </c>
      <c r="DV23">
        <v>511.979375</v>
      </c>
      <c r="DW23">
        <v>-0.45300731249999998</v>
      </c>
      <c r="DX23">
        <v>502.58687500000002</v>
      </c>
      <c r="DY23">
        <v>18.344918750000001</v>
      </c>
      <c r="DZ23">
        <v>1.80819</v>
      </c>
      <c r="EA23">
        <v>1.8539725</v>
      </c>
      <c r="EB23">
        <v>15.857731250000001</v>
      </c>
      <c r="EC23">
        <v>16.249424999999999</v>
      </c>
      <c r="ED23">
        <v>2.0002599999999999E-2</v>
      </c>
      <c r="EE23">
        <v>0</v>
      </c>
      <c r="EF23">
        <v>0</v>
      </c>
      <c r="EG23">
        <v>0</v>
      </c>
      <c r="EH23">
        <v>203.52968749999999</v>
      </c>
      <c r="EI23">
        <v>2.0002599999999999E-2</v>
      </c>
      <c r="EJ23">
        <v>-9.2265625</v>
      </c>
      <c r="EK23">
        <v>0.35625000000000001</v>
      </c>
      <c r="EL23">
        <v>35.550375000000003</v>
      </c>
      <c r="EM23">
        <v>39.527124999999998</v>
      </c>
      <c r="EN23">
        <v>37.870874999999998</v>
      </c>
      <c r="EO23">
        <v>40.2145625</v>
      </c>
      <c r="EP23">
        <v>38.738</v>
      </c>
      <c r="EQ23">
        <v>0</v>
      </c>
      <c r="ER23">
        <v>0</v>
      </c>
      <c r="ES23">
        <v>0</v>
      </c>
      <c r="ET23">
        <v>104.40000009536701</v>
      </c>
      <c r="EU23">
        <v>0</v>
      </c>
      <c r="EV23">
        <v>203.565</v>
      </c>
      <c r="EW23">
        <v>-0.30769243131110902</v>
      </c>
      <c r="EX23">
        <v>5.5519228715104596</v>
      </c>
      <c r="EY23">
        <v>-8.9909999999999997</v>
      </c>
      <c r="EZ23">
        <v>15</v>
      </c>
      <c r="FA23">
        <v>1664976001.0999999</v>
      </c>
      <c r="FB23" t="s">
        <v>425</v>
      </c>
      <c r="FC23">
        <v>1664976001.0999999</v>
      </c>
      <c r="FD23">
        <v>1790572693.0999999</v>
      </c>
      <c r="FE23">
        <v>1</v>
      </c>
      <c r="FF23">
        <v>0.30399999999999999</v>
      </c>
      <c r="FG23">
        <v>0</v>
      </c>
      <c r="FH23">
        <v>1.337</v>
      </c>
      <c r="FI23">
        <v>-0.128</v>
      </c>
      <c r="FJ23">
        <v>462</v>
      </c>
      <c r="FK23">
        <v>17</v>
      </c>
      <c r="FL23">
        <v>0.87</v>
      </c>
      <c r="FM23">
        <v>0.1</v>
      </c>
      <c r="FN23">
        <v>-13.4922585086259</v>
      </c>
      <c r="FO23">
        <v>555.57192500016504</v>
      </c>
      <c r="FP23">
        <v>62.852140874615202</v>
      </c>
      <c r="FQ23">
        <v>0</v>
      </c>
      <c r="FR23">
        <v>-11.6105242857143</v>
      </c>
      <c r="FS23">
        <v>503.64587220779202</v>
      </c>
      <c r="FT23">
        <v>61.577480806188099</v>
      </c>
      <c r="FU23">
        <v>0</v>
      </c>
      <c r="FV23">
        <v>203.29779411764699</v>
      </c>
      <c r="FW23">
        <v>4.8689839403210398</v>
      </c>
      <c r="FX23">
        <v>3.1432137897700598</v>
      </c>
      <c r="FY23">
        <v>0</v>
      </c>
      <c r="FZ23">
        <v>-0.43944347619047602</v>
      </c>
      <c r="GA23">
        <v>-0.19490025974026101</v>
      </c>
      <c r="GB23">
        <v>4.0509332638552102E-2</v>
      </c>
      <c r="GC23">
        <v>-1</v>
      </c>
      <c r="GD23">
        <v>0</v>
      </c>
      <c r="GE23">
        <v>3</v>
      </c>
      <c r="GF23" t="s">
        <v>426</v>
      </c>
      <c r="GG23">
        <v>2.1432000000000002</v>
      </c>
      <c r="GH23">
        <v>2.6559599999999999</v>
      </c>
      <c r="GI23">
        <v>0.102316</v>
      </c>
      <c r="GJ23">
        <v>0.106877</v>
      </c>
      <c r="GK23">
        <v>9.4818600000000003E-2</v>
      </c>
      <c r="GL23">
        <v>9.9884399999999998E-2</v>
      </c>
      <c r="GM23">
        <v>17510.599999999999</v>
      </c>
      <c r="GN23">
        <v>26302.9</v>
      </c>
      <c r="GO23">
        <v>22787.5</v>
      </c>
      <c r="GP23">
        <v>30172.9</v>
      </c>
      <c r="GQ23">
        <v>33818.6</v>
      </c>
      <c r="GR23">
        <v>33813.599999999999</v>
      </c>
      <c r="GS23">
        <v>43102.9</v>
      </c>
      <c r="GT23">
        <v>42950.1</v>
      </c>
      <c r="GU23">
        <v>0.02</v>
      </c>
      <c r="GV23">
        <v>1.4281999999999999</v>
      </c>
      <c r="GW23">
        <v>9.7840999999999997E-2</v>
      </c>
      <c r="GX23">
        <v>0</v>
      </c>
      <c r="GY23">
        <v>24.397500000000001</v>
      </c>
      <c r="GZ23">
        <v>999.9</v>
      </c>
      <c r="HA23">
        <v>36.515999999999998</v>
      </c>
      <c r="HB23">
        <v>27.623999999999999</v>
      </c>
      <c r="HC23">
        <v>13.4138</v>
      </c>
      <c r="HD23">
        <v>62.990200000000002</v>
      </c>
      <c r="HE23">
        <v>0</v>
      </c>
      <c r="HF23">
        <v>0</v>
      </c>
      <c r="HG23">
        <v>-5.4951699999999999E-2</v>
      </c>
      <c r="HH23">
        <v>0</v>
      </c>
      <c r="HI23">
        <v>20.271699999999999</v>
      </c>
      <c r="HJ23">
        <v>5.2321200000000001</v>
      </c>
      <c r="HK23">
        <v>11.962</v>
      </c>
      <c r="HL23">
        <v>4.9693500000000004</v>
      </c>
      <c r="HM23">
        <v>3.2954500000000002</v>
      </c>
      <c r="HN23">
        <v>9999</v>
      </c>
      <c r="HO23">
        <v>999.9</v>
      </c>
      <c r="HP23">
        <v>9999</v>
      </c>
      <c r="HQ23">
        <v>9999</v>
      </c>
      <c r="HR23">
        <v>4.9684400000000002</v>
      </c>
      <c r="HS23">
        <v>1.8620000000000001</v>
      </c>
      <c r="HT23">
        <v>1.8635600000000001</v>
      </c>
      <c r="HU23">
        <v>1.86554</v>
      </c>
      <c r="HV23">
        <v>1.86263</v>
      </c>
      <c r="HW23">
        <v>1.86629</v>
      </c>
      <c r="HX23">
        <v>1.8631</v>
      </c>
      <c r="HY23">
        <v>1.86493</v>
      </c>
      <c r="HZ23">
        <v>0</v>
      </c>
      <c r="IA23">
        <v>0</v>
      </c>
      <c r="IB23">
        <v>0</v>
      </c>
      <c r="IC23">
        <v>0</v>
      </c>
      <c r="ID23" t="s">
        <v>427</v>
      </c>
      <c r="IE23" t="s">
        <v>428</v>
      </c>
      <c r="IF23" t="s">
        <v>429</v>
      </c>
      <c r="IG23" t="s">
        <v>429</v>
      </c>
      <c r="IH23" t="s">
        <v>429</v>
      </c>
      <c r="II23" t="s">
        <v>429</v>
      </c>
      <c r="IJ23">
        <v>0</v>
      </c>
      <c r="IK23">
        <v>100</v>
      </c>
      <c r="IL23">
        <v>100</v>
      </c>
      <c r="IM23">
        <v>1.349</v>
      </c>
      <c r="IN23">
        <v>-0.104</v>
      </c>
      <c r="IO23">
        <v>0.91043272280072696</v>
      </c>
      <c r="IP23">
        <v>1.61658254425633E-3</v>
      </c>
      <c r="IQ23">
        <v>-1.89604851270483E-6</v>
      </c>
      <c r="IR23">
        <v>8.6681353432279101E-10</v>
      </c>
      <c r="IS23">
        <v>-4.47525518804959E-2</v>
      </c>
      <c r="IT23">
        <v>-3.5871989026399903E-2</v>
      </c>
      <c r="IU23">
        <v>1.9028800927848801E-3</v>
      </c>
      <c r="IV23">
        <v>-4.7539144078026999E-6</v>
      </c>
      <c r="IW23">
        <v>1</v>
      </c>
      <c r="IX23">
        <v>1704</v>
      </c>
      <c r="IY23">
        <v>4</v>
      </c>
      <c r="IZ23">
        <v>25</v>
      </c>
      <c r="JA23">
        <v>7.9</v>
      </c>
      <c r="JB23">
        <v>-2093270.3</v>
      </c>
      <c r="JC23">
        <v>0.162354</v>
      </c>
      <c r="JD23">
        <v>4.99878</v>
      </c>
      <c r="JE23">
        <v>0.239258</v>
      </c>
      <c r="JF23">
        <v>1.2206999999999999E-3</v>
      </c>
      <c r="JG23">
        <v>0.26733400000000002</v>
      </c>
      <c r="JH23">
        <v>4.99878</v>
      </c>
      <c r="JI23">
        <v>31.2591</v>
      </c>
      <c r="JJ23">
        <v>15.8482</v>
      </c>
      <c r="JK23">
        <v>2</v>
      </c>
      <c r="JL23">
        <v>-27.062799999999999</v>
      </c>
      <c r="JM23">
        <v>254.18199999999999</v>
      </c>
      <c r="JN23">
        <v>26.148900000000001</v>
      </c>
      <c r="JO23">
        <v>26.607099999999999</v>
      </c>
      <c r="JP23">
        <v>29.9998</v>
      </c>
      <c r="JQ23">
        <v>26.614599999999999</v>
      </c>
      <c r="JR23">
        <v>26.574000000000002</v>
      </c>
      <c r="JS23">
        <v>-1</v>
      </c>
      <c r="JT23">
        <v>-30</v>
      </c>
      <c r="JU23">
        <v>-30</v>
      </c>
      <c r="JV23">
        <v>-999.9</v>
      </c>
      <c r="JW23">
        <v>0</v>
      </c>
      <c r="JX23">
        <v>0</v>
      </c>
      <c r="JY23">
        <v>101.78700000000001</v>
      </c>
      <c r="JZ23">
        <v>97.552099999999996</v>
      </c>
    </row>
    <row r="24" spans="1:286" x14ac:dyDescent="0.4">
      <c r="A24">
        <v>8</v>
      </c>
      <c r="B24">
        <v>1664976555</v>
      </c>
      <c r="C24">
        <v>584.90000009536698</v>
      </c>
      <c r="D24" t="s">
        <v>455</v>
      </c>
      <c r="E24" t="s">
        <v>456</v>
      </c>
      <c r="F24">
        <v>5</v>
      </c>
      <c r="G24">
        <v>1664976546.5</v>
      </c>
      <c r="H24">
        <f t="shared" si="0"/>
        <v>2.7229122198970713E-4</v>
      </c>
      <c r="I24">
        <f t="shared" si="1"/>
        <v>0.27229122198970712</v>
      </c>
      <c r="J24">
        <f t="shared" si="2"/>
        <v>-62.741775567465744</v>
      </c>
      <c r="K24">
        <f t="shared" si="3"/>
        <v>536.72006250000004</v>
      </c>
      <c r="L24">
        <f t="shared" si="4"/>
        <v>6390.5137719294999</v>
      </c>
      <c r="M24">
        <f t="shared" si="5"/>
        <v>645.80752868370007</v>
      </c>
      <c r="N24">
        <f t="shared" si="6"/>
        <v>54.239435126579984</v>
      </c>
      <c r="O24">
        <f t="shared" si="7"/>
        <v>1.6936166416696208E-2</v>
      </c>
      <c r="P24">
        <f t="shared" si="8"/>
        <v>3.0286881313835634</v>
      </c>
      <c r="Q24">
        <f t="shared" si="9"/>
        <v>1.6883728102606719E-2</v>
      </c>
      <c r="R24">
        <f t="shared" si="10"/>
        <v>1.055702782710392E-2</v>
      </c>
      <c r="S24">
        <f t="shared" si="11"/>
        <v>6.3856599478895988E-4</v>
      </c>
      <c r="T24">
        <f t="shared" si="12"/>
        <v>26.435918798272613</v>
      </c>
      <c r="U24">
        <f t="shared" si="13"/>
        <v>26.138124999999999</v>
      </c>
      <c r="V24">
        <f t="shared" si="14"/>
        <v>3.4019359370757383</v>
      </c>
      <c r="W24">
        <f t="shared" si="15"/>
        <v>52.187317602607827</v>
      </c>
      <c r="X24">
        <f t="shared" si="16"/>
        <v>1.8142037689427271</v>
      </c>
      <c r="Y24">
        <f t="shared" si="17"/>
        <v>3.4763307490861926</v>
      </c>
      <c r="Z24">
        <f t="shared" si="18"/>
        <v>1.5877321681330112</v>
      </c>
      <c r="AA24">
        <f t="shared" si="19"/>
        <v>-12.008042889746084</v>
      </c>
      <c r="AB24">
        <f t="shared" si="20"/>
        <v>59.836962459803637</v>
      </c>
      <c r="AC24">
        <f t="shared" si="21"/>
        <v>4.2348639930449643</v>
      </c>
      <c r="AD24">
        <f t="shared" si="22"/>
        <v>52.064422129097309</v>
      </c>
      <c r="AE24">
        <v>5</v>
      </c>
      <c r="AF24">
        <v>100</v>
      </c>
      <c r="AG24">
        <f t="shared" si="23"/>
        <v>1</v>
      </c>
      <c r="AH24">
        <f t="shared" si="24"/>
        <v>0</v>
      </c>
      <c r="AI24">
        <f t="shared" si="25"/>
        <v>53529.278959297757</v>
      </c>
      <c r="AJ24" t="s">
        <v>457</v>
      </c>
      <c r="AK24">
        <v>8117.05</v>
      </c>
      <c r="AL24">
        <v>219.47399999999999</v>
      </c>
      <c r="AM24">
        <v>1483.29</v>
      </c>
      <c r="AN24">
        <f t="shared" si="26"/>
        <v>0.8520356774467569</v>
      </c>
      <c r="AO24">
        <v>-62.741775567465602</v>
      </c>
      <c r="AP24" t="s">
        <v>423</v>
      </c>
      <c r="AQ24" t="s">
        <v>423</v>
      </c>
      <c r="AR24">
        <v>0</v>
      </c>
      <c r="AS24">
        <v>0</v>
      </c>
      <c r="AT24" t="e">
        <f t="shared" si="27"/>
        <v>#DIV/0!</v>
      </c>
      <c r="AU24">
        <v>0.5</v>
      </c>
      <c r="AV24">
        <f t="shared" si="28"/>
        <v>3.3608736567839995E-3</v>
      </c>
      <c r="AW24">
        <f t="shared" si="29"/>
        <v>-62.741775567465744</v>
      </c>
      <c r="AX24" t="e">
        <f t="shared" si="30"/>
        <v>#DIV/0!</v>
      </c>
      <c r="AY24">
        <f t="shared" si="31"/>
        <v>-4.2283216111135486E-11</v>
      </c>
      <c r="AZ24" t="e">
        <f t="shared" si="32"/>
        <v>#DIV/0!</v>
      </c>
      <c r="BA24" t="e">
        <f t="shared" si="33"/>
        <v>#DIV/0!</v>
      </c>
      <c r="BB24" t="s">
        <v>423</v>
      </c>
      <c r="BC24">
        <v>0</v>
      </c>
      <c r="BD24" t="e">
        <f t="shared" si="34"/>
        <v>#DIV/0!</v>
      </c>
      <c r="BE24" t="e">
        <f t="shared" si="35"/>
        <v>#DIV/0!</v>
      </c>
      <c r="BF24" t="e">
        <f t="shared" si="36"/>
        <v>#DIV/0!</v>
      </c>
      <c r="BG24" t="e">
        <f t="shared" si="37"/>
        <v>#DIV/0!</v>
      </c>
      <c r="BH24">
        <f t="shared" si="38"/>
        <v>0</v>
      </c>
      <c r="BI24">
        <f t="shared" si="39"/>
        <v>1.1736597732581324</v>
      </c>
      <c r="BJ24" t="e">
        <f t="shared" si="40"/>
        <v>#DIV/0!</v>
      </c>
      <c r="BK24" t="e">
        <f t="shared" si="41"/>
        <v>#DIV/0!</v>
      </c>
      <c r="BL24">
        <v>939</v>
      </c>
      <c r="BM24">
        <v>290</v>
      </c>
      <c r="BN24">
        <v>1558.67</v>
      </c>
      <c r="BO24">
        <v>165</v>
      </c>
      <c r="BP24">
        <v>8114.57</v>
      </c>
      <c r="BQ24">
        <v>1551.92</v>
      </c>
      <c r="BR24">
        <v>6.75</v>
      </c>
      <c r="BS24">
        <v>300</v>
      </c>
      <c r="BT24">
        <v>19.2</v>
      </c>
      <c r="BU24">
        <v>1584.3896717483201</v>
      </c>
      <c r="BV24">
        <v>1.88110366540944</v>
      </c>
      <c r="BW24">
        <v>-26.347569484426199</v>
      </c>
      <c r="BX24">
        <v>1.36356822732003</v>
      </c>
      <c r="BY24">
        <v>0.93023713121789597</v>
      </c>
      <c r="BZ24">
        <v>-5.3779617352614001E-3</v>
      </c>
      <c r="CA24">
        <v>290</v>
      </c>
      <c r="CB24">
        <v>1543.03</v>
      </c>
      <c r="CC24">
        <v>615</v>
      </c>
      <c r="CD24">
        <v>8099.76</v>
      </c>
      <c r="CE24">
        <v>1551.86</v>
      </c>
      <c r="CF24">
        <v>-8.83</v>
      </c>
      <c r="CT24">
        <f t="shared" si="42"/>
        <v>2.0002599999999999E-2</v>
      </c>
      <c r="CU24">
        <f t="shared" si="43"/>
        <v>3.3608736567839995E-3</v>
      </c>
      <c r="CV24">
        <f t="shared" si="44"/>
        <v>0.16802183999999998</v>
      </c>
      <c r="CW24">
        <f t="shared" si="45"/>
        <v>3.1924149599999993E-2</v>
      </c>
      <c r="CX24">
        <v>2</v>
      </c>
      <c r="CY24">
        <v>0.5</v>
      </c>
      <c r="CZ24" t="s">
        <v>424</v>
      </c>
      <c r="DA24">
        <v>2</v>
      </c>
      <c r="DB24">
        <v>1664976546.5</v>
      </c>
      <c r="DC24">
        <v>536.72006250000004</v>
      </c>
      <c r="DD24">
        <v>599.02531250000004</v>
      </c>
      <c r="DE24">
        <v>17.952243750000001</v>
      </c>
      <c r="DF24">
        <v>18.218406250000001</v>
      </c>
      <c r="DG24">
        <v>535.35518750000006</v>
      </c>
      <c r="DH24">
        <v>18.052387499999998</v>
      </c>
      <c r="DI24">
        <v>-200.93212500000001</v>
      </c>
      <c r="DJ24">
        <v>101.06037499999999</v>
      </c>
      <c r="DK24">
        <v>-3.1592999999999999E-3</v>
      </c>
      <c r="DL24">
        <v>26.5045875</v>
      </c>
      <c r="DM24">
        <v>26.138124999999999</v>
      </c>
      <c r="DN24">
        <v>999.9</v>
      </c>
      <c r="DO24">
        <v>0</v>
      </c>
      <c r="DP24">
        <v>0</v>
      </c>
      <c r="DQ24">
        <v>10000.588125</v>
      </c>
      <c r="DR24">
        <v>0</v>
      </c>
      <c r="DS24">
        <v>0.21823999999999999</v>
      </c>
      <c r="DT24">
        <v>-62.30528125</v>
      </c>
      <c r="DU24">
        <v>546.5340625</v>
      </c>
      <c r="DV24">
        <v>610.14099999999996</v>
      </c>
      <c r="DW24">
        <v>-0.26617706250000001</v>
      </c>
      <c r="DX24">
        <v>599.02531250000004</v>
      </c>
      <c r="DY24">
        <v>18.218406250000001</v>
      </c>
      <c r="DZ24">
        <v>1.814259375</v>
      </c>
      <c r="EA24">
        <v>1.8411575</v>
      </c>
      <c r="EB24">
        <v>15.91005625</v>
      </c>
      <c r="EC24">
        <v>16.14066875</v>
      </c>
      <c r="ED24">
        <v>2.0002599999999999E-2</v>
      </c>
      <c r="EE24">
        <v>0</v>
      </c>
      <c r="EF24">
        <v>0</v>
      </c>
      <c r="EG24">
        <v>0</v>
      </c>
      <c r="EH24">
        <v>220.08750000000001</v>
      </c>
      <c r="EI24">
        <v>2.0002599999999999E-2</v>
      </c>
      <c r="EJ24">
        <v>-7</v>
      </c>
      <c r="EK24">
        <v>0.51875000000000004</v>
      </c>
      <c r="EL24">
        <v>36.034875</v>
      </c>
      <c r="EM24">
        <v>40.534937499999998</v>
      </c>
      <c r="EN24">
        <v>38.476312499999999</v>
      </c>
      <c r="EO24">
        <v>41.863062499999998</v>
      </c>
      <c r="EP24">
        <v>39.367062500000003</v>
      </c>
      <c r="EQ24">
        <v>0</v>
      </c>
      <c r="ER24">
        <v>0</v>
      </c>
      <c r="ES24">
        <v>0</v>
      </c>
      <c r="ET24">
        <v>76.299999952316298</v>
      </c>
      <c r="EU24">
        <v>0</v>
      </c>
      <c r="EV24">
        <v>219.47399999999999</v>
      </c>
      <c r="EW24">
        <v>13.0980768599507</v>
      </c>
      <c r="EX24">
        <v>-1.49615384598927</v>
      </c>
      <c r="EY24">
        <v>-6.12</v>
      </c>
      <c r="EZ24">
        <v>15</v>
      </c>
      <c r="FA24">
        <v>1664976001.0999999</v>
      </c>
      <c r="FB24" t="s">
        <v>425</v>
      </c>
      <c r="FC24">
        <v>1664976001.0999999</v>
      </c>
      <c r="FD24">
        <v>1790572693.0999999</v>
      </c>
      <c r="FE24">
        <v>1</v>
      </c>
      <c r="FF24">
        <v>0.30399999999999999</v>
      </c>
      <c r="FG24">
        <v>0</v>
      </c>
      <c r="FH24">
        <v>1.337</v>
      </c>
      <c r="FI24">
        <v>-0.128</v>
      </c>
      <c r="FJ24">
        <v>462</v>
      </c>
      <c r="FK24">
        <v>17</v>
      </c>
      <c r="FL24">
        <v>0.87</v>
      </c>
      <c r="FM24">
        <v>0.1</v>
      </c>
      <c r="FN24">
        <v>-60.9771423314806</v>
      </c>
      <c r="FO24">
        <v>-121.430052754187</v>
      </c>
      <c r="FP24">
        <v>28.279735805984</v>
      </c>
      <c r="FQ24">
        <v>-1</v>
      </c>
      <c r="FR24">
        <v>-60.616938095238098</v>
      </c>
      <c r="FS24">
        <v>-105.175441558442</v>
      </c>
      <c r="FT24">
        <v>27.4045887085231</v>
      </c>
      <c r="FU24">
        <v>-1</v>
      </c>
      <c r="FV24">
        <v>219.50441176470599</v>
      </c>
      <c r="FW24">
        <v>4.4407944411726099</v>
      </c>
      <c r="FX24">
        <v>2.75320982852045</v>
      </c>
      <c r="FY24">
        <v>0</v>
      </c>
      <c r="FZ24">
        <v>-0.226142628571429</v>
      </c>
      <c r="GA24">
        <v>-1.0211814545454501</v>
      </c>
      <c r="GB24">
        <v>0.10386033958862199</v>
      </c>
      <c r="GC24">
        <v>-1</v>
      </c>
      <c r="GD24">
        <v>0</v>
      </c>
      <c r="GE24">
        <v>1</v>
      </c>
      <c r="GF24" t="s">
        <v>458</v>
      </c>
      <c r="GG24">
        <v>2.1430199999999999</v>
      </c>
      <c r="GH24">
        <v>2.65524</v>
      </c>
      <c r="GI24">
        <v>0.104167</v>
      </c>
      <c r="GJ24">
        <v>0.116008</v>
      </c>
      <c r="GK24">
        <v>9.4848500000000002E-2</v>
      </c>
      <c r="GL24">
        <v>9.9589499999999997E-2</v>
      </c>
      <c r="GM24">
        <v>17476.8</v>
      </c>
      <c r="GN24">
        <v>26037.8</v>
      </c>
      <c r="GO24">
        <v>22790.400000000001</v>
      </c>
      <c r="GP24">
        <v>30177.1</v>
      </c>
      <c r="GQ24">
        <v>33821.1</v>
      </c>
      <c r="GR24">
        <v>33829.599999999999</v>
      </c>
      <c r="GS24">
        <v>43107.7</v>
      </c>
      <c r="GT24">
        <v>42955.5</v>
      </c>
      <c r="GU24">
        <v>0.02</v>
      </c>
      <c r="GV24">
        <v>1.42953</v>
      </c>
      <c r="GW24">
        <v>9.8481799999999994E-2</v>
      </c>
      <c r="GX24">
        <v>0</v>
      </c>
      <c r="GY24">
        <v>24.494700000000002</v>
      </c>
      <c r="GZ24">
        <v>999.9</v>
      </c>
      <c r="HA24">
        <v>36.4</v>
      </c>
      <c r="HB24">
        <v>27.643999999999998</v>
      </c>
      <c r="HC24">
        <v>13.387499999999999</v>
      </c>
      <c r="HD24">
        <v>63.350200000000001</v>
      </c>
      <c r="HE24">
        <v>0</v>
      </c>
      <c r="HF24">
        <v>0</v>
      </c>
      <c r="HG24">
        <v>-5.8572199999999998E-2</v>
      </c>
      <c r="HH24">
        <v>0</v>
      </c>
      <c r="HI24">
        <v>20.271799999999999</v>
      </c>
      <c r="HJ24">
        <v>5.2345100000000002</v>
      </c>
      <c r="HK24">
        <v>11.962</v>
      </c>
      <c r="HL24">
        <v>4.9678500000000003</v>
      </c>
      <c r="HM24">
        <v>3.2950499999999998</v>
      </c>
      <c r="HN24">
        <v>9999</v>
      </c>
      <c r="HO24">
        <v>999.9</v>
      </c>
      <c r="HP24">
        <v>9999</v>
      </c>
      <c r="HQ24">
        <v>9999</v>
      </c>
      <c r="HR24">
        <v>4.9684100000000004</v>
      </c>
      <c r="HS24">
        <v>1.8619300000000001</v>
      </c>
      <c r="HT24">
        <v>1.86355</v>
      </c>
      <c r="HU24">
        <v>1.86554</v>
      </c>
      <c r="HV24">
        <v>1.8626199999999999</v>
      </c>
      <c r="HW24">
        <v>1.8663000000000001</v>
      </c>
      <c r="HX24">
        <v>1.8631</v>
      </c>
      <c r="HY24">
        <v>1.86493</v>
      </c>
      <c r="HZ24">
        <v>0</v>
      </c>
      <c r="IA24">
        <v>0</v>
      </c>
      <c r="IB24">
        <v>0</v>
      </c>
      <c r="IC24">
        <v>0</v>
      </c>
      <c r="ID24" t="s">
        <v>427</v>
      </c>
      <c r="IE24" t="s">
        <v>428</v>
      </c>
      <c r="IF24" t="s">
        <v>429</v>
      </c>
      <c r="IG24" t="s">
        <v>429</v>
      </c>
      <c r="IH24" t="s">
        <v>429</v>
      </c>
      <c r="II24" t="s">
        <v>429</v>
      </c>
      <c r="IJ24">
        <v>0</v>
      </c>
      <c r="IK24">
        <v>100</v>
      </c>
      <c r="IL24">
        <v>100</v>
      </c>
      <c r="IM24">
        <v>1.353</v>
      </c>
      <c r="IN24">
        <v>-0.1038</v>
      </c>
      <c r="IO24">
        <v>0.91043272280072696</v>
      </c>
      <c r="IP24">
        <v>1.61658254425633E-3</v>
      </c>
      <c r="IQ24">
        <v>-1.89604851270483E-6</v>
      </c>
      <c r="IR24">
        <v>8.6681353432279101E-10</v>
      </c>
      <c r="IS24">
        <v>-4.47525518804959E-2</v>
      </c>
      <c r="IT24">
        <v>-3.5871989026399903E-2</v>
      </c>
      <c r="IU24">
        <v>1.9028800927848801E-3</v>
      </c>
      <c r="IV24">
        <v>-4.7539144078026999E-6</v>
      </c>
      <c r="IW24">
        <v>1</v>
      </c>
      <c r="IX24">
        <v>1704</v>
      </c>
      <c r="IY24">
        <v>4</v>
      </c>
      <c r="IZ24">
        <v>25</v>
      </c>
      <c r="JA24">
        <v>9.1999999999999993</v>
      </c>
      <c r="JB24">
        <v>-2093269</v>
      </c>
      <c r="JC24">
        <v>0.162354</v>
      </c>
      <c r="JD24">
        <v>4.99878</v>
      </c>
      <c r="JE24">
        <v>0.239258</v>
      </c>
      <c r="JF24">
        <v>1.2206999999999999E-3</v>
      </c>
      <c r="JG24">
        <v>0.26733400000000002</v>
      </c>
      <c r="JH24">
        <v>4.99878</v>
      </c>
      <c r="JI24">
        <v>31.237400000000001</v>
      </c>
      <c r="JJ24">
        <v>15.839399999999999</v>
      </c>
      <c r="JK24">
        <v>2</v>
      </c>
      <c r="JL24">
        <v>-27.069299999999998</v>
      </c>
      <c r="JM24">
        <v>254.66499999999999</v>
      </c>
      <c r="JN24">
        <v>26.1661</v>
      </c>
      <c r="JO24">
        <v>26.5745</v>
      </c>
      <c r="JP24">
        <v>29.9999</v>
      </c>
      <c r="JQ24">
        <v>26.581600000000002</v>
      </c>
      <c r="JR24">
        <v>26.557600000000001</v>
      </c>
      <c r="JS24">
        <v>-1</v>
      </c>
      <c r="JT24">
        <v>-30</v>
      </c>
      <c r="JU24">
        <v>-30</v>
      </c>
      <c r="JV24">
        <v>-999.9</v>
      </c>
      <c r="JW24">
        <v>0</v>
      </c>
      <c r="JX24">
        <v>0</v>
      </c>
      <c r="JY24">
        <v>101.79900000000001</v>
      </c>
      <c r="JZ24">
        <v>97.565100000000001</v>
      </c>
    </row>
    <row r="25" spans="1:286" x14ac:dyDescent="0.4">
      <c r="A25">
        <v>9</v>
      </c>
      <c r="B25">
        <v>1664976640</v>
      </c>
      <c r="C25">
        <v>669.90000009536698</v>
      </c>
      <c r="D25" t="s">
        <v>459</v>
      </c>
      <c r="E25" t="s">
        <v>460</v>
      </c>
      <c r="F25">
        <v>5</v>
      </c>
      <c r="G25">
        <v>1664976632</v>
      </c>
      <c r="H25">
        <f t="shared" si="0"/>
        <v>2.8018199008574229E-4</v>
      </c>
      <c r="I25">
        <f t="shared" si="1"/>
        <v>0.28018199008574229</v>
      </c>
      <c r="J25">
        <f t="shared" si="2"/>
        <v>4.0511204610738956</v>
      </c>
      <c r="K25">
        <f t="shared" si="3"/>
        <v>460.53933333333299</v>
      </c>
      <c r="L25">
        <f t="shared" si="4"/>
        <v>81.880295194504342</v>
      </c>
      <c r="M25">
        <f t="shared" si="5"/>
        <v>8.2748134356164407</v>
      </c>
      <c r="N25">
        <f t="shared" si="6"/>
        <v>46.542053299195743</v>
      </c>
      <c r="O25">
        <f t="shared" si="7"/>
        <v>1.7486738713516716E-2</v>
      </c>
      <c r="P25">
        <f t="shared" si="8"/>
        <v>3.0277443548180898</v>
      </c>
      <c r="Q25">
        <f t="shared" si="9"/>
        <v>1.7430824292732489E-2</v>
      </c>
      <c r="R25">
        <f t="shared" si="10"/>
        <v>1.0899273887269564E-2</v>
      </c>
      <c r="S25">
        <f t="shared" si="11"/>
        <v>6.3856599478895988E-4</v>
      </c>
      <c r="T25">
        <f t="shared" si="12"/>
        <v>26.462115321447996</v>
      </c>
      <c r="U25">
        <f t="shared" si="13"/>
        <v>26.039453333333299</v>
      </c>
      <c r="V25">
        <f t="shared" si="14"/>
        <v>3.3821439631037138</v>
      </c>
      <c r="W25">
        <f t="shared" si="15"/>
        <v>51.674257079798245</v>
      </c>
      <c r="X25">
        <f t="shared" si="16"/>
        <v>1.7993571517699949</v>
      </c>
      <c r="Y25">
        <f t="shared" si="17"/>
        <v>3.4821151835648609</v>
      </c>
      <c r="Z25">
        <f t="shared" si="18"/>
        <v>1.5827868113337189</v>
      </c>
      <c r="AA25">
        <f t="shared" si="19"/>
        <v>-12.356025762781234</v>
      </c>
      <c r="AB25">
        <f t="shared" si="20"/>
        <v>80.528753349121104</v>
      </c>
      <c r="AC25">
        <f t="shared" si="21"/>
        <v>5.6990572307391005</v>
      </c>
      <c r="AD25">
        <f t="shared" si="22"/>
        <v>73.872423383073766</v>
      </c>
      <c r="AE25">
        <v>5</v>
      </c>
      <c r="AF25">
        <v>100</v>
      </c>
      <c r="AG25">
        <f t="shared" si="23"/>
        <v>1</v>
      </c>
      <c r="AH25">
        <f t="shared" si="24"/>
        <v>0</v>
      </c>
      <c r="AI25">
        <f t="shared" si="25"/>
        <v>53495.000317762286</v>
      </c>
      <c r="AJ25" t="s">
        <v>461</v>
      </c>
      <c r="AK25">
        <v>8116.57</v>
      </c>
      <c r="AL25">
        <v>227.59200000000001</v>
      </c>
      <c r="AM25">
        <v>1494.59</v>
      </c>
      <c r="AN25">
        <f t="shared" si="26"/>
        <v>0.84772278685124347</v>
      </c>
      <c r="AO25">
        <v>4.0511204610738298</v>
      </c>
      <c r="AP25" t="s">
        <v>423</v>
      </c>
      <c r="AQ25" t="s">
        <v>423</v>
      </c>
      <c r="AR25">
        <v>0</v>
      </c>
      <c r="AS25">
        <v>0</v>
      </c>
      <c r="AT25" t="e">
        <f t="shared" si="27"/>
        <v>#DIV/0!</v>
      </c>
      <c r="AU25">
        <v>0.5</v>
      </c>
      <c r="AV25">
        <f t="shared" si="28"/>
        <v>3.3608736567839995E-3</v>
      </c>
      <c r="AW25">
        <f t="shared" si="29"/>
        <v>4.0511204610738956</v>
      </c>
      <c r="AX25" t="e">
        <f t="shared" si="30"/>
        <v>#DIV/0!</v>
      </c>
      <c r="AY25">
        <f t="shared" si="31"/>
        <v>1.9555987451400162E-11</v>
      </c>
      <c r="AZ25" t="e">
        <f t="shared" si="32"/>
        <v>#DIV/0!</v>
      </c>
      <c r="BA25" t="e">
        <f t="shared" si="33"/>
        <v>#DIV/0!</v>
      </c>
      <c r="BB25" t="s">
        <v>423</v>
      </c>
      <c r="BC25">
        <v>0</v>
      </c>
      <c r="BD25" t="e">
        <f t="shared" si="34"/>
        <v>#DIV/0!</v>
      </c>
      <c r="BE25" t="e">
        <f t="shared" si="35"/>
        <v>#DIV/0!</v>
      </c>
      <c r="BF25" t="e">
        <f t="shared" si="36"/>
        <v>#DIV/0!</v>
      </c>
      <c r="BG25" t="e">
        <f t="shared" si="37"/>
        <v>#DIV/0!</v>
      </c>
      <c r="BH25">
        <f t="shared" si="38"/>
        <v>0</v>
      </c>
      <c r="BI25">
        <f t="shared" si="39"/>
        <v>1.1796309070732551</v>
      </c>
      <c r="BJ25" t="e">
        <f t="shared" si="40"/>
        <v>#DIV/0!</v>
      </c>
      <c r="BK25" t="e">
        <f t="shared" si="41"/>
        <v>#DIV/0!</v>
      </c>
      <c r="BL25">
        <v>939</v>
      </c>
      <c r="BM25">
        <v>290</v>
      </c>
      <c r="BN25">
        <v>1558.67</v>
      </c>
      <c r="BO25">
        <v>165</v>
      </c>
      <c r="BP25">
        <v>8114.57</v>
      </c>
      <c r="BQ25">
        <v>1551.92</v>
      </c>
      <c r="BR25">
        <v>6.75</v>
      </c>
      <c r="BS25">
        <v>300</v>
      </c>
      <c r="BT25">
        <v>19.2</v>
      </c>
      <c r="BU25">
        <v>1584.3896717483201</v>
      </c>
      <c r="BV25">
        <v>1.88110366540944</v>
      </c>
      <c r="BW25">
        <v>-26.347569484426199</v>
      </c>
      <c r="BX25">
        <v>1.36356822732003</v>
      </c>
      <c r="BY25">
        <v>0.93023713121789597</v>
      </c>
      <c r="BZ25">
        <v>-5.3779617352614001E-3</v>
      </c>
      <c r="CA25">
        <v>290</v>
      </c>
      <c r="CB25">
        <v>1543.03</v>
      </c>
      <c r="CC25">
        <v>615</v>
      </c>
      <c r="CD25">
        <v>8099.76</v>
      </c>
      <c r="CE25">
        <v>1551.86</v>
      </c>
      <c r="CF25">
        <v>-8.83</v>
      </c>
      <c r="CT25">
        <f t="shared" si="42"/>
        <v>2.0002599999999999E-2</v>
      </c>
      <c r="CU25">
        <f t="shared" si="43"/>
        <v>3.3608736567839995E-3</v>
      </c>
      <c r="CV25">
        <f t="shared" si="44"/>
        <v>0.16802183999999998</v>
      </c>
      <c r="CW25">
        <f t="shared" si="45"/>
        <v>3.1924149599999993E-2</v>
      </c>
      <c r="CX25">
        <v>2</v>
      </c>
      <c r="CY25">
        <v>0.5</v>
      </c>
      <c r="CZ25" t="s">
        <v>424</v>
      </c>
      <c r="DA25">
        <v>2</v>
      </c>
      <c r="DB25">
        <v>1664976632</v>
      </c>
      <c r="DC25">
        <v>460.53933333333299</v>
      </c>
      <c r="DD25">
        <v>456.37953333333297</v>
      </c>
      <c r="DE25">
        <v>17.804860000000001</v>
      </c>
      <c r="DF25">
        <v>18.078713333333301</v>
      </c>
      <c r="DG25">
        <v>459.202333333333</v>
      </c>
      <c r="DH25">
        <v>17.909026666666701</v>
      </c>
      <c r="DI25">
        <v>-200.97866666666701</v>
      </c>
      <c r="DJ25">
        <v>101.0622</v>
      </c>
      <c r="DK25">
        <v>-2.3123193333333299E-3</v>
      </c>
      <c r="DL25">
        <v>26.532793333333299</v>
      </c>
      <c r="DM25">
        <v>26.039453333333299</v>
      </c>
      <c r="DN25">
        <v>999.9</v>
      </c>
      <c r="DO25">
        <v>0</v>
      </c>
      <c r="DP25">
        <v>0</v>
      </c>
      <c r="DQ25">
        <v>9994.7046666666702</v>
      </c>
      <c r="DR25">
        <v>0</v>
      </c>
      <c r="DS25">
        <v>0.21823999999999999</v>
      </c>
      <c r="DT25">
        <v>4.1597551333333298</v>
      </c>
      <c r="DU25">
        <v>468.88833333333298</v>
      </c>
      <c r="DV25">
        <v>464.78213333333298</v>
      </c>
      <c r="DW25">
        <v>-0.27385700000000002</v>
      </c>
      <c r="DX25">
        <v>456.37953333333297</v>
      </c>
      <c r="DY25">
        <v>18.078713333333301</v>
      </c>
      <c r="DZ25">
        <v>1.7993980000000001</v>
      </c>
      <c r="EA25">
        <v>1.8270726666666699</v>
      </c>
      <c r="EB25">
        <v>15.7813</v>
      </c>
      <c r="EC25">
        <v>16.020326666666701</v>
      </c>
      <c r="ED25">
        <v>2.0002599999999999E-2</v>
      </c>
      <c r="EE25">
        <v>0</v>
      </c>
      <c r="EF25">
        <v>0</v>
      </c>
      <c r="EG25">
        <v>0</v>
      </c>
      <c r="EH25">
        <v>227.87</v>
      </c>
      <c r="EI25">
        <v>2.0002599999999999E-2</v>
      </c>
      <c r="EJ25">
        <v>-8.9849999999999994</v>
      </c>
      <c r="EK25">
        <v>0.52500000000000002</v>
      </c>
      <c r="EL25">
        <v>35.537266666666703</v>
      </c>
      <c r="EM25">
        <v>38.541400000000003</v>
      </c>
      <c r="EN25">
        <v>37.287266666666703</v>
      </c>
      <c r="EO25">
        <v>38.941400000000002</v>
      </c>
      <c r="EP25">
        <v>38.224733333333297</v>
      </c>
      <c r="EQ25">
        <v>0</v>
      </c>
      <c r="ER25">
        <v>0</v>
      </c>
      <c r="ES25">
        <v>0</v>
      </c>
      <c r="ET25">
        <v>83.700000047683702</v>
      </c>
      <c r="EU25">
        <v>0</v>
      </c>
      <c r="EV25">
        <v>227.59200000000001</v>
      </c>
      <c r="EW25">
        <v>-3.87500011943823</v>
      </c>
      <c r="EX25">
        <v>5.7269231097115396</v>
      </c>
      <c r="EY25">
        <v>-9.0329999999999995</v>
      </c>
      <c r="EZ25">
        <v>15</v>
      </c>
      <c r="FA25">
        <v>1664976001.0999999</v>
      </c>
      <c r="FB25" t="s">
        <v>425</v>
      </c>
      <c r="FC25">
        <v>1664976001.0999999</v>
      </c>
      <c r="FD25">
        <v>1790572693.0999999</v>
      </c>
      <c r="FE25">
        <v>1</v>
      </c>
      <c r="FF25">
        <v>0.30399999999999999</v>
      </c>
      <c r="FG25">
        <v>0</v>
      </c>
      <c r="FH25">
        <v>1.337</v>
      </c>
      <c r="FI25">
        <v>-0.128</v>
      </c>
      <c r="FJ25">
        <v>462</v>
      </c>
      <c r="FK25">
        <v>17</v>
      </c>
      <c r="FL25">
        <v>0.87</v>
      </c>
      <c r="FM25">
        <v>0.1</v>
      </c>
      <c r="FN25">
        <v>2.8744870691948199</v>
      </c>
      <c r="FO25">
        <v>41.353281317753797</v>
      </c>
      <c r="FP25">
        <v>5.7570478844350799</v>
      </c>
      <c r="FQ25">
        <v>-1</v>
      </c>
      <c r="FR25">
        <v>2.8215704761904798</v>
      </c>
      <c r="FS25">
        <v>32.538126779220804</v>
      </c>
      <c r="FT25">
        <v>5.6075089703875296</v>
      </c>
      <c r="FU25">
        <v>-1</v>
      </c>
      <c r="FV25">
        <v>226.976470588235</v>
      </c>
      <c r="FW25">
        <v>5.2750189896226196</v>
      </c>
      <c r="FX25">
        <v>2.41447793937389</v>
      </c>
      <c r="FY25">
        <v>0</v>
      </c>
      <c r="FZ25">
        <v>-0.29091071428571402</v>
      </c>
      <c r="GA25">
        <v>0.43064096103896099</v>
      </c>
      <c r="GB25">
        <v>8.1355319723709102E-2</v>
      </c>
      <c r="GC25">
        <v>-1</v>
      </c>
      <c r="GD25">
        <v>0</v>
      </c>
      <c r="GE25">
        <v>1</v>
      </c>
      <c r="GF25" t="s">
        <v>458</v>
      </c>
      <c r="GG25">
        <v>2.14086</v>
      </c>
      <c r="GH25">
        <v>2.6553900000000001</v>
      </c>
      <c r="GI25">
        <v>9.7100000000000006E-2</v>
      </c>
      <c r="GJ25">
        <v>0.100393</v>
      </c>
      <c r="GK25">
        <v>9.4716099999999998E-2</v>
      </c>
      <c r="GL25">
        <v>9.94371E-2</v>
      </c>
      <c r="GM25">
        <v>17616.5</v>
      </c>
      <c r="GN25">
        <v>26501.1</v>
      </c>
      <c r="GO25">
        <v>22792.6</v>
      </c>
      <c r="GP25">
        <v>30180.7</v>
      </c>
      <c r="GQ25">
        <v>33828.300000000003</v>
      </c>
      <c r="GR25">
        <v>33838.5</v>
      </c>
      <c r="GS25">
        <v>43110.9</v>
      </c>
      <c r="GT25">
        <v>42960.9</v>
      </c>
      <c r="GU25">
        <v>0.02</v>
      </c>
      <c r="GV25">
        <v>1.43475</v>
      </c>
      <c r="GW25">
        <v>8.8080800000000001E-2</v>
      </c>
      <c r="GX25">
        <v>0</v>
      </c>
      <c r="GY25">
        <v>24.571999999999999</v>
      </c>
      <c r="GZ25">
        <v>999.9</v>
      </c>
      <c r="HA25">
        <v>36.283999999999999</v>
      </c>
      <c r="HB25">
        <v>27.654</v>
      </c>
      <c r="HC25">
        <v>13.352</v>
      </c>
      <c r="HD25">
        <v>63.310200000000002</v>
      </c>
      <c r="HE25">
        <v>0</v>
      </c>
      <c r="HF25">
        <v>0</v>
      </c>
      <c r="HG25">
        <v>-6.2218000000000002E-2</v>
      </c>
      <c r="HH25">
        <v>0</v>
      </c>
      <c r="HI25">
        <v>20.2699</v>
      </c>
      <c r="HJ25">
        <v>5.2351099999999997</v>
      </c>
      <c r="HK25">
        <v>11.962</v>
      </c>
      <c r="HL25">
        <v>4.9694500000000001</v>
      </c>
      <c r="HM25">
        <v>3.2952499999999998</v>
      </c>
      <c r="HN25">
        <v>9999</v>
      </c>
      <c r="HO25">
        <v>999.9</v>
      </c>
      <c r="HP25">
        <v>9999</v>
      </c>
      <c r="HQ25">
        <v>9999</v>
      </c>
      <c r="HR25">
        <v>4.9684100000000004</v>
      </c>
      <c r="HS25">
        <v>1.8620000000000001</v>
      </c>
      <c r="HT25">
        <v>1.8635600000000001</v>
      </c>
      <c r="HU25">
        <v>1.86554</v>
      </c>
      <c r="HV25">
        <v>1.86263</v>
      </c>
      <c r="HW25">
        <v>1.8663000000000001</v>
      </c>
      <c r="HX25">
        <v>1.8631</v>
      </c>
      <c r="HY25">
        <v>1.86493</v>
      </c>
      <c r="HZ25">
        <v>0</v>
      </c>
      <c r="IA25">
        <v>0</v>
      </c>
      <c r="IB25">
        <v>0</v>
      </c>
      <c r="IC25">
        <v>0</v>
      </c>
      <c r="ID25" t="s">
        <v>427</v>
      </c>
      <c r="IE25" t="s">
        <v>428</v>
      </c>
      <c r="IF25" t="s">
        <v>429</v>
      </c>
      <c r="IG25" t="s">
        <v>429</v>
      </c>
      <c r="IH25" t="s">
        <v>429</v>
      </c>
      <c r="II25" t="s">
        <v>429</v>
      </c>
      <c r="IJ25">
        <v>0</v>
      </c>
      <c r="IK25">
        <v>100</v>
      </c>
      <c r="IL25">
        <v>100</v>
      </c>
      <c r="IM25">
        <v>1.335</v>
      </c>
      <c r="IN25">
        <v>-0.10489999999999999</v>
      </c>
      <c r="IO25">
        <v>0.91043272280072696</v>
      </c>
      <c r="IP25">
        <v>1.61658254425633E-3</v>
      </c>
      <c r="IQ25">
        <v>-1.89604851270483E-6</v>
      </c>
      <c r="IR25">
        <v>8.6681353432279101E-10</v>
      </c>
      <c r="IS25">
        <v>-4.47525518804959E-2</v>
      </c>
      <c r="IT25">
        <v>-3.5871989026399903E-2</v>
      </c>
      <c r="IU25">
        <v>1.9028800927848801E-3</v>
      </c>
      <c r="IV25">
        <v>-4.7539144078026999E-6</v>
      </c>
      <c r="IW25">
        <v>1</v>
      </c>
      <c r="IX25">
        <v>1704</v>
      </c>
      <c r="IY25">
        <v>4</v>
      </c>
      <c r="IZ25">
        <v>25</v>
      </c>
      <c r="JA25">
        <v>10.6</v>
      </c>
      <c r="JB25">
        <v>-2093267.6</v>
      </c>
      <c r="JC25">
        <v>0.162354</v>
      </c>
      <c r="JD25">
        <v>4.99878</v>
      </c>
      <c r="JE25">
        <v>0.239258</v>
      </c>
      <c r="JF25">
        <v>1.2206999999999999E-3</v>
      </c>
      <c r="JG25">
        <v>0.26733400000000002</v>
      </c>
      <c r="JH25">
        <v>4.99878</v>
      </c>
      <c r="JI25">
        <v>31.237400000000001</v>
      </c>
      <c r="JJ25">
        <v>15.821899999999999</v>
      </c>
      <c r="JK25">
        <v>2</v>
      </c>
      <c r="JL25">
        <v>-27.076000000000001</v>
      </c>
      <c r="JM25">
        <v>256.79700000000003</v>
      </c>
      <c r="JN25">
        <v>26.196899999999999</v>
      </c>
      <c r="JO25">
        <v>26.540600000000001</v>
      </c>
      <c r="JP25">
        <v>29.9999</v>
      </c>
      <c r="JQ25">
        <v>26.547499999999999</v>
      </c>
      <c r="JR25">
        <v>26.536100000000001</v>
      </c>
      <c r="JS25">
        <v>-1</v>
      </c>
      <c r="JT25">
        <v>-30</v>
      </c>
      <c r="JU25">
        <v>-30</v>
      </c>
      <c r="JV25">
        <v>-999.9</v>
      </c>
      <c r="JW25">
        <v>0</v>
      </c>
      <c r="JX25">
        <v>0</v>
      </c>
      <c r="JY25">
        <v>101.807</v>
      </c>
      <c r="JZ25">
        <v>97.577100000000002</v>
      </c>
    </row>
    <row r="26" spans="1:286" x14ac:dyDescent="0.4">
      <c r="A26">
        <v>10</v>
      </c>
      <c r="B26">
        <v>1664976728</v>
      </c>
      <c r="C26">
        <v>757.90000009536698</v>
      </c>
      <c r="D26" t="s">
        <v>462</v>
      </c>
      <c r="E26" t="s">
        <v>463</v>
      </c>
      <c r="F26">
        <v>5</v>
      </c>
      <c r="G26">
        <v>1664976719.5</v>
      </c>
      <c r="H26">
        <f t="shared" si="0"/>
        <v>-1.9568159690874442E-4</v>
      </c>
      <c r="I26">
        <f t="shared" si="1"/>
        <v>-0.19568159690874443</v>
      </c>
      <c r="J26">
        <f t="shared" si="2"/>
        <v>-12.709344528688057</v>
      </c>
      <c r="K26">
        <f t="shared" si="3"/>
        <v>458.21406250000001</v>
      </c>
      <c r="L26">
        <f t="shared" si="4"/>
        <v>-1194.9401079307629</v>
      </c>
      <c r="M26">
        <f t="shared" si="5"/>
        <v>-120.76137947716053</v>
      </c>
      <c r="N26">
        <f t="shared" si="6"/>
        <v>46.307393915461446</v>
      </c>
      <c r="O26">
        <f t="shared" si="7"/>
        <v>-1.2207475658436452E-2</v>
      </c>
      <c r="P26">
        <f t="shared" si="8"/>
        <v>3.028133562185066</v>
      </c>
      <c r="Q26">
        <f t="shared" si="9"/>
        <v>-1.2234882316239591E-2</v>
      </c>
      <c r="R26">
        <f t="shared" si="10"/>
        <v>-7.6443340192936049E-3</v>
      </c>
      <c r="S26">
        <f t="shared" si="11"/>
        <v>6.3856599478895988E-4</v>
      </c>
      <c r="T26">
        <f t="shared" si="12"/>
        <v>26.599993097739329</v>
      </c>
      <c r="U26">
        <f t="shared" si="13"/>
        <v>26.164100000000001</v>
      </c>
      <c r="V26">
        <f t="shared" si="14"/>
        <v>3.4071628990663254</v>
      </c>
      <c r="W26">
        <f t="shared" si="15"/>
        <v>52.577302645934495</v>
      </c>
      <c r="X26">
        <f t="shared" si="16"/>
        <v>1.8327278954795796</v>
      </c>
      <c r="Y26">
        <f t="shared" si="17"/>
        <v>3.4857777087225563</v>
      </c>
      <c r="Z26">
        <f t="shared" si="18"/>
        <v>1.5744350035867458</v>
      </c>
      <c r="AA26">
        <f t="shared" si="19"/>
        <v>8.6295584236756291</v>
      </c>
      <c r="AB26">
        <f t="shared" si="20"/>
        <v>63.102284345665936</v>
      </c>
      <c r="AC26">
        <f t="shared" si="21"/>
        <v>4.4683922346002403</v>
      </c>
      <c r="AD26">
        <f t="shared" si="22"/>
        <v>76.20087356993659</v>
      </c>
      <c r="AE26">
        <v>5</v>
      </c>
      <c r="AF26">
        <v>100</v>
      </c>
      <c r="AG26">
        <f t="shared" si="23"/>
        <v>1</v>
      </c>
      <c r="AH26">
        <f t="shared" si="24"/>
        <v>0</v>
      </c>
      <c r="AI26">
        <f t="shared" si="25"/>
        <v>53503.926747194251</v>
      </c>
      <c r="AJ26" t="s">
        <v>464</v>
      </c>
      <c r="AK26">
        <v>8115.35</v>
      </c>
      <c r="AL26">
        <v>245.94134615384601</v>
      </c>
      <c r="AM26">
        <v>1523.29</v>
      </c>
      <c r="AN26">
        <f t="shared" si="26"/>
        <v>0.83854594584495001</v>
      </c>
      <c r="AO26">
        <v>-12.709344528688099</v>
      </c>
      <c r="AP26" t="s">
        <v>423</v>
      </c>
      <c r="AQ26" t="s">
        <v>423</v>
      </c>
      <c r="AR26">
        <v>0</v>
      </c>
      <c r="AS26">
        <v>0</v>
      </c>
      <c r="AT26" t="e">
        <f t="shared" si="27"/>
        <v>#DIV/0!</v>
      </c>
      <c r="AU26">
        <v>0.5</v>
      </c>
      <c r="AV26">
        <f t="shared" si="28"/>
        <v>3.3608736567839995E-3</v>
      </c>
      <c r="AW26">
        <f t="shared" si="29"/>
        <v>-12.709344528688057</v>
      </c>
      <c r="AX26" t="e">
        <f t="shared" si="30"/>
        <v>#DIV/0!</v>
      </c>
      <c r="AY26">
        <f t="shared" si="31"/>
        <v>1.2684964833340646E-11</v>
      </c>
      <c r="AZ26" t="e">
        <f t="shared" si="32"/>
        <v>#DIV/0!</v>
      </c>
      <c r="BA26" t="e">
        <f t="shared" si="33"/>
        <v>#DIV/0!</v>
      </c>
      <c r="BB26" t="s">
        <v>423</v>
      </c>
      <c r="BC26">
        <v>0</v>
      </c>
      <c r="BD26" t="e">
        <f t="shared" si="34"/>
        <v>#DIV/0!</v>
      </c>
      <c r="BE26" t="e">
        <f t="shared" si="35"/>
        <v>#DIV/0!</v>
      </c>
      <c r="BF26" t="e">
        <f t="shared" si="36"/>
        <v>#DIV/0!</v>
      </c>
      <c r="BG26" t="e">
        <f t="shared" si="37"/>
        <v>#DIV/0!</v>
      </c>
      <c r="BH26">
        <f t="shared" si="38"/>
        <v>0</v>
      </c>
      <c r="BI26">
        <f t="shared" si="39"/>
        <v>1.1925404981743284</v>
      </c>
      <c r="BJ26" t="e">
        <f t="shared" si="40"/>
        <v>#DIV/0!</v>
      </c>
      <c r="BK26" t="e">
        <f t="shared" si="41"/>
        <v>#DIV/0!</v>
      </c>
      <c r="BL26">
        <v>939</v>
      </c>
      <c r="BM26">
        <v>290</v>
      </c>
      <c r="BN26">
        <v>1558.67</v>
      </c>
      <c r="BO26">
        <v>165</v>
      </c>
      <c r="BP26">
        <v>8114.57</v>
      </c>
      <c r="BQ26">
        <v>1551.92</v>
      </c>
      <c r="BR26">
        <v>6.75</v>
      </c>
      <c r="BS26">
        <v>300</v>
      </c>
      <c r="BT26">
        <v>19.2</v>
      </c>
      <c r="BU26">
        <v>1584.3896717483201</v>
      </c>
      <c r="BV26">
        <v>1.88110366540944</v>
      </c>
      <c r="BW26">
        <v>-26.347569484426199</v>
      </c>
      <c r="BX26">
        <v>1.36356822732003</v>
      </c>
      <c r="BY26">
        <v>0.93023713121789597</v>
      </c>
      <c r="BZ26">
        <v>-5.3779617352614001E-3</v>
      </c>
      <c r="CA26">
        <v>290</v>
      </c>
      <c r="CB26">
        <v>1543.03</v>
      </c>
      <c r="CC26">
        <v>615</v>
      </c>
      <c r="CD26">
        <v>8099.76</v>
      </c>
      <c r="CE26">
        <v>1551.86</v>
      </c>
      <c r="CF26">
        <v>-8.83</v>
      </c>
      <c r="CT26">
        <f t="shared" si="42"/>
        <v>2.0002599999999999E-2</v>
      </c>
      <c r="CU26">
        <f t="shared" si="43"/>
        <v>3.3608736567839995E-3</v>
      </c>
      <c r="CV26">
        <f t="shared" si="44"/>
        <v>0.16802183999999998</v>
      </c>
      <c r="CW26">
        <f t="shared" si="45"/>
        <v>3.1924149599999993E-2</v>
      </c>
      <c r="CX26">
        <v>2</v>
      </c>
      <c r="CY26">
        <v>0.5</v>
      </c>
      <c r="CZ26" t="s">
        <v>424</v>
      </c>
      <c r="DA26">
        <v>2</v>
      </c>
      <c r="DB26">
        <v>1664976719.5</v>
      </c>
      <c r="DC26">
        <v>458.21406250000001</v>
      </c>
      <c r="DD26">
        <v>470.96050000000002</v>
      </c>
      <c r="DE26">
        <v>18.134937499999999</v>
      </c>
      <c r="DF26">
        <v>17.943593750000002</v>
      </c>
      <c r="DG26">
        <v>456.87831249999999</v>
      </c>
      <c r="DH26">
        <v>18.229949999999999</v>
      </c>
      <c r="DI26">
        <v>-200.82487499999999</v>
      </c>
      <c r="DJ26">
        <v>101.06406250000001</v>
      </c>
      <c r="DK26">
        <v>-3.449775E-3</v>
      </c>
      <c r="DL26">
        <v>26.550631249999999</v>
      </c>
      <c r="DM26">
        <v>26.164100000000001</v>
      </c>
      <c r="DN26">
        <v>999.9</v>
      </c>
      <c r="DO26">
        <v>0</v>
      </c>
      <c r="DP26">
        <v>0</v>
      </c>
      <c r="DQ26">
        <v>9996.8718750000007</v>
      </c>
      <c r="DR26">
        <v>0</v>
      </c>
      <c r="DS26">
        <v>0.21823999999999999</v>
      </c>
      <c r="DT26">
        <v>-12.74626625</v>
      </c>
      <c r="DU26">
        <v>466.67756250000002</v>
      </c>
      <c r="DV26">
        <v>479.56549999999999</v>
      </c>
      <c r="DW26">
        <v>0.1913254375</v>
      </c>
      <c r="DX26">
        <v>470.96050000000002</v>
      </c>
      <c r="DY26">
        <v>17.943593750000002</v>
      </c>
      <c r="DZ26">
        <v>1.8327906249999999</v>
      </c>
      <c r="EA26">
        <v>1.813455625</v>
      </c>
      <c r="EB26">
        <v>16.068112500000002</v>
      </c>
      <c r="EC26">
        <v>15.90320625</v>
      </c>
      <c r="ED26">
        <v>2.0002599999999999E-2</v>
      </c>
      <c r="EE26">
        <v>0</v>
      </c>
      <c r="EF26">
        <v>0</v>
      </c>
      <c r="EG26">
        <v>0</v>
      </c>
      <c r="EH26">
        <v>245.92031249999999</v>
      </c>
      <c r="EI26">
        <v>2.0002599999999999E-2</v>
      </c>
      <c r="EJ26">
        <v>-9.1203125000000007</v>
      </c>
      <c r="EK26">
        <v>0.63124999999999998</v>
      </c>
      <c r="EL26">
        <v>35.234250000000003</v>
      </c>
      <c r="EM26">
        <v>38.702874999999999</v>
      </c>
      <c r="EN26">
        <v>37.4059375</v>
      </c>
      <c r="EO26">
        <v>39.034875</v>
      </c>
      <c r="EP26">
        <v>38.238</v>
      </c>
      <c r="EQ26">
        <v>0</v>
      </c>
      <c r="ER26">
        <v>0</v>
      </c>
      <c r="ES26">
        <v>0</v>
      </c>
      <c r="ET26">
        <v>86.700000047683702</v>
      </c>
      <c r="EU26">
        <v>0</v>
      </c>
      <c r="EV26">
        <v>245.94134615384601</v>
      </c>
      <c r="EW26">
        <v>24.7717948355719</v>
      </c>
      <c r="EX26">
        <v>-9.7205126682777596</v>
      </c>
      <c r="EY26">
        <v>-8.4048076923076902</v>
      </c>
      <c r="EZ26">
        <v>15</v>
      </c>
      <c r="FA26">
        <v>1664976001.0999999</v>
      </c>
      <c r="FB26" t="s">
        <v>425</v>
      </c>
      <c r="FC26">
        <v>1664976001.0999999</v>
      </c>
      <c r="FD26">
        <v>1790572693.0999999</v>
      </c>
      <c r="FE26">
        <v>1</v>
      </c>
      <c r="FF26">
        <v>0.30399999999999999</v>
      </c>
      <c r="FG26">
        <v>0</v>
      </c>
      <c r="FH26">
        <v>1.337</v>
      </c>
      <c r="FI26">
        <v>-0.128</v>
      </c>
      <c r="FJ26">
        <v>462</v>
      </c>
      <c r="FK26">
        <v>17</v>
      </c>
      <c r="FL26">
        <v>0.87</v>
      </c>
      <c r="FM26">
        <v>0.1</v>
      </c>
      <c r="FN26">
        <v>-16.8034334581845</v>
      </c>
      <c r="FO26">
        <v>71.659229779974396</v>
      </c>
      <c r="FP26">
        <v>7.0629520109179502</v>
      </c>
      <c r="FQ26">
        <v>-1</v>
      </c>
      <c r="FR26">
        <v>-16.3520961904762</v>
      </c>
      <c r="FS26">
        <v>67.165954285714307</v>
      </c>
      <c r="FT26">
        <v>6.9739064869537799</v>
      </c>
      <c r="FU26">
        <v>-1</v>
      </c>
      <c r="FV26">
        <v>246.41838235294099</v>
      </c>
      <c r="FW26">
        <v>3.6703590435768101</v>
      </c>
      <c r="FX26">
        <v>3.4701262310885101</v>
      </c>
      <c r="FY26">
        <v>0</v>
      </c>
      <c r="FZ26">
        <v>6.0196333333333303E-2</v>
      </c>
      <c r="GA26">
        <v>2.49540370909091</v>
      </c>
      <c r="GB26">
        <v>0.29735643478093399</v>
      </c>
      <c r="GC26">
        <v>-1</v>
      </c>
      <c r="GD26">
        <v>0</v>
      </c>
      <c r="GE26">
        <v>1</v>
      </c>
      <c r="GF26" t="s">
        <v>458</v>
      </c>
      <c r="GG26">
        <v>2.1417999999999999</v>
      </c>
      <c r="GH26">
        <v>2.6552699999999998</v>
      </c>
      <c r="GI26">
        <v>9.7345899999999999E-2</v>
      </c>
      <c r="GJ26">
        <v>0.10120800000000001</v>
      </c>
      <c r="GK26">
        <v>9.6110899999999999E-2</v>
      </c>
      <c r="GL26">
        <v>9.9048800000000006E-2</v>
      </c>
      <c r="GM26">
        <v>17612.2</v>
      </c>
      <c r="GN26">
        <v>26479</v>
      </c>
      <c r="GO26">
        <v>22793.200000000001</v>
      </c>
      <c r="GP26">
        <v>30182.9</v>
      </c>
      <c r="GQ26">
        <v>33775.599999999999</v>
      </c>
      <c r="GR26">
        <v>33855.800000000003</v>
      </c>
      <c r="GS26">
        <v>43112.6</v>
      </c>
      <c r="GT26">
        <v>42964.2</v>
      </c>
      <c r="GU26">
        <v>0.02</v>
      </c>
      <c r="GV26">
        <v>1.4330499999999999</v>
      </c>
      <c r="GW26">
        <v>9.3132300000000001E-2</v>
      </c>
      <c r="GX26">
        <v>0</v>
      </c>
      <c r="GY26">
        <v>24.640899999999998</v>
      </c>
      <c r="GZ26">
        <v>999.9</v>
      </c>
      <c r="HA26">
        <v>36.167999999999999</v>
      </c>
      <c r="HB26">
        <v>27.684000000000001</v>
      </c>
      <c r="HC26">
        <v>13.333500000000001</v>
      </c>
      <c r="HD26">
        <v>63.240200000000002</v>
      </c>
      <c r="HE26">
        <v>0</v>
      </c>
      <c r="HF26">
        <v>0</v>
      </c>
      <c r="HG26">
        <v>-6.3897399999999993E-2</v>
      </c>
      <c r="HH26">
        <v>0</v>
      </c>
      <c r="HI26">
        <v>20.271799999999999</v>
      </c>
      <c r="HJ26">
        <v>5.2328599999999996</v>
      </c>
      <c r="HK26">
        <v>11.962</v>
      </c>
      <c r="HL26">
        <v>4.9695</v>
      </c>
      <c r="HM26">
        <v>3.29528</v>
      </c>
      <c r="HN26">
        <v>9999</v>
      </c>
      <c r="HO26">
        <v>999.9</v>
      </c>
      <c r="HP26">
        <v>9999</v>
      </c>
      <c r="HQ26">
        <v>9999</v>
      </c>
      <c r="HR26">
        <v>4.9684200000000001</v>
      </c>
      <c r="HS26">
        <v>1.8620099999999999</v>
      </c>
      <c r="HT26">
        <v>1.8635600000000001</v>
      </c>
      <c r="HU26">
        <v>1.86554</v>
      </c>
      <c r="HV26">
        <v>1.86263</v>
      </c>
      <c r="HW26">
        <v>1.8663000000000001</v>
      </c>
      <c r="HX26">
        <v>1.86311</v>
      </c>
      <c r="HY26">
        <v>1.86493</v>
      </c>
      <c r="HZ26">
        <v>0</v>
      </c>
      <c r="IA26">
        <v>0</v>
      </c>
      <c r="IB26">
        <v>0</v>
      </c>
      <c r="IC26">
        <v>0</v>
      </c>
      <c r="ID26" t="s">
        <v>427</v>
      </c>
      <c r="IE26" t="s">
        <v>428</v>
      </c>
      <c r="IF26" t="s">
        <v>429</v>
      </c>
      <c r="IG26" t="s">
        <v>429</v>
      </c>
      <c r="IH26" t="s">
        <v>429</v>
      </c>
      <c r="II26" t="s">
        <v>429</v>
      </c>
      <c r="IJ26">
        <v>0</v>
      </c>
      <c r="IK26">
        <v>100</v>
      </c>
      <c r="IL26">
        <v>100</v>
      </c>
      <c r="IM26">
        <v>1.3360000000000001</v>
      </c>
      <c r="IN26">
        <v>-9.4600000000000004E-2</v>
      </c>
      <c r="IO26">
        <v>0.91043272280072696</v>
      </c>
      <c r="IP26">
        <v>1.61658254425633E-3</v>
      </c>
      <c r="IQ26">
        <v>-1.89604851270483E-6</v>
      </c>
      <c r="IR26">
        <v>8.6681353432279101E-10</v>
      </c>
      <c r="IS26">
        <v>-4.47525518804959E-2</v>
      </c>
      <c r="IT26">
        <v>-3.5871989026399903E-2</v>
      </c>
      <c r="IU26">
        <v>1.9028800927848801E-3</v>
      </c>
      <c r="IV26">
        <v>-4.7539144078026999E-6</v>
      </c>
      <c r="IW26">
        <v>1</v>
      </c>
      <c r="IX26">
        <v>1704</v>
      </c>
      <c r="IY26">
        <v>4</v>
      </c>
      <c r="IZ26">
        <v>25</v>
      </c>
      <c r="JA26">
        <v>12.1</v>
      </c>
      <c r="JB26">
        <v>-2093266.1</v>
      </c>
      <c r="JC26">
        <v>0.162354</v>
      </c>
      <c r="JD26">
        <v>4.99878</v>
      </c>
      <c r="JE26">
        <v>0.239258</v>
      </c>
      <c r="JF26">
        <v>1.2206999999999999E-3</v>
      </c>
      <c r="JG26">
        <v>0.26733400000000002</v>
      </c>
      <c r="JH26">
        <v>4.99878</v>
      </c>
      <c r="JI26">
        <v>31.2591</v>
      </c>
      <c r="JJ26">
        <v>15.821899999999999</v>
      </c>
      <c r="JK26">
        <v>2</v>
      </c>
      <c r="JL26">
        <v>-27.0792</v>
      </c>
      <c r="JM26">
        <v>256.05200000000002</v>
      </c>
      <c r="JN26">
        <v>26.214200000000002</v>
      </c>
      <c r="JO26">
        <v>26.523800000000001</v>
      </c>
      <c r="JP26">
        <v>30.0001</v>
      </c>
      <c r="JQ26">
        <v>26.531400000000001</v>
      </c>
      <c r="JR26">
        <v>26.532399999999999</v>
      </c>
      <c r="JS26">
        <v>-1</v>
      </c>
      <c r="JT26">
        <v>-30</v>
      </c>
      <c r="JU26">
        <v>-30</v>
      </c>
      <c r="JV26">
        <v>-999.9</v>
      </c>
      <c r="JW26">
        <v>0</v>
      </c>
      <c r="JX26">
        <v>0</v>
      </c>
      <c r="JY26">
        <v>101.81100000000001</v>
      </c>
      <c r="JZ26">
        <v>97.584400000000002</v>
      </c>
    </row>
    <row r="27" spans="1:286" x14ac:dyDescent="0.4">
      <c r="A27">
        <v>11</v>
      </c>
      <c r="B27">
        <v>1664976844</v>
      </c>
      <c r="C27">
        <v>873.90000009536698</v>
      </c>
      <c r="D27" t="s">
        <v>465</v>
      </c>
      <c r="E27" t="s">
        <v>466</v>
      </c>
      <c r="F27">
        <v>5</v>
      </c>
      <c r="G27">
        <v>1664976835.5</v>
      </c>
      <c r="H27">
        <f t="shared" si="0"/>
        <v>2.0739542346067701E-4</v>
      </c>
      <c r="I27">
        <f t="shared" si="1"/>
        <v>0.20739542346067702</v>
      </c>
      <c r="J27">
        <f t="shared" si="2"/>
        <v>-14.113168853210409</v>
      </c>
      <c r="K27">
        <f t="shared" si="3"/>
        <v>455.51931250000001</v>
      </c>
      <c r="L27">
        <f t="shared" si="4"/>
        <v>2230.3734904171965</v>
      </c>
      <c r="M27">
        <f t="shared" si="5"/>
        <v>225.40746243050228</v>
      </c>
      <c r="N27">
        <f t="shared" si="6"/>
        <v>46.03599027690467</v>
      </c>
      <c r="O27">
        <f t="shared" si="7"/>
        <v>1.2496158896878726E-2</v>
      </c>
      <c r="P27">
        <f t="shared" si="8"/>
        <v>3.0297249998105582</v>
      </c>
      <c r="Q27">
        <f t="shared" si="9"/>
        <v>1.2467595880618862E-2</v>
      </c>
      <c r="R27">
        <f t="shared" si="10"/>
        <v>7.7948082088805529E-3</v>
      </c>
      <c r="S27">
        <f t="shared" si="11"/>
        <v>6.3856599478895988E-4</v>
      </c>
      <c r="T27">
        <f t="shared" si="12"/>
        <v>26.489666149487547</v>
      </c>
      <c r="U27">
        <f t="shared" si="13"/>
        <v>26.150075000000001</v>
      </c>
      <c r="V27">
        <f t="shared" si="14"/>
        <v>3.4043397709976104</v>
      </c>
      <c r="W27">
        <f t="shared" si="15"/>
        <v>50.694461004584198</v>
      </c>
      <c r="X27">
        <f t="shared" si="16"/>
        <v>1.7661924020556641</v>
      </c>
      <c r="Y27">
        <f t="shared" si="17"/>
        <v>3.4839948330764399</v>
      </c>
      <c r="Z27">
        <f t="shared" si="18"/>
        <v>1.6381473689419463</v>
      </c>
      <c r="AA27">
        <f t="shared" si="19"/>
        <v>-9.1461381746158565</v>
      </c>
      <c r="AB27">
        <f t="shared" si="20"/>
        <v>64.008288085622524</v>
      </c>
      <c r="AC27">
        <f t="shared" si="21"/>
        <v>4.5296518950710567</v>
      </c>
      <c r="AD27">
        <f t="shared" si="22"/>
        <v>59.392440372072514</v>
      </c>
      <c r="AE27">
        <v>5</v>
      </c>
      <c r="AF27">
        <v>100</v>
      </c>
      <c r="AG27">
        <f t="shared" si="23"/>
        <v>1</v>
      </c>
      <c r="AH27">
        <f t="shared" si="24"/>
        <v>0</v>
      </c>
      <c r="AI27">
        <f t="shared" si="25"/>
        <v>53554.894928105459</v>
      </c>
      <c r="AJ27" t="s">
        <v>467</v>
      </c>
      <c r="AK27">
        <v>8129.51</v>
      </c>
      <c r="AL27">
        <v>221.38173076923101</v>
      </c>
      <c r="AM27">
        <v>1463.6</v>
      </c>
      <c r="AN27">
        <f t="shared" si="26"/>
        <v>0.84874164336619906</v>
      </c>
      <c r="AO27">
        <v>-14.1131688532104</v>
      </c>
      <c r="AP27" t="s">
        <v>423</v>
      </c>
      <c r="AQ27" t="s">
        <v>423</v>
      </c>
      <c r="AR27">
        <v>0</v>
      </c>
      <c r="AS27">
        <v>0</v>
      </c>
      <c r="AT27" t="e">
        <f t="shared" si="27"/>
        <v>#DIV/0!</v>
      </c>
      <c r="AU27">
        <v>0.5</v>
      </c>
      <c r="AV27">
        <f t="shared" si="28"/>
        <v>3.3608736567839995E-3</v>
      </c>
      <c r="AW27">
        <f t="shared" si="29"/>
        <v>-14.113168853210409</v>
      </c>
      <c r="AX27" t="e">
        <f t="shared" si="30"/>
        <v>#DIV/0!</v>
      </c>
      <c r="AY27">
        <f t="shared" si="31"/>
        <v>-2.6427010069459679E-12</v>
      </c>
      <c r="AZ27" t="e">
        <f t="shared" si="32"/>
        <v>#DIV/0!</v>
      </c>
      <c r="BA27" t="e">
        <f t="shared" si="33"/>
        <v>#DIV/0!</v>
      </c>
      <c r="BB27" t="s">
        <v>423</v>
      </c>
      <c r="BC27">
        <v>0</v>
      </c>
      <c r="BD27" t="e">
        <f t="shared" si="34"/>
        <v>#DIV/0!</v>
      </c>
      <c r="BE27" t="e">
        <f t="shared" si="35"/>
        <v>#DIV/0!</v>
      </c>
      <c r="BF27" t="e">
        <f t="shared" si="36"/>
        <v>#DIV/0!</v>
      </c>
      <c r="BG27" t="e">
        <f t="shared" si="37"/>
        <v>#DIV/0!</v>
      </c>
      <c r="BH27">
        <f t="shared" si="38"/>
        <v>0</v>
      </c>
      <c r="BI27">
        <f t="shared" si="39"/>
        <v>1.1782148405419279</v>
      </c>
      <c r="BJ27" t="e">
        <f t="shared" si="40"/>
        <v>#DIV/0!</v>
      </c>
      <c r="BK27" t="e">
        <f t="shared" si="41"/>
        <v>#DIV/0!</v>
      </c>
      <c r="BL27">
        <v>939</v>
      </c>
      <c r="BM27">
        <v>290</v>
      </c>
      <c r="BN27">
        <v>1558.67</v>
      </c>
      <c r="BO27">
        <v>165</v>
      </c>
      <c r="BP27">
        <v>8114.57</v>
      </c>
      <c r="BQ27">
        <v>1551.92</v>
      </c>
      <c r="BR27">
        <v>6.75</v>
      </c>
      <c r="BS27">
        <v>300</v>
      </c>
      <c r="BT27">
        <v>19.2</v>
      </c>
      <c r="BU27">
        <v>1584.3896717483201</v>
      </c>
      <c r="BV27">
        <v>1.88110366540944</v>
      </c>
      <c r="BW27">
        <v>-26.347569484426199</v>
      </c>
      <c r="BX27">
        <v>1.36356822732003</v>
      </c>
      <c r="BY27">
        <v>0.93023713121789597</v>
      </c>
      <c r="BZ27">
        <v>-5.3779617352614001E-3</v>
      </c>
      <c r="CA27">
        <v>290</v>
      </c>
      <c r="CB27">
        <v>1543.03</v>
      </c>
      <c r="CC27">
        <v>615</v>
      </c>
      <c r="CD27">
        <v>8099.76</v>
      </c>
      <c r="CE27">
        <v>1551.86</v>
      </c>
      <c r="CF27">
        <v>-8.83</v>
      </c>
      <c r="CT27">
        <f t="shared" si="42"/>
        <v>2.0002599999999999E-2</v>
      </c>
      <c r="CU27">
        <f t="shared" si="43"/>
        <v>3.3608736567839995E-3</v>
      </c>
      <c r="CV27">
        <f t="shared" si="44"/>
        <v>0.16802183999999998</v>
      </c>
      <c r="CW27">
        <f t="shared" si="45"/>
        <v>3.1924149599999993E-2</v>
      </c>
      <c r="CX27">
        <v>2</v>
      </c>
      <c r="CY27">
        <v>0.5</v>
      </c>
      <c r="CZ27" t="s">
        <v>424</v>
      </c>
      <c r="DA27">
        <v>2</v>
      </c>
      <c r="DB27">
        <v>1664976835.5</v>
      </c>
      <c r="DC27">
        <v>455.51931250000001</v>
      </c>
      <c r="DD27">
        <v>469.45831249999998</v>
      </c>
      <c r="DE27">
        <v>17.476212499999999</v>
      </c>
      <c r="DF27">
        <v>17.678825</v>
      </c>
      <c r="DG27">
        <v>454.1844375</v>
      </c>
      <c r="DH27">
        <v>17.589056249999999</v>
      </c>
      <c r="DI27">
        <v>-201.14349999999999</v>
      </c>
      <c r="DJ27">
        <v>101.0656875</v>
      </c>
      <c r="DK27">
        <v>-3.0343618750000001E-3</v>
      </c>
      <c r="DL27">
        <v>26.54195</v>
      </c>
      <c r="DM27">
        <v>26.150075000000001</v>
      </c>
      <c r="DN27">
        <v>999.9</v>
      </c>
      <c r="DO27">
        <v>0</v>
      </c>
      <c r="DP27">
        <v>0</v>
      </c>
      <c r="DQ27">
        <v>10006.331249999999</v>
      </c>
      <c r="DR27">
        <v>0</v>
      </c>
      <c r="DS27">
        <v>0.21823999999999999</v>
      </c>
      <c r="DT27">
        <v>-13.939074375000001</v>
      </c>
      <c r="DU27">
        <v>463.62175000000002</v>
      </c>
      <c r="DV27">
        <v>477.90731249999999</v>
      </c>
      <c r="DW27">
        <v>-0.20264086875000001</v>
      </c>
      <c r="DX27">
        <v>469.45831249999998</v>
      </c>
      <c r="DY27">
        <v>17.678825</v>
      </c>
      <c r="DZ27">
        <v>1.7662443750000001</v>
      </c>
      <c r="EA27">
        <v>1.7867237499999999</v>
      </c>
      <c r="EB27">
        <v>15.490881249999999</v>
      </c>
      <c r="EC27">
        <v>15.671099999999999</v>
      </c>
      <c r="ED27">
        <v>2.0002599999999999E-2</v>
      </c>
      <c r="EE27">
        <v>0</v>
      </c>
      <c r="EF27">
        <v>0</v>
      </c>
      <c r="EG27">
        <v>0</v>
      </c>
      <c r="EH27">
        <v>221.13906249999999</v>
      </c>
      <c r="EI27">
        <v>2.0002599999999999E-2</v>
      </c>
      <c r="EJ27">
        <v>-7.8359375</v>
      </c>
      <c r="EK27">
        <v>0.546875</v>
      </c>
      <c r="EL27">
        <v>35.917625000000001</v>
      </c>
      <c r="EM27">
        <v>40.413812499999999</v>
      </c>
      <c r="EN27">
        <v>38.390374999999999</v>
      </c>
      <c r="EO27">
        <v>41.734124999999999</v>
      </c>
      <c r="EP27">
        <v>39.277124999999998</v>
      </c>
      <c r="EQ27">
        <v>0</v>
      </c>
      <c r="ER27">
        <v>0</v>
      </c>
      <c r="ES27">
        <v>0</v>
      </c>
      <c r="ET27">
        <v>115</v>
      </c>
      <c r="EU27">
        <v>0</v>
      </c>
      <c r="EV27">
        <v>221.38173076923101</v>
      </c>
      <c r="EW27">
        <v>0.48974352008063898</v>
      </c>
      <c r="EX27">
        <v>-1.0700851829776701</v>
      </c>
      <c r="EY27">
        <v>-7.1769230769230798</v>
      </c>
      <c r="EZ27">
        <v>15</v>
      </c>
      <c r="FA27">
        <v>1664976001.0999999</v>
      </c>
      <c r="FB27" t="s">
        <v>425</v>
      </c>
      <c r="FC27">
        <v>1664976001.0999999</v>
      </c>
      <c r="FD27">
        <v>1790572693.0999999</v>
      </c>
      <c r="FE27">
        <v>1</v>
      </c>
      <c r="FF27">
        <v>0.30399999999999999</v>
      </c>
      <c r="FG27">
        <v>0</v>
      </c>
      <c r="FH27">
        <v>1.337</v>
      </c>
      <c r="FI27">
        <v>-0.128</v>
      </c>
      <c r="FJ27">
        <v>462</v>
      </c>
      <c r="FK27">
        <v>17</v>
      </c>
      <c r="FL27">
        <v>0.87</v>
      </c>
      <c r="FM27">
        <v>0.1</v>
      </c>
      <c r="FN27">
        <v>-19.232778956710799</v>
      </c>
      <c r="FO27">
        <v>88.2201885359936</v>
      </c>
      <c r="FP27">
        <v>8.9383599290442</v>
      </c>
      <c r="FQ27">
        <v>-1</v>
      </c>
      <c r="FR27">
        <v>-16.929994499999999</v>
      </c>
      <c r="FS27">
        <v>85.534127368420997</v>
      </c>
      <c r="FT27">
        <v>8.2672943985366096</v>
      </c>
      <c r="FU27">
        <v>-1</v>
      </c>
      <c r="FV27">
        <v>221.02500000000001</v>
      </c>
      <c r="FW27">
        <v>-0.60351406098140603</v>
      </c>
      <c r="FX27">
        <v>3.0960423028725699</v>
      </c>
      <c r="FY27">
        <v>1</v>
      </c>
      <c r="FZ27">
        <v>-0.25088399500000003</v>
      </c>
      <c r="GA27">
        <v>1.62966439849624</v>
      </c>
      <c r="GB27">
        <v>0.16026448773317301</v>
      </c>
      <c r="GC27">
        <v>-1</v>
      </c>
      <c r="GD27">
        <v>1</v>
      </c>
      <c r="GE27">
        <v>1</v>
      </c>
      <c r="GF27" t="s">
        <v>468</v>
      </c>
      <c r="GG27">
        <v>2.14262</v>
      </c>
      <c r="GH27">
        <v>2.6552500000000001</v>
      </c>
      <c r="GI27">
        <v>9.7343200000000005E-2</v>
      </c>
      <c r="GJ27">
        <v>0.100741</v>
      </c>
      <c r="GK27">
        <v>9.4305100000000003E-2</v>
      </c>
      <c r="GL27">
        <v>9.7487299999999999E-2</v>
      </c>
      <c r="GM27">
        <v>17614.900000000001</v>
      </c>
      <c r="GN27">
        <v>26494.9</v>
      </c>
      <c r="GO27">
        <v>22796.6</v>
      </c>
      <c r="GP27">
        <v>30185.200000000001</v>
      </c>
      <c r="GQ27">
        <v>33850.400000000001</v>
      </c>
      <c r="GR27">
        <v>33916.699999999997</v>
      </c>
      <c r="GS27">
        <v>43119</v>
      </c>
      <c r="GT27">
        <v>42966.7</v>
      </c>
      <c r="GU27">
        <v>0.02</v>
      </c>
      <c r="GV27">
        <v>1.43123</v>
      </c>
      <c r="GW27">
        <v>0.101052</v>
      </c>
      <c r="GX27">
        <v>0</v>
      </c>
      <c r="GY27">
        <v>24.483799999999999</v>
      </c>
      <c r="GZ27">
        <v>999.9</v>
      </c>
      <c r="HA27">
        <v>36.009</v>
      </c>
      <c r="HB27">
        <v>27.693999999999999</v>
      </c>
      <c r="HC27">
        <v>13.281700000000001</v>
      </c>
      <c r="HD27">
        <v>62.920200000000001</v>
      </c>
      <c r="HE27">
        <v>0</v>
      </c>
      <c r="HF27">
        <v>0</v>
      </c>
      <c r="HG27">
        <v>-6.5556400000000001E-2</v>
      </c>
      <c r="HH27">
        <v>0</v>
      </c>
      <c r="HI27">
        <v>20.271599999999999</v>
      </c>
      <c r="HJ27">
        <v>5.2325600000000003</v>
      </c>
      <c r="HK27">
        <v>11.962</v>
      </c>
      <c r="HL27">
        <v>4.9676499999999999</v>
      </c>
      <c r="HM27">
        <v>3.2951000000000001</v>
      </c>
      <c r="HN27">
        <v>9999</v>
      </c>
      <c r="HO27">
        <v>999.9</v>
      </c>
      <c r="HP27">
        <v>9999</v>
      </c>
      <c r="HQ27">
        <v>9999</v>
      </c>
      <c r="HR27">
        <v>4.9684100000000004</v>
      </c>
      <c r="HS27">
        <v>1.8619600000000001</v>
      </c>
      <c r="HT27">
        <v>1.8635600000000001</v>
      </c>
      <c r="HU27">
        <v>1.8655299999999999</v>
      </c>
      <c r="HV27">
        <v>1.8626100000000001</v>
      </c>
      <c r="HW27">
        <v>1.8663000000000001</v>
      </c>
      <c r="HX27">
        <v>1.8631</v>
      </c>
      <c r="HY27">
        <v>1.86493</v>
      </c>
      <c r="HZ27">
        <v>0</v>
      </c>
      <c r="IA27">
        <v>0</v>
      </c>
      <c r="IB27">
        <v>0</v>
      </c>
      <c r="IC27">
        <v>0</v>
      </c>
      <c r="ID27" t="s">
        <v>427</v>
      </c>
      <c r="IE27" t="s">
        <v>428</v>
      </c>
      <c r="IF27" t="s">
        <v>429</v>
      </c>
      <c r="IG27" t="s">
        <v>429</v>
      </c>
      <c r="IH27" t="s">
        <v>429</v>
      </c>
      <c r="II27" t="s">
        <v>429</v>
      </c>
      <c r="IJ27">
        <v>0</v>
      </c>
      <c r="IK27">
        <v>100</v>
      </c>
      <c r="IL27">
        <v>100</v>
      </c>
      <c r="IM27">
        <v>1.3360000000000001</v>
      </c>
      <c r="IN27">
        <v>-0.10780000000000001</v>
      </c>
      <c r="IO27">
        <v>0.91043272280072696</v>
      </c>
      <c r="IP27">
        <v>1.61658254425633E-3</v>
      </c>
      <c r="IQ27">
        <v>-1.89604851270483E-6</v>
      </c>
      <c r="IR27">
        <v>8.6681353432279101E-10</v>
      </c>
      <c r="IS27">
        <v>-4.47525518804959E-2</v>
      </c>
      <c r="IT27">
        <v>-3.5871989026399903E-2</v>
      </c>
      <c r="IU27">
        <v>1.9028800927848801E-3</v>
      </c>
      <c r="IV27">
        <v>-4.7539144078026999E-6</v>
      </c>
      <c r="IW27">
        <v>1</v>
      </c>
      <c r="IX27">
        <v>1704</v>
      </c>
      <c r="IY27">
        <v>4</v>
      </c>
      <c r="IZ27">
        <v>25</v>
      </c>
      <c r="JA27">
        <v>14</v>
      </c>
      <c r="JB27">
        <v>-2093264.2</v>
      </c>
      <c r="JC27">
        <v>0.162354</v>
      </c>
      <c r="JD27">
        <v>4.99878</v>
      </c>
      <c r="JE27">
        <v>0.239258</v>
      </c>
      <c r="JF27">
        <v>1.2206999999999999E-3</v>
      </c>
      <c r="JG27">
        <v>0.26733400000000002</v>
      </c>
      <c r="JH27">
        <v>4.99878</v>
      </c>
      <c r="JI27">
        <v>31.280899999999999</v>
      </c>
      <c r="JJ27">
        <v>15.804399999999999</v>
      </c>
      <c r="JK27">
        <v>2</v>
      </c>
      <c r="JL27">
        <v>-27.081900000000001</v>
      </c>
      <c r="JM27">
        <v>255.20500000000001</v>
      </c>
      <c r="JN27">
        <v>26.218800000000002</v>
      </c>
      <c r="JO27">
        <v>26.5078</v>
      </c>
      <c r="JP27">
        <v>30.0001</v>
      </c>
      <c r="JQ27">
        <v>26.517199999999999</v>
      </c>
      <c r="JR27">
        <v>26.515999999999998</v>
      </c>
      <c r="JS27">
        <v>-1</v>
      </c>
      <c r="JT27">
        <v>-30</v>
      </c>
      <c r="JU27">
        <v>-30</v>
      </c>
      <c r="JV27">
        <v>-999.9</v>
      </c>
      <c r="JW27">
        <v>0</v>
      </c>
      <c r="JX27">
        <v>0</v>
      </c>
      <c r="JY27">
        <v>101.82599999999999</v>
      </c>
      <c r="JZ27">
        <v>97.590800000000002</v>
      </c>
    </row>
    <row r="28" spans="1:286" x14ac:dyDescent="0.4">
      <c r="A28">
        <v>12</v>
      </c>
      <c r="B28">
        <v>1664976937</v>
      </c>
      <c r="C28">
        <v>966.90000009536698</v>
      </c>
      <c r="D28" t="s">
        <v>469</v>
      </c>
      <c r="E28" t="s">
        <v>470</v>
      </c>
      <c r="F28">
        <v>5</v>
      </c>
      <c r="G28">
        <v>1664976929</v>
      </c>
      <c r="H28">
        <f t="shared" si="0"/>
        <v>1.0760481529235202E-4</v>
      </c>
      <c r="I28">
        <f t="shared" si="1"/>
        <v>0.10760481529235201</v>
      </c>
      <c r="J28">
        <f t="shared" si="2"/>
        <v>-41.851446669504782</v>
      </c>
      <c r="K28">
        <f t="shared" si="3"/>
        <v>464.32966666666698</v>
      </c>
      <c r="L28">
        <f t="shared" si="4"/>
        <v>9803.1410243910595</v>
      </c>
      <c r="M28">
        <f t="shared" si="5"/>
        <v>990.73762063001004</v>
      </c>
      <c r="N28">
        <f t="shared" si="6"/>
        <v>46.926680744127609</v>
      </c>
      <c r="O28">
        <f t="shared" si="7"/>
        <v>7.0835509569185471E-3</v>
      </c>
      <c r="P28">
        <f t="shared" si="8"/>
        <v>3.0293064567721903</v>
      </c>
      <c r="Q28">
        <f t="shared" si="9"/>
        <v>7.0743617616290146E-3</v>
      </c>
      <c r="R28">
        <f t="shared" si="10"/>
        <v>4.4223007022975939E-3</v>
      </c>
      <c r="S28">
        <f t="shared" si="11"/>
        <v>6.3856599478895988E-4</v>
      </c>
      <c r="T28">
        <f t="shared" si="12"/>
        <v>26.510444615589542</v>
      </c>
      <c r="U28">
        <f t="shared" si="13"/>
        <v>26.045633333333299</v>
      </c>
      <c r="V28">
        <f t="shared" si="14"/>
        <v>3.3833806144677521</v>
      </c>
      <c r="W28">
        <f t="shared" si="15"/>
        <v>54.153856645232736</v>
      </c>
      <c r="X28">
        <f t="shared" si="16"/>
        <v>1.886230974558506</v>
      </c>
      <c r="Y28">
        <f t="shared" si="17"/>
        <v>3.4830962952747604</v>
      </c>
      <c r="Z28">
        <f t="shared" si="18"/>
        <v>1.4971496399092461</v>
      </c>
      <c r="AA28">
        <f t="shared" si="19"/>
        <v>-4.7453723543927238</v>
      </c>
      <c r="AB28">
        <f t="shared" si="20"/>
        <v>80.341658132989224</v>
      </c>
      <c r="AC28">
        <f t="shared" si="21"/>
        <v>5.6831965976280161</v>
      </c>
      <c r="AD28">
        <f t="shared" si="22"/>
        <v>81.280120942219298</v>
      </c>
      <c r="AE28">
        <v>5</v>
      </c>
      <c r="AF28">
        <v>100</v>
      </c>
      <c r="AG28">
        <f t="shared" si="23"/>
        <v>1</v>
      </c>
      <c r="AH28">
        <f t="shared" si="24"/>
        <v>0</v>
      </c>
      <c r="AI28">
        <f t="shared" si="25"/>
        <v>53542.706505005386</v>
      </c>
      <c r="AJ28" t="s">
        <v>471</v>
      </c>
      <c r="AK28">
        <v>8121.79</v>
      </c>
      <c r="AL28">
        <v>220.41399999999999</v>
      </c>
      <c r="AM28">
        <v>1483.38</v>
      </c>
      <c r="AN28">
        <f t="shared" si="26"/>
        <v>0.85141096684598683</v>
      </c>
      <c r="AO28">
        <v>-41.8514466695053</v>
      </c>
      <c r="AP28" t="s">
        <v>423</v>
      </c>
      <c r="AQ28" t="s">
        <v>423</v>
      </c>
      <c r="AR28">
        <v>0</v>
      </c>
      <c r="AS28">
        <v>0</v>
      </c>
      <c r="AT28" t="e">
        <f t="shared" si="27"/>
        <v>#DIV/0!</v>
      </c>
      <c r="AU28">
        <v>0.5</v>
      </c>
      <c r="AV28">
        <f t="shared" si="28"/>
        <v>3.3608736567839995E-3</v>
      </c>
      <c r="AW28">
        <f t="shared" si="29"/>
        <v>-41.851446669504782</v>
      </c>
      <c r="AX28" t="e">
        <f t="shared" si="30"/>
        <v>#DIV/0!</v>
      </c>
      <c r="AY28">
        <f t="shared" si="31"/>
        <v>1.5433373880564452E-10</v>
      </c>
      <c r="AZ28" t="e">
        <f t="shared" si="32"/>
        <v>#DIV/0!</v>
      </c>
      <c r="BA28" t="e">
        <f t="shared" si="33"/>
        <v>#DIV/0!</v>
      </c>
      <c r="BB28" t="s">
        <v>423</v>
      </c>
      <c r="BC28">
        <v>0</v>
      </c>
      <c r="BD28" t="e">
        <f t="shared" si="34"/>
        <v>#DIV/0!</v>
      </c>
      <c r="BE28" t="e">
        <f t="shared" si="35"/>
        <v>#DIV/0!</v>
      </c>
      <c r="BF28" t="e">
        <f t="shared" si="36"/>
        <v>#DIV/0!</v>
      </c>
      <c r="BG28" t="e">
        <f t="shared" si="37"/>
        <v>#DIV/0!</v>
      </c>
      <c r="BH28">
        <f t="shared" si="38"/>
        <v>0</v>
      </c>
      <c r="BI28">
        <f t="shared" si="39"/>
        <v>1.1745209293045102</v>
      </c>
      <c r="BJ28" t="e">
        <f t="shared" si="40"/>
        <v>#DIV/0!</v>
      </c>
      <c r="BK28" t="e">
        <f t="shared" si="41"/>
        <v>#DIV/0!</v>
      </c>
      <c r="BL28">
        <v>939</v>
      </c>
      <c r="BM28">
        <v>290</v>
      </c>
      <c r="BN28">
        <v>1558.67</v>
      </c>
      <c r="BO28">
        <v>165</v>
      </c>
      <c r="BP28">
        <v>8114.57</v>
      </c>
      <c r="BQ28">
        <v>1551.92</v>
      </c>
      <c r="BR28">
        <v>6.75</v>
      </c>
      <c r="BS28">
        <v>300</v>
      </c>
      <c r="BT28">
        <v>19.2</v>
      </c>
      <c r="BU28">
        <v>1584.3896717483201</v>
      </c>
      <c r="BV28">
        <v>1.88110366540944</v>
      </c>
      <c r="BW28">
        <v>-26.347569484426199</v>
      </c>
      <c r="BX28">
        <v>1.36356822732003</v>
      </c>
      <c r="BY28">
        <v>0.93023713121789597</v>
      </c>
      <c r="BZ28">
        <v>-5.3779617352614001E-3</v>
      </c>
      <c r="CA28">
        <v>290</v>
      </c>
      <c r="CB28">
        <v>1543.03</v>
      </c>
      <c r="CC28">
        <v>615</v>
      </c>
      <c r="CD28">
        <v>8099.76</v>
      </c>
      <c r="CE28">
        <v>1551.86</v>
      </c>
      <c r="CF28">
        <v>-8.83</v>
      </c>
      <c r="CT28">
        <f t="shared" si="42"/>
        <v>2.0002599999999999E-2</v>
      </c>
      <c r="CU28">
        <f t="shared" si="43"/>
        <v>3.3608736567839995E-3</v>
      </c>
      <c r="CV28">
        <f t="shared" si="44"/>
        <v>0.16802183999999998</v>
      </c>
      <c r="CW28">
        <f t="shared" si="45"/>
        <v>3.1924149599999993E-2</v>
      </c>
      <c r="CX28">
        <v>2</v>
      </c>
      <c r="CY28">
        <v>0.5</v>
      </c>
      <c r="CZ28" t="s">
        <v>424</v>
      </c>
      <c r="DA28">
        <v>2</v>
      </c>
      <c r="DB28">
        <v>1664976929</v>
      </c>
      <c r="DC28">
        <v>464.32966666666698</v>
      </c>
      <c r="DD28">
        <v>505.91613333333299</v>
      </c>
      <c r="DE28">
        <v>18.66386</v>
      </c>
      <c r="DF28">
        <v>18.768913333333298</v>
      </c>
      <c r="DG28">
        <v>462.99119999999999</v>
      </c>
      <c r="DH28">
        <v>18.743746666666699</v>
      </c>
      <c r="DI28">
        <v>-201.034066666667</v>
      </c>
      <c r="DJ28">
        <v>101.06659999999999</v>
      </c>
      <c r="DK28">
        <v>-3.3164906666666698E-3</v>
      </c>
      <c r="DL28">
        <v>26.537573333333299</v>
      </c>
      <c r="DM28">
        <v>26.045633333333299</v>
      </c>
      <c r="DN28">
        <v>999.9</v>
      </c>
      <c r="DO28">
        <v>0</v>
      </c>
      <c r="DP28">
        <v>0</v>
      </c>
      <c r="DQ28">
        <v>10003.709999999999</v>
      </c>
      <c r="DR28">
        <v>0</v>
      </c>
      <c r="DS28">
        <v>0.21823999999999999</v>
      </c>
      <c r="DT28">
        <v>-41.586366666666699</v>
      </c>
      <c r="DU28">
        <v>473.16093333333299</v>
      </c>
      <c r="DV28">
        <v>515.592266666667</v>
      </c>
      <c r="DW28">
        <v>-0.105037002666667</v>
      </c>
      <c r="DX28">
        <v>505.91613333333299</v>
      </c>
      <c r="DY28">
        <v>18.768913333333298</v>
      </c>
      <c r="DZ28">
        <v>1.8862953333333301</v>
      </c>
      <c r="EA28">
        <v>1.89691066666667</v>
      </c>
      <c r="EB28">
        <v>16.520566666666699</v>
      </c>
      <c r="EC28">
        <v>16.60904</v>
      </c>
      <c r="ED28">
        <v>2.0002599999999999E-2</v>
      </c>
      <c r="EE28">
        <v>0</v>
      </c>
      <c r="EF28">
        <v>0</v>
      </c>
      <c r="EG28">
        <v>0</v>
      </c>
      <c r="EH28">
        <v>219.73500000000001</v>
      </c>
      <c r="EI28">
        <v>2.0002599999999999E-2</v>
      </c>
      <c r="EJ28">
        <v>-9.2033333333333296</v>
      </c>
      <c r="EK28">
        <v>0.37666666666666698</v>
      </c>
      <c r="EL28">
        <v>35.433133333333302</v>
      </c>
      <c r="EM28">
        <v>38.441400000000002</v>
      </c>
      <c r="EN28">
        <v>37.2164</v>
      </c>
      <c r="EO28">
        <v>38.820599999999999</v>
      </c>
      <c r="EP28">
        <v>38.124666666666698</v>
      </c>
      <c r="EQ28">
        <v>0</v>
      </c>
      <c r="ER28">
        <v>0</v>
      </c>
      <c r="ES28">
        <v>0</v>
      </c>
      <c r="ET28">
        <v>91.399999856948895</v>
      </c>
      <c r="EU28">
        <v>0</v>
      </c>
      <c r="EV28">
        <v>220.41399999999999</v>
      </c>
      <c r="EW28">
        <v>-10.0307691591847</v>
      </c>
      <c r="EX28">
        <v>2.6096155001860799</v>
      </c>
      <c r="EY28">
        <v>-7.899</v>
      </c>
      <c r="EZ28">
        <v>15</v>
      </c>
      <c r="FA28">
        <v>1664976001.0999999</v>
      </c>
      <c r="FB28" t="s">
        <v>425</v>
      </c>
      <c r="FC28">
        <v>1664976001.0999999</v>
      </c>
      <c r="FD28">
        <v>1790572693.0999999</v>
      </c>
      <c r="FE28">
        <v>1</v>
      </c>
      <c r="FF28">
        <v>0.30399999999999999</v>
      </c>
      <c r="FG28">
        <v>0</v>
      </c>
      <c r="FH28">
        <v>1.337</v>
      </c>
      <c r="FI28">
        <v>-0.128</v>
      </c>
      <c r="FJ28">
        <v>462</v>
      </c>
      <c r="FK28">
        <v>17</v>
      </c>
      <c r="FL28">
        <v>0.87</v>
      </c>
      <c r="FM28">
        <v>0.1</v>
      </c>
      <c r="FN28">
        <v>-62.595120769753798</v>
      </c>
      <c r="FO28">
        <v>243.75021691732499</v>
      </c>
      <c r="FP28">
        <v>25.051630565127802</v>
      </c>
      <c r="FQ28">
        <v>-1</v>
      </c>
      <c r="FR28">
        <v>-56.664225000000002</v>
      </c>
      <c r="FS28">
        <v>241.28557443609</v>
      </c>
      <c r="FT28">
        <v>23.695724068550302</v>
      </c>
      <c r="FU28">
        <v>-1</v>
      </c>
      <c r="FV28">
        <v>219.40073529411799</v>
      </c>
      <c r="FW28">
        <v>1.4350650404585801</v>
      </c>
      <c r="FX28">
        <v>3.0489299309837299</v>
      </c>
      <c r="FY28">
        <v>0</v>
      </c>
      <c r="FZ28">
        <v>-0.17322414699999999</v>
      </c>
      <c r="GA28">
        <v>0.38954183368421003</v>
      </c>
      <c r="GB28">
        <v>0.160603217349751</v>
      </c>
      <c r="GC28">
        <v>-1</v>
      </c>
      <c r="GD28">
        <v>0</v>
      </c>
      <c r="GE28">
        <v>1</v>
      </c>
      <c r="GF28" t="s">
        <v>458</v>
      </c>
      <c r="GG28">
        <v>2.1423299999999998</v>
      </c>
      <c r="GH28">
        <v>2.6547000000000001</v>
      </c>
      <c r="GI28">
        <v>9.8499600000000007E-2</v>
      </c>
      <c r="GJ28">
        <v>0.104314</v>
      </c>
      <c r="GK28">
        <v>9.8585599999999995E-2</v>
      </c>
      <c r="GL28">
        <v>0.102177</v>
      </c>
      <c r="GM28">
        <v>17591.8</v>
      </c>
      <c r="GN28">
        <v>26389.1</v>
      </c>
      <c r="GO28">
        <v>22795.8</v>
      </c>
      <c r="GP28">
        <v>30184.7</v>
      </c>
      <c r="GQ28">
        <v>33683.9</v>
      </c>
      <c r="GR28">
        <v>33739.9</v>
      </c>
      <c r="GS28">
        <v>43117.7</v>
      </c>
      <c r="GT28">
        <v>42966.9</v>
      </c>
      <c r="GU28">
        <v>0.02</v>
      </c>
      <c r="GV28">
        <v>1.43167</v>
      </c>
      <c r="GW28">
        <v>9.5941100000000001E-2</v>
      </c>
      <c r="GX28">
        <v>0</v>
      </c>
      <c r="GY28">
        <v>24.502400000000002</v>
      </c>
      <c r="GZ28">
        <v>999.9</v>
      </c>
      <c r="HA28">
        <v>35.905000000000001</v>
      </c>
      <c r="HB28">
        <v>27.724</v>
      </c>
      <c r="HC28">
        <v>13.266400000000001</v>
      </c>
      <c r="HD28">
        <v>63.220300000000002</v>
      </c>
      <c r="HE28">
        <v>0</v>
      </c>
      <c r="HF28">
        <v>0</v>
      </c>
      <c r="HG28">
        <v>-6.6958799999999999E-2</v>
      </c>
      <c r="HH28">
        <v>0</v>
      </c>
      <c r="HI28">
        <v>20.269400000000001</v>
      </c>
      <c r="HJ28">
        <v>5.2346599999999999</v>
      </c>
      <c r="HK28">
        <v>11.962</v>
      </c>
      <c r="HL28">
        <v>4.9695499999999999</v>
      </c>
      <c r="HM28">
        <v>3.2952499999999998</v>
      </c>
      <c r="HN28">
        <v>9999</v>
      </c>
      <c r="HO28">
        <v>999.9</v>
      </c>
      <c r="HP28">
        <v>9999</v>
      </c>
      <c r="HQ28">
        <v>9999</v>
      </c>
      <c r="HR28">
        <v>4.9684100000000004</v>
      </c>
      <c r="HS28">
        <v>1.86198</v>
      </c>
      <c r="HT28">
        <v>1.8635600000000001</v>
      </c>
      <c r="HU28">
        <v>1.86554</v>
      </c>
      <c r="HV28">
        <v>1.8626400000000001</v>
      </c>
      <c r="HW28">
        <v>1.86629</v>
      </c>
      <c r="HX28">
        <v>1.8631</v>
      </c>
      <c r="HY28">
        <v>1.86493</v>
      </c>
      <c r="HZ28">
        <v>0</v>
      </c>
      <c r="IA28">
        <v>0</v>
      </c>
      <c r="IB28">
        <v>0</v>
      </c>
      <c r="IC28">
        <v>0</v>
      </c>
      <c r="ID28" t="s">
        <v>427</v>
      </c>
      <c r="IE28" t="s">
        <v>428</v>
      </c>
      <c r="IF28" t="s">
        <v>429</v>
      </c>
      <c r="IG28" t="s">
        <v>429</v>
      </c>
      <c r="IH28" t="s">
        <v>429</v>
      </c>
      <c r="II28" t="s">
        <v>429</v>
      </c>
      <c r="IJ28">
        <v>0</v>
      </c>
      <c r="IK28">
        <v>100</v>
      </c>
      <c r="IL28">
        <v>100</v>
      </c>
      <c r="IM28">
        <v>1.339</v>
      </c>
      <c r="IN28">
        <v>-7.4999999999999997E-2</v>
      </c>
      <c r="IO28">
        <v>0.91043272280072696</v>
      </c>
      <c r="IP28">
        <v>1.61658254425633E-3</v>
      </c>
      <c r="IQ28">
        <v>-1.89604851270483E-6</v>
      </c>
      <c r="IR28">
        <v>8.6681353432279101E-10</v>
      </c>
      <c r="IS28">
        <v>-4.47525518804959E-2</v>
      </c>
      <c r="IT28">
        <v>-3.5871989026399903E-2</v>
      </c>
      <c r="IU28">
        <v>1.9028800927848801E-3</v>
      </c>
      <c r="IV28">
        <v>-4.7539144078026999E-6</v>
      </c>
      <c r="IW28">
        <v>1</v>
      </c>
      <c r="IX28">
        <v>1704</v>
      </c>
      <c r="IY28">
        <v>4</v>
      </c>
      <c r="IZ28">
        <v>25</v>
      </c>
      <c r="JA28">
        <v>15.6</v>
      </c>
      <c r="JB28">
        <v>-2093262.6</v>
      </c>
      <c r="JC28">
        <v>0.162354</v>
      </c>
      <c r="JD28">
        <v>4.99878</v>
      </c>
      <c r="JE28">
        <v>0.239258</v>
      </c>
      <c r="JF28">
        <v>1.2206999999999999E-3</v>
      </c>
      <c r="JG28">
        <v>0.26733400000000002</v>
      </c>
      <c r="JH28">
        <v>4.99878</v>
      </c>
      <c r="JI28">
        <v>31.2591</v>
      </c>
      <c r="JJ28">
        <v>15.786899999999999</v>
      </c>
      <c r="JK28">
        <v>2</v>
      </c>
      <c r="JL28">
        <v>-27.086300000000001</v>
      </c>
      <c r="JM28">
        <v>255.3</v>
      </c>
      <c r="JN28">
        <v>26.214400000000001</v>
      </c>
      <c r="JO28">
        <v>26.4846</v>
      </c>
      <c r="JP28">
        <v>30</v>
      </c>
      <c r="JQ28">
        <v>26.494900000000001</v>
      </c>
      <c r="JR28">
        <v>26.495999999999999</v>
      </c>
      <c r="JS28">
        <v>-1</v>
      </c>
      <c r="JT28">
        <v>-30</v>
      </c>
      <c r="JU28">
        <v>-30</v>
      </c>
      <c r="JV28">
        <v>-999.9</v>
      </c>
      <c r="JW28">
        <v>0</v>
      </c>
      <c r="JX28">
        <v>0</v>
      </c>
      <c r="JY28">
        <v>101.82299999999999</v>
      </c>
      <c r="JZ28">
        <v>97.590299999999999</v>
      </c>
    </row>
    <row r="29" spans="1:286" x14ac:dyDescent="0.4">
      <c r="A29">
        <v>13</v>
      </c>
      <c r="B29">
        <v>1664977057</v>
      </c>
      <c r="C29">
        <v>1086.9000000953699</v>
      </c>
      <c r="D29" t="s">
        <v>472</v>
      </c>
      <c r="E29" t="s">
        <v>473</v>
      </c>
      <c r="F29">
        <v>5</v>
      </c>
      <c r="G29">
        <v>1664977048.5</v>
      </c>
      <c r="H29">
        <f t="shared" si="0"/>
        <v>-2.0786084108655313E-5</v>
      </c>
      <c r="I29">
        <f t="shared" si="1"/>
        <v>-2.0786084108655314E-2</v>
      </c>
      <c r="J29">
        <f t="shared" si="2"/>
        <v>31.938821239027675</v>
      </c>
      <c r="K29">
        <f t="shared" si="3"/>
        <v>536.92849999999999</v>
      </c>
      <c r="L29">
        <f t="shared" si="4"/>
        <v>39825.340024518373</v>
      </c>
      <c r="M29">
        <f t="shared" si="5"/>
        <v>4024.9242784665689</v>
      </c>
      <c r="N29">
        <f t="shared" si="6"/>
        <v>54.264359177351984</v>
      </c>
      <c r="O29">
        <f t="shared" si="7"/>
        <v>-1.2833495667094776E-3</v>
      </c>
      <c r="P29">
        <f t="shared" si="8"/>
        <v>3.027522213383766</v>
      </c>
      <c r="Q29">
        <f t="shared" si="9"/>
        <v>-1.2836518683928999E-3</v>
      </c>
      <c r="R29">
        <f t="shared" si="10"/>
        <v>-8.0225525191249584E-4</v>
      </c>
      <c r="S29">
        <f t="shared" si="11"/>
        <v>6.3856599478895988E-4</v>
      </c>
      <c r="T29">
        <f t="shared" si="12"/>
        <v>26.490191645843904</v>
      </c>
      <c r="U29">
        <f t="shared" si="13"/>
        <v>26.123418749999999</v>
      </c>
      <c r="V29">
        <f t="shared" si="14"/>
        <v>3.3989796971349775</v>
      </c>
      <c r="W29">
        <f t="shared" si="15"/>
        <v>51.970671985610117</v>
      </c>
      <c r="X29">
        <f t="shared" si="16"/>
        <v>1.8045813744907329</v>
      </c>
      <c r="Y29">
        <f t="shared" si="17"/>
        <v>3.4723071793075788</v>
      </c>
      <c r="Z29">
        <f t="shared" si="18"/>
        <v>1.5943983226442446</v>
      </c>
      <c r="AA29">
        <f t="shared" si="19"/>
        <v>0.91666630919169934</v>
      </c>
      <c r="AB29">
        <f t="shared" si="20"/>
        <v>59.008030085251576</v>
      </c>
      <c r="AC29">
        <f t="shared" si="21"/>
        <v>4.1770867630541311</v>
      </c>
      <c r="AD29">
        <f t="shared" si="22"/>
        <v>64.102421723492199</v>
      </c>
      <c r="AE29">
        <v>5</v>
      </c>
      <c r="AF29">
        <v>100</v>
      </c>
      <c r="AG29">
        <f t="shared" si="23"/>
        <v>1</v>
      </c>
      <c r="AH29">
        <f t="shared" si="24"/>
        <v>0</v>
      </c>
      <c r="AI29">
        <f t="shared" si="25"/>
        <v>53496.75879880078</v>
      </c>
      <c r="AJ29" t="s">
        <v>474</v>
      </c>
      <c r="AK29">
        <v>8115.54</v>
      </c>
      <c r="AL29">
        <v>270.55399999999997</v>
      </c>
      <c r="AM29">
        <v>1610.67</v>
      </c>
      <c r="AN29">
        <f t="shared" si="26"/>
        <v>0.83202394034780558</v>
      </c>
      <c r="AO29">
        <v>31.9388212390277</v>
      </c>
      <c r="AP29" t="s">
        <v>423</v>
      </c>
      <c r="AQ29" t="s">
        <v>423</v>
      </c>
      <c r="AR29">
        <v>0</v>
      </c>
      <c r="AS29">
        <v>0</v>
      </c>
      <c r="AT29" t="e">
        <f t="shared" si="27"/>
        <v>#DIV/0!</v>
      </c>
      <c r="AU29">
        <v>0.5</v>
      </c>
      <c r="AV29">
        <f t="shared" si="28"/>
        <v>3.3608736567839995E-3</v>
      </c>
      <c r="AW29">
        <f t="shared" si="29"/>
        <v>31.938821239027675</v>
      </c>
      <c r="AX29" t="e">
        <f t="shared" si="30"/>
        <v>#DIV/0!</v>
      </c>
      <c r="AY29">
        <f t="shared" si="31"/>
        <v>-7.399562819448709E-12</v>
      </c>
      <c r="AZ29" t="e">
        <f t="shared" si="32"/>
        <v>#DIV/0!</v>
      </c>
      <c r="BA29" t="e">
        <f t="shared" si="33"/>
        <v>#DIV/0!</v>
      </c>
      <c r="BB29" t="s">
        <v>423</v>
      </c>
      <c r="BC29">
        <v>0</v>
      </c>
      <c r="BD29" t="e">
        <f t="shared" si="34"/>
        <v>#DIV/0!</v>
      </c>
      <c r="BE29" t="e">
        <f t="shared" si="35"/>
        <v>#DIV/0!</v>
      </c>
      <c r="BF29" t="e">
        <f t="shared" si="36"/>
        <v>#DIV/0!</v>
      </c>
      <c r="BG29" t="e">
        <f t="shared" si="37"/>
        <v>#DIV/0!</v>
      </c>
      <c r="BH29">
        <f t="shared" si="38"/>
        <v>0</v>
      </c>
      <c r="BI29">
        <f t="shared" si="39"/>
        <v>1.2018884932349141</v>
      </c>
      <c r="BJ29" t="e">
        <f t="shared" si="40"/>
        <v>#DIV/0!</v>
      </c>
      <c r="BK29" t="e">
        <f t="shared" si="41"/>
        <v>#DIV/0!</v>
      </c>
      <c r="BL29">
        <v>939</v>
      </c>
      <c r="BM29">
        <v>290</v>
      </c>
      <c r="BN29">
        <v>1558.67</v>
      </c>
      <c r="BO29">
        <v>165</v>
      </c>
      <c r="BP29">
        <v>8114.57</v>
      </c>
      <c r="BQ29">
        <v>1551.92</v>
      </c>
      <c r="BR29">
        <v>6.75</v>
      </c>
      <c r="BS29">
        <v>300</v>
      </c>
      <c r="BT29">
        <v>19.2</v>
      </c>
      <c r="BU29">
        <v>1584.3896717483201</v>
      </c>
      <c r="BV29">
        <v>1.88110366540944</v>
      </c>
      <c r="BW29">
        <v>-26.347569484426199</v>
      </c>
      <c r="BX29">
        <v>1.36356822732003</v>
      </c>
      <c r="BY29">
        <v>0.93023713121789597</v>
      </c>
      <c r="BZ29">
        <v>-5.3779617352614001E-3</v>
      </c>
      <c r="CA29">
        <v>290</v>
      </c>
      <c r="CB29">
        <v>1543.03</v>
      </c>
      <c r="CC29">
        <v>615</v>
      </c>
      <c r="CD29">
        <v>8099.76</v>
      </c>
      <c r="CE29">
        <v>1551.86</v>
      </c>
      <c r="CF29">
        <v>-8.83</v>
      </c>
      <c r="CT29">
        <f t="shared" si="42"/>
        <v>2.0002599999999999E-2</v>
      </c>
      <c r="CU29">
        <f t="shared" si="43"/>
        <v>3.3608736567839995E-3</v>
      </c>
      <c r="CV29">
        <f t="shared" si="44"/>
        <v>0.16802183999999998</v>
      </c>
      <c r="CW29">
        <f t="shared" si="45"/>
        <v>3.1924149599999993E-2</v>
      </c>
      <c r="CX29">
        <v>2</v>
      </c>
      <c r="CY29">
        <v>0.5</v>
      </c>
      <c r="CZ29" t="s">
        <v>424</v>
      </c>
      <c r="DA29">
        <v>2</v>
      </c>
      <c r="DB29">
        <v>1664977048.5</v>
      </c>
      <c r="DC29">
        <v>536.92849999999999</v>
      </c>
      <c r="DD29">
        <v>505.17081250000001</v>
      </c>
      <c r="DE29">
        <v>17.855756249999999</v>
      </c>
      <c r="DF29">
        <v>17.835450000000002</v>
      </c>
      <c r="DG29">
        <v>535.56412499999999</v>
      </c>
      <c r="DH29">
        <v>17.958525000000002</v>
      </c>
      <c r="DI29">
        <v>-201.0704375</v>
      </c>
      <c r="DJ29">
        <v>101.06693749999999</v>
      </c>
      <c r="DK29">
        <v>-2.5328775E-3</v>
      </c>
      <c r="DL29">
        <v>26.484943749999999</v>
      </c>
      <c r="DM29">
        <v>26.123418749999999</v>
      </c>
      <c r="DN29">
        <v>999.9</v>
      </c>
      <c r="DO29">
        <v>0</v>
      </c>
      <c r="DP29">
        <v>0</v>
      </c>
      <c r="DQ29">
        <v>9992.8943749999999</v>
      </c>
      <c r="DR29">
        <v>0</v>
      </c>
      <c r="DS29">
        <v>0.21823999999999999</v>
      </c>
      <c r="DT29">
        <v>31.757792500000001</v>
      </c>
      <c r="DU29">
        <v>546.68818750000003</v>
      </c>
      <c r="DV29">
        <v>514.34531249999998</v>
      </c>
      <c r="DW29">
        <v>2.0311349999999999E-2</v>
      </c>
      <c r="DX29">
        <v>505.17081250000001</v>
      </c>
      <c r="DY29">
        <v>17.835450000000002</v>
      </c>
      <c r="DZ29">
        <v>1.8046256249999999</v>
      </c>
      <c r="EA29">
        <v>1.8025737500000001</v>
      </c>
      <c r="EB29">
        <v>15.82658125</v>
      </c>
      <c r="EC29">
        <v>15.809075</v>
      </c>
      <c r="ED29">
        <v>2.0002599999999999E-2</v>
      </c>
      <c r="EE29">
        <v>0</v>
      </c>
      <c r="EF29">
        <v>0</v>
      </c>
      <c r="EG29">
        <v>0</v>
      </c>
      <c r="EH29">
        <v>270.23124999999999</v>
      </c>
      <c r="EI29">
        <v>2.0002599999999999E-2</v>
      </c>
      <c r="EJ29">
        <v>-7.35</v>
      </c>
      <c r="EK29">
        <v>0.61406249999999996</v>
      </c>
      <c r="EL29">
        <v>35.452750000000002</v>
      </c>
      <c r="EM29">
        <v>39.437249999999999</v>
      </c>
      <c r="EN29">
        <v>37.804499999999997</v>
      </c>
      <c r="EO29">
        <v>40.109124999999999</v>
      </c>
      <c r="EP29">
        <v>38.64425</v>
      </c>
      <c r="EQ29">
        <v>0</v>
      </c>
      <c r="ER29">
        <v>0</v>
      </c>
      <c r="ES29">
        <v>0</v>
      </c>
      <c r="ET29">
        <v>118.40000009536701</v>
      </c>
      <c r="EU29">
        <v>0</v>
      </c>
      <c r="EV29">
        <v>270.55399999999997</v>
      </c>
      <c r="EW29">
        <v>-1.9269230786756999</v>
      </c>
      <c r="EX29">
        <v>7.9000001477890098</v>
      </c>
      <c r="EY29">
        <v>-7.8609999999999998</v>
      </c>
      <c r="EZ29">
        <v>15</v>
      </c>
      <c r="FA29">
        <v>1664976001.0999999</v>
      </c>
      <c r="FB29" t="s">
        <v>425</v>
      </c>
      <c r="FC29">
        <v>1664976001.0999999</v>
      </c>
      <c r="FD29">
        <v>1790572693.0999999</v>
      </c>
      <c r="FE29">
        <v>1</v>
      </c>
      <c r="FF29">
        <v>0.30399999999999999</v>
      </c>
      <c r="FG29">
        <v>0</v>
      </c>
      <c r="FH29">
        <v>1.337</v>
      </c>
      <c r="FI29">
        <v>-0.128</v>
      </c>
      <c r="FJ29">
        <v>462</v>
      </c>
      <c r="FK29">
        <v>17</v>
      </c>
      <c r="FL29">
        <v>0.87</v>
      </c>
      <c r="FM29">
        <v>0.1</v>
      </c>
      <c r="FN29">
        <v>45.104225984000998</v>
      </c>
      <c r="FO29">
        <v>-275.43350469859001</v>
      </c>
      <c r="FP29">
        <v>57.508943126623102</v>
      </c>
      <c r="FQ29">
        <v>-1</v>
      </c>
      <c r="FR29">
        <v>43.338158999999997</v>
      </c>
      <c r="FS29">
        <v>-455.78849954887198</v>
      </c>
      <c r="FT29">
        <v>61.397177310831999</v>
      </c>
      <c r="FU29">
        <v>-1</v>
      </c>
      <c r="FV29">
        <v>269.78529411764703</v>
      </c>
      <c r="FW29">
        <v>4.0679908252614903</v>
      </c>
      <c r="FX29">
        <v>2.86140081417776</v>
      </c>
      <c r="FY29">
        <v>0</v>
      </c>
      <c r="FZ29">
        <v>-6.868842E-2</v>
      </c>
      <c r="GA29">
        <v>0.90315145263157903</v>
      </c>
      <c r="GB29">
        <v>0.153389851694998</v>
      </c>
      <c r="GC29">
        <v>-1</v>
      </c>
      <c r="GD29">
        <v>0</v>
      </c>
      <c r="GE29">
        <v>1</v>
      </c>
      <c r="GF29" t="s">
        <v>458</v>
      </c>
      <c r="GG29">
        <v>2.1405699999999999</v>
      </c>
      <c r="GH29">
        <v>2.6561900000000001</v>
      </c>
      <c r="GI29">
        <v>9.9773000000000001E-2</v>
      </c>
      <c r="GJ29">
        <v>0.11017200000000001</v>
      </c>
      <c r="GK29">
        <v>9.6822900000000003E-2</v>
      </c>
      <c r="GL29">
        <v>9.8479700000000003E-2</v>
      </c>
      <c r="GM29">
        <v>17566.599999999999</v>
      </c>
      <c r="GN29">
        <v>26216.5</v>
      </c>
      <c r="GO29">
        <v>22795.200000000001</v>
      </c>
      <c r="GP29">
        <v>30184.5</v>
      </c>
      <c r="GQ29">
        <v>33750.9</v>
      </c>
      <c r="GR29">
        <v>33879.699999999997</v>
      </c>
      <c r="GS29">
        <v>43116.2</v>
      </c>
      <c r="GT29">
        <v>42966.5</v>
      </c>
      <c r="GU29">
        <v>0.02</v>
      </c>
      <c r="GV29">
        <v>1.43492</v>
      </c>
      <c r="GW29">
        <v>0.103064</v>
      </c>
      <c r="GX29">
        <v>0</v>
      </c>
      <c r="GY29">
        <v>24.4941</v>
      </c>
      <c r="GZ29">
        <v>999.9</v>
      </c>
      <c r="HA29">
        <v>35.789000000000001</v>
      </c>
      <c r="HB29">
        <v>27.734000000000002</v>
      </c>
      <c r="HC29">
        <v>13.230700000000001</v>
      </c>
      <c r="HD29">
        <v>63.040300000000002</v>
      </c>
      <c r="HE29">
        <v>0</v>
      </c>
      <c r="HF29">
        <v>0</v>
      </c>
      <c r="HG29">
        <v>-6.7515199999999997E-2</v>
      </c>
      <c r="HH29">
        <v>0</v>
      </c>
      <c r="HI29">
        <v>20.271999999999998</v>
      </c>
      <c r="HJ29">
        <v>5.23346</v>
      </c>
      <c r="HK29">
        <v>11.962</v>
      </c>
      <c r="HL29">
        <v>4.9678500000000003</v>
      </c>
      <c r="HM29">
        <v>3.29508</v>
      </c>
      <c r="HN29">
        <v>9999</v>
      </c>
      <c r="HO29">
        <v>999.9</v>
      </c>
      <c r="HP29">
        <v>9999</v>
      </c>
      <c r="HQ29">
        <v>9999</v>
      </c>
      <c r="HR29">
        <v>4.9684100000000004</v>
      </c>
      <c r="HS29">
        <v>1.86195</v>
      </c>
      <c r="HT29">
        <v>1.8635600000000001</v>
      </c>
      <c r="HU29">
        <v>1.86554</v>
      </c>
      <c r="HV29">
        <v>1.8625799999999999</v>
      </c>
      <c r="HW29">
        <v>1.8662799999999999</v>
      </c>
      <c r="HX29">
        <v>1.8631</v>
      </c>
      <c r="HY29">
        <v>1.86493</v>
      </c>
      <c r="HZ29">
        <v>0</v>
      </c>
      <c r="IA29">
        <v>0</v>
      </c>
      <c r="IB29">
        <v>0</v>
      </c>
      <c r="IC29">
        <v>0</v>
      </c>
      <c r="ID29" t="s">
        <v>427</v>
      </c>
      <c r="IE29" t="s">
        <v>428</v>
      </c>
      <c r="IF29" t="s">
        <v>429</v>
      </c>
      <c r="IG29" t="s">
        <v>429</v>
      </c>
      <c r="IH29" t="s">
        <v>429</v>
      </c>
      <c r="II29" t="s">
        <v>429</v>
      </c>
      <c r="IJ29">
        <v>0</v>
      </c>
      <c r="IK29">
        <v>100</v>
      </c>
      <c r="IL29">
        <v>100</v>
      </c>
      <c r="IM29">
        <v>1.3420000000000001</v>
      </c>
      <c r="IN29">
        <v>-8.9200000000000002E-2</v>
      </c>
      <c r="IO29">
        <v>0.91043272280072696</v>
      </c>
      <c r="IP29">
        <v>1.61658254425633E-3</v>
      </c>
      <c r="IQ29">
        <v>-1.89604851270483E-6</v>
      </c>
      <c r="IR29">
        <v>8.6681353432279101E-10</v>
      </c>
      <c r="IS29">
        <v>-4.47525518804959E-2</v>
      </c>
      <c r="IT29">
        <v>-3.5871989026399903E-2</v>
      </c>
      <c r="IU29">
        <v>1.9028800927848801E-3</v>
      </c>
      <c r="IV29">
        <v>-4.7539144078026999E-6</v>
      </c>
      <c r="IW29">
        <v>1</v>
      </c>
      <c r="IX29">
        <v>1704</v>
      </c>
      <c r="IY29">
        <v>4</v>
      </c>
      <c r="IZ29">
        <v>25</v>
      </c>
      <c r="JA29">
        <v>17.600000000000001</v>
      </c>
      <c r="JB29">
        <v>-2093260.6</v>
      </c>
      <c r="JC29">
        <v>0.162354</v>
      </c>
      <c r="JD29">
        <v>4.99878</v>
      </c>
      <c r="JE29">
        <v>0.239258</v>
      </c>
      <c r="JF29">
        <v>1.2206999999999999E-3</v>
      </c>
      <c r="JG29">
        <v>0.26733400000000002</v>
      </c>
      <c r="JH29">
        <v>4.99878</v>
      </c>
      <c r="JI29">
        <v>31.237400000000001</v>
      </c>
      <c r="JJ29">
        <v>15.769399999999999</v>
      </c>
      <c r="JK29">
        <v>2</v>
      </c>
      <c r="JL29">
        <v>-27.090499999999999</v>
      </c>
      <c r="JM29">
        <v>256.58300000000003</v>
      </c>
      <c r="JN29">
        <v>26.1906</v>
      </c>
      <c r="JO29">
        <v>26.464500000000001</v>
      </c>
      <c r="JP29">
        <v>30.0001</v>
      </c>
      <c r="JQ29">
        <v>26.473500000000001</v>
      </c>
      <c r="JR29">
        <v>26.473800000000001</v>
      </c>
      <c r="JS29">
        <v>-1</v>
      </c>
      <c r="JT29">
        <v>-30</v>
      </c>
      <c r="JU29">
        <v>-30</v>
      </c>
      <c r="JV29">
        <v>-999.9</v>
      </c>
      <c r="JW29">
        <v>0</v>
      </c>
      <c r="JX29">
        <v>0</v>
      </c>
      <c r="JY29">
        <v>101.82</v>
      </c>
      <c r="JZ29">
        <v>97.589699999999993</v>
      </c>
    </row>
    <row r="30" spans="1:286" x14ac:dyDescent="0.4">
      <c r="A30">
        <v>14</v>
      </c>
      <c r="B30">
        <v>1664977128</v>
      </c>
      <c r="C30">
        <v>1157.9000000953699</v>
      </c>
      <c r="D30" t="s">
        <v>475</v>
      </c>
      <c r="E30" t="s">
        <v>476</v>
      </c>
      <c r="F30">
        <v>5</v>
      </c>
      <c r="G30">
        <v>1664977120</v>
      </c>
      <c r="H30">
        <f t="shared" si="0"/>
        <v>-2.3945556386617629E-4</v>
      </c>
      <c r="I30">
        <f t="shared" si="1"/>
        <v>-0.23945556386617628</v>
      </c>
      <c r="J30">
        <f t="shared" si="2"/>
        <v>-60.324543741410167</v>
      </c>
      <c r="K30">
        <f t="shared" si="3"/>
        <v>460.11826666666701</v>
      </c>
      <c r="L30">
        <f t="shared" si="4"/>
        <v>-5580.2770251907541</v>
      </c>
      <c r="M30">
        <f t="shared" si="5"/>
        <v>-563.97871753992308</v>
      </c>
      <c r="N30">
        <f t="shared" si="6"/>
        <v>46.502513903866387</v>
      </c>
      <c r="O30">
        <f t="shared" si="7"/>
        <v>-1.5777385214890013E-2</v>
      </c>
      <c r="P30">
        <f t="shared" si="8"/>
        <v>3.0288031469575305</v>
      </c>
      <c r="Q30">
        <f t="shared" si="9"/>
        <v>-1.5823187401918459E-2</v>
      </c>
      <c r="R30">
        <f t="shared" si="10"/>
        <v>-9.8853660406296884E-3</v>
      </c>
      <c r="S30">
        <f t="shared" si="11"/>
        <v>6.3856599478895988E-4</v>
      </c>
      <c r="T30">
        <f t="shared" si="12"/>
        <v>26.586445123290677</v>
      </c>
      <c r="U30">
        <f t="shared" si="13"/>
        <v>25.898879999999998</v>
      </c>
      <c r="V30">
        <f t="shared" si="14"/>
        <v>3.3541208949353463</v>
      </c>
      <c r="W30">
        <f t="shared" si="15"/>
        <v>53.556150808961291</v>
      </c>
      <c r="X30">
        <f t="shared" si="16"/>
        <v>1.8641461782582518</v>
      </c>
      <c r="Y30">
        <f t="shared" si="17"/>
        <v>3.4807321850067185</v>
      </c>
      <c r="Z30">
        <f t="shared" si="18"/>
        <v>1.4899747166770945</v>
      </c>
      <c r="AA30">
        <f t="shared" si="19"/>
        <v>10.559990366498374</v>
      </c>
      <c r="AB30">
        <f t="shared" si="20"/>
        <v>102.41040310535813</v>
      </c>
      <c r="AC30">
        <f t="shared" si="21"/>
        <v>7.2397532715901374</v>
      </c>
      <c r="AD30">
        <f t="shared" si="22"/>
        <v>120.21078530944143</v>
      </c>
      <c r="AE30">
        <v>5</v>
      </c>
      <c r="AF30">
        <v>100</v>
      </c>
      <c r="AG30">
        <f t="shared" si="23"/>
        <v>1</v>
      </c>
      <c r="AH30">
        <f t="shared" si="24"/>
        <v>0</v>
      </c>
      <c r="AI30">
        <f t="shared" si="25"/>
        <v>53529.201237116467</v>
      </c>
      <c r="AJ30" t="s">
        <v>477</v>
      </c>
      <c r="AK30">
        <v>8121.51</v>
      </c>
      <c r="AL30">
        <v>218.625</v>
      </c>
      <c r="AM30">
        <v>1499.97</v>
      </c>
      <c r="AN30">
        <f t="shared" si="26"/>
        <v>0.85424708494169888</v>
      </c>
      <c r="AO30">
        <v>-60.324543741410302</v>
      </c>
      <c r="AP30" t="s">
        <v>423</v>
      </c>
      <c r="AQ30" t="s">
        <v>423</v>
      </c>
      <c r="AR30">
        <v>0</v>
      </c>
      <c r="AS30">
        <v>0</v>
      </c>
      <c r="AT30" t="e">
        <f t="shared" si="27"/>
        <v>#DIV/0!</v>
      </c>
      <c r="AU30">
        <v>0.5</v>
      </c>
      <c r="AV30">
        <f t="shared" si="28"/>
        <v>3.3608736567839995E-3</v>
      </c>
      <c r="AW30">
        <f t="shared" si="29"/>
        <v>-60.324543741410167</v>
      </c>
      <c r="AX30" t="e">
        <f t="shared" si="30"/>
        <v>#DIV/0!</v>
      </c>
      <c r="AY30">
        <f t="shared" si="31"/>
        <v>4.0169055305578709E-11</v>
      </c>
      <c r="AZ30" t="e">
        <f t="shared" si="32"/>
        <v>#DIV/0!</v>
      </c>
      <c r="BA30" t="e">
        <f t="shared" si="33"/>
        <v>#DIV/0!</v>
      </c>
      <c r="BB30" t="s">
        <v>423</v>
      </c>
      <c r="BC30">
        <v>0</v>
      </c>
      <c r="BD30" t="e">
        <f t="shared" si="34"/>
        <v>#DIV/0!</v>
      </c>
      <c r="BE30" t="e">
        <f t="shared" si="35"/>
        <v>#DIV/0!</v>
      </c>
      <c r="BF30" t="e">
        <f t="shared" si="36"/>
        <v>#DIV/0!</v>
      </c>
      <c r="BG30" t="e">
        <f t="shared" si="37"/>
        <v>#DIV/0!</v>
      </c>
      <c r="BH30">
        <f t="shared" si="38"/>
        <v>0</v>
      </c>
      <c r="BI30">
        <f t="shared" si="39"/>
        <v>1.1706214953818059</v>
      </c>
      <c r="BJ30" t="e">
        <f t="shared" si="40"/>
        <v>#DIV/0!</v>
      </c>
      <c r="BK30" t="e">
        <f t="shared" si="41"/>
        <v>#DIV/0!</v>
      </c>
      <c r="BL30">
        <v>939</v>
      </c>
      <c r="BM30">
        <v>290</v>
      </c>
      <c r="BN30">
        <v>1558.67</v>
      </c>
      <c r="BO30">
        <v>165</v>
      </c>
      <c r="BP30">
        <v>8114.57</v>
      </c>
      <c r="BQ30">
        <v>1551.92</v>
      </c>
      <c r="BR30">
        <v>6.75</v>
      </c>
      <c r="BS30">
        <v>300</v>
      </c>
      <c r="BT30">
        <v>19.2</v>
      </c>
      <c r="BU30">
        <v>1584.3896717483201</v>
      </c>
      <c r="BV30">
        <v>1.88110366540944</v>
      </c>
      <c r="BW30">
        <v>-26.347569484426199</v>
      </c>
      <c r="BX30">
        <v>1.36356822732003</v>
      </c>
      <c r="BY30">
        <v>0.93023713121789597</v>
      </c>
      <c r="BZ30">
        <v>-5.3779617352614001E-3</v>
      </c>
      <c r="CA30">
        <v>290</v>
      </c>
      <c r="CB30">
        <v>1543.03</v>
      </c>
      <c r="CC30">
        <v>615</v>
      </c>
      <c r="CD30">
        <v>8099.76</v>
      </c>
      <c r="CE30">
        <v>1551.86</v>
      </c>
      <c r="CF30">
        <v>-8.83</v>
      </c>
      <c r="CT30">
        <f t="shared" si="42"/>
        <v>2.0002599999999999E-2</v>
      </c>
      <c r="CU30">
        <f t="shared" si="43"/>
        <v>3.3608736567839995E-3</v>
      </c>
      <c r="CV30">
        <f t="shared" si="44"/>
        <v>0.16802183999999998</v>
      </c>
      <c r="CW30">
        <f t="shared" si="45"/>
        <v>3.1924149599999993E-2</v>
      </c>
      <c r="CX30">
        <v>2</v>
      </c>
      <c r="CY30">
        <v>0.5</v>
      </c>
      <c r="CZ30" t="s">
        <v>424</v>
      </c>
      <c r="DA30">
        <v>2</v>
      </c>
      <c r="DB30">
        <v>1664977120</v>
      </c>
      <c r="DC30">
        <v>460.11826666666701</v>
      </c>
      <c r="DD30">
        <v>520.32186666666701</v>
      </c>
      <c r="DE30">
        <v>18.444759999999999</v>
      </c>
      <c r="DF30">
        <v>18.210619999999999</v>
      </c>
      <c r="DG30">
        <v>458.78140000000002</v>
      </c>
      <c r="DH30">
        <v>18.53106</v>
      </c>
      <c r="DI30">
        <v>-200.76779999999999</v>
      </c>
      <c r="DJ30">
        <v>101.069133333333</v>
      </c>
      <c r="DK30">
        <v>-2.6961306666666699E-3</v>
      </c>
      <c r="DL30">
        <v>26.526053333333302</v>
      </c>
      <c r="DM30">
        <v>25.898879999999998</v>
      </c>
      <c r="DN30">
        <v>999.9</v>
      </c>
      <c r="DO30">
        <v>0</v>
      </c>
      <c r="DP30">
        <v>0</v>
      </c>
      <c r="DQ30">
        <v>10000.416666666701</v>
      </c>
      <c r="DR30">
        <v>0</v>
      </c>
      <c r="DS30">
        <v>0.21823999999999999</v>
      </c>
      <c r="DT30">
        <v>-60.203699999999998</v>
      </c>
      <c r="DU30">
        <v>468.76453333333302</v>
      </c>
      <c r="DV30">
        <v>529.97066666666694</v>
      </c>
      <c r="DW30">
        <v>0.23414401333333301</v>
      </c>
      <c r="DX30">
        <v>520.32186666666701</v>
      </c>
      <c r="DY30">
        <v>18.210619999999999</v>
      </c>
      <c r="DZ30">
        <v>1.8641953333333301</v>
      </c>
      <c r="EA30">
        <v>1.8405320000000001</v>
      </c>
      <c r="EB30">
        <v>16.3354933333333</v>
      </c>
      <c r="EC30">
        <v>16.135093333333302</v>
      </c>
      <c r="ED30">
        <v>2.0002599999999999E-2</v>
      </c>
      <c r="EE30">
        <v>0</v>
      </c>
      <c r="EF30">
        <v>0</v>
      </c>
      <c r="EG30">
        <v>0</v>
      </c>
      <c r="EH30">
        <v>218.838333333333</v>
      </c>
      <c r="EI30">
        <v>2.0002599999999999E-2</v>
      </c>
      <c r="EJ30">
        <v>-8.1233333333333295</v>
      </c>
      <c r="EK30">
        <v>0.67666666666666697</v>
      </c>
      <c r="EL30">
        <v>35.912199999999999</v>
      </c>
      <c r="EM30">
        <v>40.374733333333303</v>
      </c>
      <c r="EN30">
        <v>38.353999999999999</v>
      </c>
      <c r="EO30">
        <v>41.658066666666699</v>
      </c>
      <c r="EP30">
        <v>39.258200000000002</v>
      </c>
      <c r="EQ30">
        <v>0</v>
      </c>
      <c r="ER30">
        <v>0</v>
      </c>
      <c r="ES30">
        <v>0</v>
      </c>
      <c r="ET30">
        <v>69.299999952316298</v>
      </c>
      <c r="EU30">
        <v>0</v>
      </c>
      <c r="EV30">
        <v>218.625</v>
      </c>
      <c r="EW30">
        <v>-6.6403844421032101</v>
      </c>
      <c r="EX30">
        <v>12.7038459050233</v>
      </c>
      <c r="EY30">
        <v>-6.9379999999999997</v>
      </c>
      <c r="EZ30">
        <v>15</v>
      </c>
      <c r="FA30">
        <v>1664976001.0999999</v>
      </c>
      <c r="FB30" t="s">
        <v>425</v>
      </c>
      <c r="FC30">
        <v>1664976001.0999999</v>
      </c>
      <c r="FD30">
        <v>1790572693.0999999</v>
      </c>
      <c r="FE30">
        <v>1</v>
      </c>
      <c r="FF30">
        <v>0.30399999999999999</v>
      </c>
      <c r="FG30">
        <v>0</v>
      </c>
      <c r="FH30">
        <v>1.337</v>
      </c>
      <c r="FI30">
        <v>-0.128</v>
      </c>
      <c r="FJ30">
        <v>462</v>
      </c>
      <c r="FK30">
        <v>17</v>
      </c>
      <c r="FL30">
        <v>0.87</v>
      </c>
      <c r="FM30">
        <v>0.1</v>
      </c>
      <c r="FN30">
        <v>-85.356368446476694</v>
      </c>
      <c r="FO30">
        <v>369.29311469368702</v>
      </c>
      <c r="FP30">
        <v>37.6183521305745</v>
      </c>
      <c r="FQ30">
        <v>-1</v>
      </c>
      <c r="FR30">
        <v>-75.862174999999993</v>
      </c>
      <c r="FS30">
        <v>342.82154436090201</v>
      </c>
      <c r="FT30">
        <v>33.310671525741903</v>
      </c>
      <c r="FU30">
        <v>-1</v>
      </c>
      <c r="FV30">
        <v>218.08823529411799</v>
      </c>
      <c r="FW30">
        <v>0.18716586190252299</v>
      </c>
      <c r="FX30">
        <v>3.25167510730396</v>
      </c>
      <c r="FY30">
        <v>1</v>
      </c>
      <c r="FZ30">
        <v>0.28667216000000001</v>
      </c>
      <c r="GA30">
        <v>-1.32527126616541</v>
      </c>
      <c r="GB30">
        <v>0.169877321355908</v>
      </c>
      <c r="GC30">
        <v>-1</v>
      </c>
      <c r="GD30">
        <v>1</v>
      </c>
      <c r="GE30">
        <v>1</v>
      </c>
      <c r="GF30" t="s">
        <v>468</v>
      </c>
      <c r="GG30">
        <v>2.1406499999999999</v>
      </c>
      <c r="GH30">
        <v>2.6550099999999999</v>
      </c>
      <c r="GI30">
        <v>9.8140199999999997E-2</v>
      </c>
      <c r="GJ30">
        <v>0.10499</v>
      </c>
      <c r="GK30">
        <v>9.7231100000000001E-2</v>
      </c>
      <c r="GL30">
        <v>0.100184</v>
      </c>
      <c r="GM30">
        <v>17596.8</v>
      </c>
      <c r="GN30">
        <v>26368.1</v>
      </c>
      <c r="GO30">
        <v>22793.1</v>
      </c>
      <c r="GP30">
        <v>30183.4</v>
      </c>
      <c r="GQ30">
        <v>33732.1</v>
      </c>
      <c r="GR30">
        <v>33814.1</v>
      </c>
      <c r="GS30">
        <v>43112.4</v>
      </c>
      <c r="GT30">
        <v>42965.4</v>
      </c>
      <c r="GU30">
        <v>0.02</v>
      </c>
      <c r="GV30">
        <v>1.4353199999999999</v>
      </c>
      <c r="GW30">
        <v>9.4562800000000002E-2</v>
      </c>
      <c r="GX30">
        <v>0</v>
      </c>
      <c r="GY30">
        <v>24.5061</v>
      </c>
      <c r="GZ30">
        <v>999.9</v>
      </c>
      <c r="HA30">
        <v>35.71</v>
      </c>
      <c r="HB30">
        <v>27.734000000000002</v>
      </c>
      <c r="HC30">
        <v>13.2011</v>
      </c>
      <c r="HD30">
        <v>63.260300000000001</v>
      </c>
      <c r="HE30">
        <v>0</v>
      </c>
      <c r="HF30">
        <v>0</v>
      </c>
      <c r="HG30">
        <v>-6.6864800000000002E-2</v>
      </c>
      <c r="HH30">
        <v>0</v>
      </c>
      <c r="HI30">
        <v>20.271999999999998</v>
      </c>
      <c r="HJ30">
        <v>5.2345100000000002</v>
      </c>
      <c r="HK30">
        <v>11.962</v>
      </c>
      <c r="HL30">
        <v>4.9692499999999997</v>
      </c>
      <c r="HM30">
        <v>3.29515</v>
      </c>
      <c r="HN30">
        <v>9999</v>
      </c>
      <c r="HO30">
        <v>999.9</v>
      </c>
      <c r="HP30">
        <v>9999</v>
      </c>
      <c r="HQ30">
        <v>9999</v>
      </c>
      <c r="HR30">
        <v>4.9684100000000004</v>
      </c>
      <c r="HS30">
        <v>1.8619600000000001</v>
      </c>
      <c r="HT30">
        <v>1.8635600000000001</v>
      </c>
      <c r="HU30">
        <v>1.86554</v>
      </c>
      <c r="HV30">
        <v>1.86263</v>
      </c>
      <c r="HW30">
        <v>1.8663000000000001</v>
      </c>
      <c r="HX30">
        <v>1.8631</v>
      </c>
      <c r="HY30">
        <v>1.86493</v>
      </c>
      <c r="HZ30">
        <v>0</v>
      </c>
      <c r="IA30">
        <v>0</v>
      </c>
      <c r="IB30">
        <v>0</v>
      </c>
      <c r="IC30">
        <v>0</v>
      </c>
      <c r="ID30" t="s">
        <v>427</v>
      </c>
      <c r="IE30" t="s">
        <v>428</v>
      </c>
      <c r="IF30" t="s">
        <v>429</v>
      </c>
      <c r="IG30" t="s">
        <v>429</v>
      </c>
      <c r="IH30" t="s">
        <v>429</v>
      </c>
      <c r="II30" t="s">
        <v>429</v>
      </c>
      <c r="IJ30">
        <v>0</v>
      </c>
      <c r="IK30">
        <v>100</v>
      </c>
      <c r="IL30">
        <v>100</v>
      </c>
      <c r="IM30">
        <v>1.3380000000000001</v>
      </c>
      <c r="IN30">
        <v>-8.5999999999999993E-2</v>
      </c>
      <c r="IO30">
        <v>0.91043272280072696</v>
      </c>
      <c r="IP30">
        <v>1.61658254425633E-3</v>
      </c>
      <c r="IQ30">
        <v>-1.89604851270483E-6</v>
      </c>
      <c r="IR30">
        <v>8.6681353432279101E-10</v>
      </c>
      <c r="IS30">
        <v>-4.47525518804959E-2</v>
      </c>
      <c r="IT30">
        <v>-3.5871989026399903E-2</v>
      </c>
      <c r="IU30">
        <v>1.9028800927848801E-3</v>
      </c>
      <c r="IV30">
        <v>-4.7539144078026999E-6</v>
      </c>
      <c r="IW30">
        <v>1</v>
      </c>
      <c r="IX30">
        <v>1704</v>
      </c>
      <c r="IY30">
        <v>4</v>
      </c>
      <c r="IZ30">
        <v>25</v>
      </c>
      <c r="JA30">
        <v>18.8</v>
      </c>
      <c r="JB30">
        <v>-2093259.4</v>
      </c>
      <c r="JC30">
        <v>0.162354</v>
      </c>
      <c r="JD30">
        <v>4.99878</v>
      </c>
      <c r="JE30">
        <v>0.239258</v>
      </c>
      <c r="JF30">
        <v>1.2206999999999999E-3</v>
      </c>
      <c r="JG30">
        <v>0.26733400000000002</v>
      </c>
      <c r="JH30">
        <v>4.99878</v>
      </c>
      <c r="JI30">
        <v>31.237400000000001</v>
      </c>
      <c r="JJ30">
        <v>15.769399999999999</v>
      </c>
      <c r="JK30">
        <v>2</v>
      </c>
      <c r="JL30">
        <v>-27.089099999999998</v>
      </c>
      <c r="JM30">
        <v>256.78500000000003</v>
      </c>
      <c r="JN30">
        <v>26.1996</v>
      </c>
      <c r="JO30">
        <v>26.4727</v>
      </c>
      <c r="JP30">
        <v>30.0002</v>
      </c>
      <c r="JQ30">
        <v>26.481000000000002</v>
      </c>
      <c r="JR30">
        <v>26.480399999999999</v>
      </c>
      <c r="JS30">
        <v>-1</v>
      </c>
      <c r="JT30">
        <v>-30</v>
      </c>
      <c r="JU30">
        <v>-30</v>
      </c>
      <c r="JV30">
        <v>-999.9</v>
      </c>
      <c r="JW30">
        <v>0</v>
      </c>
      <c r="JX30">
        <v>0</v>
      </c>
      <c r="JY30">
        <v>101.81</v>
      </c>
      <c r="JZ30">
        <v>97.586699999999993</v>
      </c>
    </row>
    <row r="31" spans="1:286" x14ac:dyDescent="0.4">
      <c r="A31">
        <v>15</v>
      </c>
      <c r="B31">
        <v>1664977228</v>
      </c>
      <c r="C31">
        <v>1257.9000000953699</v>
      </c>
      <c r="D31" t="s">
        <v>478</v>
      </c>
      <c r="E31" t="s">
        <v>479</v>
      </c>
      <c r="F31">
        <v>5</v>
      </c>
      <c r="G31">
        <v>1664977219.5</v>
      </c>
      <c r="H31">
        <f t="shared" si="0"/>
        <v>-5.8749745799339965E-5</v>
      </c>
      <c r="I31">
        <f t="shared" si="1"/>
        <v>-5.8749745799339968E-2</v>
      </c>
      <c r="J31">
        <f t="shared" si="2"/>
        <v>-113.73153642231688</v>
      </c>
      <c r="K31">
        <f t="shared" si="3"/>
        <v>560.474875</v>
      </c>
      <c r="L31">
        <f t="shared" si="4"/>
        <v>-48538.430570915742</v>
      </c>
      <c r="M31">
        <f t="shared" si="5"/>
        <v>-4905.4828929122532</v>
      </c>
      <c r="N31">
        <f t="shared" si="6"/>
        <v>56.643774404751262</v>
      </c>
      <c r="O31">
        <f t="shared" si="7"/>
        <v>-3.6581727060851377E-3</v>
      </c>
      <c r="P31">
        <f t="shared" si="8"/>
        <v>3.0296953514388627</v>
      </c>
      <c r="Q31">
        <f t="shared" si="9"/>
        <v>-3.6606283856732403E-3</v>
      </c>
      <c r="R31">
        <f t="shared" si="10"/>
        <v>-2.2876719766286926E-3</v>
      </c>
      <c r="S31">
        <f t="shared" si="11"/>
        <v>6.3856599478895988E-4</v>
      </c>
      <c r="T31">
        <f t="shared" si="12"/>
        <v>26.595365100007783</v>
      </c>
      <c r="U31">
        <f t="shared" si="13"/>
        <v>26.185643750000001</v>
      </c>
      <c r="V31">
        <f t="shared" si="14"/>
        <v>3.4115034780412317</v>
      </c>
      <c r="W31">
        <f t="shared" si="15"/>
        <v>52.452212224327752</v>
      </c>
      <c r="X31">
        <f t="shared" si="16"/>
        <v>1.8315936178389938</v>
      </c>
      <c r="Y31">
        <f t="shared" si="17"/>
        <v>3.4919282527219817</v>
      </c>
      <c r="Z31">
        <f t="shared" si="18"/>
        <v>1.5799098602022379</v>
      </c>
      <c r="AA31">
        <f t="shared" si="19"/>
        <v>2.5908637897508924</v>
      </c>
      <c r="AB31">
        <f t="shared" si="20"/>
        <v>64.502776798044621</v>
      </c>
      <c r="AC31">
        <f t="shared" si="21"/>
        <v>4.5663865972955353</v>
      </c>
      <c r="AD31">
        <f t="shared" si="22"/>
        <v>71.660665751085844</v>
      </c>
      <c r="AE31">
        <v>5</v>
      </c>
      <c r="AF31">
        <v>100</v>
      </c>
      <c r="AG31">
        <f t="shared" si="23"/>
        <v>1</v>
      </c>
      <c r="AH31">
        <f t="shared" si="24"/>
        <v>0</v>
      </c>
      <c r="AI31">
        <f t="shared" si="25"/>
        <v>53547.113773057354</v>
      </c>
      <c r="AJ31" t="s">
        <v>480</v>
      </c>
      <c r="AK31">
        <v>8118.48</v>
      </c>
      <c r="AL31">
        <v>244.863</v>
      </c>
      <c r="AM31">
        <v>1608.51</v>
      </c>
      <c r="AN31">
        <f t="shared" si="26"/>
        <v>0.84777029673424475</v>
      </c>
      <c r="AO31">
        <v>-113.73153642231701</v>
      </c>
      <c r="AP31" t="s">
        <v>423</v>
      </c>
      <c r="AQ31" t="s">
        <v>423</v>
      </c>
      <c r="AR31">
        <v>0</v>
      </c>
      <c r="AS31">
        <v>0</v>
      </c>
      <c r="AT31" t="e">
        <f t="shared" si="27"/>
        <v>#DIV/0!</v>
      </c>
      <c r="AU31">
        <v>0.5</v>
      </c>
      <c r="AV31">
        <f t="shared" si="28"/>
        <v>3.3608736567839995E-3</v>
      </c>
      <c r="AW31">
        <f t="shared" si="29"/>
        <v>-113.73153642231688</v>
      </c>
      <c r="AX31" t="e">
        <f t="shared" si="30"/>
        <v>#DIV/0!</v>
      </c>
      <c r="AY31">
        <f t="shared" si="31"/>
        <v>3.8054894500021938E-11</v>
      </c>
      <c r="AZ31" t="e">
        <f t="shared" si="32"/>
        <v>#DIV/0!</v>
      </c>
      <c r="BA31" t="e">
        <f t="shared" si="33"/>
        <v>#DIV/0!</v>
      </c>
      <c r="BB31" t="s">
        <v>423</v>
      </c>
      <c r="BC31">
        <v>0</v>
      </c>
      <c r="BD31" t="e">
        <f t="shared" si="34"/>
        <v>#DIV/0!</v>
      </c>
      <c r="BE31" t="e">
        <f t="shared" si="35"/>
        <v>#DIV/0!</v>
      </c>
      <c r="BF31" t="e">
        <f t="shared" si="36"/>
        <v>#DIV/0!</v>
      </c>
      <c r="BG31" t="e">
        <f t="shared" si="37"/>
        <v>#DIV/0!</v>
      </c>
      <c r="BH31">
        <f t="shared" si="38"/>
        <v>0</v>
      </c>
      <c r="BI31">
        <f t="shared" si="39"/>
        <v>1.1795647993945648</v>
      </c>
      <c r="BJ31" t="e">
        <f t="shared" si="40"/>
        <v>#DIV/0!</v>
      </c>
      <c r="BK31" t="e">
        <f t="shared" si="41"/>
        <v>#DIV/0!</v>
      </c>
      <c r="BL31">
        <v>939</v>
      </c>
      <c r="BM31">
        <v>290</v>
      </c>
      <c r="BN31">
        <v>1558.67</v>
      </c>
      <c r="BO31">
        <v>165</v>
      </c>
      <c r="BP31">
        <v>8114.57</v>
      </c>
      <c r="BQ31">
        <v>1551.92</v>
      </c>
      <c r="BR31">
        <v>6.75</v>
      </c>
      <c r="BS31">
        <v>300</v>
      </c>
      <c r="BT31">
        <v>19.2</v>
      </c>
      <c r="BU31">
        <v>1584.3896717483201</v>
      </c>
      <c r="BV31">
        <v>1.88110366540944</v>
      </c>
      <c r="BW31">
        <v>-26.347569484426199</v>
      </c>
      <c r="BX31">
        <v>1.36356822732003</v>
      </c>
      <c r="BY31">
        <v>0.93023713121789597</v>
      </c>
      <c r="BZ31">
        <v>-5.3779617352614001E-3</v>
      </c>
      <c r="CA31">
        <v>290</v>
      </c>
      <c r="CB31">
        <v>1543.03</v>
      </c>
      <c r="CC31">
        <v>615</v>
      </c>
      <c r="CD31">
        <v>8099.76</v>
      </c>
      <c r="CE31">
        <v>1551.86</v>
      </c>
      <c r="CF31">
        <v>-8.83</v>
      </c>
      <c r="CT31">
        <f t="shared" si="42"/>
        <v>2.0002599999999999E-2</v>
      </c>
      <c r="CU31">
        <f t="shared" si="43"/>
        <v>3.3608736567839995E-3</v>
      </c>
      <c r="CV31">
        <f t="shared" si="44"/>
        <v>0.16802183999999998</v>
      </c>
      <c r="CW31">
        <f t="shared" si="45"/>
        <v>3.1924149599999993E-2</v>
      </c>
      <c r="CX31">
        <v>2</v>
      </c>
      <c r="CY31">
        <v>0.5</v>
      </c>
      <c r="CZ31" t="s">
        <v>424</v>
      </c>
      <c r="DA31">
        <v>2</v>
      </c>
      <c r="DB31">
        <v>1664977219.5</v>
      </c>
      <c r="DC31">
        <v>560.474875</v>
      </c>
      <c r="DD31">
        <v>673.51700000000005</v>
      </c>
      <c r="DE31">
        <v>18.123125000000002</v>
      </c>
      <c r="DF31">
        <v>18.065806250000001</v>
      </c>
      <c r="DG31">
        <v>559.10756249999997</v>
      </c>
      <c r="DH31">
        <v>18.218499999999999</v>
      </c>
      <c r="DI31">
        <v>-201.27799999999999</v>
      </c>
      <c r="DJ31">
        <v>101.0675</v>
      </c>
      <c r="DK31">
        <v>-3.6041300000000001E-3</v>
      </c>
      <c r="DL31">
        <v>26.580549999999999</v>
      </c>
      <c r="DM31">
        <v>26.185643750000001</v>
      </c>
      <c r="DN31">
        <v>999.9</v>
      </c>
      <c r="DO31">
        <v>0</v>
      </c>
      <c r="DP31">
        <v>0</v>
      </c>
      <c r="DQ31">
        <v>10005.9725</v>
      </c>
      <c r="DR31">
        <v>0</v>
      </c>
      <c r="DS31">
        <v>0.21823999999999999</v>
      </c>
      <c r="DT31">
        <v>-113.04219375</v>
      </c>
      <c r="DU31">
        <v>570.83349999999996</v>
      </c>
      <c r="DV31">
        <v>685.907375</v>
      </c>
      <c r="DW31">
        <v>5.7307737499999997E-2</v>
      </c>
      <c r="DX31">
        <v>673.51700000000005</v>
      </c>
      <c r="DY31">
        <v>18.065806250000001</v>
      </c>
      <c r="DZ31">
        <v>1.831661875</v>
      </c>
      <c r="EA31">
        <v>1.8258693749999999</v>
      </c>
      <c r="EB31">
        <v>16.058887500000001</v>
      </c>
      <c r="EC31">
        <v>16.00995</v>
      </c>
      <c r="ED31">
        <v>2.0002599999999999E-2</v>
      </c>
      <c r="EE31">
        <v>0</v>
      </c>
      <c r="EF31">
        <v>0</v>
      </c>
      <c r="EG31">
        <v>0</v>
      </c>
      <c r="EH31">
        <v>244.33281249999999</v>
      </c>
      <c r="EI31">
        <v>2.0002599999999999E-2</v>
      </c>
      <c r="EJ31">
        <v>-7.7281250000000004</v>
      </c>
      <c r="EK31">
        <v>0.47968749999999999</v>
      </c>
      <c r="EL31">
        <v>35.51925</v>
      </c>
      <c r="EM31">
        <v>38.515374999999999</v>
      </c>
      <c r="EN31">
        <v>37.2770625</v>
      </c>
      <c r="EO31">
        <v>38.89425</v>
      </c>
      <c r="EP31">
        <v>38.179499999999997</v>
      </c>
      <c r="EQ31">
        <v>0</v>
      </c>
      <c r="ER31">
        <v>0</v>
      </c>
      <c r="ES31">
        <v>0</v>
      </c>
      <c r="ET31">
        <v>98.799999952316298</v>
      </c>
      <c r="EU31">
        <v>0</v>
      </c>
      <c r="EV31">
        <v>244.863</v>
      </c>
      <c r="EW31">
        <v>4.0115385532018299</v>
      </c>
      <c r="EX31">
        <v>-1.08653839433328</v>
      </c>
      <c r="EY31">
        <v>-8.2230000000000008</v>
      </c>
      <c r="EZ31">
        <v>15</v>
      </c>
      <c r="FA31">
        <v>1664976001.0999999</v>
      </c>
      <c r="FB31" t="s">
        <v>425</v>
      </c>
      <c r="FC31">
        <v>1664976001.0999999</v>
      </c>
      <c r="FD31">
        <v>1790572693.0999999</v>
      </c>
      <c r="FE31">
        <v>1</v>
      </c>
      <c r="FF31">
        <v>0.30399999999999999</v>
      </c>
      <c r="FG31">
        <v>0</v>
      </c>
      <c r="FH31">
        <v>1.337</v>
      </c>
      <c r="FI31">
        <v>-0.128</v>
      </c>
      <c r="FJ31">
        <v>462</v>
      </c>
      <c r="FK31">
        <v>17</v>
      </c>
      <c r="FL31">
        <v>0.87</v>
      </c>
      <c r="FM31">
        <v>0.1</v>
      </c>
      <c r="FN31">
        <v>-117.116117186068</v>
      </c>
      <c r="FO31">
        <v>-408.99283669807102</v>
      </c>
      <c r="FP31">
        <v>130.971366756739</v>
      </c>
      <c r="FQ31">
        <v>-1</v>
      </c>
      <c r="FR31">
        <v>-108.46048</v>
      </c>
      <c r="FS31">
        <v>-705.39600902255597</v>
      </c>
      <c r="FT31">
        <v>129.48694109911099</v>
      </c>
      <c r="FU31">
        <v>-1</v>
      </c>
      <c r="FV31">
        <v>244.107352941177</v>
      </c>
      <c r="FW31">
        <v>7.5194805282588399</v>
      </c>
      <c r="FX31">
        <v>2.9661294434721701</v>
      </c>
      <c r="FY31">
        <v>0</v>
      </c>
      <c r="FZ31">
        <v>4.5116690000000001E-2</v>
      </c>
      <c r="GA31">
        <v>-1.23729554887218</v>
      </c>
      <c r="GB31">
        <v>0.22463848317516499</v>
      </c>
      <c r="GC31">
        <v>-1</v>
      </c>
      <c r="GD31">
        <v>0</v>
      </c>
      <c r="GE31">
        <v>1</v>
      </c>
      <c r="GF31" t="s">
        <v>458</v>
      </c>
      <c r="GG31">
        <v>2.1431300000000002</v>
      </c>
      <c r="GH31">
        <v>2.6542300000000001</v>
      </c>
      <c r="GI31">
        <v>9.7137200000000007E-2</v>
      </c>
      <c r="GJ31">
        <v>0.12175999999999999</v>
      </c>
      <c r="GK31">
        <v>9.4983100000000001E-2</v>
      </c>
      <c r="GL31">
        <v>9.9409600000000001E-2</v>
      </c>
      <c r="GM31">
        <v>17616.2</v>
      </c>
      <c r="GN31">
        <v>25873.200000000001</v>
      </c>
      <c r="GO31">
        <v>22793</v>
      </c>
      <c r="GP31">
        <v>30182.5</v>
      </c>
      <c r="GQ31">
        <v>33819.199999999997</v>
      </c>
      <c r="GR31">
        <v>33843.9</v>
      </c>
      <c r="GS31">
        <v>43112.6</v>
      </c>
      <c r="GT31">
        <v>42964.7</v>
      </c>
      <c r="GU31">
        <v>0.02</v>
      </c>
      <c r="GV31">
        <v>1.4308799999999999</v>
      </c>
      <c r="GW31">
        <v>0.104763</v>
      </c>
      <c r="GX31">
        <v>0</v>
      </c>
      <c r="GY31">
        <v>24.539300000000001</v>
      </c>
      <c r="GZ31">
        <v>999.9</v>
      </c>
      <c r="HA31">
        <v>35.655000000000001</v>
      </c>
      <c r="HB31">
        <v>27.765000000000001</v>
      </c>
      <c r="HC31">
        <v>13.2052</v>
      </c>
      <c r="HD31">
        <v>63.070300000000003</v>
      </c>
      <c r="HE31">
        <v>0</v>
      </c>
      <c r="HF31">
        <v>0</v>
      </c>
      <c r="HG31">
        <v>-6.6117899999999993E-2</v>
      </c>
      <c r="HH31">
        <v>0</v>
      </c>
      <c r="HI31">
        <v>20.2697</v>
      </c>
      <c r="HJ31">
        <v>5.2295699999999998</v>
      </c>
      <c r="HK31">
        <v>11.962</v>
      </c>
      <c r="HL31">
        <v>4.9683999999999999</v>
      </c>
      <c r="HM31">
        <v>3.2951299999999999</v>
      </c>
      <c r="HN31">
        <v>9999</v>
      </c>
      <c r="HO31">
        <v>999.9</v>
      </c>
      <c r="HP31">
        <v>9999</v>
      </c>
      <c r="HQ31">
        <v>9999</v>
      </c>
      <c r="HR31">
        <v>4.9684100000000004</v>
      </c>
      <c r="HS31">
        <v>1.8619399999999999</v>
      </c>
      <c r="HT31">
        <v>1.8635600000000001</v>
      </c>
      <c r="HU31">
        <v>1.86554</v>
      </c>
      <c r="HV31">
        <v>1.86263</v>
      </c>
      <c r="HW31">
        <v>1.8662700000000001</v>
      </c>
      <c r="HX31">
        <v>1.8631</v>
      </c>
      <c r="HY31">
        <v>1.86493</v>
      </c>
      <c r="HZ31">
        <v>0</v>
      </c>
      <c r="IA31">
        <v>0</v>
      </c>
      <c r="IB31">
        <v>0</v>
      </c>
      <c r="IC31">
        <v>0</v>
      </c>
      <c r="ID31" t="s">
        <v>427</v>
      </c>
      <c r="IE31" t="s">
        <v>428</v>
      </c>
      <c r="IF31" t="s">
        <v>429</v>
      </c>
      <c r="IG31" t="s">
        <v>429</v>
      </c>
      <c r="IH31" t="s">
        <v>429</v>
      </c>
      <c r="II31" t="s">
        <v>429</v>
      </c>
      <c r="IJ31">
        <v>0</v>
      </c>
      <c r="IK31">
        <v>100</v>
      </c>
      <c r="IL31">
        <v>100</v>
      </c>
      <c r="IM31">
        <v>1.335</v>
      </c>
      <c r="IN31">
        <v>-0.1031</v>
      </c>
      <c r="IO31">
        <v>0.91043272280072696</v>
      </c>
      <c r="IP31">
        <v>1.61658254425633E-3</v>
      </c>
      <c r="IQ31">
        <v>-1.89604851270483E-6</v>
      </c>
      <c r="IR31">
        <v>8.6681353432279101E-10</v>
      </c>
      <c r="IS31">
        <v>-4.47525518804959E-2</v>
      </c>
      <c r="IT31">
        <v>-3.5871989026399903E-2</v>
      </c>
      <c r="IU31">
        <v>1.9028800927848801E-3</v>
      </c>
      <c r="IV31">
        <v>-4.7539144078026999E-6</v>
      </c>
      <c r="IW31">
        <v>1</v>
      </c>
      <c r="IX31">
        <v>1704</v>
      </c>
      <c r="IY31">
        <v>4</v>
      </c>
      <c r="IZ31">
        <v>25</v>
      </c>
      <c r="JA31">
        <v>20.399999999999999</v>
      </c>
      <c r="JB31">
        <v>-2093257.8</v>
      </c>
      <c r="JC31">
        <v>0.162354</v>
      </c>
      <c r="JD31">
        <v>4.99878</v>
      </c>
      <c r="JE31">
        <v>0.239258</v>
      </c>
      <c r="JF31">
        <v>1.2206999999999999E-3</v>
      </c>
      <c r="JG31">
        <v>0.26733400000000002</v>
      </c>
      <c r="JH31">
        <v>4.99878</v>
      </c>
      <c r="JI31">
        <v>31.237400000000001</v>
      </c>
      <c r="JJ31">
        <v>15.7606</v>
      </c>
      <c r="JK31">
        <v>2</v>
      </c>
      <c r="JL31">
        <v>-27.085899999999999</v>
      </c>
      <c r="JM31">
        <v>254.92599999999999</v>
      </c>
      <c r="JN31">
        <v>26.224</v>
      </c>
      <c r="JO31">
        <v>26.493600000000001</v>
      </c>
      <c r="JP31">
        <v>30</v>
      </c>
      <c r="JQ31">
        <v>26.4971</v>
      </c>
      <c r="JR31">
        <v>26.4893</v>
      </c>
      <c r="JS31">
        <v>-1</v>
      </c>
      <c r="JT31">
        <v>-30</v>
      </c>
      <c r="JU31">
        <v>-30</v>
      </c>
      <c r="JV31">
        <v>-999.9</v>
      </c>
      <c r="JW31">
        <v>0</v>
      </c>
      <c r="JX31">
        <v>0</v>
      </c>
      <c r="JY31">
        <v>101.81100000000001</v>
      </c>
      <c r="JZ31">
        <v>97.584500000000006</v>
      </c>
    </row>
    <row r="32" spans="1:286" x14ac:dyDescent="0.4">
      <c r="A32">
        <v>16</v>
      </c>
      <c r="B32">
        <v>1664977318</v>
      </c>
      <c r="C32">
        <v>1347.9000000953699</v>
      </c>
      <c r="D32" t="s">
        <v>481</v>
      </c>
      <c r="E32" t="s">
        <v>482</v>
      </c>
      <c r="F32">
        <v>5</v>
      </c>
      <c r="G32">
        <v>1664977309.5</v>
      </c>
      <c r="H32">
        <f t="shared" si="0"/>
        <v>-2.2231866925402147E-4</v>
      </c>
      <c r="I32">
        <f t="shared" si="1"/>
        <v>-0.22231866925402147</v>
      </c>
      <c r="J32">
        <f t="shared" si="2"/>
        <v>-2.3720448120195985</v>
      </c>
      <c r="K32">
        <f t="shared" si="3"/>
        <v>466.76656250000002</v>
      </c>
      <c r="L32">
        <f t="shared" si="4"/>
        <v>191.38897416363338</v>
      </c>
      <c r="M32">
        <f t="shared" si="5"/>
        <v>19.342594046910563</v>
      </c>
      <c r="N32">
        <f t="shared" si="6"/>
        <v>47.173439183545959</v>
      </c>
      <c r="O32">
        <f t="shared" si="7"/>
        <v>-1.4175508105991603E-2</v>
      </c>
      <c r="P32">
        <f t="shared" si="8"/>
        <v>3.0291980820935955</v>
      </c>
      <c r="Q32">
        <f t="shared" si="9"/>
        <v>-1.4212465247849883E-2</v>
      </c>
      <c r="R32">
        <f t="shared" si="10"/>
        <v>-8.8794624077012992E-3</v>
      </c>
      <c r="S32">
        <f t="shared" si="11"/>
        <v>6.3856599478895988E-4</v>
      </c>
      <c r="T32">
        <f t="shared" si="12"/>
        <v>26.668178771225826</v>
      </c>
      <c r="U32">
        <f t="shared" si="13"/>
        <v>26.314618750000001</v>
      </c>
      <c r="V32">
        <f t="shared" si="14"/>
        <v>3.4375901622687306</v>
      </c>
      <c r="W32">
        <f t="shared" si="15"/>
        <v>54.265076892854388</v>
      </c>
      <c r="X32">
        <f t="shared" si="16"/>
        <v>1.8984247891395645</v>
      </c>
      <c r="Y32">
        <f t="shared" si="17"/>
        <v>3.4984282670196465</v>
      </c>
      <c r="Z32">
        <f t="shared" si="18"/>
        <v>1.5391653731291661</v>
      </c>
      <c r="AA32">
        <f t="shared" si="19"/>
        <v>9.8042533141023469</v>
      </c>
      <c r="AB32">
        <f t="shared" si="20"/>
        <v>48.584762783044319</v>
      </c>
      <c r="AC32">
        <f t="shared" si="21"/>
        <v>3.4428241899143832</v>
      </c>
      <c r="AD32">
        <f t="shared" si="22"/>
        <v>61.832478853055839</v>
      </c>
      <c r="AE32">
        <v>5</v>
      </c>
      <c r="AF32">
        <v>100</v>
      </c>
      <c r="AG32">
        <f t="shared" si="23"/>
        <v>1</v>
      </c>
      <c r="AH32">
        <f t="shared" si="24"/>
        <v>0</v>
      </c>
      <c r="AI32">
        <f t="shared" si="25"/>
        <v>53526.040355648809</v>
      </c>
      <c r="AJ32" t="s">
        <v>483</v>
      </c>
      <c r="AK32">
        <v>8121.6</v>
      </c>
      <c r="AL32">
        <v>230.95099999999999</v>
      </c>
      <c r="AM32">
        <v>1516.17</v>
      </c>
      <c r="AN32">
        <f t="shared" si="26"/>
        <v>0.84767473304444751</v>
      </c>
      <c r="AO32">
        <v>-2.3720448120196602</v>
      </c>
      <c r="AP32" t="s">
        <v>423</v>
      </c>
      <c r="AQ32" t="s">
        <v>423</v>
      </c>
      <c r="AR32">
        <v>0</v>
      </c>
      <c r="AS32">
        <v>0</v>
      </c>
      <c r="AT32" t="e">
        <f t="shared" si="27"/>
        <v>#DIV/0!</v>
      </c>
      <c r="AU32">
        <v>0.5</v>
      </c>
      <c r="AV32">
        <f t="shared" si="28"/>
        <v>3.3608736567839995E-3</v>
      </c>
      <c r="AW32">
        <f t="shared" si="29"/>
        <v>-2.3720448120195985</v>
      </c>
      <c r="AX32" t="e">
        <f t="shared" si="30"/>
        <v>#DIV/0!</v>
      </c>
      <c r="AY32">
        <f t="shared" si="31"/>
        <v>1.8366771998274477E-11</v>
      </c>
      <c r="AZ32" t="e">
        <f t="shared" si="32"/>
        <v>#DIV/0!</v>
      </c>
      <c r="BA32" t="e">
        <f t="shared" si="33"/>
        <v>#DIV/0!</v>
      </c>
      <c r="BB32" t="s">
        <v>423</v>
      </c>
      <c r="BC32">
        <v>0</v>
      </c>
      <c r="BD32" t="e">
        <f t="shared" si="34"/>
        <v>#DIV/0!</v>
      </c>
      <c r="BE32" t="e">
        <f t="shared" si="35"/>
        <v>#DIV/0!</v>
      </c>
      <c r="BF32" t="e">
        <f t="shared" si="36"/>
        <v>#DIV/0!</v>
      </c>
      <c r="BG32" t="e">
        <f t="shared" si="37"/>
        <v>#DIV/0!</v>
      </c>
      <c r="BH32">
        <f t="shared" si="38"/>
        <v>0</v>
      </c>
      <c r="BI32">
        <f t="shared" si="39"/>
        <v>1.1796977791333618</v>
      </c>
      <c r="BJ32" t="e">
        <f t="shared" si="40"/>
        <v>#DIV/0!</v>
      </c>
      <c r="BK32" t="e">
        <f t="shared" si="41"/>
        <v>#DIV/0!</v>
      </c>
      <c r="BL32">
        <v>939</v>
      </c>
      <c r="BM32">
        <v>290</v>
      </c>
      <c r="BN32">
        <v>1558.67</v>
      </c>
      <c r="BO32">
        <v>165</v>
      </c>
      <c r="BP32">
        <v>8114.57</v>
      </c>
      <c r="BQ32">
        <v>1551.92</v>
      </c>
      <c r="BR32">
        <v>6.75</v>
      </c>
      <c r="BS32">
        <v>300</v>
      </c>
      <c r="BT32">
        <v>19.2</v>
      </c>
      <c r="BU32">
        <v>1584.3896717483201</v>
      </c>
      <c r="BV32">
        <v>1.88110366540944</v>
      </c>
      <c r="BW32">
        <v>-26.347569484426199</v>
      </c>
      <c r="BX32">
        <v>1.36356822732003</v>
      </c>
      <c r="BY32">
        <v>0.93023713121789597</v>
      </c>
      <c r="BZ32">
        <v>-5.3779617352614001E-3</v>
      </c>
      <c r="CA32">
        <v>290</v>
      </c>
      <c r="CB32">
        <v>1543.03</v>
      </c>
      <c r="CC32">
        <v>615</v>
      </c>
      <c r="CD32">
        <v>8099.76</v>
      </c>
      <c r="CE32">
        <v>1551.86</v>
      </c>
      <c r="CF32">
        <v>-8.83</v>
      </c>
      <c r="CT32">
        <f t="shared" si="42"/>
        <v>2.0002599999999999E-2</v>
      </c>
      <c r="CU32">
        <f t="shared" si="43"/>
        <v>3.3608736567839995E-3</v>
      </c>
      <c r="CV32">
        <f t="shared" si="44"/>
        <v>0.16802183999999998</v>
      </c>
      <c r="CW32">
        <f t="shared" si="45"/>
        <v>3.1924149599999993E-2</v>
      </c>
      <c r="CX32">
        <v>2</v>
      </c>
      <c r="CY32">
        <v>0.5</v>
      </c>
      <c r="CZ32" t="s">
        <v>424</v>
      </c>
      <c r="DA32">
        <v>2</v>
      </c>
      <c r="DB32">
        <v>1664977309.5</v>
      </c>
      <c r="DC32">
        <v>466.76656250000002</v>
      </c>
      <c r="DD32">
        <v>469.23068749999999</v>
      </c>
      <c r="DE32">
        <v>18.784324999999999</v>
      </c>
      <c r="DF32">
        <v>18.5672125</v>
      </c>
      <c r="DG32">
        <v>465.42693750000001</v>
      </c>
      <c r="DH32">
        <v>18.86059375</v>
      </c>
      <c r="DI32">
        <v>-200.94887499999999</v>
      </c>
      <c r="DJ32">
        <v>101.0674375</v>
      </c>
      <c r="DK32">
        <v>-3.1304706249999999E-3</v>
      </c>
      <c r="DL32">
        <v>26.61211875</v>
      </c>
      <c r="DM32">
        <v>26.314618750000001</v>
      </c>
      <c r="DN32">
        <v>999.9</v>
      </c>
      <c r="DO32">
        <v>0</v>
      </c>
      <c r="DP32">
        <v>0</v>
      </c>
      <c r="DQ32">
        <v>10002.971874999999</v>
      </c>
      <c r="DR32">
        <v>0</v>
      </c>
      <c r="DS32">
        <v>0.21823999999999999</v>
      </c>
      <c r="DT32">
        <v>-2.464202625</v>
      </c>
      <c r="DU32">
        <v>475.70268750000002</v>
      </c>
      <c r="DV32">
        <v>478.10787499999998</v>
      </c>
      <c r="DW32">
        <v>0.21709714375</v>
      </c>
      <c r="DX32">
        <v>469.23068749999999</v>
      </c>
      <c r="DY32">
        <v>18.5672125</v>
      </c>
      <c r="DZ32">
        <v>1.8984825000000001</v>
      </c>
      <c r="EA32">
        <v>1.8765406250000001</v>
      </c>
      <c r="EB32">
        <v>16.621668750000001</v>
      </c>
      <c r="EC32">
        <v>16.439193750000001</v>
      </c>
      <c r="ED32">
        <v>2.0002599999999999E-2</v>
      </c>
      <c r="EE32">
        <v>0</v>
      </c>
      <c r="EF32">
        <v>0</v>
      </c>
      <c r="EG32">
        <v>0</v>
      </c>
      <c r="EH32">
        <v>231.14531249999999</v>
      </c>
      <c r="EI32">
        <v>2.0002599999999999E-2</v>
      </c>
      <c r="EJ32">
        <v>-8.5093750000000004</v>
      </c>
      <c r="EK32">
        <v>0.56718749999999996</v>
      </c>
      <c r="EL32">
        <v>35.261625000000002</v>
      </c>
      <c r="EM32">
        <v>38.78875</v>
      </c>
      <c r="EN32">
        <v>37.429499999999997</v>
      </c>
      <c r="EO32">
        <v>39.1208125</v>
      </c>
      <c r="EP32">
        <v>38.2770625</v>
      </c>
      <c r="EQ32">
        <v>0</v>
      </c>
      <c r="ER32">
        <v>0</v>
      </c>
      <c r="ES32">
        <v>0</v>
      </c>
      <c r="ET32">
        <v>88.5</v>
      </c>
      <c r="EU32">
        <v>0</v>
      </c>
      <c r="EV32">
        <v>230.95099999999999</v>
      </c>
      <c r="EW32">
        <v>9.4173076374402402</v>
      </c>
      <c r="EX32">
        <v>-17.7192305517503</v>
      </c>
      <c r="EY32">
        <v>-9.407</v>
      </c>
      <c r="EZ32">
        <v>15</v>
      </c>
      <c r="FA32">
        <v>1664976001.0999999</v>
      </c>
      <c r="FB32" t="s">
        <v>425</v>
      </c>
      <c r="FC32">
        <v>1664976001.0999999</v>
      </c>
      <c r="FD32">
        <v>1790572693.0999999</v>
      </c>
      <c r="FE32">
        <v>1</v>
      </c>
      <c r="FF32">
        <v>0.30399999999999999</v>
      </c>
      <c r="FG32">
        <v>0</v>
      </c>
      <c r="FH32">
        <v>1.337</v>
      </c>
      <c r="FI32">
        <v>-0.128</v>
      </c>
      <c r="FJ32">
        <v>462</v>
      </c>
      <c r="FK32">
        <v>17</v>
      </c>
      <c r="FL32">
        <v>0.87</v>
      </c>
      <c r="FM32">
        <v>0.1</v>
      </c>
      <c r="FN32">
        <v>-1.77417872630191</v>
      </c>
      <c r="FO32">
        <v>-21.785367365968899</v>
      </c>
      <c r="FP32">
        <v>3.2359671297881398</v>
      </c>
      <c r="FQ32">
        <v>-1</v>
      </c>
      <c r="FR32">
        <v>-2.0582777999999999</v>
      </c>
      <c r="FS32">
        <v>-26.5121108571429</v>
      </c>
      <c r="FT32">
        <v>3.2577073530152201</v>
      </c>
      <c r="FU32">
        <v>-1</v>
      </c>
      <c r="FV32">
        <v>230.66911764705901</v>
      </c>
      <c r="FW32">
        <v>6.9274256085804602</v>
      </c>
      <c r="FX32">
        <v>3.7523426938436102</v>
      </c>
      <c r="FY32">
        <v>0</v>
      </c>
      <c r="FZ32">
        <v>0.26245716499999999</v>
      </c>
      <c r="GA32">
        <v>-2.2670581308270701</v>
      </c>
      <c r="GB32">
        <v>0.243906591820722</v>
      </c>
      <c r="GC32">
        <v>-1</v>
      </c>
      <c r="GD32">
        <v>0</v>
      </c>
      <c r="GE32">
        <v>1</v>
      </c>
      <c r="GF32" t="s">
        <v>458</v>
      </c>
      <c r="GG32">
        <v>2.1430199999999999</v>
      </c>
      <c r="GH32">
        <v>2.65442</v>
      </c>
      <c r="GI32">
        <v>9.8460099999999995E-2</v>
      </c>
      <c r="GJ32">
        <v>0.101755</v>
      </c>
      <c r="GK32">
        <v>9.7489000000000006E-2</v>
      </c>
      <c r="GL32">
        <v>0.10151399999999999</v>
      </c>
      <c r="GM32">
        <v>17590.099999999999</v>
      </c>
      <c r="GN32">
        <v>26461.8</v>
      </c>
      <c r="GO32">
        <v>22792.7</v>
      </c>
      <c r="GP32">
        <v>30181.599999999999</v>
      </c>
      <c r="GQ32">
        <v>33721.699999999997</v>
      </c>
      <c r="GR32">
        <v>33762.6</v>
      </c>
      <c r="GS32">
        <v>43111.8</v>
      </c>
      <c r="GT32">
        <v>42964.1</v>
      </c>
      <c r="GU32">
        <v>0.02</v>
      </c>
      <c r="GV32">
        <v>1.43018</v>
      </c>
      <c r="GW32">
        <v>0.103503</v>
      </c>
      <c r="GX32">
        <v>0</v>
      </c>
      <c r="GY32">
        <v>24.631699999999999</v>
      </c>
      <c r="GZ32">
        <v>999.9</v>
      </c>
      <c r="HA32">
        <v>35.563000000000002</v>
      </c>
      <c r="HB32">
        <v>27.765000000000001</v>
      </c>
      <c r="HC32">
        <v>13.1714</v>
      </c>
      <c r="HD32">
        <v>63.5503</v>
      </c>
      <c r="HE32">
        <v>0</v>
      </c>
      <c r="HF32">
        <v>0</v>
      </c>
      <c r="HG32">
        <v>-6.4911099999999999E-2</v>
      </c>
      <c r="HH32">
        <v>0</v>
      </c>
      <c r="HI32">
        <v>20.271699999999999</v>
      </c>
      <c r="HJ32">
        <v>5.2343599999999997</v>
      </c>
      <c r="HK32">
        <v>11.962</v>
      </c>
      <c r="HL32">
        <v>4.9691000000000001</v>
      </c>
      <c r="HM32">
        <v>3.2951000000000001</v>
      </c>
      <c r="HN32">
        <v>9999</v>
      </c>
      <c r="HO32">
        <v>999.9</v>
      </c>
      <c r="HP32">
        <v>9999</v>
      </c>
      <c r="HQ32">
        <v>9999</v>
      </c>
      <c r="HR32">
        <v>4.9684100000000004</v>
      </c>
      <c r="HS32">
        <v>1.86191</v>
      </c>
      <c r="HT32">
        <v>1.8635600000000001</v>
      </c>
      <c r="HU32">
        <v>1.86554</v>
      </c>
      <c r="HV32">
        <v>1.8626400000000001</v>
      </c>
      <c r="HW32">
        <v>1.86629</v>
      </c>
      <c r="HX32">
        <v>1.8631</v>
      </c>
      <c r="HY32">
        <v>1.86493</v>
      </c>
      <c r="HZ32">
        <v>0</v>
      </c>
      <c r="IA32">
        <v>0</v>
      </c>
      <c r="IB32">
        <v>0</v>
      </c>
      <c r="IC32">
        <v>0</v>
      </c>
      <c r="ID32" t="s">
        <v>427</v>
      </c>
      <c r="IE32" t="s">
        <v>428</v>
      </c>
      <c r="IF32" t="s">
        <v>429</v>
      </c>
      <c r="IG32" t="s">
        <v>429</v>
      </c>
      <c r="IH32" t="s">
        <v>429</v>
      </c>
      <c r="II32" t="s">
        <v>429</v>
      </c>
      <c r="IJ32">
        <v>0</v>
      </c>
      <c r="IK32">
        <v>100</v>
      </c>
      <c r="IL32">
        <v>100</v>
      </c>
      <c r="IM32">
        <v>1.339</v>
      </c>
      <c r="IN32">
        <v>-8.3900000000000002E-2</v>
      </c>
      <c r="IO32">
        <v>0.91043272280072696</v>
      </c>
      <c r="IP32">
        <v>1.61658254425633E-3</v>
      </c>
      <c r="IQ32">
        <v>-1.89604851270483E-6</v>
      </c>
      <c r="IR32">
        <v>8.6681353432279101E-10</v>
      </c>
      <c r="IS32">
        <v>-4.47525518804959E-2</v>
      </c>
      <c r="IT32">
        <v>-3.5871989026399903E-2</v>
      </c>
      <c r="IU32">
        <v>1.9028800927848801E-3</v>
      </c>
      <c r="IV32">
        <v>-4.7539144078026999E-6</v>
      </c>
      <c r="IW32">
        <v>1</v>
      </c>
      <c r="IX32">
        <v>1704</v>
      </c>
      <c r="IY32">
        <v>4</v>
      </c>
      <c r="IZ32">
        <v>25</v>
      </c>
      <c r="JA32">
        <v>21.9</v>
      </c>
      <c r="JB32">
        <v>-2093256.3</v>
      </c>
      <c r="JC32">
        <v>0.162354</v>
      </c>
      <c r="JD32">
        <v>4.99878</v>
      </c>
      <c r="JE32">
        <v>0.239258</v>
      </c>
      <c r="JF32">
        <v>1.2206999999999999E-3</v>
      </c>
      <c r="JG32">
        <v>0.26733400000000002</v>
      </c>
      <c r="JH32">
        <v>4.99878</v>
      </c>
      <c r="JI32">
        <v>31.2591</v>
      </c>
      <c r="JJ32">
        <v>15.751899999999999</v>
      </c>
      <c r="JK32">
        <v>2</v>
      </c>
      <c r="JL32">
        <v>-27.0837</v>
      </c>
      <c r="JM32">
        <v>254.69900000000001</v>
      </c>
      <c r="JN32">
        <v>26.2515</v>
      </c>
      <c r="JO32">
        <v>26.502600000000001</v>
      </c>
      <c r="JP32">
        <v>30.000399999999999</v>
      </c>
      <c r="JQ32">
        <v>26.508400000000002</v>
      </c>
      <c r="JR32">
        <v>26.504799999999999</v>
      </c>
      <c r="JS32">
        <v>-1</v>
      </c>
      <c r="JT32">
        <v>-30</v>
      </c>
      <c r="JU32">
        <v>-30</v>
      </c>
      <c r="JV32">
        <v>-999.9</v>
      </c>
      <c r="JW32">
        <v>0</v>
      </c>
      <c r="JX32">
        <v>0</v>
      </c>
      <c r="JY32">
        <v>101.809</v>
      </c>
      <c r="JZ32">
        <v>97.582499999999996</v>
      </c>
    </row>
    <row r="33" spans="1:286" x14ac:dyDescent="0.4">
      <c r="A33">
        <v>17</v>
      </c>
      <c r="B33">
        <v>1664977388</v>
      </c>
      <c r="C33">
        <v>1417.9000000953699</v>
      </c>
      <c r="D33" t="s">
        <v>484</v>
      </c>
      <c r="E33" t="s">
        <v>485</v>
      </c>
      <c r="F33">
        <v>5</v>
      </c>
      <c r="G33">
        <v>1664977379.5</v>
      </c>
      <c r="H33">
        <f t="shared" si="0"/>
        <v>9.7439536834962754E-5</v>
      </c>
      <c r="I33">
        <f t="shared" si="1"/>
        <v>9.7439536834962759E-2</v>
      </c>
      <c r="J33">
        <f t="shared" si="2"/>
        <v>-62.581875326692852</v>
      </c>
      <c r="K33">
        <f t="shared" si="3"/>
        <v>461.92293749999999</v>
      </c>
      <c r="L33">
        <f t="shared" si="4"/>
        <v>16428.072633653563</v>
      </c>
      <c r="M33">
        <f t="shared" si="5"/>
        <v>1660.2950525833437</v>
      </c>
      <c r="N33">
        <f t="shared" si="6"/>
        <v>46.684013694639482</v>
      </c>
      <c r="O33">
        <f t="shared" si="7"/>
        <v>6.1950167567066481E-3</v>
      </c>
      <c r="P33">
        <f t="shared" si="8"/>
        <v>3.0278242081754962</v>
      </c>
      <c r="Q33">
        <f t="shared" si="9"/>
        <v>6.1879836206247532E-3</v>
      </c>
      <c r="R33">
        <f t="shared" si="10"/>
        <v>3.8681209827797396E-3</v>
      </c>
      <c r="S33">
        <f t="shared" si="11"/>
        <v>6.3856599478895988E-4</v>
      </c>
      <c r="T33">
        <f t="shared" si="12"/>
        <v>26.621568731425516</v>
      </c>
      <c r="U33">
        <f t="shared" si="13"/>
        <v>26.1915625</v>
      </c>
      <c r="V33">
        <f t="shared" si="14"/>
        <v>3.4126968177458639</v>
      </c>
      <c r="W33">
        <f t="shared" si="15"/>
        <v>53.140537631789343</v>
      </c>
      <c r="X33">
        <f t="shared" si="16"/>
        <v>1.8628127713261315</v>
      </c>
      <c r="Y33">
        <f t="shared" si="17"/>
        <v>3.5054458504608226</v>
      </c>
      <c r="Z33">
        <f t="shared" si="18"/>
        <v>1.5498840464197323</v>
      </c>
      <c r="AA33">
        <f t="shared" si="19"/>
        <v>-4.2970835744218574</v>
      </c>
      <c r="AB33">
        <f t="shared" si="20"/>
        <v>74.204051613991368</v>
      </c>
      <c r="AC33">
        <f t="shared" si="21"/>
        <v>5.2583059015973772</v>
      </c>
      <c r="AD33">
        <f t="shared" si="22"/>
        <v>75.165912507161678</v>
      </c>
      <c r="AE33">
        <v>5</v>
      </c>
      <c r="AF33">
        <v>100</v>
      </c>
      <c r="AG33">
        <f t="shared" si="23"/>
        <v>1</v>
      </c>
      <c r="AH33">
        <f t="shared" si="24"/>
        <v>0</v>
      </c>
      <c r="AI33">
        <f t="shared" si="25"/>
        <v>53477.358313412755</v>
      </c>
      <c r="AJ33" t="s">
        <v>486</v>
      </c>
      <c r="AK33">
        <v>8129.02</v>
      </c>
      <c r="AL33">
        <v>265.35865384615403</v>
      </c>
      <c r="AM33">
        <v>1486.94</v>
      </c>
      <c r="AN33">
        <f t="shared" si="26"/>
        <v>0.82154044289201045</v>
      </c>
      <c r="AO33">
        <v>-62.581875326692703</v>
      </c>
      <c r="AP33" t="s">
        <v>423</v>
      </c>
      <c r="AQ33" t="s">
        <v>423</v>
      </c>
      <c r="AR33">
        <v>0</v>
      </c>
      <c r="AS33">
        <v>0</v>
      </c>
      <c r="AT33" t="e">
        <f t="shared" si="27"/>
        <v>#DIV/0!</v>
      </c>
      <c r="AU33">
        <v>0.5</v>
      </c>
      <c r="AV33">
        <f t="shared" si="28"/>
        <v>3.3608736567839995E-3</v>
      </c>
      <c r="AW33">
        <f t="shared" si="29"/>
        <v>-62.581875326692852</v>
      </c>
      <c r="AX33" t="e">
        <f t="shared" si="30"/>
        <v>#DIV/0!</v>
      </c>
      <c r="AY33">
        <f t="shared" si="31"/>
        <v>-4.4397376916692257E-11</v>
      </c>
      <c r="AZ33" t="e">
        <f t="shared" si="32"/>
        <v>#DIV/0!</v>
      </c>
      <c r="BA33" t="e">
        <f t="shared" si="33"/>
        <v>#DIV/0!</v>
      </c>
      <c r="BB33" t="s">
        <v>423</v>
      </c>
      <c r="BC33">
        <v>0</v>
      </c>
      <c r="BD33" t="e">
        <f t="shared" si="34"/>
        <v>#DIV/0!</v>
      </c>
      <c r="BE33" t="e">
        <f t="shared" si="35"/>
        <v>#DIV/0!</v>
      </c>
      <c r="BF33" t="e">
        <f t="shared" si="36"/>
        <v>#DIV/0!</v>
      </c>
      <c r="BG33" t="e">
        <f t="shared" si="37"/>
        <v>#DIV/0!</v>
      </c>
      <c r="BH33">
        <f t="shared" si="38"/>
        <v>0</v>
      </c>
      <c r="BI33">
        <f t="shared" si="39"/>
        <v>1.2172255287637102</v>
      </c>
      <c r="BJ33" t="e">
        <f t="shared" si="40"/>
        <v>#DIV/0!</v>
      </c>
      <c r="BK33" t="e">
        <f t="shared" si="41"/>
        <v>#DIV/0!</v>
      </c>
      <c r="BL33">
        <v>939</v>
      </c>
      <c r="BM33">
        <v>290</v>
      </c>
      <c r="BN33">
        <v>1558.67</v>
      </c>
      <c r="BO33">
        <v>165</v>
      </c>
      <c r="BP33">
        <v>8114.57</v>
      </c>
      <c r="BQ33">
        <v>1551.92</v>
      </c>
      <c r="BR33">
        <v>6.75</v>
      </c>
      <c r="BS33">
        <v>300</v>
      </c>
      <c r="BT33">
        <v>19.2</v>
      </c>
      <c r="BU33">
        <v>1584.3896717483201</v>
      </c>
      <c r="BV33">
        <v>1.88110366540944</v>
      </c>
      <c r="BW33">
        <v>-26.347569484426199</v>
      </c>
      <c r="BX33">
        <v>1.36356822732003</v>
      </c>
      <c r="BY33">
        <v>0.93023713121789597</v>
      </c>
      <c r="BZ33">
        <v>-5.3779617352614001E-3</v>
      </c>
      <c r="CA33">
        <v>290</v>
      </c>
      <c r="CB33">
        <v>1543.03</v>
      </c>
      <c r="CC33">
        <v>615</v>
      </c>
      <c r="CD33">
        <v>8099.76</v>
      </c>
      <c r="CE33">
        <v>1551.86</v>
      </c>
      <c r="CF33">
        <v>-8.83</v>
      </c>
      <c r="CT33">
        <f t="shared" si="42"/>
        <v>2.0002599999999999E-2</v>
      </c>
      <c r="CU33">
        <f t="shared" si="43"/>
        <v>3.3608736567839995E-3</v>
      </c>
      <c r="CV33">
        <f t="shared" si="44"/>
        <v>0.16802183999999998</v>
      </c>
      <c r="CW33">
        <f t="shared" si="45"/>
        <v>3.1924149599999993E-2</v>
      </c>
      <c r="CX33">
        <v>2</v>
      </c>
      <c r="CY33">
        <v>0.5</v>
      </c>
      <c r="CZ33" t="s">
        <v>424</v>
      </c>
      <c r="DA33">
        <v>2</v>
      </c>
      <c r="DB33">
        <v>1664977379.5</v>
      </c>
      <c r="DC33">
        <v>461.92293749999999</v>
      </c>
      <c r="DD33">
        <v>524.1411875</v>
      </c>
      <c r="DE33">
        <v>18.431918750000001</v>
      </c>
      <c r="DF33">
        <v>18.527075</v>
      </c>
      <c r="DG33">
        <v>460.585375</v>
      </c>
      <c r="DH33">
        <v>18.518474999999999</v>
      </c>
      <c r="DI33">
        <v>-201.02418750000001</v>
      </c>
      <c r="DJ33">
        <v>101.06768750000001</v>
      </c>
      <c r="DK33">
        <v>-3.1810537500000001E-3</v>
      </c>
      <c r="DL33">
        <v>26.64614375</v>
      </c>
      <c r="DM33">
        <v>26.1915625</v>
      </c>
      <c r="DN33">
        <v>999.9</v>
      </c>
      <c r="DO33">
        <v>0</v>
      </c>
      <c r="DP33">
        <v>0</v>
      </c>
      <c r="DQ33">
        <v>9994.6443749999999</v>
      </c>
      <c r="DR33">
        <v>0</v>
      </c>
      <c r="DS33">
        <v>0.21823999999999999</v>
      </c>
      <c r="DT33">
        <v>-62.218431250000002</v>
      </c>
      <c r="DU33">
        <v>470.59818749999999</v>
      </c>
      <c r="DV33">
        <v>534.03575000000001</v>
      </c>
      <c r="DW33">
        <v>-9.5153112499999998E-2</v>
      </c>
      <c r="DX33">
        <v>524.1411875</v>
      </c>
      <c r="DY33">
        <v>18.527075</v>
      </c>
      <c r="DZ33">
        <v>1.86287125</v>
      </c>
      <c r="EA33">
        <v>1.8724868750000001</v>
      </c>
      <c r="EB33">
        <v>16.322906249999999</v>
      </c>
      <c r="EC33">
        <v>16.405418749999999</v>
      </c>
      <c r="ED33">
        <v>2.0002599999999999E-2</v>
      </c>
      <c r="EE33">
        <v>0</v>
      </c>
      <c r="EF33">
        <v>0</v>
      </c>
      <c r="EG33">
        <v>0</v>
      </c>
      <c r="EH33">
        <v>264.98593749999998</v>
      </c>
      <c r="EI33">
        <v>2.0002599999999999E-2</v>
      </c>
      <c r="EJ33">
        <v>-7.9468750000000004</v>
      </c>
      <c r="EK33">
        <v>0.37031249999999999</v>
      </c>
      <c r="EL33">
        <v>35.730312499999997</v>
      </c>
      <c r="EM33">
        <v>40.019312499999998</v>
      </c>
      <c r="EN33">
        <v>38.105249999999998</v>
      </c>
      <c r="EO33">
        <v>40.9645625</v>
      </c>
      <c r="EP33">
        <v>39.0114375</v>
      </c>
      <c r="EQ33">
        <v>0</v>
      </c>
      <c r="ER33">
        <v>0</v>
      </c>
      <c r="ES33">
        <v>0</v>
      </c>
      <c r="ET33">
        <v>68.600000143051105</v>
      </c>
      <c r="EU33">
        <v>0</v>
      </c>
      <c r="EV33">
        <v>265.35865384615403</v>
      </c>
      <c r="EW33">
        <v>-7.8179487991232799</v>
      </c>
      <c r="EX33">
        <v>2.53931603584914</v>
      </c>
      <c r="EY33">
        <v>-7.1721153846153802</v>
      </c>
      <c r="EZ33">
        <v>15</v>
      </c>
      <c r="FA33">
        <v>1664976001.0999999</v>
      </c>
      <c r="FB33" t="s">
        <v>425</v>
      </c>
      <c r="FC33">
        <v>1664976001.0999999</v>
      </c>
      <c r="FD33">
        <v>1790572693.0999999</v>
      </c>
      <c r="FE33">
        <v>1</v>
      </c>
      <c r="FF33">
        <v>0.30399999999999999</v>
      </c>
      <c r="FG33">
        <v>0</v>
      </c>
      <c r="FH33">
        <v>1.337</v>
      </c>
      <c r="FI33">
        <v>-0.128</v>
      </c>
      <c r="FJ33">
        <v>462</v>
      </c>
      <c r="FK33">
        <v>17</v>
      </c>
      <c r="FL33">
        <v>0.87</v>
      </c>
      <c r="FM33">
        <v>0.1</v>
      </c>
      <c r="FN33">
        <v>-89.498010660564503</v>
      </c>
      <c r="FO33">
        <v>454.45285310540203</v>
      </c>
      <c r="FP33">
        <v>46.249937747999901</v>
      </c>
      <c r="FQ33">
        <v>-1</v>
      </c>
      <c r="FR33">
        <v>-77.650244999999998</v>
      </c>
      <c r="FS33">
        <v>415.641739849624</v>
      </c>
      <c r="FT33">
        <v>40.370126012429999</v>
      </c>
      <c r="FU33">
        <v>-1</v>
      </c>
      <c r="FV33">
        <v>265.26323529411798</v>
      </c>
      <c r="FW33">
        <v>2.9159663102970002</v>
      </c>
      <c r="FX33">
        <v>3.4001310273958798</v>
      </c>
      <c r="FY33">
        <v>0</v>
      </c>
      <c r="FZ33">
        <v>-0.17296839</v>
      </c>
      <c r="GA33">
        <v>3.01783152180451</v>
      </c>
      <c r="GB33">
        <v>0.30769346289976601</v>
      </c>
      <c r="GC33">
        <v>-1</v>
      </c>
      <c r="GD33">
        <v>0</v>
      </c>
      <c r="GE33">
        <v>1</v>
      </c>
      <c r="GF33" t="s">
        <v>458</v>
      </c>
      <c r="GG33">
        <v>2.1420499999999998</v>
      </c>
      <c r="GH33">
        <v>2.65435</v>
      </c>
      <c r="GI33">
        <v>9.8752699999999999E-2</v>
      </c>
      <c r="GJ33">
        <v>0.10514800000000001</v>
      </c>
      <c r="GK33">
        <v>9.8569299999999999E-2</v>
      </c>
      <c r="GL33">
        <v>0.10087699999999999</v>
      </c>
      <c r="GM33">
        <v>17582.2</v>
      </c>
      <c r="GN33">
        <v>26360.400000000001</v>
      </c>
      <c r="GO33">
        <v>22790.2</v>
      </c>
      <c r="GP33">
        <v>30180.2</v>
      </c>
      <c r="GQ33">
        <v>33677.1</v>
      </c>
      <c r="GR33">
        <v>33785.1</v>
      </c>
      <c r="GS33">
        <v>43107.8</v>
      </c>
      <c r="GT33">
        <v>42961.7</v>
      </c>
      <c r="GU33">
        <v>0.02</v>
      </c>
      <c r="GV33">
        <v>1.4322999999999999</v>
      </c>
      <c r="GW33">
        <v>9.4555299999999995E-2</v>
      </c>
      <c r="GX33">
        <v>0</v>
      </c>
      <c r="GY33">
        <v>24.680700000000002</v>
      </c>
      <c r="GZ33">
        <v>999.9</v>
      </c>
      <c r="HA33">
        <v>35.515000000000001</v>
      </c>
      <c r="HB33">
        <v>27.795000000000002</v>
      </c>
      <c r="HC33">
        <v>13.175800000000001</v>
      </c>
      <c r="HD33">
        <v>63.540300000000002</v>
      </c>
      <c r="HE33">
        <v>0</v>
      </c>
      <c r="HF33">
        <v>0</v>
      </c>
      <c r="HG33">
        <v>-6.0787599999999997E-2</v>
      </c>
      <c r="HH33">
        <v>0</v>
      </c>
      <c r="HI33">
        <v>20.270700000000001</v>
      </c>
      <c r="HJ33">
        <v>5.2307699999999997</v>
      </c>
      <c r="HK33">
        <v>11.962</v>
      </c>
      <c r="HL33">
        <v>4.9686000000000003</v>
      </c>
      <c r="HM33">
        <v>3.2946300000000002</v>
      </c>
      <c r="HN33">
        <v>9999</v>
      </c>
      <c r="HO33">
        <v>999.9</v>
      </c>
      <c r="HP33">
        <v>9999</v>
      </c>
      <c r="HQ33">
        <v>9999</v>
      </c>
      <c r="HR33">
        <v>4.9684100000000004</v>
      </c>
      <c r="HS33">
        <v>1.86189</v>
      </c>
      <c r="HT33">
        <v>1.8635600000000001</v>
      </c>
      <c r="HU33">
        <v>1.8655299999999999</v>
      </c>
      <c r="HV33">
        <v>1.8625799999999999</v>
      </c>
      <c r="HW33">
        <v>1.8662799999999999</v>
      </c>
      <c r="HX33">
        <v>1.8630899999999999</v>
      </c>
      <c r="HY33">
        <v>1.86493</v>
      </c>
      <c r="HZ33">
        <v>0</v>
      </c>
      <c r="IA33">
        <v>0</v>
      </c>
      <c r="IB33">
        <v>0</v>
      </c>
      <c r="IC33">
        <v>0</v>
      </c>
      <c r="ID33" t="s">
        <v>427</v>
      </c>
      <c r="IE33" t="s">
        <v>428</v>
      </c>
      <c r="IF33" t="s">
        <v>429</v>
      </c>
      <c r="IG33" t="s">
        <v>429</v>
      </c>
      <c r="IH33" t="s">
        <v>429</v>
      </c>
      <c r="II33" t="s">
        <v>429</v>
      </c>
      <c r="IJ33">
        <v>0</v>
      </c>
      <c r="IK33">
        <v>100</v>
      </c>
      <c r="IL33">
        <v>100</v>
      </c>
      <c r="IM33">
        <v>1.339</v>
      </c>
      <c r="IN33">
        <v>-7.4999999999999997E-2</v>
      </c>
      <c r="IO33">
        <v>0.91043272280072696</v>
      </c>
      <c r="IP33">
        <v>1.61658254425633E-3</v>
      </c>
      <c r="IQ33">
        <v>-1.89604851270483E-6</v>
      </c>
      <c r="IR33">
        <v>8.6681353432279101E-10</v>
      </c>
      <c r="IS33">
        <v>-4.47525518804959E-2</v>
      </c>
      <c r="IT33">
        <v>-3.5871989026399903E-2</v>
      </c>
      <c r="IU33">
        <v>1.9028800927848801E-3</v>
      </c>
      <c r="IV33">
        <v>-4.7539144078026999E-6</v>
      </c>
      <c r="IW33">
        <v>1</v>
      </c>
      <c r="IX33">
        <v>1704</v>
      </c>
      <c r="IY33">
        <v>4</v>
      </c>
      <c r="IZ33">
        <v>25</v>
      </c>
      <c r="JA33">
        <v>23.1</v>
      </c>
      <c r="JB33">
        <v>-2093255.1</v>
      </c>
      <c r="JC33">
        <v>0.162354</v>
      </c>
      <c r="JD33">
        <v>4.99878</v>
      </c>
      <c r="JE33">
        <v>0.239258</v>
      </c>
      <c r="JF33">
        <v>1.2206999999999999E-3</v>
      </c>
      <c r="JG33">
        <v>0.26733400000000002</v>
      </c>
      <c r="JH33">
        <v>4.99878</v>
      </c>
      <c r="JI33">
        <v>31.2591</v>
      </c>
      <c r="JJ33">
        <v>15.7431</v>
      </c>
      <c r="JK33">
        <v>2</v>
      </c>
      <c r="JL33">
        <v>-27.070699999999999</v>
      </c>
      <c r="JM33">
        <v>255.81299999999999</v>
      </c>
      <c r="JN33">
        <v>26.2944</v>
      </c>
      <c r="JO33">
        <v>26.5749</v>
      </c>
      <c r="JP33">
        <v>30.000399999999999</v>
      </c>
      <c r="JQ33">
        <v>26.5745</v>
      </c>
      <c r="JR33">
        <v>26.549299999999999</v>
      </c>
      <c r="JS33">
        <v>-1</v>
      </c>
      <c r="JT33">
        <v>-30</v>
      </c>
      <c r="JU33">
        <v>-30</v>
      </c>
      <c r="JV33">
        <v>-999.9</v>
      </c>
      <c r="JW33">
        <v>0</v>
      </c>
      <c r="JX33">
        <v>0</v>
      </c>
      <c r="JY33">
        <v>101.79900000000001</v>
      </c>
      <c r="JZ33">
        <v>97.577399999999997</v>
      </c>
    </row>
    <row r="34" spans="1:286" x14ac:dyDescent="0.4">
      <c r="A34">
        <v>18</v>
      </c>
      <c r="B34">
        <v>1664977475</v>
      </c>
      <c r="C34">
        <v>1504.9000000953699</v>
      </c>
      <c r="D34" t="s">
        <v>487</v>
      </c>
      <c r="E34" t="s">
        <v>488</v>
      </c>
      <c r="F34">
        <v>5</v>
      </c>
      <c r="G34">
        <v>1664977467</v>
      </c>
      <c r="H34">
        <f t="shared" si="0"/>
        <v>6.3008265068111588E-4</v>
      </c>
      <c r="I34">
        <f t="shared" si="1"/>
        <v>0.63008265068111591</v>
      </c>
      <c r="J34">
        <f t="shared" si="2"/>
        <v>-27.646053849504547</v>
      </c>
      <c r="K34">
        <f t="shared" si="3"/>
        <v>455.05619999999999</v>
      </c>
      <c r="L34">
        <f t="shared" si="4"/>
        <v>1600.3862765661854</v>
      </c>
      <c r="M34">
        <f t="shared" si="5"/>
        <v>161.74082759539684</v>
      </c>
      <c r="N34">
        <f t="shared" si="6"/>
        <v>45.989626047241721</v>
      </c>
      <c r="O34">
        <f t="shared" si="7"/>
        <v>3.7940951719158476E-2</v>
      </c>
      <c r="P34">
        <f t="shared" si="8"/>
        <v>3.0285876266482084</v>
      </c>
      <c r="Q34">
        <f t="shared" si="9"/>
        <v>3.7678860304779911E-2</v>
      </c>
      <c r="R34">
        <f t="shared" si="10"/>
        <v>2.3572684486266249E-2</v>
      </c>
      <c r="S34">
        <f t="shared" si="11"/>
        <v>6.3856599478895988E-4</v>
      </c>
      <c r="T34">
        <f t="shared" si="12"/>
        <v>26.561940178255824</v>
      </c>
      <c r="U34">
        <f t="shared" si="13"/>
        <v>26.362780000000001</v>
      </c>
      <c r="V34">
        <f t="shared" si="14"/>
        <v>3.4473759038159373</v>
      </c>
      <c r="W34">
        <f t="shared" si="15"/>
        <v>51.158338268188011</v>
      </c>
      <c r="X34">
        <f t="shared" si="16"/>
        <v>1.8012299165239554</v>
      </c>
      <c r="Y34">
        <f t="shared" si="17"/>
        <v>3.5208921507210511</v>
      </c>
      <c r="Z34">
        <f t="shared" si="18"/>
        <v>1.6461459872919819</v>
      </c>
      <c r="AA34">
        <f t="shared" si="19"/>
        <v>-27.78664489503721</v>
      </c>
      <c r="AB34">
        <f t="shared" si="20"/>
        <v>58.460862977197756</v>
      </c>
      <c r="AC34">
        <f t="shared" si="21"/>
        <v>4.1467586699340524</v>
      </c>
      <c r="AD34">
        <f t="shared" si="22"/>
        <v>34.821615318089385</v>
      </c>
      <c r="AE34">
        <v>5</v>
      </c>
      <c r="AF34">
        <v>100</v>
      </c>
      <c r="AG34">
        <f t="shared" si="23"/>
        <v>1</v>
      </c>
      <c r="AH34">
        <f t="shared" si="24"/>
        <v>0</v>
      </c>
      <c r="AI34">
        <f t="shared" si="25"/>
        <v>53487.703454399823</v>
      </c>
      <c r="AJ34" t="s">
        <v>489</v>
      </c>
      <c r="AK34">
        <v>8133.54</v>
      </c>
      <c r="AL34">
        <v>205.101</v>
      </c>
      <c r="AM34">
        <v>1370.03</v>
      </c>
      <c r="AN34">
        <f t="shared" si="26"/>
        <v>0.85029451909812193</v>
      </c>
      <c r="AO34">
        <v>-27.646053849504799</v>
      </c>
      <c r="AP34" t="s">
        <v>423</v>
      </c>
      <c r="AQ34" t="s">
        <v>423</v>
      </c>
      <c r="AR34">
        <v>0</v>
      </c>
      <c r="AS34">
        <v>0</v>
      </c>
      <c r="AT34" t="e">
        <f t="shared" si="27"/>
        <v>#DIV/0!</v>
      </c>
      <c r="AU34">
        <v>0.5</v>
      </c>
      <c r="AV34">
        <f t="shared" si="28"/>
        <v>3.3608736567839995E-3</v>
      </c>
      <c r="AW34">
        <f t="shared" si="29"/>
        <v>-27.646053849504547</v>
      </c>
      <c r="AX34" t="e">
        <f t="shared" si="30"/>
        <v>#DIV/0!</v>
      </c>
      <c r="AY34">
        <f t="shared" si="31"/>
        <v>7.5052708597265491E-11</v>
      </c>
      <c r="AZ34" t="e">
        <f t="shared" si="32"/>
        <v>#DIV/0!</v>
      </c>
      <c r="BA34" t="e">
        <f t="shared" si="33"/>
        <v>#DIV/0!</v>
      </c>
      <c r="BB34" t="s">
        <v>423</v>
      </c>
      <c r="BC34">
        <v>0</v>
      </c>
      <c r="BD34" t="e">
        <f t="shared" si="34"/>
        <v>#DIV/0!</v>
      </c>
      <c r="BE34" t="e">
        <f t="shared" si="35"/>
        <v>#DIV/0!</v>
      </c>
      <c r="BF34" t="e">
        <f t="shared" si="36"/>
        <v>#DIV/0!</v>
      </c>
      <c r="BG34" t="e">
        <f t="shared" si="37"/>
        <v>#DIV/0!</v>
      </c>
      <c r="BH34">
        <f t="shared" si="38"/>
        <v>0</v>
      </c>
      <c r="BI34">
        <f t="shared" si="39"/>
        <v>1.1760630905402818</v>
      </c>
      <c r="BJ34" t="e">
        <f t="shared" si="40"/>
        <v>#DIV/0!</v>
      </c>
      <c r="BK34" t="e">
        <f t="shared" si="41"/>
        <v>#DIV/0!</v>
      </c>
      <c r="BL34">
        <v>939</v>
      </c>
      <c r="BM34">
        <v>290</v>
      </c>
      <c r="BN34">
        <v>1558.67</v>
      </c>
      <c r="BO34">
        <v>165</v>
      </c>
      <c r="BP34">
        <v>8114.57</v>
      </c>
      <c r="BQ34">
        <v>1551.92</v>
      </c>
      <c r="BR34">
        <v>6.75</v>
      </c>
      <c r="BS34">
        <v>300</v>
      </c>
      <c r="BT34">
        <v>19.2</v>
      </c>
      <c r="BU34">
        <v>1584.3896717483201</v>
      </c>
      <c r="BV34">
        <v>1.88110366540944</v>
      </c>
      <c r="BW34">
        <v>-26.347569484426199</v>
      </c>
      <c r="BX34">
        <v>1.36356822732003</v>
      </c>
      <c r="BY34">
        <v>0.93023713121789597</v>
      </c>
      <c r="BZ34">
        <v>-5.3779617352614001E-3</v>
      </c>
      <c r="CA34">
        <v>290</v>
      </c>
      <c r="CB34">
        <v>1543.03</v>
      </c>
      <c r="CC34">
        <v>615</v>
      </c>
      <c r="CD34">
        <v>8099.76</v>
      </c>
      <c r="CE34">
        <v>1551.86</v>
      </c>
      <c r="CF34">
        <v>-8.83</v>
      </c>
      <c r="CT34">
        <f t="shared" si="42"/>
        <v>2.0002599999999999E-2</v>
      </c>
      <c r="CU34">
        <f t="shared" si="43"/>
        <v>3.3608736567839995E-3</v>
      </c>
      <c r="CV34">
        <f t="shared" si="44"/>
        <v>0.16802183999999998</v>
      </c>
      <c r="CW34">
        <f t="shared" si="45"/>
        <v>3.1924149599999993E-2</v>
      </c>
      <c r="CX34">
        <v>2</v>
      </c>
      <c r="CY34">
        <v>0.5</v>
      </c>
      <c r="CZ34" t="s">
        <v>424</v>
      </c>
      <c r="DA34">
        <v>2</v>
      </c>
      <c r="DB34">
        <v>1664977467</v>
      </c>
      <c r="DC34">
        <v>455.05619999999999</v>
      </c>
      <c r="DD34">
        <v>482.27673333333303</v>
      </c>
      <c r="DE34">
        <v>17.8227333333333</v>
      </c>
      <c r="DF34">
        <v>18.4384466666667</v>
      </c>
      <c r="DG34">
        <v>453.72179999999997</v>
      </c>
      <c r="DH34">
        <v>17.926353333333299</v>
      </c>
      <c r="DI34">
        <v>-201.0198</v>
      </c>
      <c r="DJ34">
        <v>101.06780000000001</v>
      </c>
      <c r="DK34">
        <v>-4.1818200000000002E-3</v>
      </c>
      <c r="DL34">
        <v>26.720826666666699</v>
      </c>
      <c r="DM34">
        <v>26.362780000000001</v>
      </c>
      <c r="DN34">
        <v>999.9</v>
      </c>
      <c r="DO34">
        <v>0</v>
      </c>
      <c r="DP34">
        <v>0</v>
      </c>
      <c r="DQ34">
        <v>9999.2459999999992</v>
      </c>
      <c r="DR34">
        <v>0</v>
      </c>
      <c r="DS34">
        <v>0.21823999999999999</v>
      </c>
      <c r="DT34">
        <v>-27.220553333333299</v>
      </c>
      <c r="DU34">
        <v>463.31413333333302</v>
      </c>
      <c r="DV34">
        <v>491.33679999999998</v>
      </c>
      <c r="DW34">
        <v>-0.61570533333333299</v>
      </c>
      <c r="DX34">
        <v>482.27673333333303</v>
      </c>
      <c r="DY34">
        <v>18.4384466666667</v>
      </c>
      <c r="DZ34">
        <v>1.8013046666666701</v>
      </c>
      <c r="EA34">
        <v>1.863534</v>
      </c>
      <c r="EB34">
        <v>15.7973533333333</v>
      </c>
      <c r="EC34">
        <v>16.330086666666698</v>
      </c>
      <c r="ED34">
        <v>2.0002599999999999E-2</v>
      </c>
      <c r="EE34">
        <v>0</v>
      </c>
      <c r="EF34">
        <v>0</v>
      </c>
      <c r="EG34">
        <v>0</v>
      </c>
      <c r="EH34">
        <v>205.583333333333</v>
      </c>
      <c r="EI34">
        <v>2.0002599999999999E-2</v>
      </c>
      <c r="EJ34">
        <v>-5.5283333333333298</v>
      </c>
      <c r="EK34">
        <v>0.72</v>
      </c>
      <c r="EL34">
        <v>35.8789333333333</v>
      </c>
      <c r="EM34">
        <v>39.4746666666667</v>
      </c>
      <c r="EN34">
        <v>37.7914666666667</v>
      </c>
      <c r="EO34">
        <v>40.245533333333299</v>
      </c>
      <c r="EP34">
        <v>38.733066666666701</v>
      </c>
      <c r="EQ34">
        <v>0</v>
      </c>
      <c r="ER34">
        <v>0</v>
      </c>
      <c r="ES34">
        <v>0</v>
      </c>
      <c r="ET34">
        <v>85.900000095367403</v>
      </c>
      <c r="EU34">
        <v>0</v>
      </c>
      <c r="EV34">
        <v>205.101</v>
      </c>
      <c r="EW34">
        <v>9.3519228722734802</v>
      </c>
      <c r="EX34">
        <v>-4.3326922909336103</v>
      </c>
      <c r="EY34">
        <v>-5.9219999999999997</v>
      </c>
      <c r="EZ34">
        <v>15</v>
      </c>
      <c r="FA34">
        <v>1664976001.0999999</v>
      </c>
      <c r="FB34" t="s">
        <v>425</v>
      </c>
      <c r="FC34">
        <v>1664976001.0999999</v>
      </c>
      <c r="FD34">
        <v>1790572693.0999999</v>
      </c>
      <c r="FE34">
        <v>1</v>
      </c>
      <c r="FF34">
        <v>0.30399999999999999</v>
      </c>
      <c r="FG34">
        <v>0</v>
      </c>
      <c r="FH34">
        <v>1.337</v>
      </c>
      <c r="FI34">
        <v>-0.128</v>
      </c>
      <c r="FJ34">
        <v>462</v>
      </c>
      <c r="FK34">
        <v>17</v>
      </c>
      <c r="FL34">
        <v>0.87</v>
      </c>
      <c r="FM34">
        <v>0.1</v>
      </c>
      <c r="FN34">
        <v>-43.084947407558502</v>
      </c>
      <c r="FO34">
        <v>195.110291676777</v>
      </c>
      <c r="FP34">
        <v>20.211490170477301</v>
      </c>
      <c r="FQ34">
        <v>-1</v>
      </c>
      <c r="FR34">
        <v>-37.552750000000003</v>
      </c>
      <c r="FS34">
        <v>170.48676992481199</v>
      </c>
      <c r="FT34">
        <v>16.867650538249201</v>
      </c>
      <c r="FU34">
        <v>-1</v>
      </c>
      <c r="FV34">
        <v>204.91544117647101</v>
      </c>
      <c r="FW34">
        <v>3.3838807919682599</v>
      </c>
      <c r="FX34">
        <v>2.9762665044251899</v>
      </c>
      <c r="FY34">
        <v>0</v>
      </c>
      <c r="FZ34">
        <v>-0.57393194999999997</v>
      </c>
      <c r="GA34">
        <v>-1.08317607518797</v>
      </c>
      <c r="GB34">
        <v>0.12973058064638199</v>
      </c>
      <c r="GC34">
        <v>-1</v>
      </c>
      <c r="GD34">
        <v>0</v>
      </c>
      <c r="GE34">
        <v>1</v>
      </c>
      <c r="GF34" t="s">
        <v>458</v>
      </c>
      <c r="GG34">
        <v>2.1413600000000002</v>
      </c>
      <c r="GH34">
        <v>2.6547200000000002</v>
      </c>
      <c r="GI34">
        <v>9.6467499999999998E-2</v>
      </c>
      <c r="GJ34">
        <v>0.101699</v>
      </c>
      <c r="GK34">
        <v>9.4102099999999994E-2</v>
      </c>
      <c r="GL34">
        <v>9.9938899999999997E-2</v>
      </c>
      <c r="GM34">
        <v>17619.900000000001</v>
      </c>
      <c r="GN34">
        <v>26457.7</v>
      </c>
      <c r="GO34">
        <v>22781.5</v>
      </c>
      <c r="GP34">
        <v>30175.599999999999</v>
      </c>
      <c r="GQ34">
        <v>33838.199999999997</v>
      </c>
      <c r="GR34">
        <v>33816.199999999997</v>
      </c>
      <c r="GS34">
        <v>43093</v>
      </c>
      <c r="GT34">
        <v>42956.5</v>
      </c>
      <c r="GU34">
        <v>0.02</v>
      </c>
      <c r="GV34">
        <v>1.4338500000000001</v>
      </c>
      <c r="GW34">
        <v>0.105277</v>
      </c>
      <c r="GX34">
        <v>0</v>
      </c>
      <c r="GY34">
        <v>24.685400000000001</v>
      </c>
      <c r="GZ34">
        <v>999.9</v>
      </c>
      <c r="HA34">
        <v>35.441000000000003</v>
      </c>
      <c r="HB34">
        <v>27.795000000000002</v>
      </c>
      <c r="HC34">
        <v>13.149100000000001</v>
      </c>
      <c r="HD34">
        <v>63.180300000000003</v>
      </c>
      <c r="HE34">
        <v>0</v>
      </c>
      <c r="HF34">
        <v>0</v>
      </c>
      <c r="HG34">
        <v>-5.42073E-2</v>
      </c>
      <c r="HH34">
        <v>0</v>
      </c>
      <c r="HI34">
        <v>20.268799999999999</v>
      </c>
      <c r="HJ34">
        <v>5.2339099999999998</v>
      </c>
      <c r="HK34">
        <v>11.962</v>
      </c>
      <c r="HL34">
        <v>4.9688999999999997</v>
      </c>
      <c r="HM34">
        <v>3.2953999999999999</v>
      </c>
      <c r="HN34">
        <v>9999</v>
      </c>
      <c r="HO34">
        <v>999.9</v>
      </c>
      <c r="HP34">
        <v>9999</v>
      </c>
      <c r="HQ34">
        <v>9999</v>
      </c>
      <c r="HR34">
        <v>4.9684100000000004</v>
      </c>
      <c r="HS34">
        <v>1.86191</v>
      </c>
      <c r="HT34">
        <v>1.8635600000000001</v>
      </c>
      <c r="HU34">
        <v>1.86554</v>
      </c>
      <c r="HV34">
        <v>1.8626400000000001</v>
      </c>
      <c r="HW34">
        <v>1.8663000000000001</v>
      </c>
      <c r="HX34">
        <v>1.8631</v>
      </c>
      <c r="HY34">
        <v>1.86493</v>
      </c>
      <c r="HZ34">
        <v>0</v>
      </c>
      <c r="IA34">
        <v>0</v>
      </c>
      <c r="IB34">
        <v>0</v>
      </c>
      <c r="IC34">
        <v>0</v>
      </c>
      <c r="ID34" t="s">
        <v>427</v>
      </c>
      <c r="IE34" t="s">
        <v>428</v>
      </c>
      <c r="IF34" t="s">
        <v>429</v>
      </c>
      <c r="IG34" t="s">
        <v>429</v>
      </c>
      <c r="IH34" t="s">
        <v>429</v>
      </c>
      <c r="II34" t="s">
        <v>429</v>
      </c>
      <c r="IJ34">
        <v>0</v>
      </c>
      <c r="IK34">
        <v>100</v>
      </c>
      <c r="IL34">
        <v>100</v>
      </c>
      <c r="IM34">
        <v>1.333</v>
      </c>
      <c r="IN34">
        <v>-0.1091</v>
      </c>
      <c r="IO34">
        <v>0.91043272280072696</v>
      </c>
      <c r="IP34">
        <v>1.61658254425633E-3</v>
      </c>
      <c r="IQ34">
        <v>-1.89604851270483E-6</v>
      </c>
      <c r="IR34">
        <v>8.6681353432279101E-10</v>
      </c>
      <c r="IS34">
        <v>-4.47525518804959E-2</v>
      </c>
      <c r="IT34">
        <v>-3.5871989026399903E-2</v>
      </c>
      <c r="IU34">
        <v>1.9028800927848801E-3</v>
      </c>
      <c r="IV34">
        <v>-4.7539144078026999E-6</v>
      </c>
      <c r="IW34">
        <v>1</v>
      </c>
      <c r="IX34">
        <v>1704</v>
      </c>
      <c r="IY34">
        <v>4</v>
      </c>
      <c r="IZ34">
        <v>25</v>
      </c>
      <c r="JA34">
        <v>24.6</v>
      </c>
      <c r="JB34">
        <v>-2093253.6</v>
      </c>
      <c r="JC34">
        <v>0.162354</v>
      </c>
      <c r="JD34">
        <v>4.99878</v>
      </c>
      <c r="JE34">
        <v>0.239258</v>
      </c>
      <c r="JF34">
        <v>1.2206999999999999E-3</v>
      </c>
      <c r="JG34">
        <v>0.26611299999999999</v>
      </c>
      <c r="JH34">
        <v>4.99878</v>
      </c>
      <c r="JI34">
        <v>31.280899999999999</v>
      </c>
      <c r="JJ34">
        <v>15.7256</v>
      </c>
      <c r="JK34">
        <v>2</v>
      </c>
      <c r="JL34">
        <v>-27.056100000000001</v>
      </c>
      <c r="JM34">
        <v>256.71800000000002</v>
      </c>
      <c r="JN34">
        <v>26.346900000000002</v>
      </c>
      <c r="JO34">
        <v>26.654800000000002</v>
      </c>
      <c r="JP34">
        <v>30.000599999999999</v>
      </c>
      <c r="JQ34">
        <v>26.6493</v>
      </c>
      <c r="JR34">
        <v>26.6021</v>
      </c>
      <c r="JS34">
        <v>-1</v>
      </c>
      <c r="JT34">
        <v>-30</v>
      </c>
      <c r="JU34">
        <v>-30</v>
      </c>
      <c r="JV34">
        <v>-999.9</v>
      </c>
      <c r="JW34">
        <v>0</v>
      </c>
      <c r="JX34">
        <v>0</v>
      </c>
      <c r="JY34">
        <v>101.762</v>
      </c>
      <c r="JZ34">
        <v>97.564300000000003</v>
      </c>
    </row>
    <row r="35" spans="1:286" x14ac:dyDescent="0.4">
      <c r="A35">
        <v>19</v>
      </c>
      <c r="B35">
        <v>1664977569</v>
      </c>
      <c r="C35">
        <v>1598.9000000953699</v>
      </c>
      <c r="D35" t="s">
        <v>490</v>
      </c>
      <c r="E35" t="s">
        <v>491</v>
      </c>
      <c r="F35">
        <v>5</v>
      </c>
      <c r="G35">
        <v>1664977560.5</v>
      </c>
      <c r="H35">
        <f t="shared" si="0"/>
        <v>5.5367494084457205E-4</v>
      </c>
      <c r="I35">
        <f t="shared" si="1"/>
        <v>0.55367494084457203</v>
      </c>
      <c r="J35">
        <f t="shared" si="2"/>
        <v>-23.193827833408012</v>
      </c>
      <c r="K35">
        <f t="shared" si="3"/>
        <v>451.98399999999998</v>
      </c>
      <c r="L35">
        <f t="shared" si="4"/>
        <v>1573.0589768938989</v>
      </c>
      <c r="M35">
        <f t="shared" si="5"/>
        <v>158.98169855348866</v>
      </c>
      <c r="N35">
        <f t="shared" si="6"/>
        <v>45.679904628170021</v>
      </c>
      <c r="O35">
        <f t="shared" si="7"/>
        <v>3.2466812270612516E-2</v>
      </c>
      <c r="P35">
        <f t="shared" si="8"/>
        <v>3.0288372976070335</v>
      </c>
      <c r="Q35">
        <f t="shared" si="9"/>
        <v>3.2274703368807264E-2</v>
      </c>
      <c r="R35">
        <f t="shared" si="10"/>
        <v>2.0188854915749621E-2</v>
      </c>
      <c r="S35">
        <f t="shared" si="11"/>
        <v>6.3856599478895988E-4</v>
      </c>
      <c r="T35">
        <f t="shared" si="12"/>
        <v>26.588280410298921</v>
      </c>
      <c r="U35">
        <f t="shared" si="13"/>
        <v>26.40503125</v>
      </c>
      <c r="V35">
        <f t="shared" si="14"/>
        <v>3.4559808320391427</v>
      </c>
      <c r="W35">
        <f t="shared" si="15"/>
        <v>50.16524050535709</v>
      </c>
      <c r="X35">
        <f t="shared" si="16"/>
        <v>1.7669981471582004</v>
      </c>
      <c r="Y35">
        <f t="shared" si="17"/>
        <v>3.5223555780012745</v>
      </c>
      <c r="Z35">
        <f t="shared" si="18"/>
        <v>1.6889826848809424</v>
      </c>
      <c r="AA35">
        <f t="shared" si="19"/>
        <v>-24.417064891245627</v>
      </c>
      <c r="AB35">
        <f t="shared" si="20"/>
        <v>52.719415438783997</v>
      </c>
      <c r="AC35">
        <f t="shared" si="21"/>
        <v>3.7401199842953701</v>
      </c>
      <c r="AD35">
        <f t="shared" si="22"/>
        <v>32.043109097828534</v>
      </c>
      <c r="AE35">
        <v>5</v>
      </c>
      <c r="AF35">
        <v>100</v>
      </c>
      <c r="AG35">
        <f t="shared" si="23"/>
        <v>1</v>
      </c>
      <c r="AH35">
        <f t="shared" si="24"/>
        <v>0</v>
      </c>
      <c r="AI35">
        <f t="shared" si="25"/>
        <v>53494.17202647432</v>
      </c>
      <c r="AJ35" t="s">
        <v>492</v>
      </c>
      <c r="AK35">
        <v>8129.18</v>
      </c>
      <c r="AL35">
        <v>232.054</v>
      </c>
      <c r="AM35">
        <v>1529.11</v>
      </c>
      <c r="AN35">
        <f t="shared" si="26"/>
        <v>0.84824244168176255</v>
      </c>
      <c r="AO35">
        <v>-23.193827833408001</v>
      </c>
      <c r="AP35" t="s">
        <v>423</v>
      </c>
      <c r="AQ35" t="s">
        <v>423</v>
      </c>
      <c r="AR35">
        <v>0</v>
      </c>
      <c r="AS35">
        <v>0</v>
      </c>
      <c r="AT35" t="e">
        <f t="shared" si="27"/>
        <v>#DIV/0!</v>
      </c>
      <c r="AU35">
        <v>0.5</v>
      </c>
      <c r="AV35">
        <f t="shared" si="28"/>
        <v>3.3608736567839995E-3</v>
      </c>
      <c r="AW35">
        <f t="shared" si="29"/>
        <v>-23.193827833408012</v>
      </c>
      <c r="AX35" t="e">
        <f t="shared" si="30"/>
        <v>#DIV/0!</v>
      </c>
      <c r="AY35">
        <f t="shared" si="31"/>
        <v>-3.1712412083351614E-12</v>
      </c>
      <c r="AZ35" t="e">
        <f t="shared" si="32"/>
        <v>#DIV/0!</v>
      </c>
      <c r="BA35" t="e">
        <f t="shared" si="33"/>
        <v>#DIV/0!</v>
      </c>
      <c r="BB35" t="s">
        <v>423</v>
      </c>
      <c r="BC35">
        <v>0</v>
      </c>
      <c r="BD35" t="e">
        <f t="shared" si="34"/>
        <v>#DIV/0!</v>
      </c>
      <c r="BE35" t="e">
        <f t="shared" si="35"/>
        <v>#DIV/0!</v>
      </c>
      <c r="BF35" t="e">
        <f t="shared" si="36"/>
        <v>#DIV/0!</v>
      </c>
      <c r="BG35" t="e">
        <f t="shared" si="37"/>
        <v>#DIV/0!</v>
      </c>
      <c r="BH35">
        <f t="shared" si="38"/>
        <v>0</v>
      </c>
      <c r="BI35">
        <f t="shared" si="39"/>
        <v>1.1789082352650928</v>
      </c>
      <c r="BJ35" t="e">
        <f t="shared" si="40"/>
        <v>#DIV/0!</v>
      </c>
      <c r="BK35" t="e">
        <f t="shared" si="41"/>
        <v>#DIV/0!</v>
      </c>
      <c r="BL35">
        <v>939</v>
      </c>
      <c r="BM35">
        <v>290</v>
      </c>
      <c r="BN35">
        <v>1558.67</v>
      </c>
      <c r="BO35">
        <v>165</v>
      </c>
      <c r="BP35">
        <v>8114.57</v>
      </c>
      <c r="BQ35">
        <v>1551.92</v>
      </c>
      <c r="BR35">
        <v>6.75</v>
      </c>
      <c r="BS35">
        <v>300</v>
      </c>
      <c r="BT35">
        <v>19.2</v>
      </c>
      <c r="BU35">
        <v>1584.3896717483201</v>
      </c>
      <c r="BV35">
        <v>1.88110366540944</v>
      </c>
      <c r="BW35">
        <v>-26.347569484426199</v>
      </c>
      <c r="BX35">
        <v>1.36356822732003</v>
      </c>
      <c r="BY35">
        <v>0.93023713121789597</v>
      </c>
      <c r="BZ35">
        <v>-5.3779617352614001E-3</v>
      </c>
      <c r="CA35">
        <v>290</v>
      </c>
      <c r="CB35">
        <v>1543.03</v>
      </c>
      <c r="CC35">
        <v>615</v>
      </c>
      <c r="CD35">
        <v>8099.76</v>
      </c>
      <c r="CE35">
        <v>1551.86</v>
      </c>
      <c r="CF35">
        <v>-8.83</v>
      </c>
      <c r="CT35">
        <f t="shared" si="42"/>
        <v>2.0002599999999999E-2</v>
      </c>
      <c r="CU35">
        <f t="shared" si="43"/>
        <v>3.3608736567839995E-3</v>
      </c>
      <c r="CV35">
        <f t="shared" si="44"/>
        <v>0.16802183999999998</v>
      </c>
      <c r="CW35">
        <f t="shared" si="45"/>
        <v>3.1924149599999993E-2</v>
      </c>
      <c r="CX35">
        <v>2</v>
      </c>
      <c r="CY35">
        <v>0.5</v>
      </c>
      <c r="CZ35" t="s">
        <v>424</v>
      </c>
      <c r="DA35">
        <v>2</v>
      </c>
      <c r="DB35">
        <v>1664977560.5</v>
      </c>
      <c r="DC35">
        <v>451.98399999999998</v>
      </c>
      <c r="DD35">
        <v>474.82262500000002</v>
      </c>
      <c r="DE35">
        <v>17.483725</v>
      </c>
      <c r="DF35">
        <v>18.025231250000001</v>
      </c>
      <c r="DG35">
        <v>450.6509375</v>
      </c>
      <c r="DH35">
        <v>17.59638125</v>
      </c>
      <c r="DI35">
        <v>-200.9190625</v>
      </c>
      <c r="DJ35">
        <v>101.0671875</v>
      </c>
      <c r="DK35">
        <v>-1.8740637500000001E-3</v>
      </c>
      <c r="DL35">
        <v>26.727887500000001</v>
      </c>
      <c r="DM35">
        <v>26.40503125</v>
      </c>
      <c r="DN35">
        <v>999.9</v>
      </c>
      <c r="DO35">
        <v>0</v>
      </c>
      <c r="DP35">
        <v>0</v>
      </c>
      <c r="DQ35">
        <v>10000.815624999999</v>
      </c>
      <c r="DR35">
        <v>0</v>
      </c>
      <c r="DS35">
        <v>0.21823999999999999</v>
      </c>
      <c r="DT35">
        <v>-22.8385125</v>
      </c>
      <c r="DU35">
        <v>460.02712500000001</v>
      </c>
      <c r="DV35">
        <v>483.53899999999999</v>
      </c>
      <c r="DW35">
        <v>-0.54150712499999998</v>
      </c>
      <c r="DX35">
        <v>474.82262500000002</v>
      </c>
      <c r="DY35">
        <v>18.025231250000001</v>
      </c>
      <c r="DZ35">
        <v>1.7670306250000001</v>
      </c>
      <c r="EA35">
        <v>1.8217581249999999</v>
      </c>
      <c r="EB35">
        <v>15.4981125</v>
      </c>
      <c r="EC35">
        <v>15.974675</v>
      </c>
      <c r="ED35">
        <v>2.0002599999999999E-2</v>
      </c>
      <c r="EE35">
        <v>0</v>
      </c>
      <c r="EF35">
        <v>0</v>
      </c>
      <c r="EG35">
        <v>0</v>
      </c>
      <c r="EH35">
        <v>232.0546875</v>
      </c>
      <c r="EI35">
        <v>2.0002599999999999E-2</v>
      </c>
      <c r="EJ35">
        <v>-9.3156250000000007</v>
      </c>
      <c r="EK35">
        <v>0.546875</v>
      </c>
      <c r="EL35">
        <v>35.144312499999998</v>
      </c>
      <c r="EM35">
        <v>37.956812499999998</v>
      </c>
      <c r="EN35">
        <v>36.866937499999999</v>
      </c>
      <c r="EO35">
        <v>38.054499999999997</v>
      </c>
      <c r="EP35">
        <v>37.777124999999998</v>
      </c>
      <c r="EQ35">
        <v>0</v>
      </c>
      <c r="ER35">
        <v>0</v>
      </c>
      <c r="ES35">
        <v>0</v>
      </c>
      <c r="ET35">
        <v>92.800000190734906</v>
      </c>
      <c r="EU35">
        <v>0</v>
      </c>
      <c r="EV35">
        <v>232.054</v>
      </c>
      <c r="EW35">
        <v>9.2750001226481995</v>
      </c>
      <c r="EX35">
        <v>3.6923076159149599</v>
      </c>
      <c r="EY35">
        <v>-8.9410000000000007</v>
      </c>
      <c r="EZ35">
        <v>15</v>
      </c>
      <c r="FA35">
        <v>1664976001.0999999</v>
      </c>
      <c r="FB35" t="s">
        <v>425</v>
      </c>
      <c r="FC35">
        <v>1664976001.0999999</v>
      </c>
      <c r="FD35">
        <v>1790572693.0999999</v>
      </c>
      <c r="FE35">
        <v>1</v>
      </c>
      <c r="FF35">
        <v>0.30399999999999999</v>
      </c>
      <c r="FG35">
        <v>0</v>
      </c>
      <c r="FH35">
        <v>1.337</v>
      </c>
      <c r="FI35">
        <v>-0.128</v>
      </c>
      <c r="FJ35">
        <v>462</v>
      </c>
      <c r="FK35">
        <v>17</v>
      </c>
      <c r="FL35">
        <v>0.87</v>
      </c>
      <c r="FM35">
        <v>0.1</v>
      </c>
      <c r="FN35">
        <v>-27.725023377909199</v>
      </c>
      <c r="FO35">
        <v>91.892696834899695</v>
      </c>
      <c r="FP35">
        <v>8.8895692414921701</v>
      </c>
      <c r="FQ35">
        <v>-1</v>
      </c>
      <c r="FR35">
        <v>-26.661657142857099</v>
      </c>
      <c r="FS35">
        <v>89.681298701298701</v>
      </c>
      <c r="FT35">
        <v>9.1092070913403393</v>
      </c>
      <c r="FU35">
        <v>-1</v>
      </c>
      <c r="FV35">
        <v>231.78088235294101</v>
      </c>
      <c r="FW35">
        <v>5.7578303893092198</v>
      </c>
      <c r="FX35">
        <v>2.73792844366498</v>
      </c>
      <c r="FY35">
        <v>0</v>
      </c>
      <c r="FZ35">
        <v>-0.53867614285714305</v>
      </c>
      <c r="GA35">
        <v>0.25137163636363602</v>
      </c>
      <c r="GB35">
        <v>8.1145424821463502E-2</v>
      </c>
      <c r="GC35">
        <v>-1</v>
      </c>
      <c r="GD35">
        <v>0</v>
      </c>
      <c r="GE35">
        <v>1</v>
      </c>
      <c r="GF35" t="s">
        <v>458</v>
      </c>
      <c r="GG35">
        <v>2.1433</v>
      </c>
      <c r="GH35">
        <v>2.6561300000000001</v>
      </c>
      <c r="GI35">
        <v>9.6148800000000006E-2</v>
      </c>
      <c r="GJ35">
        <v>0.100787</v>
      </c>
      <c r="GK35">
        <v>9.3438199999999999E-2</v>
      </c>
      <c r="GL35">
        <v>9.8461599999999996E-2</v>
      </c>
      <c r="GM35">
        <v>17622.2</v>
      </c>
      <c r="GN35">
        <v>26478.6</v>
      </c>
      <c r="GO35">
        <v>22776.799999999999</v>
      </c>
      <c r="GP35">
        <v>30169.1</v>
      </c>
      <c r="GQ35">
        <v>33858.1</v>
      </c>
      <c r="GR35">
        <v>33865.9</v>
      </c>
      <c r="GS35">
        <v>43085.4</v>
      </c>
      <c r="GT35">
        <v>42948.7</v>
      </c>
      <c r="GU35">
        <v>0.02</v>
      </c>
      <c r="GV35">
        <v>1.4258200000000001</v>
      </c>
      <c r="GW35">
        <v>0.102341</v>
      </c>
      <c r="GX35">
        <v>0</v>
      </c>
      <c r="GY35">
        <v>24.706</v>
      </c>
      <c r="GZ35">
        <v>999.9</v>
      </c>
      <c r="HA35">
        <v>35.356000000000002</v>
      </c>
      <c r="HB35">
        <v>27.805</v>
      </c>
      <c r="HC35">
        <v>13.123799999999999</v>
      </c>
      <c r="HD35">
        <v>63.0503</v>
      </c>
      <c r="HE35">
        <v>0</v>
      </c>
      <c r="HF35">
        <v>0</v>
      </c>
      <c r="HG35">
        <v>-4.5431899999999997E-2</v>
      </c>
      <c r="HH35">
        <v>0</v>
      </c>
      <c r="HI35">
        <v>20.270900000000001</v>
      </c>
      <c r="HJ35">
        <v>5.2346599999999999</v>
      </c>
      <c r="HK35">
        <v>11.962</v>
      </c>
      <c r="HL35">
        <v>4.9692499999999997</v>
      </c>
      <c r="HM35">
        <v>3.2953999999999999</v>
      </c>
      <c r="HN35">
        <v>9999</v>
      </c>
      <c r="HO35">
        <v>999.9</v>
      </c>
      <c r="HP35">
        <v>9999</v>
      </c>
      <c r="HQ35">
        <v>9999</v>
      </c>
      <c r="HR35">
        <v>4.9684100000000004</v>
      </c>
      <c r="HS35">
        <v>1.8619300000000001</v>
      </c>
      <c r="HT35">
        <v>1.8635600000000001</v>
      </c>
      <c r="HU35">
        <v>1.86554</v>
      </c>
      <c r="HV35">
        <v>1.8626400000000001</v>
      </c>
      <c r="HW35">
        <v>1.86629</v>
      </c>
      <c r="HX35">
        <v>1.8631</v>
      </c>
      <c r="HY35">
        <v>1.86493</v>
      </c>
      <c r="HZ35">
        <v>0</v>
      </c>
      <c r="IA35">
        <v>0</v>
      </c>
      <c r="IB35">
        <v>0</v>
      </c>
      <c r="IC35">
        <v>0</v>
      </c>
      <c r="ID35" t="s">
        <v>427</v>
      </c>
      <c r="IE35" t="s">
        <v>428</v>
      </c>
      <c r="IF35" t="s">
        <v>429</v>
      </c>
      <c r="IG35" t="s">
        <v>429</v>
      </c>
      <c r="IH35" t="s">
        <v>429</v>
      </c>
      <c r="II35" t="s">
        <v>429</v>
      </c>
      <c r="IJ35">
        <v>0</v>
      </c>
      <c r="IK35">
        <v>100</v>
      </c>
      <c r="IL35">
        <v>100</v>
      </c>
      <c r="IM35">
        <v>1.333</v>
      </c>
      <c r="IN35">
        <v>-0.1135</v>
      </c>
      <c r="IO35">
        <v>0.91043272280072696</v>
      </c>
      <c r="IP35">
        <v>1.61658254425633E-3</v>
      </c>
      <c r="IQ35">
        <v>-1.89604851270483E-6</v>
      </c>
      <c r="IR35">
        <v>8.6681353432279101E-10</v>
      </c>
      <c r="IS35">
        <v>-4.47525518804959E-2</v>
      </c>
      <c r="IT35">
        <v>-3.5871989026399903E-2</v>
      </c>
      <c r="IU35">
        <v>1.9028800927848801E-3</v>
      </c>
      <c r="IV35">
        <v>-4.7539144078026999E-6</v>
      </c>
      <c r="IW35">
        <v>1</v>
      </c>
      <c r="IX35">
        <v>1704</v>
      </c>
      <c r="IY35">
        <v>4</v>
      </c>
      <c r="IZ35">
        <v>25</v>
      </c>
      <c r="JA35">
        <v>26.1</v>
      </c>
      <c r="JB35">
        <v>-2093252.1</v>
      </c>
      <c r="JC35">
        <v>0.162354</v>
      </c>
      <c r="JD35">
        <v>4.99878</v>
      </c>
      <c r="JE35">
        <v>0.239258</v>
      </c>
      <c r="JF35">
        <v>1.2206999999999999E-3</v>
      </c>
      <c r="JG35">
        <v>0.26733400000000002</v>
      </c>
      <c r="JH35">
        <v>4.99878</v>
      </c>
      <c r="JI35">
        <v>31.324400000000001</v>
      </c>
      <c r="JJ35">
        <v>15.7256</v>
      </c>
      <c r="JK35">
        <v>2</v>
      </c>
      <c r="JL35">
        <v>-27.0366</v>
      </c>
      <c r="JM35">
        <v>253.68100000000001</v>
      </c>
      <c r="JN35">
        <v>26.393000000000001</v>
      </c>
      <c r="JO35">
        <v>26.751799999999999</v>
      </c>
      <c r="JP35">
        <v>30.000499999999999</v>
      </c>
      <c r="JQ35">
        <v>26.748699999999999</v>
      </c>
      <c r="JR35">
        <v>26.684899999999999</v>
      </c>
      <c r="JS35">
        <v>-1</v>
      </c>
      <c r="JT35">
        <v>-30</v>
      </c>
      <c r="JU35">
        <v>-30</v>
      </c>
      <c r="JV35">
        <v>-999.9</v>
      </c>
      <c r="JW35">
        <v>0</v>
      </c>
      <c r="JX35">
        <v>0</v>
      </c>
      <c r="JY35">
        <v>101.74299999999999</v>
      </c>
      <c r="JZ35">
        <v>97.545199999999994</v>
      </c>
    </row>
    <row r="36" spans="1:286" x14ac:dyDescent="0.4">
      <c r="A36">
        <v>20</v>
      </c>
      <c r="B36">
        <v>1664977638</v>
      </c>
      <c r="C36">
        <v>1667.9000000953699</v>
      </c>
      <c r="D36" t="s">
        <v>493</v>
      </c>
      <c r="E36" t="s">
        <v>494</v>
      </c>
      <c r="F36">
        <v>5</v>
      </c>
      <c r="G36">
        <v>1664977630</v>
      </c>
      <c r="H36">
        <f t="shared" si="0"/>
        <v>-5.0922089332286697E-4</v>
      </c>
      <c r="I36">
        <f t="shared" si="1"/>
        <v>-0.50922089332286702</v>
      </c>
      <c r="J36">
        <f t="shared" si="2"/>
        <v>40.192695097740533</v>
      </c>
      <c r="K36">
        <f t="shared" si="3"/>
        <v>504.63920000000002</v>
      </c>
      <c r="L36">
        <f t="shared" si="4"/>
        <v>2462.1407090251928</v>
      </c>
      <c r="M36">
        <f t="shared" si="5"/>
        <v>248.83534328150489</v>
      </c>
      <c r="N36">
        <f t="shared" si="6"/>
        <v>51.001174752120612</v>
      </c>
      <c r="O36">
        <f t="shared" si="7"/>
        <v>-3.2072374438008797E-2</v>
      </c>
      <c r="P36">
        <f t="shared" si="8"/>
        <v>3.0286124930569103</v>
      </c>
      <c r="Q36">
        <f t="shared" si="9"/>
        <v>-3.2262270143972718E-2</v>
      </c>
      <c r="R36">
        <f t="shared" si="10"/>
        <v>-2.0146764514933465E-2</v>
      </c>
      <c r="S36">
        <f t="shared" si="11"/>
        <v>6.3856599478895988E-4</v>
      </c>
      <c r="T36">
        <f t="shared" si="12"/>
        <v>26.851194509412462</v>
      </c>
      <c r="U36">
        <f t="shared" si="13"/>
        <v>26.273806666666701</v>
      </c>
      <c r="V36">
        <f t="shared" si="14"/>
        <v>3.4293166721105908</v>
      </c>
      <c r="W36">
        <f t="shared" si="15"/>
        <v>53.275904230448013</v>
      </c>
      <c r="X36">
        <f t="shared" si="16"/>
        <v>1.8760027881833139</v>
      </c>
      <c r="Y36">
        <f t="shared" si="17"/>
        <v>3.5212969451791096</v>
      </c>
      <c r="Z36">
        <f t="shared" si="18"/>
        <v>1.5533138839272769</v>
      </c>
      <c r="AA36">
        <f t="shared" si="19"/>
        <v>22.456641395538433</v>
      </c>
      <c r="AB36">
        <f t="shared" si="20"/>
        <v>73.307717874980597</v>
      </c>
      <c r="AC36">
        <f t="shared" si="21"/>
        <v>5.1975718058238405</v>
      </c>
      <c r="AD36">
        <f t="shared" si="22"/>
        <v>100.96256964233766</v>
      </c>
      <c r="AE36">
        <v>5</v>
      </c>
      <c r="AF36">
        <v>100</v>
      </c>
      <c r="AG36">
        <f t="shared" si="23"/>
        <v>1</v>
      </c>
      <c r="AH36">
        <f t="shared" si="24"/>
        <v>0</v>
      </c>
      <c r="AI36">
        <f t="shared" si="25"/>
        <v>53488.12014353861</v>
      </c>
      <c r="AJ36" t="s">
        <v>495</v>
      </c>
      <c r="AK36">
        <v>8128.47</v>
      </c>
      <c r="AL36">
        <v>226.47980769230799</v>
      </c>
      <c r="AM36">
        <v>1479.8</v>
      </c>
      <c r="AN36">
        <f t="shared" si="26"/>
        <v>0.84695242080530608</v>
      </c>
      <c r="AO36">
        <v>40.192695097740803</v>
      </c>
      <c r="AP36" t="s">
        <v>423</v>
      </c>
      <c r="AQ36" t="s">
        <v>423</v>
      </c>
      <c r="AR36">
        <v>0</v>
      </c>
      <c r="AS36">
        <v>0</v>
      </c>
      <c r="AT36" t="e">
        <f t="shared" si="27"/>
        <v>#DIV/0!</v>
      </c>
      <c r="AU36">
        <v>0.5</v>
      </c>
      <c r="AV36">
        <f t="shared" si="28"/>
        <v>3.3608736567839995E-3</v>
      </c>
      <c r="AW36">
        <f t="shared" si="29"/>
        <v>40.192695097740533</v>
      </c>
      <c r="AX36" t="e">
        <f t="shared" si="30"/>
        <v>#DIV/0!</v>
      </c>
      <c r="AY36">
        <f t="shared" si="31"/>
        <v>-8.0338110611157418E-11</v>
      </c>
      <c r="AZ36" t="e">
        <f t="shared" si="32"/>
        <v>#DIV/0!</v>
      </c>
      <c r="BA36" t="e">
        <f t="shared" si="33"/>
        <v>#DIV/0!</v>
      </c>
      <c r="BB36" t="s">
        <v>423</v>
      </c>
      <c r="BC36">
        <v>0</v>
      </c>
      <c r="BD36" t="e">
        <f t="shared" si="34"/>
        <v>#DIV/0!</v>
      </c>
      <c r="BE36" t="e">
        <f t="shared" si="35"/>
        <v>#DIV/0!</v>
      </c>
      <c r="BF36" t="e">
        <f t="shared" si="36"/>
        <v>#DIV/0!</v>
      </c>
      <c r="BG36" t="e">
        <f t="shared" si="37"/>
        <v>#DIV/0!</v>
      </c>
      <c r="BH36">
        <f t="shared" si="38"/>
        <v>0</v>
      </c>
      <c r="BI36">
        <f t="shared" si="39"/>
        <v>1.1807038688775127</v>
      </c>
      <c r="BJ36" t="e">
        <f t="shared" si="40"/>
        <v>#DIV/0!</v>
      </c>
      <c r="BK36" t="e">
        <f t="shared" si="41"/>
        <v>#DIV/0!</v>
      </c>
      <c r="BL36">
        <v>939</v>
      </c>
      <c r="BM36">
        <v>290</v>
      </c>
      <c r="BN36">
        <v>1558.67</v>
      </c>
      <c r="BO36">
        <v>165</v>
      </c>
      <c r="BP36">
        <v>8114.57</v>
      </c>
      <c r="BQ36">
        <v>1551.92</v>
      </c>
      <c r="BR36">
        <v>6.75</v>
      </c>
      <c r="BS36">
        <v>300</v>
      </c>
      <c r="BT36">
        <v>19.2</v>
      </c>
      <c r="BU36">
        <v>1584.3896717483201</v>
      </c>
      <c r="BV36">
        <v>1.88110366540944</v>
      </c>
      <c r="BW36">
        <v>-26.347569484426199</v>
      </c>
      <c r="BX36">
        <v>1.36356822732003</v>
      </c>
      <c r="BY36">
        <v>0.93023713121789597</v>
      </c>
      <c r="BZ36">
        <v>-5.3779617352614001E-3</v>
      </c>
      <c r="CA36">
        <v>290</v>
      </c>
      <c r="CB36">
        <v>1543.03</v>
      </c>
      <c r="CC36">
        <v>615</v>
      </c>
      <c r="CD36">
        <v>8099.76</v>
      </c>
      <c r="CE36">
        <v>1551.86</v>
      </c>
      <c r="CF36">
        <v>-8.83</v>
      </c>
      <c r="CT36">
        <f t="shared" si="42"/>
        <v>2.0002599999999999E-2</v>
      </c>
      <c r="CU36">
        <f t="shared" si="43"/>
        <v>3.3608736567839995E-3</v>
      </c>
      <c r="CV36">
        <f t="shared" si="44"/>
        <v>0.16802183999999998</v>
      </c>
      <c r="CW36">
        <f t="shared" si="45"/>
        <v>3.1924149599999993E-2</v>
      </c>
      <c r="CX36">
        <v>2</v>
      </c>
      <c r="CY36">
        <v>0.5</v>
      </c>
      <c r="CZ36" t="s">
        <v>424</v>
      </c>
      <c r="DA36">
        <v>2</v>
      </c>
      <c r="DB36">
        <v>1664977630</v>
      </c>
      <c r="DC36">
        <v>504.63920000000002</v>
      </c>
      <c r="DD36">
        <v>464.90126666666703</v>
      </c>
      <c r="DE36">
        <v>18.5624066666667</v>
      </c>
      <c r="DF36">
        <v>18.065113333333301</v>
      </c>
      <c r="DG36">
        <v>503.28519999999997</v>
      </c>
      <c r="DH36">
        <v>18.6452666666667</v>
      </c>
      <c r="DI36">
        <v>-200.995466666667</v>
      </c>
      <c r="DJ36">
        <v>101.067533333333</v>
      </c>
      <c r="DK36">
        <v>-2.9019053333333299E-3</v>
      </c>
      <c r="DL36">
        <v>26.72278</v>
      </c>
      <c r="DM36">
        <v>26.273806666666701</v>
      </c>
      <c r="DN36">
        <v>999.9</v>
      </c>
      <c r="DO36">
        <v>0</v>
      </c>
      <c r="DP36">
        <v>0</v>
      </c>
      <c r="DQ36">
        <v>9999.4226666666691</v>
      </c>
      <c r="DR36">
        <v>0</v>
      </c>
      <c r="DS36">
        <v>0.21823999999999999</v>
      </c>
      <c r="DT36">
        <v>39.737678666666703</v>
      </c>
      <c r="DU36">
        <v>514.18113333333304</v>
      </c>
      <c r="DV36">
        <v>473.45593333333301</v>
      </c>
      <c r="DW36">
        <v>0.497292333333333</v>
      </c>
      <c r="DX36">
        <v>464.90126666666703</v>
      </c>
      <c r="DY36">
        <v>18.065113333333301</v>
      </c>
      <c r="DZ36">
        <v>1.8760573333333299</v>
      </c>
      <c r="EA36">
        <v>1.825798</v>
      </c>
      <c r="EB36">
        <v>16.43506</v>
      </c>
      <c r="EC36">
        <v>16.009066666666701</v>
      </c>
      <c r="ED36">
        <v>2.0002599999999999E-2</v>
      </c>
      <c r="EE36">
        <v>0</v>
      </c>
      <c r="EF36">
        <v>0</v>
      </c>
      <c r="EG36">
        <v>0</v>
      </c>
      <c r="EH36">
        <v>227.84833333333299</v>
      </c>
      <c r="EI36">
        <v>2.0002599999999999E-2</v>
      </c>
      <c r="EJ36">
        <v>-9.9816666666666691</v>
      </c>
      <c r="EK36">
        <v>0.44666666666666699</v>
      </c>
      <c r="EL36">
        <v>35.5082666666667</v>
      </c>
      <c r="EM36">
        <v>39.391399999999997</v>
      </c>
      <c r="EN36">
        <v>37.766399999999997</v>
      </c>
      <c r="EO36">
        <v>39.949800000000003</v>
      </c>
      <c r="EP36">
        <v>38.670666666666698</v>
      </c>
      <c r="EQ36">
        <v>0</v>
      </c>
      <c r="ER36">
        <v>0</v>
      </c>
      <c r="ES36">
        <v>0</v>
      </c>
      <c r="ET36">
        <v>67.5</v>
      </c>
      <c r="EU36">
        <v>0</v>
      </c>
      <c r="EV36">
        <v>226.47980769230799</v>
      </c>
      <c r="EW36">
        <v>-0.79572673395733395</v>
      </c>
      <c r="EX36">
        <v>-9.8102559891808703</v>
      </c>
      <c r="EY36">
        <v>-8.5807692307692296</v>
      </c>
      <c r="EZ36">
        <v>15</v>
      </c>
      <c r="FA36">
        <v>1664976001.0999999</v>
      </c>
      <c r="FB36" t="s">
        <v>425</v>
      </c>
      <c r="FC36">
        <v>1664976001.0999999</v>
      </c>
      <c r="FD36">
        <v>1790572693.0999999</v>
      </c>
      <c r="FE36">
        <v>1</v>
      </c>
      <c r="FF36">
        <v>0.30399999999999999</v>
      </c>
      <c r="FG36">
        <v>0</v>
      </c>
      <c r="FH36">
        <v>1.337</v>
      </c>
      <c r="FI36">
        <v>-0.128</v>
      </c>
      <c r="FJ36">
        <v>462</v>
      </c>
      <c r="FK36">
        <v>17</v>
      </c>
      <c r="FL36">
        <v>0.87</v>
      </c>
      <c r="FM36">
        <v>0.1</v>
      </c>
      <c r="FN36">
        <v>30.249043641916401</v>
      </c>
      <c r="FO36">
        <v>228.83509375194501</v>
      </c>
      <c r="FP36">
        <v>31.9196800841158</v>
      </c>
      <c r="FQ36">
        <v>-1</v>
      </c>
      <c r="FR36">
        <v>28.5605091904762</v>
      </c>
      <c r="FS36">
        <v>174.598026155844</v>
      </c>
      <c r="FT36">
        <v>31.492929058058401</v>
      </c>
      <c r="FU36">
        <v>-1</v>
      </c>
      <c r="FV36">
        <v>225.755882352941</v>
      </c>
      <c r="FW36">
        <v>11.650114437776599</v>
      </c>
      <c r="FX36">
        <v>3.5871915671037602</v>
      </c>
      <c r="FY36">
        <v>0</v>
      </c>
      <c r="FZ36">
        <v>0.407110438095238</v>
      </c>
      <c r="GA36">
        <v>0.65639853506493495</v>
      </c>
      <c r="GB36">
        <v>0.20474924376089301</v>
      </c>
      <c r="GC36">
        <v>-1</v>
      </c>
      <c r="GD36">
        <v>0</v>
      </c>
      <c r="GE36">
        <v>1</v>
      </c>
      <c r="GF36" t="s">
        <v>458</v>
      </c>
      <c r="GG36">
        <v>2.1422500000000002</v>
      </c>
      <c r="GH36">
        <v>2.6545800000000002</v>
      </c>
      <c r="GI36">
        <v>0.101938</v>
      </c>
      <c r="GJ36">
        <v>0.105282</v>
      </c>
      <c r="GK36">
        <v>9.8275600000000005E-2</v>
      </c>
      <c r="GL36">
        <v>9.9830500000000003E-2</v>
      </c>
      <c r="GM36">
        <v>17507.7</v>
      </c>
      <c r="GN36">
        <v>26345.3</v>
      </c>
      <c r="GO36">
        <v>22775</v>
      </c>
      <c r="GP36">
        <v>30168.3</v>
      </c>
      <c r="GQ36">
        <v>33669.800000000003</v>
      </c>
      <c r="GR36">
        <v>33813.699999999997</v>
      </c>
      <c r="GS36">
        <v>43082.7</v>
      </c>
      <c r="GT36">
        <v>42947.5</v>
      </c>
      <c r="GU36">
        <v>0.02</v>
      </c>
      <c r="GV36">
        <v>1.4290499999999999</v>
      </c>
      <c r="GW36">
        <v>0.100359</v>
      </c>
      <c r="GX36">
        <v>0</v>
      </c>
      <c r="GY36">
        <v>24.738800000000001</v>
      </c>
      <c r="GZ36">
        <v>999.9</v>
      </c>
      <c r="HA36">
        <v>35.319000000000003</v>
      </c>
      <c r="HB36">
        <v>27.835000000000001</v>
      </c>
      <c r="HC36">
        <v>13.135199999999999</v>
      </c>
      <c r="HD36">
        <v>62.900300000000001</v>
      </c>
      <c r="HE36">
        <v>0</v>
      </c>
      <c r="HF36">
        <v>0</v>
      </c>
      <c r="HG36">
        <v>-4.0487799999999997E-2</v>
      </c>
      <c r="HH36">
        <v>0</v>
      </c>
      <c r="HI36">
        <v>20.271000000000001</v>
      </c>
      <c r="HJ36">
        <v>5.2304700000000004</v>
      </c>
      <c r="HK36">
        <v>11.962</v>
      </c>
      <c r="HL36">
        <v>4.9692999999999996</v>
      </c>
      <c r="HM36">
        <v>3.2956300000000001</v>
      </c>
      <c r="HN36">
        <v>9999</v>
      </c>
      <c r="HO36">
        <v>999.9</v>
      </c>
      <c r="HP36">
        <v>9999</v>
      </c>
      <c r="HQ36">
        <v>9999</v>
      </c>
      <c r="HR36">
        <v>4.9684100000000004</v>
      </c>
      <c r="HS36">
        <v>1.8619699999999999</v>
      </c>
      <c r="HT36">
        <v>1.8635600000000001</v>
      </c>
      <c r="HU36">
        <v>1.86554</v>
      </c>
      <c r="HV36">
        <v>1.8626400000000001</v>
      </c>
      <c r="HW36">
        <v>1.86629</v>
      </c>
      <c r="HX36">
        <v>1.8631</v>
      </c>
      <c r="HY36">
        <v>1.86493</v>
      </c>
      <c r="HZ36">
        <v>0</v>
      </c>
      <c r="IA36">
        <v>0</v>
      </c>
      <c r="IB36">
        <v>0</v>
      </c>
      <c r="IC36">
        <v>0</v>
      </c>
      <c r="ID36" t="s">
        <v>427</v>
      </c>
      <c r="IE36" t="s">
        <v>428</v>
      </c>
      <c r="IF36" t="s">
        <v>429</v>
      </c>
      <c r="IG36" t="s">
        <v>429</v>
      </c>
      <c r="IH36" t="s">
        <v>429</v>
      </c>
      <c r="II36" t="s">
        <v>429</v>
      </c>
      <c r="IJ36">
        <v>0</v>
      </c>
      <c r="IK36">
        <v>100</v>
      </c>
      <c r="IL36">
        <v>100</v>
      </c>
      <c r="IM36">
        <v>1.3480000000000001</v>
      </c>
      <c r="IN36">
        <v>-7.6899999999999996E-2</v>
      </c>
      <c r="IO36">
        <v>0.91043272280072696</v>
      </c>
      <c r="IP36">
        <v>1.61658254425633E-3</v>
      </c>
      <c r="IQ36">
        <v>-1.89604851270483E-6</v>
      </c>
      <c r="IR36">
        <v>8.6681353432279101E-10</v>
      </c>
      <c r="IS36">
        <v>-4.47525518804959E-2</v>
      </c>
      <c r="IT36">
        <v>-3.5871989026399903E-2</v>
      </c>
      <c r="IU36">
        <v>1.9028800927848801E-3</v>
      </c>
      <c r="IV36">
        <v>-4.7539144078026999E-6</v>
      </c>
      <c r="IW36">
        <v>1</v>
      </c>
      <c r="IX36">
        <v>1704</v>
      </c>
      <c r="IY36">
        <v>4</v>
      </c>
      <c r="IZ36">
        <v>25</v>
      </c>
      <c r="JA36">
        <v>27.3</v>
      </c>
      <c r="JB36">
        <v>-2093250.9</v>
      </c>
      <c r="JC36">
        <v>0.162354</v>
      </c>
      <c r="JD36">
        <v>4.99878</v>
      </c>
      <c r="JE36">
        <v>0.239258</v>
      </c>
      <c r="JF36">
        <v>1.2206999999999999E-3</v>
      </c>
      <c r="JG36">
        <v>0.26733400000000002</v>
      </c>
      <c r="JH36">
        <v>4.99878</v>
      </c>
      <c r="JI36">
        <v>31.3462</v>
      </c>
      <c r="JJ36">
        <v>15.7081</v>
      </c>
      <c r="JK36">
        <v>2</v>
      </c>
      <c r="JL36">
        <v>-27.021899999999999</v>
      </c>
      <c r="JM36">
        <v>255.334</v>
      </c>
      <c r="JN36">
        <v>26.429500000000001</v>
      </c>
      <c r="JO36">
        <v>26.8277</v>
      </c>
      <c r="JP36">
        <v>30.000299999999999</v>
      </c>
      <c r="JQ36">
        <v>26.823399999999999</v>
      </c>
      <c r="JR36">
        <v>26.745699999999999</v>
      </c>
      <c r="JS36">
        <v>-1</v>
      </c>
      <c r="JT36">
        <v>-30</v>
      </c>
      <c r="JU36">
        <v>-30</v>
      </c>
      <c r="JV36">
        <v>-999.9</v>
      </c>
      <c r="JW36">
        <v>0</v>
      </c>
      <c r="JX36">
        <v>0</v>
      </c>
      <c r="JY36">
        <v>101.73699999999999</v>
      </c>
      <c r="JZ36">
        <v>97.542699999999996</v>
      </c>
    </row>
    <row r="37" spans="1:286" x14ac:dyDescent="0.4">
      <c r="A37">
        <v>21</v>
      </c>
      <c r="B37">
        <v>1664977707</v>
      </c>
      <c r="C37">
        <v>1736.9000000953699</v>
      </c>
      <c r="D37" t="s">
        <v>496</v>
      </c>
      <c r="E37" t="s">
        <v>497</v>
      </c>
      <c r="F37">
        <v>5</v>
      </c>
      <c r="G37">
        <v>1664977699</v>
      </c>
      <c r="H37">
        <f t="shared" si="0"/>
        <v>8.5722241555997634E-4</v>
      </c>
      <c r="I37">
        <f t="shared" si="1"/>
        <v>0.85722241555997636</v>
      </c>
      <c r="J37">
        <f t="shared" si="2"/>
        <v>-21.46480164823743</v>
      </c>
      <c r="K37">
        <f t="shared" si="3"/>
        <v>457.00266666666698</v>
      </c>
      <c r="L37">
        <f t="shared" si="4"/>
        <v>1111.9122097035845</v>
      </c>
      <c r="M37">
        <f t="shared" si="5"/>
        <v>112.37282235267433</v>
      </c>
      <c r="N37">
        <f t="shared" si="6"/>
        <v>46.185912006238368</v>
      </c>
      <c r="O37">
        <f t="shared" si="7"/>
        <v>5.1205650977258634E-2</v>
      </c>
      <c r="P37">
        <f t="shared" si="8"/>
        <v>3.0294935949670752</v>
      </c>
      <c r="Q37">
        <f t="shared" si="9"/>
        <v>5.0729644101621507E-2</v>
      </c>
      <c r="R37">
        <f t="shared" si="10"/>
        <v>3.1748425976135627E-2</v>
      </c>
      <c r="S37">
        <f t="shared" si="11"/>
        <v>6.3856599478895988E-4</v>
      </c>
      <c r="T37">
        <f t="shared" si="12"/>
        <v>26.574091860678614</v>
      </c>
      <c r="U37">
        <f t="shared" si="13"/>
        <v>26.383559999999999</v>
      </c>
      <c r="V37">
        <f t="shared" si="14"/>
        <v>3.4516056367532659</v>
      </c>
      <c r="W37">
        <f t="shared" si="15"/>
        <v>50.579515004545236</v>
      </c>
      <c r="X37">
        <f t="shared" si="16"/>
        <v>1.7881329025200252</v>
      </c>
      <c r="Y37">
        <f t="shared" si="17"/>
        <v>3.5352907246329619</v>
      </c>
      <c r="Z37">
        <f t="shared" si="18"/>
        <v>1.6634727342332407</v>
      </c>
      <c r="AA37">
        <f t="shared" si="19"/>
        <v>-37.803508526194953</v>
      </c>
      <c r="AB37">
        <f t="shared" si="20"/>
        <v>66.412730825682829</v>
      </c>
      <c r="AC37">
        <f t="shared" si="21"/>
        <v>4.7115201072435671</v>
      </c>
      <c r="AD37">
        <f t="shared" si="22"/>
        <v>33.321380972726232</v>
      </c>
      <c r="AE37">
        <v>5</v>
      </c>
      <c r="AF37">
        <v>100</v>
      </c>
      <c r="AG37">
        <f t="shared" si="23"/>
        <v>1</v>
      </c>
      <c r="AH37">
        <f t="shared" si="24"/>
        <v>0</v>
      </c>
      <c r="AI37">
        <f t="shared" si="25"/>
        <v>53503.502777067704</v>
      </c>
      <c r="AJ37" t="s">
        <v>498</v>
      </c>
      <c r="AK37">
        <v>8132.84</v>
      </c>
      <c r="AL37">
        <v>222.35900000000001</v>
      </c>
      <c r="AM37">
        <v>1324.19</v>
      </c>
      <c r="AN37">
        <f t="shared" si="26"/>
        <v>0.83207923334264722</v>
      </c>
      <c r="AO37">
        <v>-21.464801648237501</v>
      </c>
      <c r="AP37" t="s">
        <v>423</v>
      </c>
      <c r="AQ37" t="s">
        <v>423</v>
      </c>
      <c r="AR37">
        <v>0</v>
      </c>
      <c r="AS37">
        <v>0</v>
      </c>
      <c r="AT37" t="e">
        <f t="shared" si="27"/>
        <v>#DIV/0!</v>
      </c>
      <c r="AU37">
        <v>0.5</v>
      </c>
      <c r="AV37">
        <f t="shared" si="28"/>
        <v>3.3608736567839995E-3</v>
      </c>
      <c r="AW37">
        <f t="shared" si="29"/>
        <v>-21.46480164823743</v>
      </c>
      <c r="AX37" t="e">
        <f t="shared" si="30"/>
        <v>#DIV/0!</v>
      </c>
      <c r="AY37">
        <f t="shared" si="31"/>
        <v>2.1141608055567743E-11</v>
      </c>
      <c r="AZ37" t="e">
        <f t="shared" si="32"/>
        <v>#DIV/0!</v>
      </c>
      <c r="BA37" t="e">
        <f t="shared" si="33"/>
        <v>#DIV/0!</v>
      </c>
      <c r="BB37" t="s">
        <v>423</v>
      </c>
      <c r="BC37">
        <v>0</v>
      </c>
      <c r="BD37" t="e">
        <f t="shared" si="34"/>
        <v>#DIV/0!</v>
      </c>
      <c r="BE37" t="e">
        <f t="shared" si="35"/>
        <v>#DIV/0!</v>
      </c>
      <c r="BF37" t="e">
        <f t="shared" si="36"/>
        <v>#DIV/0!</v>
      </c>
      <c r="BG37" t="e">
        <f t="shared" si="37"/>
        <v>#DIV/0!</v>
      </c>
      <c r="BH37">
        <f t="shared" si="38"/>
        <v>0</v>
      </c>
      <c r="BI37">
        <f t="shared" si="39"/>
        <v>1.2018086258237424</v>
      </c>
      <c r="BJ37" t="e">
        <f t="shared" si="40"/>
        <v>#DIV/0!</v>
      </c>
      <c r="BK37" t="e">
        <f t="shared" si="41"/>
        <v>#DIV/0!</v>
      </c>
      <c r="BL37">
        <v>939</v>
      </c>
      <c r="BM37">
        <v>290</v>
      </c>
      <c r="BN37">
        <v>1558.67</v>
      </c>
      <c r="BO37">
        <v>165</v>
      </c>
      <c r="BP37">
        <v>8114.57</v>
      </c>
      <c r="BQ37">
        <v>1551.92</v>
      </c>
      <c r="BR37">
        <v>6.75</v>
      </c>
      <c r="BS37">
        <v>300</v>
      </c>
      <c r="BT37">
        <v>19.2</v>
      </c>
      <c r="BU37">
        <v>1584.3896717483201</v>
      </c>
      <c r="BV37">
        <v>1.88110366540944</v>
      </c>
      <c r="BW37">
        <v>-26.347569484426199</v>
      </c>
      <c r="BX37">
        <v>1.36356822732003</v>
      </c>
      <c r="BY37">
        <v>0.93023713121789597</v>
      </c>
      <c r="BZ37">
        <v>-5.3779617352614001E-3</v>
      </c>
      <c r="CA37">
        <v>290</v>
      </c>
      <c r="CB37">
        <v>1543.03</v>
      </c>
      <c r="CC37">
        <v>615</v>
      </c>
      <c r="CD37">
        <v>8099.76</v>
      </c>
      <c r="CE37">
        <v>1551.86</v>
      </c>
      <c r="CF37">
        <v>-8.83</v>
      </c>
      <c r="CT37">
        <f t="shared" si="42"/>
        <v>2.0002599999999999E-2</v>
      </c>
      <c r="CU37">
        <f t="shared" si="43"/>
        <v>3.3608736567839995E-3</v>
      </c>
      <c r="CV37">
        <f t="shared" si="44"/>
        <v>0.16802183999999998</v>
      </c>
      <c r="CW37">
        <f t="shared" si="45"/>
        <v>3.1924149599999993E-2</v>
      </c>
      <c r="CX37">
        <v>2</v>
      </c>
      <c r="CY37">
        <v>0.5</v>
      </c>
      <c r="CZ37" t="s">
        <v>424</v>
      </c>
      <c r="DA37">
        <v>2</v>
      </c>
      <c r="DB37">
        <v>1664977699</v>
      </c>
      <c r="DC37">
        <v>457.00266666666698</v>
      </c>
      <c r="DD37">
        <v>477.94686666666701</v>
      </c>
      <c r="DE37">
        <v>17.6933066666667</v>
      </c>
      <c r="DF37">
        <v>18.5302133333333</v>
      </c>
      <c r="DG37">
        <v>455.66733333333298</v>
      </c>
      <c r="DH37">
        <v>17.800426666666699</v>
      </c>
      <c r="DI37">
        <v>-201.2304</v>
      </c>
      <c r="DJ37">
        <v>101.071666666667</v>
      </c>
      <c r="DK37">
        <v>-8.9915993333333308E-3</v>
      </c>
      <c r="DL37">
        <v>26.790186666666699</v>
      </c>
      <c r="DM37">
        <v>26.383559999999999</v>
      </c>
      <c r="DN37">
        <v>999.9</v>
      </c>
      <c r="DO37">
        <v>0</v>
      </c>
      <c r="DP37">
        <v>0</v>
      </c>
      <c r="DQ37">
        <v>10004.34</v>
      </c>
      <c r="DR37">
        <v>0</v>
      </c>
      <c r="DS37">
        <v>0.21823999999999999</v>
      </c>
      <c r="DT37">
        <v>-20.943993333333299</v>
      </c>
      <c r="DU37">
        <v>465.23453333333299</v>
      </c>
      <c r="DV37">
        <v>486.970666666667</v>
      </c>
      <c r="DW37">
        <v>-0.83690039999999999</v>
      </c>
      <c r="DX37">
        <v>477.94686666666701</v>
      </c>
      <c r="DY37">
        <v>18.5302133333333</v>
      </c>
      <c r="DZ37">
        <v>1.78829066666667</v>
      </c>
      <c r="EA37">
        <v>1.872878</v>
      </c>
      <c r="EB37">
        <v>15.6841266666667</v>
      </c>
      <c r="EC37">
        <v>16.408566666666701</v>
      </c>
      <c r="ED37">
        <v>2.0002599999999999E-2</v>
      </c>
      <c r="EE37">
        <v>0</v>
      </c>
      <c r="EF37">
        <v>0</v>
      </c>
      <c r="EG37">
        <v>0</v>
      </c>
      <c r="EH37">
        <v>222.69499999999999</v>
      </c>
      <c r="EI37">
        <v>2.0002599999999999E-2</v>
      </c>
      <c r="EJ37">
        <v>-6.8449999999999998</v>
      </c>
      <c r="EK37">
        <v>0.76</v>
      </c>
      <c r="EL37">
        <v>35.957999999999998</v>
      </c>
      <c r="EM37">
        <v>40.403933333333299</v>
      </c>
      <c r="EN37">
        <v>38.362333333333297</v>
      </c>
      <c r="EO37">
        <v>41.570533333333302</v>
      </c>
      <c r="EP37">
        <v>39.316333333333297</v>
      </c>
      <c r="EQ37">
        <v>0</v>
      </c>
      <c r="ER37">
        <v>0</v>
      </c>
      <c r="ES37">
        <v>0</v>
      </c>
      <c r="ET37">
        <v>67.400000095367403</v>
      </c>
      <c r="EU37">
        <v>0</v>
      </c>
      <c r="EV37">
        <v>222.35900000000001</v>
      </c>
      <c r="EW37">
        <v>-10.5903845432784</v>
      </c>
      <c r="EX37">
        <v>10.609615408122201</v>
      </c>
      <c r="EY37">
        <v>-6.9550000000000001</v>
      </c>
      <c r="EZ37">
        <v>15</v>
      </c>
      <c r="FA37">
        <v>1664976001.0999999</v>
      </c>
      <c r="FB37" t="s">
        <v>425</v>
      </c>
      <c r="FC37">
        <v>1664976001.0999999</v>
      </c>
      <c r="FD37">
        <v>1790572693.0999999</v>
      </c>
      <c r="FE37">
        <v>1</v>
      </c>
      <c r="FF37">
        <v>0.30399999999999999</v>
      </c>
      <c r="FG37">
        <v>0</v>
      </c>
      <c r="FH37">
        <v>1.337</v>
      </c>
      <c r="FI37">
        <v>-0.128</v>
      </c>
      <c r="FJ37">
        <v>462</v>
      </c>
      <c r="FK37">
        <v>17</v>
      </c>
      <c r="FL37">
        <v>0.87</v>
      </c>
      <c r="FM37">
        <v>0.1</v>
      </c>
      <c r="FN37">
        <v>-4.4710822916887798</v>
      </c>
      <c r="FO37">
        <v>-224.98788861643101</v>
      </c>
      <c r="FP37">
        <v>31.9312263911823</v>
      </c>
      <c r="FQ37">
        <v>-1</v>
      </c>
      <c r="FR37">
        <v>-12.598685</v>
      </c>
      <c r="FS37">
        <v>-108.297595488722</v>
      </c>
      <c r="FT37">
        <v>18.9589070113832</v>
      </c>
      <c r="FU37">
        <v>-1</v>
      </c>
      <c r="FV37">
        <v>221.51470588235301</v>
      </c>
      <c r="FW37">
        <v>6.4851031332068096</v>
      </c>
      <c r="FX37">
        <v>3.2038873312184202</v>
      </c>
      <c r="FY37">
        <v>0</v>
      </c>
      <c r="FZ37">
        <v>-0.48907745499999999</v>
      </c>
      <c r="GA37">
        <v>-4.5872580496240598</v>
      </c>
      <c r="GB37">
        <v>0.55829199014230302</v>
      </c>
      <c r="GC37">
        <v>-1</v>
      </c>
      <c r="GD37">
        <v>0</v>
      </c>
      <c r="GE37">
        <v>1</v>
      </c>
      <c r="GF37" t="s">
        <v>458</v>
      </c>
      <c r="GG37">
        <v>2.1425800000000002</v>
      </c>
      <c r="GH37">
        <v>2.6491500000000001</v>
      </c>
      <c r="GI37">
        <v>9.6865699999999999E-2</v>
      </c>
      <c r="GJ37">
        <v>0.10158</v>
      </c>
      <c r="GK37">
        <v>9.3666700000000006E-2</v>
      </c>
      <c r="GL37">
        <v>0.10015499999999999</v>
      </c>
      <c r="GM37">
        <v>17604.900000000001</v>
      </c>
      <c r="GN37">
        <v>26451.8</v>
      </c>
      <c r="GO37">
        <v>22773.200000000001</v>
      </c>
      <c r="GP37">
        <v>30165.7</v>
      </c>
      <c r="GQ37">
        <v>33845.199999999997</v>
      </c>
      <c r="GR37">
        <v>33798.9</v>
      </c>
      <c r="GS37">
        <v>43079.6</v>
      </c>
      <c r="GT37">
        <v>42944.4</v>
      </c>
      <c r="GU37">
        <v>0.02</v>
      </c>
      <c r="GV37">
        <v>1.43475</v>
      </c>
      <c r="GW37">
        <v>9.78932E-2</v>
      </c>
      <c r="GX37">
        <v>0</v>
      </c>
      <c r="GY37">
        <v>24.788</v>
      </c>
      <c r="GZ37">
        <v>999.9</v>
      </c>
      <c r="HA37">
        <v>35.277000000000001</v>
      </c>
      <c r="HB37">
        <v>27.835000000000001</v>
      </c>
      <c r="HC37">
        <v>13.118399999999999</v>
      </c>
      <c r="HD37">
        <v>63.2303</v>
      </c>
      <c r="HE37">
        <v>0</v>
      </c>
      <c r="HF37">
        <v>0</v>
      </c>
      <c r="HG37">
        <v>-3.4977099999999997E-2</v>
      </c>
      <c r="HH37">
        <v>0</v>
      </c>
      <c r="HI37">
        <v>20.2715</v>
      </c>
      <c r="HJ37">
        <v>5.2337600000000002</v>
      </c>
      <c r="HK37">
        <v>11.962</v>
      </c>
      <c r="HL37">
        <v>4.9679000000000002</v>
      </c>
      <c r="HM37">
        <v>3.2953999999999999</v>
      </c>
      <c r="HN37">
        <v>9999</v>
      </c>
      <c r="HO37">
        <v>999.9</v>
      </c>
      <c r="HP37">
        <v>9999</v>
      </c>
      <c r="HQ37">
        <v>9999</v>
      </c>
      <c r="HR37">
        <v>4.9684100000000004</v>
      </c>
      <c r="HS37">
        <v>1.8619000000000001</v>
      </c>
      <c r="HT37">
        <v>1.8635600000000001</v>
      </c>
      <c r="HU37">
        <v>1.86554</v>
      </c>
      <c r="HV37">
        <v>1.8626400000000001</v>
      </c>
      <c r="HW37">
        <v>1.86629</v>
      </c>
      <c r="HX37">
        <v>1.8631</v>
      </c>
      <c r="HY37">
        <v>1.86493</v>
      </c>
      <c r="HZ37">
        <v>0</v>
      </c>
      <c r="IA37">
        <v>0</v>
      </c>
      <c r="IB37">
        <v>0</v>
      </c>
      <c r="IC37">
        <v>0</v>
      </c>
      <c r="ID37" t="s">
        <v>427</v>
      </c>
      <c r="IE37" t="s">
        <v>428</v>
      </c>
      <c r="IF37" t="s">
        <v>429</v>
      </c>
      <c r="IG37" t="s">
        <v>429</v>
      </c>
      <c r="IH37" t="s">
        <v>429</v>
      </c>
      <c r="II37" t="s">
        <v>429</v>
      </c>
      <c r="IJ37">
        <v>0</v>
      </c>
      <c r="IK37">
        <v>100</v>
      </c>
      <c r="IL37">
        <v>100</v>
      </c>
      <c r="IM37">
        <v>1.335</v>
      </c>
      <c r="IN37">
        <v>-0.1118</v>
      </c>
      <c r="IO37">
        <v>0.91043272280072696</v>
      </c>
      <c r="IP37">
        <v>1.61658254425633E-3</v>
      </c>
      <c r="IQ37">
        <v>-1.89604851270483E-6</v>
      </c>
      <c r="IR37">
        <v>8.6681353432279101E-10</v>
      </c>
      <c r="IS37">
        <v>-4.47525518804959E-2</v>
      </c>
      <c r="IT37">
        <v>-3.5871989026399903E-2</v>
      </c>
      <c r="IU37">
        <v>1.9028800927848801E-3</v>
      </c>
      <c r="IV37">
        <v>-4.7539144078026999E-6</v>
      </c>
      <c r="IW37">
        <v>1</v>
      </c>
      <c r="IX37">
        <v>1704</v>
      </c>
      <c r="IY37">
        <v>4</v>
      </c>
      <c r="IZ37">
        <v>25</v>
      </c>
      <c r="JA37">
        <v>28.4</v>
      </c>
      <c r="JB37">
        <v>-2093249.8</v>
      </c>
      <c r="JC37">
        <v>0.162354</v>
      </c>
      <c r="JD37">
        <v>4.99878</v>
      </c>
      <c r="JE37">
        <v>0.239258</v>
      </c>
      <c r="JF37">
        <v>1.2206999999999999E-3</v>
      </c>
      <c r="JG37">
        <v>0.26733400000000002</v>
      </c>
      <c r="JH37">
        <v>4.99878</v>
      </c>
      <c r="JI37">
        <v>31.3462</v>
      </c>
      <c r="JJ37">
        <v>15.7081</v>
      </c>
      <c r="JK37">
        <v>2</v>
      </c>
      <c r="JL37">
        <v>-27.0059</v>
      </c>
      <c r="JM37">
        <v>258.09699999999998</v>
      </c>
      <c r="JN37">
        <v>26.479600000000001</v>
      </c>
      <c r="JO37">
        <v>26.919</v>
      </c>
      <c r="JP37">
        <v>30.000499999999999</v>
      </c>
      <c r="JQ37">
        <v>26.905000000000001</v>
      </c>
      <c r="JR37">
        <v>26.815300000000001</v>
      </c>
      <c r="JS37">
        <v>-1</v>
      </c>
      <c r="JT37">
        <v>-30</v>
      </c>
      <c r="JU37">
        <v>-30</v>
      </c>
      <c r="JV37">
        <v>-999.9</v>
      </c>
      <c r="JW37">
        <v>0</v>
      </c>
      <c r="JX37">
        <v>0</v>
      </c>
      <c r="JY37">
        <v>101.729</v>
      </c>
      <c r="JZ37">
        <v>97.5351</v>
      </c>
    </row>
    <row r="38" spans="1:286" x14ac:dyDescent="0.4">
      <c r="A38">
        <v>22</v>
      </c>
      <c r="B38">
        <v>1664977778</v>
      </c>
      <c r="C38">
        <v>1807.9000000953699</v>
      </c>
      <c r="D38" t="s">
        <v>499</v>
      </c>
      <c r="E38" t="s">
        <v>500</v>
      </c>
      <c r="F38">
        <v>5</v>
      </c>
      <c r="G38">
        <v>1664977770</v>
      </c>
      <c r="H38">
        <f t="shared" si="0"/>
        <v>3.9432578463949357E-4</v>
      </c>
      <c r="I38">
        <f t="shared" si="1"/>
        <v>0.39432578463949358</v>
      </c>
      <c r="J38">
        <f t="shared" si="2"/>
        <v>-2.0972803143989833</v>
      </c>
      <c r="K38">
        <f t="shared" si="3"/>
        <v>504.73793333333299</v>
      </c>
      <c r="L38">
        <f t="shared" si="4"/>
        <v>632.61777673109111</v>
      </c>
      <c r="M38">
        <f t="shared" si="5"/>
        <v>63.941044749645108</v>
      </c>
      <c r="N38">
        <f t="shared" si="6"/>
        <v>51.015750693690386</v>
      </c>
      <c r="O38">
        <f t="shared" si="7"/>
        <v>2.3521492167755089E-2</v>
      </c>
      <c r="P38">
        <f t="shared" si="8"/>
        <v>3.0289643889730185</v>
      </c>
      <c r="Q38">
        <f t="shared" si="9"/>
        <v>2.3420486739757922E-2</v>
      </c>
      <c r="R38">
        <f t="shared" si="10"/>
        <v>1.4646842874059528E-2</v>
      </c>
      <c r="S38">
        <f t="shared" si="11"/>
        <v>6.3856599478895988E-4</v>
      </c>
      <c r="T38">
        <f t="shared" si="12"/>
        <v>26.774480133078754</v>
      </c>
      <c r="U38">
        <f t="shared" si="13"/>
        <v>26.360813333333301</v>
      </c>
      <c r="V38">
        <f t="shared" si="14"/>
        <v>3.4469758267839228</v>
      </c>
      <c r="W38">
        <f t="shared" si="15"/>
        <v>50.363991848954846</v>
      </c>
      <c r="X38">
        <f t="shared" si="16"/>
        <v>1.7892996613133623</v>
      </c>
      <c r="Y38">
        <f t="shared" si="17"/>
        <v>3.5527359838346366</v>
      </c>
      <c r="Z38">
        <f t="shared" si="18"/>
        <v>1.6576761654705605</v>
      </c>
      <c r="AA38">
        <f t="shared" si="19"/>
        <v>-17.389767102601667</v>
      </c>
      <c r="AB38">
        <f t="shared" si="20"/>
        <v>83.784695737205595</v>
      </c>
      <c r="AC38">
        <f t="shared" si="21"/>
        <v>5.9467947002784518</v>
      </c>
      <c r="AD38">
        <f t="shared" si="22"/>
        <v>72.342361900877165</v>
      </c>
      <c r="AE38">
        <v>5</v>
      </c>
      <c r="AF38">
        <v>100</v>
      </c>
      <c r="AG38">
        <f t="shared" si="23"/>
        <v>1</v>
      </c>
      <c r="AH38">
        <f t="shared" si="24"/>
        <v>0</v>
      </c>
      <c r="AI38">
        <f t="shared" si="25"/>
        <v>53472.286440891738</v>
      </c>
      <c r="AJ38" t="s">
        <v>501</v>
      </c>
      <c r="AK38">
        <v>8118.11</v>
      </c>
      <c r="AL38">
        <v>229.33076923076899</v>
      </c>
      <c r="AM38">
        <v>1542.21</v>
      </c>
      <c r="AN38">
        <f t="shared" si="26"/>
        <v>0.85129731409420961</v>
      </c>
      <c r="AO38">
        <v>-2.0972803143988101</v>
      </c>
      <c r="AP38" t="s">
        <v>423</v>
      </c>
      <c r="AQ38" t="s">
        <v>423</v>
      </c>
      <c r="AR38">
        <v>0</v>
      </c>
      <c r="AS38">
        <v>0</v>
      </c>
      <c r="AT38" t="e">
        <f t="shared" si="27"/>
        <v>#DIV/0!</v>
      </c>
      <c r="AU38">
        <v>0.5</v>
      </c>
      <c r="AV38">
        <f t="shared" si="28"/>
        <v>3.3608736567839995E-3</v>
      </c>
      <c r="AW38">
        <f t="shared" si="29"/>
        <v>-2.0972803143989833</v>
      </c>
      <c r="AX38" t="e">
        <f t="shared" si="30"/>
        <v>#DIV/0!</v>
      </c>
      <c r="AY38">
        <f t="shared" si="31"/>
        <v>-5.1532669635446374E-11</v>
      </c>
      <c r="AZ38" t="e">
        <f t="shared" si="32"/>
        <v>#DIV/0!</v>
      </c>
      <c r="BA38" t="e">
        <f t="shared" si="33"/>
        <v>#DIV/0!</v>
      </c>
      <c r="BB38" t="s">
        <v>423</v>
      </c>
      <c r="BC38">
        <v>0</v>
      </c>
      <c r="BD38" t="e">
        <f t="shared" si="34"/>
        <v>#DIV/0!</v>
      </c>
      <c r="BE38" t="e">
        <f t="shared" si="35"/>
        <v>#DIV/0!</v>
      </c>
      <c r="BF38" t="e">
        <f t="shared" si="36"/>
        <v>#DIV/0!</v>
      </c>
      <c r="BG38" t="e">
        <f t="shared" si="37"/>
        <v>#DIV/0!</v>
      </c>
      <c r="BH38">
        <f t="shared" si="38"/>
        <v>0</v>
      </c>
      <c r="BI38">
        <f t="shared" si="39"/>
        <v>1.1746777341404064</v>
      </c>
      <c r="BJ38" t="e">
        <f t="shared" si="40"/>
        <v>#DIV/0!</v>
      </c>
      <c r="BK38" t="e">
        <f t="shared" si="41"/>
        <v>#DIV/0!</v>
      </c>
      <c r="BL38">
        <v>939</v>
      </c>
      <c r="BM38">
        <v>290</v>
      </c>
      <c r="BN38">
        <v>1558.67</v>
      </c>
      <c r="BO38">
        <v>165</v>
      </c>
      <c r="BP38">
        <v>8114.57</v>
      </c>
      <c r="BQ38">
        <v>1551.92</v>
      </c>
      <c r="BR38">
        <v>6.75</v>
      </c>
      <c r="BS38">
        <v>300</v>
      </c>
      <c r="BT38">
        <v>19.2</v>
      </c>
      <c r="BU38">
        <v>1584.3896717483201</v>
      </c>
      <c r="BV38">
        <v>1.88110366540944</v>
      </c>
      <c r="BW38">
        <v>-26.347569484426199</v>
      </c>
      <c r="BX38">
        <v>1.36356822732003</v>
      </c>
      <c r="BY38">
        <v>0.93023713121789597</v>
      </c>
      <c r="BZ38">
        <v>-5.3779617352614001E-3</v>
      </c>
      <c r="CA38">
        <v>290</v>
      </c>
      <c r="CB38">
        <v>1543.03</v>
      </c>
      <c r="CC38">
        <v>615</v>
      </c>
      <c r="CD38">
        <v>8099.76</v>
      </c>
      <c r="CE38">
        <v>1551.86</v>
      </c>
      <c r="CF38">
        <v>-8.83</v>
      </c>
      <c r="CT38">
        <f t="shared" si="42"/>
        <v>2.0002599999999999E-2</v>
      </c>
      <c r="CU38">
        <f t="shared" si="43"/>
        <v>3.3608736567839995E-3</v>
      </c>
      <c r="CV38">
        <f t="shared" si="44"/>
        <v>0.16802183999999998</v>
      </c>
      <c r="CW38">
        <f t="shared" si="45"/>
        <v>3.1924149599999993E-2</v>
      </c>
      <c r="CX38">
        <v>2</v>
      </c>
      <c r="CY38">
        <v>0.5</v>
      </c>
      <c r="CZ38" t="s">
        <v>424</v>
      </c>
      <c r="DA38">
        <v>2</v>
      </c>
      <c r="DB38">
        <v>1664977770</v>
      </c>
      <c r="DC38">
        <v>504.73793333333299</v>
      </c>
      <c r="DD38">
        <v>506.62913333333302</v>
      </c>
      <c r="DE38">
        <v>17.702913333333299</v>
      </c>
      <c r="DF38">
        <v>18.088819999999998</v>
      </c>
      <c r="DG38">
        <v>503.385066666667</v>
      </c>
      <c r="DH38">
        <v>17.8097866666667</v>
      </c>
      <c r="DI38">
        <v>-200.745466666667</v>
      </c>
      <c r="DJ38">
        <v>101.0774</v>
      </c>
      <c r="DK38">
        <v>-3.6598973333333302E-3</v>
      </c>
      <c r="DL38">
        <v>26.873893333333299</v>
      </c>
      <c r="DM38">
        <v>26.360813333333301</v>
      </c>
      <c r="DN38">
        <v>999.9</v>
      </c>
      <c r="DO38">
        <v>0</v>
      </c>
      <c r="DP38">
        <v>0</v>
      </c>
      <c r="DQ38">
        <v>10000.573333333299</v>
      </c>
      <c r="DR38">
        <v>0</v>
      </c>
      <c r="DS38">
        <v>0.21823999999999999</v>
      </c>
      <c r="DT38">
        <v>-1.891202</v>
      </c>
      <c r="DU38">
        <v>513.84</v>
      </c>
      <c r="DV38">
        <v>515.96280000000002</v>
      </c>
      <c r="DW38">
        <v>-0.38591286666666702</v>
      </c>
      <c r="DX38">
        <v>506.62913333333302</v>
      </c>
      <c r="DY38">
        <v>18.088819999999998</v>
      </c>
      <c r="DZ38">
        <v>1.78936266666667</v>
      </c>
      <c r="EA38">
        <v>1.828368</v>
      </c>
      <c r="EB38">
        <v>15.6938866666667</v>
      </c>
      <c r="EC38">
        <v>16.031446666666699</v>
      </c>
      <c r="ED38">
        <v>2.0002599999999999E-2</v>
      </c>
      <c r="EE38">
        <v>0</v>
      </c>
      <c r="EF38">
        <v>0</v>
      </c>
      <c r="EG38">
        <v>0</v>
      </c>
      <c r="EH38">
        <v>230.15833333333299</v>
      </c>
      <c r="EI38">
        <v>2.0002599999999999E-2</v>
      </c>
      <c r="EJ38">
        <v>-7.6349999999999998</v>
      </c>
      <c r="EK38">
        <v>0.30333333333333301</v>
      </c>
      <c r="EL38">
        <v>35.845599999999997</v>
      </c>
      <c r="EM38">
        <v>39.158066666666699</v>
      </c>
      <c r="EN38">
        <v>37.662266666666703</v>
      </c>
      <c r="EO38">
        <v>39.812199999999997</v>
      </c>
      <c r="EP38">
        <v>38.633000000000003</v>
      </c>
      <c r="EQ38">
        <v>0</v>
      </c>
      <c r="ER38">
        <v>0</v>
      </c>
      <c r="ES38">
        <v>0</v>
      </c>
      <c r="ET38">
        <v>69.399999856948895</v>
      </c>
      <c r="EU38">
        <v>0</v>
      </c>
      <c r="EV38">
        <v>229.33076923076899</v>
      </c>
      <c r="EW38">
        <v>-4.4923079267241599</v>
      </c>
      <c r="EX38">
        <v>22.596581332077001</v>
      </c>
      <c r="EY38">
        <v>-6.8826923076923103</v>
      </c>
      <c r="EZ38">
        <v>15</v>
      </c>
      <c r="FA38">
        <v>1664976001.0999999</v>
      </c>
      <c r="FB38" t="s">
        <v>425</v>
      </c>
      <c r="FC38">
        <v>1664976001.0999999</v>
      </c>
      <c r="FD38">
        <v>1790572693.0999999</v>
      </c>
      <c r="FE38">
        <v>1</v>
      </c>
      <c r="FF38">
        <v>0.30399999999999999</v>
      </c>
      <c r="FG38">
        <v>0</v>
      </c>
      <c r="FH38">
        <v>1.337</v>
      </c>
      <c r="FI38">
        <v>-0.128</v>
      </c>
      <c r="FJ38">
        <v>462</v>
      </c>
      <c r="FK38">
        <v>17</v>
      </c>
      <c r="FL38">
        <v>0.87</v>
      </c>
      <c r="FM38">
        <v>0.1</v>
      </c>
      <c r="FN38">
        <v>36.389721046321903</v>
      </c>
      <c r="FO38">
        <v>-583.41225906383295</v>
      </c>
      <c r="FP38">
        <v>73.701332539087005</v>
      </c>
      <c r="FQ38">
        <v>-1</v>
      </c>
      <c r="FR38">
        <v>31.849927142857101</v>
      </c>
      <c r="FS38">
        <v>-577.17860727272796</v>
      </c>
      <c r="FT38">
        <v>74.533938544850798</v>
      </c>
      <c r="FU38">
        <v>-1</v>
      </c>
      <c r="FV38">
        <v>229.4</v>
      </c>
      <c r="FW38">
        <v>3.30252091423753</v>
      </c>
      <c r="FX38">
        <v>3.2405462048676901</v>
      </c>
      <c r="FY38">
        <v>0</v>
      </c>
      <c r="FZ38">
        <v>-0.30257590476190499</v>
      </c>
      <c r="GA38">
        <v>-1.4344660519480501</v>
      </c>
      <c r="GB38">
        <v>0.15824617275501501</v>
      </c>
      <c r="GC38">
        <v>-1</v>
      </c>
      <c r="GD38">
        <v>0</v>
      </c>
      <c r="GE38">
        <v>1</v>
      </c>
      <c r="GF38" t="s">
        <v>458</v>
      </c>
      <c r="GG38">
        <v>2.1427299999999998</v>
      </c>
      <c r="GH38">
        <v>2.6545299999999998</v>
      </c>
      <c r="GI38">
        <v>9.6623299999999995E-2</v>
      </c>
      <c r="GJ38">
        <v>0.107804</v>
      </c>
      <c r="GK38">
        <v>9.3976599999999993E-2</v>
      </c>
      <c r="GL38">
        <v>9.9151799999999998E-2</v>
      </c>
      <c r="GM38">
        <v>17606.599999999999</v>
      </c>
      <c r="GN38">
        <v>26264.1</v>
      </c>
      <c r="GO38">
        <v>22769.599999999999</v>
      </c>
      <c r="GP38">
        <v>30160.9</v>
      </c>
      <c r="GQ38">
        <v>33829</v>
      </c>
      <c r="GR38">
        <v>33832.800000000003</v>
      </c>
      <c r="GS38">
        <v>43073.8</v>
      </c>
      <c r="GT38">
        <v>42938.7</v>
      </c>
      <c r="GU38">
        <v>0.02</v>
      </c>
      <c r="GV38">
        <v>1.4266799999999999</v>
      </c>
      <c r="GW38">
        <v>8.8669399999999995E-2</v>
      </c>
      <c r="GX38">
        <v>0</v>
      </c>
      <c r="GY38">
        <v>24.8994</v>
      </c>
      <c r="GZ38">
        <v>999.9</v>
      </c>
      <c r="HA38">
        <v>35.228000000000002</v>
      </c>
      <c r="HB38">
        <v>27.864999999999998</v>
      </c>
      <c r="HC38">
        <v>13.1221</v>
      </c>
      <c r="HD38">
        <v>63.150300000000001</v>
      </c>
      <c r="HE38">
        <v>0</v>
      </c>
      <c r="HF38">
        <v>0</v>
      </c>
      <c r="HG38">
        <v>-2.85849E-2</v>
      </c>
      <c r="HH38">
        <v>0</v>
      </c>
      <c r="HI38">
        <v>20.2699</v>
      </c>
      <c r="HJ38">
        <v>5.2349600000000001</v>
      </c>
      <c r="HK38">
        <v>11.962</v>
      </c>
      <c r="HL38">
        <v>4.9687000000000001</v>
      </c>
      <c r="HM38">
        <v>3.2955800000000002</v>
      </c>
      <c r="HN38">
        <v>9999</v>
      </c>
      <c r="HO38">
        <v>999.9</v>
      </c>
      <c r="HP38">
        <v>9999</v>
      </c>
      <c r="HQ38">
        <v>9999</v>
      </c>
      <c r="HR38">
        <v>4.9684100000000004</v>
      </c>
      <c r="HS38">
        <v>1.8619300000000001</v>
      </c>
      <c r="HT38">
        <v>1.8635600000000001</v>
      </c>
      <c r="HU38">
        <v>1.86554</v>
      </c>
      <c r="HV38">
        <v>1.8626100000000001</v>
      </c>
      <c r="HW38">
        <v>1.8662799999999999</v>
      </c>
      <c r="HX38">
        <v>1.8631</v>
      </c>
      <c r="HY38">
        <v>1.86493</v>
      </c>
      <c r="HZ38">
        <v>0</v>
      </c>
      <c r="IA38">
        <v>0</v>
      </c>
      <c r="IB38">
        <v>0</v>
      </c>
      <c r="IC38">
        <v>0</v>
      </c>
      <c r="ID38" t="s">
        <v>427</v>
      </c>
      <c r="IE38" t="s">
        <v>428</v>
      </c>
      <c r="IF38" t="s">
        <v>429</v>
      </c>
      <c r="IG38" t="s">
        <v>429</v>
      </c>
      <c r="IH38" t="s">
        <v>429</v>
      </c>
      <c r="II38" t="s">
        <v>429</v>
      </c>
      <c r="IJ38">
        <v>0</v>
      </c>
      <c r="IK38">
        <v>100</v>
      </c>
      <c r="IL38">
        <v>100</v>
      </c>
      <c r="IM38">
        <v>1.3340000000000001</v>
      </c>
      <c r="IN38">
        <v>-0.1094</v>
      </c>
      <c r="IO38">
        <v>0.91043272280072696</v>
      </c>
      <c r="IP38">
        <v>1.61658254425633E-3</v>
      </c>
      <c r="IQ38">
        <v>-1.89604851270483E-6</v>
      </c>
      <c r="IR38">
        <v>8.6681353432279101E-10</v>
      </c>
      <c r="IS38">
        <v>-4.47525518804959E-2</v>
      </c>
      <c r="IT38">
        <v>-3.5871989026399903E-2</v>
      </c>
      <c r="IU38">
        <v>1.9028800927848801E-3</v>
      </c>
      <c r="IV38">
        <v>-4.7539144078026999E-6</v>
      </c>
      <c r="IW38">
        <v>1</v>
      </c>
      <c r="IX38">
        <v>1704</v>
      </c>
      <c r="IY38">
        <v>4</v>
      </c>
      <c r="IZ38">
        <v>25</v>
      </c>
      <c r="JA38">
        <v>29.6</v>
      </c>
      <c r="JB38">
        <v>-2093248.6</v>
      </c>
      <c r="JC38">
        <v>0.162354</v>
      </c>
      <c r="JD38">
        <v>4.99878</v>
      </c>
      <c r="JE38">
        <v>0.239258</v>
      </c>
      <c r="JF38">
        <v>1.2206999999999999E-3</v>
      </c>
      <c r="JG38">
        <v>0.26733400000000002</v>
      </c>
      <c r="JH38">
        <v>4.99878</v>
      </c>
      <c r="JI38">
        <v>31.367999999999999</v>
      </c>
      <c r="JJ38">
        <v>15.6906</v>
      </c>
      <c r="JK38">
        <v>2</v>
      </c>
      <c r="JL38">
        <v>-26.986799999999999</v>
      </c>
      <c r="JM38">
        <v>254.964</v>
      </c>
      <c r="JN38">
        <v>26.5457</v>
      </c>
      <c r="JO38">
        <v>27.017900000000001</v>
      </c>
      <c r="JP38">
        <v>30.000399999999999</v>
      </c>
      <c r="JQ38">
        <v>27.002400000000002</v>
      </c>
      <c r="JR38">
        <v>26.886900000000001</v>
      </c>
      <c r="JS38">
        <v>-1</v>
      </c>
      <c r="JT38">
        <v>-30</v>
      </c>
      <c r="JU38">
        <v>-30</v>
      </c>
      <c r="JV38">
        <v>-999.9</v>
      </c>
      <c r="JW38">
        <v>0</v>
      </c>
      <c r="JX38">
        <v>0</v>
      </c>
      <c r="JY38">
        <v>101.714</v>
      </c>
      <c r="JZ38">
        <v>97.521100000000004</v>
      </c>
    </row>
    <row r="39" spans="1:286" x14ac:dyDescent="0.4">
      <c r="A39">
        <v>23</v>
      </c>
      <c r="B39">
        <v>1664977842</v>
      </c>
      <c r="C39">
        <v>1871.9000000953699</v>
      </c>
      <c r="D39" t="s">
        <v>502</v>
      </c>
      <c r="E39" t="s">
        <v>503</v>
      </c>
      <c r="F39">
        <v>5</v>
      </c>
      <c r="G39">
        <v>1664977833.5</v>
      </c>
      <c r="H39">
        <f t="shared" si="0"/>
        <v>9.9115879409305782E-4</v>
      </c>
      <c r="I39">
        <f t="shared" si="1"/>
        <v>0.99115879409305785</v>
      </c>
      <c r="J39">
        <f t="shared" si="2"/>
        <v>-13.880430664968465</v>
      </c>
      <c r="K39">
        <f t="shared" si="3"/>
        <v>457.40287499999999</v>
      </c>
      <c r="L39">
        <f t="shared" si="4"/>
        <v>805.66624939530277</v>
      </c>
      <c r="M39">
        <f t="shared" si="5"/>
        <v>81.434788786425116</v>
      </c>
      <c r="N39">
        <f t="shared" si="6"/>
        <v>46.233172289252131</v>
      </c>
      <c r="O39">
        <f t="shared" si="7"/>
        <v>6.1481694774871525E-2</v>
      </c>
      <c r="P39">
        <f t="shared" si="8"/>
        <v>3.0283143330538516</v>
      </c>
      <c r="Q39">
        <f t="shared" si="9"/>
        <v>6.0796580552430569E-2</v>
      </c>
      <c r="R39">
        <f t="shared" si="10"/>
        <v>3.8058781383160357E-2</v>
      </c>
      <c r="S39">
        <f t="shared" si="11"/>
        <v>6.3856599478895988E-4</v>
      </c>
      <c r="T39">
        <f t="shared" si="12"/>
        <v>26.612524642678977</v>
      </c>
      <c r="U39">
        <f t="shared" si="13"/>
        <v>26.298056249999998</v>
      </c>
      <c r="V39">
        <f t="shared" si="14"/>
        <v>3.4342304869285205</v>
      </c>
      <c r="W39">
        <f t="shared" si="15"/>
        <v>51.523974759319316</v>
      </c>
      <c r="X39">
        <f t="shared" si="16"/>
        <v>1.8292810610320287</v>
      </c>
      <c r="Y39">
        <f t="shared" si="17"/>
        <v>3.55034926862113</v>
      </c>
      <c r="Z39">
        <f t="shared" si="18"/>
        <v>1.6049494258964918</v>
      </c>
      <c r="AA39">
        <f t="shared" si="19"/>
        <v>-43.710102819503852</v>
      </c>
      <c r="AB39">
        <f t="shared" si="20"/>
        <v>92.146365413954115</v>
      </c>
      <c r="AC39">
        <f t="shared" si="21"/>
        <v>6.539257335006738</v>
      </c>
      <c r="AD39">
        <f t="shared" si="22"/>
        <v>54.976158495451791</v>
      </c>
      <c r="AE39">
        <v>5</v>
      </c>
      <c r="AF39">
        <v>100</v>
      </c>
      <c r="AG39">
        <f t="shared" si="23"/>
        <v>1</v>
      </c>
      <c r="AH39">
        <f t="shared" si="24"/>
        <v>0</v>
      </c>
      <c r="AI39">
        <f t="shared" si="25"/>
        <v>53454.263887416666</v>
      </c>
      <c r="AJ39" t="s">
        <v>504</v>
      </c>
      <c r="AK39">
        <v>8123.45</v>
      </c>
      <c r="AL39">
        <v>255.10400000000001</v>
      </c>
      <c r="AM39">
        <v>1576.28</v>
      </c>
      <c r="AN39">
        <f t="shared" si="26"/>
        <v>0.83816073286471948</v>
      </c>
      <c r="AO39">
        <v>-13.8804306649685</v>
      </c>
      <c r="AP39" t="s">
        <v>423</v>
      </c>
      <c r="AQ39" t="s">
        <v>423</v>
      </c>
      <c r="AR39">
        <v>0</v>
      </c>
      <c r="AS39">
        <v>0</v>
      </c>
      <c r="AT39" t="e">
        <f t="shared" si="27"/>
        <v>#DIV/0!</v>
      </c>
      <c r="AU39">
        <v>0.5</v>
      </c>
      <c r="AV39">
        <f t="shared" si="28"/>
        <v>3.3608736567839995E-3</v>
      </c>
      <c r="AW39">
        <f t="shared" si="29"/>
        <v>-13.880430664968465</v>
      </c>
      <c r="AX39" t="e">
        <f t="shared" si="30"/>
        <v>#DIV/0!</v>
      </c>
      <c r="AY39">
        <f t="shared" si="31"/>
        <v>1.0570804027783872E-11</v>
      </c>
      <c r="AZ39" t="e">
        <f t="shared" si="32"/>
        <v>#DIV/0!</v>
      </c>
      <c r="BA39" t="e">
        <f t="shared" si="33"/>
        <v>#DIV/0!</v>
      </c>
      <c r="BB39" t="s">
        <v>423</v>
      </c>
      <c r="BC39">
        <v>0</v>
      </c>
      <c r="BD39" t="e">
        <f t="shared" si="34"/>
        <v>#DIV/0!</v>
      </c>
      <c r="BE39" t="e">
        <f t="shared" si="35"/>
        <v>#DIV/0!</v>
      </c>
      <c r="BF39" t="e">
        <f t="shared" si="36"/>
        <v>#DIV/0!</v>
      </c>
      <c r="BG39" t="e">
        <f t="shared" si="37"/>
        <v>#DIV/0!</v>
      </c>
      <c r="BH39">
        <f t="shared" si="38"/>
        <v>0</v>
      </c>
      <c r="BI39">
        <f t="shared" si="39"/>
        <v>1.1930885816878296</v>
      </c>
      <c r="BJ39" t="e">
        <f t="shared" si="40"/>
        <v>#DIV/0!</v>
      </c>
      <c r="BK39" t="e">
        <f t="shared" si="41"/>
        <v>#DIV/0!</v>
      </c>
      <c r="BL39">
        <v>939</v>
      </c>
      <c r="BM39">
        <v>290</v>
      </c>
      <c r="BN39">
        <v>1558.67</v>
      </c>
      <c r="BO39">
        <v>165</v>
      </c>
      <c r="BP39">
        <v>8114.57</v>
      </c>
      <c r="BQ39">
        <v>1551.92</v>
      </c>
      <c r="BR39">
        <v>6.75</v>
      </c>
      <c r="BS39">
        <v>300</v>
      </c>
      <c r="BT39">
        <v>19.2</v>
      </c>
      <c r="BU39">
        <v>1584.3896717483201</v>
      </c>
      <c r="BV39">
        <v>1.88110366540944</v>
      </c>
      <c r="BW39">
        <v>-26.347569484426199</v>
      </c>
      <c r="BX39">
        <v>1.36356822732003</v>
      </c>
      <c r="BY39">
        <v>0.93023713121789597</v>
      </c>
      <c r="BZ39">
        <v>-5.3779617352614001E-3</v>
      </c>
      <c r="CA39">
        <v>290</v>
      </c>
      <c r="CB39">
        <v>1543.03</v>
      </c>
      <c r="CC39">
        <v>615</v>
      </c>
      <c r="CD39">
        <v>8099.76</v>
      </c>
      <c r="CE39">
        <v>1551.86</v>
      </c>
      <c r="CF39">
        <v>-8.83</v>
      </c>
      <c r="CT39">
        <f t="shared" si="42"/>
        <v>2.0002599999999999E-2</v>
      </c>
      <c r="CU39">
        <f t="shared" si="43"/>
        <v>3.3608736567839995E-3</v>
      </c>
      <c r="CV39">
        <f t="shared" si="44"/>
        <v>0.16802183999999998</v>
      </c>
      <c r="CW39">
        <f t="shared" si="45"/>
        <v>3.1924149599999993E-2</v>
      </c>
      <c r="CX39">
        <v>2</v>
      </c>
      <c r="CY39">
        <v>0.5</v>
      </c>
      <c r="CZ39" t="s">
        <v>424</v>
      </c>
      <c r="DA39">
        <v>2</v>
      </c>
      <c r="DB39">
        <v>1664977833.5</v>
      </c>
      <c r="DC39">
        <v>457.40287499999999</v>
      </c>
      <c r="DD39">
        <v>470.75299999999999</v>
      </c>
      <c r="DE39">
        <v>18.097793750000001</v>
      </c>
      <c r="DF39">
        <v>19.065437500000002</v>
      </c>
      <c r="DG39">
        <v>456.06725</v>
      </c>
      <c r="DH39">
        <v>18.193593750000002</v>
      </c>
      <c r="DI39">
        <v>-201.15275</v>
      </c>
      <c r="DJ39">
        <v>101.08143750000001</v>
      </c>
      <c r="DK39">
        <v>-3.8649349999999999E-3</v>
      </c>
      <c r="DL39">
        <v>26.862462499999999</v>
      </c>
      <c r="DM39">
        <v>26.298056249999998</v>
      </c>
      <c r="DN39">
        <v>999.9</v>
      </c>
      <c r="DO39">
        <v>0</v>
      </c>
      <c r="DP39">
        <v>0</v>
      </c>
      <c r="DQ39">
        <v>9996.2456249999996</v>
      </c>
      <c r="DR39">
        <v>0</v>
      </c>
      <c r="DS39">
        <v>0.21823999999999999</v>
      </c>
      <c r="DT39">
        <v>-13.350231875</v>
      </c>
      <c r="DU39">
        <v>465.83518750000002</v>
      </c>
      <c r="DV39">
        <v>479.902625</v>
      </c>
      <c r="DW39">
        <v>-0.96764162499999995</v>
      </c>
      <c r="DX39">
        <v>470.75299999999999</v>
      </c>
      <c r="DY39">
        <v>19.065437500000002</v>
      </c>
      <c r="DZ39">
        <v>1.8293487500000001</v>
      </c>
      <c r="EA39">
        <v>1.927159375</v>
      </c>
      <c r="EB39">
        <v>16.035137500000001</v>
      </c>
      <c r="EC39">
        <v>16.858225000000001</v>
      </c>
      <c r="ED39">
        <v>2.0002599999999999E-2</v>
      </c>
      <c r="EE39">
        <v>0</v>
      </c>
      <c r="EF39">
        <v>0</v>
      </c>
      <c r="EG39">
        <v>0</v>
      </c>
      <c r="EH39">
        <v>254.63437500000001</v>
      </c>
      <c r="EI39">
        <v>2.0002599999999999E-2</v>
      </c>
      <c r="EJ39">
        <v>-8.7843750000000007</v>
      </c>
      <c r="EK39">
        <v>0.35625000000000001</v>
      </c>
      <c r="EL39">
        <v>35.339624999999998</v>
      </c>
      <c r="EM39">
        <v>38.140374999999999</v>
      </c>
      <c r="EN39">
        <v>37.030999999999999</v>
      </c>
      <c r="EO39">
        <v>38.359124999999999</v>
      </c>
      <c r="EP39">
        <v>38.003562500000001</v>
      </c>
      <c r="EQ39">
        <v>0</v>
      </c>
      <c r="ER39">
        <v>0</v>
      </c>
      <c r="ES39">
        <v>0</v>
      </c>
      <c r="ET39">
        <v>62.600000143051098</v>
      </c>
      <c r="EU39">
        <v>0</v>
      </c>
      <c r="EV39">
        <v>255.10400000000001</v>
      </c>
      <c r="EW39">
        <v>1.8403845628109201</v>
      </c>
      <c r="EX39">
        <v>-18.140384785639899</v>
      </c>
      <c r="EY39">
        <v>-8.5879999999999992</v>
      </c>
      <c r="EZ39">
        <v>15</v>
      </c>
      <c r="FA39">
        <v>1664976001.0999999</v>
      </c>
      <c r="FB39" t="s">
        <v>425</v>
      </c>
      <c r="FC39">
        <v>1664976001.0999999</v>
      </c>
      <c r="FD39">
        <v>1790572693.0999999</v>
      </c>
      <c r="FE39">
        <v>1</v>
      </c>
      <c r="FF39">
        <v>0.30399999999999999</v>
      </c>
      <c r="FG39">
        <v>0</v>
      </c>
      <c r="FH39">
        <v>1.337</v>
      </c>
      <c r="FI39">
        <v>-0.128</v>
      </c>
      <c r="FJ39">
        <v>462</v>
      </c>
      <c r="FK39">
        <v>17</v>
      </c>
      <c r="FL39">
        <v>0.87</v>
      </c>
      <c r="FM39">
        <v>0.1</v>
      </c>
      <c r="FN39">
        <v>-14.879762989836401</v>
      </c>
      <c r="FO39">
        <v>-3.7423428952620998</v>
      </c>
      <c r="FP39">
        <v>1.4828454524476</v>
      </c>
      <c r="FQ39">
        <v>-1</v>
      </c>
      <c r="FR39">
        <v>-14.2627238095238</v>
      </c>
      <c r="FS39">
        <v>2.37776103896103</v>
      </c>
      <c r="FT39">
        <v>1.6500311318577501</v>
      </c>
      <c r="FU39">
        <v>-1</v>
      </c>
      <c r="FV39">
        <v>254.18676470588201</v>
      </c>
      <c r="FW39">
        <v>1.2513369098687701</v>
      </c>
      <c r="FX39">
        <v>2.8412936889715601</v>
      </c>
      <c r="FY39">
        <v>0</v>
      </c>
      <c r="FZ39">
        <v>-0.73011789047619102</v>
      </c>
      <c r="GA39">
        <v>-4.8791900259740304</v>
      </c>
      <c r="GB39">
        <v>0.50906405953404099</v>
      </c>
      <c r="GC39">
        <v>-1</v>
      </c>
      <c r="GD39">
        <v>0</v>
      </c>
      <c r="GE39">
        <v>1</v>
      </c>
      <c r="GF39" t="s">
        <v>458</v>
      </c>
      <c r="GG39">
        <v>2.14228</v>
      </c>
      <c r="GH39">
        <v>2.65428</v>
      </c>
      <c r="GI39">
        <v>9.7592300000000007E-2</v>
      </c>
      <c r="GJ39">
        <v>0.100864</v>
      </c>
      <c r="GK39">
        <v>9.3570399999999998E-2</v>
      </c>
      <c r="GL39">
        <v>0.102309</v>
      </c>
      <c r="GM39">
        <v>17586</v>
      </c>
      <c r="GN39">
        <v>26464.400000000001</v>
      </c>
      <c r="GO39">
        <v>22767.8</v>
      </c>
      <c r="GP39">
        <v>30156.7</v>
      </c>
      <c r="GQ39">
        <v>33843</v>
      </c>
      <c r="GR39">
        <v>33709</v>
      </c>
      <c r="GS39">
        <v>43071.4</v>
      </c>
      <c r="GT39">
        <v>42933.3</v>
      </c>
      <c r="GU39">
        <v>0.02</v>
      </c>
      <c r="GV39">
        <v>1.42753</v>
      </c>
      <c r="GW39">
        <v>9.0420200000000006E-2</v>
      </c>
      <c r="GX39">
        <v>0</v>
      </c>
      <c r="GY39">
        <v>24.888300000000001</v>
      </c>
      <c r="GZ39">
        <v>999.9</v>
      </c>
      <c r="HA39">
        <v>35.179000000000002</v>
      </c>
      <c r="HB39">
        <v>27.864999999999998</v>
      </c>
      <c r="HC39">
        <v>13.103</v>
      </c>
      <c r="HD39">
        <v>63.350299999999997</v>
      </c>
      <c r="HE39">
        <v>0</v>
      </c>
      <c r="HF39">
        <v>0</v>
      </c>
      <c r="HG39">
        <v>-2.2959899999999998E-2</v>
      </c>
      <c r="HH39">
        <v>0</v>
      </c>
      <c r="HI39">
        <v>20.268599999999999</v>
      </c>
      <c r="HJ39">
        <v>5.2292699999999996</v>
      </c>
      <c r="HK39">
        <v>11.962</v>
      </c>
      <c r="HL39">
        <v>4.9690500000000002</v>
      </c>
      <c r="HM39">
        <v>3.2953000000000001</v>
      </c>
      <c r="HN39">
        <v>9999</v>
      </c>
      <c r="HO39">
        <v>999.9</v>
      </c>
      <c r="HP39">
        <v>9999</v>
      </c>
      <c r="HQ39">
        <v>9999</v>
      </c>
      <c r="HR39">
        <v>4.9684100000000004</v>
      </c>
      <c r="HS39">
        <v>1.86198</v>
      </c>
      <c r="HT39">
        <v>1.8635600000000001</v>
      </c>
      <c r="HU39">
        <v>1.86554</v>
      </c>
      <c r="HV39">
        <v>1.8626400000000001</v>
      </c>
      <c r="HW39">
        <v>1.8663000000000001</v>
      </c>
      <c r="HX39">
        <v>1.8631</v>
      </c>
      <c r="HY39">
        <v>1.86493</v>
      </c>
      <c r="HZ39">
        <v>0</v>
      </c>
      <c r="IA39">
        <v>0</v>
      </c>
      <c r="IB39">
        <v>0</v>
      </c>
      <c r="IC39">
        <v>0</v>
      </c>
      <c r="ID39" t="s">
        <v>427</v>
      </c>
      <c r="IE39" t="s">
        <v>428</v>
      </c>
      <c r="IF39" t="s">
        <v>429</v>
      </c>
      <c r="IG39" t="s">
        <v>429</v>
      </c>
      <c r="IH39" t="s">
        <v>429</v>
      </c>
      <c r="II39" t="s">
        <v>429</v>
      </c>
      <c r="IJ39">
        <v>0</v>
      </c>
      <c r="IK39">
        <v>100</v>
      </c>
      <c r="IL39">
        <v>100</v>
      </c>
      <c r="IM39">
        <v>1.337</v>
      </c>
      <c r="IN39">
        <v>-0.11219999999999999</v>
      </c>
      <c r="IO39">
        <v>0.91043272280072696</v>
      </c>
      <c r="IP39">
        <v>1.61658254425633E-3</v>
      </c>
      <c r="IQ39">
        <v>-1.89604851270483E-6</v>
      </c>
      <c r="IR39">
        <v>8.6681353432279101E-10</v>
      </c>
      <c r="IS39">
        <v>-4.47525518804959E-2</v>
      </c>
      <c r="IT39">
        <v>-3.5871989026399903E-2</v>
      </c>
      <c r="IU39">
        <v>1.9028800927848801E-3</v>
      </c>
      <c r="IV39">
        <v>-4.7539144078026999E-6</v>
      </c>
      <c r="IW39">
        <v>1</v>
      </c>
      <c r="IX39">
        <v>1704</v>
      </c>
      <c r="IY39">
        <v>4</v>
      </c>
      <c r="IZ39">
        <v>25</v>
      </c>
      <c r="JA39">
        <v>30.7</v>
      </c>
      <c r="JB39">
        <v>-2093247.5</v>
      </c>
      <c r="JC39">
        <v>0.162354</v>
      </c>
      <c r="JD39">
        <v>4.99878</v>
      </c>
      <c r="JE39">
        <v>0.239258</v>
      </c>
      <c r="JF39">
        <v>1.2206999999999999E-3</v>
      </c>
      <c r="JG39">
        <v>0.26733400000000002</v>
      </c>
      <c r="JH39">
        <v>4.99878</v>
      </c>
      <c r="JI39">
        <v>31.389800000000001</v>
      </c>
      <c r="JJ39">
        <v>15.681800000000001</v>
      </c>
      <c r="JK39">
        <v>2</v>
      </c>
      <c r="JL39">
        <v>-26.973199999999999</v>
      </c>
      <c r="JM39">
        <v>255.63200000000001</v>
      </c>
      <c r="JN39">
        <v>26.5974</v>
      </c>
      <c r="JO39">
        <v>27.088899999999999</v>
      </c>
      <c r="JP39">
        <v>30.000599999999999</v>
      </c>
      <c r="JQ39">
        <v>27.0717</v>
      </c>
      <c r="JR39">
        <v>26.953199999999999</v>
      </c>
      <c r="JS39">
        <v>-1</v>
      </c>
      <c r="JT39">
        <v>-30</v>
      </c>
      <c r="JU39">
        <v>-30</v>
      </c>
      <c r="JV39">
        <v>-999.9</v>
      </c>
      <c r="JW39">
        <v>0</v>
      </c>
      <c r="JX39">
        <v>0</v>
      </c>
      <c r="JY39">
        <v>101.708</v>
      </c>
      <c r="JZ39">
        <v>97.508200000000002</v>
      </c>
    </row>
    <row r="40" spans="1:286" x14ac:dyDescent="0.4">
      <c r="A40">
        <v>24</v>
      </c>
      <c r="B40">
        <v>1664977907.0999999</v>
      </c>
      <c r="C40">
        <v>1937</v>
      </c>
      <c r="D40" t="s">
        <v>505</v>
      </c>
      <c r="E40" t="s">
        <v>506</v>
      </c>
      <c r="F40">
        <v>5</v>
      </c>
      <c r="G40">
        <v>1664977899.21875</v>
      </c>
      <c r="H40">
        <f t="shared" si="0"/>
        <v>5.260103118179465E-4</v>
      </c>
      <c r="I40">
        <f t="shared" si="1"/>
        <v>0.52601031181794655</v>
      </c>
      <c r="J40">
        <f t="shared" si="2"/>
        <v>-31.496498039402518</v>
      </c>
      <c r="K40">
        <f t="shared" si="3"/>
        <v>449.95175</v>
      </c>
      <c r="L40">
        <f t="shared" si="4"/>
        <v>2057.14980873275</v>
      </c>
      <c r="M40">
        <f t="shared" si="5"/>
        <v>207.93370354028588</v>
      </c>
      <c r="N40">
        <f t="shared" si="6"/>
        <v>45.48046690365635</v>
      </c>
      <c r="O40">
        <f t="shared" si="7"/>
        <v>3.0847674910981334E-2</v>
      </c>
      <c r="P40">
        <f t="shared" si="8"/>
        <v>3.0289778292686425</v>
      </c>
      <c r="Q40">
        <f t="shared" si="9"/>
        <v>3.0674202115392443E-2</v>
      </c>
      <c r="R40">
        <f t="shared" si="10"/>
        <v>1.9186880693088292E-2</v>
      </c>
      <c r="S40">
        <f t="shared" si="11"/>
        <v>6.3856599478895988E-4</v>
      </c>
      <c r="T40">
        <f t="shared" si="12"/>
        <v>26.69314549364924</v>
      </c>
      <c r="U40">
        <f t="shared" si="13"/>
        <v>26.442775000000001</v>
      </c>
      <c r="V40">
        <f t="shared" si="14"/>
        <v>3.4636836132912174</v>
      </c>
      <c r="W40">
        <f t="shared" si="15"/>
        <v>50.110946348537844</v>
      </c>
      <c r="X40">
        <f t="shared" si="16"/>
        <v>1.7752784440670604</v>
      </c>
      <c r="Y40">
        <f t="shared" si="17"/>
        <v>3.54269590464212</v>
      </c>
      <c r="Z40">
        <f t="shared" si="18"/>
        <v>1.6884051692241571</v>
      </c>
      <c r="AA40">
        <f t="shared" si="19"/>
        <v>-23.197054751171439</v>
      </c>
      <c r="AB40">
        <f t="shared" si="20"/>
        <v>62.541189568017039</v>
      </c>
      <c r="AC40">
        <f t="shared" si="21"/>
        <v>4.4397229792660093</v>
      </c>
      <c r="AD40">
        <f t="shared" si="22"/>
        <v>43.784496362106395</v>
      </c>
      <c r="AE40">
        <v>5</v>
      </c>
      <c r="AF40">
        <v>100</v>
      </c>
      <c r="AG40">
        <f t="shared" si="23"/>
        <v>1</v>
      </c>
      <c r="AH40">
        <f t="shared" si="24"/>
        <v>0</v>
      </c>
      <c r="AI40">
        <f t="shared" si="25"/>
        <v>53481.397309347543</v>
      </c>
      <c r="AJ40" t="s">
        <v>507</v>
      </c>
      <c r="AK40">
        <v>8127.17</v>
      </c>
      <c r="AL40">
        <v>227.339423076923</v>
      </c>
      <c r="AM40">
        <v>1523.94</v>
      </c>
      <c r="AN40">
        <f t="shared" si="26"/>
        <v>0.8508212770339233</v>
      </c>
      <c r="AO40">
        <v>-31.4964980394025</v>
      </c>
      <c r="AP40" t="s">
        <v>423</v>
      </c>
      <c r="AQ40" t="s">
        <v>423</v>
      </c>
      <c r="AR40">
        <v>0</v>
      </c>
      <c r="AS40">
        <v>0</v>
      </c>
      <c r="AT40" t="e">
        <f t="shared" si="27"/>
        <v>#DIV/0!</v>
      </c>
      <c r="AU40">
        <v>0.5</v>
      </c>
      <c r="AV40">
        <f t="shared" si="28"/>
        <v>3.3608736567839995E-3</v>
      </c>
      <c r="AW40">
        <f t="shared" si="29"/>
        <v>-31.496498039402518</v>
      </c>
      <c r="AX40" t="e">
        <f t="shared" si="30"/>
        <v>#DIV/0!</v>
      </c>
      <c r="AY40">
        <f t="shared" si="31"/>
        <v>-5.2854020138919358E-12</v>
      </c>
      <c r="AZ40" t="e">
        <f t="shared" si="32"/>
        <v>#DIV/0!</v>
      </c>
      <c r="BA40" t="e">
        <f t="shared" si="33"/>
        <v>#DIV/0!</v>
      </c>
      <c r="BB40" t="s">
        <v>423</v>
      </c>
      <c r="BC40">
        <v>0</v>
      </c>
      <c r="BD40" t="e">
        <f t="shared" si="34"/>
        <v>#DIV/0!</v>
      </c>
      <c r="BE40" t="e">
        <f t="shared" si="35"/>
        <v>#DIV/0!</v>
      </c>
      <c r="BF40" t="e">
        <f t="shared" si="36"/>
        <v>#DIV/0!</v>
      </c>
      <c r="BG40" t="e">
        <f t="shared" si="37"/>
        <v>#DIV/0!</v>
      </c>
      <c r="BH40">
        <f t="shared" si="38"/>
        <v>0</v>
      </c>
      <c r="BI40">
        <f t="shared" si="39"/>
        <v>1.1753349698612776</v>
      </c>
      <c r="BJ40" t="e">
        <f t="shared" si="40"/>
        <v>#DIV/0!</v>
      </c>
      <c r="BK40" t="e">
        <f t="shared" si="41"/>
        <v>#DIV/0!</v>
      </c>
      <c r="BL40">
        <v>939</v>
      </c>
      <c r="BM40">
        <v>290</v>
      </c>
      <c r="BN40">
        <v>1558.67</v>
      </c>
      <c r="BO40">
        <v>165</v>
      </c>
      <c r="BP40">
        <v>8114.57</v>
      </c>
      <c r="BQ40">
        <v>1551.92</v>
      </c>
      <c r="BR40">
        <v>6.75</v>
      </c>
      <c r="BS40">
        <v>300</v>
      </c>
      <c r="BT40">
        <v>19.2</v>
      </c>
      <c r="BU40">
        <v>1584.3896717483201</v>
      </c>
      <c r="BV40">
        <v>1.88110366540944</v>
      </c>
      <c r="BW40">
        <v>-26.347569484426199</v>
      </c>
      <c r="BX40">
        <v>1.36356822732003</v>
      </c>
      <c r="BY40">
        <v>0.93023713121789597</v>
      </c>
      <c r="BZ40">
        <v>-5.3779617352614001E-3</v>
      </c>
      <c r="CA40">
        <v>290</v>
      </c>
      <c r="CB40">
        <v>1543.03</v>
      </c>
      <c r="CC40">
        <v>615</v>
      </c>
      <c r="CD40">
        <v>8099.76</v>
      </c>
      <c r="CE40">
        <v>1551.86</v>
      </c>
      <c r="CF40">
        <v>-8.83</v>
      </c>
      <c r="CT40">
        <f t="shared" si="42"/>
        <v>2.0002599999999999E-2</v>
      </c>
      <c r="CU40">
        <f t="shared" si="43"/>
        <v>3.3608736567839995E-3</v>
      </c>
      <c r="CV40">
        <f t="shared" si="44"/>
        <v>0.16802183999999998</v>
      </c>
      <c r="CW40">
        <f t="shared" si="45"/>
        <v>3.1924149599999993E-2</v>
      </c>
      <c r="CX40">
        <v>2</v>
      </c>
      <c r="CY40">
        <v>0.5</v>
      </c>
      <c r="CZ40" t="s">
        <v>424</v>
      </c>
      <c r="DA40">
        <v>2</v>
      </c>
      <c r="DB40">
        <v>1664977899.21875</v>
      </c>
      <c r="DC40">
        <v>449.95175</v>
      </c>
      <c r="DD40">
        <v>481.04843749999998</v>
      </c>
      <c r="DE40">
        <v>17.563356249999998</v>
      </c>
      <c r="DF40">
        <v>18.07743125</v>
      </c>
      <c r="DG40">
        <v>448.61925000000002</v>
      </c>
      <c r="DH40">
        <v>17.673943749999999</v>
      </c>
      <c r="DI40">
        <v>-201.04918749999999</v>
      </c>
      <c r="DJ40">
        <v>101.0825</v>
      </c>
      <c r="DK40">
        <v>-3.9579037500000001E-3</v>
      </c>
      <c r="DL40">
        <v>26.8257625</v>
      </c>
      <c r="DM40">
        <v>26.442775000000001</v>
      </c>
      <c r="DN40">
        <v>999.9</v>
      </c>
      <c r="DO40">
        <v>0</v>
      </c>
      <c r="DP40">
        <v>0</v>
      </c>
      <c r="DQ40">
        <v>10000.15</v>
      </c>
      <c r="DR40">
        <v>0</v>
      </c>
      <c r="DS40">
        <v>0.21823999999999999</v>
      </c>
      <c r="DT40">
        <v>-31.096687500000002</v>
      </c>
      <c r="DU40">
        <v>457.99562500000002</v>
      </c>
      <c r="DV40">
        <v>489.90562499999999</v>
      </c>
      <c r="DW40">
        <v>-0.51408743749999997</v>
      </c>
      <c r="DX40">
        <v>481.04843749999998</v>
      </c>
      <c r="DY40">
        <v>18.07743125</v>
      </c>
      <c r="DZ40">
        <v>1.7753481250000001</v>
      </c>
      <c r="EA40">
        <v>1.8273137500000001</v>
      </c>
      <c r="EB40">
        <v>15.5713375</v>
      </c>
      <c r="EC40">
        <v>16.022293749999999</v>
      </c>
      <c r="ED40">
        <v>2.0002599999999999E-2</v>
      </c>
      <c r="EE40">
        <v>0</v>
      </c>
      <c r="EF40">
        <v>0</v>
      </c>
      <c r="EG40">
        <v>0</v>
      </c>
      <c r="EH40">
        <v>226.80937499999999</v>
      </c>
      <c r="EI40">
        <v>2.0002599999999999E-2</v>
      </c>
      <c r="EJ40">
        <v>-9.8234375000000007</v>
      </c>
      <c r="EK40">
        <v>0.37187500000000001</v>
      </c>
      <c r="EL40">
        <v>35.304312500000002</v>
      </c>
      <c r="EM40">
        <v>38.745874999999998</v>
      </c>
      <c r="EN40">
        <v>37.417749999999998</v>
      </c>
      <c r="EO40">
        <v>39.085687499999999</v>
      </c>
      <c r="EP40">
        <v>38.327937499999997</v>
      </c>
      <c r="EQ40">
        <v>0</v>
      </c>
      <c r="ER40">
        <v>0</v>
      </c>
      <c r="ES40">
        <v>0</v>
      </c>
      <c r="ET40">
        <v>63.700000047683702</v>
      </c>
      <c r="EU40">
        <v>0</v>
      </c>
      <c r="EV40">
        <v>227.339423076923</v>
      </c>
      <c r="EW40">
        <v>-1.74273489844166</v>
      </c>
      <c r="EX40">
        <v>-2.76239307861599</v>
      </c>
      <c r="EY40">
        <v>-9.7673076923076891</v>
      </c>
      <c r="EZ40">
        <v>15</v>
      </c>
      <c r="FA40">
        <v>1664976001.0999999</v>
      </c>
      <c r="FB40" t="s">
        <v>425</v>
      </c>
      <c r="FC40">
        <v>1664976001.0999999</v>
      </c>
      <c r="FD40">
        <v>1790572693.0999999</v>
      </c>
      <c r="FE40">
        <v>1</v>
      </c>
      <c r="FF40">
        <v>0.30399999999999999</v>
      </c>
      <c r="FG40">
        <v>0</v>
      </c>
      <c r="FH40">
        <v>1.337</v>
      </c>
      <c r="FI40">
        <v>-0.128</v>
      </c>
      <c r="FJ40">
        <v>462</v>
      </c>
      <c r="FK40">
        <v>17</v>
      </c>
      <c r="FL40">
        <v>0.87</v>
      </c>
      <c r="FM40">
        <v>0.1</v>
      </c>
      <c r="FN40">
        <v>-43.745509042014604</v>
      </c>
      <c r="FO40">
        <v>210.491151232574</v>
      </c>
      <c r="FP40">
        <v>20.817203900266001</v>
      </c>
      <c r="FQ40">
        <v>-1</v>
      </c>
      <c r="FR40">
        <v>-39.819504761904803</v>
      </c>
      <c r="FS40">
        <v>192.02710243391601</v>
      </c>
      <c r="FT40">
        <v>18.828897101086699</v>
      </c>
      <c r="FU40">
        <v>-1</v>
      </c>
      <c r="FV40">
        <v>226.0625</v>
      </c>
      <c r="FW40">
        <v>15.388464491023999</v>
      </c>
      <c r="FX40">
        <v>3.2237814045182498</v>
      </c>
      <c r="FY40">
        <v>0</v>
      </c>
      <c r="FZ40">
        <v>-0.61706690476190496</v>
      </c>
      <c r="GA40">
        <v>2.2126969460602801</v>
      </c>
      <c r="GB40">
        <v>0.22065263212676001</v>
      </c>
      <c r="GC40">
        <v>-1</v>
      </c>
      <c r="GD40">
        <v>0</v>
      </c>
      <c r="GE40">
        <v>1</v>
      </c>
      <c r="GF40" t="s">
        <v>458</v>
      </c>
      <c r="GG40">
        <v>2.1425700000000001</v>
      </c>
      <c r="GH40">
        <v>2.6543199999999998</v>
      </c>
      <c r="GI40">
        <v>9.6029799999999998E-2</v>
      </c>
      <c r="GJ40">
        <v>0.101093</v>
      </c>
      <c r="GK40">
        <v>9.3874299999999994E-2</v>
      </c>
      <c r="GL40">
        <v>9.8574300000000004E-2</v>
      </c>
      <c r="GM40">
        <v>17613.7</v>
      </c>
      <c r="GN40">
        <v>26453.8</v>
      </c>
      <c r="GO40">
        <v>22764.3</v>
      </c>
      <c r="GP40">
        <v>30152.3</v>
      </c>
      <c r="GQ40">
        <v>33826.800000000003</v>
      </c>
      <c r="GR40">
        <v>33845.699999999997</v>
      </c>
      <c r="GS40">
        <v>43065.599999999999</v>
      </c>
      <c r="GT40">
        <v>42927.9</v>
      </c>
      <c r="GU40">
        <v>0.02</v>
      </c>
      <c r="GV40">
        <v>1.42652</v>
      </c>
      <c r="GW40">
        <v>9.8828200000000005E-2</v>
      </c>
      <c r="GX40">
        <v>0</v>
      </c>
      <c r="GY40">
        <v>24.8505</v>
      </c>
      <c r="GZ40">
        <v>999.9</v>
      </c>
      <c r="HA40">
        <v>35.136000000000003</v>
      </c>
      <c r="HB40">
        <v>27.875</v>
      </c>
      <c r="HC40">
        <v>13.096299999999999</v>
      </c>
      <c r="HD40">
        <v>62.809399999999997</v>
      </c>
      <c r="HE40">
        <v>0</v>
      </c>
      <c r="HF40">
        <v>0</v>
      </c>
      <c r="HG40">
        <v>-1.7083299999999999E-2</v>
      </c>
      <c r="HH40">
        <v>0</v>
      </c>
      <c r="HI40">
        <v>20.270900000000001</v>
      </c>
      <c r="HJ40">
        <v>5.2324099999999998</v>
      </c>
      <c r="HK40">
        <v>11.962</v>
      </c>
      <c r="HL40">
        <v>4.9676499999999999</v>
      </c>
      <c r="HM40">
        <v>3.2955800000000002</v>
      </c>
      <c r="HN40">
        <v>9999</v>
      </c>
      <c r="HO40">
        <v>999.9</v>
      </c>
      <c r="HP40">
        <v>9999</v>
      </c>
      <c r="HQ40">
        <v>9999</v>
      </c>
      <c r="HR40">
        <v>4.9684299999999997</v>
      </c>
      <c r="HS40">
        <v>1.8620300000000001</v>
      </c>
      <c r="HT40">
        <v>1.8635600000000001</v>
      </c>
      <c r="HU40">
        <v>1.86554</v>
      </c>
      <c r="HV40">
        <v>1.8626400000000001</v>
      </c>
      <c r="HW40">
        <v>1.8663000000000001</v>
      </c>
      <c r="HX40">
        <v>1.8631</v>
      </c>
      <c r="HY40">
        <v>1.86493</v>
      </c>
      <c r="HZ40">
        <v>0</v>
      </c>
      <c r="IA40">
        <v>0</v>
      </c>
      <c r="IB40">
        <v>0</v>
      </c>
      <c r="IC40">
        <v>0</v>
      </c>
      <c r="ID40" t="s">
        <v>427</v>
      </c>
      <c r="IE40" t="s">
        <v>428</v>
      </c>
      <c r="IF40" t="s">
        <v>429</v>
      </c>
      <c r="IG40" t="s">
        <v>429</v>
      </c>
      <c r="IH40" t="s">
        <v>429</v>
      </c>
      <c r="II40" t="s">
        <v>429</v>
      </c>
      <c r="IJ40">
        <v>0</v>
      </c>
      <c r="IK40">
        <v>100</v>
      </c>
      <c r="IL40">
        <v>100</v>
      </c>
      <c r="IM40">
        <v>1.333</v>
      </c>
      <c r="IN40">
        <v>-0.11</v>
      </c>
      <c r="IO40">
        <v>0.91043272280072696</v>
      </c>
      <c r="IP40">
        <v>1.61658254425633E-3</v>
      </c>
      <c r="IQ40">
        <v>-1.89604851270483E-6</v>
      </c>
      <c r="IR40">
        <v>8.6681353432279101E-10</v>
      </c>
      <c r="IS40">
        <v>-4.47525518804959E-2</v>
      </c>
      <c r="IT40">
        <v>-3.5871989026399903E-2</v>
      </c>
      <c r="IU40">
        <v>1.9028800927848801E-3</v>
      </c>
      <c r="IV40">
        <v>-4.7539144078026999E-6</v>
      </c>
      <c r="IW40">
        <v>1</v>
      </c>
      <c r="IX40">
        <v>1704</v>
      </c>
      <c r="IY40">
        <v>4</v>
      </c>
      <c r="IZ40">
        <v>25</v>
      </c>
      <c r="JA40">
        <v>31.8</v>
      </c>
      <c r="JB40">
        <v>-2093246.4</v>
      </c>
      <c r="JC40">
        <v>0.162354</v>
      </c>
      <c r="JD40">
        <v>4.99878</v>
      </c>
      <c r="JE40">
        <v>0.239258</v>
      </c>
      <c r="JF40">
        <v>1.2206999999999999E-3</v>
      </c>
      <c r="JG40">
        <v>0.26733400000000002</v>
      </c>
      <c r="JH40">
        <v>4.99878</v>
      </c>
      <c r="JI40">
        <v>31.4115</v>
      </c>
      <c r="JJ40">
        <v>15.681800000000001</v>
      </c>
      <c r="JK40">
        <v>2</v>
      </c>
      <c r="JL40">
        <v>-26.9619</v>
      </c>
      <c r="JM40">
        <v>255.447</v>
      </c>
      <c r="JN40">
        <v>26.624199999999998</v>
      </c>
      <c r="JO40">
        <v>27.139700000000001</v>
      </c>
      <c r="JP40">
        <v>30.000399999999999</v>
      </c>
      <c r="JQ40">
        <v>27.129300000000001</v>
      </c>
      <c r="JR40">
        <v>27.007100000000001</v>
      </c>
      <c r="JS40">
        <v>-1</v>
      </c>
      <c r="JT40">
        <v>-30</v>
      </c>
      <c r="JU40">
        <v>-30</v>
      </c>
      <c r="JV40">
        <v>-999.9</v>
      </c>
      <c r="JW40">
        <v>0</v>
      </c>
      <c r="JX40">
        <v>0</v>
      </c>
      <c r="JY40">
        <v>101.694</v>
      </c>
      <c r="JZ40">
        <v>97.495199999999997</v>
      </c>
    </row>
    <row r="41" spans="1:286" x14ac:dyDescent="0.4">
      <c r="A41">
        <v>25</v>
      </c>
      <c r="B41">
        <v>1664977999.0999999</v>
      </c>
      <c r="C41">
        <v>2029</v>
      </c>
      <c r="D41" t="s">
        <v>508</v>
      </c>
      <c r="E41" t="s">
        <v>509</v>
      </c>
      <c r="F41">
        <v>5</v>
      </c>
      <c r="G41">
        <v>1664977990.5999999</v>
      </c>
      <c r="H41">
        <f t="shared" si="0"/>
        <v>1.2753262819643592E-4</v>
      </c>
      <c r="I41">
        <f t="shared" si="1"/>
        <v>0.12753262819643593</v>
      </c>
      <c r="J41">
        <f t="shared" si="2"/>
        <v>-40.384479563460481</v>
      </c>
      <c r="K41">
        <f t="shared" si="3"/>
        <v>451.93200000000002</v>
      </c>
      <c r="L41">
        <f t="shared" si="4"/>
        <v>8740.8128579063396</v>
      </c>
      <c r="M41">
        <f t="shared" si="5"/>
        <v>883.5189712238224</v>
      </c>
      <c r="N41">
        <f t="shared" si="6"/>
        <v>45.681162861409824</v>
      </c>
      <c r="O41">
        <f t="shared" si="7"/>
        <v>7.6915330982787302E-3</v>
      </c>
      <c r="P41">
        <f t="shared" si="8"/>
        <v>3.0280610179802068</v>
      </c>
      <c r="Q41">
        <f t="shared" si="9"/>
        <v>7.6806956418205667E-3</v>
      </c>
      <c r="R41">
        <f t="shared" si="10"/>
        <v>4.8014071850803466E-3</v>
      </c>
      <c r="S41">
        <f t="shared" si="11"/>
        <v>6.3856599478895988E-4</v>
      </c>
      <c r="T41">
        <f t="shared" si="12"/>
        <v>26.688594330975089</v>
      </c>
      <c r="U41">
        <f t="shared" si="13"/>
        <v>26.153568750000002</v>
      </c>
      <c r="V41">
        <f t="shared" si="14"/>
        <v>3.4050428457242718</v>
      </c>
      <c r="W41">
        <f t="shared" si="15"/>
        <v>50.261477876075297</v>
      </c>
      <c r="X41">
        <f t="shared" si="16"/>
        <v>1.7696450952834719</v>
      </c>
      <c r="Y41">
        <f t="shared" si="17"/>
        <v>3.5208775588467747</v>
      </c>
      <c r="Z41">
        <f t="shared" si="18"/>
        <v>1.6353977504407999</v>
      </c>
      <c r="AA41">
        <f t="shared" si="19"/>
        <v>-5.6241889034628239</v>
      </c>
      <c r="AB41">
        <f t="shared" si="20"/>
        <v>92.592693270764983</v>
      </c>
      <c r="AC41">
        <f t="shared" si="21"/>
        <v>6.562068927727017</v>
      </c>
      <c r="AD41">
        <f t="shared" si="22"/>
        <v>93.531211861023962</v>
      </c>
      <c r="AE41">
        <v>5</v>
      </c>
      <c r="AF41">
        <v>100</v>
      </c>
      <c r="AG41">
        <f t="shared" si="23"/>
        <v>1</v>
      </c>
      <c r="AH41">
        <f t="shared" si="24"/>
        <v>0</v>
      </c>
      <c r="AI41">
        <f t="shared" si="25"/>
        <v>53471.714068418514</v>
      </c>
      <c r="AJ41" t="s">
        <v>510</v>
      </c>
      <c r="AK41">
        <v>8118.39</v>
      </c>
      <c r="AL41">
        <v>282.93173076923102</v>
      </c>
      <c r="AM41">
        <v>1669.44</v>
      </c>
      <c r="AN41">
        <f t="shared" si="26"/>
        <v>0.83052297131419461</v>
      </c>
      <c r="AO41">
        <v>-40.384479563460502</v>
      </c>
      <c r="AP41" t="s">
        <v>423</v>
      </c>
      <c r="AQ41" t="s">
        <v>423</v>
      </c>
      <c r="AR41">
        <v>0</v>
      </c>
      <c r="AS41">
        <v>0</v>
      </c>
      <c r="AT41" t="e">
        <f t="shared" si="27"/>
        <v>#DIV/0!</v>
      </c>
      <c r="AU41">
        <v>0.5</v>
      </c>
      <c r="AV41">
        <f t="shared" si="28"/>
        <v>3.3608736567839995E-3</v>
      </c>
      <c r="AW41">
        <f t="shared" si="29"/>
        <v>-40.384479563460481</v>
      </c>
      <c r="AX41" t="e">
        <f t="shared" si="30"/>
        <v>#DIV/0!</v>
      </c>
      <c r="AY41">
        <f t="shared" si="31"/>
        <v>6.3424824166703228E-12</v>
      </c>
      <c r="AZ41" t="e">
        <f t="shared" si="32"/>
        <v>#DIV/0!</v>
      </c>
      <c r="BA41" t="e">
        <f t="shared" si="33"/>
        <v>#DIV/0!</v>
      </c>
      <c r="BB41" t="s">
        <v>423</v>
      </c>
      <c r="BC41">
        <v>0</v>
      </c>
      <c r="BD41" t="e">
        <f t="shared" si="34"/>
        <v>#DIV/0!</v>
      </c>
      <c r="BE41" t="e">
        <f t="shared" si="35"/>
        <v>#DIV/0!</v>
      </c>
      <c r="BF41" t="e">
        <f t="shared" si="36"/>
        <v>#DIV/0!</v>
      </c>
      <c r="BG41" t="e">
        <f t="shared" si="37"/>
        <v>#DIV/0!</v>
      </c>
      <c r="BH41">
        <f t="shared" si="38"/>
        <v>0</v>
      </c>
      <c r="BI41">
        <f t="shared" si="39"/>
        <v>1.2040606154669391</v>
      </c>
      <c r="BJ41" t="e">
        <f t="shared" si="40"/>
        <v>#DIV/0!</v>
      </c>
      <c r="BK41" t="e">
        <f t="shared" si="41"/>
        <v>#DIV/0!</v>
      </c>
      <c r="BL41">
        <v>939</v>
      </c>
      <c r="BM41">
        <v>290</v>
      </c>
      <c r="BN41">
        <v>1558.67</v>
      </c>
      <c r="BO41">
        <v>165</v>
      </c>
      <c r="BP41">
        <v>8114.57</v>
      </c>
      <c r="BQ41">
        <v>1551.92</v>
      </c>
      <c r="BR41">
        <v>6.75</v>
      </c>
      <c r="BS41">
        <v>300</v>
      </c>
      <c r="BT41">
        <v>19.2</v>
      </c>
      <c r="BU41">
        <v>1584.3896717483201</v>
      </c>
      <c r="BV41">
        <v>1.88110366540944</v>
      </c>
      <c r="BW41">
        <v>-26.347569484426199</v>
      </c>
      <c r="BX41">
        <v>1.36356822732003</v>
      </c>
      <c r="BY41">
        <v>0.93023713121789597</v>
      </c>
      <c r="BZ41">
        <v>-5.3779617352614001E-3</v>
      </c>
      <c r="CA41">
        <v>290</v>
      </c>
      <c r="CB41">
        <v>1543.03</v>
      </c>
      <c r="CC41">
        <v>615</v>
      </c>
      <c r="CD41">
        <v>8099.76</v>
      </c>
      <c r="CE41">
        <v>1551.86</v>
      </c>
      <c r="CF41">
        <v>-8.83</v>
      </c>
      <c r="CT41">
        <f t="shared" si="42"/>
        <v>2.0002599999999999E-2</v>
      </c>
      <c r="CU41">
        <f t="shared" si="43"/>
        <v>3.3608736567839995E-3</v>
      </c>
      <c r="CV41">
        <f t="shared" si="44"/>
        <v>0.16802183999999998</v>
      </c>
      <c r="CW41">
        <f t="shared" si="45"/>
        <v>3.1924149599999993E-2</v>
      </c>
      <c r="CX41">
        <v>2</v>
      </c>
      <c r="CY41">
        <v>0.5</v>
      </c>
      <c r="CZ41" t="s">
        <v>424</v>
      </c>
      <c r="DA41">
        <v>2</v>
      </c>
      <c r="DB41">
        <v>1664977990.5999999</v>
      </c>
      <c r="DC41">
        <v>451.93200000000002</v>
      </c>
      <c r="DD41">
        <v>492.23475000000002</v>
      </c>
      <c r="DE41">
        <v>17.507418749999999</v>
      </c>
      <c r="DF41">
        <v>17.63264375</v>
      </c>
      <c r="DG41">
        <v>450.59881250000001</v>
      </c>
      <c r="DH41">
        <v>17.619462500000001</v>
      </c>
      <c r="DI41">
        <v>-200.1195625</v>
      </c>
      <c r="DJ41">
        <v>101.082875</v>
      </c>
      <c r="DK41">
        <v>-3.148710625E-3</v>
      </c>
      <c r="DL41">
        <v>26.720756250000001</v>
      </c>
      <c r="DM41">
        <v>26.153568750000002</v>
      </c>
      <c r="DN41">
        <v>999.9</v>
      </c>
      <c r="DO41">
        <v>0</v>
      </c>
      <c r="DP41">
        <v>0</v>
      </c>
      <c r="DQ41">
        <v>9994.5731250000008</v>
      </c>
      <c r="DR41">
        <v>0</v>
      </c>
      <c r="DS41">
        <v>0.21823999999999999</v>
      </c>
      <c r="DT41">
        <v>-40.302793749999999</v>
      </c>
      <c r="DU41">
        <v>459.98518749999999</v>
      </c>
      <c r="DV41">
        <v>501.06975</v>
      </c>
      <c r="DW41">
        <v>-0.12522960624999999</v>
      </c>
      <c r="DX41">
        <v>492.23475000000002</v>
      </c>
      <c r="DY41">
        <v>17.63264375</v>
      </c>
      <c r="DZ41">
        <v>1.7697000000000001</v>
      </c>
      <c r="EA41">
        <v>1.7823568750000001</v>
      </c>
      <c r="EB41">
        <v>15.52168125</v>
      </c>
      <c r="EC41">
        <v>15.6329125</v>
      </c>
      <c r="ED41">
        <v>2.0002599999999999E-2</v>
      </c>
      <c r="EE41">
        <v>0</v>
      </c>
      <c r="EF41">
        <v>0</v>
      </c>
      <c r="EG41">
        <v>0</v>
      </c>
      <c r="EH41">
        <v>283.13125000000002</v>
      </c>
      <c r="EI41">
        <v>2.0002599999999999E-2</v>
      </c>
      <c r="EJ41">
        <v>-7.6875</v>
      </c>
      <c r="EK41">
        <v>0.48906250000000001</v>
      </c>
      <c r="EL41">
        <v>35.863187500000002</v>
      </c>
      <c r="EM41">
        <v>40.179437499999999</v>
      </c>
      <c r="EN41">
        <v>38.226312499999999</v>
      </c>
      <c r="EO41">
        <v>41.335625</v>
      </c>
      <c r="EP41">
        <v>39.1989375</v>
      </c>
      <c r="EQ41">
        <v>0</v>
      </c>
      <c r="ER41">
        <v>0</v>
      </c>
      <c r="ES41">
        <v>0</v>
      </c>
      <c r="ET41">
        <v>90.899999856948895</v>
      </c>
      <c r="EU41">
        <v>0</v>
      </c>
      <c r="EV41">
        <v>282.93173076923102</v>
      </c>
      <c r="EW41">
        <v>3.7188035261981698</v>
      </c>
      <c r="EX41">
        <v>6.55128187974399</v>
      </c>
      <c r="EY41">
        <v>-7.2086538461538501</v>
      </c>
      <c r="EZ41">
        <v>15</v>
      </c>
      <c r="FA41">
        <v>1664976001.0999999</v>
      </c>
      <c r="FB41" t="s">
        <v>425</v>
      </c>
      <c r="FC41">
        <v>1664976001.0999999</v>
      </c>
      <c r="FD41">
        <v>1790572693.0999999</v>
      </c>
      <c r="FE41">
        <v>1</v>
      </c>
      <c r="FF41">
        <v>0.30399999999999999</v>
      </c>
      <c r="FG41">
        <v>0</v>
      </c>
      <c r="FH41">
        <v>1.337</v>
      </c>
      <c r="FI41">
        <v>-0.128</v>
      </c>
      <c r="FJ41">
        <v>462</v>
      </c>
      <c r="FK41">
        <v>17</v>
      </c>
      <c r="FL41">
        <v>0.87</v>
      </c>
      <c r="FM41">
        <v>0.1</v>
      </c>
      <c r="FN41">
        <v>-54.208846714162902</v>
      </c>
      <c r="FO41">
        <v>230.18622285427199</v>
      </c>
      <c r="FP41">
        <v>23.545605348668499</v>
      </c>
      <c r="FQ41">
        <v>-1</v>
      </c>
      <c r="FR41">
        <v>-48.305055000000003</v>
      </c>
      <c r="FS41">
        <v>211.56230526315801</v>
      </c>
      <c r="FT41">
        <v>20.664456576002099</v>
      </c>
      <c r="FU41">
        <v>-1</v>
      </c>
      <c r="FV41">
        <v>282.133088235294</v>
      </c>
      <c r="FW41">
        <v>13.937738742222701</v>
      </c>
      <c r="FX41">
        <v>3.47042504912962</v>
      </c>
      <c r="FY41">
        <v>0</v>
      </c>
      <c r="FZ41">
        <v>-0.131601885</v>
      </c>
      <c r="GA41">
        <v>-4.8565700751879597E-2</v>
      </c>
      <c r="GB41">
        <v>3.14316312679166E-2</v>
      </c>
      <c r="GC41">
        <v>-1</v>
      </c>
      <c r="GD41">
        <v>0</v>
      </c>
      <c r="GE41">
        <v>1</v>
      </c>
      <c r="GF41" t="s">
        <v>458</v>
      </c>
      <c r="GG41">
        <v>2.1423899999999998</v>
      </c>
      <c r="GH41">
        <v>2.6557200000000001</v>
      </c>
      <c r="GI41">
        <v>9.6130699999999999E-2</v>
      </c>
      <c r="GJ41">
        <v>0.101925</v>
      </c>
      <c r="GK41">
        <v>9.3563599999999997E-2</v>
      </c>
      <c r="GL41">
        <v>9.7318299999999996E-2</v>
      </c>
      <c r="GM41">
        <v>17610.5</v>
      </c>
      <c r="GN41">
        <v>26428.2</v>
      </c>
      <c r="GO41">
        <v>22762.799999999999</v>
      </c>
      <c r="GP41">
        <v>30151.1</v>
      </c>
      <c r="GQ41">
        <v>33836.9</v>
      </c>
      <c r="GR41">
        <v>33892.6</v>
      </c>
      <c r="GS41">
        <v>43063.1</v>
      </c>
      <c r="GT41">
        <v>42927.1</v>
      </c>
      <c r="GU41">
        <v>0.02</v>
      </c>
      <c r="GV41">
        <v>1.4243699999999999</v>
      </c>
      <c r="GW41">
        <v>9.3080099999999999E-2</v>
      </c>
      <c r="GX41">
        <v>0</v>
      </c>
      <c r="GY41">
        <v>24.7075</v>
      </c>
      <c r="GZ41">
        <v>999.9</v>
      </c>
      <c r="HA41">
        <v>35.098999999999997</v>
      </c>
      <c r="HB41">
        <v>27.885000000000002</v>
      </c>
      <c r="HC41">
        <v>13.089600000000001</v>
      </c>
      <c r="HD41">
        <v>62.819400000000002</v>
      </c>
      <c r="HE41">
        <v>0</v>
      </c>
      <c r="HF41">
        <v>0</v>
      </c>
      <c r="HG41">
        <v>-1.50686E-2</v>
      </c>
      <c r="HH41">
        <v>0</v>
      </c>
      <c r="HI41">
        <v>20.2712</v>
      </c>
      <c r="HJ41">
        <v>5.2349600000000001</v>
      </c>
      <c r="HK41">
        <v>11.962199999999999</v>
      </c>
      <c r="HL41">
        <v>4.9695</v>
      </c>
      <c r="HM41">
        <v>3.2951000000000001</v>
      </c>
      <c r="HN41">
        <v>9999</v>
      </c>
      <c r="HO41">
        <v>999.9</v>
      </c>
      <c r="HP41">
        <v>9999</v>
      </c>
      <c r="HQ41">
        <v>9999</v>
      </c>
      <c r="HR41">
        <v>4.9684100000000004</v>
      </c>
      <c r="HS41">
        <v>1.8620300000000001</v>
      </c>
      <c r="HT41">
        <v>1.8635600000000001</v>
      </c>
      <c r="HU41">
        <v>1.86554</v>
      </c>
      <c r="HV41">
        <v>1.8626400000000001</v>
      </c>
      <c r="HW41">
        <v>1.8663000000000001</v>
      </c>
      <c r="HX41">
        <v>1.8631</v>
      </c>
      <c r="HY41">
        <v>1.86494</v>
      </c>
      <c r="HZ41">
        <v>0</v>
      </c>
      <c r="IA41">
        <v>0</v>
      </c>
      <c r="IB41">
        <v>0</v>
      </c>
      <c r="IC41">
        <v>0</v>
      </c>
      <c r="ID41" t="s">
        <v>427</v>
      </c>
      <c r="IE41" t="s">
        <v>428</v>
      </c>
      <c r="IF41" t="s">
        <v>429</v>
      </c>
      <c r="IG41" t="s">
        <v>429</v>
      </c>
      <c r="IH41" t="s">
        <v>429</v>
      </c>
      <c r="II41" t="s">
        <v>429</v>
      </c>
      <c r="IJ41">
        <v>0</v>
      </c>
      <c r="IK41">
        <v>100</v>
      </c>
      <c r="IL41">
        <v>100</v>
      </c>
      <c r="IM41">
        <v>1.3320000000000001</v>
      </c>
      <c r="IN41">
        <v>-0.11210000000000001</v>
      </c>
      <c r="IO41">
        <v>0.91043272280072696</v>
      </c>
      <c r="IP41">
        <v>1.61658254425633E-3</v>
      </c>
      <c r="IQ41">
        <v>-1.89604851270483E-6</v>
      </c>
      <c r="IR41">
        <v>8.6681353432279101E-10</v>
      </c>
      <c r="IS41">
        <v>-4.47525518804959E-2</v>
      </c>
      <c r="IT41">
        <v>-3.5871989026399903E-2</v>
      </c>
      <c r="IU41">
        <v>1.9028800927848801E-3</v>
      </c>
      <c r="IV41">
        <v>-4.7539144078026999E-6</v>
      </c>
      <c r="IW41">
        <v>1</v>
      </c>
      <c r="IX41">
        <v>1704</v>
      </c>
      <c r="IY41">
        <v>4</v>
      </c>
      <c r="IZ41">
        <v>25</v>
      </c>
      <c r="JA41">
        <v>33.299999999999997</v>
      </c>
      <c r="JB41">
        <v>-2093244.9</v>
      </c>
      <c r="JC41">
        <v>0.162354</v>
      </c>
      <c r="JD41">
        <v>4.99878</v>
      </c>
      <c r="JE41">
        <v>0.239258</v>
      </c>
      <c r="JF41">
        <v>1.2206999999999999E-3</v>
      </c>
      <c r="JG41">
        <v>0.26733400000000002</v>
      </c>
      <c r="JH41">
        <v>4.99878</v>
      </c>
      <c r="JI41">
        <v>31.4115</v>
      </c>
      <c r="JJ41">
        <v>15.664300000000001</v>
      </c>
      <c r="JK41">
        <v>2</v>
      </c>
      <c r="JL41">
        <v>-26.956</v>
      </c>
      <c r="JM41">
        <v>254.68100000000001</v>
      </c>
      <c r="JN41">
        <v>26.6083</v>
      </c>
      <c r="JO41">
        <v>27.1675</v>
      </c>
      <c r="JP41">
        <v>30</v>
      </c>
      <c r="JQ41">
        <v>27.159300000000002</v>
      </c>
      <c r="JR41">
        <v>27.040400000000002</v>
      </c>
      <c r="JS41">
        <v>-1</v>
      </c>
      <c r="JT41">
        <v>-30</v>
      </c>
      <c r="JU41">
        <v>-30</v>
      </c>
      <c r="JV41">
        <v>-999.9</v>
      </c>
      <c r="JW41">
        <v>0</v>
      </c>
      <c r="JX41">
        <v>0</v>
      </c>
      <c r="JY41">
        <v>101.687</v>
      </c>
      <c r="JZ41">
        <v>97.492599999999996</v>
      </c>
    </row>
    <row r="42" spans="1:286" x14ac:dyDescent="0.4">
      <c r="A42">
        <v>26</v>
      </c>
      <c r="B42">
        <v>1664978067.0999999</v>
      </c>
      <c r="C42">
        <v>2097</v>
      </c>
      <c r="D42" t="s">
        <v>511</v>
      </c>
      <c r="E42" t="s">
        <v>512</v>
      </c>
      <c r="F42">
        <v>5</v>
      </c>
      <c r="G42">
        <v>1664978058.5999999</v>
      </c>
      <c r="H42">
        <f t="shared" si="0"/>
        <v>2.3992064264053686E-4</v>
      </c>
      <c r="I42">
        <f t="shared" si="1"/>
        <v>0.23992064264053686</v>
      </c>
      <c r="J42">
        <f t="shared" si="2"/>
        <v>-17.167152636871919</v>
      </c>
      <c r="K42">
        <f t="shared" si="3"/>
        <v>449.40724999999998</v>
      </c>
      <c r="L42">
        <f t="shared" si="4"/>
        <v>2346.3432866599346</v>
      </c>
      <c r="M42">
        <f t="shared" si="5"/>
        <v>237.16735836910985</v>
      </c>
      <c r="N42">
        <f t="shared" si="6"/>
        <v>45.425889263694053</v>
      </c>
      <c r="O42">
        <f t="shared" si="7"/>
        <v>1.4228739475424407E-2</v>
      </c>
      <c r="P42">
        <f t="shared" si="8"/>
        <v>3.0288599524732938</v>
      </c>
      <c r="Q42">
        <f t="shared" si="9"/>
        <v>1.4191709030342125E-2</v>
      </c>
      <c r="R42">
        <f t="shared" si="10"/>
        <v>8.8731370899567813E-3</v>
      </c>
      <c r="S42">
        <f t="shared" si="11"/>
        <v>6.3856599478895988E-4</v>
      </c>
      <c r="T42">
        <f t="shared" si="12"/>
        <v>26.735578877597494</v>
      </c>
      <c r="U42">
        <f t="shared" si="13"/>
        <v>26.243181249999999</v>
      </c>
      <c r="V42">
        <f t="shared" si="14"/>
        <v>3.4231196644672242</v>
      </c>
      <c r="W42">
        <f t="shared" si="15"/>
        <v>49.712675949238921</v>
      </c>
      <c r="X42">
        <f t="shared" si="16"/>
        <v>1.7580958235935615</v>
      </c>
      <c r="Y42">
        <f t="shared" si="17"/>
        <v>3.5365141586599247</v>
      </c>
      <c r="Z42">
        <f t="shared" si="18"/>
        <v>1.6650238408736626</v>
      </c>
      <c r="AA42">
        <f t="shared" si="19"/>
        <v>-10.580500340447676</v>
      </c>
      <c r="AB42">
        <f t="shared" si="20"/>
        <v>90.282049121532694</v>
      </c>
      <c r="AC42">
        <f t="shared" si="21"/>
        <v>6.4019111490293286</v>
      </c>
      <c r="AD42">
        <f t="shared" si="22"/>
        <v>86.104098496109131</v>
      </c>
      <c r="AE42">
        <v>5</v>
      </c>
      <c r="AF42">
        <v>100</v>
      </c>
      <c r="AG42">
        <f t="shared" si="23"/>
        <v>1</v>
      </c>
      <c r="AH42">
        <f t="shared" si="24"/>
        <v>0</v>
      </c>
      <c r="AI42">
        <f t="shared" si="25"/>
        <v>53483.038314831741</v>
      </c>
      <c r="AJ42" t="s">
        <v>513</v>
      </c>
      <c r="AK42">
        <v>8136.64</v>
      </c>
      <c r="AL42">
        <v>253.11799999999999</v>
      </c>
      <c r="AM42">
        <v>1498.1</v>
      </c>
      <c r="AN42">
        <f t="shared" si="26"/>
        <v>0.83104065149188977</v>
      </c>
      <c r="AO42">
        <v>-17.167152636871901</v>
      </c>
      <c r="AP42" t="s">
        <v>423</v>
      </c>
      <c r="AQ42" t="s">
        <v>423</v>
      </c>
      <c r="AR42">
        <v>0</v>
      </c>
      <c r="AS42">
        <v>0</v>
      </c>
      <c r="AT42" t="e">
        <f t="shared" si="27"/>
        <v>#DIV/0!</v>
      </c>
      <c r="AU42">
        <v>0.5</v>
      </c>
      <c r="AV42">
        <f t="shared" si="28"/>
        <v>3.3608736567839995E-3</v>
      </c>
      <c r="AW42">
        <f t="shared" si="29"/>
        <v>-17.167152636871919</v>
      </c>
      <c r="AX42" t="e">
        <f t="shared" si="30"/>
        <v>#DIV/0!</v>
      </c>
      <c r="AY42">
        <f t="shared" si="31"/>
        <v>-5.2854020138919358E-12</v>
      </c>
      <c r="AZ42" t="e">
        <f t="shared" si="32"/>
        <v>#DIV/0!</v>
      </c>
      <c r="BA42" t="e">
        <f t="shared" si="33"/>
        <v>#DIV/0!</v>
      </c>
      <c r="BB42" t="s">
        <v>423</v>
      </c>
      <c r="BC42">
        <v>0</v>
      </c>
      <c r="BD42" t="e">
        <f t="shared" si="34"/>
        <v>#DIV/0!</v>
      </c>
      <c r="BE42" t="e">
        <f t="shared" si="35"/>
        <v>#DIV/0!</v>
      </c>
      <c r="BF42" t="e">
        <f t="shared" si="36"/>
        <v>#DIV/0!</v>
      </c>
      <c r="BG42" t="e">
        <f t="shared" si="37"/>
        <v>#DIV/0!</v>
      </c>
      <c r="BH42">
        <f t="shared" si="38"/>
        <v>0</v>
      </c>
      <c r="BI42">
        <f t="shared" si="39"/>
        <v>1.2033105699520152</v>
      </c>
      <c r="BJ42" t="e">
        <f t="shared" si="40"/>
        <v>#DIV/0!</v>
      </c>
      <c r="BK42" t="e">
        <f t="shared" si="41"/>
        <v>#DIV/0!</v>
      </c>
      <c r="BL42">
        <v>939</v>
      </c>
      <c r="BM42">
        <v>290</v>
      </c>
      <c r="BN42">
        <v>1558.67</v>
      </c>
      <c r="BO42">
        <v>165</v>
      </c>
      <c r="BP42">
        <v>8114.57</v>
      </c>
      <c r="BQ42">
        <v>1551.92</v>
      </c>
      <c r="BR42">
        <v>6.75</v>
      </c>
      <c r="BS42">
        <v>300</v>
      </c>
      <c r="BT42">
        <v>19.2</v>
      </c>
      <c r="BU42">
        <v>1584.3896717483201</v>
      </c>
      <c r="BV42">
        <v>1.88110366540944</v>
      </c>
      <c r="BW42">
        <v>-26.347569484426199</v>
      </c>
      <c r="BX42">
        <v>1.36356822732003</v>
      </c>
      <c r="BY42">
        <v>0.93023713121789597</v>
      </c>
      <c r="BZ42">
        <v>-5.3779617352614001E-3</v>
      </c>
      <c r="CA42">
        <v>290</v>
      </c>
      <c r="CB42">
        <v>1543.03</v>
      </c>
      <c r="CC42">
        <v>615</v>
      </c>
      <c r="CD42">
        <v>8099.76</v>
      </c>
      <c r="CE42">
        <v>1551.86</v>
      </c>
      <c r="CF42">
        <v>-8.83</v>
      </c>
      <c r="CT42">
        <f t="shared" si="42"/>
        <v>2.0002599999999999E-2</v>
      </c>
      <c r="CU42">
        <f t="shared" si="43"/>
        <v>3.3608736567839995E-3</v>
      </c>
      <c r="CV42">
        <f t="shared" si="44"/>
        <v>0.16802183999999998</v>
      </c>
      <c r="CW42">
        <f t="shared" si="45"/>
        <v>3.1924149599999993E-2</v>
      </c>
      <c r="CX42">
        <v>2</v>
      </c>
      <c r="CY42">
        <v>0.5</v>
      </c>
      <c r="CZ42" t="s">
        <v>424</v>
      </c>
      <c r="DA42">
        <v>2</v>
      </c>
      <c r="DB42">
        <v>1664978058.5999999</v>
      </c>
      <c r="DC42">
        <v>449.40724999999998</v>
      </c>
      <c r="DD42">
        <v>466.38443749999999</v>
      </c>
      <c r="DE42">
        <v>17.3931875</v>
      </c>
      <c r="DF42">
        <v>17.627800000000001</v>
      </c>
      <c r="DG42">
        <v>448.07499999999999</v>
      </c>
      <c r="DH42">
        <v>17.508212499999999</v>
      </c>
      <c r="DI42">
        <v>-200.96768750000001</v>
      </c>
      <c r="DJ42">
        <v>101.0824375</v>
      </c>
      <c r="DK42">
        <v>-2.8726649999999999E-3</v>
      </c>
      <c r="DL42">
        <v>26.79606875</v>
      </c>
      <c r="DM42">
        <v>26.243181249999999</v>
      </c>
      <c r="DN42">
        <v>999.9</v>
      </c>
      <c r="DO42">
        <v>0</v>
      </c>
      <c r="DP42">
        <v>0</v>
      </c>
      <c r="DQ42">
        <v>9999.4437500000004</v>
      </c>
      <c r="DR42">
        <v>0</v>
      </c>
      <c r="DS42">
        <v>0.21823999999999999</v>
      </c>
      <c r="DT42">
        <v>-16.97719</v>
      </c>
      <c r="DU42">
        <v>457.3621875</v>
      </c>
      <c r="DV42">
        <v>474.75343750000002</v>
      </c>
      <c r="DW42">
        <v>-0.23460577499999999</v>
      </c>
      <c r="DX42">
        <v>466.38443749999999</v>
      </c>
      <c r="DY42">
        <v>17.627800000000001</v>
      </c>
      <c r="DZ42">
        <v>1.758145625</v>
      </c>
      <c r="EA42">
        <v>1.78186125</v>
      </c>
      <c r="EB42">
        <v>15.419487500000001</v>
      </c>
      <c r="EC42">
        <v>15.628556250000001</v>
      </c>
      <c r="ED42">
        <v>2.0002599999999999E-2</v>
      </c>
      <c r="EE42">
        <v>0</v>
      </c>
      <c r="EF42">
        <v>0</v>
      </c>
      <c r="EG42">
        <v>0</v>
      </c>
      <c r="EH42">
        <v>252.33281249999999</v>
      </c>
      <c r="EI42">
        <v>2.0002599999999999E-2</v>
      </c>
      <c r="EJ42">
        <v>-7.3343749999999996</v>
      </c>
      <c r="EK42">
        <v>0.4296875</v>
      </c>
      <c r="EL42">
        <v>35.956812499999998</v>
      </c>
      <c r="EM42">
        <v>39.515437499999997</v>
      </c>
      <c r="EN42">
        <v>37.827874999999999</v>
      </c>
      <c r="EO42">
        <v>40.4645625</v>
      </c>
      <c r="EP42">
        <v>38.882624999999997</v>
      </c>
      <c r="EQ42">
        <v>0</v>
      </c>
      <c r="ER42">
        <v>0</v>
      </c>
      <c r="ES42">
        <v>0</v>
      </c>
      <c r="ET42">
        <v>66.399999856948895</v>
      </c>
      <c r="EU42">
        <v>0</v>
      </c>
      <c r="EV42">
        <v>253.11799999999999</v>
      </c>
      <c r="EW42">
        <v>1.1826924428960699</v>
      </c>
      <c r="EX42">
        <v>11.2096153195382</v>
      </c>
      <c r="EY42">
        <v>-7.726</v>
      </c>
      <c r="EZ42">
        <v>15</v>
      </c>
      <c r="FA42">
        <v>1664976001.0999999</v>
      </c>
      <c r="FB42" t="s">
        <v>425</v>
      </c>
      <c r="FC42">
        <v>1664976001.0999999</v>
      </c>
      <c r="FD42">
        <v>1790572693.0999999</v>
      </c>
      <c r="FE42">
        <v>1</v>
      </c>
      <c r="FF42">
        <v>0.30399999999999999</v>
      </c>
      <c r="FG42">
        <v>0</v>
      </c>
      <c r="FH42">
        <v>1.337</v>
      </c>
      <c r="FI42">
        <v>-0.128</v>
      </c>
      <c r="FJ42">
        <v>462</v>
      </c>
      <c r="FK42">
        <v>17</v>
      </c>
      <c r="FL42">
        <v>0.87</v>
      </c>
      <c r="FM42">
        <v>0.1</v>
      </c>
      <c r="FN42">
        <v>-24.083592237310398</v>
      </c>
      <c r="FO42">
        <v>112.390806102083</v>
      </c>
      <c r="FP42">
        <v>11.561719729896099</v>
      </c>
      <c r="FQ42">
        <v>-1</v>
      </c>
      <c r="FR42">
        <v>-20.780742</v>
      </c>
      <c r="FS42">
        <v>100.675190075188</v>
      </c>
      <c r="FT42">
        <v>9.8077562877666402</v>
      </c>
      <c r="FU42">
        <v>-1</v>
      </c>
      <c r="FV42">
        <v>252.53823529411801</v>
      </c>
      <c r="FW42">
        <v>9.7624141964713793</v>
      </c>
      <c r="FX42">
        <v>2.7969076627676599</v>
      </c>
      <c r="FY42">
        <v>0</v>
      </c>
      <c r="FZ42">
        <v>-0.23577907000000001</v>
      </c>
      <c r="GA42">
        <v>0.30180854436090199</v>
      </c>
      <c r="GB42">
        <v>6.23884525790879E-2</v>
      </c>
      <c r="GC42">
        <v>-1</v>
      </c>
      <c r="GD42">
        <v>0</v>
      </c>
      <c r="GE42">
        <v>1</v>
      </c>
      <c r="GF42" t="s">
        <v>458</v>
      </c>
      <c r="GG42">
        <v>2.1416900000000001</v>
      </c>
      <c r="GH42">
        <v>2.6551399999999998</v>
      </c>
      <c r="GI42">
        <v>9.6458500000000003E-2</v>
      </c>
      <c r="GJ42">
        <v>9.9771899999999997E-2</v>
      </c>
      <c r="GK42">
        <v>9.4341700000000001E-2</v>
      </c>
      <c r="GL42">
        <v>9.7135100000000002E-2</v>
      </c>
      <c r="GM42">
        <v>17606.099999999999</v>
      </c>
      <c r="GN42">
        <v>26494.5</v>
      </c>
      <c r="GO42">
        <v>22765.3</v>
      </c>
      <c r="GP42">
        <v>30154.400000000001</v>
      </c>
      <c r="GQ42">
        <v>33810.1</v>
      </c>
      <c r="GR42">
        <v>33902.800000000003</v>
      </c>
      <c r="GS42">
        <v>43067.3</v>
      </c>
      <c r="GT42">
        <v>42931.5</v>
      </c>
      <c r="GU42">
        <v>0.02</v>
      </c>
      <c r="GV42">
        <v>1.4277500000000001</v>
      </c>
      <c r="GW42">
        <v>9.7885700000000006E-2</v>
      </c>
      <c r="GX42">
        <v>0</v>
      </c>
      <c r="GY42">
        <v>24.6951</v>
      </c>
      <c r="GZ42">
        <v>999.9</v>
      </c>
      <c r="HA42">
        <v>35.075000000000003</v>
      </c>
      <c r="HB42">
        <v>27.905999999999999</v>
      </c>
      <c r="HC42">
        <v>13.096</v>
      </c>
      <c r="HD42">
        <v>63.339399999999998</v>
      </c>
      <c r="HE42">
        <v>0</v>
      </c>
      <c r="HF42">
        <v>0</v>
      </c>
      <c r="HG42">
        <v>-1.9052300000000001E-2</v>
      </c>
      <c r="HH42">
        <v>0</v>
      </c>
      <c r="HI42">
        <v>20.269600000000001</v>
      </c>
      <c r="HJ42">
        <v>5.2345100000000002</v>
      </c>
      <c r="HK42">
        <v>11.962</v>
      </c>
      <c r="HL42">
        <v>4.96915</v>
      </c>
      <c r="HM42">
        <v>3.29535</v>
      </c>
      <c r="HN42">
        <v>9999</v>
      </c>
      <c r="HO42">
        <v>999.9</v>
      </c>
      <c r="HP42">
        <v>9999</v>
      </c>
      <c r="HQ42">
        <v>9999</v>
      </c>
      <c r="HR42">
        <v>4.9684100000000004</v>
      </c>
      <c r="HS42">
        <v>1.86202</v>
      </c>
      <c r="HT42">
        <v>1.8635600000000001</v>
      </c>
      <c r="HU42">
        <v>1.86554</v>
      </c>
      <c r="HV42">
        <v>1.8626400000000001</v>
      </c>
      <c r="HW42">
        <v>1.8663000000000001</v>
      </c>
      <c r="HX42">
        <v>1.8631</v>
      </c>
      <c r="HY42">
        <v>1.86493</v>
      </c>
      <c r="HZ42">
        <v>0</v>
      </c>
      <c r="IA42">
        <v>0</v>
      </c>
      <c r="IB42">
        <v>0</v>
      </c>
      <c r="IC42">
        <v>0</v>
      </c>
      <c r="ID42" t="s">
        <v>427</v>
      </c>
      <c r="IE42" t="s">
        <v>428</v>
      </c>
      <c r="IF42" t="s">
        <v>429</v>
      </c>
      <c r="IG42" t="s">
        <v>429</v>
      </c>
      <c r="IH42" t="s">
        <v>429</v>
      </c>
      <c r="II42" t="s">
        <v>429</v>
      </c>
      <c r="IJ42">
        <v>0</v>
      </c>
      <c r="IK42">
        <v>100</v>
      </c>
      <c r="IL42">
        <v>100</v>
      </c>
      <c r="IM42">
        <v>1.333</v>
      </c>
      <c r="IN42">
        <v>-0.1067</v>
      </c>
      <c r="IO42">
        <v>0.91043272280072696</v>
      </c>
      <c r="IP42">
        <v>1.61658254425633E-3</v>
      </c>
      <c r="IQ42">
        <v>-1.89604851270483E-6</v>
      </c>
      <c r="IR42">
        <v>8.6681353432279101E-10</v>
      </c>
      <c r="IS42">
        <v>-4.47525518804959E-2</v>
      </c>
      <c r="IT42">
        <v>-3.5871989026399903E-2</v>
      </c>
      <c r="IU42">
        <v>1.9028800927848801E-3</v>
      </c>
      <c r="IV42">
        <v>-4.7539144078026999E-6</v>
      </c>
      <c r="IW42">
        <v>1</v>
      </c>
      <c r="IX42">
        <v>1704</v>
      </c>
      <c r="IY42">
        <v>4</v>
      </c>
      <c r="IZ42">
        <v>25</v>
      </c>
      <c r="JA42">
        <v>34.4</v>
      </c>
      <c r="JB42">
        <v>-2093243.8</v>
      </c>
      <c r="JC42">
        <v>0.162354</v>
      </c>
      <c r="JD42">
        <v>4.99878</v>
      </c>
      <c r="JE42">
        <v>0.239258</v>
      </c>
      <c r="JF42">
        <v>1.2206999999999999E-3</v>
      </c>
      <c r="JG42">
        <v>0.26733400000000002</v>
      </c>
      <c r="JH42">
        <v>4.99878</v>
      </c>
      <c r="JI42">
        <v>31.4115</v>
      </c>
      <c r="JJ42">
        <v>15.646800000000001</v>
      </c>
      <c r="JK42">
        <v>2</v>
      </c>
      <c r="JL42">
        <v>-26.962700000000002</v>
      </c>
      <c r="JM42">
        <v>256.072</v>
      </c>
      <c r="JN42">
        <v>26.6037</v>
      </c>
      <c r="JO42">
        <v>27.130600000000001</v>
      </c>
      <c r="JP42">
        <v>29.999700000000001</v>
      </c>
      <c r="JQ42">
        <v>27.1251</v>
      </c>
      <c r="JR42">
        <v>27.028199999999998</v>
      </c>
      <c r="JS42">
        <v>-1</v>
      </c>
      <c r="JT42">
        <v>-30</v>
      </c>
      <c r="JU42">
        <v>-30</v>
      </c>
      <c r="JV42">
        <v>-999.9</v>
      </c>
      <c r="JW42">
        <v>0</v>
      </c>
      <c r="JX42">
        <v>0</v>
      </c>
      <c r="JY42">
        <v>101.69799999999999</v>
      </c>
      <c r="JZ42">
        <v>97.502700000000004</v>
      </c>
    </row>
    <row r="43" spans="1:286" x14ac:dyDescent="0.4">
      <c r="A43">
        <v>27</v>
      </c>
      <c r="B43">
        <v>1664978127.0999999</v>
      </c>
      <c r="C43">
        <v>2157</v>
      </c>
      <c r="D43" t="s">
        <v>514</v>
      </c>
      <c r="E43" t="s">
        <v>515</v>
      </c>
      <c r="F43">
        <v>5</v>
      </c>
      <c r="G43">
        <v>1664978118.5999999</v>
      </c>
      <c r="H43">
        <f t="shared" si="0"/>
        <v>1.5999297075647482E-4</v>
      </c>
      <c r="I43">
        <f t="shared" si="1"/>
        <v>0.15999297075647481</v>
      </c>
      <c r="J43">
        <f t="shared" si="2"/>
        <v>-11.234919000004018</v>
      </c>
      <c r="K43">
        <f t="shared" si="3"/>
        <v>457.81062500000002</v>
      </c>
      <c r="L43">
        <f t="shared" si="4"/>
        <v>2261.3395906630494</v>
      </c>
      <c r="M43">
        <f t="shared" si="5"/>
        <v>228.56697916154334</v>
      </c>
      <c r="N43">
        <f t="shared" si="6"/>
        <v>46.273630027247002</v>
      </c>
      <c r="O43">
        <f t="shared" si="7"/>
        <v>9.7891030753537913E-3</v>
      </c>
      <c r="P43">
        <f t="shared" si="8"/>
        <v>3.0290308832272825</v>
      </c>
      <c r="Q43">
        <f t="shared" si="9"/>
        <v>9.7715615089905665E-3</v>
      </c>
      <c r="R43">
        <f t="shared" si="10"/>
        <v>6.1087993313625882E-3</v>
      </c>
      <c r="S43">
        <f t="shared" si="11"/>
        <v>6.3856599478895988E-4</v>
      </c>
      <c r="T43">
        <f t="shared" si="12"/>
        <v>26.755390184245623</v>
      </c>
      <c r="U43">
        <f t="shared" si="13"/>
        <v>26.211500000000001</v>
      </c>
      <c r="V43">
        <f t="shared" si="14"/>
        <v>3.4167193036286476</v>
      </c>
      <c r="W43">
        <f t="shared" si="15"/>
        <v>51.026268260476748</v>
      </c>
      <c r="X43">
        <f t="shared" si="16"/>
        <v>1.8045147138695559</v>
      </c>
      <c r="Y43">
        <f t="shared" si="17"/>
        <v>3.5364426507890898</v>
      </c>
      <c r="Z43">
        <f t="shared" si="18"/>
        <v>1.6122045897590918</v>
      </c>
      <c r="AA43">
        <f t="shared" si="19"/>
        <v>-7.0556900103605393</v>
      </c>
      <c r="AB43">
        <f t="shared" si="20"/>
        <v>95.404592728724509</v>
      </c>
      <c r="AC43">
        <f t="shared" si="21"/>
        <v>6.7636853641176264</v>
      </c>
      <c r="AD43">
        <f t="shared" si="22"/>
        <v>95.113226648476385</v>
      </c>
      <c r="AE43">
        <v>5</v>
      </c>
      <c r="AF43">
        <v>100</v>
      </c>
      <c r="AG43">
        <f t="shared" si="23"/>
        <v>1</v>
      </c>
      <c r="AH43">
        <f t="shared" si="24"/>
        <v>0</v>
      </c>
      <c r="AI43">
        <f t="shared" si="25"/>
        <v>53488.298010437116</v>
      </c>
      <c r="AJ43" t="s">
        <v>516</v>
      </c>
      <c r="AK43">
        <v>8119.92</v>
      </c>
      <c r="AL43">
        <v>231.999</v>
      </c>
      <c r="AM43">
        <v>1594.61</v>
      </c>
      <c r="AN43">
        <f t="shared" si="26"/>
        <v>0.85451050727137046</v>
      </c>
      <c r="AO43">
        <v>-11.234919000004</v>
      </c>
      <c r="AP43" t="s">
        <v>423</v>
      </c>
      <c r="AQ43" t="s">
        <v>423</v>
      </c>
      <c r="AR43">
        <v>0</v>
      </c>
      <c r="AS43">
        <v>0</v>
      </c>
      <c r="AT43" t="e">
        <f t="shared" si="27"/>
        <v>#DIV/0!</v>
      </c>
      <c r="AU43">
        <v>0.5</v>
      </c>
      <c r="AV43">
        <f t="shared" si="28"/>
        <v>3.3608736567839995E-3</v>
      </c>
      <c r="AW43">
        <f t="shared" si="29"/>
        <v>-11.234919000004018</v>
      </c>
      <c r="AX43" t="e">
        <f t="shared" si="30"/>
        <v>#DIV/0!</v>
      </c>
      <c r="AY43">
        <f t="shared" si="31"/>
        <v>-5.2854020138919358E-12</v>
      </c>
      <c r="AZ43" t="e">
        <f t="shared" si="32"/>
        <v>#DIV/0!</v>
      </c>
      <c r="BA43" t="e">
        <f t="shared" si="33"/>
        <v>#DIV/0!</v>
      </c>
      <c r="BB43" t="s">
        <v>423</v>
      </c>
      <c r="BC43">
        <v>0</v>
      </c>
      <c r="BD43" t="e">
        <f t="shared" si="34"/>
        <v>#DIV/0!</v>
      </c>
      <c r="BE43" t="e">
        <f t="shared" si="35"/>
        <v>#DIV/0!</v>
      </c>
      <c r="BF43" t="e">
        <f t="shared" si="36"/>
        <v>#DIV/0!</v>
      </c>
      <c r="BG43" t="e">
        <f t="shared" si="37"/>
        <v>#DIV/0!</v>
      </c>
      <c r="BH43">
        <f t="shared" si="38"/>
        <v>0</v>
      </c>
      <c r="BI43">
        <f t="shared" si="39"/>
        <v>1.1702606246390204</v>
      </c>
      <c r="BJ43" t="e">
        <f t="shared" si="40"/>
        <v>#DIV/0!</v>
      </c>
      <c r="BK43" t="e">
        <f t="shared" si="41"/>
        <v>#DIV/0!</v>
      </c>
      <c r="BL43">
        <v>939</v>
      </c>
      <c r="BM43">
        <v>290</v>
      </c>
      <c r="BN43">
        <v>1558.67</v>
      </c>
      <c r="BO43">
        <v>165</v>
      </c>
      <c r="BP43">
        <v>8114.57</v>
      </c>
      <c r="BQ43">
        <v>1551.92</v>
      </c>
      <c r="BR43">
        <v>6.75</v>
      </c>
      <c r="BS43">
        <v>300</v>
      </c>
      <c r="BT43">
        <v>19.2</v>
      </c>
      <c r="BU43">
        <v>1584.3896717483201</v>
      </c>
      <c r="BV43">
        <v>1.88110366540944</v>
      </c>
      <c r="BW43">
        <v>-26.347569484426199</v>
      </c>
      <c r="BX43">
        <v>1.36356822732003</v>
      </c>
      <c r="BY43">
        <v>0.93023713121789597</v>
      </c>
      <c r="BZ43">
        <v>-5.3779617352614001E-3</v>
      </c>
      <c r="CA43">
        <v>290</v>
      </c>
      <c r="CB43">
        <v>1543.03</v>
      </c>
      <c r="CC43">
        <v>615</v>
      </c>
      <c r="CD43">
        <v>8099.76</v>
      </c>
      <c r="CE43">
        <v>1551.86</v>
      </c>
      <c r="CF43">
        <v>-8.83</v>
      </c>
      <c r="CT43">
        <f t="shared" si="42"/>
        <v>2.0002599999999999E-2</v>
      </c>
      <c r="CU43">
        <f t="shared" si="43"/>
        <v>3.3608736567839995E-3</v>
      </c>
      <c r="CV43">
        <f t="shared" si="44"/>
        <v>0.16802183999999998</v>
      </c>
      <c r="CW43">
        <f t="shared" si="45"/>
        <v>3.1924149599999993E-2</v>
      </c>
      <c r="CX43">
        <v>2</v>
      </c>
      <c r="CY43">
        <v>0.5</v>
      </c>
      <c r="CZ43" t="s">
        <v>424</v>
      </c>
      <c r="DA43">
        <v>2</v>
      </c>
      <c r="DB43">
        <v>1664978118.5999999</v>
      </c>
      <c r="DC43">
        <v>457.81062500000002</v>
      </c>
      <c r="DD43">
        <v>468.89156250000002</v>
      </c>
      <c r="DE43">
        <v>17.8530625</v>
      </c>
      <c r="DF43">
        <v>18.009062499999999</v>
      </c>
      <c r="DG43">
        <v>456.47500000000002</v>
      </c>
      <c r="DH43">
        <v>17.955862499999999</v>
      </c>
      <c r="DI43">
        <v>-201.4571875</v>
      </c>
      <c r="DJ43">
        <v>101.07774999999999</v>
      </c>
      <c r="DK43">
        <v>-1.830175625E-3</v>
      </c>
      <c r="DL43">
        <v>26.795725000000001</v>
      </c>
      <c r="DM43">
        <v>26.211500000000001</v>
      </c>
      <c r="DN43">
        <v>999.9</v>
      </c>
      <c r="DO43">
        <v>0</v>
      </c>
      <c r="DP43">
        <v>0</v>
      </c>
      <c r="DQ43">
        <v>10000.940624999999</v>
      </c>
      <c r="DR43">
        <v>0</v>
      </c>
      <c r="DS43">
        <v>0.21823999999999999</v>
      </c>
      <c r="DT43">
        <v>-11.080948125000001</v>
      </c>
      <c r="DU43">
        <v>466.13237500000002</v>
      </c>
      <c r="DV43">
        <v>477.49074999999999</v>
      </c>
      <c r="DW43">
        <v>-0.15600161874999999</v>
      </c>
      <c r="DX43">
        <v>468.89156250000002</v>
      </c>
      <c r="DY43">
        <v>18.009062499999999</v>
      </c>
      <c r="DZ43">
        <v>1.8045487499999999</v>
      </c>
      <c r="EA43">
        <v>1.8203168750000001</v>
      </c>
      <c r="EB43">
        <v>15.8251875</v>
      </c>
      <c r="EC43">
        <v>15.962356249999999</v>
      </c>
      <c r="ED43">
        <v>2.0002599999999999E-2</v>
      </c>
      <c r="EE43">
        <v>0</v>
      </c>
      <c r="EF43">
        <v>0</v>
      </c>
      <c r="EG43">
        <v>0</v>
      </c>
      <c r="EH43">
        <v>231.68281250000001</v>
      </c>
      <c r="EI43">
        <v>2.0002599999999999E-2</v>
      </c>
      <c r="EJ43">
        <v>-7.6578125000000004</v>
      </c>
      <c r="EK43">
        <v>0.38750000000000001</v>
      </c>
      <c r="EL43">
        <v>35.425562499999998</v>
      </c>
      <c r="EM43">
        <v>38.2301875</v>
      </c>
      <c r="EN43">
        <v>37.093499999999999</v>
      </c>
      <c r="EO43">
        <v>38.566125</v>
      </c>
      <c r="EP43">
        <v>38.093499999999999</v>
      </c>
      <c r="EQ43">
        <v>0</v>
      </c>
      <c r="ER43">
        <v>0</v>
      </c>
      <c r="ES43">
        <v>0</v>
      </c>
      <c r="ET43">
        <v>58.5</v>
      </c>
      <c r="EU43">
        <v>0</v>
      </c>
      <c r="EV43">
        <v>231.999</v>
      </c>
      <c r="EW43">
        <v>7.9153846074844498</v>
      </c>
      <c r="EX43">
        <v>22.030769343653599</v>
      </c>
      <c r="EY43">
        <v>-7.95</v>
      </c>
      <c r="EZ43">
        <v>15</v>
      </c>
      <c r="FA43">
        <v>1664976001.0999999</v>
      </c>
      <c r="FB43" t="s">
        <v>425</v>
      </c>
      <c r="FC43">
        <v>1664976001.0999999</v>
      </c>
      <c r="FD43">
        <v>1790572693.0999999</v>
      </c>
      <c r="FE43">
        <v>1</v>
      </c>
      <c r="FF43">
        <v>0.30399999999999999</v>
      </c>
      <c r="FG43">
        <v>0</v>
      </c>
      <c r="FH43">
        <v>1.337</v>
      </c>
      <c r="FI43">
        <v>-0.128</v>
      </c>
      <c r="FJ43">
        <v>462</v>
      </c>
      <c r="FK43">
        <v>17</v>
      </c>
      <c r="FL43">
        <v>0.87</v>
      </c>
      <c r="FM43">
        <v>0.1</v>
      </c>
      <c r="FN43">
        <v>-9.2620398514845501</v>
      </c>
      <c r="FO43">
        <v>-23.121148709495099</v>
      </c>
      <c r="FP43">
        <v>5.2551932485901602</v>
      </c>
      <c r="FQ43">
        <v>-1</v>
      </c>
      <c r="FR43">
        <v>-8.9959295238095205</v>
      </c>
      <c r="FS43">
        <v>-19.486766493506501</v>
      </c>
      <c r="FT43">
        <v>5.1097210829801796</v>
      </c>
      <c r="FU43">
        <v>-1</v>
      </c>
      <c r="FV43">
        <v>231.470588235294</v>
      </c>
      <c r="FW43">
        <v>6.0993124962317502</v>
      </c>
      <c r="FX43">
        <v>2.6523260503770398</v>
      </c>
      <c r="FY43">
        <v>0</v>
      </c>
      <c r="FZ43">
        <v>-0.24546166190476201</v>
      </c>
      <c r="GA43">
        <v>2.0283229012986999</v>
      </c>
      <c r="GB43">
        <v>0.22339433441126899</v>
      </c>
      <c r="GC43">
        <v>-1</v>
      </c>
      <c r="GD43">
        <v>0</v>
      </c>
      <c r="GE43">
        <v>1</v>
      </c>
      <c r="GF43" t="s">
        <v>458</v>
      </c>
      <c r="GG43">
        <v>2.14188</v>
      </c>
      <c r="GH43">
        <v>2.6566299999999998</v>
      </c>
      <c r="GI43">
        <v>9.7093200000000005E-2</v>
      </c>
      <c r="GJ43">
        <v>0.100827</v>
      </c>
      <c r="GK43">
        <v>9.5826499999999995E-2</v>
      </c>
      <c r="GL43">
        <v>9.8821000000000006E-2</v>
      </c>
      <c r="GM43">
        <v>17594.900000000001</v>
      </c>
      <c r="GN43">
        <v>26466</v>
      </c>
      <c r="GO43">
        <v>22766.7</v>
      </c>
      <c r="GP43">
        <v>30157.1</v>
      </c>
      <c r="GQ43">
        <v>33754.6</v>
      </c>
      <c r="GR43">
        <v>33842.199999999997</v>
      </c>
      <c r="GS43">
        <v>43069.599999999999</v>
      </c>
      <c r="GT43">
        <v>42935.3</v>
      </c>
      <c r="GU43">
        <v>0.02</v>
      </c>
      <c r="GV43">
        <v>1.42625</v>
      </c>
      <c r="GW43">
        <v>9.6552100000000002E-2</v>
      </c>
      <c r="GX43">
        <v>0</v>
      </c>
      <c r="GY43">
        <v>24.6434</v>
      </c>
      <c r="GZ43">
        <v>999.9</v>
      </c>
      <c r="HA43">
        <v>35.026000000000003</v>
      </c>
      <c r="HB43">
        <v>27.916</v>
      </c>
      <c r="HC43">
        <v>13.085000000000001</v>
      </c>
      <c r="HD43">
        <v>63.309399999999997</v>
      </c>
      <c r="HE43">
        <v>0</v>
      </c>
      <c r="HF43">
        <v>0</v>
      </c>
      <c r="HG43">
        <v>-2.2047799999999999E-2</v>
      </c>
      <c r="HH43">
        <v>0</v>
      </c>
      <c r="HI43">
        <v>20.2697</v>
      </c>
      <c r="HJ43">
        <v>5.2345100000000002</v>
      </c>
      <c r="HK43">
        <v>11.962</v>
      </c>
      <c r="HL43">
        <v>4.9695</v>
      </c>
      <c r="HM43">
        <v>3.2953800000000002</v>
      </c>
      <c r="HN43">
        <v>9999</v>
      </c>
      <c r="HO43">
        <v>999.9</v>
      </c>
      <c r="HP43">
        <v>9999</v>
      </c>
      <c r="HQ43">
        <v>9999</v>
      </c>
      <c r="HR43">
        <v>4.9684100000000004</v>
      </c>
      <c r="HS43">
        <v>1.8620000000000001</v>
      </c>
      <c r="HT43">
        <v>1.8635600000000001</v>
      </c>
      <c r="HU43">
        <v>1.86554</v>
      </c>
      <c r="HV43">
        <v>1.8626400000000001</v>
      </c>
      <c r="HW43">
        <v>1.8663000000000001</v>
      </c>
      <c r="HX43">
        <v>1.8631</v>
      </c>
      <c r="HY43">
        <v>1.86493</v>
      </c>
      <c r="HZ43">
        <v>0</v>
      </c>
      <c r="IA43">
        <v>0</v>
      </c>
      <c r="IB43">
        <v>0</v>
      </c>
      <c r="IC43">
        <v>0</v>
      </c>
      <c r="ID43" t="s">
        <v>427</v>
      </c>
      <c r="IE43" t="s">
        <v>428</v>
      </c>
      <c r="IF43" t="s">
        <v>429</v>
      </c>
      <c r="IG43" t="s">
        <v>429</v>
      </c>
      <c r="IH43" t="s">
        <v>429</v>
      </c>
      <c r="II43" t="s">
        <v>429</v>
      </c>
      <c r="IJ43">
        <v>0</v>
      </c>
      <c r="IK43">
        <v>100</v>
      </c>
      <c r="IL43">
        <v>100</v>
      </c>
      <c r="IM43">
        <v>1.335</v>
      </c>
      <c r="IN43">
        <v>-9.5899999999999999E-2</v>
      </c>
      <c r="IO43">
        <v>0.91043272280072696</v>
      </c>
      <c r="IP43">
        <v>1.61658254425633E-3</v>
      </c>
      <c r="IQ43">
        <v>-1.89604851270483E-6</v>
      </c>
      <c r="IR43">
        <v>8.6681353432279101E-10</v>
      </c>
      <c r="IS43">
        <v>-4.47525518804959E-2</v>
      </c>
      <c r="IT43">
        <v>-3.5871989026399903E-2</v>
      </c>
      <c r="IU43">
        <v>1.9028800927848801E-3</v>
      </c>
      <c r="IV43">
        <v>-4.7539144078026999E-6</v>
      </c>
      <c r="IW43">
        <v>1</v>
      </c>
      <c r="IX43">
        <v>1704</v>
      </c>
      <c r="IY43">
        <v>4</v>
      </c>
      <c r="IZ43">
        <v>25</v>
      </c>
      <c r="JA43">
        <v>35.4</v>
      </c>
      <c r="JB43">
        <v>-2093242.8</v>
      </c>
      <c r="JC43">
        <v>0.162354</v>
      </c>
      <c r="JD43">
        <v>4.99878</v>
      </c>
      <c r="JE43">
        <v>0.239258</v>
      </c>
      <c r="JF43">
        <v>1.2206999999999999E-3</v>
      </c>
      <c r="JG43">
        <v>0.26733400000000002</v>
      </c>
      <c r="JH43">
        <v>4.99878</v>
      </c>
      <c r="JI43">
        <v>31.4115</v>
      </c>
      <c r="JJ43">
        <v>15.646800000000001</v>
      </c>
      <c r="JK43">
        <v>2</v>
      </c>
      <c r="JL43">
        <v>-26.971</v>
      </c>
      <c r="JM43">
        <v>255.351</v>
      </c>
      <c r="JN43">
        <v>26.6037</v>
      </c>
      <c r="JO43">
        <v>27.084099999999999</v>
      </c>
      <c r="JP43">
        <v>29.9998</v>
      </c>
      <c r="JQ43">
        <v>27.082799999999999</v>
      </c>
      <c r="JR43">
        <v>27.011700000000001</v>
      </c>
      <c r="JS43">
        <v>-1</v>
      </c>
      <c r="JT43">
        <v>-30</v>
      </c>
      <c r="JU43">
        <v>-30</v>
      </c>
      <c r="JV43">
        <v>-999.9</v>
      </c>
      <c r="JW43">
        <v>0</v>
      </c>
      <c r="JX43">
        <v>0</v>
      </c>
      <c r="JY43">
        <v>101.703</v>
      </c>
      <c r="JZ43">
        <v>97.511499999999998</v>
      </c>
    </row>
    <row r="44" spans="1:286" x14ac:dyDescent="0.4">
      <c r="A44">
        <v>28</v>
      </c>
      <c r="B44">
        <v>1664978225.0999999</v>
      </c>
      <c r="C44">
        <v>2255</v>
      </c>
      <c r="D44" t="s">
        <v>517</v>
      </c>
      <c r="E44" t="s">
        <v>518</v>
      </c>
      <c r="F44">
        <v>5</v>
      </c>
      <c r="G44">
        <v>1664978216.5999999</v>
      </c>
      <c r="H44">
        <f t="shared" si="0"/>
        <v>2.8944745017129745E-4</v>
      </c>
      <c r="I44">
        <f t="shared" si="1"/>
        <v>0.28944745017129747</v>
      </c>
      <c r="J44">
        <f t="shared" si="2"/>
        <v>2.4279015610691776</v>
      </c>
      <c r="K44">
        <f t="shared" si="3"/>
        <v>455.1520625</v>
      </c>
      <c r="L44">
        <f t="shared" si="4"/>
        <v>217.32875673040755</v>
      </c>
      <c r="M44">
        <f t="shared" si="5"/>
        <v>21.965543983225878</v>
      </c>
      <c r="N44">
        <f t="shared" si="6"/>
        <v>46.002483970870209</v>
      </c>
      <c r="O44">
        <f t="shared" si="7"/>
        <v>1.7034368322779221E-2</v>
      </c>
      <c r="P44">
        <f t="shared" si="8"/>
        <v>3.028279054587558</v>
      </c>
      <c r="Q44">
        <f t="shared" si="9"/>
        <v>1.6981314020135488E-2</v>
      </c>
      <c r="R44">
        <f t="shared" si="10"/>
        <v>1.0618074129048291E-2</v>
      </c>
      <c r="S44">
        <f t="shared" si="11"/>
        <v>6.3856599478895988E-4</v>
      </c>
      <c r="T44">
        <f t="shared" si="12"/>
        <v>26.725203235951067</v>
      </c>
      <c r="U44">
        <f t="shared" si="13"/>
        <v>26.330887499999999</v>
      </c>
      <c r="V44">
        <f t="shared" si="14"/>
        <v>3.4408930447902701</v>
      </c>
      <c r="W44">
        <f t="shared" si="15"/>
        <v>49.83056390976752</v>
      </c>
      <c r="X44">
        <f t="shared" si="16"/>
        <v>1.7624852373105087</v>
      </c>
      <c r="Y44">
        <f t="shared" si="17"/>
        <v>3.5369562353377981</v>
      </c>
      <c r="Z44">
        <f t="shared" si="18"/>
        <v>1.6784078074797615</v>
      </c>
      <c r="AA44">
        <f t="shared" si="19"/>
        <v>-12.764632552554218</v>
      </c>
      <c r="AB44">
        <f t="shared" si="20"/>
        <v>76.292689595306442</v>
      </c>
      <c r="AC44">
        <f t="shared" si="21"/>
        <v>5.4133950211052646</v>
      </c>
      <c r="AD44">
        <f t="shared" si="22"/>
        <v>68.942090629852274</v>
      </c>
      <c r="AE44">
        <v>5</v>
      </c>
      <c r="AF44">
        <v>100</v>
      </c>
      <c r="AG44">
        <f t="shared" si="23"/>
        <v>1</v>
      </c>
      <c r="AH44">
        <f t="shared" si="24"/>
        <v>0</v>
      </c>
      <c r="AI44">
        <f t="shared" si="25"/>
        <v>53464.446151886099</v>
      </c>
      <c r="AJ44" t="s">
        <v>519</v>
      </c>
      <c r="AK44">
        <v>8114.35</v>
      </c>
      <c r="AL44">
        <v>238.529807692308</v>
      </c>
      <c r="AM44">
        <v>1613.3</v>
      </c>
      <c r="AN44">
        <f t="shared" si="26"/>
        <v>0.85214789084962006</v>
      </c>
      <c r="AO44">
        <v>2.4279015610691199</v>
      </c>
      <c r="AP44" t="s">
        <v>423</v>
      </c>
      <c r="AQ44" t="s">
        <v>423</v>
      </c>
      <c r="AR44">
        <v>0</v>
      </c>
      <c r="AS44">
        <v>0</v>
      </c>
      <c r="AT44" t="e">
        <f t="shared" si="27"/>
        <v>#DIV/0!</v>
      </c>
      <c r="AU44">
        <v>0.5</v>
      </c>
      <c r="AV44">
        <f t="shared" si="28"/>
        <v>3.3608736567839995E-3</v>
      </c>
      <c r="AW44">
        <f t="shared" si="29"/>
        <v>2.4279015610691776</v>
      </c>
      <c r="AX44" t="e">
        <f t="shared" si="30"/>
        <v>#DIV/0!</v>
      </c>
      <c r="AY44">
        <f t="shared" si="31"/>
        <v>1.7177556545148791E-11</v>
      </c>
      <c r="AZ44" t="e">
        <f t="shared" si="32"/>
        <v>#DIV/0!</v>
      </c>
      <c r="BA44" t="e">
        <f t="shared" si="33"/>
        <v>#DIV/0!</v>
      </c>
      <c r="BB44" t="s">
        <v>423</v>
      </c>
      <c r="BC44">
        <v>0</v>
      </c>
      <c r="BD44" t="e">
        <f t="shared" si="34"/>
        <v>#DIV/0!</v>
      </c>
      <c r="BE44" t="e">
        <f t="shared" si="35"/>
        <v>#DIV/0!</v>
      </c>
      <c r="BF44" t="e">
        <f t="shared" si="36"/>
        <v>#DIV/0!</v>
      </c>
      <c r="BG44" t="e">
        <f t="shared" si="37"/>
        <v>#DIV/0!</v>
      </c>
      <c r="BH44">
        <f t="shared" si="38"/>
        <v>0</v>
      </c>
      <c r="BI44">
        <f t="shared" si="39"/>
        <v>1.173505222201473</v>
      </c>
      <c r="BJ44" t="e">
        <f t="shared" si="40"/>
        <v>#DIV/0!</v>
      </c>
      <c r="BK44" t="e">
        <f t="shared" si="41"/>
        <v>#DIV/0!</v>
      </c>
      <c r="BL44">
        <v>939</v>
      </c>
      <c r="BM44">
        <v>290</v>
      </c>
      <c r="BN44">
        <v>1558.67</v>
      </c>
      <c r="BO44">
        <v>165</v>
      </c>
      <c r="BP44">
        <v>8114.57</v>
      </c>
      <c r="BQ44">
        <v>1551.92</v>
      </c>
      <c r="BR44">
        <v>6.75</v>
      </c>
      <c r="BS44">
        <v>300</v>
      </c>
      <c r="BT44">
        <v>19.2</v>
      </c>
      <c r="BU44">
        <v>1584.3896717483201</v>
      </c>
      <c r="BV44">
        <v>1.88110366540944</v>
      </c>
      <c r="BW44">
        <v>-26.347569484426199</v>
      </c>
      <c r="BX44">
        <v>1.36356822732003</v>
      </c>
      <c r="BY44">
        <v>0.93023713121789597</v>
      </c>
      <c r="BZ44">
        <v>-5.3779617352614001E-3</v>
      </c>
      <c r="CA44">
        <v>290</v>
      </c>
      <c r="CB44">
        <v>1543.03</v>
      </c>
      <c r="CC44">
        <v>615</v>
      </c>
      <c r="CD44">
        <v>8099.76</v>
      </c>
      <c r="CE44">
        <v>1551.86</v>
      </c>
      <c r="CF44">
        <v>-8.83</v>
      </c>
      <c r="CT44">
        <f t="shared" si="42"/>
        <v>2.0002599999999999E-2</v>
      </c>
      <c r="CU44">
        <f t="shared" si="43"/>
        <v>3.3608736567839995E-3</v>
      </c>
      <c r="CV44">
        <f t="shared" si="44"/>
        <v>0.16802183999999998</v>
      </c>
      <c r="CW44">
        <f t="shared" si="45"/>
        <v>3.1924149599999993E-2</v>
      </c>
      <c r="CX44">
        <v>2</v>
      </c>
      <c r="CY44">
        <v>0.5</v>
      </c>
      <c r="CZ44" t="s">
        <v>424</v>
      </c>
      <c r="DA44">
        <v>2</v>
      </c>
      <c r="DB44">
        <v>1664978216.5999999</v>
      </c>
      <c r="DC44">
        <v>455.1520625</v>
      </c>
      <c r="DD44">
        <v>452.606875</v>
      </c>
      <c r="DE44">
        <v>17.438162500000001</v>
      </c>
      <c r="DF44">
        <v>17.72095625</v>
      </c>
      <c r="DG44">
        <v>453.8175</v>
      </c>
      <c r="DH44">
        <v>17.552006250000002</v>
      </c>
      <c r="DI44">
        <v>-201.136</v>
      </c>
      <c r="DJ44">
        <v>101.07293749999999</v>
      </c>
      <c r="DK44">
        <v>-2.3552462499999999E-3</v>
      </c>
      <c r="DL44">
        <v>26.798193749999999</v>
      </c>
      <c r="DM44">
        <v>26.330887499999999</v>
      </c>
      <c r="DN44">
        <v>999.9</v>
      </c>
      <c r="DO44">
        <v>0</v>
      </c>
      <c r="DP44">
        <v>0</v>
      </c>
      <c r="DQ44">
        <v>9996.8731250000001</v>
      </c>
      <c r="DR44">
        <v>0</v>
      </c>
      <c r="DS44">
        <v>0.21823999999999999</v>
      </c>
      <c r="DT44">
        <v>2.5452276249999999</v>
      </c>
      <c r="DU44">
        <v>463.23025000000001</v>
      </c>
      <c r="DV44">
        <v>460.77199999999999</v>
      </c>
      <c r="DW44">
        <v>-0.28279124999999999</v>
      </c>
      <c r="DX44">
        <v>452.606875</v>
      </c>
      <c r="DY44">
        <v>17.72095625</v>
      </c>
      <c r="DZ44">
        <v>1.7625262500000001</v>
      </c>
      <c r="EA44">
        <v>1.7911081250000001</v>
      </c>
      <c r="EB44">
        <v>15.458299999999999</v>
      </c>
      <c r="EC44">
        <v>15.70939375</v>
      </c>
      <c r="ED44">
        <v>2.0002599999999999E-2</v>
      </c>
      <c r="EE44">
        <v>0</v>
      </c>
      <c r="EF44">
        <v>0</v>
      </c>
      <c r="EG44">
        <v>0</v>
      </c>
      <c r="EH44">
        <v>237.96562499999999</v>
      </c>
      <c r="EI44">
        <v>2.0002599999999999E-2</v>
      </c>
      <c r="EJ44">
        <v>-9.09375</v>
      </c>
      <c r="EK44">
        <v>0.41718749999999999</v>
      </c>
      <c r="EL44">
        <v>35.409875</v>
      </c>
      <c r="EM44">
        <v>39.132624999999997</v>
      </c>
      <c r="EN44">
        <v>37.644187500000001</v>
      </c>
      <c r="EO44">
        <v>39.741875</v>
      </c>
      <c r="EP44">
        <v>38.566187499999998</v>
      </c>
      <c r="EQ44">
        <v>0</v>
      </c>
      <c r="ER44">
        <v>0</v>
      </c>
      <c r="ES44">
        <v>0</v>
      </c>
      <c r="ET44">
        <v>96.799999952316298</v>
      </c>
      <c r="EU44">
        <v>0</v>
      </c>
      <c r="EV44">
        <v>238.529807692308</v>
      </c>
      <c r="EW44">
        <v>8.9529916147825404</v>
      </c>
      <c r="EX44">
        <v>-4.8649575849816999</v>
      </c>
      <c r="EY44">
        <v>-9.1365384615384606</v>
      </c>
      <c r="EZ44">
        <v>15</v>
      </c>
      <c r="FA44">
        <v>1664976001.0999999</v>
      </c>
      <c r="FB44" t="s">
        <v>425</v>
      </c>
      <c r="FC44">
        <v>1664976001.0999999</v>
      </c>
      <c r="FD44">
        <v>1790572693.0999999</v>
      </c>
      <c r="FE44">
        <v>1</v>
      </c>
      <c r="FF44">
        <v>0.30399999999999999</v>
      </c>
      <c r="FG44">
        <v>0</v>
      </c>
      <c r="FH44">
        <v>1.337</v>
      </c>
      <c r="FI44">
        <v>-0.128</v>
      </c>
      <c r="FJ44">
        <v>462</v>
      </c>
      <c r="FK44">
        <v>17</v>
      </c>
      <c r="FL44">
        <v>0.87</v>
      </c>
      <c r="FM44">
        <v>0.1</v>
      </c>
      <c r="FN44">
        <v>-0.68856657548361699</v>
      </c>
      <c r="FO44">
        <v>46.785295148266798</v>
      </c>
      <c r="FP44">
        <v>6.2747557649421797</v>
      </c>
      <c r="FQ44">
        <v>-1</v>
      </c>
      <c r="FR44">
        <v>1.1714496000000001</v>
      </c>
      <c r="FS44">
        <v>66.571635248120302</v>
      </c>
      <c r="FT44">
        <v>8.2461383918958706</v>
      </c>
      <c r="FU44">
        <v>-1</v>
      </c>
      <c r="FV44">
        <v>238.5</v>
      </c>
      <c r="FW44">
        <v>-0.47975554853623498</v>
      </c>
      <c r="FX44">
        <v>3.4062226793291801</v>
      </c>
      <c r="FY44">
        <v>1</v>
      </c>
      <c r="FZ44">
        <v>-0.30855854999999999</v>
      </c>
      <c r="GA44">
        <v>0.85506121804511304</v>
      </c>
      <c r="GB44">
        <v>8.40174394482925E-2</v>
      </c>
      <c r="GC44">
        <v>-1</v>
      </c>
      <c r="GD44">
        <v>1</v>
      </c>
      <c r="GE44">
        <v>1</v>
      </c>
      <c r="GF44" t="s">
        <v>468</v>
      </c>
      <c r="GG44">
        <v>2.14228</v>
      </c>
      <c r="GH44">
        <v>2.6556000000000002</v>
      </c>
      <c r="GI44">
        <v>0.100138</v>
      </c>
      <c r="GJ44">
        <v>9.9028599999999994E-2</v>
      </c>
      <c r="GK44">
        <v>9.3586799999999998E-2</v>
      </c>
      <c r="GL44">
        <v>9.7489400000000004E-2</v>
      </c>
      <c r="GM44">
        <v>17538.8</v>
      </c>
      <c r="GN44">
        <v>26523.9</v>
      </c>
      <c r="GO44">
        <v>22770.6</v>
      </c>
      <c r="GP44">
        <v>30162.6</v>
      </c>
      <c r="GQ44">
        <v>33845.800000000003</v>
      </c>
      <c r="GR44">
        <v>33898</v>
      </c>
      <c r="GS44">
        <v>43075.8</v>
      </c>
      <c r="GT44">
        <v>42942.6</v>
      </c>
      <c r="GU44">
        <v>0.02</v>
      </c>
      <c r="GV44">
        <v>1.42563</v>
      </c>
      <c r="GW44">
        <v>0.103503</v>
      </c>
      <c r="GX44">
        <v>0</v>
      </c>
      <c r="GY44">
        <v>24.686900000000001</v>
      </c>
      <c r="GZ44">
        <v>999.9</v>
      </c>
      <c r="HA44">
        <v>34.976999999999997</v>
      </c>
      <c r="HB44">
        <v>27.925999999999998</v>
      </c>
      <c r="HC44">
        <v>13.075200000000001</v>
      </c>
      <c r="HD44">
        <v>63.049399999999999</v>
      </c>
      <c r="HE44">
        <v>0</v>
      </c>
      <c r="HF44">
        <v>0</v>
      </c>
      <c r="HG44">
        <v>-2.8165599999999999E-2</v>
      </c>
      <c r="HH44">
        <v>0</v>
      </c>
      <c r="HI44">
        <v>20.272300000000001</v>
      </c>
      <c r="HJ44">
        <v>5.2345100000000002</v>
      </c>
      <c r="HK44">
        <v>11.962</v>
      </c>
      <c r="HL44">
        <v>4.9692499999999997</v>
      </c>
      <c r="HM44">
        <v>3.2955800000000002</v>
      </c>
      <c r="HN44">
        <v>9999</v>
      </c>
      <c r="HO44">
        <v>999.9</v>
      </c>
      <c r="HP44">
        <v>9999</v>
      </c>
      <c r="HQ44">
        <v>9999</v>
      </c>
      <c r="HR44">
        <v>4.9684100000000004</v>
      </c>
      <c r="HS44">
        <v>1.86191</v>
      </c>
      <c r="HT44">
        <v>1.8635600000000001</v>
      </c>
      <c r="HU44">
        <v>1.86554</v>
      </c>
      <c r="HV44">
        <v>1.8626400000000001</v>
      </c>
      <c r="HW44">
        <v>1.86629</v>
      </c>
      <c r="HX44">
        <v>1.8631</v>
      </c>
      <c r="HY44">
        <v>1.86493</v>
      </c>
      <c r="HZ44">
        <v>0</v>
      </c>
      <c r="IA44">
        <v>0</v>
      </c>
      <c r="IB44">
        <v>0</v>
      </c>
      <c r="IC44">
        <v>0</v>
      </c>
      <c r="ID44" t="s">
        <v>427</v>
      </c>
      <c r="IE44" t="s">
        <v>428</v>
      </c>
      <c r="IF44" t="s">
        <v>429</v>
      </c>
      <c r="IG44" t="s">
        <v>429</v>
      </c>
      <c r="IH44" t="s">
        <v>429</v>
      </c>
      <c r="II44" t="s">
        <v>429</v>
      </c>
      <c r="IJ44">
        <v>0</v>
      </c>
      <c r="IK44">
        <v>100</v>
      </c>
      <c r="IL44">
        <v>100</v>
      </c>
      <c r="IM44">
        <v>1.343</v>
      </c>
      <c r="IN44">
        <v>-0.11219999999999999</v>
      </c>
      <c r="IO44">
        <v>0.91043272280072696</v>
      </c>
      <c r="IP44">
        <v>1.61658254425633E-3</v>
      </c>
      <c r="IQ44">
        <v>-1.89604851270483E-6</v>
      </c>
      <c r="IR44">
        <v>8.6681353432279101E-10</v>
      </c>
      <c r="IS44">
        <v>-4.47525518804959E-2</v>
      </c>
      <c r="IT44">
        <v>-3.5871989026399903E-2</v>
      </c>
      <c r="IU44">
        <v>1.9028800927848801E-3</v>
      </c>
      <c r="IV44">
        <v>-4.7539144078026999E-6</v>
      </c>
      <c r="IW44">
        <v>1</v>
      </c>
      <c r="IX44">
        <v>1704</v>
      </c>
      <c r="IY44">
        <v>4</v>
      </c>
      <c r="IZ44">
        <v>25</v>
      </c>
      <c r="JA44">
        <v>37.1</v>
      </c>
      <c r="JB44">
        <v>-2093241.1</v>
      </c>
      <c r="JC44">
        <v>0.162354</v>
      </c>
      <c r="JD44">
        <v>4.99878</v>
      </c>
      <c r="JE44">
        <v>0.239258</v>
      </c>
      <c r="JF44">
        <v>1.2206999999999999E-3</v>
      </c>
      <c r="JG44">
        <v>0.26733400000000002</v>
      </c>
      <c r="JH44">
        <v>4.99878</v>
      </c>
      <c r="JI44">
        <v>31.4115</v>
      </c>
      <c r="JJ44">
        <v>15.6381</v>
      </c>
      <c r="JK44">
        <v>2</v>
      </c>
      <c r="JL44">
        <v>-26.9849</v>
      </c>
      <c r="JM44">
        <v>254.916</v>
      </c>
      <c r="JN44">
        <v>26.606300000000001</v>
      </c>
      <c r="JO44">
        <v>27.0137</v>
      </c>
      <c r="JP44">
        <v>29.9998</v>
      </c>
      <c r="JQ44">
        <v>27.0121</v>
      </c>
      <c r="JR44">
        <v>26.974499999999999</v>
      </c>
      <c r="JS44">
        <v>-1</v>
      </c>
      <c r="JT44">
        <v>-30</v>
      </c>
      <c r="JU44">
        <v>-30</v>
      </c>
      <c r="JV44">
        <v>-999.9</v>
      </c>
      <c r="JW44">
        <v>0</v>
      </c>
      <c r="JX44">
        <v>0</v>
      </c>
      <c r="JY44">
        <v>101.71899999999999</v>
      </c>
      <c r="JZ44">
        <v>97.528499999999994</v>
      </c>
    </row>
    <row r="45" spans="1:286" x14ac:dyDescent="0.4">
      <c r="A45">
        <v>29</v>
      </c>
      <c r="B45">
        <v>1664978326.0999999</v>
      </c>
      <c r="C45">
        <v>2356</v>
      </c>
      <c r="D45" t="s">
        <v>520</v>
      </c>
      <c r="E45" t="s">
        <v>521</v>
      </c>
      <c r="F45">
        <v>5</v>
      </c>
      <c r="G45">
        <v>1664978318.0999999</v>
      </c>
      <c r="H45">
        <f t="shared" si="0"/>
        <v>4.4113360401599788E-4</v>
      </c>
      <c r="I45">
        <f t="shared" si="1"/>
        <v>0.44113360401599788</v>
      </c>
      <c r="J45">
        <f t="shared" si="2"/>
        <v>-94.718446134689486</v>
      </c>
      <c r="K45">
        <f t="shared" si="3"/>
        <v>491.22093333333299</v>
      </c>
      <c r="L45">
        <f t="shared" si="4"/>
        <v>6089.129924593447</v>
      </c>
      <c r="M45">
        <f t="shared" si="5"/>
        <v>615.41285056493541</v>
      </c>
      <c r="N45">
        <f t="shared" si="6"/>
        <v>49.646448439022002</v>
      </c>
      <c r="O45">
        <f t="shared" si="7"/>
        <v>2.676974418351985E-2</v>
      </c>
      <c r="P45">
        <f t="shared" si="8"/>
        <v>3.0281647504735729</v>
      </c>
      <c r="Q45">
        <f t="shared" si="9"/>
        <v>2.6638964717737391E-2</v>
      </c>
      <c r="R45">
        <f t="shared" si="10"/>
        <v>1.6661049569666395E-2</v>
      </c>
      <c r="S45">
        <f t="shared" si="11"/>
        <v>6.3856599478895988E-4</v>
      </c>
      <c r="T45">
        <f t="shared" si="12"/>
        <v>26.66198415448746</v>
      </c>
      <c r="U45">
        <f t="shared" si="13"/>
        <v>26.234726666666699</v>
      </c>
      <c r="V45">
        <f t="shared" si="14"/>
        <v>3.4214106155359456</v>
      </c>
      <c r="W45">
        <f t="shared" si="15"/>
        <v>50.708899400515307</v>
      </c>
      <c r="X45">
        <f t="shared" si="16"/>
        <v>1.7909199781124949</v>
      </c>
      <c r="Y45">
        <f t="shared" si="17"/>
        <v>3.531766611551217</v>
      </c>
      <c r="Z45">
        <f t="shared" si="18"/>
        <v>1.6304906374234507</v>
      </c>
      <c r="AA45">
        <f t="shared" si="19"/>
        <v>-19.453991937105506</v>
      </c>
      <c r="AB45">
        <f t="shared" si="20"/>
        <v>87.913592470601998</v>
      </c>
      <c r="AC45">
        <f t="shared" si="21"/>
        <v>6.2344174699350621</v>
      </c>
      <c r="AD45">
        <f t="shared" si="22"/>
        <v>74.694656569426343</v>
      </c>
      <c r="AE45">
        <v>5</v>
      </c>
      <c r="AF45">
        <v>100</v>
      </c>
      <c r="AG45">
        <f t="shared" si="23"/>
        <v>1</v>
      </c>
      <c r="AH45">
        <f t="shared" si="24"/>
        <v>0</v>
      </c>
      <c r="AI45">
        <f t="shared" si="25"/>
        <v>53465.284089077388</v>
      </c>
      <c r="AJ45" t="s">
        <v>522</v>
      </c>
      <c r="AK45">
        <v>8123.39</v>
      </c>
      <c r="AL45">
        <v>220.33</v>
      </c>
      <c r="AM45">
        <v>1460.28</v>
      </c>
      <c r="AN45">
        <f t="shared" si="26"/>
        <v>0.84911797737420214</v>
      </c>
      <c r="AO45">
        <v>-94.718446134689302</v>
      </c>
      <c r="AP45" t="s">
        <v>423</v>
      </c>
      <c r="AQ45" t="s">
        <v>423</v>
      </c>
      <c r="AR45">
        <v>0</v>
      </c>
      <c r="AS45">
        <v>0</v>
      </c>
      <c r="AT45" t="e">
        <f t="shared" si="27"/>
        <v>#DIV/0!</v>
      </c>
      <c r="AU45">
        <v>0.5</v>
      </c>
      <c r="AV45">
        <f t="shared" si="28"/>
        <v>3.3608736567839995E-3</v>
      </c>
      <c r="AW45">
        <f t="shared" si="29"/>
        <v>-94.718446134689486</v>
      </c>
      <c r="AX45" t="e">
        <f t="shared" si="30"/>
        <v>#DIV/0!</v>
      </c>
      <c r="AY45">
        <f t="shared" si="31"/>
        <v>-5.496818094447613E-11</v>
      </c>
      <c r="AZ45" t="e">
        <f t="shared" si="32"/>
        <v>#DIV/0!</v>
      </c>
      <c r="BA45" t="e">
        <f t="shared" si="33"/>
        <v>#DIV/0!</v>
      </c>
      <c r="BB45" t="s">
        <v>423</v>
      </c>
      <c r="BC45">
        <v>0</v>
      </c>
      <c r="BD45" t="e">
        <f t="shared" si="34"/>
        <v>#DIV/0!</v>
      </c>
      <c r="BE45" t="e">
        <f t="shared" si="35"/>
        <v>#DIV/0!</v>
      </c>
      <c r="BF45" t="e">
        <f t="shared" si="36"/>
        <v>#DIV/0!</v>
      </c>
      <c r="BG45" t="e">
        <f t="shared" si="37"/>
        <v>#DIV/0!</v>
      </c>
      <c r="BH45">
        <f t="shared" si="38"/>
        <v>0</v>
      </c>
      <c r="BI45">
        <f t="shared" si="39"/>
        <v>1.1776926488971329</v>
      </c>
      <c r="BJ45" t="e">
        <f t="shared" si="40"/>
        <v>#DIV/0!</v>
      </c>
      <c r="BK45" t="e">
        <f t="shared" si="41"/>
        <v>#DIV/0!</v>
      </c>
      <c r="BL45">
        <v>939</v>
      </c>
      <c r="BM45">
        <v>290</v>
      </c>
      <c r="BN45">
        <v>1558.67</v>
      </c>
      <c r="BO45">
        <v>165</v>
      </c>
      <c r="BP45">
        <v>8114.57</v>
      </c>
      <c r="BQ45">
        <v>1551.92</v>
      </c>
      <c r="BR45">
        <v>6.75</v>
      </c>
      <c r="BS45">
        <v>300</v>
      </c>
      <c r="BT45">
        <v>19.2</v>
      </c>
      <c r="BU45">
        <v>1584.3896717483201</v>
      </c>
      <c r="BV45">
        <v>1.88110366540944</v>
      </c>
      <c r="BW45">
        <v>-26.347569484426199</v>
      </c>
      <c r="BX45">
        <v>1.36356822732003</v>
      </c>
      <c r="BY45">
        <v>0.93023713121789597</v>
      </c>
      <c r="BZ45">
        <v>-5.3779617352614001E-3</v>
      </c>
      <c r="CA45">
        <v>290</v>
      </c>
      <c r="CB45">
        <v>1543.03</v>
      </c>
      <c r="CC45">
        <v>615</v>
      </c>
      <c r="CD45">
        <v>8099.76</v>
      </c>
      <c r="CE45">
        <v>1551.86</v>
      </c>
      <c r="CF45">
        <v>-8.83</v>
      </c>
      <c r="CT45">
        <f t="shared" si="42"/>
        <v>2.0002599999999999E-2</v>
      </c>
      <c r="CU45">
        <f t="shared" si="43"/>
        <v>3.3608736567839995E-3</v>
      </c>
      <c r="CV45">
        <f t="shared" si="44"/>
        <v>0.16802183999999998</v>
      </c>
      <c r="CW45">
        <f t="shared" si="45"/>
        <v>3.1924149599999993E-2</v>
      </c>
      <c r="CX45">
        <v>2</v>
      </c>
      <c r="CY45">
        <v>0.5</v>
      </c>
      <c r="CZ45" t="s">
        <v>424</v>
      </c>
      <c r="DA45">
        <v>2</v>
      </c>
      <c r="DB45">
        <v>1664978318.0999999</v>
      </c>
      <c r="DC45">
        <v>491.22093333333299</v>
      </c>
      <c r="DD45">
        <v>585.12293333333298</v>
      </c>
      <c r="DE45">
        <v>17.7200466666667</v>
      </c>
      <c r="DF45">
        <v>18.1506133333333</v>
      </c>
      <c r="DG45">
        <v>489.87226666666697</v>
      </c>
      <c r="DH45">
        <v>17.8264866666667</v>
      </c>
      <c r="DI45">
        <v>-201.2774</v>
      </c>
      <c r="DJ45">
        <v>101.069666666667</v>
      </c>
      <c r="DK45">
        <v>-2.2139786666666699E-3</v>
      </c>
      <c r="DL45">
        <v>26.773233333333302</v>
      </c>
      <c r="DM45">
        <v>26.234726666666699</v>
      </c>
      <c r="DN45">
        <v>999.9</v>
      </c>
      <c r="DO45">
        <v>0</v>
      </c>
      <c r="DP45">
        <v>0</v>
      </c>
      <c r="DQ45">
        <v>9996.5059999999994</v>
      </c>
      <c r="DR45">
        <v>0</v>
      </c>
      <c r="DS45">
        <v>0.21823999999999999</v>
      </c>
      <c r="DT45">
        <v>-93.901766666666603</v>
      </c>
      <c r="DU45">
        <v>500.08266666666702</v>
      </c>
      <c r="DV45">
        <v>595.94026666666696</v>
      </c>
      <c r="DW45">
        <v>-0.43058059999999998</v>
      </c>
      <c r="DX45">
        <v>585.12293333333298</v>
      </c>
      <c r="DY45">
        <v>18.1506133333333</v>
      </c>
      <c r="DZ45">
        <v>1.7909586666666699</v>
      </c>
      <c r="EA45">
        <v>1.8344780000000001</v>
      </c>
      <c r="EB45">
        <v>15.7081</v>
      </c>
      <c r="EC45">
        <v>16.0837133333333</v>
      </c>
      <c r="ED45">
        <v>2.0002599999999999E-2</v>
      </c>
      <c r="EE45">
        <v>0</v>
      </c>
      <c r="EF45">
        <v>0</v>
      </c>
      <c r="EG45">
        <v>0</v>
      </c>
      <c r="EH45">
        <v>220.83500000000001</v>
      </c>
      <c r="EI45">
        <v>2.0002599999999999E-2</v>
      </c>
      <c r="EJ45">
        <v>-7.0350000000000001</v>
      </c>
      <c r="EK45">
        <v>0.78666666666666696</v>
      </c>
      <c r="EL45">
        <v>36</v>
      </c>
      <c r="EM45">
        <v>40.487133333333297</v>
      </c>
      <c r="EN45">
        <v>38.437199999999997</v>
      </c>
      <c r="EO45">
        <v>41.895600000000002</v>
      </c>
      <c r="EP45">
        <v>39.379066666666702</v>
      </c>
      <c r="EQ45">
        <v>0</v>
      </c>
      <c r="ER45">
        <v>0</v>
      </c>
      <c r="ES45">
        <v>0</v>
      </c>
      <c r="ET45">
        <v>100</v>
      </c>
      <c r="EU45">
        <v>0</v>
      </c>
      <c r="EV45">
        <v>220.33</v>
      </c>
      <c r="EW45">
        <v>-14.6826924656676</v>
      </c>
      <c r="EX45">
        <v>11.705769587956199</v>
      </c>
      <c r="EY45">
        <v>-7.0339999999999998</v>
      </c>
      <c r="EZ45">
        <v>15</v>
      </c>
      <c r="FA45">
        <v>1664976001.0999999</v>
      </c>
      <c r="FB45" t="s">
        <v>425</v>
      </c>
      <c r="FC45">
        <v>1664976001.0999999</v>
      </c>
      <c r="FD45">
        <v>1790572693.0999999</v>
      </c>
      <c r="FE45">
        <v>1</v>
      </c>
      <c r="FF45">
        <v>0.30399999999999999</v>
      </c>
      <c r="FG45">
        <v>0</v>
      </c>
      <c r="FH45">
        <v>1.337</v>
      </c>
      <c r="FI45">
        <v>-0.128</v>
      </c>
      <c r="FJ45">
        <v>462</v>
      </c>
      <c r="FK45">
        <v>17</v>
      </c>
      <c r="FL45">
        <v>0.87</v>
      </c>
      <c r="FM45">
        <v>0.1</v>
      </c>
      <c r="FN45">
        <v>-148.48755121948801</v>
      </c>
      <c r="FO45">
        <v>716.62098520740403</v>
      </c>
      <c r="FP45">
        <v>79.964543747143907</v>
      </c>
      <c r="FQ45">
        <v>-1</v>
      </c>
      <c r="FR45">
        <v>-128.34734</v>
      </c>
      <c r="FS45">
        <v>562.84410225563897</v>
      </c>
      <c r="FT45">
        <v>62.746057577766599</v>
      </c>
      <c r="FU45">
        <v>-1</v>
      </c>
      <c r="FV45">
        <v>220.050735294118</v>
      </c>
      <c r="FW45">
        <v>-3.9537816058227002</v>
      </c>
      <c r="FX45">
        <v>2.85373520257248</v>
      </c>
      <c r="FY45">
        <v>0</v>
      </c>
      <c r="FZ45">
        <v>-0.46584924999999999</v>
      </c>
      <c r="GA45">
        <v>0.48043962406015001</v>
      </c>
      <c r="GB45">
        <v>5.3308584589046297E-2</v>
      </c>
      <c r="GC45">
        <v>-1</v>
      </c>
      <c r="GD45">
        <v>0</v>
      </c>
      <c r="GE45">
        <v>1</v>
      </c>
      <c r="GF45" t="s">
        <v>458</v>
      </c>
      <c r="GG45">
        <v>2.1413600000000002</v>
      </c>
      <c r="GH45">
        <v>2.6562700000000001</v>
      </c>
      <c r="GI45">
        <v>0.11079700000000001</v>
      </c>
      <c r="GJ45">
        <v>0.112833</v>
      </c>
      <c r="GK45">
        <v>9.4619300000000003E-2</v>
      </c>
      <c r="GL45">
        <v>9.9155900000000005E-2</v>
      </c>
      <c r="GM45">
        <v>17333</v>
      </c>
      <c r="GN45">
        <v>26119</v>
      </c>
      <c r="GO45">
        <v>22772.7</v>
      </c>
      <c r="GP45">
        <v>30164.1</v>
      </c>
      <c r="GQ45">
        <v>33809.800000000003</v>
      </c>
      <c r="GR45">
        <v>33837.4</v>
      </c>
      <c r="GS45">
        <v>43080.2</v>
      </c>
      <c r="GT45">
        <v>42944.4</v>
      </c>
      <c r="GU45">
        <v>0.02</v>
      </c>
      <c r="GV45">
        <v>1.4290499999999999</v>
      </c>
      <c r="GW45">
        <v>0.100151</v>
      </c>
      <c r="GX45">
        <v>0</v>
      </c>
      <c r="GY45">
        <v>24.659600000000001</v>
      </c>
      <c r="GZ45">
        <v>999.9</v>
      </c>
      <c r="HA45">
        <v>34.953000000000003</v>
      </c>
      <c r="HB45">
        <v>27.946000000000002</v>
      </c>
      <c r="HC45">
        <v>13.0817</v>
      </c>
      <c r="HD45">
        <v>63.479399999999998</v>
      </c>
      <c r="HE45">
        <v>0</v>
      </c>
      <c r="HF45">
        <v>0</v>
      </c>
      <c r="HG45">
        <v>-3.3876999999999997E-2</v>
      </c>
      <c r="HH45">
        <v>0</v>
      </c>
      <c r="HI45">
        <v>20.272200000000002</v>
      </c>
      <c r="HJ45">
        <v>5.2346599999999999</v>
      </c>
      <c r="HK45">
        <v>11.962</v>
      </c>
      <c r="HL45">
        <v>4.9678500000000003</v>
      </c>
      <c r="HM45">
        <v>3.2953299999999999</v>
      </c>
      <c r="HN45">
        <v>9999</v>
      </c>
      <c r="HO45">
        <v>999.9</v>
      </c>
      <c r="HP45">
        <v>9999</v>
      </c>
      <c r="HQ45">
        <v>9999</v>
      </c>
      <c r="HR45">
        <v>4.9684100000000004</v>
      </c>
      <c r="HS45">
        <v>1.8619399999999999</v>
      </c>
      <c r="HT45">
        <v>1.8635600000000001</v>
      </c>
      <c r="HU45">
        <v>1.86554</v>
      </c>
      <c r="HV45">
        <v>1.86263</v>
      </c>
      <c r="HW45">
        <v>1.8663000000000001</v>
      </c>
      <c r="HX45">
        <v>1.8631</v>
      </c>
      <c r="HY45">
        <v>1.86493</v>
      </c>
      <c r="HZ45">
        <v>0</v>
      </c>
      <c r="IA45">
        <v>0</v>
      </c>
      <c r="IB45">
        <v>0</v>
      </c>
      <c r="IC45">
        <v>0</v>
      </c>
      <c r="ID45" t="s">
        <v>427</v>
      </c>
      <c r="IE45" t="s">
        <v>428</v>
      </c>
      <c r="IF45" t="s">
        <v>429</v>
      </c>
      <c r="IG45" t="s">
        <v>429</v>
      </c>
      <c r="IH45" t="s">
        <v>429</v>
      </c>
      <c r="II45" t="s">
        <v>429</v>
      </c>
      <c r="IJ45">
        <v>0</v>
      </c>
      <c r="IK45">
        <v>100</v>
      </c>
      <c r="IL45">
        <v>100</v>
      </c>
      <c r="IM45">
        <v>1.371</v>
      </c>
      <c r="IN45">
        <v>-0.105</v>
      </c>
      <c r="IO45">
        <v>0.91043272280072696</v>
      </c>
      <c r="IP45">
        <v>1.61658254425633E-3</v>
      </c>
      <c r="IQ45">
        <v>-1.89604851270483E-6</v>
      </c>
      <c r="IR45">
        <v>8.6681353432279101E-10</v>
      </c>
      <c r="IS45">
        <v>-4.47525518804959E-2</v>
      </c>
      <c r="IT45">
        <v>-3.5871989026399903E-2</v>
      </c>
      <c r="IU45">
        <v>1.9028800927848801E-3</v>
      </c>
      <c r="IV45">
        <v>-4.7539144078026999E-6</v>
      </c>
      <c r="IW45">
        <v>1</v>
      </c>
      <c r="IX45">
        <v>1704</v>
      </c>
      <c r="IY45">
        <v>4</v>
      </c>
      <c r="IZ45">
        <v>25</v>
      </c>
      <c r="JA45">
        <v>38.799999999999997</v>
      </c>
      <c r="JB45">
        <v>-2093239.4</v>
      </c>
      <c r="JC45">
        <v>0.162354</v>
      </c>
      <c r="JD45">
        <v>4.99878</v>
      </c>
      <c r="JE45">
        <v>0.239258</v>
      </c>
      <c r="JF45">
        <v>1.2206999999999999E-3</v>
      </c>
      <c r="JG45">
        <v>0.26733400000000002</v>
      </c>
      <c r="JH45">
        <v>4.99878</v>
      </c>
      <c r="JI45">
        <v>31.3462</v>
      </c>
      <c r="JJ45">
        <v>15.6205</v>
      </c>
      <c r="JK45">
        <v>2</v>
      </c>
      <c r="JL45">
        <v>-27.000800000000002</v>
      </c>
      <c r="JM45">
        <v>256.142</v>
      </c>
      <c r="JN45">
        <v>26.582000000000001</v>
      </c>
      <c r="JO45">
        <v>26.9269</v>
      </c>
      <c r="JP45">
        <v>29.9998</v>
      </c>
      <c r="JQ45">
        <v>26.930900000000001</v>
      </c>
      <c r="JR45">
        <v>26.922699999999999</v>
      </c>
      <c r="JS45">
        <v>-1</v>
      </c>
      <c r="JT45">
        <v>-30</v>
      </c>
      <c r="JU45">
        <v>-30</v>
      </c>
      <c r="JV45">
        <v>-999.9</v>
      </c>
      <c r="JW45">
        <v>0</v>
      </c>
      <c r="JX45">
        <v>0</v>
      </c>
      <c r="JY45">
        <v>101.729</v>
      </c>
      <c r="JZ45">
        <v>97.533000000000001</v>
      </c>
    </row>
    <row r="46" spans="1:286" x14ac:dyDescent="0.4">
      <c r="A46">
        <v>30</v>
      </c>
      <c r="B46">
        <v>1664978387.0999999</v>
      </c>
      <c r="C46">
        <v>2417</v>
      </c>
      <c r="D46" t="s">
        <v>523</v>
      </c>
      <c r="E46" t="s">
        <v>524</v>
      </c>
      <c r="F46">
        <v>5</v>
      </c>
      <c r="G46">
        <v>1664978379.0999999</v>
      </c>
      <c r="H46">
        <f t="shared" si="0"/>
        <v>-1.1982048971638545E-4</v>
      </c>
      <c r="I46">
        <f t="shared" si="1"/>
        <v>-0.11982048971638544</v>
      </c>
      <c r="J46">
        <f t="shared" si="2"/>
        <v>-110.7924930823221</v>
      </c>
      <c r="K46">
        <f t="shared" si="3"/>
        <v>472.16106666666701</v>
      </c>
      <c r="L46">
        <f t="shared" si="4"/>
        <v>-22879.27982836475</v>
      </c>
      <c r="M46">
        <f t="shared" si="5"/>
        <v>-2312.3471722241175</v>
      </c>
      <c r="N46">
        <f t="shared" si="6"/>
        <v>47.720046939039719</v>
      </c>
      <c r="O46">
        <f t="shared" si="7"/>
        <v>-7.4905041418747483E-3</v>
      </c>
      <c r="P46">
        <f t="shared" si="8"/>
        <v>3.0284839748244439</v>
      </c>
      <c r="Q46">
        <f t="shared" si="9"/>
        <v>-7.5008120214378471E-3</v>
      </c>
      <c r="R46">
        <f t="shared" si="10"/>
        <v>-4.6870802364076094E-3</v>
      </c>
      <c r="S46">
        <f t="shared" si="11"/>
        <v>6.3856599478895988E-4</v>
      </c>
      <c r="T46">
        <f t="shared" si="12"/>
        <v>26.830438574286024</v>
      </c>
      <c r="U46">
        <f t="shared" si="13"/>
        <v>26.231873333333301</v>
      </c>
      <c r="V46">
        <f t="shared" si="14"/>
        <v>3.4208339976202646</v>
      </c>
      <c r="W46">
        <f t="shared" si="15"/>
        <v>52.254454363788781</v>
      </c>
      <c r="X46">
        <f t="shared" si="16"/>
        <v>1.8484374751699797</v>
      </c>
      <c r="Y46">
        <f t="shared" si="17"/>
        <v>3.5373778133848575</v>
      </c>
      <c r="Z46">
        <f t="shared" si="18"/>
        <v>1.5723965224502849</v>
      </c>
      <c r="AA46">
        <f t="shared" si="19"/>
        <v>5.2840835964925983</v>
      </c>
      <c r="AB46">
        <f t="shared" si="20"/>
        <v>92.794885563880541</v>
      </c>
      <c r="AC46">
        <f t="shared" si="21"/>
        <v>6.5806780449571587</v>
      </c>
      <c r="AD46">
        <f t="shared" si="22"/>
        <v>104.66028577132509</v>
      </c>
      <c r="AE46">
        <v>5</v>
      </c>
      <c r="AF46">
        <v>100</v>
      </c>
      <c r="AG46">
        <f t="shared" si="23"/>
        <v>1</v>
      </c>
      <c r="AH46">
        <f t="shared" si="24"/>
        <v>0</v>
      </c>
      <c r="AI46">
        <f t="shared" si="25"/>
        <v>53470.387674474165</v>
      </c>
      <c r="AJ46" t="s">
        <v>525</v>
      </c>
      <c r="AK46">
        <v>8115.73</v>
      </c>
      <c r="AL46">
        <v>223.71826923076901</v>
      </c>
      <c r="AM46">
        <v>1529.91</v>
      </c>
      <c r="AN46">
        <f t="shared" si="26"/>
        <v>0.85377030725286518</v>
      </c>
      <c r="AO46">
        <v>-110.792493082322</v>
      </c>
      <c r="AP46" t="s">
        <v>423</v>
      </c>
      <c r="AQ46" t="s">
        <v>423</v>
      </c>
      <c r="AR46">
        <v>0</v>
      </c>
      <c r="AS46">
        <v>0</v>
      </c>
      <c r="AT46" t="e">
        <f t="shared" si="27"/>
        <v>#DIV/0!</v>
      </c>
      <c r="AU46">
        <v>0.5</v>
      </c>
      <c r="AV46">
        <f t="shared" si="28"/>
        <v>3.3608736567839995E-3</v>
      </c>
      <c r="AW46">
        <f t="shared" si="29"/>
        <v>-110.7924930823221</v>
      </c>
      <c r="AX46" t="e">
        <f t="shared" si="30"/>
        <v>#DIV/0!</v>
      </c>
      <c r="AY46">
        <f t="shared" si="31"/>
        <v>-2.9598251277794836E-11</v>
      </c>
      <c r="AZ46" t="e">
        <f t="shared" si="32"/>
        <v>#DIV/0!</v>
      </c>
      <c r="BA46" t="e">
        <f t="shared" si="33"/>
        <v>#DIV/0!</v>
      </c>
      <c r="BB46" t="s">
        <v>423</v>
      </c>
      <c r="BC46">
        <v>0</v>
      </c>
      <c r="BD46" t="e">
        <f t="shared" si="34"/>
        <v>#DIV/0!</v>
      </c>
      <c r="BE46" t="e">
        <f t="shared" si="35"/>
        <v>#DIV/0!</v>
      </c>
      <c r="BF46" t="e">
        <f t="shared" si="36"/>
        <v>#DIV/0!</v>
      </c>
      <c r="BG46" t="e">
        <f t="shared" si="37"/>
        <v>#DIV/0!</v>
      </c>
      <c r="BH46">
        <f t="shared" si="38"/>
        <v>0</v>
      </c>
      <c r="BI46">
        <f t="shared" si="39"/>
        <v>1.1712752147795475</v>
      </c>
      <c r="BJ46" t="e">
        <f t="shared" si="40"/>
        <v>#DIV/0!</v>
      </c>
      <c r="BK46" t="e">
        <f t="shared" si="41"/>
        <v>#DIV/0!</v>
      </c>
      <c r="BL46">
        <v>939</v>
      </c>
      <c r="BM46">
        <v>290</v>
      </c>
      <c r="BN46">
        <v>1558.67</v>
      </c>
      <c r="BO46">
        <v>165</v>
      </c>
      <c r="BP46">
        <v>8114.57</v>
      </c>
      <c r="BQ46">
        <v>1551.92</v>
      </c>
      <c r="BR46">
        <v>6.75</v>
      </c>
      <c r="BS46">
        <v>300</v>
      </c>
      <c r="BT46">
        <v>19.2</v>
      </c>
      <c r="BU46">
        <v>1584.3896717483201</v>
      </c>
      <c r="BV46">
        <v>1.88110366540944</v>
      </c>
      <c r="BW46">
        <v>-26.347569484426199</v>
      </c>
      <c r="BX46">
        <v>1.36356822732003</v>
      </c>
      <c r="BY46">
        <v>0.93023713121789597</v>
      </c>
      <c r="BZ46">
        <v>-5.3779617352614001E-3</v>
      </c>
      <c r="CA46">
        <v>290</v>
      </c>
      <c r="CB46">
        <v>1543.03</v>
      </c>
      <c r="CC46">
        <v>615</v>
      </c>
      <c r="CD46">
        <v>8099.76</v>
      </c>
      <c r="CE46">
        <v>1551.86</v>
      </c>
      <c r="CF46">
        <v>-8.83</v>
      </c>
      <c r="CT46">
        <f t="shared" si="42"/>
        <v>2.0002599999999999E-2</v>
      </c>
      <c r="CU46">
        <f t="shared" si="43"/>
        <v>3.3608736567839995E-3</v>
      </c>
      <c r="CV46">
        <f t="shared" si="44"/>
        <v>0.16802183999999998</v>
      </c>
      <c r="CW46">
        <f t="shared" si="45"/>
        <v>3.1924149599999993E-2</v>
      </c>
      <c r="CX46">
        <v>2</v>
      </c>
      <c r="CY46">
        <v>0.5</v>
      </c>
      <c r="CZ46" t="s">
        <v>424</v>
      </c>
      <c r="DA46">
        <v>2</v>
      </c>
      <c r="DB46">
        <v>1664978379.0999999</v>
      </c>
      <c r="DC46">
        <v>472.16106666666701</v>
      </c>
      <c r="DD46">
        <v>582.44873333333305</v>
      </c>
      <c r="DE46">
        <v>18.289173333333299</v>
      </c>
      <c r="DF46">
        <v>18.172139999999999</v>
      </c>
      <c r="DG46">
        <v>470.81946666666698</v>
      </c>
      <c r="DH46">
        <v>18.37978</v>
      </c>
      <c r="DI46">
        <v>-201.01806666666701</v>
      </c>
      <c r="DJ46">
        <v>101.07066666666699</v>
      </c>
      <c r="DK46">
        <v>-3.3608086666666701E-3</v>
      </c>
      <c r="DL46">
        <v>26.800219999999999</v>
      </c>
      <c r="DM46">
        <v>26.231873333333301</v>
      </c>
      <c r="DN46">
        <v>999.9</v>
      </c>
      <c r="DO46">
        <v>0</v>
      </c>
      <c r="DP46">
        <v>0</v>
      </c>
      <c r="DQ46">
        <v>9998.3359999999993</v>
      </c>
      <c r="DR46">
        <v>0</v>
      </c>
      <c r="DS46">
        <v>0.21823999999999999</v>
      </c>
      <c r="DT46">
        <v>-110.28764</v>
      </c>
      <c r="DU46">
        <v>480.95853333333298</v>
      </c>
      <c r="DV46">
        <v>593.22733333333304</v>
      </c>
      <c r="DW46">
        <v>0.117025269333333</v>
      </c>
      <c r="DX46">
        <v>582.44873333333305</v>
      </c>
      <c r="DY46">
        <v>18.172139999999999</v>
      </c>
      <c r="DZ46">
        <v>1.8484973333333301</v>
      </c>
      <c r="EA46">
        <v>1.83667133333333</v>
      </c>
      <c r="EB46">
        <v>16.201093333333301</v>
      </c>
      <c r="EC46">
        <v>16.102346666666701</v>
      </c>
      <c r="ED46">
        <v>2.0002599999999999E-2</v>
      </c>
      <c r="EE46">
        <v>0</v>
      </c>
      <c r="EF46">
        <v>0</v>
      </c>
      <c r="EG46">
        <v>0</v>
      </c>
      <c r="EH46">
        <v>223.458333333333</v>
      </c>
      <c r="EI46">
        <v>2.0002599999999999E-2</v>
      </c>
      <c r="EJ46">
        <v>-6.81666666666667</v>
      </c>
      <c r="EK46">
        <v>0.78</v>
      </c>
      <c r="EL46">
        <v>35.708133333333301</v>
      </c>
      <c r="EM46">
        <v>38.858133333333299</v>
      </c>
      <c r="EN46">
        <v>37.483066666666701</v>
      </c>
      <c r="EO46">
        <v>39.474733333333297</v>
      </c>
      <c r="EP46">
        <v>38.4622666666667</v>
      </c>
      <c r="EQ46">
        <v>0</v>
      </c>
      <c r="ER46">
        <v>0</v>
      </c>
      <c r="ES46">
        <v>0</v>
      </c>
      <c r="ET46">
        <v>59.799999952316298</v>
      </c>
      <c r="EU46">
        <v>0</v>
      </c>
      <c r="EV46">
        <v>223.71826923076901</v>
      </c>
      <c r="EW46">
        <v>-1.10854703650902</v>
      </c>
      <c r="EX46">
        <v>2.1940168602336998</v>
      </c>
      <c r="EY46">
        <v>-6.7701923076923096</v>
      </c>
      <c r="EZ46">
        <v>15</v>
      </c>
      <c r="FA46">
        <v>1664976001.0999999</v>
      </c>
      <c r="FB46" t="s">
        <v>425</v>
      </c>
      <c r="FC46">
        <v>1664976001.0999999</v>
      </c>
      <c r="FD46">
        <v>1790572693.0999999</v>
      </c>
      <c r="FE46">
        <v>1</v>
      </c>
      <c r="FF46">
        <v>0.30399999999999999</v>
      </c>
      <c r="FG46">
        <v>0</v>
      </c>
      <c r="FH46">
        <v>1.337</v>
      </c>
      <c r="FI46">
        <v>-0.128</v>
      </c>
      <c r="FJ46">
        <v>462</v>
      </c>
      <c r="FK46">
        <v>17</v>
      </c>
      <c r="FL46">
        <v>0.87</v>
      </c>
      <c r="FM46">
        <v>0.1</v>
      </c>
      <c r="FN46">
        <v>-82.791712820813999</v>
      </c>
      <c r="FO46">
        <v>-308.85324699774702</v>
      </c>
      <c r="FP46">
        <v>60.285765377885703</v>
      </c>
      <c r="FQ46">
        <v>-1</v>
      </c>
      <c r="FR46">
        <v>-81.952363333333295</v>
      </c>
      <c r="FS46">
        <v>-259.98109948051899</v>
      </c>
      <c r="FT46">
        <v>58.631729514157698</v>
      </c>
      <c r="FU46">
        <v>-1</v>
      </c>
      <c r="FV46">
        <v>223.40661764705899</v>
      </c>
      <c r="FW46">
        <v>3.9430863662950899</v>
      </c>
      <c r="FX46">
        <v>2.83569882469815</v>
      </c>
      <c r="FY46">
        <v>0</v>
      </c>
      <c r="FZ46">
        <v>-2.7366998095238099E-2</v>
      </c>
      <c r="GA46">
        <v>2.5774313922077901</v>
      </c>
      <c r="GB46">
        <v>0.35268379895734298</v>
      </c>
      <c r="GC46">
        <v>-1</v>
      </c>
      <c r="GD46">
        <v>0</v>
      </c>
      <c r="GE46">
        <v>1</v>
      </c>
      <c r="GF46" t="s">
        <v>458</v>
      </c>
      <c r="GG46">
        <v>2.1429</v>
      </c>
      <c r="GH46">
        <v>2.6541199999999998</v>
      </c>
      <c r="GI46">
        <v>9.8217700000000005E-2</v>
      </c>
      <c r="GJ46">
        <v>0.11110299999999999</v>
      </c>
      <c r="GK46">
        <v>9.5225299999999999E-2</v>
      </c>
      <c r="GL46">
        <v>0.100013</v>
      </c>
      <c r="GM46">
        <v>17579.2</v>
      </c>
      <c r="GN46">
        <v>26172.3</v>
      </c>
      <c r="GO46">
        <v>22774</v>
      </c>
      <c r="GP46">
        <v>30166.7</v>
      </c>
      <c r="GQ46">
        <v>33787.199999999997</v>
      </c>
      <c r="GR46">
        <v>33807.5</v>
      </c>
      <c r="GS46">
        <v>43082.3</v>
      </c>
      <c r="GT46">
        <v>42947.8</v>
      </c>
      <c r="GU46">
        <v>0.02</v>
      </c>
      <c r="GV46">
        <v>1.42635</v>
      </c>
      <c r="GW46">
        <v>9.6850099999999995E-2</v>
      </c>
      <c r="GX46">
        <v>0</v>
      </c>
      <c r="GY46">
        <v>24.6858</v>
      </c>
      <c r="GZ46">
        <v>999.9</v>
      </c>
      <c r="HA46">
        <v>34.904000000000003</v>
      </c>
      <c r="HB46">
        <v>27.925999999999998</v>
      </c>
      <c r="HC46">
        <v>13.0487</v>
      </c>
      <c r="HD46">
        <v>62.959400000000002</v>
      </c>
      <c r="HE46">
        <v>0</v>
      </c>
      <c r="HF46">
        <v>0</v>
      </c>
      <c r="HG46">
        <v>-3.6971499999999997E-2</v>
      </c>
      <c r="HH46">
        <v>0</v>
      </c>
      <c r="HI46">
        <v>20.2699</v>
      </c>
      <c r="HJ46">
        <v>5.2336099999999997</v>
      </c>
      <c r="HK46">
        <v>11.962</v>
      </c>
      <c r="HL46">
        <v>4.9685499999999996</v>
      </c>
      <c r="HM46">
        <v>3.2956799999999999</v>
      </c>
      <c r="HN46">
        <v>9999</v>
      </c>
      <c r="HO46">
        <v>999.9</v>
      </c>
      <c r="HP46">
        <v>9999</v>
      </c>
      <c r="HQ46">
        <v>9999</v>
      </c>
      <c r="HR46">
        <v>4.9684100000000004</v>
      </c>
      <c r="HS46">
        <v>1.86192</v>
      </c>
      <c r="HT46">
        <v>1.8635600000000001</v>
      </c>
      <c r="HU46">
        <v>1.8655299999999999</v>
      </c>
      <c r="HV46">
        <v>1.8626199999999999</v>
      </c>
      <c r="HW46">
        <v>1.8662700000000001</v>
      </c>
      <c r="HX46">
        <v>1.8631</v>
      </c>
      <c r="HY46">
        <v>1.86493</v>
      </c>
      <c r="HZ46">
        <v>0</v>
      </c>
      <c r="IA46">
        <v>0</v>
      </c>
      <c r="IB46">
        <v>0</v>
      </c>
      <c r="IC46">
        <v>0</v>
      </c>
      <c r="ID46" t="s">
        <v>427</v>
      </c>
      <c r="IE46" t="s">
        <v>428</v>
      </c>
      <c r="IF46" t="s">
        <v>429</v>
      </c>
      <c r="IG46" t="s">
        <v>429</v>
      </c>
      <c r="IH46" t="s">
        <v>429</v>
      </c>
      <c r="II46" t="s">
        <v>429</v>
      </c>
      <c r="IJ46">
        <v>0</v>
      </c>
      <c r="IK46">
        <v>100</v>
      </c>
      <c r="IL46">
        <v>100</v>
      </c>
      <c r="IM46">
        <v>1.339</v>
      </c>
      <c r="IN46">
        <v>-0.10059999999999999</v>
      </c>
      <c r="IO46">
        <v>0.91043272280072696</v>
      </c>
      <c r="IP46">
        <v>1.61658254425633E-3</v>
      </c>
      <c r="IQ46">
        <v>-1.89604851270483E-6</v>
      </c>
      <c r="IR46">
        <v>8.6681353432279101E-10</v>
      </c>
      <c r="IS46">
        <v>-4.47525518804959E-2</v>
      </c>
      <c r="IT46">
        <v>-3.5871989026399903E-2</v>
      </c>
      <c r="IU46">
        <v>1.9028800927848801E-3</v>
      </c>
      <c r="IV46">
        <v>-4.7539144078026999E-6</v>
      </c>
      <c r="IW46">
        <v>1</v>
      </c>
      <c r="IX46">
        <v>1704</v>
      </c>
      <c r="IY46">
        <v>4</v>
      </c>
      <c r="IZ46">
        <v>25</v>
      </c>
      <c r="JA46">
        <v>39.799999999999997</v>
      </c>
      <c r="JB46">
        <v>-2093238.4</v>
      </c>
      <c r="JC46">
        <v>0.162354</v>
      </c>
      <c r="JD46">
        <v>4.99878</v>
      </c>
      <c r="JE46">
        <v>0.239258</v>
      </c>
      <c r="JF46">
        <v>1.2206999999999999E-3</v>
      </c>
      <c r="JG46">
        <v>0.26733400000000002</v>
      </c>
      <c r="JH46">
        <v>4.99878</v>
      </c>
      <c r="JI46">
        <v>31.3462</v>
      </c>
      <c r="JJ46">
        <v>15.611800000000001</v>
      </c>
      <c r="JK46">
        <v>2</v>
      </c>
      <c r="JL46">
        <v>-27.008400000000002</v>
      </c>
      <c r="JM46">
        <v>254.86</v>
      </c>
      <c r="JN46">
        <v>26.565300000000001</v>
      </c>
      <c r="JO46">
        <v>26.886900000000001</v>
      </c>
      <c r="JP46">
        <v>29.9998</v>
      </c>
      <c r="JQ46">
        <v>26.891999999999999</v>
      </c>
      <c r="JR46">
        <v>26.894400000000001</v>
      </c>
      <c r="JS46">
        <v>-1</v>
      </c>
      <c r="JT46">
        <v>-30</v>
      </c>
      <c r="JU46">
        <v>-30</v>
      </c>
      <c r="JV46">
        <v>-999.9</v>
      </c>
      <c r="JW46">
        <v>0</v>
      </c>
      <c r="JX46">
        <v>0</v>
      </c>
      <c r="JY46">
        <v>101.73399999999999</v>
      </c>
      <c r="JZ46">
        <v>97.540899999999993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7.399999999999999" x14ac:dyDescent="0.4"/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11</v>
      </c>
    </row>
    <row r="7" spans="1:2" x14ac:dyDescent="0.4">
      <c r="A7" t="s">
        <v>12</v>
      </c>
      <c r="B7" t="s">
        <v>13</v>
      </c>
    </row>
    <row r="8" spans="1:2" x14ac:dyDescent="0.4">
      <c r="A8" t="s">
        <v>14</v>
      </c>
      <c r="B8" t="s">
        <v>15</v>
      </c>
    </row>
    <row r="9" spans="1:2" x14ac:dyDescent="0.4">
      <c r="A9" t="s">
        <v>16</v>
      </c>
      <c r="B9" t="s">
        <v>17</v>
      </c>
    </row>
    <row r="10" spans="1:2" x14ac:dyDescent="0.4">
      <c r="A10" t="s">
        <v>18</v>
      </c>
      <c r="B10" t="s">
        <v>19</v>
      </c>
    </row>
    <row r="11" spans="1:2" x14ac:dyDescent="0.4">
      <c r="A11" t="s">
        <v>20</v>
      </c>
      <c r="B11" t="s">
        <v>21</v>
      </c>
    </row>
    <row r="12" spans="1:2" x14ac:dyDescent="0.4">
      <c r="A12" t="s">
        <v>22</v>
      </c>
      <c r="B12" t="s">
        <v>23</v>
      </c>
    </row>
    <row r="13" spans="1:2" x14ac:dyDescent="0.4">
      <c r="A13" t="s">
        <v>24</v>
      </c>
      <c r="B13" t="s">
        <v>25</v>
      </c>
    </row>
    <row r="14" spans="1:2" x14ac:dyDescent="0.4">
      <c r="A14" t="s">
        <v>26</v>
      </c>
      <c r="B14" t="s">
        <v>25</v>
      </c>
    </row>
    <row r="15" spans="1:2" x14ac:dyDescent="0.4">
      <c r="A15" t="s">
        <v>27</v>
      </c>
      <c r="B15" t="s">
        <v>23</v>
      </c>
    </row>
    <row r="16" spans="1:2" x14ac:dyDescent="0.4">
      <c r="A16" t="s">
        <v>28</v>
      </c>
      <c r="B16" t="s">
        <v>11</v>
      </c>
    </row>
    <row r="17" spans="1:2" x14ac:dyDescent="0.4">
      <c r="A17" t="s">
        <v>29</v>
      </c>
      <c r="B17" t="s">
        <v>30</v>
      </c>
    </row>
    <row r="18" spans="1:2" x14ac:dyDescent="0.4">
      <c r="A18" t="s">
        <v>449</v>
      </c>
      <c r="B18" t="s">
        <v>450</v>
      </c>
    </row>
    <row r="19" spans="1:2" x14ac:dyDescent="0.4">
      <c r="A19" t="s">
        <v>449</v>
      </c>
      <c r="B19" t="s">
        <v>451</v>
      </c>
    </row>
    <row r="20" spans="1:2" x14ac:dyDescent="0.4">
      <c r="A20" t="s">
        <v>452</v>
      </c>
      <c r="B20" t="s">
        <v>453</v>
      </c>
    </row>
    <row r="21" spans="1:2" x14ac:dyDescent="0.4">
      <c r="A21" t="s">
        <v>454</v>
      </c>
      <c r="B21" t="s">
        <v>451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45F7B-6C81-4D1E-9F73-2B968985FD9D}">
  <dimension ref="A1:J37"/>
  <sheetViews>
    <sheetView tabSelected="1" workbookViewId="0">
      <selection activeCell="K3" sqref="K3"/>
    </sheetView>
  </sheetViews>
  <sheetFormatPr defaultRowHeight="17.399999999999999" x14ac:dyDescent="0.4"/>
  <cols>
    <col min="1" max="1" width="10.09765625" bestFit="1" customWidth="1"/>
    <col min="7" max="7" width="10.09765625" bestFit="1" customWidth="1"/>
  </cols>
  <sheetData>
    <row r="1" spans="1:10" ht="18" thickBot="1" x14ac:dyDescent="0.45">
      <c r="A1" s="1" t="s">
        <v>526</v>
      </c>
      <c r="B1" s="16" t="s">
        <v>527</v>
      </c>
      <c r="C1" s="2" t="s">
        <v>144</v>
      </c>
      <c r="D1" s="2" t="s">
        <v>145</v>
      </c>
      <c r="E1" s="3" t="s">
        <v>146</v>
      </c>
      <c r="G1" s="23" t="s">
        <v>526</v>
      </c>
      <c r="H1" s="2" t="s">
        <v>535</v>
      </c>
      <c r="I1" s="2" t="s">
        <v>534</v>
      </c>
      <c r="J1" s="3" t="s">
        <v>536</v>
      </c>
    </row>
    <row r="2" spans="1:10" ht="18" thickTop="1" x14ac:dyDescent="0.4">
      <c r="A2" s="4" t="s">
        <v>528</v>
      </c>
      <c r="B2" s="17">
        <v>1</v>
      </c>
      <c r="C2" s="5">
        <v>241.34399999999999</v>
      </c>
      <c r="D2" s="5">
        <v>1512.52</v>
      </c>
      <c r="E2" s="6">
        <f>(D2-C2)/D2</f>
        <v>0.8404358289477164</v>
      </c>
      <c r="G2" s="21" t="s">
        <v>528</v>
      </c>
      <c r="H2" s="5">
        <f>AVERAGE(C2:C7)</f>
        <v>238.40599999999998</v>
      </c>
      <c r="I2" s="5">
        <f>AVERAGE(D2:D7)</f>
        <v>1597.9016666666666</v>
      </c>
      <c r="J2" s="6">
        <f>AVERAGE(E2:E7)</f>
        <v>0.85067084286667871</v>
      </c>
    </row>
    <row r="3" spans="1:10" x14ac:dyDescent="0.4">
      <c r="A3" s="4" t="s">
        <v>528</v>
      </c>
      <c r="B3" s="17">
        <v>2</v>
      </c>
      <c r="C3" s="5">
        <v>239.172</v>
      </c>
      <c r="D3" s="5">
        <v>1636.85</v>
      </c>
      <c r="E3" s="6">
        <f t="shared" ref="E3:E7" si="0">(D3-C3)/D3</f>
        <v>0.8538827626233314</v>
      </c>
      <c r="G3" s="21" t="s">
        <v>529</v>
      </c>
      <c r="H3" s="5">
        <f>AVERAGE(C8:C13)</f>
        <v>224.84549358974348</v>
      </c>
      <c r="I3" s="5">
        <f>AVERAGE(D8:D13)</f>
        <v>1486.6683333333333</v>
      </c>
      <c r="J3" s="6">
        <f>AVERAGE(E8:E13)</f>
        <v>0.84877719564738718</v>
      </c>
    </row>
    <row r="4" spans="1:10" x14ac:dyDescent="0.4">
      <c r="A4" s="4" t="s">
        <v>528</v>
      </c>
      <c r="B4" s="17">
        <v>3</v>
      </c>
      <c r="C4" s="5">
        <v>247.71199999999999</v>
      </c>
      <c r="D4" s="5">
        <v>1586.81</v>
      </c>
      <c r="E4" s="6">
        <f t="shared" si="0"/>
        <v>0.84389309369111609</v>
      </c>
      <c r="G4" s="21" t="s">
        <v>530</v>
      </c>
      <c r="H4" s="5">
        <f>AVERAGE(C14:C19)</f>
        <v>223.06134615384619</v>
      </c>
      <c r="I4" s="5">
        <f>AVERAGE(D14:D19)</f>
        <v>1482.278333333333</v>
      </c>
      <c r="J4" s="6">
        <f>AVERAGE(E14:E19)</f>
        <v>0.8496053775416178</v>
      </c>
    </row>
    <row r="5" spans="1:10" x14ac:dyDescent="0.4">
      <c r="A5" s="4" t="s">
        <v>528</v>
      </c>
      <c r="B5" s="17">
        <v>4</v>
      </c>
      <c r="C5" s="5">
        <v>241.113</v>
      </c>
      <c r="D5" s="5">
        <v>1647.1</v>
      </c>
      <c r="E5" s="6">
        <f>(D5-C5)/D5</f>
        <v>0.85361362394511564</v>
      </c>
      <c r="G5" s="21" t="s">
        <v>531</v>
      </c>
      <c r="H5" s="5">
        <f>AVERAGE(C20:C25)</f>
        <v>239.24210897435901</v>
      </c>
      <c r="I5" s="5">
        <f>AVERAGE(D20:D25)</f>
        <v>1515.3816666666669</v>
      </c>
      <c r="J5" s="6">
        <f>AVERAGE(E20:E25)</f>
        <v>0.84225850284305481</v>
      </c>
    </row>
    <row r="6" spans="1:10" x14ac:dyDescent="0.4">
      <c r="A6" s="4" t="s">
        <v>528</v>
      </c>
      <c r="B6" s="17">
        <v>5</v>
      </c>
      <c r="C6" s="5">
        <v>226.05600000000001</v>
      </c>
      <c r="D6" s="5">
        <v>1575.03</v>
      </c>
      <c r="E6" s="6">
        <f>(D6-C6)/D6</f>
        <v>0.85647511475971883</v>
      </c>
      <c r="G6" s="21" t="s">
        <v>532</v>
      </c>
      <c r="H6" s="5">
        <f>AVERAGE(C26:C31)</f>
        <v>232.11116666666666</v>
      </c>
      <c r="I6" s="5">
        <f>AVERAGE(D26:D31)</f>
        <v>1495.9216666666669</v>
      </c>
      <c r="J6" s="6">
        <f>AVERAGE(E26:E31)</f>
        <v>0.84459223663709482</v>
      </c>
    </row>
    <row r="7" spans="1:10" ht="18" thickBot="1" x14ac:dyDescent="0.45">
      <c r="A7" s="4" t="s">
        <v>528</v>
      </c>
      <c r="B7" s="17">
        <v>6</v>
      </c>
      <c r="C7" s="5">
        <v>235.03899999999999</v>
      </c>
      <c r="D7" s="5">
        <v>1629.1</v>
      </c>
      <c r="E7" s="6">
        <f>(D7-C7)/D7</f>
        <v>0.85572463323307346</v>
      </c>
      <c r="G7" s="22" t="s">
        <v>533</v>
      </c>
      <c r="H7" s="8">
        <f>AVERAGE(C32:C37)</f>
        <v>241.77113461538465</v>
      </c>
      <c r="I7" s="8">
        <f>AVERAGE(D32:D37)</f>
        <v>1560.9399999999998</v>
      </c>
      <c r="J7" s="9">
        <f>AVERAGE(E32:E37)</f>
        <v>0.8451850509256903</v>
      </c>
    </row>
    <row r="8" spans="1:10" x14ac:dyDescent="0.4">
      <c r="A8" s="10" t="s">
        <v>529</v>
      </c>
      <c r="B8" s="18">
        <v>1</v>
      </c>
      <c r="C8" s="11">
        <v>219.32788461538499</v>
      </c>
      <c r="D8" s="11">
        <v>1444.07</v>
      </c>
      <c r="E8" s="12">
        <f t="shared" ref="E8:E37" si="1">1-C8/D8</f>
        <v>0.84811824591925256</v>
      </c>
    </row>
    <row r="9" spans="1:10" x14ac:dyDescent="0.4">
      <c r="A9" s="4" t="s">
        <v>529</v>
      </c>
      <c r="B9" s="17">
        <v>2</v>
      </c>
      <c r="C9" s="5">
        <v>234.56800000000001</v>
      </c>
      <c r="D9" s="5">
        <v>1467.89</v>
      </c>
      <c r="E9" s="6">
        <f t="shared" si="1"/>
        <v>0.84020055998746501</v>
      </c>
    </row>
    <row r="10" spans="1:10" x14ac:dyDescent="0.4">
      <c r="A10" s="4" t="s">
        <v>529</v>
      </c>
      <c r="B10" s="17">
        <v>3</v>
      </c>
      <c r="C10" s="5">
        <v>228.054</v>
      </c>
      <c r="D10" s="5">
        <v>1517.82</v>
      </c>
      <c r="E10" s="6">
        <f t="shared" si="1"/>
        <v>0.8497489820927383</v>
      </c>
    </row>
    <row r="11" spans="1:10" x14ac:dyDescent="0.4">
      <c r="A11" s="4" t="s">
        <v>529</v>
      </c>
      <c r="B11" s="17">
        <v>4</v>
      </c>
      <c r="C11" s="5">
        <v>218.8</v>
      </c>
      <c r="D11" s="5">
        <v>1489.68</v>
      </c>
      <c r="E11" s="6">
        <f t="shared" si="1"/>
        <v>0.85312281832339831</v>
      </c>
    </row>
    <row r="12" spans="1:10" x14ac:dyDescent="0.4">
      <c r="A12" s="4" t="s">
        <v>529</v>
      </c>
      <c r="B12" s="17">
        <v>5</v>
      </c>
      <c r="C12" s="5">
        <v>209.961538461538</v>
      </c>
      <c r="D12" s="5">
        <v>1451.32</v>
      </c>
      <c r="E12" s="6">
        <f t="shared" si="1"/>
        <v>0.8553306379974519</v>
      </c>
    </row>
    <row r="13" spans="1:10" x14ac:dyDescent="0.4">
      <c r="A13" s="13" t="s">
        <v>529</v>
      </c>
      <c r="B13" s="19">
        <v>6</v>
      </c>
      <c r="C13" s="14">
        <v>238.361538461538</v>
      </c>
      <c r="D13" s="14">
        <v>1549.23</v>
      </c>
      <c r="E13" s="15">
        <f t="shared" si="1"/>
        <v>0.8461419295640169</v>
      </c>
    </row>
    <row r="14" spans="1:10" x14ac:dyDescent="0.4">
      <c r="A14" s="4" t="s">
        <v>530</v>
      </c>
      <c r="B14" s="17">
        <v>1</v>
      </c>
      <c r="C14" s="5">
        <v>203.565</v>
      </c>
      <c r="D14" s="5">
        <v>1445.52</v>
      </c>
      <c r="E14" s="6">
        <f t="shared" si="1"/>
        <v>0.85917524489457087</v>
      </c>
    </row>
    <row r="15" spans="1:10" x14ac:dyDescent="0.4">
      <c r="A15" s="4" t="s">
        <v>530</v>
      </c>
      <c r="B15" s="17">
        <v>2</v>
      </c>
      <c r="C15" s="5">
        <v>219.47399999999999</v>
      </c>
      <c r="D15" s="5">
        <v>1483.29</v>
      </c>
      <c r="E15" s="6">
        <f t="shared" si="1"/>
        <v>0.8520356774467569</v>
      </c>
    </row>
    <row r="16" spans="1:10" x14ac:dyDescent="0.4">
      <c r="A16" s="4" t="s">
        <v>530</v>
      </c>
      <c r="B16" s="17">
        <v>3</v>
      </c>
      <c r="C16" s="5">
        <v>227.59200000000001</v>
      </c>
      <c r="D16" s="5">
        <v>1494.59</v>
      </c>
      <c r="E16" s="6">
        <f t="shared" si="1"/>
        <v>0.84772278685124347</v>
      </c>
    </row>
    <row r="17" spans="1:5" x14ac:dyDescent="0.4">
      <c r="A17" s="4" t="s">
        <v>530</v>
      </c>
      <c r="B17" s="17">
        <v>4</v>
      </c>
      <c r="C17" s="5">
        <v>245.94134615384601</v>
      </c>
      <c r="D17" s="5">
        <v>1523.29</v>
      </c>
      <c r="E17" s="6">
        <f t="shared" si="1"/>
        <v>0.83854594584495001</v>
      </c>
    </row>
    <row r="18" spans="1:5" x14ac:dyDescent="0.4">
      <c r="A18" s="4" t="s">
        <v>530</v>
      </c>
      <c r="B18" s="17">
        <v>5</v>
      </c>
      <c r="C18" s="5">
        <v>221.38173076923101</v>
      </c>
      <c r="D18" s="5">
        <v>1463.6</v>
      </c>
      <c r="E18" s="6">
        <f t="shared" si="1"/>
        <v>0.84874164336619906</v>
      </c>
    </row>
    <row r="19" spans="1:5" x14ac:dyDescent="0.4">
      <c r="A19" s="4" t="s">
        <v>530</v>
      </c>
      <c r="B19" s="17">
        <v>6</v>
      </c>
      <c r="C19" s="5">
        <v>220.41399999999999</v>
      </c>
      <c r="D19" s="5">
        <v>1483.38</v>
      </c>
      <c r="E19" s="6">
        <f t="shared" si="1"/>
        <v>0.85141096684598683</v>
      </c>
    </row>
    <row r="20" spans="1:5" x14ac:dyDescent="0.4">
      <c r="A20" s="10" t="s">
        <v>531</v>
      </c>
      <c r="B20" s="18">
        <v>1</v>
      </c>
      <c r="C20" s="11">
        <v>270.55399999999997</v>
      </c>
      <c r="D20" s="11">
        <v>1610.67</v>
      </c>
      <c r="E20" s="12">
        <f t="shared" si="1"/>
        <v>0.83202394034780558</v>
      </c>
    </row>
    <row r="21" spans="1:5" x14ac:dyDescent="0.4">
      <c r="A21" s="4" t="s">
        <v>531</v>
      </c>
      <c r="B21" s="17">
        <v>2</v>
      </c>
      <c r="C21" s="5">
        <v>218.625</v>
      </c>
      <c r="D21" s="5">
        <v>1499.97</v>
      </c>
      <c r="E21" s="6">
        <f t="shared" si="1"/>
        <v>0.85424708494169888</v>
      </c>
    </row>
    <row r="22" spans="1:5" x14ac:dyDescent="0.4">
      <c r="A22" s="4" t="s">
        <v>531</v>
      </c>
      <c r="B22" s="17">
        <v>3</v>
      </c>
      <c r="C22" s="5">
        <v>244.863</v>
      </c>
      <c r="D22" s="5">
        <v>1608.51</v>
      </c>
      <c r="E22" s="6">
        <f t="shared" si="1"/>
        <v>0.84777029673424475</v>
      </c>
    </row>
    <row r="23" spans="1:5" x14ac:dyDescent="0.4">
      <c r="A23" s="4" t="s">
        <v>531</v>
      </c>
      <c r="B23" s="17">
        <v>4</v>
      </c>
      <c r="C23" s="5">
        <v>230.95099999999999</v>
      </c>
      <c r="D23" s="5">
        <v>1516.17</v>
      </c>
      <c r="E23" s="6">
        <f t="shared" si="1"/>
        <v>0.84767473304444751</v>
      </c>
    </row>
    <row r="24" spans="1:5" x14ac:dyDescent="0.4">
      <c r="A24" s="4" t="s">
        <v>531</v>
      </c>
      <c r="B24" s="17">
        <v>5</v>
      </c>
      <c r="C24" s="5">
        <v>265.35865384615403</v>
      </c>
      <c r="D24" s="5">
        <v>1486.94</v>
      </c>
      <c r="E24" s="6">
        <f t="shared" si="1"/>
        <v>0.82154044289201045</v>
      </c>
    </row>
    <row r="25" spans="1:5" x14ac:dyDescent="0.4">
      <c r="A25" s="13" t="s">
        <v>531</v>
      </c>
      <c r="B25" s="19">
        <v>6</v>
      </c>
      <c r="C25" s="14">
        <v>205.101</v>
      </c>
      <c r="D25" s="14">
        <v>1370.03</v>
      </c>
      <c r="E25" s="15">
        <f t="shared" si="1"/>
        <v>0.85029451909812193</v>
      </c>
    </row>
    <row r="26" spans="1:5" x14ac:dyDescent="0.4">
      <c r="A26" s="4" t="s">
        <v>532</v>
      </c>
      <c r="B26" s="17">
        <v>1</v>
      </c>
      <c r="C26" s="5">
        <v>232.054</v>
      </c>
      <c r="D26" s="5">
        <v>1529.11</v>
      </c>
      <c r="E26" s="6">
        <f t="shared" si="1"/>
        <v>0.84824244168176255</v>
      </c>
    </row>
    <row r="27" spans="1:5" x14ac:dyDescent="0.4">
      <c r="A27" s="4" t="s">
        <v>532</v>
      </c>
      <c r="B27" s="17">
        <v>2</v>
      </c>
      <c r="C27" s="5">
        <v>226.47980769230799</v>
      </c>
      <c r="D27" s="5">
        <v>1479.8</v>
      </c>
      <c r="E27" s="6">
        <f t="shared" si="1"/>
        <v>0.84695242080530608</v>
      </c>
    </row>
    <row r="28" spans="1:5" x14ac:dyDescent="0.4">
      <c r="A28" s="4" t="s">
        <v>532</v>
      </c>
      <c r="B28" s="17">
        <v>3</v>
      </c>
      <c r="C28" s="5">
        <v>222.35900000000001</v>
      </c>
      <c r="D28" s="5">
        <v>1324.19</v>
      </c>
      <c r="E28" s="6">
        <f t="shared" si="1"/>
        <v>0.83207923334264722</v>
      </c>
    </row>
    <row r="29" spans="1:5" x14ac:dyDescent="0.4">
      <c r="A29" s="4" t="s">
        <v>532</v>
      </c>
      <c r="B29" s="17">
        <v>4</v>
      </c>
      <c r="C29" s="5">
        <v>229.33076923076899</v>
      </c>
      <c r="D29" s="5">
        <v>1542.21</v>
      </c>
      <c r="E29" s="6">
        <f t="shared" si="1"/>
        <v>0.85129731409420961</v>
      </c>
    </row>
    <row r="30" spans="1:5" x14ac:dyDescent="0.4">
      <c r="A30" s="4" t="s">
        <v>532</v>
      </c>
      <c r="B30" s="17">
        <v>5</v>
      </c>
      <c r="C30" s="5">
        <v>255.10400000000001</v>
      </c>
      <c r="D30" s="5">
        <v>1576.28</v>
      </c>
      <c r="E30" s="6">
        <f t="shared" si="1"/>
        <v>0.83816073286471948</v>
      </c>
    </row>
    <row r="31" spans="1:5" x14ac:dyDescent="0.4">
      <c r="A31" s="13" t="s">
        <v>532</v>
      </c>
      <c r="B31" s="19">
        <v>6</v>
      </c>
      <c r="C31" s="14">
        <v>227.339423076923</v>
      </c>
      <c r="D31" s="14">
        <v>1523.94</v>
      </c>
      <c r="E31" s="15">
        <f t="shared" si="1"/>
        <v>0.8508212770339233</v>
      </c>
    </row>
    <row r="32" spans="1:5" x14ac:dyDescent="0.4">
      <c r="A32" s="4" t="s">
        <v>533</v>
      </c>
      <c r="B32" s="17">
        <v>1</v>
      </c>
      <c r="C32" s="5">
        <v>282.93173076923102</v>
      </c>
      <c r="D32" s="5">
        <v>1669.44</v>
      </c>
      <c r="E32" s="6">
        <f t="shared" si="1"/>
        <v>0.83052297131419461</v>
      </c>
    </row>
    <row r="33" spans="1:5" x14ac:dyDescent="0.4">
      <c r="A33" s="4" t="s">
        <v>533</v>
      </c>
      <c r="B33" s="17">
        <v>2</v>
      </c>
      <c r="C33" s="5">
        <v>253.11799999999999</v>
      </c>
      <c r="D33" s="5">
        <v>1498.1</v>
      </c>
      <c r="E33" s="6">
        <f t="shared" si="1"/>
        <v>0.83104065149188977</v>
      </c>
    </row>
    <row r="34" spans="1:5" x14ac:dyDescent="0.4">
      <c r="A34" s="4" t="s">
        <v>533</v>
      </c>
      <c r="B34" s="17">
        <v>3</v>
      </c>
      <c r="C34" s="5">
        <v>231.999</v>
      </c>
      <c r="D34" s="5">
        <v>1594.61</v>
      </c>
      <c r="E34" s="6">
        <f t="shared" si="1"/>
        <v>0.85451050727137046</v>
      </c>
    </row>
    <row r="35" spans="1:5" x14ac:dyDescent="0.4">
      <c r="A35" s="4" t="s">
        <v>533</v>
      </c>
      <c r="B35" s="17">
        <v>4</v>
      </c>
      <c r="C35" s="5">
        <v>238.529807692308</v>
      </c>
      <c r="D35" s="5">
        <v>1613.3</v>
      </c>
      <c r="E35" s="6">
        <f t="shared" si="1"/>
        <v>0.85214789084962006</v>
      </c>
    </row>
    <row r="36" spans="1:5" x14ac:dyDescent="0.4">
      <c r="A36" s="4" t="s">
        <v>533</v>
      </c>
      <c r="B36" s="17">
        <v>5</v>
      </c>
      <c r="C36" s="5">
        <v>220.33</v>
      </c>
      <c r="D36" s="5">
        <v>1460.28</v>
      </c>
      <c r="E36" s="6">
        <f t="shared" si="1"/>
        <v>0.84911797737420214</v>
      </c>
    </row>
    <row r="37" spans="1:5" ht="18" thickBot="1" x14ac:dyDescent="0.45">
      <c r="A37" s="7" t="s">
        <v>533</v>
      </c>
      <c r="B37" s="20">
        <v>6</v>
      </c>
      <c r="C37" s="8">
        <v>223.71826923076901</v>
      </c>
      <c r="D37" s="8">
        <v>1529.91</v>
      </c>
      <c r="E37" s="9">
        <f t="shared" si="1"/>
        <v>0.85377030725286518</v>
      </c>
    </row>
  </sheetData>
  <phoneticPr fontId="1" type="noConversion"/>
  <pageMargins left="0.7" right="0.7" top="0.75" bottom="0.75" header="0.3" footer="0.3"/>
  <ignoredErrors>
    <ignoredError sqref="H2:J7" formulaRange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Measurements</vt:lpstr>
      <vt:lpstr>Remarks</vt:lpstr>
      <vt:lpstr>형광 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윤정민</cp:lastModifiedBy>
  <dcterms:created xsi:type="dcterms:W3CDTF">2026-09-28T21:20:16Z</dcterms:created>
  <dcterms:modified xsi:type="dcterms:W3CDTF">2026-09-28T13:02:15Z</dcterms:modified>
</cp:coreProperties>
</file>