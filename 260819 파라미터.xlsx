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광합성 데이터/"/>
    </mc:Choice>
  </mc:AlternateContent>
  <xr:revisionPtr revIDLastSave="51" documentId="11_CB885ADA85572F9F1E265252F353527262B8F774" xr6:coauthVersionLast="47" xr6:coauthVersionMax="47" xr10:uidLastSave="{E6253691-700C-4DC3-9FED-4E93A3BCDB47}"/>
  <bookViews>
    <workbookView xWindow="28680" yWindow="-120" windowWidth="29040" windowHeight="15720" xr2:uid="{00000000-000D-0000-FFFF-FFFF00000000}"/>
  </bookViews>
  <sheets>
    <sheet name="A-Ci_results" sheetId="1" r:id="rId1"/>
    <sheet name="Aci 선택적 데이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L2" i="2"/>
  <c r="K3" i="2"/>
  <c r="L3" i="2"/>
  <c r="K4" i="2"/>
  <c r="L4" i="2"/>
  <c r="K5" i="2"/>
  <c r="L5" i="2"/>
  <c r="J5" i="2"/>
  <c r="J4" i="2"/>
  <c r="J3" i="2"/>
  <c r="J2" i="2"/>
  <c r="L2" i="1"/>
  <c r="M2" i="1"/>
  <c r="L3" i="1"/>
  <c r="M3" i="1"/>
  <c r="L4" i="1"/>
  <c r="M4" i="1"/>
  <c r="L5" i="1"/>
  <c r="M5" i="1"/>
  <c r="L6" i="1"/>
  <c r="M6" i="1"/>
  <c r="L7" i="1"/>
  <c r="M7" i="1"/>
  <c r="K5" i="1"/>
  <c r="K7" i="1"/>
  <c r="K6" i="1"/>
  <c r="K4" i="1"/>
  <c r="K3" i="1"/>
  <c r="K2" i="1"/>
</calcChain>
</file>

<file path=xl/sharedStrings.xml><?xml version="1.0" encoding="utf-8"?>
<sst xmlns="http://schemas.openxmlformats.org/spreadsheetml/2006/main" count="165" uniqueCount="77">
  <si>
    <t>file</t>
  </si>
  <si>
    <t>date</t>
  </si>
  <si>
    <t>time</t>
  </si>
  <si>
    <t>target_CO2</t>
  </si>
  <si>
    <t>Vcmax</t>
  </si>
  <si>
    <t>Jmax</t>
  </si>
  <si>
    <t>Rd</t>
  </si>
  <si>
    <t>2026-08-19-1028_logdata 25-1 co2.xlsx</t>
  </si>
  <si>
    <t>2026-08-19</t>
  </si>
  <si>
    <t>1028</t>
  </si>
  <si>
    <t>25-1</t>
  </si>
  <si>
    <t>2026-08-19-1128_logdata 100-1 co2.xlsx</t>
  </si>
  <si>
    <t>1128</t>
  </si>
  <si>
    <t>100-1</t>
  </si>
  <si>
    <t>2026-08-19-1221_logdata 100-2 co2.xlsx</t>
  </si>
  <si>
    <t>1221</t>
  </si>
  <si>
    <t>100-2</t>
  </si>
  <si>
    <t>2026-08-19-1242_logdata 100-3 co2.xlsx</t>
  </si>
  <si>
    <t>1242</t>
  </si>
  <si>
    <t>100-3</t>
  </si>
  <si>
    <t>2026-08-19-1345_logdata flood50-1 co2.xlsx</t>
  </si>
  <si>
    <t>1345</t>
  </si>
  <si>
    <t>flood50-1</t>
  </si>
  <si>
    <t>2026-08-19-1500_logdata flood50-2 co2.xlsx</t>
  </si>
  <si>
    <t>1500</t>
  </si>
  <si>
    <t>flood50-2</t>
  </si>
  <si>
    <t>2026-08-19-1559_logdata flood50-3 co2.xlsx</t>
  </si>
  <si>
    <t>1559</t>
  </si>
  <si>
    <t>flood50-3</t>
  </si>
  <si>
    <t>2026-08-19-1659_logdata flood100-1 co2.xlsx</t>
  </si>
  <si>
    <t>1659</t>
  </si>
  <si>
    <t>flood100-1</t>
  </si>
  <si>
    <t>2026-08-19-1800_logdata flood100-2 co2.xlsx</t>
  </si>
  <si>
    <t>1800</t>
  </si>
  <si>
    <t>flood100-2</t>
  </si>
  <si>
    <t>그래프 매우 이상</t>
    <phoneticPr fontId="3" type="noConversion"/>
  </si>
  <si>
    <t>2026-08-20-1016_logdata flood100-3 co2.xlsx</t>
  </si>
  <si>
    <t>2026-08-20</t>
  </si>
  <si>
    <t>1016</t>
  </si>
  <si>
    <t>flood100-3</t>
  </si>
  <si>
    <t>2026-08-20-1120_logdata 25-2 co2.xlsx</t>
  </si>
  <si>
    <t>1120</t>
  </si>
  <si>
    <t>25-2</t>
  </si>
  <si>
    <t>2026-08-20-1146_logdata 25-3 co2.xlsx</t>
  </si>
  <si>
    <t>1146</t>
  </si>
  <si>
    <t>25-3</t>
  </si>
  <si>
    <t>2026-08-20-1248_logdata 25-4 co2.xlsx</t>
  </si>
  <si>
    <t>1248</t>
  </si>
  <si>
    <t>25-4</t>
  </si>
  <si>
    <t>2026-08-20-1322_logdata 75-1 co2.xlsx</t>
  </si>
  <si>
    <t>1322</t>
  </si>
  <si>
    <t>75-1</t>
  </si>
  <si>
    <t>2026-08-20-1424_logdata 75-2 co2.xlsx</t>
  </si>
  <si>
    <t>1424</t>
  </si>
  <si>
    <t>75-2</t>
  </si>
  <si>
    <t>2026-08-20-1559_logdata 75-3 co2.xlsx</t>
  </si>
  <si>
    <t>75-3</t>
  </si>
  <si>
    <t>2026-08-20-1651_logdata 75-4 co2.xlsx</t>
  </si>
  <si>
    <t>1651</t>
  </si>
  <si>
    <t>75-4</t>
  </si>
  <si>
    <t>2026-08-21-1207_logdata 50-4 co2.xlsx</t>
  </si>
  <si>
    <t>2026-08-21</t>
  </si>
  <si>
    <t>1207</t>
  </si>
  <si>
    <t>50-4</t>
  </si>
  <si>
    <t>2026-08-21-1255_logdata 50-5 co2.xlsx</t>
  </si>
  <si>
    <t>1255</t>
  </si>
  <si>
    <t>50-5</t>
  </si>
  <si>
    <t>2026-08-21-1330_logdata flood50-1 co2.xlsx</t>
  </si>
  <si>
    <t>1330</t>
  </si>
  <si>
    <t>2026-08-21-1425_logdata flood50-2 co2.xlsx</t>
  </si>
  <si>
    <t>1425</t>
  </si>
  <si>
    <t>2026-08-21-1527_logdata 50-3 co2.xlsx</t>
  </si>
  <si>
    <t>1527</t>
  </si>
  <si>
    <t>50-3</t>
  </si>
  <si>
    <t>처리</t>
    <phoneticPr fontId="3" type="noConversion"/>
  </si>
  <si>
    <t>침수100</t>
    <phoneticPr fontId="3" type="noConversion"/>
  </si>
  <si>
    <t>침수50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</si>
</sst>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0" xfId="1" applyBorder="1" applyAlignment="1"/>
    <xf numFmtId="0" fontId="2" fillId="2" borderId="3" xfId="1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" fillId="2" borderId="13" xfId="1" applyBorder="1" applyAlignment="1"/>
    <xf numFmtId="0" fontId="0" fillId="0" borderId="15" xfId="0" applyBorder="1"/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M10" sqref="M10"/>
    </sheetView>
  </sheetViews>
  <sheetFormatPr defaultRowHeight="17.399999999999999" x14ac:dyDescent="0.4"/>
  <cols>
    <col min="1" max="1" width="9.3984375" customWidth="1"/>
    <col min="2" max="2" width="10.5" customWidth="1"/>
    <col min="4" max="4" width="11" bestFit="1" customWidth="1"/>
  </cols>
  <sheetData>
    <row r="1" spans="1:13" s="1" customFormat="1" ht="18" thickBot="1" x14ac:dyDescent="0.45">
      <c r="A1" s="12" t="s">
        <v>0</v>
      </c>
      <c r="B1" s="13" t="s">
        <v>1</v>
      </c>
      <c r="C1" s="13" t="s">
        <v>2</v>
      </c>
      <c r="D1" s="15" t="s">
        <v>3</v>
      </c>
      <c r="E1" s="13" t="s">
        <v>4</v>
      </c>
      <c r="F1" s="13" t="s">
        <v>5</v>
      </c>
      <c r="G1" s="14" t="s">
        <v>6</v>
      </c>
      <c r="J1" s="1" t="s">
        <v>74</v>
      </c>
      <c r="K1" s="13" t="s">
        <v>4</v>
      </c>
      <c r="L1" s="13" t="s">
        <v>5</v>
      </c>
      <c r="M1" s="14" t="s">
        <v>6</v>
      </c>
    </row>
    <row r="2" spans="1:13" ht="18" thickTop="1" x14ac:dyDescent="0.4">
      <c r="A2" s="3" t="s">
        <v>11</v>
      </c>
      <c r="B2" t="s">
        <v>8</v>
      </c>
      <c r="C2" t="s">
        <v>12</v>
      </c>
      <c r="D2" s="16" t="s">
        <v>13</v>
      </c>
      <c r="E2">
        <v>66.33</v>
      </c>
      <c r="F2">
        <v>104.69</v>
      </c>
      <c r="G2" s="4">
        <v>3.12</v>
      </c>
      <c r="K2">
        <f>AVERAGE(E2:E4)</f>
        <v>55.286666666666662</v>
      </c>
      <c r="L2">
        <f t="shared" ref="L2:M2" si="0">AVERAGE(F2:F4)</f>
        <v>87.506666666666661</v>
      </c>
      <c r="M2">
        <f t="shared" si="0"/>
        <v>2.6333333333333333</v>
      </c>
    </row>
    <row r="3" spans="1:13" x14ac:dyDescent="0.4">
      <c r="A3" s="3" t="s">
        <v>14</v>
      </c>
      <c r="B3" t="s">
        <v>8</v>
      </c>
      <c r="C3" t="s">
        <v>15</v>
      </c>
      <c r="D3" s="16" t="s">
        <v>16</v>
      </c>
      <c r="E3">
        <v>54.99</v>
      </c>
      <c r="F3">
        <v>84.43</v>
      </c>
      <c r="G3" s="4">
        <v>2.4</v>
      </c>
      <c r="K3">
        <f>AVERAGE(E5:E8)</f>
        <v>97.725000000000009</v>
      </c>
      <c r="L3">
        <f t="shared" ref="L3:M3" si="1">AVERAGE(F5:F8)</f>
        <v>138.61500000000001</v>
      </c>
      <c r="M3">
        <f t="shared" si="1"/>
        <v>2.7249999999999996</v>
      </c>
    </row>
    <row r="4" spans="1:13" x14ac:dyDescent="0.4">
      <c r="A4" s="5" t="s">
        <v>17</v>
      </c>
      <c r="B4" s="2" t="s">
        <v>8</v>
      </c>
      <c r="C4" s="2" t="s">
        <v>18</v>
      </c>
      <c r="D4" s="17" t="s">
        <v>19</v>
      </c>
      <c r="E4" s="2">
        <v>44.54</v>
      </c>
      <c r="F4" s="2">
        <v>73.400000000000006</v>
      </c>
      <c r="G4" s="6">
        <v>2.38</v>
      </c>
      <c r="K4">
        <f>AVERAGE(E9:E11)</f>
        <v>75.623333333333335</v>
      </c>
      <c r="L4">
        <f t="shared" ref="L4:M4" si="2">AVERAGE(F9:F11)</f>
        <v>117.02333333333333</v>
      </c>
      <c r="M4">
        <f t="shared" si="2"/>
        <v>3.3733333333333335</v>
      </c>
    </row>
    <row r="5" spans="1:13" x14ac:dyDescent="0.4">
      <c r="A5" s="3" t="s">
        <v>49</v>
      </c>
      <c r="B5" t="s">
        <v>37</v>
      </c>
      <c r="C5" t="s">
        <v>50</v>
      </c>
      <c r="D5" s="16" t="s">
        <v>51</v>
      </c>
      <c r="E5">
        <v>122.68</v>
      </c>
      <c r="F5">
        <v>174.01</v>
      </c>
      <c r="G5" s="4">
        <v>2.94</v>
      </c>
      <c r="K5">
        <f>AVERAGE(E12,E14:E15)</f>
        <v>75.64</v>
      </c>
      <c r="L5">
        <f t="shared" ref="L5:M5" si="3">AVERAGE(F12,F14:F15)</f>
        <v>101.38666666666666</v>
      </c>
      <c r="M5">
        <f t="shared" si="3"/>
        <v>2.25</v>
      </c>
    </row>
    <row r="6" spans="1:13" x14ac:dyDescent="0.4">
      <c r="A6" s="3" t="s">
        <v>52</v>
      </c>
      <c r="B6" t="s">
        <v>37</v>
      </c>
      <c r="C6" t="s">
        <v>53</v>
      </c>
      <c r="D6" s="16" t="s">
        <v>54</v>
      </c>
      <c r="E6">
        <v>81.88</v>
      </c>
      <c r="F6">
        <v>127.42</v>
      </c>
      <c r="G6" s="4">
        <v>3.75</v>
      </c>
      <c r="K6">
        <f>AVERAGE(E16:E18)</f>
        <v>56.19</v>
      </c>
      <c r="L6">
        <f t="shared" ref="L6:M6" si="4">AVERAGE(F16:F18)</f>
        <v>83.2</v>
      </c>
      <c r="M6">
        <f t="shared" si="4"/>
        <v>2.1233333333333335</v>
      </c>
    </row>
    <row r="7" spans="1:13" x14ac:dyDescent="0.4">
      <c r="A7" s="3" t="s">
        <v>55</v>
      </c>
      <c r="B7" t="s">
        <v>37</v>
      </c>
      <c r="C7" t="s">
        <v>27</v>
      </c>
      <c r="D7" s="16" t="s">
        <v>56</v>
      </c>
      <c r="E7">
        <v>84.16</v>
      </c>
      <c r="F7">
        <v>115.76</v>
      </c>
      <c r="G7" s="4">
        <v>1.92</v>
      </c>
      <c r="K7">
        <f>AVERAGE(E20:E23)</f>
        <v>61.222499999999997</v>
      </c>
      <c r="L7">
        <f t="shared" ref="L7:M7" si="5">AVERAGE(F20:F23)</f>
        <v>90.704999999999998</v>
      </c>
      <c r="M7">
        <f t="shared" si="5"/>
        <v>2.9074999999999998</v>
      </c>
    </row>
    <row r="8" spans="1:13" x14ac:dyDescent="0.4">
      <c r="A8" s="5" t="s">
        <v>57</v>
      </c>
      <c r="B8" s="2" t="s">
        <v>37</v>
      </c>
      <c r="C8" s="2" t="s">
        <v>58</v>
      </c>
      <c r="D8" s="17" t="s">
        <v>59</v>
      </c>
      <c r="E8" s="2">
        <v>102.18</v>
      </c>
      <c r="F8" s="2">
        <v>137.27000000000001</v>
      </c>
      <c r="G8" s="6">
        <v>2.29</v>
      </c>
    </row>
    <row r="9" spans="1:13" x14ac:dyDescent="0.4">
      <c r="A9" s="3" t="s">
        <v>71</v>
      </c>
      <c r="B9" t="s">
        <v>61</v>
      </c>
      <c r="C9" t="s">
        <v>72</v>
      </c>
      <c r="D9" s="16" t="s">
        <v>73</v>
      </c>
      <c r="E9">
        <v>85.86</v>
      </c>
      <c r="F9">
        <v>126.84</v>
      </c>
      <c r="G9" s="4">
        <v>3.46</v>
      </c>
    </row>
    <row r="10" spans="1:13" x14ac:dyDescent="0.4">
      <c r="A10" s="3" t="s">
        <v>60</v>
      </c>
      <c r="B10" t="s">
        <v>61</v>
      </c>
      <c r="C10" t="s">
        <v>62</v>
      </c>
      <c r="D10" s="16" t="s">
        <v>63</v>
      </c>
      <c r="E10">
        <v>69.290000000000006</v>
      </c>
      <c r="F10">
        <v>102.69</v>
      </c>
      <c r="G10" s="4">
        <v>2.4500000000000002</v>
      </c>
    </row>
    <row r="11" spans="1:13" x14ac:dyDescent="0.4">
      <c r="A11" s="5" t="s">
        <v>64</v>
      </c>
      <c r="B11" s="2" t="s">
        <v>61</v>
      </c>
      <c r="C11" s="2" t="s">
        <v>65</v>
      </c>
      <c r="D11" s="17" t="s">
        <v>66</v>
      </c>
      <c r="E11" s="2">
        <v>71.72</v>
      </c>
      <c r="F11" s="2">
        <v>121.54</v>
      </c>
      <c r="G11" s="6">
        <v>4.21</v>
      </c>
    </row>
    <row r="12" spans="1:13" x14ac:dyDescent="0.4">
      <c r="A12" s="3" t="s">
        <v>7</v>
      </c>
      <c r="B12" t="s">
        <v>8</v>
      </c>
      <c r="C12" t="s">
        <v>9</v>
      </c>
      <c r="D12" s="16" t="s">
        <v>10</v>
      </c>
      <c r="E12">
        <v>76.459999999999994</v>
      </c>
      <c r="F12">
        <v>104.36</v>
      </c>
      <c r="G12" s="4">
        <v>1.4</v>
      </c>
    </row>
    <row r="13" spans="1:13" x14ac:dyDescent="0.4">
      <c r="A13" s="3" t="s">
        <v>40</v>
      </c>
      <c r="B13" t="s">
        <v>37</v>
      </c>
      <c r="C13" t="s">
        <v>41</v>
      </c>
      <c r="D13" s="16" t="s">
        <v>42</v>
      </c>
      <c r="E13" s="7">
        <v>76.39</v>
      </c>
      <c r="F13" s="7">
        <v>83.09</v>
      </c>
      <c r="G13" s="8">
        <v>1.58</v>
      </c>
      <c r="H13" t="s">
        <v>35</v>
      </c>
    </row>
    <row r="14" spans="1:13" x14ac:dyDescent="0.4">
      <c r="A14" s="3" t="s">
        <v>43</v>
      </c>
      <c r="B14" t="s">
        <v>37</v>
      </c>
      <c r="C14" t="s">
        <v>44</v>
      </c>
      <c r="D14" s="16" t="s">
        <v>45</v>
      </c>
      <c r="E14">
        <v>79.239999999999995</v>
      </c>
      <c r="F14">
        <v>104.85</v>
      </c>
      <c r="G14" s="4">
        <v>2.5099999999999998</v>
      </c>
    </row>
    <row r="15" spans="1:13" x14ac:dyDescent="0.4">
      <c r="A15" s="5" t="s">
        <v>46</v>
      </c>
      <c r="B15" s="2" t="s">
        <v>37</v>
      </c>
      <c r="C15" s="2" t="s">
        <v>47</v>
      </c>
      <c r="D15" s="17" t="s">
        <v>48</v>
      </c>
      <c r="E15" s="2">
        <v>71.22</v>
      </c>
      <c r="F15" s="2">
        <v>94.95</v>
      </c>
      <c r="G15" s="6">
        <v>2.84</v>
      </c>
    </row>
    <row r="16" spans="1:13" x14ac:dyDescent="0.4">
      <c r="A16" s="3" t="s">
        <v>29</v>
      </c>
      <c r="B16" t="s">
        <v>8</v>
      </c>
      <c r="C16" t="s">
        <v>30</v>
      </c>
      <c r="D16" s="16" t="s">
        <v>31</v>
      </c>
      <c r="E16">
        <v>41.17</v>
      </c>
      <c r="F16">
        <v>62.8</v>
      </c>
      <c r="G16" s="4">
        <v>1.95</v>
      </c>
    </row>
    <row r="17" spans="1:8" x14ac:dyDescent="0.4">
      <c r="A17" s="3" t="s">
        <v>32</v>
      </c>
      <c r="B17" t="s">
        <v>8</v>
      </c>
      <c r="C17" t="s">
        <v>33</v>
      </c>
      <c r="D17" s="16" t="s">
        <v>34</v>
      </c>
      <c r="E17">
        <v>46.69</v>
      </c>
      <c r="F17">
        <v>71.44</v>
      </c>
      <c r="G17" s="4">
        <v>2.8</v>
      </c>
    </row>
    <row r="18" spans="1:8" x14ac:dyDescent="0.4">
      <c r="A18" s="5" t="s">
        <v>36</v>
      </c>
      <c r="B18" s="2" t="s">
        <v>37</v>
      </c>
      <c r="C18" s="2" t="s">
        <v>38</v>
      </c>
      <c r="D18" s="17" t="s">
        <v>39</v>
      </c>
      <c r="E18" s="2">
        <v>80.709999999999994</v>
      </c>
      <c r="F18" s="2">
        <v>115.36</v>
      </c>
      <c r="G18" s="6">
        <v>1.62</v>
      </c>
    </row>
    <row r="19" spans="1:8" x14ac:dyDescent="0.4">
      <c r="A19" s="3" t="s">
        <v>20</v>
      </c>
      <c r="B19" t="s">
        <v>8</v>
      </c>
      <c r="C19" t="s">
        <v>21</v>
      </c>
      <c r="D19" s="18" t="s">
        <v>22</v>
      </c>
      <c r="E19" s="7">
        <v>38.799999999999997</v>
      </c>
      <c r="F19" s="7">
        <v>46.78</v>
      </c>
      <c r="G19" s="8">
        <v>1.33</v>
      </c>
      <c r="H19" t="s">
        <v>35</v>
      </c>
    </row>
    <row r="20" spans="1:8" x14ac:dyDescent="0.4">
      <c r="A20" s="3" t="s">
        <v>23</v>
      </c>
      <c r="B20" t="s">
        <v>8</v>
      </c>
      <c r="C20" t="s">
        <v>24</v>
      </c>
      <c r="D20" s="16" t="s">
        <v>25</v>
      </c>
      <c r="E20">
        <v>64.52</v>
      </c>
      <c r="F20">
        <v>101.69</v>
      </c>
      <c r="G20" s="4">
        <v>3.8</v>
      </c>
    </row>
    <row r="21" spans="1:8" x14ac:dyDescent="0.4">
      <c r="A21" s="3" t="s">
        <v>26</v>
      </c>
      <c r="B21" t="s">
        <v>8</v>
      </c>
      <c r="C21" t="s">
        <v>27</v>
      </c>
      <c r="D21" s="16" t="s">
        <v>28</v>
      </c>
      <c r="E21">
        <v>58.9</v>
      </c>
      <c r="F21">
        <v>96.97</v>
      </c>
      <c r="G21" s="4">
        <v>3.77</v>
      </c>
    </row>
    <row r="22" spans="1:8" x14ac:dyDescent="0.4">
      <c r="A22" s="3" t="s">
        <v>67</v>
      </c>
      <c r="B22" t="s">
        <v>61</v>
      </c>
      <c r="C22" t="s">
        <v>68</v>
      </c>
      <c r="D22" s="16" t="s">
        <v>22</v>
      </c>
      <c r="E22">
        <v>55.75</v>
      </c>
      <c r="F22">
        <v>74.95</v>
      </c>
      <c r="G22" s="4">
        <v>2.13</v>
      </c>
    </row>
    <row r="23" spans="1:8" ht="18" thickBot="1" x14ac:dyDescent="0.45">
      <c r="A23" s="9" t="s">
        <v>69</v>
      </c>
      <c r="B23" s="10" t="s">
        <v>61</v>
      </c>
      <c r="C23" s="10" t="s">
        <v>70</v>
      </c>
      <c r="D23" s="19" t="s">
        <v>25</v>
      </c>
      <c r="E23" s="10">
        <v>65.72</v>
      </c>
      <c r="F23" s="10">
        <v>89.21</v>
      </c>
      <c r="G23" s="11">
        <v>1.93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98CD-8EF6-47B2-ADA9-1A0F2E24CD5E}">
  <dimension ref="A1:L14"/>
  <sheetViews>
    <sheetView workbookViewId="0">
      <selection activeCell="J3" sqref="J3"/>
    </sheetView>
  </sheetViews>
  <sheetFormatPr defaultRowHeight="17.399999999999999" x14ac:dyDescent="0.4"/>
  <sheetData>
    <row r="1" spans="1:12" ht="18" thickBot="1" x14ac:dyDescent="0.45">
      <c r="A1" s="12" t="s">
        <v>0</v>
      </c>
      <c r="B1" s="13" t="s">
        <v>1</v>
      </c>
      <c r="C1" s="13" t="s">
        <v>2</v>
      </c>
      <c r="D1" s="15" t="s">
        <v>3</v>
      </c>
      <c r="E1" s="13" t="s">
        <v>4</v>
      </c>
      <c r="F1" s="13" t="s">
        <v>5</v>
      </c>
      <c r="G1" s="14" t="s">
        <v>6</v>
      </c>
      <c r="J1" s="13" t="s">
        <v>4</v>
      </c>
      <c r="K1" s="13" t="s">
        <v>5</v>
      </c>
      <c r="L1" s="14" t="s">
        <v>6</v>
      </c>
    </row>
    <row r="2" spans="1:12" ht="18" thickTop="1" x14ac:dyDescent="0.4">
      <c r="A2" s="3" t="s">
        <v>11</v>
      </c>
      <c r="B2" t="s">
        <v>8</v>
      </c>
      <c r="C2" t="s">
        <v>12</v>
      </c>
      <c r="D2" s="16" t="s">
        <v>13</v>
      </c>
      <c r="E2">
        <v>66.33</v>
      </c>
      <c r="F2">
        <v>104.69</v>
      </c>
      <c r="G2" s="4">
        <v>3.12</v>
      </c>
      <c r="I2">
        <v>100</v>
      </c>
      <c r="J2">
        <f>AVERAGE(E2:E4)</f>
        <v>55.286666666666662</v>
      </c>
      <c r="K2">
        <f t="shared" ref="K2:L2" si="0">AVERAGE(F2:F4)</f>
        <v>87.506666666666661</v>
      </c>
      <c r="L2">
        <f t="shared" si="0"/>
        <v>2.6333333333333333</v>
      </c>
    </row>
    <row r="3" spans="1:12" x14ac:dyDescent="0.4">
      <c r="A3" s="3" t="s">
        <v>14</v>
      </c>
      <c r="B3" t="s">
        <v>8</v>
      </c>
      <c r="C3" t="s">
        <v>15</v>
      </c>
      <c r="D3" s="16" t="s">
        <v>16</v>
      </c>
      <c r="E3">
        <v>54.99</v>
      </c>
      <c r="F3">
        <v>84.43</v>
      </c>
      <c r="G3" s="4">
        <v>2.4</v>
      </c>
      <c r="I3">
        <v>50</v>
      </c>
      <c r="J3">
        <f>AVERAGE(E5:E7)</f>
        <v>75.623333333333335</v>
      </c>
      <c r="K3">
        <f t="shared" ref="K3:L3" si="1">AVERAGE(F5:F7)</f>
        <v>117.02333333333333</v>
      </c>
      <c r="L3">
        <f t="shared" si="1"/>
        <v>3.3733333333333335</v>
      </c>
    </row>
    <row r="4" spans="1:12" x14ac:dyDescent="0.4">
      <c r="A4" s="5" t="s">
        <v>17</v>
      </c>
      <c r="B4" s="2" t="s">
        <v>8</v>
      </c>
      <c r="C4" s="2" t="s">
        <v>18</v>
      </c>
      <c r="D4" s="17" t="s">
        <v>19</v>
      </c>
      <c r="E4" s="2">
        <v>44.54</v>
      </c>
      <c r="F4" s="2">
        <v>73.400000000000006</v>
      </c>
      <c r="G4" s="6">
        <v>2.38</v>
      </c>
      <c r="I4" t="s">
        <v>75</v>
      </c>
      <c r="J4">
        <f>AVERAGE(E8:E10)</f>
        <v>56.19</v>
      </c>
      <c r="K4">
        <f t="shared" ref="K4:L4" si="2">AVERAGE(F8:F10)</f>
        <v>83.2</v>
      </c>
      <c r="L4">
        <f t="shared" si="2"/>
        <v>2.1233333333333335</v>
      </c>
    </row>
    <row r="5" spans="1:12" x14ac:dyDescent="0.4">
      <c r="A5" s="3" t="s">
        <v>71</v>
      </c>
      <c r="B5" t="s">
        <v>61</v>
      </c>
      <c r="C5" t="s">
        <v>72</v>
      </c>
      <c r="D5" s="16" t="s">
        <v>73</v>
      </c>
      <c r="E5">
        <v>85.86</v>
      </c>
      <c r="F5">
        <v>126.84</v>
      </c>
      <c r="G5" s="4">
        <v>3.46</v>
      </c>
      <c r="I5" t="s">
        <v>76</v>
      </c>
      <c r="J5">
        <f>AVERAGE(E11:E14)</f>
        <v>61.222499999999997</v>
      </c>
      <c r="K5">
        <f t="shared" ref="K5:L5" si="3">AVERAGE(F11:F14)</f>
        <v>90.704999999999998</v>
      </c>
      <c r="L5">
        <f t="shared" si="3"/>
        <v>2.9074999999999998</v>
      </c>
    </row>
    <row r="6" spans="1:12" x14ac:dyDescent="0.4">
      <c r="A6" s="3" t="s">
        <v>60</v>
      </c>
      <c r="B6" t="s">
        <v>61</v>
      </c>
      <c r="C6" t="s">
        <v>62</v>
      </c>
      <c r="D6" s="16" t="s">
        <v>63</v>
      </c>
      <c r="E6">
        <v>69.290000000000006</v>
      </c>
      <c r="F6">
        <v>102.69</v>
      </c>
      <c r="G6" s="4">
        <v>2.4500000000000002</v>
      </c>
    </row>
    <row r="7" spans="1:12" x14ac:dyDescent="0.4">
      <c r="A7" s="5" t="s">
        <v>64</v>
      </c>
      <c r="B7" s="2" t="s">
        <v>61</v>
      </c>
      <c r="C7" s="2" t="s">
        <v>65</v>
      </c>
      <c r="D7" s="17" t="s">
        <v>66</v>
      </c>
      <c r="E7" s="2">
        <v>71.72</v>
      </c>
      <c r="F7" s="2">
        <v>121.54</v>
      </c>
      <c r="G7" s="6">
        <v>4.21</v>
      </c>
    </row>
    <row r="8" spans="1:12" x14ac:dyDescent="0.4">
      <c r="A8" s="3" t="s">
        <v>29</v>
      </c>
      <c r="B8" t="s">
        <v>8</v>
      </c>
      <c r="C8" t="s">
        <v>30</v>
      </c>
      <c r="D8" s="16" t="s">
        <v>31</v>
      </c>
      <c r="E8">
        <v>41.17</v>
      </c>
      <c r="F8">
        <v>62.8</v>
      </c>
      <c r="G8" s="4">
        <v>1.95</v>
      </c>
    </row>
    <row r="9" spans="1:12" x14ac:dyDescent="0.4">
      <c r="A9" s="3" t="s">
        <v>32</v>
      </c>
      <c r="B9" t="s">
        <v>8</v>
      </c>
      <c r="C9" t="s">
        <v>33</v>
      </c>
      <c r="D9" s="16" t="s">
        <v>34</v>
      </c>
      <c r="E9">
        <v>46.69</v>
      </c>
      <c r="F9">
        <v>71.44</v>
      </c>
      <c r="G9" s="4">
        <v>2.8</v>
      </c>
    </row>
    <row r="10" spans="1:12" x14ac:dyDescent="0.4">
      <c r="A10" s="5" t="s">
        <v>36</v>
      </c>
      <c r="B10" s="2" t="s">
        <v>37</v>
      </c>
      <c r="C10" s="2" t="s">
        <v>38</v>
      </c>
      <c r="D10" s="17" t="s">
        <v>39</v>
      </c>
      <c r="E10" s="2">
        <v>80.709999999999994</v>
      </c>
      <c r="F10" s="2">
        <v>115.36</v>
      </c>
      <c r="G10" s="6">
        <v>1.62</v>
      </c>
    </row>
    <row r="11" spans="1:12" x14ac:dyDescent="0.4">
      <c r="A11" s="3" t="s">
        <v>23</v>
      </c>
      <c r="B11" t="s">
        <v>8</v>
      </c>
      <c r="C11" t="s">
        <v>24</v>
      </c>
      <c r="D11" s="16" t="s">
        <v>25</v>
      </c>
      <c r="E11">
        <v>64.52</v>
      </c>
      <c r="F11">
        <v>101.69</v>
      </c>
      <c r="G11" s="4">
        <v>3.8</v>
      </c>
    </row>
    <row r="12" spans="1:12" x14ac:dyDescent="0.4">
      <c r="A12" s="3" t="s">
        <v>26</v>
      </c>
      <c r="B12" t="s">
        <v>8</v>
      </c>
      <c r="C12" t="s">
        <v>27</v>
      </c>
      <c r="D12" s="16" t="s">
        <v>28</v>
      </c>
      <c r="E12">
        <v>58.9</v>
      </c>
      <c r="F12">
        <v>96.97</v>
      </c>
      <c r="G12" s="4">
        <v>3.77</v>
      </c>
    </row>
    <row r="13" spans="1:12" x14ac:dyDescent="0.4">
      <c r="A13" s="3" t="s">
        <v>67</v>
      </c>
      <c r="B13" t="s">
        <v>61</v>
      </c>
      <c r="C13" t="s">
        <v>68</v>
      </c>
      <c r="D13" s="16" t="s">
        <v>22</v>
      </c>
      <c r="E13">
        <v>55.75</v>
      </c>
      <c r="F13">
        <v>74.95</v>
      </c>
      <c r="G13" s="4">
        <v>2.13</v>
      </c>
    </row>
    <row r="14" spans="1:12" ht="18" thickBot="1" x14ac:dyDescent="0.45">
      <c r="A14" s="9" t="s">
        <v>69</v>
      </c>
      <c r="B14" s="10" t="s">
        <v>61</v>
      </c>
      <c r="C14" s="10" t="s">
        <v>70</v>
      </c>
      <c r="D14" s="19" t="s">
        <v>25</v>
      </c>
      <c r="E14" s="10">
        <v>65.72</v>
      </c>
      <c r="F14" s="10">
        <v>89.21</v>
      </c>
      <c r="G14" s="11">
        <v>1.93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A-Ci_results</vt:lpstr>
      <vt:lpstr>Aci 선택적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윤정민</cp:lastModifiedBy>
  <dcterms:created xsi:type="dcterms:W3CDTF">2026-08-19T13:26:11Z</dcterms:created>
  <dcterms:modified xsi:type="dcterms:W3CDTF">2026-10-22T05:19:57Z</dcterms:modified>
</cp:coreProperties>
</file>