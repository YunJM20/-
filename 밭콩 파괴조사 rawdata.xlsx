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"/>
    </mc:Choice>
  </mc:AlternateContent>
  <xr:revisionPtr revIDLastSave="2379" documentId="13_ncr:1_{9D52AC2F-D767-4090-A2F5-BA02CBF4329C}" xr6:coauthVersionLast="47" xr6:coauthVersionMax="47" xr10:uidLastSave="{B1F4FE48-460C-476E-BD17-A307678E042E}"/>
  <bookViews>
    <workbookView xWindow="28680" yWindow="-120" windowWidth="29040" windowHeight="15720" activeTab="3" xr2:uid="{00000000-000D-0000-FFFF-FFFF00000000}"/>
  </bookViews>
  <sheets>
    <sheet name="대원콩" sheetId="1" r:id="rId1"/>
    <sheet name="260901" sheetId="2" r:id="rId2"/>
    <sheet name="261006" sheetId="3" r:id="rId3"/>
    <sheet name="이상값제거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4" l="1"/>
  <c r="N39" i="4"/>
  <c r="P51" i="4"/>
  <c r="N51" i="4"/>
  <c r="L51" i="4"/>
  <c r="P50" i="4"/>
  <c r="N50" i="4"/>
  <c r="L50" i="4"/>
  <c r="N48" i="4"/>
  <c r="N47" i="4"/>
  <c r="L47" i="4"/>
  <c r="N46" i="4"/>
  <c r="L46" i="4"/>
  <c r="N45" i="4"/>
  <c r="L45" i="4"/>
  <c r="N43" i="4"/>
  <c r="L43" i="4"/>
  <c r="N42" i="4"/>
  <c r="N41" i="4"/>
  <c r="L41" i="4"/>
  <c r="L40" i="4"/>
  <c r="L38" i="4"/>
  <c r="N37" i="4"/>
  <c r="L37" i="4"/>
  <c r="N36" i="4"/>
  <c r="L36" i="4"/>
  <c r="N35" i="4"/>
  <c r="L35" i="4"/>
  <c r="N34" i="4"/>
  <c r="L34" i="4"/>
  <c r="P32" i="4"/>
  <c r="N32" i="4"/>
  <c r="L32" i="4"/>
  <c r="L31" i="4"/>
  <c r="AK3" i="3"/>
  <c r="AI3" i="3"/>
  <c r="AF3" i="3"/>
  <c r="AG3" i="3"/>
  <c r="AF2" i="3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67" i="1"/>
  <c r="P22" i="3"/>
  <c r="P21" i="3"/>
  <c r="P3" i="3"/>
  <c r="P2" i="3"/>
  <c r="N22" i="3"/>
  <c r="N21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3" i="3"/>
  <c r="N2" i="3"/>
  <c r="L22" i="3"/>
  <c r="L21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3" i="3"/>
  <c r="L2" i="3"/>
  <c r="S105" i="1"/>
  <c r="S104" i="1"/>
  <c r="S68" i="1"/>
  <c r="S67" i="1"/>
  <c r="N105" i="1"/>
  <c r="N104" i="1"/>
  <c r="N102" i="1"/>
  <c r="N101" i="1"/>
  <c r="N100" i="1"/>
  <c r="N99" i="1"/>
  <c r="N96" i="1"/>
  <c r="N95" i="1"/>
  <c r="N93" i="1"/>
  <c r="N92" i="1"/>
  <c r="N91" i="1"/>
  <c r="N90" i="1"/>
  <c r="N89" i="1"/>
  <c r="N88" i="1"/>
  <c r="N87" i="1"/>
  <c r="N86" i="1"/>
  <c r="N85" i="1"/>
  <c r="N84" i="1"/>
  <c r="N80" i="1"/>
  <c r="N76" i="1"/>
  <c r="N75" i="1"/>
  <c r="N74" i="1"/>
  <c r="N73" i="1"/>
  <c r="N72" i="1"/>
  <c r="N71" i="1"/>
  <c r="N70" i="1"/>
  <c r="N68" i="1"/>
  <c r="N67" i="1"/>
  <c r="L105" i="1"/>
  <c r="L104" i="1"/>
  <c r="L102" i="1"/>
  <c r="L101" i="1"/>
  <c r="L100" i="1"/>
  <c r="L99" i="1"/>
  <c r="L96" i="1"/>
  <c r="L95" i="1"/>
  <c r="L93" i="1"/>
  <c r="L92" i="1"/>
  <c r="L91" i="1"/>
  <c r="L90" i="1"/>
  <c r="L89" i="1"/>
  <c r="L88" i="1"/>
  <c r="L87" i="1"/>
  <c r="L86" i="1"/>
  <c r="L85" i="1"/>
  <c r="L84" i="1"/>
  <c r="L80" i="1"/>
  <c r="L76" i="1"/>
  <c r="L75" i="1"/>
  <c r="L74" i="1"/>
  <c r="L73" i="1"/>
  <c r="L72" i="1"/>
  <c r="L71" i="1"/>
  <c r="L70" i="1"/>
  <c r="L68" i="1"/>
  <c r="L67" i="1"/>
  <c r="AA2" i="3"/>
  <c r="AB2" i="3"/>
  <c r="AC2" i="3"/>
  <c r="AD2" i="3"/>
  <c r="AE2" i="3"/>
  <c r="AG2" i="3"/>
  <c r="AI2" i="3"/>
  <c r="AJ2" i="3"/>
  <c r="AK2" i="3"/>
  <c r="AL2" i="3"/>
  <c r="AM2" i="3"/>
  <c r="AN2" i="3"/>
  <c r="AO2" i="3"/>
  <c r="AP2" i="3"/>
  <c r="AQ2" i="3"/>
  <c r="AA3" i="3"/>
  <c r="AB3" i="3"/>
  <c r="AC3" i="3"/>
  <c r="AD3" i="3"/>
  <c r="AE3" i="3"/>
  <c r="AJ3" i="3"/>
  <c r="AL3" i="3"/>
  <c r="AM3" i="3"/>
  <c r="AN3" i="3"/>
  <c r="AO3" i="3"/>
  <c r="AP3" i="3"/>
  <c r="AQ3" i="3"/>
  <c r="AA4" i="3"/>
  <c r="AB4" i="3"/>
  <c r="AC4" i="3"/>
  <c r="AD4" i="3"/>
  <c r="AE4" i="3"/>
  <c r="AF4" i="3"/>
  <c r="AG4" i="3"/>
  <c r="AI4" i="3"/>
  <c r="AJ4" i="3"/>
  <c r="AK4" i="3"/>
  <c r="AL4" i="3"/>
  <c r="AM4" i="3"/>
  <c r="AN4" i="3"/>
  <c r="AO4" i="3"/>
  <c r="AP4" i="3"/>
  <c r="AQ4" i="3"/>
  <c r="AA5" i="3"/>
  <c r="AB5" i="3"/>
  <c r="AC5" i="3"/>
  <c r="AD5" i="3"/>
  <c r="AE5" i="3"/>
  <c r="AF5" i="3"/>
  <c r="AG5" i="3"/>
  <c r="AI5" i="3"/>
  <c r="AJ5" i="3"/>
  <c r="AK5" i="3"/>
  <c r="AL5" i="3"/>
  <c r="AM5" i="3"/>
  <c r="AN5" i="3"/>
  <c r="AO5" i="3"/>
  <c r="AP5" i="3"/>
  <c r="AQ5" i="3"/>
  <c r="Z5" i="3"/>
  <c r="Z4" i="3"/>
  <c r="Z3" i="3"/>
  <c r="Z2" i="3"/>
  <c r="Z2" i="2"/>
  <c r="AA2" i="2"/>
  <c r="AB2" i="2"/>
  <c r="AC2" i="2"/>
  <c r="AD2" i="2"/>
  <c r="AE2" i="2"/>
  <c r="AF2" i="2"/>
  <c r="AH2" i="2"/>
  <c r="AI2" i="2"/>
  <c r="AJ2" i="2"/>
  <c r="AK2" i="2"/>
  <c r="AL2" i="2"/>
  <c r="AM2" i="2"/>
  <c r="AN2" i="2"/>
  <c r="AO2" i="2"/>
  <c r="AP2" i="2"/>
  <c r="Z3" i="2"/>
  <c r="AA3" i="2"/>
  <c r="AB3" i="2"/>
  <c r="AC3" i="2"/>
  <c r="AD3" i="2"/>
  <c r="AE3" i="2"/>
  <c r="AF3" i="2"/>
  <c r="AH3" i="2"/>
  <c r="AI3" i="2"/>
  <c r="AJ3" i="2"/>
  <c r="AK3" i="2"/>
  <c r="AL3" i="2"/>
  <c r="AM3" i="2"/>
  <c r="AN3" i="2"/>
  <c r="AO3" i="2"/>
  <c r="AP3" i="2"/>
  <c r="Z4" i="2"/>
  <c r="AA4" i="2"/>
  <c r="AB4" i="2"/>
  <c r="AC4" i="2"/>
  <c r="AD4" i="2"/>
  <c r="AE4" i="2"/>
  <c r="AF4" i="2"/>
  <c r="AH4" i="2"/>
  <c r="AI4" i="2"/>
  <c r="AJ4" i="2"/>
  <c r="AK4" i="2"/>
  <c r="AL4" i="2"/>
  <c r="AM4" i="2"/>
  <c r="AN4" i="2"/>
  <c r="AO4" i="2"/>
  <c r="AP4" i="2"/>
  <c r="Z5" i="2"/>
  <c r="AA5" i="2"/>
  <c r="AB5" i="2"/>
  <c r="AC5" i="2"/>
  <c r="AD5" i="2"/>
  <c r="AE5" i="2"/>
  <c r="AF5" i="2"/>
  <c r="AH5" i="2"/>
  <c r="AI5" i="2"/>
  <c r="AJ5" i="2"/>
  <c r="AK5" i="2"/>
  <c r="AL5" i="2"/>
  <c r="AM5" i="2"/>
  <c r="AN5" i="2"/>
  <c r="AO5" i="2"/>
  <c r="AP5" i="2"/>
  <c r="Y5" i="2"/>
  <c r="Y4" i="2"/>
  <c r="Y3" i="2"/>
  <c r="Y2" i="2"/>
  <c r="AA109" i="1"/>
  <c r="AA103" i="1"/>
  <c r="AA94" i="1"/>
  <c r="AA85" i="1"/>
  <c r="AA76" i="1"/>
  <c r="AA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67" i="1"/>
  <c r="U68" i="1"/>
  <c r="V68" i="1"/>
  <c r="W68" i="1"/>
  <c r="X68" i="1"/>
  <c r="U69" i="1"/>
  <c r="V69" i="1"/>
  <c r="W69" i="1"/>
  <c r="X69" i="1"/>
  <c r="U70" i="1"/>
  <c r="V70" i="1"/>
  <c r="W70" i="1"/>
  <c r="X70" i="1"/>
  <c r="U71" i="1"/>
  <c r="V71" i="1"/>
  <c r="W71" i="1"/>
  <c r="X71" i="1"/>
  <c r="U72" i="1"/>
  <c r="V72" i="1"/>
  <c r="W72" i="1"/>
  <c r="X72" i="1"/>
  <c r="U73" i="1"/>
  <c r="V73" i="1"/>
  <c r="W73" i="1"/>
  <c r="X73" i="1"/>
  <c r="U74" i="1"/>
  <c r="V74" i="1"/>
  <c r="W74" i="1"/>
  <c r="X74" i="1"/>
  <c r="U75" i="1"/>
  <c r="V75" i="1"/>
  <c r="W75" i="1"/>
  <c r="X75" i="1"/>
  <c r="U76" i="1"/>
  <c r="V76" i="1"/>
  <c r="W76" i="1"/>
  <c r="X76" i="1"/>
  <c r="U77" i="1"/>
  <c r="V77" i="1"/>
  <c r="W77" i="1"/>
  <c r="X77" i="1"/>
  <c r="U78" i="1"/>
  <c r="V78" i="1"/>
  <c r="W78" i="1"/>
  <c r="X78" i="1"/>
  <c r="U79" i="1"/>
  <c r="V79" i="1"/>
  <c r="W79" i="1"/>
  <c r="X79" i="1"/>
  <c r="U80" i="1"/>
  <c r="V80" i="1"/>
  <c r="W80" i="1"/>
  <c r="X80" i="1"/>
  <c r="U81" i="1"/>
  <c r="V81" i="1"/>
  <c r="W81" i="1"/>
  <c r="X81" i="1"/>
  <c r="U82" i="1"/>
  <c r="V82" i="1"/>
  <c r="W82" i="1"/>
  <c r="X82" i="1"/>
  <c r="U83" i="1"/>
  <c r="V83" i="1"/>
  <c r="W83" i="1"/>
  <c r="X83" i="1"/>
  <c r="U84" i="1"/>
  <c r="V84" i="1"/>
  <c r="W84" i="1"/>
  <c r="X84" i="1"/>
  <c r="U85" i="1"/>
  <c r="V85" i="1"/>
  <c r="W85" i="1"/>
  <c r="X85" i="1"/>
  <c r="U86" i="1"/>
  <c r="V86" i="1"/>
  <c r="W86" i="1"/>
  <c r="X86" i="1"/>
  <c r="U87" i="1"/>
  <c r="V87" i="1"/>
  <c r="W87" i="1"/>
  <c r="X87" i="1"/>
  <c r="U88" i="1"/>
  <c r="V88" i="1"/>
  <c r="W88" i="1"/>
  <c r="X88" i="1"/>
  <c r="U89" i="1"/>
  <c r="V89" i="1"/>
  <c r="W89" i="1"/>
  <c r="X89" i="1"/>
  <c r="U90" i="1"/>
  <c r="V90" i="1"/>
  <c r="W90" i="1"/>
  <c r="X90" i="1"/>
  <c r="U91" i="1"/>
  <c r="V91" i="1"/>
  <c r="W91" i="1"/>
  <c r="X91" i="1"/>
  <c r="U92" i="1"/>
  <c r="V92" i="1"/>
  <c r="W92" i="1"/>
  <c r="X92" i="1"/>
  <c r="U93" i="1"/>
  <c r="V93" i="1"/>
  <c r="W93" i="1"/>
  <c r="X93" i="1"/>
  <c r="U94" i="1"/>
  <c r="V94" i="1"/>
  <c r="W94" i="1"/>
  <c r="X94" i="1"/>
  <c r="U95" i="1"/>
  <c r="V95" i="1"/>
  <c r="W95" i="1"/>
  <c r="X95" i="1"/>
  <c r="U96" i="1"/>
  <c r="V96" i="1"/>
  <c r="W96" i="1"/>
  <c r="X96" i="1"/>
  <c r="U97" i="1"/>
  <c r="V97" i="1"/>
  <c r="W97" i="1"/>
  <c r="X97" i="1"/>
  <c r="U98" i="1"/>
  <c r="V98" i="1"/>
  <c r="W98" i="1"/>
  <c r="X98" i="1"/>
  <c r="U99" i="1"/>
  <c r="V99" i="1"/>
  <c r="W99" i="1"/>
  <c r="X99" i="1"/>
  <c r="U100" i="1"/>
  <c r="V100" i="1"/>
  <c r="W100" i="1"/>
  <c r="X100" i="1"/>
  <c r="U101" i="1"/>
  <c r="V101" i="1"/>
  <c r="W101" i="1"/>
  <c r="X101" i="1"/>
  <c r="U102" i="1"/>
  <c r="V102" i="1"/>
  <c r="W102" i="1"/>
  <c r="X102" i="1"/>
  <c r="U103" i="1"/>
  <c r="V103" i="1"/>
  <c r="W103" i="1"/>
  <c r="X103" i="1"/>
  <c r="U104" i="1"/>
  <c r="V104" i="1"/>
  <c r="W104" i="1"/>
  <c r="X104" i="1"/>
  <c r="U105" i="1"/>
  <c r="V105" i="1"/>
  <c r="W105" i="1"/>
  <c r="X105" i="1"/>
  <c r="U106" i="1"/>
  <c r="V106" i="1"/>
  <c r="W106" i="1"/>
  <c r="X106" i="1"/>
  <c r="U107" i="1"/>
  <c r="V107" i="1"/>
  <c r="W107" i="1"/>
  <c r="X107" i="1"/>
  <c r="U108" i="1"/>
  <c r="V108" i="1"/>
  <c r="W108" i="1"/>
  <c r="X108" i="1"/>
  <c r="U109" i="1"/>
  <c r="V109" i="1"/>
  <c r="W109" i="1"/>
  <c r="X109" i="1"/>
  <c r="U110" i="1"/>
  <c r="V110" i="1"/>
  <c r="W110" i="1"/>
  <c r="X110" i="1"/>
  <c r="U111" i="1"/>
  <c r="V111" i="1"/>
  <c r="W111" i="1"/>
  <c r="X111" i="1"/>
  <c r="U112" i="1"/>
  <c r="V112" i="1"/>
  <c r="W112" i="1"/>
  <c r="X112" i="1"/>
  <c r="U113" i="1"/>
  <c r="V113" i="1"/>
  <c r="W113" i="1"/>
  <c r="X113" i="1"/>
  <c r="U114" i="1"/>
  <c r="V114" i="1"/>
  <c r="W114" i="1"/>
  <c r="X114" i="1"/>
  <c r="X67" i="1"/>
  <c r="W67" i="1"/>
  <c r="V67" i="1"/>
  <c r="U67" i="1"/>
  <c r="AK68" i="1"/>
  <c r="AL68" i="1"/>
  <c r="AK69" i="1"/>
  <c r="AL69" i="1"/>
  <c r="AK70" i="1"/>
  <c r="AL70" i="1"/>
  <c r="AK71" i="1"/>
  <c r="AL71" i="1"/>
  <c r="AK72" i="1"/>
  <c r="AL72" i="1"/>
  <c r="AK73" i="1"/>
  <c r="AL73" i="1"/>
  <c r="AK74" i="1"/>
  <c r="AL74" i="1"/>
  <c r="AK75" i="1"/>
  <c r="AL75" i="1"/>
  <c r="AK76" i="1"/>
  <c r="AL76" i="1"/>
  <c r="AK77" i="1"/>
  <c r="AL77" i="1"/>
  <c r="AK78" i="1"/>
  <c r="AL78" i="1"/>
  <c r="AK79" i="1"/>
  <c r="AL79" i="1"/>
  <c r="AK80" i="1"/>
  <c r="AL80" i="1"/>
  <c r="AK81" i="1"/>
  <c r="AL81" i="1"/>
  <c r="AK82" i="1"/>
  <c r="AL82" i="1"/>
  <c r="AK83" i="1"/>
  <c r="AL83" i="1"/>
  <c r="AK84" i="1"/>
  <c r="AL84" i="1"/>
  <c r="AK85" i="1"/>
  <c r="AL85" i="1"/>
  <c r="AK86" i="1"/>
  <c r="AL86" i="1"/>
  <c r="AK87" i="1"/>
  <c r="AL87" i="1"/>
  <c r="AK88" i="1"/>
  <c r="AL88" i="1"/>
  <c r="AK89" i="1"/>
  <c r="AL89" i="1"/>
  <c r="AK90" i="1"/>
  <c r="AL90" i="1"/>
  <c r="AK91" i="1"/>
  <c r="AL91" i="1"/>
  <c r="AK92" i="1"/>
  <c r="AL92" i="1"/>
  <c r="AK93" i="1"/>
  <c r="AL93" i="1"/>
  <c r="AK94" i="1"/>
  <c r="AL94" i="1"/>
  <c r="AK95" i="1"/>
  <c r="AL95" i="1"/>
  <c r="AK96" i="1"/>
  <c r="AL96" i="1"/>
  <c r="AK97" i="1"/>
  <c r="AL97" i="1"/>
  <c r="AK98" i="1"/>
  <c r="AL98" i="1"/>
  <c r="AK99" i="1"/>
  <c r="AL99" i="1"/>
  <c r="AK100" i="1"/>
  <c r="AL100" i="1"/>
  <c r="AK101" i="1"/>
  <c r="AL101" i="1"/>
  <c r="AK102" i="1"/>
  <c r="AL102" i="1"/>
  <c r="AK103" i="1"/>
  <c r="AL103" i="1"/>
  <c r="AK104" i="1"/>
  <c r="AL104" i="1"/>
  <c r="AK105" i="1"/>
  <c r="AL105" i="1"/>
  <c r="AK106" i="1"/>
  <c r="AL106" i="1"/>
  <c r="AK107" i="1"/>
  <c r="AL107" i="1"/>
  <c r="AK108" i="1"/>
  <c r="AL108" i="1"/>
  <c r="AK109" i="1"/>
  <c r="AL109" i="1"/>
  <c r="AK110" i="1"/>
  <c r="AL110" i="1"/>
  <c r="AK111" i="1"/>
  <c r="AL111" i="1"/>
  <c r="AK112" i="1"/>
  <c r="AL112" i="1"/>
  <c r="AK113" i="1"/>
  <c r="AL113" i="1"/>
  <c r="AK114" i="1"/>
  <c r="AL114" i="1"/>
  <c r="AL67" i="1"/>
  <c r="AK67" i="1"/>
  <c r="AI68" i="1"/>
  <c r="AJ68" i="1"/>
  <c r="AI69" i="1"/>
  <c r="AJ69" i="1"/>
  <c r="AI70" i="1"/>
  <c r="AJ70" i="1"/>
  <c r="AI71" i="1"/>
  <c r="AJ71" i="1"/>
  <c r="AI72" i="1"/>
  <c r="AJ72" i="1"/>
  <c r="AI73" i="1"/>
  <c r="AJ73" i="1"/>
  <c r="AI74" i="1"/>
  <c r="AJ74" i="1"/>
  <c r="AI75" i="1"/>
  <c r="AJ75" i="1"/>
  <c r="AI76" i="1"/>
  <c r="AJ76" i="1"/>
  <c r="AI77" i="1"/>
  <c r="AJ77" i="1"/>
  <c r="AI78" i="1"/>
  <c r="AJ78" i="1"/>
  <c r="AI79" i="1"/>
  <c r="AJ79" i="1"/>
  <c r="AI80" i="1"/>
  <c r="AJ80" i="1"/>
  <c r="AI81" i="1"/>
  <c r="AJ81" i="1"/>
  <c r="AI82" i="1"/>
  <c r="AJ82" i="1"/>
  <c r="AI83" i="1"/>
  <c r="AJ83" i="1"/>
  <c r="AI84" i="1"/>
  <c r="AJ84" i="1"/>
  <c r="AI85" i="1"/>
  <c r="AJ85" i="1"/>
  <c r="AI86" i="1"/>
  <c r="AJ86" i="1"/>
  <c r="AI87" i="1"/>
  <c r="AJ87" i="1"/>
  <c r="AI88" i="1"/>
  <c r="AJ88" i="1"/>
  <c r="AI89" i="1"/>
  <c r="AJ89" i="1"/>
  <c r="AI90" i="1"/>
  <c r="AJ90" i="1"/>
  <c r="AI91" i="1"/>
  <c r="AJ91" i="1"/>
  <c r="AI92" i="1"/>
  <c r="AJ92" i="1"/>
  <c r="AI93" i="1"/>
  <c r="AJ93" i="1"/>
  <c r="AI94" i="1"/>
  <c r="AJ94" i="1"/>
  <c r="AI95" i="1"/>
  <c r="AJ95" i="1"/>
  <c r="AI96" i="1"/>
  <c r="AJ96" i="1"/>
  <c r="AI97" i="1"/>
  <c r="AJ97" i="1"/>
  <c r="AI98" i="1"/>
  <c r="AJ98" i="1"/>
  <c r="AI99" i="1"/>
  <c r="AJ99" i="1"/>
  <c r="AI100" i="1"/>
  <c r="AJ100" i="1"/>
  <c r="AI101" i="1"/>
  <c r="AJ101" i="1"/>
  <c r="AI102" i="1"/>
  <c r="AJ102" i="1"/>
  <c r="AI103" i="1"/>
  <c r="AJ103" i="1"/>
  <c r="AI104" i="1"/>
  <c r="AJ104" i="1"/>
  <c r="AI105" i="1"/>
  <c r="AJ105" i="1"/>
  <c r="AI106" i="1"/>
  <c r="AJ106" i="1"/>
  <c r="AI107" i="1"/>
  <c r="AJ107" i="1"/>
  <c r="AI108" i="1"/>
  <c r="AJ108" i="1"/>
  <c r="AI109" i="1"/>
  <c r="AJ109" i="1"/>
  <c r="AI110" i="1"/>
  <c r="AJ110" i="1"/>
  <c r="AI111" i="1"/>
  <c r="AJ111" i="1"/>
  <c r="AI112" i="1"/>
  <c r="AJ112" i="1"/>
  <c r="AI113" i="1"/>
  <c r="AJ113" i="1"/>
  <c r="AI114" i="1"/>
  <c r="AJ114" i="1"/>
  <c r="AJ67" i="1"/>
  <c r="AI67" i="1"/>
  <c r="AH92" i="1" l="1"/>
  <c r="AG92" i="1"/>
</calcChain>
</file>

<file path=xl/sharedStrings.xml><?xml version="1.0" encoding="utf-8"?>
<sst xmlns="http://schemas.openxmlformats.org/spreadsheetml/2006/main" count="610" uniqueCount="55">
  <si>
    <t>DATE</t>
  </si>
  <si>
    <t>Treatment</t>
  </si>
  <si>
    <t>Repeat</t>
  </si>
  <si>
    <t>초장</t>
  </si>
  <si>
    <t>경장</t>
  </si>
  <si>
    <t>SPAD</t>
  </si>
  <si>
    <t>잎 수</t>
  </si>
  <si>
    <t>분지 수</t>
  </si>
  <si>
    <t>꼬투리 수</t>
  </si>
  <si>
    <t>알 수</t>
  </si>
  <si>
    <t>생육 단계</t>
  </si>
  <si>
    <t>꼬투리 F.W</t>
  </si>
  <si>
    <t>꼬투리 D.W</t>
  </si>
  <si>
    <t>알 F.W</t>
  </si>
  <si>
    <t>알 D.W</t>
  </si>
  <si>
    <t>정식 전</t>
  </si>
  <si>
    <t>V1</t>
  </si>
  <si>
    <t>R2</t>
  </si>
  <si>
    <t>ETc</t>
  </si>
  <si>
    <t>R5</t>
  </si>
  <si>
    <t>ETc75</t>
  </si>
  <si>
    <t>ETc50</t>
  </si>
  <si>
    <t>ETc25</t>
  </si>
  <si>
    <t>침수ETc</t>
  </si>
  <si>
    <t>침수ETc50</t>
  </si>
  <si>
    <t>잎 F.W</t>
    <phoneticPr fontId="1" type="noConversion"/>
  </si>
  <si>
    <t>잎 D.W</t>
    <phoneticPr fontId="1" type="noConversion"/>
  </si>
  <si>
    <t>줄기 F.W</t>
    <phoneticPr fontId="1" type="noConversion"/>
  </si>
  <si>
    <t>줄기 D.W</t>
    <phoneticPr fontId="1" type="noConversion"/>
  </si>
  <si>
    <t>뿌리 D.W</t>
    <phoneticPr fontId="1" type="noConversion"/>
  </si>
  <si>
    <t>엽면적</t>
    <phoneticPr fontId="1" type="noConversion"/>
  </si>
  <si>
    <t>20 알 수</t>
    <phoneticPr fontId="1" type="noConversion"/>
  </si>
  <si>
    <t>20 F.W</t>
    <phoneticPr fontId="1" type="noConversion"/>
  </si>
  <si>
    <t>20 D.W</t>
    <phoneticPr fontId="1" type="noConversion"/>
  </si>
  <si>
    <t>20 알 F.W</t>
    <phoneticPr fontId="1" type="noConversion"/>
  </si>
  <si>
    <t>20 알 D.W</t>
    <phoneticPr fontId="1" type="noConversion"/>
  </si>
  <si>
    <t>그 외 F.W</t>
    <phoneticPr fontId="1" type="noConversion"/>
  </si>
  <si>
    <t>그 외 D.W</t>
    <phoneticPr fontId="1" type="noConversion"/>
  </si>
  <si>
    <t>잎 TF.W</t>
    <phoneticPr fontId="1" type="noConversion"/>
  </si>
  <si>
    <t>잎 TD.W</t>
    <phoneticPr fontId="1" type="noConversion"/>
  </si>
  <si>
    <t>R6~R7</t>
  </si>
  <si>
    <t>R6~R7</t>
    <phoneticPr fontId="1" type="noConversion"/>
  </si>
  <si>
    <t>잎 TW</t>
    <phoneticPr fontId="1" type="noConversion"/>
  </si>
  <si>
    <t>작물체내수분함량</t>
    <phoneticPr fontId="1" type="noConversion"/>
  </si>
  <si>
    <t>그 외 꼬투리 F.W</t>
    <phoneticPr fontId="1" type="noConversion"/>
  </si>
  <si>
    <t>그 외 꼬투리 D.W</t>
    <phoneticPr fontId="1" type="noConversion"/>
  </si>
  <si>
    <t>그 외 알 F.W</t>
    <phoneticPr fontId="1" type="noConversion"/>
  </si>
  <si>
    <t>그 외 알 D.W</t>
    <phoneticPr fontId="1" type="noConversion"/>
  </si>
  <si>
    <t>꼬투리 비율</t>
    <phoneticPr fontId="1" type="noConversion"/>
  </si>
  <si>
    <t>알 비율</t>
    <phoneticPr fontId="1" type="noConversion"/>
  </si>
  <si>
    <t>그 외 중 꼬투리 무게</t>
    <phoneticPr fontId="1" type="noConversion"/>
  </si>
  <si>
    <t>그 외 중 알 무게</t>
    <phoneticPr fontId="1" type="noConversion"/>
  </si>
  <si>
    <t>R5</t>
    <phoneticPr fontId="1" type="noConversion"/>
  </si>
  <si>
    <t>Treatment_NO</t>
    <phoneticPr fontId="1" type="noConversion"/>
  </si>
  <si>
    <t>체내수분함량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</si>
</sst>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7CE"/>
      </patternFill>
    </fill>
  </fills>
  <borders count="1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2" borderId="3" xfId="0" applyFill="1" applyBorder="1">
      <alignment vertical="center"/>
    </xf>
    <xf numFmtId="14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14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2" fontId="0" fillId="0" borderId="6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0" borderId="0" xfId="0" applyAlignment="1"/>
    <xf numFmtId="0" fontId="0" fillId="2" borderId="0" xfId="0" applyFill="1" applyAlignment="1">
      <alignment horizontal="center" vertical="center"/>
    </xf>
    <xf numFmtId="0" fontId="0" fillId="0" borderId="6" xfId="0" applyBorder="1" applyAlignment="1"/>
    <xf numFmtId="0" fontId="0" fillId="2" borderId="10" xfId="0" applyFill="1" applyBorder="1" applyAlignment="1">
      <alignment horizontal="center" vertical="center"/>
    </xf>
    <xf numFmtId="0" fontId="0" fillId="0" borderId="11" xfId="0" applyBorder="1" applyAlignment="1"/>
    <xf numFmtId="14" fontId="0" fillId="0" borderId="0" xfId="0" applyNumberFormat="1" applyAlignment="1"/>
    <xf numFmtId="14" fontId="0" fillId="0" borderId="6" xfId="0" applyNumberFormat="1" applyBorder="1" applyAlignment="1"/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12" xfId="0" applyBorder="1" applyAlignment="1"/>
    <xf numFmtId="176" fontId="0" fillId="0" borderId="0" xfId="0" applyNumberFormat="1">
      <alignment vertical="center"/>
    </xf>
    <xf numFmtId="176" fontId="0" fillId="0" borderId="7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0" fillId="0" borderId="8" xfId="0" applyNumberFormat="1" applyBorder="1">
      <alignment vertical="center"/>
    </xf>
    <xf numFmtId="0" fontId="2" fillId="3" borderId="7" xfId="1" applyBorder="1">
      <alignment vertical="center"/>
    </xf>
    <xf numFmtId="0" fontId="2" fillId="3" borderId="0" xfId="1">
      <alignment vertical="center"/>
    </xf>
    <xf numFmtId="0" fontId="2" fillId="3" borderId="0" xfId="1" applyAlignment="1"/>
    <xf numFmtId="176" fontId="2" fillId="3" borderId="0" xfId="1" applyNumberFormat="1">
      <alignment vertical="center"/>
    </xf>
    <xf numFmtId="176" fontId="2" fillId="3" borderId="7" xfId="1" applyNumberFormat="1" applyBorder="1">
      <alignment vertical="center"/>
    </xf>
    <xf numFmtId="0" fontId="2" fillId="3" borderId="6" xfId="1" applyBorder="1">
      <alignment vertical="center"/>
    </xf>
    <xf numFmtId="0" fontId="2" fillId="3" borderId="8" xfId="1" applyBorder="1">
      <alignment vertical="center"/>
    </xf>
    <xf numFmtId="2" fontId="0" fillId="0" borderId="7" xfId="0" applyNumberFormat="1" applyBorder="1">
      <alignment vertical="center"/>
    </xf>
    <xf numFmtId="2" fontId="0" fillId="0" borderId="8" xfId="0" applyNumberFormat="1" applyBorder="1">
      <alignment vertical="center"/>
    </xf>
    <xf numFmtId="0" fontId="2" fillId="3" borderId="0" xfId="1" applyBorder="1">
      <alignment vertical="center"/>
    </xf>
    <xf numFmtId="0" fontId="0" fillId="2" borderId="13" xfId="0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2" fontId="0" fillId="0" borderId="14" xfId="0" applyNumberFormat="1" applyBorder="1">
      <alignment vertical="center"/>
    </xf>
    <xf numFmtId="2" fontId="0" fillId="0" borderId="15" xfId="0" applyNumberFormat="1" applyBorder="1">
      <alignment vertical="center"/>
    </xf>
    <xf numFmtId="0" fontId="0" fillId="2" borderId="16" xfId="0" applyFill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2" fillId="3" borderId="14" xfId="1" applyBorder="1" applyAlignment="1"/>
    <xf numFmtId="1" fontId="0" fillId="0" borderId="0" xfId="0" applyNumberFormat="1">
      <alignment vertical="center"/>
    </xf>
    <xf numFmtId="1" fontId="0" fillId="0" borderId="6" xfId="0" applyNumberFormat="1" applyBorder="1">
      <alignment vertical="center"/>
    </xf>
    <xf numFmtId="177" fontId="0" fillId="0" borderId="0" xfId="0" applyNumberFormat="1">
      <alignment vertical="center"/>
    </xf>
    <xf numFmtId="177" fontId="0" fillId="0" borderId="6" xfId="0" applyNumberFormat="1" applyBorder="1">
      <alignment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4"/>
  <sheetViews>
    <sheetView zoomScaleNormal="100" workbookViewId="0">
      <pane xSplit="3" ySplit="1" topLeftCell="D68" activePane="bottomRight" state="frozen"/>
      <selection pane="topRight" activeCell="D1" sqref="D1"/>
      <selection pane="bottomLeft" activeCell="A2" sqref="A2"/>
      <selection pane="bottomRight" activeCell="K85" sqref="K85"/>
    </sheetView>
  </sheetViews>
  <sheetFormatPr defaultRowHeight="17.399999999999999" x14ac:dyDescent="0.4"/>
  <cols>
    <col min="2" max="2" width="11.09765625" style="15" bestFit="1" customWidth="1"/>
    <col min="3" max="3" width="10.09765625" style="15" bestFit="1" customWidth="1"/>
    <col min="4" max="4" width="6.8984375" style="7" customWidth="1"/>
    <col min="5" max="5" width="6.5" style="15" bestFit="1" customWidth="1"/>
    <col min="6" max="6" width="5.5" style="7" bestFit="1" customWidth="1"/>
    <col min="7" max="7" width="6.19921875" style="15" bestFit="1" customWidth="1"/>
    <col min="8" max="8" width="5.8984375" style="15" bestFit="1" customWidth="1"/>
    <col min="9" max="9" width="7.69921875" style="15" customWidth="1"/>
    <col min="10" max="10" width="9.59765625" style="15" bestFit="1" customWidth="1"/>
    <col min="11" max="11" width="5.8984375" style="15" bestFit="1" customWidth="1"/>
    <col min="12" max="12" width="9.5" style="7" bestFit="1" customWidth="1"/>
    <col min="13" max="13" width="9.59765625" style="7" bestFit="1" customWidth="1"/>
    <col min="14" max="14" width="7.5" style="15" bestFit="1" customWidth="1"/>
    <col min="15" max="15" width="8" style="15" bestFit="1" customWidth="1"/>
    <col min="16" max="16" width="6.69921875" style="15" bestFit="1" customWidth="1"/>
    <col min="17" max="17" width="7.5" style="15" bestFit="1" customWidth="1"/>
    <col min="18" max="18" width="8.5" style="15" bestFit="1" customWidth="1"/>
    <col min="19" max="19" width="8.8984375" style="15" bestFit="1" customWidth="1"/>
    <col min="20" max="20" width="9.3984375" style="15" bestFit="1" customWidth="1"/>
    <col min="21" max="21" width="10.8984375" style="15" bestFit="1" customWidth="1"/>
    <col min="22" max="22" width="11.3984375" style="15" bestFit="1" customWidth="1"/>
    <col min="23" max="23" width="7.5" style="15" bestFit="1" customWidth="1"/>
    <col min="24" max="24" width="7.5" style="7" bestFit="1" customWidth="1"/>
    <col min="25" max="25" width="9.3984375" style="15" bestFit="1" customWidth="1"/>
    <col min="26" max="26" width="9.3984375" style="15" customWidth="1"/>
    <col min="27" max="27" width="13.09765625" style="15" bestFit="1" customWidth="1"/>
    <col min="28" max="28" width="8.5" style="19" bestFit="1" customWidth="1"/>
    <col min="29" max="29" width="7.09765625" style="15" bestFit="1" customWidth="1"/>
    <col min="30" max="30" width="7.59765625" style="15" bestFit="1" customWidth="1"/>
    <col min="31" max="31" width="9.59765625" style="15" bestFit="1" customWidth="1"/>
    <col min="32" max="32" width="10.09765625" style="15" bestFit="1" customWidth="1"/>
    <col min="33" max="33" width="9.5" style="15" bestFit="1" customWidth="1"/>
    <col min="34" max="34" width="10" style="24" bestFit="1" customWidth="1"/>
    <col min="35" max="35" width="10.69921875" customWidth="1"/>
    <col min="36" max="36" width="6.796875" customWidth="1"/>
    <col min="37" max="37" width="18.59765625" customWidth="1"/>
    <col min="38" max="38" width="14.8984375" customWidth="1"/>
    <col min="39" max="39" width="16.3984375" style="15" bestFit="1" customWidth="1"/>
    <col min="40" max="40" width="16.8984375" style="15" bestFit="1" customWidth="1"/>
    <col min="41" max="41" width="12.19921875" style="15" bestFit="1" customWidth="1"/>
    <col min="42" max="42" width="12.69921875" bestFit="1" customWidth="1"/>
  </cols>
  <sheetData>
    <row r="1" spans="1:42" ht="18" customHeight="1" thickBot="1" x14ac:dyDescent="0.45">
      <c r="A1" s="4"/>
      <c r="B1" s="1" t="s">
        <v>0</v>
      </c>
      <c r="C1" s="1" t="s">
        <v>1</v>
      </c>
      <c r="D1" s="9" t="s">
        <v>2</v>
      </c>
      <c r="E1" s="10" t="s">
        <v>3</v>
      </c>
      <c r="F1" s="9" t="s">
        <v>4</v>
      </c>
      <c r="G1" s="11" t="s">
        <v>5</v>
      </c>
      <c r="H1" s="10" t="s">
        <v>6</v>
      </c>
      <c r="I1" s="10" t="s">
        <v>7</v>
      </c>
      <c r="J1" s="10" t="s">
        <v>8</v>
      </c>
      <c r="K1" s="12" t="s">
        <v>9</v>
      </c>
      <c r="L1" s="12" t="s">
        <v>30</v>
      </c>
      <c r="M1" s="9" t="s">
        <v>10</v>
      </c>
      <c r="N1" s="11" t="s">
        <v>25</v>
      </c>
      <c r="O1" s="11" t="s">
        <v>38</v>
      </c>
      <c r="P1" s="11" t="s">
        <v>42</v>
      </c>
      <c r="Q1" s="11" t="s">
        <v>26</v>
      </c>
      <c r="R1" s="11" t="s">
        <v>39</v>
      </c>
      <c r="S1" s="11" t="s">
        <v>27</v>
      </c>
      <c r="T1" s="11" t="s">
        <v>28</v>
      </c>
      <c r="U1" s="11" t="s">
        <v>11</v>
      </c>
      <c r="V1" s="11" t="s">
        <v>12</v>
      </c>
      <c r="W1" s="11" t="s">
        <v>13</v>
      </c>
      <c r="X1" s="9" t="s">
        <v>14</v>
      </c>
      <c r="Y1" s="10" t="s">
        <v>29</v>
      </c>
      <c r="Z1" s="16" t="s">
        <v>43</v>
      </c>
      <c r="AB1" s="18" t="s">
        <v>31</v>
      </c>
      <c r="AC1" s="14" t="s">
        <v>32</v>
      </c>
      <c r="AD1" s="14" t="s">
        <v>33</v>
      </c>
      <c r="AE1" s="12" t="s">
        <v>34</v>
      </c>
      <c r="AF1" s="12" t="s">
        <v>35</v>
      </c>
      <c r="AG1" s="12" t="s">
        <v>36</v>
      </c>
      <c r="AH1" s="12" t="s">
        <v>37</v>
      </c>
      <c r="AI1" s="16" t="s">
        <v>48</v>
      </c>
      <c r="AJ1" s="16" t="s">
        <v>49</v>
      </c>
      <c r="AK1" s="16" t="s">
        <v>50</v>
      </c>
      <c r="AL1" s="16" t="s">
        <v>51</v>
      </c>
      <c r="AM1" s="16" t="s">
        <v>44</v>
      </c>
      <c r="AN1" s="16" t="s">
        <v>45</v>
      </c>
      <c r="AO1" s="16" t="s">
        <v>46</v>
      </c>
      <c r="AP1" s="16" t="s">
        <v>47</v>
      </c>
    </row>
    <row r="2" spans="1:42" ht="18" customHeight="1" thickTop="1" x14ac:dyDescent="0.4">
      <c r="A2" t="s">
        <v>15</v>
      </c>
      <c r="B2" s="2">
        <v>46209</v>
      </c>
      <c r="C2" s="2"/>
      <c r="D2" s="7">
        <v>1</v>
      </c>
      <c r="G2">
        <v>22.1</v>
      </c>
      <c r="H2">
        <v>1</v>
      </c>
      <c r="L2" s="7">
        <v>40.46</v>
      </c>
      <c r="M2" s="7" t="s">
        <v>16</v>
      </c>
      <c r="N2">
        <v>0.47</v>
      </c>
      <c r="O2"/>
      <c r="P2"/>
      <c r="Q2">
        <v>0.05</v>
      </c>
      <c r="R2"/>
      <c r="S2">
        <v>0.81</v>
      </c>
      <c r="T2">
        <v>0.06</v>
      </c>
    </row>
    <row r="3" spans="1:42" x14ac:dyDescent="0.4">
      <c r="B3" s="2">
        <v>46209</v>
      </c>
      <c r="C3" s="2"/>
      <c r="D3" s="7">
        <v>2</v>
      </c>
      <c r="G3">
        <v>30.7</v>
      </c>
      <c r="H3">
        <v>1</v>
      </c>
      <c r="L3" s="7">
        <v>43.8</v>
      </c>
      <c r="M3" s="7" t="s">
        <v>16</v>
      </c>
      <c r="N3">
        <v>0.51</v>
      </c>
      <c r="O3"/>
      <c r="P3"/>
      <c r="Q3">
        <v>7.0000000000000007E-2</v>
      </c>
      <c r="R3"/>
      <c r="S3">
        <v>0.96</v>
      </c>
      <c r="T3">
        <v>0.08</v>
      </c>
    </row>
    <row r="4" spans="1:42" x14ac:dyDescent="0.4">
      <c r="B4" s="2">
        <v>46209</v>
      </c>
      <c r="C4" s="2"/>
      <c r="D4" s="7">
        <v>3</v>
      </c>
      <c r="G4">
        <v>35.5</v>
      </c>
      <c r="H4">
        <v>1</v>
      </c>
      <c r="L4" s="7">
        <v>30.57</v>
      </c>
      <c r="M4" s="7" t="s">
        <v>16</v>
      </c>
      <c r="N4">
        <v>0.34</v>
      </c>
      <c r="O4"/>
      <c r="P4"/>
      <c r="Q4">
        <v>0.05</v>
      </c>
      <c r="R4"/>
      <c r="S4">
        <v>0.71</v>
      </c>
      <c r="T4">
        <v>0.06</v>
      </c>
    </row>
    <row r="5" spans="1:42" x14ac:dyDescent="0.4">
      <c r="B5" s="2">
        <v>46209</v>
      </c>
      <c r="C5" s="2"/>
      <c r="D5" s="7">
        <v>4</v>
      </c>
      <c r="G5">
        <v>29.8</v>
      </c>
      <c r="H5">
        <v>1</v>
      </c>
      <c r="L5" s="7">
        <v>38.909999999999997</v>
      </c>
      <c r="M5" s="7" t="s">
        <v>16</v>
      </c>
      <c r="N5">
        <v>0.36</v>
      </c>
      <c r="O5"/>
      <c r="P5"/>
      <c r="Q5">
        <v>0.05</v>
      </c>
      <c r="R5"/>
      <c r="S5">
        <v>0.83</v>
      </c>
      <c r="T5">
        <v>0.06</v>
      </c>
    </row>
    <row r="6" spans="1:42" x14ac:dyDescent="0.4">
      <c r="B6" s="2">
        <v>46209</v>
      </c>
      <c r="C6" s="2"/>
      <c r="D6" s="7">
        <v>5</v>
      </c>
      <c r="G6">
        <v>31.3</v>
      </c>
      <c r="H6">
        <v>1</v>
      </c>
      <c r="L6" s="7">
        <v>46.27</v>
      </c>
      <c r="M6" s="7" t="s">
        <v>16</v>
      </c>
      <c r="N6">
        <v>0.51</v>
      </c>
      <c r="O6"/>
      <c r="P6"/>
      <c r="Q6">
        <v>7.0000000000000007E-2</v>
      </c>
      <c r="R6"/>
      <c r="S6">
        <v>0.96</v>
      </c>
      <c r="T6">
        <v>0.08</v>
      </c>
    </row>
    <row r="7" spans="1:42" x14ac:dyDescent="0.4">
      <c r="B7" s="2">
        <v>46209</v>
      </c>
      <c r="C7" s="2"/>
      <c r="D7" s="7">
        <v>6</v>
      </c>
      <c r="G7">
        <v>29.3</v>
      </c>
      <c r="H7">
        <v>1</v>
      </c>
      <c r="L7" s="7">
        <v>28.55</v>
      </c>
      <c r="M7" s="7" t="s">
        <v>16</v>
      </c>
      <c r="N7">
        <v>0.33</v>
      </c>
      <c r="O7"/>
      <c r="P7"/>
      <c r="Q7">
        <v>0.04</v>
      </c>
      <c r="R7"/>
      <c r="S7">
        <v>0.69</v>
      </c>
      <c r="T7">
        <v>0.05</v>
      </c>
    </row>
    <row r="8" spans="1:42" x14ac:dyDescent="0.4">
      <c r="B8" s="2">
        <v>46209</v>
      </c>
      <c r="C8" s="2"/>
      <c r="D8" s="7">
        <v>7</v>
      </c>
      <c r="G8">
        <v>32.5</v>
      </c>
      <c r="H8">
        <v>1</v>
      </c>
      <c r="L8" s="7">
        <v>43.55</v>
      </c>
      <c r="M8" s="7" t="s">
        <v>16</v>
      </c>
      <c r="N8">
        <v>0.41</v>
      </c>
      <c r="O8"/>
      <c r="P8"/>
      <c r="Q8">
        <v>0.06</v>
      </c>
      <c r="R8"/>
      <c r="S8">
        <v>0.88</v>
      </c>
      <c r="T8">
        <v>0.08</v>
      </c>
    </row>
    <row r="9" spans="1:42" s="5" customFormat="1" x14ac:dyDescent="0.4">
      <c r="B9" s="6">
        <v>46209</v>
      </c>
      <c r="C9" s="6"/>
      <c r="D9" s="8">
        <v>8</v>
      </c>
      <c r="F9" s="8"/>
      <c r="G9" s="5">
        <v>30.8</v>
      </c>
      <c r="H9" s="5">
        <v>1</v>
      </c>
      <c r="L9" s="8">
        <v>37.99</v>
      </c>
      <c r="M9" s="8" t="s">
        <v>16</v>
      </c>
      <c r="N9" s="5">
        <v>0.43</v>
      </c>
      <c r="Q9" s="5">
        <v>0.05</v>
      </c>
      <c r="S9" s="5">
        <v>0.87</v>
      </c>
      <c r="T9" s="5">
        <v>0.06</v>
      </c>
      <c r="X9" s="8"/>
      <c r="AB9" s="22"/>
      <c r="AH9" s="8"/>
    </row>
    <row r="10" spans="1:42" x14ac:dyDescent="0.4">
      <c r="B10" s="2">
        <v>46238</v>
      </c>
      <c r="C10" s="2"/>
      <c r="D10" s="7">
        <v>1</v>
      </c>
      <c r="E10">
        <v>91.3</v>
      </c>
      <c r="F10" s="7">
        <v>85</v>
      </c>
      <c r="G10">
        <v>32</v>
      </c>
      <c r="H10">
        <v>30</v>
      </c>
      <c r="I10">
        <v>5</v>
      </c>
      <c r="L10" s="7">
        <v>6446.55</v>
      </c>
      <c r="M10" s="7" t="s">
        <v>17</v>
      </c>
      <c r="N10">
        <v>145.03</v>
      </c>
      <c r="O10"/>
      <c r="P10"/>
      <c r="Q10">
        <v>26.68</v>
      </c>
      <c r="R10"/>
      <c r="S10">
        <v>69.650000000000006</v>
      </c>
      <c r="T10">
        <v>13.79</v>
      </c>
      <c r="Y10" s="15">
        <v>14.009999999999998</v>
      </c>
    </row>
    <row r="11" spans="1:42" x14ac:dyDescent="0.4">
      <c r="B11" s="2">
        <v>46238</v>
      </c>
      <c r="C11" s="2"/>
      <c r="D11" s="7">
        <v>2</v>
      </c>
      <c r="E11">
        <v>92</v>
      </c>
      <c r="F11" s="7">
        <v>74.5</v>
      </c>
      <c r="G11">
        <v>33.4</v>
      </c>
      <c r="H11">
        <v>27</v>
      </c>
      <c r="I11">
        <v>3</v>
      </c>
      <c r="L11" s="7">
        <v>5569.45</v>
      </c>
      <c r="M11" s="7" t="s">
        <v>17</v>
      </c>
      <c r="N11">
        <v>132.41</v>
      </c>
      <c r="O11"/>
      <c r="P11"/>
      <c r="Q11">
        <v>24.020000000000003</v>
      </c>
      <c r="R11"/>
      <c r="S11">
        <v>61.89</v>
      </c>
      <c r="T11">
        <v>11.709999999999999</v>
      </c>
      <c r="Y11" s="15">
        <v>13.08</v>
      </c>
    </row>
    <row r="12" spans="1:42" x14ac:dyDescent="0.4">
      <c r="B12" s="2">
        <v>46238</v>
      </c>
      <c r="C12" s="2"/>
      <c r="D12" s="7">
        <v>3</v>
      </c>
      <c r="E12">
        <v>90.8</v>
      </c>
      <c r="F12" s="7">
        <v>81</v>
      </c>
      <c r="G12">
        <v>28.8</v>
      </c>
      <c r="H12">
        <v>22</v>
      </c>
      <c r="I12">
        <v>3</v>
      </c>
      <c r="L12" s="7">
        <v>4459.12</v>
      </c>
      <c r="M12" s="7" t="s">
        <v>17</v>
      </c>
      <c r="N12">
        <v>99.47</v>
      </c>
      <c r="O12"/>
      <c r="P12"/>
      <c r="Q12">
        <v>19.02</v>
      </c>
      <c r="R12"/>
      <c r="S12">
        <v>53.67</v>
      </c>
      <c r="T12">
        <v>10.5</v>
      </c>
      <c r="Y12" s="15">
        <v>10.6</v>
      </c>
    </row>
    <row r="13" spans="1:42" x14ac:dyDescent="0.4">
      <c r="B13" s="2">
        <v>46238</v>
      </c>
      <c r="C13" s="2"/>
      <c r="D13" s="7">
        <v>4</v>
      </c>
      <c r="E13">
        <v>83.2</v>
      </c>
      <c r="F13" s="7">
        <v>78.099999999999994</v>
      </c>
      <c r="G13">
        <v>26.9</v>
      </c>
      <c r="H13">
        <v>26</v>
      </c>
      <c r="I13">
        <v>4</v>
      </c>
      <c r="L13" s="7">
        <v>4868.37</v>
      </c>
      <c r="M13" s="7" t="s">
        <v>17</v>
      </c>
      <c r="N13">
        <v>107.29</v>
      </c>
      <c r="O13"/>
      <c r="P13"/>
      <c r="Q13">
        <v>19.18</v>
      </c>
      <c r="R13"/>
      <c r="S13">
        <v>55.51</v>
      </c>
      <c r="T13">
        <v>10.34</v>
      </c>
      <c r="Y13" s="15">
        <v>17.559999999999999</v>
      </c>
    </row>
    <row r="14" spans="1:42" x14ac:dyDescent="0.4">
      <c r="B14" s="2">
        <v>46238</v>
      </c>
      <c r="C14" s="2"/>
      <c r="D14" s="7">
        <v>5</v>
      </c>
      <c r="E14">
        <v>94.5</v>
      </c>
      <c r="F14" s="7">
        <v>76.099999999999994</v>
      </c>
      <c r="G14">
        <v>31.8</v>
      </c>
      <c r="H14">
        <v>29</v>
      </c>
      <c r="I14">
        <v>5</v>
      </c>
      <c r="L14" s="7">
        <v>5708.61</v>
      </c>
      <c r="M14" s="7" t="s">
        <v>17</v>
      </c>
      <c r="N14">
        <v>129.14999999999998</v>
      </c>
      <c r="O14"/>
      <c r="P14"/>
      <c r="Q14">
        <v>23.45</v>
      </c>
      <c r="R14"/>
      <c r="S14">
        <v>61.97</v>
      </c>
      <c r="T14">
        <v>12.35</v>
      </c>
      <c r="Y14" s="15">
        <v>18.53</v>
      </c>
    </row>
    <row r="15" spans="1:42" x14ac:dyDescent="0.4">
      <c r="B15" s="2">
        <v>46238</v>
      </c>
      <c r="C15" s="2"/>
      <c r="D15" s="7">
        <v>6</v>
      </c>
      <c r="E15">
        <v>98.9</v>
      </c>
      <c r="F15" s="7">
        <v>81</v>
      </c>
      <c r="G15">
        <v>34.799999999999997</v>
      </c>
      <c r="H15">
        <v>42</v>
      </c>
      <c r="I15">
        <v>6</v>
      </c>
      <c r="L15" s="7">
        <v>8177.98</v>
      </c>
      <c r="M15" s="7" t="s">
        <v>17</v>
      </c>
      <c r="N15">
        <v>190.64</v>
      </c>
      <c r="O15"/>
      <c r="P15"/>
      <c r="Q15">
        <v>31.16</v>
      </c>
      <c r="R15"/>
      <c r="S15">
        <v>96.949999999999989</v>
      </c>
      <c r="T15">
        <v>16.64</v>
      </c>
      <c r="Y15" s="15">
        <v>8.77</v>
      </c>
    </row>
    <row r="16" spans="1:42" x14ac:dyDescent="0.4">
      <c r="B16" s="2">
        <v>46238</v>
      </c>
      <c r="C16" s="2"/>
      <c r="D16" s="7">
        <v>7</v>
      </c>
      <c r="E16">
        <v>86.5</v>
      </c>
      <c r="F16" s="7">
        <v>68.400000000000006</v>
      </c>
      <c r="G16">
        <v>27.5</v>
      </c>
      <c r="H16">
        <v>28</v>
      </c>
      <c r="I16">
        <v>4</v>
      </c>
      <c r="L16" s="7">
        <v>5622.1399999999994</v>
      </c>
      <c r="M16" s="7" t="s">
        <v>17</v>
      </c>
      <c r="N16">
        <v>122.21000000000001</v>
      </c>
      <c r="O16"/>
      <c r="P16"/>
      <c r="Q16">
        <v>22.310000000000002</v>
      </c>
      <c r="R16"/>
      <c r="S16">
        <v>57.69</v>
      </c>
      <c r="T16">
        <v>11.1</v>
      </c>
      <c r="Y16" s="15">
        <v>14.879999999999999</v>
      </c>
    </row>
    <row r="17" spans="2:34" x14ac:dyDescent="0.4">
      <c r="B17" s="2">
        <v>46238</v>
      </c>
      <c r="C17" s="2"/>
      <c r="D17" s="7">
        <v>8</v>
      </c>
      <c r="E17">
        <v>94.1</v>
      </c>
      <c r="F17" s="7">
        <v>79.099999999999994</v>
      </c>
      <c r="G17">
        <v>30.5</v>
      </c>
      <c r="H17">
        <v>34</v>
      </c>
      <c r="I17">
        <v>4</v>
      </c>
      <c r="L17" s="7">
        <v>7633.9599999999991</v>
      </c>
      <c r="M17" s="7" t="s">
        <v>17</v>
      </c>
      <c r="N17">
        <v>169.87</v>
      </c>
      <c r="O17"/>
      <c r="P17"/>
      <c r="Q17">
        <v>31.29</v>
      </c>
      <c r="R17"/>
      <c r="S17">
        <v>83.09</v>
      </c>
      <c r="T17">
        <v>15.91</v>
      </c>
      <c r="Y17" s="15">
        <v>20.2</v>
      </c>
    </row>
    <row r="18" spans="2:34" s="5" customFormat="1" x14ac:dyDescent="0.4">
      <c r="B18" s="6">
        <v>46238</v>
      </c>
      <c r="C18" s="6"/>
      <c r="D18" s="8">
        <v>9</v>
      </c>
      <c r="E18" s="5">
        <v>100.1</v>
      </c>
      <c r="F18" s="8">
        <v>83</v>
      </c>
      <c r="G18" s="5">
        <v>34.5</v>
      </c>
      <c r="H18" s="5">
        <v>32</v>
      </c>
      <c r="I18" s="5">
        <v>4</v>
      </c>
      <c r="L18" s="8">
        <v>7505.8600000000006</v>
      </c>
      <c r="M18" s="8" t="s">
        <v>17</v>
      </c>
      <c r="N18" s="5">
        <v>165.16</v>
      </c>
      <c r="Q18" s="5">
        <v>28.450000000000003</v>
      </c>
      <c r="S18" s="5">
        <v>84.47</v>
      </c>
      <c r="T18" s="5">
        <v>15.559999999999999</v>
      </c>
      <c r="X18" s="8"/>
      <c r="Y18" s="17">
        <v>17.920000000000002</v>
      </c>
      <c r="Z18" s="17"/>
      <c r="AA18" s="17"/>
      <c r="AB18" s="22"/>
      <c r="AH18" s="8"/>
    </row>
    <row r="19" spans="2:34" x14ac:dyDescent="0.4">
      <c r="B19" s="2">
        <v>46266</v>
      </c>
      <c r="C19" s="2" t="s">
        <v>18</v>
      </c>
      <c r="D19" s="7">
        <v>1</v>
      </c>
      <c r="E19">
        <v>134.5</v>
      </c>
      <c r="F19" s="7">
        <v>85</v>
      </c>
      <c r="G19">
        <v>41.2</v>
      </c>
      <c r="H19">
        <v>36</v>
      </c>
      <c r="I19">
        <v>5</v>
      </c>
      <c r="J19">
        <v>90</v>
      </c>
      <c r="K19">
        <v>164</v>
      </c>
      <c r="L19" s="7">
        <v>8163.25</v>
      </c>
      <c r="M19" s="7" t="s">
        <v>19</v>
      </c>
      <c r="N19">
        <v>186.6</v>
      </c>
      <c r="O19"/>
      <c r="P19"/>
      <c r="Q19">
        <v>42.62</v>
      </c>
      <c r="R19"/>
      <c r="S19">
        <v>89.44</v>
      </c>
      <c r="T19">
        <v>22.57</v>
      </c>
      <c r="U19">
        <v>34.299999999999997</v>
      </c>
      <c r="V19">
        <v>12.66</v>
      </c>
      <c r="W19">
        <v>1.64</v>
      </c>
      <c r="X19" s="7">
        <v>1.19</v>
      </c>
      <c r="Y19" s="15">
        <v>24.57</v>
      </c>
      <c r="AB19" s="23">
        <v>35</v>
      </c>
      <c r="AC19">
        <v>7.31</v>
      </c>
      <c r="AD19"/>
      <c r="AE19">
        <v>0.35</v>
      </c>
      <c r="AF19"/>
      <c r="AG19">
        <v>28.28</v>
      </c>
      <c r="AH19" s="7"/>
    </row>
    <row r="20" spans="2:34" x14ac:dyDescent="0.4">
      <c r="B20" s="2">
        <v>46266</v>
      </c>
      <c r="C20" s="2" t="s">
        <v>18</v>
      </c>
      <c r="D20" s="7">
        <v>2</v>
      </c>
      <c r="E20">
        <v>124.6</v>
      </c>
      <c r="F20" s="7">
        <v>77.3</v>
      </c>
      <c r="G20">
        <v>47.3</v>
      </c>
      <c r="H20">
        <v>47</v>
      </c>
      <c r="I20">
        <v>8</v>
      </c>
      <c r="J20">
        <v>165</v>
      </c>
      <c r="K20">
        <v>400</v>
      </c>
      <c r="L20" s="7">
        <v>10567.2</v>
      </c>
      <c r="M20" s="7" t="s">
        <v>19</v>
      </c>
      <c r="N20">
        <v>265.12</v>
      </c>
      <c r="O20"/>
      <c r="P20"/>
      <c r="Q20">
        <v>63.15</v>
      </c>
      <c r="R20"/>
      <c r="S20">
        <v>148.51</v>
      </c>
      <c r="T20">
        <v>39.869999999999997</v>
      </c>
      <c r="U20">
        <v>20.77</v>
      </c>
      <c r="V20">
        <v>6.49</v>
      </c>
      <c r="W20">
        <v>0.89</v>
      </c>
      <c r="X20" s="7">
        <v>0.24</v>
      </c>
      <c r="Y20" s="15">
        <v>40.799999999999997</v>
      </c>
      <c r="AB20" s="23">
        <v>36</v>
      </c>
      <c r="AC20">
        <v>1.87</v>
      </c>
      <c r="AD20">
        <v>1.35</v>
      </c>
      <c r="AE20">
        <v>0.08</v>
      </c>
      <c r="AF20">
        <v>0.05</v>
      </c>
      <c r="AG20">
        <v>19.71</v>
      </c>
      <c r="AH20" s="7">
        <v>5.33</v>
      </c>
    </row>
    <row r="21" spans="2:34" x14ac:dyDescent="0.4">
      <c r="B21" s="2">
        <v>46266</v>
      </c>
      <c r="C21" s="2" t="s">
        <v>18</v>
      </c>
      <c r="D21" s="7">
        <v>3</v>
      </c>
      <c r="E21">
        <v>132.5</v>
      </c>
      <c r="F21" s="7">
        <v>81</v>
      </c>
      <c r="G21">
        <v>55</v>
      </c>
      <c r="H21">
        <v>31</v>
      </c>
      <c r="I21">
        <v>5</v>
      </c>
      <c r="J21">
        <v>80</v>
      </c>
      <c r="K21">
        <v>130</v>
      </c>
      <c r="L21" s="7">
        <v>7798.65</v>
      </c>
      <c r="M21" s="7" t="s">
        <v>19</v>
      </c>
      <c r="N21">
        <v>211.53</v>
      </c>
      <c r="O21"/>
      <c r="P21"/>
      <c r="Q21">
        <v>46.35</v>
      </c>
      <c r="R21"/>
      <c r="S21">
        <v>102.84</v>
      </c>
      <c r="T21">
        <v>25.82</v>
      </c>
      <c r="U21">
        <v>34.56</v>
      </c>
      <c r="V21">
        <v>6.17</v>
      </c>
      <c r="W21">
        <v>10.44</v>
      </c>
      <c r="X21" s="7">
        <v>1.42</v>
      </c>
      <c r="Y21" s="15">
        <v>11.85</v>
      </c>
      <c r="AB21" s="23">
        <v>35</v>
      </c>
      <c r="AC21">
        <v>9.3000000000000007</v>
      </c>
      <c r="AD21">
        <v>1.95</v>
      </c>
      <c r="AE21">
        <v>2.81</v>
      </c>
      <c r="AF21">
        <v>0.45</v>
      </c>
      <c r="AG21">
        <v>32.89</v>
      </c>
      <c r="AH21" s="7">
        <v>5.19</v>
      </c>
    </row>
    <row r="22" spans="2:34" x14ac:dyDescent="0.4">
      <c r="B22" s="2">
        <v>46266</v>
      </c>
      <c r="C22" s="2" t="s">
        <v>18</v>
      </c>
      <c r="D22" s="7">
        <v>4</v>
      </c>
      <c r="E22">
        <v>138.1</v>
      </c>
      <c r="F22" s="7">
        <v>87.1</v>
      </c>
      <c r="G22">
        <v>44.9</v>
      </c>
      <c r="H22">
        <v>46</v>
      </c>
      <c r="I22">
        <v>7</v>
      </c>
      <c r="J22">
        <v>140</v>
      </c>
      <c r="K22">
        <v>294</v>
      </c>
      <c r="L22" s="7">
        <v>10360.77</v>
      </c>
      <c r="M22" s="7" t="s">
        <v>19</v>
      </c>
      <c r="N22">
        <v>266.94</v>
      </c>
      <c r="O22"/>
      <c r="P22"/>
      <c r="Q22">
        <v>58.95</v>
      </c>
      <c r="R22"/>
      <c r="S22">
        <v>161.41999999999999</v>
      </c>
      <c r="T22">
        <v>39.39</v>
      </c>
      <c r="U22">
        <v>65.28</v>
      </c>
      <c r="V22">
        <v>9.99</v>
      </c>
      <c r="W22">
        <v>7.83</v>
      </c>
      <c r="X22" s="7">
        <v>1.03</v>
      </c>
      <c r="Y22" s="15">
        <v>16.97</v>
      </c>
      <c r="AB22" s="23">
        <v>41</v>
      </c>
      <c r="AC22">
        <v>9.09</v>
      </c>
      <c r="AD22">
        <v>1.56</v>
      </c>
      <c r="AE22">
        <v>1.0900000000000001</v>
      </c>
      <c r="AF22">
        <v>0.16</v>
      </c>
      <c r="AG22">
        <v>62.93</v>
      </c>
      <c r="AH22" s="7">
        <v>9.3000000000000007</v>
      </c>
    </row>
    <row r="23" spans="2:34" x14ac:dyDescent="0.4">
      <c r="B23" s="2">
        <v>46266</v>
      </c>
      <c r="C23" s="2" t="s">
        <v>18</v>
      </c>
      <c r="D23" s="7">
        <v>5</v>
      </c>
      <c r="E23">
        <v>126.6</v>
      </c>
      <c r="F23" s="7">
        <v>72.099999999999994</v>
      </c>
      <c r="G23">
        <v>47.8</v>
      </c>
      <c r="H23">
        <v>49</v>
      </c>
      <c r="I23">
        <v>9</v>
      </c>
      <c r="J23">
        <v>186</v>
      </c>
      <c r="K23">
        <v>289</v>
      </c>
      <c r="L23" s="7">
        <v>10986.36</v>
      </c>
      <c r="M23" s="7" t="s">
        <v>19</v>
      </c>
      <c r="N23">
        <v>254.69</v>
      </c>
      <c r="O23"/>
      <c r="P23"/>
      <c r="Q23">
        <v>63.2</v>
      </c>
      <c r="R23"/>
      <c r="S23">
        <v>186.6</v>
      </c>
      <c r="T23">
        <v>50.45</v>
      </c>
      <c r="U23">
        <v>85.8</v>
      </c>
      <c r="V23">
        <v>16.12</v>
      </c>
      <c r="W23">
        <v>23.03</v>
      </c>
      <c r="X23" s="7">
        <v>3.06</v>
      </c>
      <c r="Y23" s="15">
        <v>27.21</v>
      </c>
      <c r="AB23" s="23">
        <v>37</v>
      </c>
      <c r="AC23">
        <v>10.99</v>
      </c>
      <c r="AD23">
        <v>2.16</v>
      </c>
      <c r="AE23">
        <v>2.95</v>
      </c>
      <c r="AF23">
        <v>0.41</v>
      </c>
      <c r="AG23">
        <v>94.89</v>
      </c>
      <c r="AH23" s="7">
        <v>16.61</v>
      </c>
    </row>
    <row r="24" spans="2:34" x14ac:dyDescent="0.4">
      <c r="B24" s="2">
        <v>46266</v>
      </c>
      <c r="C24" s="2" t="s">
        <v>18</v>
      </c>
      <c r="D24" s="7">
        <v>6</v>
      </c>
      <c r="E24">
        <v>120.7</v>
      </c>
      <c r="F24" s="7">
        <v>71.599999999999994</v>
      </c>
      <c r="G24">
        <v>52.6</v>
      </c>
      <c r="H24">
        <v>52</v>
      </c>
      <c r="I24">
        <v>7</v>
      </c>
      <c r="J24">
        <v>126</v>
      </c>
      <c r="K24">
        <v>194</v>
      </c>
      <c r="L24" s="7">
        <v>10192.23</v>
      </c>
      <c r="M24" s="7" t="s">
        <v>19</v>
      </c>
      <c r="N24">
        <v>228.62</v>
      </c>
      <c r="O24"/>
      <c r="P24"/>
      <c r="Q24">
        <v>47.16</v>
      </c>
      <c r="R24"/>
      <c r="S24">
        <v>136.47999999999999</v>
      </c>
      <c r="T24">
        <v>32.950000000000003</v>
      </c>
      <c r="U24">
        <v>39.86</v>
      </c>
      <c r="V24">
        <v>7.91</v>
      </c>
      <c r="W24">
        <v>8.48</v>
      </c>
      <c r="X24" s="7">
        <v>1.53</v>
      </c>
      <c r="Y24" s="15">
        <v>14.28</v>
      </c>
      <c r="AB24" s="23">
        <v>44</v>
      </c>
      <c r="AC24">
        <v>9.0299999999999994</v>
      </c>
      <c r="AD24">
        <v>1.45</v>
      </c>
      <c r="AE24">
        <v>1.92</v>
      </c>
      <c r="AF24">
        <v>0.28000000000000003</v>
      </c>
      <c r="AG24">
        <v>37.39</v>
      </c>
      <c r="AH24" s="7">
        <v>7.71</v>
      </c>
    </row>
    <row r="25" spans="2:34" x14ac:dyDescent="0.4">
      <c r="B25" s="2">
        <v>46266</v>
      </c>
      <c r="C25" s="2" t="s">
        <v>18</v>
      </c>
      <c r="D25" s="7">
        <v>7</v>
      </c>
      <c r="E25">
        <v>136.6</v>
      </c>
      <c r="F25" s="7">
        <v>84.8</v>
      </c>
      <c r="G25">
        <v>50.2</v>
      </c>
      <c r="H25">
        <v>46</v>
      </c>
      <c r="I25">
        <v>6</v>
      </c>
      <c r="J25">
        <v>155</v>
      </c>
      <c r="K25">
        <v>254</v>
      </c>
      <c r="L25" s="7">
        <v>9162.57</v>
      </c>
      <c r="M25" s="7" t="s">
        <v>19</v>
      </c>
      <c r="N25">
        <v>242.58</v>
      </c>
      <c r="O25"/>
      <c r="P25"/>
      <c r="Q25">
        <v>58.24</v>
      </c>
      <c r="R25"/>
      <c r="S25">
        <v>130.94999999999999</v>
      </c>
      <c r="T25">
        <v>36.479999999999997</v>
      </c>
      <c r="U25">
        <v>75.260000000000005</v>
      </c>
      <c r="V25">
        <v>13.17</v>
      </c>
      <c r="W25">
        <v>10.11</v>
      </c>
      <c r="X25" s="7">
        <v>1.46</v>
      </c>
      <c r="Y25" s="15">
        <v>33.68</v>
      </c>
      <c r="AB25" s="23">
        <v>36</v>
      </c>
      <c r="AC25">
        <v>10.65</v>
      </c>
      <c r="AD25">
        <v>1.98</v>
      </c>
      <c r="AE25">
        <v>1.43</v>
      </c>
      <c r="AF25">
        <v>0.22</v>
      </c>
      <c r="AG25">
        <v>73.290000000000006</v>
      </c>
      <c r="AH25" s="7">
        <v>12.43</v>
      </c>
    </row>
    <row r="26" spans="2:34" x14ac:dyDescent="0.4">
      <c r="B26" s="2">
        <v>46266</v>
      </c>
      <c r="C26" s="2" t="s">
        <v>18</v>
      </c>
      <c r="D26" s="7">
        <v>8</v>
      </c>
      <c r="E26">
        <v>115</v>
      </c>
      <c r="F26" s="7">
        <v>73.5</v>
      </c>
      <c r="G26">
        <v>44.9</v>
      </c>
      <c r="H26">
        <v>58</v>
      </c>
      <c r="I26">
        <v>8</v>
      </c>
      <c r="J26">
        <v>138</v>
      </c>
      <c r="K26">
        <v>239</v>
      </c>
      <c r="L26" s="7">
        <v>11142.83</v>
      </c>
      <c r="M26" s="7" t="s">
        <v>19</v>
      </c>
      <c r="N26">
        <v>252.03</v>
      </c>
      <c r="O26"/>
      <c r="P26"/>
      <c r="Q26">
        <v>60.89</v>
      </c>
      <c r="R26"/>
      <c r="S26">
        <v>176.25</v>
      </c>
      <c r="T26">
        <v>49.65</v>
      </c>
      <c r="U26">
        <v>67.66</v>
      </c>
      <c r="V26">
        <v>12.25</v>
      </c>
      <c r="W26">
        <v>9.49</v>
      </c>
      <c r="X26" s="7">
        <v>1.22</v>
      </c>
      <c r="Y26" s="15">
        <v>31.59</v>
      </c>
      <c r="AB26" s="23">
        <v>37</v>
      </c>
      <c r="AC26">
        <v>10.48</v>
      </c>
      <c r="AD26">
        <v>1.9</v>
      </c>
      <c r="AE26">
        <v>1.47</v>
      </c>
      <c r="AF26">
        <v>0.19</v>
      </c>
      <c r="AG26">
        <v>65.2</v>
      </c>
      <c r="AH26" s="7">
        <v>11.38</v>
      </c>
    </row>
    <row r="27" spans="2:34" s="5" customFormat="1" x14ac:dyDescent="0.4">
      <c r="B27" s="6">
        <v>46266</v>
      </c>
      <c r="C27" s="6" t="s">
        <v>18</v>
      </c>
      <c r="D27" s="8">
        <v>9</v>
      </c>
      <c r="E27" s="5">
        <v>115.3</v>
      </c>
      <c r="F27" s="8">
        <v>68.099999999999994</v>
      </c>
      <c r="G27" s="5">
        <v>56.5</v>
      </c>
      <c r="H27" s="5">
        <v>28</v>
      </c>
      <c r="I27" s="5">
        <v>6</v>
      </c>
      <c r="J27" s="5">
        <v>92</v>
      </c>
      <c r="K27" s="5">
        <v>155</v>
      </c>
      <c r="L27" s="8">
        <v>6211.56</v>
      </c>
      <c r="M27" s="8" t="s">
        <v>19</v>
      </c>
      <c r="N27" s="5">
        <v>119.66</v>
      </c>
      <c r="Q27" s="5">
        <v>28.5</v>
      </c>
      <c r="S27" s="5">
        <v>59.54</v>
      </c>
      <c r="T27" s="5">
        <v>14.19</v>
      </c>
      <c r="U27" s="5">
        <v>43.08</v>
      </c>
      <c r="V27" s="5">
        <v>7.85</v>
      </c>
      <c r="W27" s="5">
        <v>9.24</v>
      </c>
      <c r="X27" s="8">
        <v>1.19</v>
      </c>
      <c r="Y27" s="5">
        <v>10.49</v>
      </c>
      <c r="Z27"/>
      <c r="AA27" s="15"/>
      <c r="AB27" s="22">
        <v>35</v>
      </c>
      <c r="AC27" s="5">
        <v>9.75</v>
      </c>
      <c r="AD27" s="5">
        <v>1.85</v>
      </c>
      <c r="AE27" s="5">
        <v>2.09</v>
      </c>
      <c r="AF27" s="5">
        <v>0.28000000000000003</v>
      </c>
      <c r="AG27" s="5">
        <v>40.479999999999997</v>
      </c>
      <c r="AH27" s="8">
        <v>6.91</v>
      </c>
    </row>
    <row r="28" spans="2:34" x14ac:dyDescent="0.4">
      <c r="B28" s="2">
        <v>46266</v>
      </c>
      <c r="C28" s="2" t="s">
        <v>20</v>
      </c>
      <c r="D28" s="7">
        <v>1</v>
      </c>
      <c r="E28">
        <v>129</v>
      </c>
      <c r="F28" s="7">
        <v>83.7</v>
      </c>
      <c r="G28">
        <v>36.6</v>
      </c>
      <c r="H28">
        <v>48</v>
      </c>
      <c r="I28">
        <v>10</v>
      </c>
      <c r="J28">
        <v>118</v>
      </c>
      <c r="K28">
        <v>134</v>
      </c>
      <c r="L28" s="7">
        <v>10151.92</v>
      </c>
      <c r="M28" s="7" t="s">
        <v>19</v>
      </c>
      <c r="N28">
        <v>181.24</v>
      </c>
      <c r="O28"/>
      <c r="P28"/>
      <c r="Q28">
        <v>54.56</v>
      </c>
      <c r="R28"/>
      <c r="S28">
        <v>99.03</v>
      </c>
      <c r="T28">
        <v>33.06</v>
      </c>
      <c r="U28">
        <v>30.41</v>
      </c>
      <c r="V28">
        <v>4.75</v>
      </c>
      <c r="W28">
        <v>1.88</v>
      </c>
      <c r="X28" s="7">
        <v>0.03</v>
      </c>
      <c r="Y28" s="15">
        <v>46.46</v>
      </c>
      <c r="AE28">
        <v>0.59</v>
      </c>
      <c r="AF28">
        <v>0.03</v>
      </c>
    </row>
    <row r="29" spans="2:34" x14ac:dyDescent="0.4">
      <c r="B29" s="2">
        <v>46266</v>
      </c>
      <c r="C29" s="2" t="s">
        <v>20</v>
      </c>
      <c r="D29" s="7">
        <v>2</v>
      </c>
      <c r="E29">
        <v>128</v>
      </c>
      <c r="F29" s="7">
        <v>78.099999999999994</v>
      </c>
      <c r="G29">
        <v>42.7</v>
      </c>
      <c r="H29">
        <v>53</v>
      </c>
      <c r="I29">
        <v>6</v>
      </c>
      <c r="J29">
        <v>117</v>
      </c>
      <c r="K29">
        <v>152</v>
      </c>
      <c r="L29" s="7">
        <v>8968.64</v>
      </c>
      <c r="M29" s="7" t="s">
        <v>19</v>
      </c>
      <c r="N29">
        <v>227.17</v>
      </c>
      <c r="O29"/>
      <c r="P29"/>
      <c r="Q29">
        <v>61.05</v>
      </c>
      <c r="R29"/>
      <c r="S29">
        <v>109.55</v>
      </c>
      <c r="T29">
        <v>32.49</v>
      </c>
      <c r="U29">
        <v>31.81</v>
      </c>
      <c r="V29">
        <v>6.99</v>
      </c>
      <c r="W29">
        <v>1.74</v>
      </c>
      <c r="X29" s="7">
        <v>0.19</v>
      </c>
      <c r="Y29" s="15">
        <v>53.07</v>
      </c>
      <c r="AE29">
        <v>0.48</v>
      </c>
      <c r="AF29">
        <v>0.19</v>
      </c>
    </row>
    <row r="30" spans="2:34" x14ac:dyDescent="0.4">
      <c r="B30" s="2">
        <v>46266</v>
      </c>
      <c r="C30" s="2" t="s">
        <v>20</v>
      </c>
      <c r="D30" s="7">
        <v>3</v>
      </c>
      <c r="E30">
        <v>131</v>
      </c>
      <c r="F30" s="7">
        <v>83.2</v>
      </c>
      <c r="G30">
        <v>41.8</v>
      </c>
      <c r="H30">
        <v>39</v>
      </c>
      <c r="I30">
        <v>8</v>
      </c>
      <c r="J30">
        <v>103</v>
      </c>
      <c r="K30">
        <v>207</v>
      </c>
      <c r="L30" s="7">
        <v>8768.39</v>
      </c>
      <c r="M30" s="7" t="s">
        <v>19</v>
      </c>
      <c r="N30">
        <v>197.36</v>
      </c>
      <c r="O30"/>
      <c r="P30"/>
      <c r="Q30">
        <v>50.9</v>
      </c>
      <c r="R30"/>
      <c r="S30">
        <v>87.65</v>
      </c>
      <c r="T30">
        <v>27.2</v>
      </c>
      <c r="U30">
        <v>19.329999999999998</v>
      </c>
      <c r="V30">
        <v>6.3</v>
      </c>
      <c r="W30">
        <v>1.97</v>
      </c>
      <c r="X30" s="7">
        <v>0.19</v>
      </c>
      <c r="Y30" s="15">
        <v>77.739999999999995</v>
      </c>
      <c r="AE30">
        <v>0.4</v>
      </c>
      <c r="AF30">
        <v>0.19</v>
      </c>
    </row>
    <row r="31" spans="2:34" x14ac:dyDescent="0.4">
      <c r="B31" s="2">
        <v>46266</v>
      </c>
      <c r="C31" s="2" t="s">
        <v>20</v>
      </c>
      <c r="D31" s="7">
        <v>4</v>
      </c>
      <c r="E31">
        <v>123.2</v>
      </c>
      <c r="F31" s="7">
        <v>76.3</v>
      </c>
      <c r="G31">
        <v>39.9</v>
      </c>
      <c r="H31">
        <v>58</v>
      </c>
      <c r="I31">
        <v>6</v>
      </c>
      <c r="J31">
        <v>137</v>
      </c>
      <c r="K31">
        <v>294</v>
      </c>
      <c r="L31" s="7">
        <v>14285.46</v>
      </c>
      <c r="M31" s="7" t="s">
        <v>19</v>
      </c>
      <c r="N31">
        <v>228.16</v>
      </c>
      <c r="O31"/>
      <c r="P31"/>
      <c r="Q31">
        <v>48.89</v>
      </c>
      <c r="R31"/>
      <c r="S31">
        <v>96.92</v>
      </c>
      <c r="T31">
        <v>27.12</v>
      </c>
      <c r="U31">
        <v>61.37</v>
      </c>
      <c r="V31">
        <v>10.7</v>
      </c>
      <c r="W31">
        <v>5.3</v>
      </c>
      <c r="X31" s="7">
        <v>0.67</v>
      </c>
      <c r="Y31" s="15">
        <v>20.63</v>
      </c>
      <c r="AB31" s="23">
        <v>45</v>
      </c>
      <c r="AC31">
        <v>9.3800000000000008</v>
      </c>
      <c r="AD31">
        <v>1.6</v>
      </c>
      <c r="AE31">
        <v>0.81</v>
      </c>
      <c r="AF31">
        <v>0.1</v>
      </c>
      <c r="AG31">
        <v>56.48</v>
      </c>
      <c r="AH31" s="7">
        <v>9.67</v>
      </c>
    </row>
    <row r="32" spans="2:34" x14ac:dyDescent="0.4">
      <c r="B32" s="2">
        <v>46266</v>
      </c>
      <c r="C32" s="2" t="s">
        <v>20</v>
      </c>
      <c r="D32" s="7">
        <v>5</v>
      </c>
      <c r="E32">
        <v>130.5</v>
      </c>
      <c r="F32" s="7">
        <v>73.5</v>
      </c>
      <c r="G32">
        <v>47.7</v>
      </c>
      <c r="H32">
        <v>47</v>
      </c>
      <c r="I32">
        <v>8</v>
      </c>
      <c r="J32">
        <v>135</v>
      </c>
      <c r="K32">
        <v>225</v>
      </c>
      <c r="L32" s="7">
        <v>10445.6</v>
      </c>
      <c r="M32" s="7" t="s">
        <v>19</v>
      </c>
      <c r="N32">
        <v>181.97</v>
      </c>
      <c r="O32"/>
      <c r="P32"/>
      <c r="Q32">
        <v>65.709999999999994</v>
      </c>
      <c r="R32"/>
      <c r="S32">
        <v>119.16</v>
      </c>
      <c r="T32">
        <v>42.53</v>
      </c>
      <c r="U32">
        <v>46.71</v>
      </c>
      <c r="V32">
        <v>9.5</v>
      </c>
      <c r="W32">
        <v>7.47</v>
      </c>
      <c r="X32" s="7">
        <v>0.93</v>
      </c>
      <c r="Y32" s="15">
        <v>52.19</v>
      </c>
      <c r="AB32" s="23">
        <v>47</v>
      </c>
      <c r="AC32">
        <v>9.76</v>
      </c>
      <c r="AD32">
        <v>2.04</v>
      </c>
      <c r="AE32">
        <v>1.56</v>
      </c>
      <c r="AF32">
        <v>0.2</v>
      </c>
      <c r="AG32">
        <v>42.86</v>
      </c>
      <c r="AH32" s="7">
        <v>8.19</v>
      </c>
    </row>
    <row r="33" spans="2:39" x14ac:dyDescent="0.4">
      <c r="B33" s="2">
        <v>46266</v>
      </c>
      <c r="C33" s="2" t="s">
        <v>20</v>
      </c>
      <c r="D33" s="7">
        <v>6</v>
      </c>
      <c r="E33">
        <v>119</v>
      </c>
      <c r="F33" s="7">
        <v>62</v>
      </c>
      <c r="G33">
        <v>40.799999999999997</v>
      </c>
      <c r="H33">
        <v>45</v>
      </c>
      <c r="I33">
        <v>4</v>
      </c>
      <c r="J33">
        <v>74</v>
      </c>
      <c r="K33">
        <v>148</v>
      </c>
      <c r="L33" s="7">
        <v>8731.7099999999991</v>
      </c>
      <c r="M33" s="7" t="s">
        <v>19</v>
      </c>
      <c r="N33">
        <v>206.81</v>
      </c>
      <c r="O33"/>
      <c r="P33"/>
      <c r="Q33">
        <v>50.04</v>
      </c>
      <c r="R33"/>
      <c r="S33">
        <v>97.42</v>
      </c>
      <c r="T33">
        <v>26.47</v>
      </c>
      <c r="U33">
        <v>33.69</v>
      </c>
      <c r="V33">
        <v>5.43</v>
      </c>
      <c r="W33">
        <v>2.75</v>
      </c>
      <c r="X33" s="7">
        <v>0.21</v>
      </c>
      <c r="Y33" s="15">
        <v>16.829999999999998</v>
      </c>
      <c r="AB33" s="23">
        <v>42</v>
      </c>
      <c r="AC33">
        <v>9.5399999999999991</v>
      </c>
      <c r="AD33">
        <v>1.56</v>
      </c>
      <c r="AE33">
        <v>0.78</v>
      </c>
      <c r="AF33">
        <v>0.06</v>
      </c>
      <c r="AG33">
        <v>26.12</v>
      </c>
      <c r="AH33" s="7">
        <v>4.0199999999999996</v>
      </c>
      <c r="AM33" s="3"/>
    </row>
    <row r="34" spans="2:39" x14ac:dyDescent="0.4">
      <c r="B34" s="2">
        <v>46266</v>
      </c>
      <c r="C34" s="2" t="s">
        <v>20</v>
      </c>
      <c r="D34" s="7">
        <v>7</v>
      </c>
      <c r="E34">
        <v>133</v>
      </c>
      <c r="F34" s="7">
        <v>72</v>
      </c>
      <c r="G34">
        <v>41.3</v>
      </c>
      <c r="H34">
        <v>34</v>
      </c>
      <c r="I34">
        <v>5</v>
      </c>
      <c r="J34">
        <v>96</v>
      </c>
      <c r="K34">
        <v>173</v>
      </c>
      <c r="L34" s="7">
        <v>9924.0300000000007</v>
      </c>
      <c r="M34" s="7" t="s">
        <v>19</v>
      </c>
      <c r="N34">
        <v>186.48</v>
      </c>
      <c r="O34"/>
      <c r="P34"/>
      <c r="Q34">
        <v>45.65</v>
      </c>
      <c r="R34"/>
      <c r="S34">
        <v>76.75</v>
      </c>
      <c r="T34">
        <v>21.29</v>
      </c>
      <c r="U34">
        <v>44.52</v>
      </c>
      <c r="V34">
        <v>7.01</v>
      </c>
      <c r="W34">
        <v>2.62</v>
      </c>
      <c r="X34" s="7">
        <v>0.2</v>
      </c>
      <c r="Y34" s="15">
        <v>12.84</v>
      </c>
      <c r="AB34" s="23">
        <v>43</v>
      </c>
      <c r="AC34">
        <v>11.05</v>
      </c>
      <c r="AD34">
        <v>1.75</v>
      </c>
      <c r="AE34">
        <v>0.65</v>
      </c>
      <c r="AF34">
        <v>0.05</v>
      </c>
      <c r="AG34">
        <v>35.44</v>
      </c>
      <c r="AH34" s="7">
        <v>5.41</v>
      </c>
      <c r="AM34" s="3"/>
    </row>
    <row r="35" spans="2:39" x14ac:dyDescent="0.4">
      <c r="B35" s="2">
        <v>46266</v>
      </c>
      <c r="C35" s="2" t="s">
        <v>20</v>
      </c>
      <c r="D35" s="7">
        <v>8</v>
      </c>
      <c r="E35">
        <v>138</v>
      </c>
      <c r="F35" s="7">
        <v>87</v>
      </c>
      <c r="G35">
        <v>31.5</v>
      </c>
      <c r="H35">
        <v>52</v>
      </c>
      <c r="I35">
        <v>7</v>
      </c>
      <c r="J35">
        <v>133</v>
      </c>
      <c r="K35">
        <v>222</v>
      </c>
      <c r="L35" s="7">
        <v>9587.07</v>
      </c>
      <c r="M35" s="7" t="s">
        <v>19</v>
      </c>
      <c r="N35">
        <v>234.26</v>
      </c>
      <c r="O35"/>
      <c r="P35"/>
      <c r="Q35">
        <v>55.11</v>
      </c>
      <c r="R35"/>
      <c r="S35">
        <v>134.4</v>
      </c>
      <c r="T35">
        <v>35.96</v>
      </c>
      <c r="U35">
        <v>62.66</v>
      </c>
      <c r="V35">
        <v>11.51</v>
      </c>
      <c r="W35">
        <v>9.8000000000000007</v>
      </c>
      <c r="X35" s="7">
        <v>1.32</v>
      </c>
      <c r="Y35" s="15">
        <v>17.88</v>
      </c>
      <c r="AB35" s="23">
        <v>37</v>
      </c>
      <c r="AC35">
        <v>10.42</v>
      </c>
      <c r="AD35">
        <v>2.0099999999999998</v>
      </c>
      <c r="AE35">
        <v>1.63</v>
      </c>
      <c r="AF35">
        <v>0.23</v>
      </c>
      <c r="AG35">
        <v>60.41</v>
      </c>
      <c r="AH35" s="7">
        <v>10.59</v>
      </c>
      <c r="AM35" s="3"/>
    </row>
    <row r="36" spans="2:39" s="5" customFormat="1" x14ac:dyDescent="0.4">
      <c r="B36" s="6">
        <v>46266</v>
      </c>
      <c r="C36" s="6" t="s">
        <v>20</v>
      </c>
      <c r="D36" s="8">
        <v>9</v>
      </c>
      <c r="E36" s="5">
        <v>121.2</v>
      </c>
      <c r="F36" s="8">
        <v>77.7</v>
      </c>
      <c r="G36" s="5">
        <v>47.6</v>
      </c>
      <c r="H36" s="5">
        <v>63</v>
      </c>
      <c r="I36" s="5">
        <v>8</v>
      </c>
      <c r="J36" s="5">
        <v>152</v>
      </c>
      <c r="K36" s="5">
        <v>242</v>
      </c>
      <c r="L36" s="8">
        <v>14973.76</v>
      </c>
      <c r="M36" s="8" t="s">
        <v>19</v>
      </c>
      <c r="N36" s="5">
        <v>281.10000000000002</v>
      </c>
      <c r="Q36" s="5">
        <v>66.91</v>
      </c>
      <c r="S36" s="5">
        <v>124.68</v>
      </c>
      <c r="T36" s="5">
        <v>36.39</v>
      </c>
      <c r="U36" s="5">
        <v>66.84</v>
      </c>
      <c r="V36" s="5">
        <v>14.06</v>
      </c>
      <c r="W36" s="5">
        <v>16.809999999999999</v>
      </c>
      <c r="X36" s="8">
        <v>2.33</v>
      </c>
      <c r="Y36" s="5">
        <v>18.309999999999999</v>
      </c>
      <c r="Z36"/>
      <c r="AA36" s="15"/>
      <c r="AB36" s="22">
        <v>40</v>
      </c>
      <c r="AC36" s="5">
        <v>11.05</v>
      </c>
      <c r="AD36" s="5">
        <v>2.41</v>
      </c>
      <c r="AE36" s="5">
        <v>2.78</v>
      </c>
      <c r="AF36" s="5">
        <v>0.4</v>
      </c>
      <c r="AG36" s="5">
        <v>69.819999999999993</v>
      </c>
      <c r="AH36" s="8">
        <v>13.58</v>
      </c>
      <c r="AM36" s="13"/>
    </row>
    <row r="37" spans="2:39" x14ac:dyDescent="0.4">
      <c r="B37" s="2">
        <v>46266</v>
      </c>
      <c r="C37" s="2" t="s">
        <v>21</v>
      </c>
      <c r="D37" s="7">
        <v>1</v>
      </c>
      <c r="E37">
        <v>139</v>
      </c>
      <c r="F37" s="7">
        <v>91</v>
      </c>
      <c r="G37">
        <v>48.8</v>
      </c>
      <c r="H37">
        <v>54</v>
      </c>
      <c r="I37">
        <v>7</v>
      </c>
      <c r="J37">
        <v>147</v>
      </c>
      <c r="K37">
        <v>152</v>
      </c>
      <c r="L37" s="7">
        <v>5720.09</v>
      </c>
      <c r="M37" s="7" t="s">
        <v>19</v>
      </c>
      <c r="N37">
        <v>193.03</v>
      </c>
      <c r="O37"/>
      <c r="P37"/>
      <c r="Q37">
        <v>76.27</v>
      </c>
      <c r="R37"/>
      <c r="S37">
        <v>134.43</v>
      </c>
      <c r="T37">
        <v>46.55</v>
      </c>
      <c r="U37">
        <v>61.18</v>
      </c>
      <c r="V37">
        <v>12.02</v>
      </c>
      <c r="W37">
        <v>8.08</v>
      </c>
      <c r="X37" s="7">
        <v>1.1000000000000001</v>
      </c>
      <c r="Y37" s="15">
        <v>20.86</v>
      </c>
      <c r="AM37" s="3"/>
    </row>
    <row r="38" spans="2:39" x14ac:dyDescent="0.4">
      <c r="B38" s="2">
        <v>46266</v>
      </c>
      <c r="C38" s="2" t="s">
        <v>21</v>
      </c>
      <c r="D38" s="7">
        <v>2</v>
      </c>
      <c r="E38">
        <v>111.4</v>
      </c>
      <c r="F38" s="7">
        <v>71</v>
      </c>
      <c r="G38">
        <v>48.3</v>
      </c>
      <c r="H38">
        <v>58</v>
      </c>
      <c r="I38">
        <v>10</v>
      </c>
      <c r="J38">
        <v>142</v>
      </c>
      <c r="K38">
        <v>323</v>
      </c>
      <c r="L38" s="7">
        <v>4472.2</v>
      </c>
      <c r="M38" s="7" t="s">
        <v>19</v>
      </c>
      <c r="N38">
        <v>123.36</v>
      </c>
      <c r="O38"/>
      <c r="P38"/>
      <c r="Q38">
        <v>64.05</v>
      </c>
      <c r="R38"/>
      <c r="S38">
        <v>106.15</v>
      </c>
      <c r="T38">
        <v>43.39</v>
      </c>
      <c r="U38">
        <v>45.66</v>
      </c>
      <c r="V38">
        <v>10.26</v>
      </c>
      <c r="W38">
        <v>6.22</v>
      </c>
      <c r="X38" s="7">
        <v>0.54</v>
      </c>
      <c r="Y38" s="15">
        <v>27.77</v>
      </c>
      <c r="AB38" s="23">
        <v>41</v>
      </c>
      <c r="AC38">
        <v>5.8</v>
      </c>
      <c r="AD38">
        <v>1.34</v>
      </c>
      <c r="AE38">
        <v>0.79</v>
      </c>
      <c r="AF38">
        <v>7.0000000000000007E-2</v>
      </c>
      <c r="AG38">
        <v>45.29</v>
      </c>
      <c r="AH38" s="7">
        <v>9.39</v>
      </c>
      <c r="AM38" s="3"/>
    </row>
    <row r="39" spans="2:39" x14ac:dyDescent="0.4">
      <c r="B39" s="2">
        <v>46266</v>
      </c>
      <c r="C39" s="2" t="s">
        <v>21</v>
      </c>
      <c r="D39" s="7">
        <v>3</v>
      </c>
      <c r="E39">
        <v>125.1</v>
      </c>
      <c r="F39" s="7">
        <v>72.400000000000006</v>
      </c>
      <c r="G39">
        <v>44.8</v>
      </c>
      <c r="H39">
        <v>43</v>
      </c>
      <c r="I39">
        <v>7</v>
      </c>
      <c r="J39">
        <v>145</v>
      </c>
      <c r="K39">
        <v>252</v>
      </c>
      <c r="L39" s="7">
        <v>7286.86</v>
      </c>
      <c r="M39" s="7" t="s">
        <v>19</v>
      </c>
      <c r="N39">
        <v>180.92</v>
      </c>
      <c r="O39"/>
      <c r="P39"/>
      <c r="Q39">
        <v>47.31</v>
      </c>
      <c r="R39"/>
      <c r="S39">
        <v>112.32</v>
      </c>
      <c r="T39">
        <v>30.19</v>
      </c>
      <c r="U39">
        <v>61.05</v>
      </c>
      <c r="V39">
        <v>11.01</v>
      </c>
      <c r="W39">
        <v>5.96</v>
      </c>
      <c r="X39" s="7">
        <v>0.9</v>
      </c>
      <c r="Y39" s="15">
        <v>30.6</v>
      </c>
      <c r="AB39" s="23">
        <v>38</v>
      </c>
      <c r="AC39">
        <v>9.2200000000000006</v>
      </c>
      <c r="AD39">
        <v>1.72</v>
      </c>
      <c r="AE39">
        <v>0.9</v>
      </c>
      <c r="AF39">
        <v>0.14000000000000001</v>
      </c>
      <c r="AG39">
        <v>56.89</v>
      </c>
      <c r="AH39" s="7">
        <v>10.050000000000001</v>
      </c>
      <c r="AM39" s="3"/>
    </row>
    <row r="40" spans="2:39" x14ac:dyDescent="0.4">
      <c r="B40" s="2">
        <v>46266</v>
      </c>
      <c r="C40" s="2" t="s">
        <v>21</v>
      </c>
      <c r="D40" s="7">
        <v>4</v>
      </c>
      <c r="E40">
        <v>132.30000000000001</v>
      </c>
      <c r="F40" s="7">
        <v>83.5</v>
      </c>
      <c r="G40">
        <v>41.2</v>
      </c>
      <c r="H40">
        <v>35</v>
      </c>
      <c r="I40">
        <v>5</v>
      </c>
      <c r="J40">
        <v>90</v>
      </c>
      <c r="K40">
        <v>159</v>
      </c>
      <c r="L40" s="7">
        <v>6858.74</v>
      </c>
      <c r="M40" s="7" t="s">
        <v>19</v>
      </c>
      <c r="N40">
        <v>173.12</v>
      </c>
      <c r="O40"/>
      <c r="P40"/>
      <c r="Q40">
        <v>43.28</v>
      </c>
      <c r="R40"/>
      <c r="S40">
        <v>86.83</v>
      </c>
      <c r="T40">
        <v>24.08</v>
      </c>
      <c r="U40">
        <v>38.17</v>
      </c>
      <c r="V40">
        <v>6.7</v>
      </c>
      <c r="W40">
        <v>5.27</v>
      </c>
      <c r="X40" s="7">
        <v>0.48</v>
      </c>
      <c r="Y40" s="15">
        <v>20.27</v>
      </c>
      <c r="AB40" s="23">
        <v>31</v>
      </c>
      <c r="AC40">
        <v>7.46</v>
      </c>
      <c r="AD40">
        <v>1.53</v>
      </c>
      <c r="AE40">
        <v>1.03</v>
      </c>
      <c r="AF40">
        <v>0.11</v>
      </c>
      <c r="AG40">
        <v>34.950000000000003</v>
      </c>
      <c r="AH40" s="7">
        <v>5.54</v>
      </c>
      <c r="AM40" s="3"/>
    </row>
    <row r="41" spans="2:39" x14ac:dyDescent="0.4">
      <c r="B41" s="2">
        <v>46266</v>
      </c>
      <c r="C41" s="2" t="s">
        <v>21</v>
      </c>
      <c r="D41" s="7">
        <v>5</v>
      </c>
      <c r="E41">
        <v>132.6</v>
      </c>
      <c r="F41" s="7">
        <v>83.2</v>
      </c>
      <c r="G41">
        <v>45.7</v>
      </c>
      <c r="H41">
        <v>36</v>
      </c>
      <c r="I41">
        <v>6</v>
      </c>
      <c r="J41">
        <v>111</v>
      </c>
      <c r="K41">
        <v>191</v>
      </c>
      <c r="L41" s="7">
        <v>5510.3</v>
      </c>
      <c r="M41" s="7" t="s">
        <v>19</v>
      </c>
      <c r="N41">
        <v>116.78</v>
      </c>
      <c r="O41"/>
      <c r="P41"/>
      <c r="Q41">
        <v>52.21</v>
      </c>
      <c r="R41"/>
      <c r="S41">
        <v>96.45</v>
      </c>
      <c r="T41">
        <v>36.82</v>
      </c>
      <c r="U41">
        <v>37.299999999999997</v>
      </c>
      <c r="V41">
        <v>7.17</v>
      </c>
      <c r="W41">
        <v>8.84</v>
      </c>
      <c r="X41" s="7">
        <v>1.21</v>
      </c>
      <c r="Y41" s="15">
        <v>29.47</v>
      </c>
      <c r="AB41" s="23">
        <v>43</v>
      </c>
      <c r="AC41">
        <v>8.4</v>
      </c>
      <c r="AD41">
        <v>1.78</v>
      </c>
      <c r="AE41">
        <v>1.99</v>
      </c>
      <c r="AF41">
        <v>0.3</v>
      </c>
      <c r="AG41">
        <v>35.75</v>
      </c>
      <c r="AH41" s="7">
        <v>6.3</v>
      </c>
    </row>
    <row r="42" spans="2:39" x14ac:dyDescent="0.4">
      <c r="B42" s="2">
        <v>46266</v>
      </c>
      <c r="C42" s="2" t="s">
        <v>21</v>
      </c>
      <c r="D42" s="7">
        <v>6</v>
      </c>
      <c r="E42">
        <v>136.6</v>
      </c>
      <c r="F42" s="7">
        <v>75.5</v>
      </c>
      <c r="G42">
        <v>53.6</v>
      </c>
      <c r="H42">
        <v>47</v>
      </c>
      <c r="I42">
        <v>8</v>
      </c>
      <c r="J42">
        <v>126</v>
      </c>
      <c r="K42">
        <v>207</v>
      </c>
      <c r="L42" s="7">
        <v>8874.24</v>
      </c>
      <c r="M42" s="7" t="s">
        <v>19</v>
      </c>
      <c r="N42">
        <v>247.64</v>
      </c>
      <c r="O42"/>
      <c r="P42"/>
      <c r="Q42">
        <v>53.61</v>
      </c>
      <c r="R42"/>
      <c r="S42">
        <v>125.7</v>
      </c>
      <c r="T42">
        <v>32.46</v>
      </c>
      <c r="U42">
        <v>56</v>
      </c>
      <c r="V42">
        <v>9.52</v>
      </c>
      <c r="W42">
        <v>20.25</v>
      </c>
      <c r="X42" s="7">
        <v>3.1</v>
      </c>
      <c r="Y42" s="15">
        <v>18.97</v>
      </c>
      <c r="AB42" s="23">
        <v>38</v>
      </c>
      <c r="AC42">
        <v>10.26</v>
      </c>
      <c r="AD42">
        <v>1.87</v>
      </c>
      <c r="AE42">
        <v>3.71</v>
      </c>
      <c r="AF42">
        <v>0.61</v>
      </c>
      <c r="AG42">
        <v>62.28</v>
      </c>
      <c r="AH42" s="7">
        <v>10.14</v>
      </c>
    </row>
    <row r="43" spans="2:39" x14ac:dyDescent="0.4">
      <c r="B43" s="2">
        <v>46266</v>
      </c>
      <c r="C43" s="2" t="s">
        <v>21</v>
      </c>
      <c r="D43" s="7">
        <v>7</v>
      </c>
      <c r="E43">
        <v>134.4</v>
      </c>
      <c r="F43" s="7">
        <v>77.5</v>
      </c>
      <c r="G43">
        <v>46.4</v>
      </c>
      <c r="H43">
        <v>53</v>
      </c>
      <c r="I43">
        <v>8</v>
      </c>
      <c r="J43">
        <v>119</v>
      </c>
      <c r="K43">
        <v>226</v>
      </c>
      <c r="L43" s="7">
        <v>10237.799999999999</v>
      </c>
      <c r="M43" s="7" t="s">
        <v>19</v>
      </c>
      <c r="N43">
        <v>255.04</v>
      </c>
      <c r="O43"/>
      <c r="P43"/>
      <c r="Q43">
        <v>58.22</v>
      </c>
      <c r="R43"/>
      <c r="S43">
        <v>124.73</v>
      </c>
      <c r="T43">
        <v>32.65</v>
      </c>
      <c r="U43">
        <v>60.97</v>
      </c>
      <c r="V43">
        <v>12.03</v>
      </c>
      <c r="W43">
        <v>16.04</v>
      </c>
      <c r="X43" s="7">
        <v>2.2200000000000002</v>
      </c>
      <c r="Y43" s="15">
        <v>18.29</v>
      </c>
      <c r="AB43" s="23">
        <v>41</v>
      </c>
      <c r="AC43">
        <v>11.06</v>
      </c>
      <c r="AD43">
        <v>2.39</v>
      </c>
      <c r="AE43">
        <v>2.91</v>
      </c>
      <c r="AF43">
        <v>0.44</v>
      </c>
      <c r="AG43">
        <v>63.04</v>
      </c>
      <c r="AH43" s="7">
        <v>11.42</v>
      </c>
    </row>
    <row r="44" spans="2:39" x14ac:dyDescent="0.4">
      <c r="B44" s="2">
        <v>46266</v>
      </c>
      <c r="C44" s="2" t="s">
        <v>21</v>
      </c>
      <c r="D44" s="7">
        <v>8</v>
      </c>
      <c r="E44">
        <v>126.3</v>
      </c>
      <c r="F44" s="7">
        <v>86.8</v>
      </c>
      <c r="G44">
        <v>44.4</v>
      </c>
      <c r="H44">
        <v>66</v>
      </c>
      <c r="I44">
        <v>8</v>
      </c>
      <c r="J44">
        <v>152</v>
      </c>
      <c r="K44">
        <v>281</v>
      </c>
      <c r="L44" s="7">
        <v>10656.13</v>
      </c>
      <c r="M44" s="7" t="s">
        <v>19</v>
      </c>
      <c r="N44">
        <v>262.57</v>
      </c>
      <c r="O44"/>
      <c r="P44"/>
      <c r="Q44">
        <v>64.5</v>
      </c>
      <c r="R44"/>
      <c r="S44">
        <v>134.35</v>
      </c>
      <c r="T44">
        <v>36.94</v>
      </c>
      <c r="U44">
        <v>71.97</v>
      </c>
      <c r="V44">
        <v>13.84</v>
      </c>
      <c r="W44">
        <v>7.92</v>
      </c>
      <c r="X44" s="7">
        <v>0.39</v>
      </c>
      <c r="Y44" s="15">
        <v>55.3</v>
      </c>
      <c r="AB44" s="23">
        <v>39</v>
      </c>
      <c r="AC44">
        <v>9.99</v>
      </c>
      <c r="AD44">
        <v>1.78</v>
      </c>
      <c r="AE44">
        <v>1.1000000000000001</v>
      </c>
      <c r="AF44">
        <v>0.05</v>
      </c>
      <c r="AG44">
        <v>68.8</v>
      </c>
      <c r="AH44" s="7">
        <v>12.4</v>
      </c>
    </row>
    <row r="45" spans="2:39" s="5" customFormat="1" x14ac:dyDescent="0.4">
      <c r="B45" s="6">
        <v>46266</v>
      </c>
      <c r="C45" s="6" t="s">
        <v>21</v>
      </c>
      <c r="D45" s="8">
        <v>9</v>
      </c>
      <c r="E45" s="5">
        <v>118.3</v>
      </c>
      <c r="F45" s="8">
        <v>76.5</v>
      </c>
      <c r="G45" s="5">
        <v>46.7</v>
      </c>
      <c r="H45" s="5">
        <v>41</v>
      </c>
      <c r="I45" s="5">
        <v>5</v>
      </c>
      <c r="J45" s="5">
        <v>125</v>
      </c>
      <c r="K45" s="5">
        <v>257</v>
      </c>
      <c r="L45" s="8">
        <v>7863.31</v>
      </c>
      <c r="M45" s="8" t="s">
        <v>19</v>
      </c>
      <c r="N45" s="5">
        <v>217.26</v>
      </c>
      <c r="Q45" s="5">
        <v>54.24</v>
      </c>
      <c r="S45" s="5">
        <v>130.21</v>
      </c>
      <c r="T45" s="5">
        <v>36.5</v>
      </c>
      <c r="U45" s="5">
        <v>52.88</v>
      </c>
      <c r="V45" s="5">
        <v>9.7200000000000006</v>
      </c>
      <c r="W45" s="5">
        <v>4.5999999999999996</v>
      </c>
      <c r="X45" s="8">
        <v>0.46</v>
      </c>
      <c r="Y45" s="5">
        <v>36.94</v>
      </c>
      <c r="Z45"/>
      <c r="AA45" s="15"/>
      <c r="AB45" s="22">
        <v>43</v>
      </c>
      <c r="AC45" s="5">
        <v>8.86</v>
      </c>
      <c r="AD45" s="5">
        <v>1.48</v>
      </c>
      <c r="AE45" s="5">
        <v>0.77</v>
      </c>
      <c r="AF45" s="5">
        <v>7.0000000000000007E-2</v>
      </c>
      <c r="AG45" s="5">
        <v>47.85</v>
      </c>
      <c r="AH45" s="8">
        <v>8.6300000000000008</v>
      </c>
    </row>
    <row r="46" spans="2:39" x14ac:dyDescent="0.4">
      <c r="B46" s="2">
        <v>46266</v>
      </c>
      <c r="C46" s="2" t="s">
        <v>22</v>
      </c>
      <c r="D46" s="7">
        <v>1</v>
      </c>
      <c r="E46">
        <v>117.6</v>
      </c>
      <c r="F46" s="7">
        <v>79.2</v>
      </c>
      <c r="G46">
        <v>40</v>
      </c>
      <c r="H46">
        <v>44</v>
      </c>
      <c r="I46">
        <v>5</v>
      </c>
      <c r="J46">
        <v>71</v>
      </c>
      <c r="K46">
        <v>183</v>
      </c>
      <c r="L46" s="7">
        <v>4284.67</v>
      </c>
      <c r="M46" s="7" t="s">
        <v>19</v>
      </c>
      <c r="N46">
        <v>96.58</v>
      </c>
      <c r="O46"/>
      <c r="P46"/>
      <c r="Q46">
        <v>53.87</v>
      </c>
      <c r="R46"/>
      <c r="S46">
        <v>84.09</v>
      </c>
      <c r="T46">
        <v>34.950000000000003</v>
      </c>
      <c r="U46">
        <v>23.46</v>
      </c>
      <c r="V46">
        <v>5.62</v>
      </c>
      <c r="W46">
        <v>2.81</v>
      </c>
      <c r="X46" s="7">
        <v>0.35</v>
      </c>
      <c r="Y46" s="15">
        <v>17.510000000000002</v>
      </c>
      <c r="AB46" s="23">
        <v>47</v>
      </c>
      <c r="AC46">
        <v>6.02</v>
      </c>
      <c r="AD46">
        <v>1.46</v>
      </c>
      <c r="AE46">
        <v>0.72</v>
      </c>
      <c r="AF46">
        <v>0.09</v>
      </c>
      <c r="AG46">
        <v>19.53</v>
      </c>
      <c r="AH46" s="7">
        <v>4.42</v>
      </c>
    </row>
    <row r="47" spans="2:39" x14ac:dyDescent="0.4">
      <c r="B47" s="2">
        <v>46266</v>
      </c>
      <c r="C47" s="2" t="s">
        <v>22</v>
      </c>
      <c r="D47" s="7">
        <v>2</v>
      </c>
      <c r="E47">
        <v>128.19999999999999</v>
      </c>
      <c r="F47" s="7">
        <v>78.599999999999994</v>
      </c>
      <c r="G47">
        <v>48.7</v>
      </c>
      <c r="H47">
        <v>45</v>
      </c>
      <c r="I47">
        <v>7</v>
      </c>
      <c r="J47">
        <v>105</v>
      </c>
      <c r="K47">
        <v>143</v>
      </c>
      <c r="L47" s="7">
        <v>4493.9799999999996</v>
      </c>
      <c r="M47" s="7" t="s">
        <v>19</v>
      </c>
      <c r="N47">
        <v>105.92</v>
      </c>
      <c r="O47"/>
      <c r="P47"/>
      <c r="Q47">
        <v>53.05</v>
      </c>
      <c r="R47"/>
      <c r="S47">
        <v>95.94</v>
      </c>
      <c r="T47">
        <v>37.6</v>
      </c>
      <c r="U47">
        <v>33.85</v>
      </c>
      <c r="V47">
        <v>6.78</v>
      </c>
      <c r="W47">
        <v>3.79</v>
      </c>
      <c r="X47" s="7">
        <v>0.44</v>
      </c>
      <c r="Y47" s="15">
        <v>17.68</v>
      </c>
      <c r="AB47" s="23">
        <v>25</v>
      </c>
      <c r="AC47">
        <v>5.9</v>
      </c>
      <c r="AD47">
        <v>1.24</v>
      </c>
      <c r="AE47">
        <v>0.66</v>
      </c>
      <c r="AF47">
        <v>0.08</v>
      </c>
      <c r="AG47">
        <v>31.08</v>
      </c>
      <c r="AH47" s="7">
        <v>5.9</v>
      </c>
    </row>
    <row r="48" spans="2:39" x14ac:dyDescent="0.4">
      <c r="B48" s="2">
        <v>46266</v>
      </c>
      <c r="C48" s="2" t="s">
        <v>22</v>
      </c>
      <c r="D48" s="7">
        <v>3</v>
      </c>
      <c r="E48">
        <v>122.2</v>
      </c>
      <c r="F48" s="7">
        <v>77.2</v>
      </c>
      <c r="G48">
        <v>47.9</v>
      </c>
      <c r="H48">
        <v>52</v>
      </c>
      <c r="I48">
        <v>6</v>
      </c>
      <c r="J48">
        <v>131</v>
      </c>
      <c r="K48">
        <v>256</v>
      </c>
      <c r="L48" s="7">
        <v>4335.66</v>
      </c>
      <c r="M48" s="7" t="s">
        <v>19</v>
      </c>
      <c r="N48">
        <v>127.66</v>
      </c>
      <c r="O48"/>
      <c r="P48"/>
      <c r="Q48">
        <v>74.069999999999993</v>
      </c>
      <c r="R48"/>
      <c r="S48">
        <v>93.52</v>
      </c>
      <c r="T48">
        <v>36.42</v>
      </c>
      <c r="U48">
        <v>41.98</v>
      </c>
      <c r="V48">
        <v>11.3</v>
      </c>
      <c r="W48">
        <v>7.63</v>
      </c>
      <c r="X48" s="7">
        <v>0.99</v>
      </c>
      <c r="Y48" s="15">
        <v>20.170000000000002</v>
      </c>
      <c r="AB48" s="23">
        <v>46</v>
      </c>
      <c r="AC48">
        <v>7.54</v>
      </c>
      <c r="AD48">
        <v>2.0499999999999998</v>
      </c>
      <c r="AE48">
        <v>1.37</v>
      </c>
      <c r="AF48">
        <v>0.18</v>
      </c>
      <c r="AG48">
        <v>40.700000000000003</v>
      </c>
      <c r="AH48" s="7">
        <v>10.06</v>
      </c>
    </row>
    <row r="49" spans="2:34" x14ac:dyDescent="0.4">
      <c r="B49" s="2">
        <v>46266</v>
      </c>
      <c r="C49" s="2" t="s">
        <v>22</v>
      </c>
      <c r="D49" s="7">
        <v>4</v>
      </c>
      <c r="E49">
        <v>128.69999999999999</v>
      </c>
      <c r="F49" s="7">
        <v>74.8</v>
      </c>
      <c r="G49">
        <v>43.3</v>
      </c>
      <c r="H49">
        <v>43</v>
      </c>
      <c r="I49">
        <v>10</v>
      </c>
      <c r="J49">
        <v>102</v>
      </c>
      <c r="K49">
        <v>225</v>
      </c>
      <c r="L49" s="7">
        <v>5427</v>
      </c>
      <c r="M49" s="7" t="s">
        <v>19</v>
      </c>
      <c r="N49">
        <v>93.34</v>
      </c>
      <c r="O49"/>
      <c r="P49"/>
      <c r="Q49">
        <v>42.59</v>
      </c>
      <c r="R49"/>
      <c r="S49">
        <v>78.900000000000006</v>
      </c>
      <c r="T49">
        <v>29.81</v>
      </c>
      <c r="U49">
        <v>35.1</v>
      </c>
      <c r="V49">
        <v>7.03</v>
      </c>
      <c r="W49">
        <v>4.9000000000000004</v>
      </c>
      <c r="X49" s="7">
        <v>0.63</v>
      </c>
      <c r="Y49" s="15">
        <v>16.82</v>
      </c>
      <c r="AB49" s="23">
        <v>45</v>
      </c>
      <c r="AC49">
        <v>7.02</v>
      </c>
      <c r="AD49">
        <v>1.46</v>
      </c>
      <c r="AE49">
        <v>0.98</v>
      </c>
      <c r="AF49">
        <v>0.13</v>
      </c>
      <c r="AG49">
        <v>32</v>
      </c>
      <c r="AH49" s="7">
        <v>6.07</v>
      </c>
    </row>
    <row r="50" spans="2:34" x14ac:dyDescent="0.4">
      <c r="B50" s="2">
        <v>46266</v>
      </c>
      <c r="C50" s="2" t="s">
        <v>22</v>
      </c>
      <c r="D50" s="7">
        <v>5</v>
      </c>
      <c r="E50">
        <v>132.30000000000001</v>
      </c>
      <c r="F50" s="7">
        <v>76.5</v>
      </c>
      <c r="G50">
        <v>45.6</v>
      </c>
      <c r="H50">
        <v>42</v>
      </c>
      <c r="I50">
        <v>6</v>
      </c>
      <c r="J50">
        <v>89</v>
      </c>
      <c r="K50">
        <v>151</v>
      </c>
      <c r="L50" s="7">
        <v>3550.14</v>
      </c>
      <c r="M50" s="7" t="s">
        <v>19</v>
      </c>
      <c r="N50">
        <v>96.19</v>
      </c>
      <c r="O50"/>
      <c r="P50"/>
      <c r="Q50">
        <v>53.2</v>
      </c>
      <c r="R50"/>
      <c r="S50">
        <v>78.739999999999995</v>
      </c>
      <c r="T50">
        <v>32.53</v>
      </c>
      <c r="U50">
        <v>25.14</v>
      </c>
      <c r="V50">
        <v>6</v>
      </c>
      <c r="W50">
        <v>2.72</v>
      </c>
      <c r="X50" s="7">
        <v>0.33</v>
      </c>
      <c r="Y50" s="15">
        <v>14.56</v>
      </c>
      <c r="AB50" s="23">
        <v>39</v>
      </c>
      <c r="AC50">
        <v>6.48</v>
      </c>
      <c r="AD50">
        <v>1.66</v>
      </c>
      <c r="AE50">
        <v>0.7</v>
      </c>
      <c r="AF50">
        <v>0.09</v>
      </c>
      <c r="AG50">
        <v>20.68</v>
      </c>
      <c r="AH50" s="7">
        <v>4.58</v>
      </c>
    </row>
    <row r="51" spans="2:34" x14ac:dyDescent="0.4">
      <c r="B51" s="2">
        <v>46266</v>
      </c>
      <c r="C51" s="2" t="s">
        <v>22</v>
      </c>
      <c r="D51" s="7">
        <v>6</v>
      </c>
      <c r="E51">
        <v>116</v>
      </c>
      <c r="F51" s="7">
        <v>75</v>
      </c>
      <c r="G51">
        <v>42</v>
      </c>
      <c r="H51">
        <v>49</v>
      </c>
      <c r="I51">
        <v>9</v>
      </c>
      <c r="J51">
        <v>90</v>
      </c>
      <c r="K51">
        <v>97</v>
      </c>
      <c r="L51" s="7">
        <v>4269.47</v>
      </c>
      <c r="M51" s="7" t="s">
        <v>19</v>
      </c>
      <c r="N51">
        <v>141.31</v>
      </c>
      <c r="O51"/>
      <c r="P51"/>
      <c r="Q51">
        <v>44.3</v>
      </c>
      <c r="R51"/>
      <c r="S51">
        <v>95.25</v>
      </c>
      <c r="T51">
        <v>31.37</v>
      </c>
      <c r="U51">
        <v>17.18</v>
      </c>
      <c r="V51">
        <v>5.13</v>
      </c>
      <c r="W51">
        <v>4.45</v>
      </c>
      <c r="X51" s="7">
        <v>0.84</v>
      </c>
      <c r="Y51" s="15">
        <v>39.380000000000003</v>
      </c>
      <c r="AB51" s="23">
        <v>42</v>
      </c>
      <c r="AC51">
        <v>7.41</v>
      </c>
      <c r="AD51">
        <v>1.84</v>
      </c>
      <c r="AE51">
        <v>1.92</v>
      </c>
      <c r="AF51">
        <v>0.3</v>
      </c>
      <c r="AG51">
        <v>12.3</v>
      </c>
      <c r="AH51" s="7">
        <v>3.83</v>
      </c>
    </row>
    <row r="52" spans="2:34" x14ac:dyDescent="0.4">
      <c r="B52" s="2">
        <v>46266</v>
      </c>
      <c r="C52" s="2" t="s">
        <v>22</v>
      </c>
      <c r="D52" s="7">
        <v>7</v>
      </c>
      <c r="E52">
        <v>110.7</v>
      </c>
      <c r="F52" s="7">
        <v>67</v>
      </c>
      <c r="G52">
        <v>31.5</v>
      </c>
      <c r="H52">
        <v>38</v>
      </c>
      <c r="I52">
        <v>8</v>
      </c>
      <c r="J52">
        <v>45</v>
      </c>
      <c r="K52">
        <v>72</v>
      </c>
      <c r="L52" s="7">
        <v>5713.99</v>
      </c>
      <c r="M52" s="7" t="s">
        <v>19</v>
      </c>
      <c r="N52">
        <v>155.5</v>
      </c>
      <c r="O52"/>
      <c r="P52"/>
      <c r="Q52">
        <v>50</v>
      </c>
      <c r="R52"/>
      <c r="S52">
        <v>99.05</v>
      </c>
      <c r="T52">
        <v>37.119999999999997</v>
      </c>
      <c r="U52">
        <v>10.02</v>
      </c>
      <c r="V52">
        <v>2.19</v>
      </c>
      <c r="W52">
        <v>1.28</v>
      </c>
      <c r="X52" s="7">
        <v>0.19</v>
      </c>
      <c r="Y52" s="15">
        <v>50.5</v>
      </c>
      <c r="AB52" s="23">
        <v>33</v>
      </c>
      <c r="AC52">
        <v>4.6100000000000003</v>
      </c>
      <c r="AD52">
        <v>0.83</v>
      </c>
      <c r="AE52">
        <v>0.59</v>
      </c>
      <c r="AF52">
        <v>7.0000000000000007E-2</v>
      </c>
      <c r="AG52">
        <v>6.1</v>
      </c>
      <c r="AH52" s="7">
        <v>1.48</v>
      </c>
    </row>
    <row r="53" spans="2:34" x14ac:dyDescent="0.4">
      <c r="B53" s="2">
        <v>46266</v>
      </c>
      <c r="C53" s="2" t="s">
        <v>22</v>
      </c>
      <c r="D53" s="7">
        <v>8</v>
      </c>
      <c r="E53">
        <v>146</v>
      </c>
      <c r="F53" s="7">
        <v>86.4</v>
      </c>
      <c r="G53">
        <v>41.8</v>
      </c>
      <c r="H53">
        <v>27</v>
      </c>
      <c r="I53">
        <v>4</v>
      </c>
      <c r="J53">
        <v>59</v>
      </c>
      <c r="K53">
        <v>98</v>
      </c>
      <c r="L53" s="7">
        <v>6558.73</v>
      </c>
      <c r="M53" s="7" t="s">
        <v>19</v>
      </c>
      <c r="N53">
        <v>136.68</v>
      </c>
      <c r="O53"/>
      <c r="P53"/>
      <c r="Q53">
        <v>39.35</v>
      </c>
      <c r="R53"/>
      <c r="S53">
        <v>86.16</v>
      </c>
      <c r="T53">
        <v>26.8</v>
      </c>
      <c r="U53">
        <v>20.57</v>
      </c>
      <c r="V53">
        <v>3.48</v>
      </c>
      <c r="W53">
        <v>1.92</v>
      </c>
      <c r="X53" s="7">
        <v>0.36</v>
      </c>
      <c r="Y53" s="15">
        <v>18.72</v>
      </c>
      <c r="AB53" s="23">
        <v>34</v>
      </c>
      <c r="AC53">
        <v>7.17</v>
      </c>
      <c r="AD53">
        <v>1.1499999999999999</v>
      </c>
      <c r="AE53">
        <v>0.67</v>
      </c>
      <c r="AF53">
        <v>0.12</v>
      </c>
      <c r="AG53">
        <v>14.65</v>
      </c>
      <c r="AH53" s="7">
        <v>2.57</v>
      </c>
    </row>
    <row r="54" spans="2:34" s="5" customFormat="1" x14ac:dyDescent="0.4">
      <c r="B54" s="6">
        <v>46266</v>
      </c>
      <c r="C54" s="6" t="s">
        <v>22</v>
      </c>
      <c r="D54" s="8">
        <v>9</v>
      </c>
      <c r="E54" s="5">
        <v>121.5</v>
      </c>
      <c r="F54" s="8">
        <v>68</v>
      </c>
      <c r="G54" s="5">
        <v>45.4</v>
      </c>
      <c r="H54" s="5">
        <v>52</v>
      </c>
      <c r="I54" s="5">
        <v>9</v>
      </c>
      <c r="J54" s="5">
        <v>105</v>
      </c>
      <c r="K54" s="5">
        <v>196</v>
      </c>
      <c r="L54" s="8">
        <v>8926.3700000000008</v>
      </c>
      <c r="M54" s="8" t="s">
        <v>19</v>
      </c>
      <c r="N54" s="5">
        <v>160.16</v>
      </c>
      <c r="Q54" s="5">
        <v>49.17</v>
      </c>
      <c r="S54" s="5">
        <v>111.95</v>
      </c>
      <c r="T54" s="5">
        <v>37.799999999999997</v>
      </c>
      <c r="U54" s="5">
        <v>38.54</v>
      </c>
      <c r="V54" s="5">
        <v>7.31</v>
      </c>
      <c r="W54" s="5">
        <v>5.35</v>
      </c>
      <c r="X54" s="8">
        <v>0.69</v>
      </c>
      <c r="Y54" s="5">
        <v>18.12</v>
      </c>
      <c r="Z54"/>
      <c r="AA54" s="15"/>
      <c r="AB54" s="22">
        <v>34</v>
      </c>
      <c r="AC54" s="5">
        <v>6.7</v>
      </c>
      <c r="AD54" s="5">
        <v>1.37</v>
      </c>
      <c r="AE54" s="5">
        <v>0.93</v>
      </c>
      <c r="AF54" s="5">
        <v>0.13</v>
      </c>
      <c r="AG54" s="5">
        <v>36.26</v>
      </c>
      <c r="AH54" s="8">
        <v>6.5</v>
      </c>
    </row>
    <row r="55" spans="2:34" x14ac:dyDescent="0.4">
      <c r="B55" s="2">
        <v>46266</v>
      </c>
      <c r="C55" s="2" t="s">
        <v>23</v>
      </c>
      <c r="D55" s="7">
        <v>1</v>
      </c>
      <c r="E55">
        <v>133.5</v>
      </c>
      <c r="F55" s="7">
        <v>80</v>
      </c>
      <c r="G55">
        <v>43</v>
      </c>
      <c r="H55">
        <v>36</v>
      </c>
      <c r="I55">
        <v>6</v>
      </c>
      <c r="J55">
        <v>62</v>
      </c>
      <c r="K55">
        <v>85</v>
      </c>
      <c r="L55" s="7">
        <v>6909.05</v>
      </c>
      <c r="M55" s="7" t="s">
        <v>19</v>
      </c>
      <c r="N55">
        <v>167.12</v>
      </c>
      <c r="O55"/>
      <c r="P55"/>
      <c r="Q55">
        <v>34.07</v>
      </c>
      <c r="R55"/>
      <c r="S55">
        <v>83.4</v>
      </c>
      <c r="T55">
        <v>21.78</v>
      </c>
      <c r="U55">
        <v>23.61</v>
      </c>
      <c r="V55">
        <v>3.37</v>
      </c>
      <c r="W55">
        <v>1.1000000000000001</v>
      </c>
      <c r="X55" s="7">
        <v>0.11</v>
      </c>
      <c r="Y55">
        <v>11.53</v>
      </c>
      <c r="Z55"/>
      <c r="AB55" s="23">
        <v>30</v>
      </c>
      <c r="AC55">
        <v>8.3699999999999992</v>
      </c>
      <c r="AD55">
        <v>1.27</v>
      </c>
      <c r="AE55">
        <v>0.39</v>
      </c>
      <c r="AF55">
        <v>0.04</v>
      </c>
      <c r="AG55">
        <v>15.95</v>
      </c>
      <c r="AH55" s="7">
        <v>2.17</v>
      </c>
    </row>
    <row r="56" spans="2:34" x14ac:dyDescent="0.4">
      <c r="B56" s="2">
        <v>46266</v>
      </c>
      <c r="C56" s="2" t="s">
        <v>23</v>
      </c>
      <c r="D56" s="7">
        <v>2</v>
      </c>
      <c r="E56">
        <v>112.7</v>
      </c>
      <c r="F56" s="7">
        <v>71.5</v>
      </c>
      <c r="G56">
        <v>44.2</v>
      </c>
      <c r="H56">
        <v>59</v>
      </c>
      <c r="I56">
        <v>8</v>
      </c>
      <c r="J56">
        <v>142</v>
      </c>
      <c r="K56">
        <v>203</v>
      </c>
      <c r="L56" s="7">
        <v>15402.75</v>
      </c>
      <c r="M56" s="7" t="s">
        <v>19</v>
      </c>
      <c r="N56">
        <v>259.77</v>
      </c>
      <c r="O56"/>
      <c r="P56"/>
      <c r="Q56">
        <v>61.91</v>
      </c>
      <c r="R56"/>
      <c r="S56">
        <v>138.49</v>
      </c>
      <c r="T56">
        <v>37.299999999999997</v>
      </c>
      <c r="U56">
        <v>55.51</v>
      </c>
      <c r="V56">
        <v>8.9700000000000006</v>
      </c>
      <c r="W56">
        <v>5.78</v>
      </c>
      <c r="X56" s="7">
        <v>0.67</v>
      </c>
      <c r="Y56">
        <v>15.59</v>
      </c>
      <c r="Z56"/>
      <c r="AB56" s="23">
        <v>38</v>
      </c>
      <c r="AC56">
        <v>10.37</v>
      </c>
      <c r="AD56">
        <v>1.75</v>
      </c>
      <c r="AE56">
        <v>1.08</v>
      </c>
      <c r="AF56">
        <v>0.13</v>
      </c>
      <c r="AG56">
        <v>49.84</v>
      </c>
      <c r="AH56" s="7">
        <v>7.76</v>
      </c>
    </row>
    <row r="57" spans="2:34" x14ac:dyDescent="0.4">
      <c r="B57" s="2">
        <v>46266</v>
      </c>
      <c r="C57" s="2" t="s">
        <v>23</v>
      </c>
      <c r="D57" s="7">
        <v>3</v>
      </c>
      <c r="E57">
        <v>117.3</v>
      </c>
      <c r="F57" s="7">
        <v>77</v>
      </c>
      <c r="G57">
        <v>51.4</v>
      </c>
      <c r="H57">
        <v>59</v>
      </c>
      <c r="I57">
        <v>8</v>
      </c>
      <c r="J57">
        <v>123</v>
      </c>
      <c r="K57">
        <v>169</v>
      </c>
      <c r="L57" s="7">
        <v>8680.56</v>
      </c>
      <c r="M57" s="7" t="s">
        <v>19</v>
      </c>
      <c r="N57">
        <v>237.58</v>
      </c>
      <c r="O57"/>
      <c r="P57"/>
      <c r="Q57">
        <v>48.65</v>
      </c>
      <c r="R57"/>
      <c r="S57">
        <v>130.27000000000001</v>
      </c>
      <c r="T57">
        <v>33.049999999999997</v>
      </c>
      <c r="U57">
        <v>44.93</v>
      </c>
      <c r="V57">
        <v>7.67</v>
      </c>
      <c r="W57">
        <v>7.6</v>
      </c>
      <c r="X57" s="7">
        <v>1.03</v>
      </c>
      <c r="Y57">
        <v>17.329999999999998</v>
      </c>
      <c r="Z57"/>
      <c r="AB57" s="23">
        <v>33</v>
      </c>
      <c r="AC57">
        <v>8.75</v>
      </c>
      <c r="AD57">
        <v>1.57</v>
      </c>
      <c r="AE57">
        <v>1.48</v>
      </c>
      <c r="AF57">
        <v>0.21</v>
      </c>
      <c r="AG57">
        <v>42.3</v>
      </c>
      <c r="AH57" s="7">
        <v>6.92</v>
      </c>
    </row>
    <row r="58" spans="2:34" x14ac:dyDescent="0.4">
      <c r="B58" s="2">
        <v>46266</v>
      </c>
      <c r="C58" s="2" t="s">
        <v>23</v>
      </c>
      <c r="D58" s="7">
        <v>4</v>
      </c>
      <c r="E58">
        <v>130</v>
      </c>
      <c r="F58" s="7">
        <v>74</v>
      </c>
      <c r="G58">
        <v>37.799999999999997</v>
      </c>
      <c r="H58">
        <v>35</v>
      </c>
      <c r="I58">
        <v>5</v>
      </c>
      <c r="J58">
        <v>86</v>
      </c>
      <c r="K58">
        <v>151</v>
      </c>
      <c r="L58" s="7">
        <v>7969.77</v>
      </c>
      <c r="M58" s="7" t="s">
        <v>19</v>
      </c>
      <c r="N58">
        <v>208.65</v>
      </c>
      <c r="O58"/>
      <c r="P58"/>
      <c r="Q58">
        <v>44.36</v>
      </c>
      <c r="R58"/>
      <c r="S58">
        <v>158.9</v>
      </c>
      <c r="T58">
        <v>40.14</v>
      </c>
      <c r="U58">
        <v>34.380000000000003</v>
      </c>
      <c r="V58">
        <v>5.75</v>
      </c>
      <c r="W58">
        <v>5.04</v>
      </c>
      <c r="X58" s="7">
        <v>0.71</v>
      </c>
      <c r="Y58">
        <v>12.45</v>
      </c>
      <c r="Z58"/>
      <c r="AB58" s="23">
        <v>39</v>
      </c>
      <c r="AC58">
        <v>8.8699999999999992</v>
      </c>
      <c r="AD58">
        <v>1.54</v>
      </c>
      <c r="AE58">
        <v>1.3</v>
      </c>
      <c r="AF58">
        <v>0.19</v>
      </c>
      <c r="AG58">
        <v>29.25</v>
      </c>
      <c r="AH58" s="7">
        <v>4.7300000000000004</v>
      </c>
    </row>
    <row r="59" spans="2:34" x14ac:dyDescent="0.4">
      <c r="B59" s="2">
        <v>46266</v>
      </c>
      <c r="C59" s="2" t="s">
        <v>23</v>
      </c>
      <c r="D59" s="7">
        <v>5</v>
      </c>
      <c r="E59">
        <v>115</v>
      </c>
      <c r="F59" s="7">
        <v>77.8</v>
      </c>
      <c r="G59">
        <v>51.9</v>
      </c>
      <c r="H59">
        <v>39</v>
      </c>
      <c r="I59">
        <v>6</v>
      </c>
      <c r="J59">
        <v>54</v>
      </c>
      <c r="K59">
        <v>85</v>
      </c>
      <c r="L59" s="7">
        <v>8606.93</v>
      </c>
      <c r="M59" s="7" t="s">
        <v>19</v>
      </c>
      <c r="N59">
        <v>203.66</v>
      </c>
      <c r="O59"/>
      <c r="P59"/>
      <c r="Q59">
        <v>38.32</v>
      </c>
      <c r="R59"/>
      <c r="S59">
        <v>117.29</v>
      </c>
      <c r="T59">
        <v>26.51</v>
      </c>
      <c r="U59">
        <v>20.09</v>
      </c>
      <c r="V59">
        <v>3.21</v>
      </c>
      <c r="W59">
        <v>3.85</v>
      </c>
      <c r="X59" s="7">
        <v>0.51</v>
      </c>
      <c r="Y59">
        <v>10.96</v>
      </c>
      <c r="Z59"/>
      <c r="AB59" s="23">
        <v>35</v>
      </c>
      <c r="AC59">
        <v>8.24</v>
      </c>
      <c r="AD59">
        <v>1.44</v>
      </c>
      <c r="AE59">
        <v>1.58</v>
      </c>
      <c r="AF59">
        <v>0.23</v>
      </c>
      <c r="AG59">
        <v>14.12</v>
      </c>
      <c r="AH59" s="7">
        <v>2.0499999999999998</v>
      </c>
    </row>
    <row r="60" spans="2:34" s="5" customFormat="1" x14ac:dyDescent="0.4">
      <c r="B60" s="6">
        <v>46266</v>
      </c>
      <c r="C60" s="6" t="s">
        <v>23</v>
      </c>
      <c r="D60" s="8">
        <v>6</v>
      </c>
      <c r="E60" s="5">
        <v>134.80000000000001</v>
      </c>
      <c r="F60" s="8">
        <v>82.4</v>
      </c>
      <c r="G60" s="5">
        <v>45.1</v>
      </c>
      <c r="H60" s="5">
        <v>58</v>
      </c>
      <c r="I60" s="5">
        <v>8</v>
      </c>
      <c r="J60" s="5">
        <v>125</v>
      </c>
      <c r="K60" s="5">
        <v>232</v>
      </c>
      <c r="L60" s="8">
        <v>10000.11</v>
      </c>
      <c r="M60" s="8" t="s">
        <v>19</v>
      </c>
      <c r="N60" s="5">
        <v>149.63</v>
      </c>
      <c r="Q60" s="5">
        <v>63.12</v>
      </c>
      <c r="S60" s="5">
        <v>146.29</v>
      </c>
      <c r="T60" s="5">
        <v>42.59</v>
      </c>
      <c r="U60" s="5">
        <v>61.57</v>
      </c>
      <c r="V60" s="5">
        <v>11.81</v>
      </c>
      <c r="W60" s="5">
        <v>12.69</v>
      </c>
      <c r="X60" s="8">
        <v>1.59</v>
      </c>
      <c r="Y60" s="5">
        <v>31.53</v>
      </c>
      <c r="Z60"/>
      <c r="AA60" s="15"/>
      <c r="AB60" s="22">
        <v>39</v>
      </c>
      <c r="AC60" s="5">
        <v>10.33</v>
      </c>
      <c r="AD60" s="5">
        <v>2.0099999999999998</v>
      </c>
      <c r="AE60" s="5">
        <v>2.13</v>
      </c>
      <c r="AF60" s="5">
        <v>0.27</v>
      </c>
      <c r="AG60" s="5">
        <v>61.8</v>
      </c>
      <c r="AH60" s="8">
        <v>11.12</v>
      </c>
    </row>
    <row r="61" spans="2:34" x14ac:dyDescent="0.4">
      <c r="B61" s="2">
        <v>46266</v>
      </c>
      <c r="C61" s="2" t="s">
        <v>24</v>
      </c>
      <c r="D61" s="7">
        <v>1</v>
      </c>
      <c r="E61">
        <v>138.1</v>
      </c>
      <c r="F61" s="7">
        <v>85</v>
      </c>
      <c r="G61">
        <v>43.8</v>
      </c>
      <c r="H61">
        <v>56</v>
      </c>
      <c r="I61">
        <v>12</v>
      </c>
      <c r="J61">
        <v>150</v>
      </c>
      <c r="K61">
        <v>271</v>
      </c>
      <c r="L61" s="7">
        <v>7500.64</v>
      </c>
      <c r="M61" s="7" t="s">
        <v>19</v>
      </c>
      <c r="N61">
        <v>155.63999999999999</v>
      </c>
      <c r="O61"/>
      <c r="P61"/>
      <c r="Q61">
        <v>67.64</v>
      </c>
      <c r="R61"/>
      <c r="S61">
        <v>135.21</v>
      </c>
      <c r="T61">
        <v>50.42</v>
      </c>
      <c r="U61">
        <v>69.75</v>
      </c>
      <c r="V61">
        <v>12.61</v>
      </c>
      <c r="W61">
        <v>8.5500000000000007</v>
      </c>
      <c r="X61" s="7">
        <v>1.2</v>
      </c>
      <c r="Y61">
        <v>25.57</v>
      </c>
      <c r="Z61"/>
      <c r="AB61" s="23">
        <v>33</v>
      </c>
      <c r="AC61">
        <v>8.48</v>
      </c>
      <c r="AD61">
        <v>1.58</v>
      </c>
      <c r="AE61">
        <v>1.04</v>
      </c>
      <c r="AF61">
        <v>0.15</v>
      </c>
      <c r="AG61">
        <v>68.78</v>
      </c>
      <c r="AH61" s="7">
        <v>12.08</v>
      </c>
    </row>
    <row r="62" spans="2:34" x14ac:dyDescent="0.4">
      <c r="B62" s="2">
        <v>46266</v>
      </c>
      <c r="C62" s="2" t="s">
        <v>24</v>
      </c>
      <c r="D62" s="7">
        <v>2</v>
      </c>
      <c r="E62">
        <v>129.80000000000001</v>
      </c>
      <c r="F62" s="7">
        <v>76</v>
      </c>
      <c r="G62">
        <v>43.3</v>
      </c>
      <c r="H62">
        <v>37</v>
      </c>
      <c r="I62">
        <v>6</v>
      </c>
      <c r="J62">
        <v>87</v>
      </c>
      <c r="K62">
        <v>136</v>
      </c>
      <c r="L62" s="7">
        <v>6704.41</v>
      </c>
      <c r="M62" s="7" t="s">
        <v>19</v>
      </c>
      <c r="N62">
        <v>138.72</v>
      </c>
      <c r="O62"/>
      <c r="P62"/>
      <c r="Q62">
        <v>26.65</v>
      </c>
      <c r="R62"/>
      <c r="S62">
        <v>89.49</v>
      </c>
      <c r="T62">
        <v>21.5</v>
      </c>
      <c r="U62">
        <v>36.29</v>
      </c>
      <c r="V62">
        <v>5.96</v>
      </c>
      <c r="W62">
        <v>4.18</v>
      </c>
      <c r="X62" s="7">
        <v>0.49</v>
      </c>
      <c r="Y62">
        <v>11.08</v>
      </c>
      <c r="Z62"/>
      <c r="AB62" s="23">
        <v>30</v>
      </c>
      <c r="AC62">
        <v>7.99</v>
      </c>
      <c r="AD62">
        <v>1.35</v>
      </c>
      <c r="AE62">
        <v>0.92</v>
      </c>
      <c r="AF62">
        <v>0.11</v>
      </c>
      <c r="AG62">
        <v>31.56</v>
      </c>
      <c r="AH62" s="7">
        <v>4.99</v>
      </c>
    </row>
    <row r="63" spans="2:34" x14ac:dyDescent="0.4">
      <c r="B63" s="2">
        <v>46266</v>
      </c>
      <c r="C63" s="2" t="s">
        <v>24</v>
      </c>
      <c r="D63" s="7">
        <v>3</v>
      </c>
      <c r="E63">
        <v>138.5</v>
      </c>
      <c r="F63" s="7">
        <v>80</v>
      </c>
      <c r="G63">
        <v>41.6</v>
      </c>
      <c r="H63">
        <v>51</v>
      </c>
      <c r="I63">
        <v>5</v>
      </c>
      <c r="J63">
        <v>101</v>
      </c>
      <c r="K63">
        <v>188</v>
      </c>
      <c r="L63" s="7">
        <v>7668.31</v>
      </c>
      <c r="M63" s="7" t="s">
        <v>19</v>
      </c>
      <c r="N63">
        <v>166.37</v>
      </c>
      <c r="O63"/>
      <c r="P63"/>
      <c r="Q63">
        <v>57.79</v>
      </c>
      <c r="R63"/>
      <c r="S63">
        <v>119.85</v>
      </c>
      <c r="T63">
        <v>41.71</v>
      </c>
      <c r="U63">
        <v>44.63</v>
      </c>
      <c r="V63">
        <v>7.75</v>
      </c>
      <c r="W63">
        <v>3.89</v>
      </c>
      <c r="X63" s="7">
        <v>0.46</v>
      </c>
      <c r="Y63">
        <v>30.13</v>
      </c>
      <c r="Z63"/>
      <c r="AB63" s="23">
        <v>41</v>
      </c>
      <c r="AC63">
        <v>9.75</v>
      </c>
      <c r="AD63">
        <v>1.67</v>
      </c>
      <c r="AE63">
        <v>0.85</v>
      </c>
      <c r="AF63">
        <v>0.1</v>
      </c>
      <c r="AG63">
        <v>37.92</v>
      </c>
      <c r="AH63" s="7">
        <v>6.44</v>
      </c>
    </row>
    <row r="64" spans="2:34" x14ac:dyDescent="0.4">
      <c r="B64" s="2">
        <v>46266</v>
      </c>
      <c r="C64" s="2" t="s">
        <v>24</v>
      </c>
      <c r="D64" s="7">
        <v>4</v>
      </c>
      <c r="E64">
        <v>117</v>
      </c>
      <c r="F64" s="7">
        <v>74</v>
      </c>
      <c r="G64">
        <v>48.7</v>
      </c>
      <c r="H64">
        <v>45</v>
      </c>
      <c r="I64">
        <v>5</v>
      </c>
      <c r="J64">
        <v>114</v>
      </c>
      <c r="K64">
        <v>191</v>
      </c>
      <c r="L64" s="7">
        <v>9107.7000000000007</v>
      </c>
      <c r="M64" s="7" t="s">
        <v>19</v>
      </c>
      <c r="N64">
        <v>203.81</v>
      </c>
      <c r="O64"/>
      <c r="P64"/>
      <c r="Q64">
        <v>46.72</v>
      </c>
      <c r="R64"/>
      <c r="S64">
        <v>133.34</v>
      </c>
      <c r="T64">
        <v>33.47</v>
      </c>
      <c r="U64">
        <v>46.58</v>
      </c>
      <c r="V64">
        <v>8.39</v>
      </c>
      <c r="W64">
        <v>7.72</v>
      </c>
      <c r="X64" s="7">
        <v>1.1200000000000001</v>
      </c>
      <c r="Y64">
        <v>23.22</v>
      </c>
      <c r="Z64"/>
      <c r="AB64" s="23">
        <v>30</v>
      </c>
      <c r="AC64">
        <v>7.3</v>
      </c>
      <c r="AD64">
        <v>1.43</v>
      </c>
      <c r="AE64">
        <v>1.21</v>
      </c>
      <c r="AF64">
        <v>0.19</v>
      </c>
      <c r="AG64">
        <v>45.79</v>
      </c>
      <c r="AH64" s="7">
        <v>7.89</v>
      </c>
    </row>
    <row r="65" spans="2:42" x14ac:dyDescent="0.4">
      <c r="B65" s="2">
        <v>46266</v>
      </c>
      <c r="C65" s="2" t="s">
        <v>24</v>
      </c>
      <c r="D65" s="7">
        <v>5</v>
      </c>
      <c r="E65">
        <v>133.1</v>
      </c>
      <c r="F65" s="7">
        <v>77.3</v>
      </c>
      <c r="G65">
        <v>39.1</v>
      </c>
      <c r="H65">
        <v>37</v>
      </c>
      <c r="I65">
        <v>7</v>
      </c>
      <c r="J65">
        <v>53</v>
      </c>
      <c r="K65">
        <v>117</v>
      </c>
      <c r="L65" s="7">
        <v>6956.67</v>
      </c>
      <c r="M65" s="7" t="s">
        <v>19</v>
      </c>
      <c r="N65">
        <v>109.16</v>
      </c>
      <c r="O65"/>
      <c r="P65"/>
      <c r="Q65">
        <v>53.11</v>
      </c>
      <c r="R65"/>
      <c r="S65">
        <v>108.38</v>
      </c>
      <c r="T65">
        <v>32.97</v>
      </c>
      <c r="U65">
        <v>22.85</v>
      </c>
      <c r="V65">
        <v>4.24</v>
      </c>
      <c r="W65">
        <v>2</v>
      </c>
      <c r="X65" s="7">
        <v>0.21</v>
      </c>
      <c r="Y65">
        <v>21.02</v>
      </c>
      <c r="Z65"/>
      <c r="AB65" s="23">
        <v>46</v>
      </c>
      <c r="AC65">
        <v>9.02</v>
      </c>
      <c r="AD65">
        <v>1.63</v>
      </c>
      <c r="AE65">
        <v>0.79</v>
      </c>
      <c r="AF65">
        <v>0.08</v>
      </c>
      <c r="AG65">
        <v>15.04</v>
      </c>
      <c r="AH65" s="7">
        <v>2.74</v>
      </c>
    </row>
    <row r="66" spans="2:42" s="5" customFormat="1" x14ac:dyDescent="0.4">
      <c r="B66" s="6">
        <v>46266</v>
      </c>
      <c r="C66" s="6" t="s">
        <v>24</v>
      </c>
      <c r="D66" s="8">
        <v>6</v>
      </c>
      <c r="E66" s="5">
        <v>128.5</v>
      </c>
      <c r="F66" s="8">
        <v>81.8</v>
      </c>
      <c r="G66" s="5">
        <v>46</v>
      </c>
      <c r="H66" s="5">
        <v>44</v>
      </c>
      <c r="I66" s="5">
        <v>5</v>
      </c>
      <c r="J66" s="5">
        <v>91</v>
      </c>
      <c r="K66" s="5">
        <v>180</v>
      </c>
      <c r="L66" s="8">
        <v>5158.33</v>
      </c>
      <c r="M66" s="8" t="s">
        <v>19</v>
      </c>
      <c r="N66" s="5">
        <v>110.64</v>
      </c>
      <c r="Q66" s="5">
        <v>47.67</v>
      </c>
      <c r="S66" s="5">
        <v>101.47</v>
      </c>
      <c r="T66" s="5">
        <v>35.69</v>
      </c>
      <c r="U66" s="5">
        <v>44.9</v>
      </c>
      <c r="V66" s="5">
        <v>7.75</v>
      </c>
      <c r="W66" s="5">
        <v>2.19</v>
      </c>
      <c r="X66" s="8">
        <v>0.32</v>
      </c>
      <c r="Y66" s="5">
        <v>28.06</v>
      </c>
      <c r="Z66"/>
      <c r="AA66" s="15"/>
      <c r="AB66" s="22">
        <v>37</v>
      </c>
      <c r="AC66" s="5">
        <v>9.2200000000000006</v>
      </c>
      <c r="AD66" s="5">
        <v>1.45</v>
      </c>
      <c r="AE66" s="5">
        <v>0.45</v>
      </c>
      <c r="AF66" s="5">
        <v>0.06</v>
      </c>
      <c r="AG66" s="5">
        <v>37.42</v>
      </c>
      <c r="AH66" s="8">
        <v>6.56</v>
      </c>
      <c r="AM66" s="22"/>
    </row>
    <row r="67" spans="2:42" x14ac:dyDescent="0.4">
      <c r="B67" s="20">
        <v>46301</v>
      </c>
      <c r="C67" s="2" t="s">
        <v>18</v>
      </c>
      <c r="D67" s="7">
        <v>1</v>
      </c>
      <c r="E67">
        <v>135</v>
      </c>
      <c r="F67" s="7">
        <v>75.5</v>
      </c>
      <c r="G67">
        <v>54.1</v>
      </c>
      <c r="H67">
        <v>39</v>
      </c>
      <c r="I67">
        <v>7</v>
      </c>
      <c r="J67">
        <v>112</v>
      </c>
      <c r="K67" s="15">
        <f>J67*AB67/20</f>
        <v>224</v>
      </c>
      <c r="L67" s="7">
        <f>4736.7</f>
        <v>4736.7</v>
      </c>
      <c r="M67" s="7" t="s">
        <v>41</v>
      </c>
      <c r="N67" s="15">
        <f>120.49</f>
        <v>120.49</v>
      </c>
      <c r="O67" s="15">
        <v>1.44</v>
      </c>
      <c r="P67" s="15">
        <v>1.48</v>
      </c>
      <c r="Q67">
        <v>34.67</v>
      </c>
      <c r="R67" s="15">
        <v>0.41</v>
      </c>
      <c r="S67" s="15">
        <f>62.57</f>
        <v>62.57</v>
      </c>
      <c r="T67">
        <v>18.079999999999998</v>
      </c>
      <c r="U67" s="27">
        <f>AC67+AM67</f>
        <v>62.691372151898733</v>
      </c>
      <c r="V67" s="27">
        <f>AD67+AN67</f>
        <v>14.807494145199065</v>
      </c>
      <c r="W67" s="27">
        <f>AE67+AO67</f>
        <v>115.58862784810127</v>
      </c>
      <c r="X67" s="28">
        <f>AF67+AP67</f>
        <v>42.672505854800939</v>
      </c>
      <c r="Y67">
        <v>10.19</v>
      </c>
      <c r="Z67" s="15">
        <f>(O67-R67)/(P67-R67)</f>
        <v>0.96261682242990654</v>
      </c>
      <c r="AA67" s="15">
        <f>AVERAGE(Z67:Z75)</f>
        <v>0.9064187268653876</v>
      </c>
      <c r="AB67" s="23">
        <v>40</v>
      </c>
      <c r="AC67">
        <v>13.89</v>
      </c>
      <c r="AD67">
        <v>3.3</v>
      </c>
      <c r="AE67">
        <v>25.61</v>
      </c>
      <c r="AF67">
        <v>9.51</v>
      </c>
      <c r="AG67">
        <v>138.78</v>
      </c>
      <c r="AH67" s="26">
        <v>44.67</v>
      </c>
      <c r="AI67" s="3">
        <f>AD67/(AD67+AF67)</f>
        <v>0.2576112412177986</v>
      </c>
      <c r="AJ67" s="3">
        <f>AF67/(AD67+AF67)</f>
        <v>0.74238875878220145</v>
      </c>
      <c r="AK67" s="3">
        <f>AH67*AI67</f>
        <v>11.507494145199065</v>
      </c>
      <c r="AL67" s="3">
        <f>AH67*AJ67</f>
        <v>33.162505854800941</v>
      </c>
      <c r="AM67" s="3">
        <v>48.801372151898732</v>
      </c>
      <c r="AN67" s="3">
        <v>11.507494145199065</v>
      </c>
      <c r="AO67" s="3">
        <v>89.978627848101269</v>
      </c>
      <c r="AP67" s="3">
        <v>33.162505854800941</v>
      </c>
    </row>
    <row r="68" spans="2:42" x14ac:dyDescent="0.4">
      <c r="B68" s="20">
        <v>46301</v>
      </c>
      <c r="C68" s="2" t="s">
        <v>18</v>
      </c>
      <c r="D68" s="7">
        <v>2</v>
      </c>
      <c r="E68">
        <v>124</v>
      </c>
      <c r="F68" s="7">
        <v>112.5</v>
      </c>
      <c r="G68">
        <v>42.4</v>
      </c>
      <c r="H68">
        <v>43</v>
      </c>
      <c r="I68">
        <v>7</v>
      </c>
      <c r="J68">
        <v>209</v>
      </c>
      <c r="K68" s="15">
        <f t="shared" ref="K68:K114" si="0">J68*AB68/20</f>
        <v>418</v>
      </c>
      <c r="L68" s="7">
        <f>4884.88</f>
        <v>4884.88</v>
      </c>
      <c r="M68" s="7" t="s">
        <v>41</v>
      </c>
      <c r="N68" s="15">
        <f>138.65</f>
        <v>138.65</v>
      </c>
      <c r="O68" s="15">
        <v>2.69</v>
      </c>
      <c r="P68" s="15">
        <v>2.85</v>
      </c>
      <c r="Q68">
        <v>45.82</v>
      </c>
      <c r="R68" s="15">
        <v>0.83</v>
      </c>
      <c r="S68" s="15">
        <f>124.57</f>
        <v>124.57</v>
      </c>
      <c r="T68">
        <v>37.090000000000003</v>
      </c>
      <c r="U68" s="27">
        <f t="shared" ref="U68:U114" si="1">AC68+AM68</f>
        <v>128.10358995358993</v>
      </c>
      <c r="V68" s="27">
        <f t="shared" ref="V68:V114" si="2">AD68+AN68</f>
        <v>30.749286898839138</v>
      </c>
      <c r="W68" s="27">
        <f t="shared" ref="W68:W114" si="3">AE68+AO68</f>
        <v>237.06641004641006</v>
      </c>
      <c r="X68" s="28">
        <f t="shared" ref="X68:X114" si="4">AF68+AP68</f>
        <v>88.490713101160864</v>
      </c>
      <c r="Y68">
        <v>57.56</v>
      </c>
      <c r="Z68" s="15">
        <f t="shared" ref="Z68:Z114" si="5">(O68-R68)/(P68-R68)</f>
        <v>0.92079207920792072</v>
      </c>
      <c r="AB68" s="23">
        <v>40</v>
      </c>
      <c r="AC68">
        <v>12.85</v>
      </c>
      <c r="AD68">
        <v>3.11</v>
      </c>
      <c r="AE68">
        <v>23.78</v>
      </c>
      <c r="AF68">
        <v>8.9499999999999993</v>
      </c>
      <c r="AG68">
        <v>328.54</v>
      </c>
      <c r="AH68" s="24">
        <v>107.18</v>
      </c>
      <c r="AI68" s="3">
        <f t="shared" ref="AI68:AI114" si="6">AD68/(AD68+AF68)</f>
        <v>0.25787728026533996</v>
      </c>
      <c r="AJ68" s="3">
        <f t="shared" ref="AJ68:AJ114" si="7">AF68/(AD68+AF68)</f>
        <v>0.74212271973466004</v>
      </c>
      <c r="AK68" s="3">
        <f t="shared" ref="AK68:AK114" si="8">AH68*AI68</f>
        <v>27.639286898839138</v>
      </c>
      <c r="AL68" s="3">
        <f t="shared" ref="AL68:AL114" si="9">AH68*AJ68</f>
        <v>79.540713101160861</v>
      </c>
      <c r="AM68" s="3">
        <v>115.25358995358994</v>
      </c>
      <c r="AN68" s="3">
        <v>27.639286898839138</v>
      </c>
      <c r="AO68" s="3">
        <v>213.28641004641005</v>
      </c>
      <c r="AP68" s="3">
        <v>79.540713101160861</v>
      </c>
    </row>
    <row r="69" spans="2:42" x14ac:dyDescent="0.4">
      <c r="B69" s="20">
        <v>46301</v>
      </c>
      <c r="C69" s="2" t="s">
        <v>18</v>
      </c>
      <c r="D69" s="7">
        <v>3</v>
      </c>
      <c r="E69">
        <v>131</v>
      </c>
      <c r="F69" s="7">
        <v>70</v>
      </c>
      <c r="G69">
        <v>41.4</v>
      </c>
      <c r="H69">
        <v>34</v>
      </c>
      <c r="I69">
        <v>5</v>
      </c>
      <c r="J69">
        <v>44</v>
      </c>
      <c r="K69" s="15">
        <f t="shared" si="0"/>
        <v>88</v>
      </c>
      <c r="L69" s="7">
        <v>4996.07</v>
      </c>
      <c r="M69" s="7" t="s">
        <v>40</v>
      </c>
      <c r="N69">
        <v>127.29</v>
      </c>
      <c r="O69">
        <v>2.25</v>
      </c>
      <c r="P69">
        <v>2.41</v>
      </c>
      <c r="Q69">
        <v>33.119999999999997</v>
      </c>
      <c r="R69" s="15">
        <v>0.66</v>
      </c>
      <c r="S69">
        <v>77.62</v>
      </c>
      <c r="T69">
        <v>21.45</v>
      </c>
      <c r="U69" s="27">
        <f t="shared" si="1"/>
        <v>20.602640394088674</v>
      </c>
      <c r="V69" s="27">
        <f t="shared" si="2"/>
        <v>4.9706209150326792</v>
      </c>
      <c r="W69" s="27">
        <f t="shared" si="3"/>
        <v>36.637359605911328</v>
      </c>
      <c r="X69" s="28">
        <f t="shared" si="4"/>
        <v>12.119379084967321</v>
      </c>
      <c r="Y69">
        <v>8.07</v>
      </c>
      <c r="Z69" s="15">
        <f t="shared" si="5"/>
        <v>0.90857142857142847</v>
      </c>
      <c r="AB69" s="23">
        <v>40</v>
      </c>
      <c r="AC69">
        <v>10.96</v>
      </c>
      <c r="AD69">
        <v>2.67</v>
      </c>
      <c r="AE69">
        <v>19.489999999999998</v>
      </c>
      <c r="AF69">
        <v>6.51</v>
      </c>
      <c r="AG69">
        <v>26.79</v>
      </c>
      <c r="AH69" s="24">
        <v>7.91</v>
      </c>
      <c r="AI69" s="3">
        <f t="shared" si="6"/>
        <v>0.2908496732026144</v>
      </c>
      <c r="AJ69" s="3">
        <f t="shared" si="7"/>
        <v>0.70915032679738566</v>
      </c>
      <c r="AK69" s="3">
        <f t="shared" si="8"/>
        <v>2.3006209150326797</v>
      </c>
      <c r="AL69" s="3">
        <f t="shared" si="9"/>
        <v>5.6093790849673208</v>
      </c>
      <c r="AM69" s="3">
        <v>9.6426403940886711</v>
      </c>
      <c r="AN69" s="3">
        <v>2.3006209150326797</v>
      </c>
      <c r="AO69" s="3">
        <v>17.14735960591133</v>
      </c>
      <c r="AP69" s="3">
        <v>5.6093790849673208</v>
      </c>
    </row>
    <row r="70" spans="2:42" x14ac:dyDescent="0.4">
      <c r="B70" s="20">
        <v>46301</v>
      </c>
      <c r="C70" s="2" t="s">
        <v>18</v>
      </c>
      <c r="D70" s="7">
        <v>4</v>
      </c>
      <c r="E70">
        <v>122</v>
      </c>
      <c r="F70" s="7">
        <v>69.5</v>
      </c>
      <c r="G70">
        <v>51.7</v>
      </c>
      <c r="H70">
        <v>42</v>
      </c>
      <c r="I70">
        <v>10</v>
      </c>
      <c r="J70">
        <v>165</v>
      </c>
      <c r="K70" s="15">
        <f t="shared" si="0"/>
        <v>404.25</v>
      </c>
      <c r="L70" s="7">
        <f>3936.12</f>
        <v>3936.12</v>
      </c>
      <c r="M70" s="7" t="s">
        <v>40</v>
      </c>
      <c r="N70" s="15">
        <f>96.36</f>
        <v>96.36</v>
      </c>
      <c r="O70">
        <v>3.34</v>
      </c>
      <c r="P70">
        <v>3.54</v>
      </c>
      <c r="Q70">
        <v>52.59</v>
      </c>
      <c r="R70" s="15">
        <v>1.02</v>
      </c>
      <c r="S70">
        <v>111.72</v>
      </c>
      <c r="T70">
        <v>37.049999999999997</v>
      </c>
      <c r="U70" s="27">
        <f t="shared" si="1"/>
        <v>99.785666368515223</v>
      </c>
      <c r="V70" s="27">
        <f t="shared" si="2"/>
        <v>26.417028301886791</v>
      </c>
      <c r="W70" s="27">
        <f t="shared" si="3"/>
        <v>179.46433363148481</v>
      </c>
      <c r="X70" s="28">
        <f t="shared" si="4"/>
        <v>65.3929716981132</v>
      </c>
      <c r="Y70">
        <v>23.89</v>
      </c>
      <c r="Z70" s="15">
        <f t="shared" si="5"/>
        <v>0.92063492063492058</v>
      </c>
      <c r="AB70" s="23">
        <v>49</v>
      </c>
      <c r="AC70">
        <v>15.98</v>
      </c>
      <c r="AD70">
        <v>4.2699999999999996</v>
      </c>
      <c r="AE70">
        <v>28.74</v>
      </c>
      <c r="AF70">
        <v>10.57</v>
      </c>
      <c r="AG70">
        <v>234.53</v>
      </c>
      <c r="AH70" s="24">
        <v>76.97</v>
      </c>
      <c r="AI70" s="3">
        <f t="shared" si="6"/>
        <v>0.28773584905660377</v>
      </c>
      <c r="AJ70" s="3">
        <f t="shared" si="7"/>
        <v>0.71226415094339623</v>
      </c>
      <c r="AK70" s="3">
        <f t="shared" si="8"/>
        <v>22.147028301886792</v>
      </c>
      <c r="AL70" s="3">
        <f t="shared" si="9"/>
        <v>54.822971698113207</v>
      </c>
      <c r="AM70" s="3">
        <v>83.805666368515219</v>
      </c>
      <c r="AN70" s="3">
        <v>22.147028301886792</v>
      </c>
      <c r="AO70" s="3">
        <v>150.7243336314848</v>
      </c>
      <c r="AP70" s="3">
        <v>54.822971698113207</v>
      </c>
    </row>
    <row r="71" spans="2:42" x14ac:dyDescent="0.4">
      <c r="B71" s="20">
        <v>46301</v>
      </c>
      <c r="C71" s="2" t="s">
        <v>18</v>
      </c>
      <c r="D71" s="7">
        <v>5</v>
      </c>
      <c r="E71">
        <v>125</v>
      </c>
      <c r="F71" s="7">
        <v>77.5</v>
      </c>
      <c r="G71">
        <v>47.9</v>
      </c>
      <c r="H71">
        <v>43</v>
      </c>
      <c r="I71">
        <v>7</v>
      </c>
      <c r="J71">
        <v>163</v>
      </c>
      <c r="K71" s="15">
        <f t="shared" si="0"/>
        <v>334.15</v>
      </c>
      <c r="L71" s="7">
        <f>7140.06</f>
        <v>7140.06</v>
      </c>
      <c r="M71" s="7" t="s">
        <v>40</v>
      </c>
      <c r="N71" s="15">
        <f>199.55</f>
        <v>199.55</v>
      </c>
      <c r="O71">
        <v>2.4500000000000002</v>
      </c>
      <c r="P71">
        <v>2.72</v>
      </c>
      <c r="Q71">
        <v>53.69</v>
      </c>
      <c r="R71" s="15">
        <v>0.87</v>
      </c>
      <c r="S71">
        <v>151.18</v>
      </c>
      <c r="T71">
        <v>40.5</v>
      </c>
      <c r="U71" s="27">
        <f t="shared" si="1"/>
        <v>117.25573007288972</v>
      </c>
      <c r="V71" s="27">
        <f t="shared" si="2"/>
        <v>27.608490974729236</v>
      </c>
      <c r="W71" s="27">
        <f t="shared" si="3"/>
        <v>185.71426992711025</v>
      </c>
      <c r="X71" s="28">
        <f t="shared" si="4"/>
        <v>68.951509025270752</v>
      </c>
      <c r="Y71">
        <v>13.05</v>
      </c>
      <c r="Z71" s="15">
        <f t="shared" si="5"/>
        <v>0.8540540540540541</v>
      </c>
      <c r="AB71" s="23">
        <v>41</v>
      </c>
      <c r="AC71">
        <v>16.46</v>
      </c>
      <c r="AD71">
        <v>3.96</v>
      </c>
      <c r="AE71">
        <v>26.07</v>
      </c>
      <c r="AF71">
        <v>9.89</v>
      </c>
      <c r="AG71">
        <v>260.44</v>
      </c>
      <c r="AH71" s="24">
        <v>82.71</v>
      </c>
      <c r="AI71" s="3">
        <f t="shared" si="6"/>
        <v>0.28592057761732848</v>
      </c>
      <c r="AJ71" s="3">
        <f t="shared" si="7"/>
        <v>0.71407942238267141</v>
      </c>
      <c r="AK71" s="3">
        <f t="shared" si="8"/>
        <v>23.648490974729235</v>
      </c>
      <c r="AL71" s="3">
        <f t="shared" si="9"/>
        <v>59.061509025270745</v>
      </c>
      <c r="AM71" s="3">
        <v>100.79573007288973</v>
      </c>
      <c r="AN71" s="3">
        <v>23.648490974729235</v>
      </c>
      <c r="AO71" s="3">
        <v>159.64426992711026</v>
      </c>
      <c r="AP71" s="3">
        <v>59.061509025270745</v>
      </c>
    </row>
    <row r="72" spans="2:42" x14ac:dyDescent="0.4">
      <c r="B72" s="20">
        <v>46301</v>
      </c>
      <c r="C72" s="2" t="s">
        <v>18</v>
      </c>
      <c r="D72" s="7">
        <v>6</v>
      </c>
      <c r="E72">
        <v>123.5</v>
      </c>
      <c r="F72" s="7">
        <v>73</v>
      </c>
      <c r="G72">
        <v>44.3</v>
      </c>
      <c r="H72">
        <v>39</v>
      </c>
      <c r="I72">
        <v>13</v>
      </c>
      <c r="J72">
        <v>163</v>
      </c>
      <c r="K72" s="15">
        <f t="shared" si="0"/>
        <v>334.15</v>
      </c>
      <c r="L72" s="7">
        <f>6052.88</f>
        <v>6052.88</v>
      </c>
      <c r="M72" s="7" t="s">
        <v>40</v>
      </c>
      <c r="N72" s="15">
        <f>168.2</f>
        <v>168.2</v>
      </c>
      <c r="O72">
        <v>3.09</v>
      </c>
      <c r="P72">
        <v>3.28</v>
      </c>
      <c r="Q72">
        <v>49.96</v>
      </c>
      <c r="R72" s="15">
        <v>0.8</v>
      </c>
      <c r="S72">
        <v>119.09</v>
      </c>
      <c r="T72">
        <v>33</v>
      </c>
      <c r="U72" s="27">
        <f t="shared" si="1"/>
        <v>101.5954850361197</v>
      </c>
      <c r="V72" s="27">
        <f t="shared" si="2"/>
        <v>23.475527156549525</v>
      </c>
      <c r="W72" s="27">
        <f t="shared" si="3"/>
        <v>168.30451496388025</v>
      </c>
      <c r="X72" s="28">
        <f t="shared" si="4"/>
        <v>61.96447284345048</v>
      </c>
      <c r="Y72">
        <v>13.1</v>
      </c>
      <c r="Z72" s="15">
        <f t="shared" si="5"/>
        <v>0.92338709677419373</v>
      </c>
      <c r="AB72" s="23">
        <v>41</v>
      </c>
      <c r="AC72">
        <v>14.59</v>
      </c>
      <c r="AD72">
        <v>3.44</v>
      </c>
      <c r="AE72">
        <v>24.17</v>
      </c>
      <c r="AF72">
        <v>9.08</v>
      </c>
      <c r="AG72">
        <v>231.14</v>
      </c>
      <c r="AH72" s="24">
        <v>72.92</v>
      </c>
      <c r="AI72" s="3">
        <f t="shared" si="6"/>
        <v>0.27476038338658149</v>
      </c>
      <c r="AJ72" s="3">
        <f t="shared" si="7"/>
        <v>0.72523961661341851</v>
      </c>
      <c r="AK72" s="3">
        <f t="shared" si="8"/>
        <v>20.035527156549524</v>
      </c>
      <c r="AL72" s="3">
        <f t="shared" si="9"/>
        <v>52.884472843450482</v>
      </c>
      <c r="AM72" s="3">
        <v>87.005485036119694</v>
      </c>
      <c r="AN72" s="3">
        <v>20.035527156549524</v>
      </c>
      <c r="AO72" s="3">
        <v>144.13451496388026</v>
      </c>
      <c r="AP72" s="3">
        <v>52.884472843450482</v>
      </c>
    </row>
    <row r="73" spans="2:42" x14ac:dyDescent="0.4">
      <c r="B73" s="20">
        <v>46301</v>
      </c>
      <c r="C73" s="2" t="s">
        <v>18</v>
      </c>
      <c r="D73" s="7">
        <v>7</v>
      </c>
      <c r="E73">
        <v>136</v>
      </c>
      <c r="F73" s="7">
        <v>83</v>
      </c>
      <c r="G73">
        <v>44.7</v>
      </c>
      <c r="H73">
        <v>53</v>
      </c>
      <c r="I73">
        <v>10</v>
      </c>
      <c r="J73">
        <v>165</v>
      </c>
      <c r="K73" s="15">
        <f t="shared" si="0"/>
        <v>346.5</v>
      </c>
      <c r="L73" s="7">
        <f>4356.1</f>
        <v>4356.1000000000004</v>
      </c>
      <c r="M73" s="7" t="s">
        <v>40</v>
      </c>
      <c r="N73" s="15">
        <f>115.82</f>
        <v>115.82</v>
      </c>
      <c r="O73">
        <v>3.15</v>
      </c>
      <c r="P73">
        <v>3.36</v>
      </c>
      <c r="Q73">
        <v>63.32</v>
      </c>
      <c r="R73" s="15">
        <v>0.87</v>
      </c>
      <c r="S73">
        <v>124.88</v>
      </c>
      <c r="T73">
        <v>37.81</v>
      </c>
      <c r="U73" s="27">
        <f t="shared" si="1"/>
        <v>106.43496623981373</v>
      </c>
      <c r="V73" s="27">
        <f t="shared" si="2"/>
        <v>26.983726415094342</v>
      </c>
      <c r="W73" s="27">
        <f t="shared" si="3"/>
        <v>201.19503376018625</v>
      </c>
      <c r="X73" s="28">
        <f t="shared" si="4"/>
        <v>77.026273584905653</v>
      </c>
      <c r="Y73">
        <v>26.37</v>
      </c>
      <c r="Z73" s="15">
        <f t="shared" si="5"/>
        <v>0.9156626506024097</v>
      </c>
      <c r="AB73" s="23">
        <v>42</v>
      </c>
      <c r="AC73">
        <v>14.86</v>
      </c>
      <c r="AD73">
        <v>3.85</v>
      </c>
      <c r="AE73">
        <v>28.09</v>
      </c>
      <c r="AF73">
        <v>10.99</v>
      </c>
      <c r="AG73">
        <v>264.68</v>
      </c>
      <c r="AH73" s="24">
        <v>89.17</v>
      </c>
      <c r="AI73" s="3">
        <f t="shared" si="6"/>
        <v>0.25943396226415094</v>
      </c>
      <c r="AJ73" s="3">
        <f t="shared" si="7"/>
        <v>0.74056603773584906</v>
      </c>
      <c r="AK73" s="3">
        <f t="shared" si="8"/>
        <v>23.13372641509434</v>
      </c>
      <c r="AL73" s="3">
        <f t="shared" si="9"/>
        <v>66.036273584905658</v>
      </c>
      <c r="AM73" s="3">
        <v>91.574966239813733</v>
      </c>
      <c r="AN73" s="3">
        <v>23.13372641509434</v>
      </c>
      <c r="AO73" s="3">
        <v>173.10503376018625</v>
      </c>
      <c r="AP73" s="3">
        <v>66.036273584905658</v>
      </c>
    </row>
    <row r="74" spans="2:42" x14ac:dyDescent="0.4">
      <c r="B74" s="20">
        <v>46301</v>
      </c>
      <c r="C74" s="2" t="s">
        <v>18</v>
      </c>
      <c r="D74" s="7">
        <v>8</v>
      </c>
      <c r="E74">
        <v>130</v>
      </c>
      <c r="F74" s="7">
        <v>70</v>
      </c>
      <c r="G74">
        <v>44.6</v>
      </c>
      <c r="H74">
        <v>58</v>
      </c>
      <c r="I74">
        <v>11</v>
      </c>
      <c r="J74">
        <v>165</v>
      </c>
      <c r="K74" s="15">
        <f t="shared" si="0"/>
        <v>313.5</v>
      </c>
      <c r="L74" s="7">
        <f>5380.5</f>
        <v>5380.5</v>
      </c>
      <c r="M74" s="7" t="s">
        <v>40</v>
      </c>
      <c r="N74" s="15">
        <f>147.57</f>
        <v>147.57</v>
      </c>
      <c r="O74">
        <v>3.78</v>
      </c>
      <c r="P74">
        <v>4.03</v>
      </c>
      <c r="Q74">
        <v>40.19</v>
      </c>
      <c r="R74" s="15">
        <v>1.08</v>
      </c>
      <c r="S74">
        <v>116.87</v>
      </c>
      <c r="T74">
        <v>31.74</v>
      </c>
      <c r="U74" s="27">
        <f t="shared" si="1"/>
        <v>86.5607236650131</v>
      </c>
      <c r="V74" s="27">
        <f t="shared" si="2"/>
        <v>21.579734278122228</v>
      </c>
      <c r="W74" s="27">
        <f t="shared" si="3"/>
        <v>158.59927633498688</v>
      </c>
      <c r="X74" s="28">
        <f t="shared" si="4"/>
        <v>57.780265721877761</v>
      </c>
      <c r="Y74">
        <v>7.94</v>
      </c>
      <c r="Z74" s="15">
        <f t="shared" si="5"/>
        <v>0.91525423728813549</v>
      </c>
      <c r="AB74" s="23">
        <v>38</v>
      </c>
      <c r="AC74">
        <v>12.1</v>
      </c>
      <c r="AD74">
        <v>3.07</v>
      </c>
      <c r="AE74">
        <v>22.17</v>
      </c>
      <c r="AF74">
        <v>8.2200000000000006</v>
      </c>
      <c r="AG74">
        <v>210.89</v>
      </c>
      <c r="AH74" s="24">
        <v>68.069999999999993</v>
      </c>
      <c r="AI74" s="3">
        <f t="shared" si="6"/>
        <v>0.27192205491585469</v>
      </c>
      <c r="AJ74" s="3">
        <f t="shared" si="7"/>
        <v>0.72807794508414525</v>
      </c>
      <c r="AK74" s="3">
        <f t="shared" si="8"/>
        <v>18.509734278122227</v>
      </c>
      <c r="AL74" s="3">
        <f t="shared" si="9"/>
        <v>49.560265721877762</v>
      </c>
      <c r="AM74" s="3">
        <v>74.460723665013106</v>
      </c>
      <c r="AN74" s="3">
        <v>18.509734278122227</v>
      </c>
      <c r="AO74" s="3">
        <v>136.42927633498687</v>
      </c>
      <c r="AP74" s="3">
        <v>49.560265721877762</v>
      </c>
    </row>
    <row r="75" spans="2:42" s="5" customFormat="1" x14ac:dyDescent="0.4">
      <c r="B75" s="21">
        <v>46301</v>
      </c>
      <c r="C75" s="6" t="s">
        <v>18</v>
      </c>
      <c r="D75" s="8">
        <v>9</v>
      </c>
      <c r="E75" s="5">
        <v>132</v>
      </c>
      <c r="F75" s="8">
        <v>66.5</v>
      </c>
      <c r="G75" s="5">
        <v>49.8</v>
      </c>
      <c r="H75" s="5">
        <v>54</v>
      </c>
      <c r="I75" s="5">
        <v>19</v>
      </c>
      <c r="J75" s="5">
        <v>159</v>
      </c>
      <c r="K75" s="17">
        <f t="shared" si="0"/>
        <v>325.95</v>
      </c>
      <c r="L75" s="8">
        <f>6516.9</f>
        <v>6516.9</v>
      </c>
      <c r="M75" s="8" t="s">
        <v>40</v>
      </c>
      <c r="N75" s="17">
        <f>192.12</f>
        <v>192.12</v>
      </c>
      <c r="O75" s="5">
        <v>3.91</v>
      </c>
      <c r="P75" s="5">
        <v>4.46</v>
      </c>
      <c r="Q75" s="17">
        <v>67.2</v>
      </c>
      <c r="R75" s="17">
        <v>1.0900000000000001</v>
      </c>
      <c r="S75" s="5">
        <v>126.59</v>
      </c>
      <c r="T75" s="17">
        <v>35.119999999999997</v>
      </c>
      <c r="U75" s="29">
        <f t="shared" si="1"/>
        <v>89.549243831254984</v>
      </c>
      <c r="V75" s="29">
        <f t="shared" si="2"/>
        <v>22.822841444270018</v>
      </c>
      <c r="W75" s="29">
        <f t="shared" si="3"/>
        <v>174.75075616874506</v>
      </c>
      <c r="X75" s="30">
        <f t="shared" si="4"/>
        <v>65.287158555729988</v>
      </c>
      <c r="Y75" s="17">
        <v>14.97</v>
      </c>
      <c r="Z75" s="15">
        <f t="shared" si="5"/>
        <v>0.83679525222551931</v>
      </c>
      <c r="AA75" s="17"/>
      <c r="AB75" s="22">
        <v>41</v>
      </c>
      <c r="AC75" s="5">
        <v>12.77</v>
      </c>
      <c r="AD75" s="17">
        <v>3.3</v>
      </c>
      <c r="AE75" s="5">
        <v>24.92</v>
      </c>
      <c r="AF75" s="17">
        <v>9.44</v>
      </c>
      <c r="AG75" s="5">
        <v>226.61</v>
      </c>
      <c r="AH75" s="25">
        <v>75.37</v>
      </c>
      <c r="AI75" s="3">
        <f t="shared" si="6"/>
        <v>0.2590266875981162</v>
      </c>
      <c r="AJ75" s="3">
        <f t="shared" si="7"/>
        <v>0.74097331240188391</v>
      </c>
      <c r="AK75" s="3">
        <f t="shared" si="8"/>
        <v>19.522841444270018</v>
      </c>
      <c r="AL75" s="3">
        <f t="shared" si="9"/>
        <v>55.84715855572999</v>
      </c>
      <c r="AM75" s="3">
        <v>76.779243831254988</v>
      </c>
      <c r="AN75" s="3">
        <v>19.522841444270018</v>
      </c>
      <c r="AO75" s="3">
        <v>149.83075616874504</v>
      </c>
      <c r="AP75" s="3">
        <v>55.84715855572999</v>
      </c>
    </row>
    <row r="76" spans="2:42" x14ac:dyDescent="0.4">
      <c r="B76" s="20">
        <v>46301</v>
      </c>
      <c r="C76" s="2" t="s">
        <v>20</v>
      </c>
      <c r="D76" s="7">
        <v>1</v>
      </c>
      <c r="E76">
        <v>106</v>
      </c>
      <c r="F76" s="7">
        <v>76.5</v>
      </c>
      <c r="G76">
        <v>37.700000000000003</v>
      </c>
      <c r="H76">
        <v>47</v>
      </c>
      <c r="I76">
        <v>8</v>
      </c>
      <c r="J76">
        <v>161</v>
      </c>
      <c r="K76" s="15">
        <f t="shared" si="0"/>
        <v>354.2</v>
      </c>
      <c r="L76" s="7">
        <f>4406.19</f>
        <v>4406.1899999999996</v>
      </c>
      <c r="M76" s="7" t="s">
        <v>40</v>
      </c>
      <c r="N76" s="15">
        <f>104.65</f>
        <v>104.65</v>
      </c>
      <c r="O76">
        <v>1.07</v>
      </c>
      <c r="P76">
        <v>1.21</v>
      </c>
      <c r="Q76">
        <v>38.18</v>
      </c>
      <c r="R76" s="15">
        <v>0.34</v>
      </c>
      <c r="S76">
        <v>72.83</v>
      </c>
      <c r="T76">
        <v>23.28</v>
      </c>
      <c r="U76" s="27">
        <f t="shared" si="1"/>
        <v>103.44995520159283</v>
      </c>
      <c r="V76" s="27">
        <f t="shared" si="2"/>
        <v>28.238804841149772</v>
      </c>
      <c r="W76" s="27">
        <f t="shared" si="3"/>
        <v>160.63004479840717</v>
      </c>
      <c r="X76" s="28">
        <f t="shared" si="4"/>
        <v>57.581195158850221</v>
      </c>
      <c r="Y76">
        <v>44.99</v>
      </c>
      <c r="Z76" s="15">
        <f t="shared" si="5"/>
        <v>0.83908045977011503</v>
      </c>
      <c r="AA76" s="15">
        <f>AVERAGE(Z76:Z84)</f>
        <v>0.90466014536088302</v>
      </c>
      <c r="AB76" s="23">
        <v>44</v>
      </c>
      <c r="AC76">
        <v>15.74</v>
      </c>
      <c r="AD76">
        <v>4.3499999999999996</v>
      </c>
      <c r="AE76">
        <v>24.44</v>
      </c>
      <c r="AF76">
        <v>8.8699999999999992</v>
      </c>
      <c r="AG76">
        <v>223.9</v>
      </c>
      <c r="AH76" s="24">
        <v>72.599999999999994</v>
      </c>
      <c r="AI76" s="3">
        <f t="shared" si="6"/>
        <v>0.32904689863842662</v>
      </c>
      <c r="AJ76" s="3">
        <f t="shared" si="7"/>
        <v>0.67095310136157338</v>
      </c>
      <c r="AK76" s="3">
        <f t="shared" si="8"/>
        <v>23.888804841149771</v>
      </c>
      <c r="AL76" s="3">
        <f t="shared" si="9"/>
        <v>48.711195158850224</v>
      </c>
      <c r="AM76" s="3">
        <v>87.709955201592834</v>
      </c>
      <c r="AN76" s="3">
        <v>23.888804841149771</v>
      </c>
      <c r="AO76" s="3">
        <v>136.19004479840717</v>
      </c>
      <c r="AP76" s="3">
        <v>48.711195158850224</v>
      </c>
    </row>
    <row r="77" spans="2:42" x14ac:dyDescent="0.4">
      <c r="B77" s="20">
        <v>46301</v>
      </c>
      <c r="C77" s="2" t="s">
        <v>20</v>
      </c>
      <c r="D77" s="7">
        <v>2</v>
      </c>
      <c r="E77">
        <v>126</v>
      </c>
      <c r="F77" s="7">
        <v>72</v>
      </c>
      <c r="G77">
        <v>51.2</v>
      </c>
      <c r="H77">
        <v>60</v>
      </c>
      <c r="I77">
        <v>10</v>
      </c>
      <c r="J77">
        <v>162</v>
      </c>
      <c r="K77" s="15">
        <f t="shared" si="0"/>
        <v>348.3</v>
      </c>
      <c r="L77" s="7">
        <v>5816.69</v>
      </c>
      <c r="M77" s="7" t="s">
        <v>40</v>
      </c>
      <c r="N77" s="15">
        <v>139.33000000000001</v>
      </c>
      <c r="O77">
        <v>1.3</v>
      </c>
      <c r="P77">
        <v>1.35</v>
      </c>
      <c r="Q77">
        <v>65.98</v>
      </c>
      <c r="R77" s="15">
        <v>0.33</v>
      </c>
      <c r="S77">
        <v>88.91</v>
      </c>
      <c r="T77">
        <v>29.88</v>
      </c>
      <c r="U77" s="27">
        <f t="shared" si="1"/>
        <v>104.84366556447803</v>
      </c>
      <c r="V77" s="27">
        <f t="shared" si="2"/>
        <v>27.291825902335454</v>
      </c>
      <c r="W77" s="27">
        <f t="shared" si="3"/>
        <v>188.74633443552199</v>
      </c>
      <c r="X77" s="28">
        <f t="shared" si="4"/>
        <v>69.358174097664545</v>
      </c>
      <c r="Y77">
        <v>17.22</v>
      </c>
      <c r="Z77" s="15">
        <f t="shared" si="5"/>
        <v>0.9509803921568627</v>
      </c>
      <c r="AB77" s="23">
        <v>43</v>
      </c>
      <c r="AC77">
        <v>15.12</v>
      </c>
      <c r="AD77">
        <v>3.99</v>
      </c>
      <c r="AE77">
        <v>27.22</v>
      </c>
      <c r="AF77">
        <v>10.14</v>
      </c>
      <c r="AG77">
        <v>251.25</v>
      </c>
      <c r="AH77" s="24">
        <v>82.52</v>
      </c>
      <c r="AI77" s="3">
        <f t="shared" si="6"/>
        <v>0.28237791932059447</v>
      </c>
      <c r="AJ77" s="3">
        <f t="shared" si="7"/>
        <v>0.71762208067940547</v>
      </c>
      <c r="AK77" s="3">
        <f t="shared" si="8"/>
        <v>23.301825902335455</v>
      </c>
      <c r="AL77" s="3">
        <f t="shared" si="9"/>
        <v>59.218174097664537</v>
      </c>
      <c r="AM77" s="3">
        <v>89.723665564478026</v>
      </c>
      <c r="AN77" s="3">
        <v>23.301825902335455</v>
      </c>
      <c r="AO77" s="3">
        <v>161.52633443552199</v>
      </c>
      <c r="AP77" s="3">
        <v>59.218174097664537</v>
      </c>
    </row>
    <row r="78" spans="2:42" x14ac:dyDescent="0.4">
      <c r="B78" s="20">
        <v>46301</v>
      </c>
      <c r="C78" s="2" t="s">
        <v>20</v>
      </c>
      <c r="D78" s="7">
        <v>3</v>
      </c>
      <c r="E78">
        <v>123</v>
      </c>
      <c r="F78" s="7">
        <v>76.5</v>
      </c>
      <c r="G78">
        <v>38.700000000000003</v>
      </c>
      <c r="H78">
        <v>32</v>
      </c>
      <c r="I78">
        <v>8</v>
      </c>
      <c r="J78">
        <v>146</v>
      </c>
      <c r="K78" s="15">
        <f t="shared" si="0"/>
        <v>313.89999999999998</v>
      </c>
      <c r="L78" s="7">
        <v>5698.48</v>
      </c>
      <c r="M78" s="7" t="s">
        <v>40</v>
      </c>
      <c r="N78" s="15">
        <v>108.91</v>
      </c>
      <c r="O78">
        <v>1.67</v>
      </c>
      <c r="P78">
        <v>1.75</v>
      </c>
      <c r="Q78">
        <v>32.200000000000003</v>
      </c>
      <c r="R78" s="15">
        <v>0.45</v>
      </c>
      <c r="S78">
        <v>77.13</v>
      </c>
      <c r="T78">
        <v>22.87</v>
      </c>
      <c r="U78" s="27">
        <f t="shared" si="1"/>
        <v>78.875895684570011</v>
      </c>
      <c r="V78" s="27">
        <f t="shared" si="2"/>
        <v>20.657506631299732</v>
      </c>
      <c r="W78" s="27">
        <f t="shared" si="3"/>
        <v>136.79410431542999</v>
      </c>
      <c r="X78" s="28">
        <f t="shared" si="4"/>
        <v>51.452493368700267</v>
      </c>
      <c r="Y78">
        <v>13.65</v>
      </c>
      <c r="Z78" s="15">
        <f t="shared" si="5"/>
        <v>0.93846153846153846</v>
      </c>
      <c r="AB78" s="23">
        <v>43</v>
      </c>
      <c r="AC78">
        <v>11.78</v>
      </c>
      <c r="AD78">
        <v>3.24</v>
      </c>
      <c r="AE78">
        <v>20.43</v>
      </c>
      <c r="AF78">
        <v>8.07</v>
      </c>
      <c r="AG78">
        <v>183.46</v>
      </c>
      <c r="AH78" s="24">
        <v>60.8</v>
      </c>
      <c r="AI78" s="3">
        <f t="shared" si="6"/>
        <v>0.28647214854111408</v>
      </c>
      <c r="AJ78" s="3">
        <f t="shared" si="7"/>
        <v>0.71352785145888598</v>
      </c>
      <c r="AK78" s="3">
        <f t="shared" si="8"/>
        <v>17.417506631299734</v>
      </c>
      <c r="AL78" s="3">
        <f t="shared" si="9"/>
        <v>43.382493368700267</v>
      </c>
      <c r="AM78" s="3">
        <v>67.09589568457001</v>
      </c>
      <c r="AN78" s="3">
        <v>17.417506631299734</v>
      </c>
      <c r="AO78" s="3">
        <v>116.36410431542998</v>
      </c>
      <c r="AP78" s="3">
        <v>43.382493368700267</v>
      </c>
    </row>
    <row r="79" spans="2:42" x14ac:dyDescent="0.4">
      <c r="B79" s="20">
        <v>46301</v>
      </c>
      <c r="C79" s="2" t="s">
        <v>20</v>
      </c>
      <c r="D79" s="7">
        <v>4</v>
      </c>
      <c r="E79">
        <v>130.5</v>
      </c>
      <c r="F79" s="7">
        <v>78</v>
      </c>
      <c r="G79">
        <v>45.9</v>
      </c>
      <c r="H79">
        <v>42</v>
      </c>
      <c r="I79">
        <v>11</v>
      </c>
      <c r="J79">
        <v>193</v>
      </c>
      <c r="K79" s="15">
        <f t="shared" si="0"/>
        <v>376.35</v>
      </c>
      <c r="L79" s="7">
        <v>4120.5600000000004</v>
      </c>
      <c r="M79" s="7" t="s">
        <v>40</v>
      </c>
      <c r="N79" s="15">
        <v>98.13</v>
      </c>
      <c r="O79">
        <v>2.84</v>
      </c>
      <c r="P79">
        <v>2.89</v>
      </c>
      <c r="Q79">
        <v>58.16</v>
      </c>
      <c r="R79" s="15">
        <v>0.97</v>
      </c>
      <c r="S79">
        <v>100.11</v>
      </c>
      <c r="T79">
        <v>37.61</v>
      </c>
      <c r="U79" s="27">
        <f t="shared" si="1"/>
        <v>118.22802631578946</v>
      </c>
      <c r="V79" s="27">
        <f t="shared" si="2"/>
        <v>32.304578313253018</v>
      </c>
      <c r="W79" s="27">
        <f t="shared" si="3"/>
        <v>214.5619736842105</v>
      </c>
      <c r="X79" s="28">
        <f t="shared" si="4"/>
        <v>79.415421686746981</v>
      </c>
      <c r="Y79">
        <v>26.46</v>
      </c>
      <c r="Z79" s="15">
        <f t="shared" si="5"/>
        <v>0.97395833333333315</v>
      </c>
      <c r="AB79" s="23">
        <v>39</v>
      </c>
      <c r="AC79">
        <v>12.96</v>
      </c>
      <c r="AD79">
        <v>3.6</v>
      </c>
      <c r="AE79">
        <v>23.52</v>
      </c>
      <c r="AF79">
        <v>8.85</v>
      </c>
      <c r="AG79">
        <v>296.31</v>
      </c>
      <c r="AH79" s="24">
        <v>99.27</v>
      </c>
      <c r="AI79" s="3">
        <f t="shared" si="6"/>
        <v>0.28915662650602414</v>
      </c>
      <c r="AJ79" s="3">
        <f t="shared" si="7"/>
        <v>0.71084337349397586</v>
      </c>
      <c r="AK79" s="3">
        <f t="shared" si="8"/>
        <v>28.704578313253016</v>
      </c>
      <c r="AL79" s="3">
        <f t="shared" si="9"/>
        <v>70.565421686746987</v>
      </c>
      <c r="AM79" s="3">
        <v>105.26802631578947</v>
      </c>
      <c r="AN79" s="3">
        <v>28.704578313253016</v>
      </c>
      <c r="AO79" s="3">
        <v>191.04197368421049</v>
      </c>
      <c r="AP79" s="3">
        <v>70.565421686746987</v>
      </c>
    </row>
    <row r="80" spans="2:42" x14ac:dyDescent="0.4">
      <c r="B80" s="20">
        <v>46301</v>
      </c>
      <c r="C80" s="2" t="s">
        <v>20</v>
      </c>
      <c r="D80" s="7">
        <v>5</v>
      </c>
      <c r="E80">
        <v>116</v>
      </c>
      <c r="F80" s="7">
        <v>69</v>
      </c>
      <c r="G80">
        <v>44.9</v>
      </c>
      <c r="H80">
        <v>42</v>
      </c>
      <c r="I80">
        <v>9</v>
      </c>
      <c r="J80">
        <v>118</v>
      </c>
      <c r="K80" s="15">
        <f t="shared" si="0"/>
        <v>218.3</v>
      </c>
      <c r="L80" s="7">
        <f>3055.9</f>
        <v>3055.9</v>
      </c>
      <c r="M80" s="7" t="s">
        <v>40</v>
      </c>
      <c r="N80" s="15">
        <f>80.02</f>
        <v>80.02</v>
      </c>
      <c r="O80">
        <v>2.71</v>
      </c>
      <c r="P80">
        <v>3</v>
      </c>
      <c r="Q80">
        <v>44.14</v>
      </c>
      <c r="R80" s="15">
        <v>1.05</v>
      </c>
      <c r="S80">
        <v>85.99</v>
      </c>
      <c r="T80">
        <v>30.25</v>
      </c>
      <c r="U80" s="27">
        <f t="shared" si="1"/>
        <v>80.132593691021839</v>
      </c>
      <c r="V80" s="27">
        <f t="shared" si="2"/>
        <v>21.692201462225832</v>
      </c>
      <c r="W80" s="27">
        <f t="shared" si="3"/>
        <v>144.85740630897817</v>
      </c>
      <c r="X80" s="28">
        <f t="shared" si="4"/>
        <v>53.527798537774167</v>
      </c>
      <c r="Y80">
        <v>30.24</v>
      </c>
      <c r="Z80" s="15">
        <f t="shared" si="5"/>
        <v>0.85128205128205126</v>
      </c>
      <c r="AB80" s="23">
        <v>37</v>
      </c>
      <c r="AC80">
        <v>13.21</v>
      </c>
      <c r="AD80">
        <v>3.55</v>
      </c>
      <c r="AE80">
        <v>23.88</v>
      </c>
      <c r="AF80">
        <v>8.76</v>
      </c>
      <c r="AG80">
        <v>187.9</v>
      </c>
      <c r="AH80" s="24">
        <v>62.91</v>
      </c>
      <c r="AI80" s="3">
        <f t="shared" si="6"/>
        <v>0.28838342810722989</v>
      </c>
      <c r="AJ80" s="3">
        <f t="shared" si="7"/>
        <v>0.71161657189277017</v>
      </c>
      <c r="AK80" s="3">
        <f t="shared" si="8"/>
        <v>18.142201462225831</v>
      </c>
      <c r="AL80" s="3">
        <f t="shared" si="9"/>
        <v>44.767798537774169</v>
      </c>
      <c r="AM80" s="3">
        <v>66.922593691021831</v>
      </c>
      <c r="AN80" s="3">
        <v>18.142201462225831</v>
      </c>
      <c r="AO80" s="3">
        <v>120.97740630897816</v>
      </c>
      <c r="AP80" s="3">
        <v>44.767798537774169</v>
      </c>
    </row>
    <row r="81" spans="2:42" x14ac:dyDescent="0.4">
      <c r="B81" s="20">
        <v>46301</v>
      </c>
      <c r="C81" s="2" t="s">
        <v>20</v>
      </c>
      <c r="D81" s="7">
        <v>6</v>
      </c>
      <c r="E81">
        <v>121</v>
      </c>
      <c r="F81" s="7">
        <v>73</v>
      </c>
      <c r="G81">
        <v>38.1</v>
      </c>
      <c r="H81">
        <v>30</v>
      </c>
      <c r="I81">
        <v>8</v>
      </c>
      <c r="J81">
        <v>132</v>
      </c>
      <c r="K81" s="15">
        <f t="shared" si="0"/>
        <v>250.8</v>
      </c>
      <c r="L81" s="7">
        <v>4555.72</v>
      </c>
      <c r="M81" s="7" t="s">
        <v>40</v>
      </c>
      <c r="N81" s="15">
        <v>126.89</v>
      </c>
      <c r="O81">
        <v>1.77</v>
      </c>
      <c r="P81">
        <v>1.91</v>
      </c>
      <c r="Q81">
        <v>56.33</v>
      </c>
      <c r="R81" s="15">
        <v>0.52</v>
      </c>
      <c r="S81">
        <v>97.81</v>
      </c>
      <c r="T81">
        <v>32.380000000000003</v>
      </c>
      <c r="U81" s="27">
        <f t="shared" si="1"/>
        <v>82.317885462555068</v>
      </c>
      <c r="V81" s="27">
        <f t="shared" si="2"/>
        <v>22.113184079601989</v>
      </c>
      <c r="W81" s="27">
        <f t="shared" si="3"/>
        <v>153.84211453744493</v>
      </c>
      <c r="X81" s="28">
        <f t="shared" si="4"/>
        <v>55.186815920398004</v>
      </c>
      <c r="Y81">
        <v>26.97</v>
      </c>
      <c r="Z81" s="15">
        <f t="shared" si="5"/>
        <v>0.89928057553956842</v>
      </c>
      <c r="AB81" s="23">
        <v>38</v>
      </c>
      <c r="AC81">
        <v>12.66</v>
      </c>
      <c r="AD81">
        <v>3.45</v>
      </c>
      <c r="AE81">
        <v>23.66</v>
      </c>
      <c r="AF81">
        <v>8.61</v>
      </c>
      <c r="AG81">
        <v>199.84</v>
      </c>
      <c r="AH81" s="24">
        <v>65.239999999999995</v>
      </c>
      <c r="AI81" s="3">
        <f t="shared" si="6"/>
        <v>0.28606965174129356</v>
      </c>
      <c r="AJ81" s="3">
        <f t="shared" si="7"/>
        <v>0.71393034825870649</v>
      </c>
      <c r="AK81" s="3">
        <f t="shared" si="8"/>
        <v>18.66318407960199</v>
      </c>
      <c r="AL81" s="3">
        <f t="shared" si="9"/>
        <v>46.576815920398005</v>
      </c>
      <c r="AM81" s="3">
        <v>69.657885462555072</v>
      </c>
      <c r="AN81" s="3">
        <v>18.66318407960199</v>
      </c>
      <c r="AO81" s="3">
        <v>130.18211453744493</v>
      </c>
      <c r="AP81" s="3">
        <v>46.576815920398005</v>
      </c>
    </row>
    <row r="82" spans="2:42" x14ac:dyDescent="0.4">
      <c r="B82" s="20">
        <v>46301</v>
      </c>
      <c r="C82" s="2" t="s">
        <v>20</v>
      </c>
      <c r="D82" s="7">
        <v>7</v>
      </c>
      <c r="E82">
        <v>124.5</v>
      </c>
      <c r="F82" s="7">
        <v>80.5</v>
      </c>
      <c r="G82">
        <v>39.799999999999997</v>
      </c>
      <c r="H82">
        <v>55</v>
      </c>
      <c r="I82">
        <v>9</v>
      </c>
      <c r="J82">
        <v>224</v>
      </c>
      <c r="K82" s="15">
        <f t="shared" si="0"/>
        <v>504</v>
      </c>
      <c r="L82" s="7">
        <v>6314.56</v>
      </c>
      <c r="M82" s="7" t="s">
        <v>40</v>
      </c>
      <c r="N82" s="15">
        <v>135.19</v>
      </c>
      <c r="O82">
        <v>2.94</v>
      </c>
      <c r="P82">
        <v>3.11</v>
      </c>
      <c r="Q82">
        <v>54.15</v>
      </c>
      <c r="R82" s="15">
        <v>0.9</v>
      </c>
      <c r="S82">
        <v>132.88999999999999</v>
      </c>
      <c r="T82">
        <v>43.19</v>
      </c>
      <c r="U82" s="27">
        <f t="shared" si="1"/>
        <v>145.29804176215941</v>
      </c>
      <c r="V82" s="27">
        <f t="shared" si="2"/>
        <v>38.413168469860899</v>
      </c>
      <c r="W82" s="27">
        <f t="shared" si="3"/>
        <v>253.99195823784058</v>
      </c>
      <c r="X82" s="28">
        <f t="shared" si="4"/>
        <v>88.066831530139126</v>
      </c>
      <c r="Y82">
        <v>33.31</v>
      </c>
      <c r="Z82" s="15">
        <f t="shared" si="5"/>
        <v>0.92307692307692313</v>
      </c>
      <c r="AB82" s="23">
        <v>45</v>
      </c>
      <c r="AC82">
        <v>14.29</v>
      </c>
      <c r="AD82">
        <v>3.93</v>
      </c>
      <c r="AE82">
        <v>24.98</v>
      </c>
      <c r="AF82">
        <v>9.01</v>
      </c>
      <c r="AG82">
        <v>360.02</v>
      </c>
      <c r="AH82" s="24">
        <v>113.54</v>
      </c>
      <c r="AI82" s="3">
        <f t="shared" si="6"/>
        <v>0.30370942812982998</v>
      </c>
      <c r="AJ82" s="3">
        <f t="shared" si="7"/>
        <v>0.69629057187017007</v>
      </c>
      <c r="AK82" s="3">
        <f t="shared" si="8"/>
        <v>34.4831684698609</v>
      </c>
      <c r="AL82" s="3">
        <f t="shared" si="9"/>
        <v>79.056831530139121</v>
      </c>
      <c r="AM82" s="3">
        <v>131.00804176215942</v>
      </c>
      <c r="AN82" s="3">
        <v>34.4831684698609</v>
      </c>
      <c r="AO82" s="3">
        <v>229.01195823784059</v>
      </c>
      <c r="AP82" s="3">
        <v>79.056831530139121</v>
      </c>
    </row>
    <row r="83" spans="2:42" x14ac:dyDescent="0.4">
      <c r="B83" s="20">
        <v>46301</v>
      </c>
      <c r="C83" s="2" t="s">
        <v>20</v>
      </c>
      <c r="D83" s="7">
        <v>8</v>
      </c>
      <c r="E83">
        <v>134</v>
      </c>
      <c r="F83" s="7">
        <v>79</v>
      </c>
      <c r="G83">
        <v>40.6</v>
      </c>
      <c r="H83">
        <v>34</v>
      </c>
      <c r="I83">
        <v>6</v>
      </c>
      <c r="J83">
        <v>159</v>
      </c>
      <c r="K83" s="15">
        <f t="shared" si="0"/>
        <v>302.10000000000002</v>
      </c>
      <c r="L83" s="7">
        <v>4133.04</v>
      </c>
      <c r="M83" s="7" t="s">
        <v>40</v>
      </c>
      <c r="N83" s="15">
        <v>114.83</v>
      </c>
      <c r="O83">
        <v>3.28</v>
      </c>
      <c r="P83">
        <v>3.5</v>
      </c>
      <c r="Q83">
        <v>60.29</v>
      </c>
      <c r="R83" s="15">
        <v>0.99</v>
      </c>
      <c r="S83">
        <v>116.87</v>
      </c>
      <c r="T83">
        <v>38.450000000000003</v>
      </c>
      <c r="U83" s="27">
        <f t="shared" si="1"/>
        <v>112.33721124077162</v>
      </c>
      <c r="V83" s="27">
        <f t="shared" si="2"/>
        <v>30.810616583982995</v>
      </c>
      <c r="W83" s="27">
        <f t="shared" si="3"/>
        <v>192.97278875922839</v>
      </c>
      <c r="X83" s="28">
        <f t="shared" si="4"/>
        <v>67.769383416017007</v>
      </c>
      <c r="Y83">
        <v>78.709999999999994</v>
      </c>
      <c r="Z83" s="15">
        <f t="shared" si="5"/>
        <v>0.91235059760956183</v>
      </c>
      <c r="AB83" s="23">
        <v>38</v>
      </c>
      <c r="AC83">
        <v>15.45</v>
      </c>
      <c r="AD83">
        <v>4.41</v>
      </c>
      <c r="AE83">
        <v>26.54</v>
      </c>
      <c r="AF83">
        <v>9.6999999999999993</v>
      </c>
      <c r="AG83">
        <v>263.32</v>
      </c>
      <c r="AH83" s="24">
        <v>84.47</v>
      </c>
      <c r="AI83" s="3">
        <f t="shared" si="6"/>
        <v>0.31254429482636431</v>
      </c>
      <c r="AJ83" s="3">
        <f t="shared" si="7"/>
        <v>0.68745570517363574</v>
      </c>
      <c r="AK83" s="3">
        <f t="shared" si="8"/>
        <v>26.400616583982995</v>
      </c>
      <c r="AL83" s="3">
        <f t="shared" si="9"/>
        <v>58.069383416017011</v>
      </c>
      <c r="AM83" s="3">
        <v>96.88721124077162</v>
      </c>
      <c r="AN83" s="3">
        <v>26.400616583982995</v>
      </c>
      <c r="AO83" s="3">
        <v>166.4327887592284</v>
      </c>
      <c r="AP83" s="3">
        <v>58.069383416017011</v>
      </c>
    </row>
    <row r="84" spans="2:42" s="5" customFormat="1" x14ac:dyDescent="0.4">
      <c r="B84" s="21">
        <v>46301</v>
      </c>
      <c r="C84" s="6" t="s">
        <v>20</v>
      </c>
      <c r="D84" s="8">
        <v>9</v>
      </c>
      <c r="E84" s="5">
        <v>135</v>
      </c>
      <c r="F84" s="8">
        <v>79</v>
      </c>
      <c r="G84" s="5">
        <v>42.7</v>
      </c>
      <c r="H84" s="5">
        <v>43</v>
      </c>
      <c r="I84" s="5">
        <v>7</v>
      </c>
      <c r="J84" s="5">
        <v>138</v>
      </c>
      <c r="K84" s="17">
        <f t="shared" si="0"/>
        <v>289.8</v>
      </c>
      <c r="L84" s="8">
        <f>3594.14</f>
        <v>3594.14</v>
      </c>
      <c r="M84" s="8" t="s">
        <v>40</v>
      </c>
      <c r="N84" s="17">
        <f>101.58</f>
        <v>101.58</v>
      </c>
      <c r="O84" s="5">
        <v>5.18</v>
      </c>
      <c r="P84" s="5">
        <v>5.75</v>
      </c>
      <c r="Q84" s="17">
        <v>54.47</v>
      </c>
      <c r="R84" s="17">
        <v>1.86</v>
      </c>
      <c r="S84" s="5">
        <v>91.61</v>
      </c>
      <c r="T84" s="17">
        <v>30.39</v>
      </c>
      <c r="U84" s="29">
        <f t="shared" si="1"/>
        <v>96.8531248573385</v>
      </c>
      <c r="V84" s="29">
        <f t="shared" si="2"/>
        <v>26.862668024439916</v>
      </c>
      <c r="W84" s="29">
        <f t="shared" si="3"/>
        <v>157.83687514266148</v>
      </c>
      <c r="X84" s="30">
        <f t="shared" si="4"/>
        <v>57.147331975560078</v>
      </c>
      <c r="Y84" s="17">
        <v>22.36</v>
      </c>
      <c r="Z84" s="15">
        <f t="shared" si="5"/>
        <v>0.85347043701799474</v>
      </c>
      <c r="AA84" s="17"/>
      <c r="AB84" s="22">
        <v>42</v>
      </c>
      <c r="AC84" s="5">
        <v>16.66</v>
      </c>
      <c r="AD84" s="17">
        <v>4.71</v>
      </c>
      <c r="AE84" s="5">
        <v>27.15</v>
      </c>
      <c r="AF84" s="17">
        <v>10.02</v>
      </c>
      <c r="AG84" s="5">
        <v>210.88</v>
      </c>
      <c r="AH84" s="25">
        <v>69.28</v>
      </c>
      <c r="AI84" s="3">
        <f t="shared" si="6"/>
        <v>0.31975560081466392</v>
      </c>
      <c r="AJ84" s="3">
        <f t="shared" si="7"/>
        <v>0.68024439918533597</v>
      </c>
      <c r="AK84" s="3">
        <f t="shared" si="8"/>
        <v>22.152668024439915</v>
      </c>
      <c r="AL84" s="3">
        <f t="shared" si="9"/>
        <v>47.127331975560075</v>
      </c>
      <c r="AM84" s="3">
        <v>80.193124857338503</v>
      </c>
      <c r="AN84" s="3">
        <v>22.152668024439915</v>
      </c>
      <c r="AO84" s="3">
        <v>130.68687514266148</v>
      </c>
      <c r="AP84" s="3">
        <v>47.127331975560075</v>
      </c>
    </row>
    <row r="85" spans="2:42" x14ac:dyDescent="0.4">
      <c r="B85" s="20">
        <v>46301</v>
      </c>
      <c r="C85" s="2" t="s">
        <v>21</v>
      </c>
      <c r="D85" s="7">
        <v>1</v>
      </c>
      <c r="E85">
        <v>109.5</v>
      </c>
      <c r="F85" s="7">
        <v>60</v>
      </c>
      <c r="G85">
        <v>32.700000000000003</v>
      </c>
      <c r="H85">
        <v>31</v>
      </c>
      <c r="I85">
        <v>4</v>
      </c>
      <c r="J85">
        <v>29</v>
      </c>
      <c r="K85" s="15">
        <f t="shared" si="0"/>
        <v>56.55</v>
      </c>
      <c r="L85" s="7">
        <f>4434.46</f>
        <v>4434.46</v>
      </c>
      <c r="M85" s="7" t="s">
        <v>40</v>
      </c>
      <c r="N85" s="15">
        <f>99.42</f>
        <v>99.42</v>
      </c>
      <c r="O85">
        <v>3.8</v>
      </c>
      <c r="P85">
        <v>3.99</v>
      </c>
      <c r="Q85">
        <v>27.85</v>
      </c>
      <c r="R85" s="15">
        <v>1.24</v>
      </c>
      <c r="S85">
        <v>66.81</v>
      </c>
      <c r="T85">
        <v>19.16</v>
      </c>
      <c r="U85" s="27">
        <f t="shared" si="1"/>
        <v>13.032385513319365</v>
      </c>
      <c r="V85" s="27">
        <f t="shared" si="2"/>
        <v>3.2086363636363635</v>
      </c>
      <c r="W85" s="27">
        <f t="shared" si="3"/>
        <v>26.767614486680635</v>
      </c>
      <c r="X85" s="28">
        <f t="shared" si="4"/>
        <v>9.461363636363636</v>
      </c>
      <c r="Y85">
        <v>7.79</v>
      </c>
      <c r="Z85" s="15">
        <f t="shared" si="5"/>
        <v>0.9309090909090908</v>
      </c>
      <c r="AA85" s="15">
        <f>AVERAGE(Z85:Z93)</f>
        <v>0.90009286541230238</v>
      </c>
      <c r="AB85" s="23">
        <v>39</v>
      </c>
      <c r="AC85">
        <v>10.94</v>
      </c>
      <c r="AD85">
        <v>2.73</v>
      </c>
      <c r="AE85">
        <v>22.47</v>
      </c>
      <c r="AF85">
        <v>8.0500000000000007</v>
      </c>
      <c r="AG85">
        <v>6.39</v>
      </c>
      <c r="AH85" s="24">
        <v>1.89</v>
      </c>
      <c r="AI85" s="3">
        <f t="shared" si="6"/>
        <v>0.25324675324675322</v>
      </c>
      <c r="AJ85" s="3">
        <f t="shared" si="7"/>
        <v>0.74675324675324672</v>
      </c>
      <c r="AK85" s="3">
        <f t="shared" si="8"/>
        <v>0.47863636363636358</v>
      </c>
      <c r="AL85" s="3">
        <f t="shared" si="9"/>
        <v>1.4113636363636362</v>
      </c>
      <c r="AM85" s="3">
        <v>2.0923855133193654</v>
      </c>
      <c r="AN85" s="3">
        <v>0.47863636363636358</v>
      </c>
      <c r="AO85" s="3">
        <v>4.2976144866806347</v>
      </c>
      <c r="AP85" s="3">
        <v>1.4113636363636362</v>
      </c>
    </row>
    <row r="86" spans="2:42" x14ac:dyDescent="0.4">
      <c r="B86" s="20">
        <v>46301</v>
      </c>
      <c r="C86" s="2" t="s">
        <v>21</v>
      </c>
      <c r="D86" s="7">
        <v>2</v>
      </c>
      <c r="E86">
        <v>138</v>
      </c>
      <c r="F86" s="7">
        <v>84</v>
      </c>
      <c r="G86">
        <v>42</v>
      </c>
      <c r="H86">
        <v>44</v>
      </c>
      <c r="I86">
        <v>11</v>
      </c>
      <c r="J86">
        <v>183</v>
      </c>
      <c r="K86" s="15">
        <f t="shared" si="0"/>
        <v>384.3</v>
      </c>
      <c r="L86" s="7">
        <f>3473.11</f>
        <v>3473.11</v>
      </c>
      <c r="M86" s="7" t="s">
        <v>40</v>
      </c>
      <c r="N86" s="15">
        <f>77.34</f>
        <v>77.34</v>
      </c>
      <c r="O86">
        <v>1.69</v>
      </c>
      <c r="P86">
        <v>1.81</v>
      </c>
      <c r="Q86">
        <v>48.39</v>
      </c>
      <c r="R86" s="15">
        <v>0.48</v>
      </c>
      <c r="S86">
        <v>80.569999999999993</v>
      </c>
      <c r="T86">
        <v>32.68</v>
      </c>
      <c r="U86" s="27">
        <f t="shared" si="1"/>
        <v>94.970967741935482</v>
      </c>
      <c r="V86" s="27">
        <f t="shared" si="2"/>
        <v>26.81108477666363</v>
      </c>
      <c r="W86" s="27">
        <f t="shared" si="3"/>
        <v>199.43903225806451</v>
      </c>
      <c r="X86" s="28">
        <f t="shared" si="4"/>
        <v>75.66891522333637</v>
      </c>
      <c r="Y86">
        <v>15.75</v>
      </c>
      <c r="Z86" s="15">
        <f t="shared" si="5"/>
        <v>0.90977443609022546</v>
      </c>
      <c r="AB86" s="23">
        <v>42</v>
      </c>
      <c r="AC86">
        <v>10.1</v>
      </c>
      <c r="AD86">
        <v>2.87</v>
      </c>
      <c r="AE86">
        <v>21.21</v>
      </c>
      <c r="AF86">
        <v>8.1</v>
      </c>
      <c r="AG86">
        <v>263.10000000000002</v>
      </c>
      <c r="AH86" s="24">
        <v>91.51</v>
      </c>
      <c r="AI86" s="3">
        <f t="shared" si="6"/>
        <v>0.26162260711030083</v>
      </c>
      <c r="AJ86" s="3">
        <f t="shared" si="7"/>
        <v>0.73837739288969917</v>
      </c>
      <c r="AK86" s="3">
        <f t="shared" si="8"/>
        <v>23.941084776663629</v>
      </c>
      <c r="AL86" s="3">
        <f t="shared" si="9"/>
        <v>67.568915223336376</v>
      </c>
      <c r="AM86" s="3">
        <v>84.870967741935488</v>
      </c>
      <c r="AN86" s="3">
        <v>23.941084776663629</v>
      </c>
      <c r="AO86" s="3">
        <v>178.22903225806451</v>
      </c>
      <c r="AP86" s="3">
        <v>67.568915223336376</v>
      </c>
    </row>
    <row r="87" spans="2:42" x14ac:dyDescent="0.4">
      <c r="B87" s="20">
        <v>46301</v>
      </c>
      <c r="C87" s="2" t="s">
        <v>21</v>
      </c>
      <c r="D87" s="7">
        <v>3</v>
      </c>
      <c r="E87">
        <v>137.5</v>
      </c>
      <c r="F87" s="7">
        <v>81</v>
      </c>
      <c r="G87">
        <v>29.6</v>
      </c>
      <c r="H87">
        <v>39</v>
      </c>
      <c r="I87">
        <v>13</v>
      </c>
      <c r="J87">
        <v>167</v>
      </c>
      <c r="K87" s="15">
        <f t="shared" si="0"/>
        <v>334</v>
      </c>
      <c r="L87" s="7">
        <f>6505.53</f>
        <v>6505.53</v>
      </c>
      <c r="M87" s="7" t="s">
        <v>40</v>
      </c>
      <c r="N87" s="15">
        <f>142.86</f>
        <v>142.86000000000001</v>
      </c>
      <c r="O87">
        <v>2.67</v>
      </c>
      <c r="P87">
        <v>2.85</v>
      </c>
      <c r="Q87">
        <v>49.82</v>
      </c>
      <c r="R87" s="15">
        <v>0.8</v>
      </c>
      <c r="S87">
        <v>103.77</v>
      </c>
      <c r="T87">
        <v>31.35</v>
      </c>
      <c r="U87" s="27">
        <f t="shared" si="1"/>
        <v>92.110779220779222</v>
      </c>
      <c r="V87" s="27">
        <f t="shared" si="2"/>
        <v>24.33250213492741</v>
      </c>
      <c r="W87" s="27">
        <f t="shared" si="3"/>
        <v>192.11922077922077</v>
      </c>
      <c r="X87" s="28">
        <f t="shared" si="4"/>
        <v>74.947497865072577</v>
      </c>
      <c r="Y87">
        <v>15.2</v>
      </c>
      <c r="Z87" s="15">
        <f t="shared" si="5"/>
        <v>0.91219512195121955</v>
      </c>
      <c r="AB87" s="23">
        <v>40</v>
      </c>
      <c r="AC87">
        <v>10.73</v>
      </c>
      <c r="AD87">
        <v>2.87</v>
      </c>
      <c r="AE87">
        <v>22.38</v>
      </c>
      <c r="AF87">
        <v>8.84</v>
      </c>
      <c r="AG87">
        <v>251.12</v>
      </c>
      <c r="AH87" s="24">
        <v>87.57</v>
      </c>
      <c r="AI87" s="3">
        <f t="shared" si="6"/>
        <v>0.24508966695132364</v>
      </c>
      <c r="AJ87" s="3">
        <f t="shared" si="7"/>
        <v>0.75491033304867627</v>
      </c>
      <c r="AK87" s="3">
        <f t="shared" si="8"/>
        <v>21.462502134927409</v>
      </c>
      <c r="AL87" s="3">
        <f t="shared" si="9"/>
        <v>66.107497865072574</v>
      </c>
      <c r="AM87" s="3">
        <v>81.380779220779218</v>
      </c>
      <c r="AN87" s="3">
        <v>21.462502134927409</v>
      </c>
      <c r="AO87" s="3">
        <v>169.73922077922077</v>
      </c>
      <c r="AP87" s="3">
        <v>66.107497865072574</v>
      </c>
    </row>
    <row r="88" spans="2:42" x14ac:dyDescent="0.4">
      <c r="B88" s="20">
        <v>46301</v>
      </c>
      <c r="C88" s="2" t="s">
        <v>21</v>
      </c>
      <c r="D88" s="7">
        <v>4</v>
      </c>
      <c r="E88">
        <v>122.5</v>
      </c>
      <c r="F88" s="7">
        <v>74.5</v>
      </c>
      <c r="G88">
        <v>40.9</v>
      </c>
      <c r="H88">
        <v>23</v>
      </c>
      <c r="I88">
        <v>8</v>
      </c>
      <c r="J88">
        <v>147</v>
      </c>
      <c r="K88" s="15">
        <f t="shared" si="0"/>
        <v>294</v>
      </c>
      <c r="L88" s="7">
        <f>4167.55</f>
        <v>4167.55</v>
      </c>
      <c r="M88" s="7" t="s">
        <v>40</v>
      </c>
      <c r="N88" s="15">
        <f>91.6</f>
        <v>91.6</v>
      </c>
      <c r="O88">
        <v>2.63</v>
      </c>
      <c r="P88">
        <v>2.9</v>
      </c>
      <c r="Q88">
        <v>42.12</v>
      </c>
      <c r="R88" s="15">
        <v>0.83</v>
      </c>
      <c r="S88">
        <v>85.13</v>
      </c>
      <c r="T88">
        <v>29.83</v>
      </c>
      <c r="U88" s="27">
        <f t="shared" si="1"/>
        <v>71.784938200632368</v>
      </c>
      <c r="V88" s="27">
        <f t="shared" si="2"/>
        <v>19.760193392425464</v>
      </c>
      <c r="W88" s="27">
        <f t="shared" si="3"/>
        <v>158.81506179936767</v>
      </c>
      <c r="X88" s="28">
        <f t="shared" si="4"/>
        <v>61.439806607574546</v>
      </c>
      <c r="Y88">
        <v>21.72</v>
      </c>
      <c r="Z88" s="15">
        <f t="shared" si="5"/>
        <v>0.86956521739130432</v>
      </c>
      <c r="AB88" s="23">
        <v>40</v>
      </c>
      <c r="AC88">
        <v>10.83</v>
      </c>
      <c r="AD88">
        <v>3.02</v>
      </c>
      <c r="AE88">
        <v>23.96</v>
      </c>
      <c r="AF88">
        <v>9.39</v>
      </c>
      <c r="AG88">
        <v>195.81</v>
      </c>
      <c r="AH88" s="24">
        <v>68.790000000000006</v>
      </c>
      <c r="AI88" s="3">
        <f t="shared" si="6"/>
        <v>0.24335213537469783</v>
      </c>
      <c r="AJ88" s="3">
        <f t="shared" si="7"/>
        <v>0.7566478646253022</v>
      </c>
      <c r="AK88" s="3">
        <f t="shared" si="8"/>
        <v>16.740193392425464</v>
      </c>
      <c r="AL88" s="3">
        <f t="shared" si="9"/>
        <v>52.049806607574546</v>
      </c>
      <c r="AM88" s="3">
        <v>60.954938200632363</v>
      </c>
      <c r="AN88" s="3">
        <v>16.740193392425464</v>
      </c>
      <c r="AO88" s="3">
        <v>134.85506179936766</v>
      </c>
      <c r="AP88" s="3">
        <v>52.049806607574546</v>
      </c>
    </row>
    <row r="89" spans="2:42" x14ac:dyDescent="0.4">
      <c r="B89" s="20">
        <v>46301</v>
      </c>
      <c r="C89" s="2" t="s">
        <v>21</v>
      </c>
      <c r="D89" s="7">
        <v>5</v>
      </c>
      <c r="E89">
        <v>143</v>
      </c>
      <c r="F89" s="7">
        <v>80</v>
      </c>
      <c r="G89">
        <v>40</v>
      </c>
      <c r="H89">
        <v>44</v>
      </c>
      <c r="I89">
        <v>2</v>
      </c>
      <c r="J89">
        <v>96</v>
      </c>
      <c r="K89" s="15">
        <f t="shared" si="0"/>
        <v>172.8</v>
      </c>
      <c r="L89" s="7">
        <f>1792.91</f>
        <v>1792.91</v>
      </c>
      <c r="M89" s="7" t="s">
        <v>40</v>
      </c>
      <c r="N89" s="15">
        <f>54.54</f>
        <v>54.54</v>
      </c>
      <c r="O89">
        <v>2.74</v>
      </c>
      <c r="P89">
        <v>2.92</v>
      </c>
      <c r="Q89">
        <v>30.38</v>
      </c>
      <c r="R89" s="15">
        <v>0.96</v>
      </c>
      <c r="S89">
        <v>73.31</v>
      </c>
      <c r="T89">
        <v>27.21</v>
      </c>
      <c r="U89" s="27">
        <f t="shared" si="1"/>
        <v>56.086103623839463</v>
      </c>
      <c r="V89" s="27">
        <f t="shared" si="2"/>
        <v>14.932733089579525</v>
      </c>
      <c r="W89" s="27">
        <f t="shared" si="3"/>
        <v>96.663896376160508</v>
      </c>
      <c r="X89" s="28">
        <f t="shared" si="4"/>
        <v>33.257266910420476</v>
      </c>
      <c r="Y89">
        <v>41.22</v>
      </c>
      <c r="Z89" s="15">
        <f t="shared" si="5"/>
        <v>0.90816326530612257</v>
      </c>
      <c r="AB89" s="23">
        <v>36</v>
      </c>
      <c r="AC89">
        <v>12.26</v>
      </c>
      <c r="AD89">
        <v>3.39</v>
      </c>
      <c r="AE89">
        <v>21.13</v>
      </c>
      <c r="AF89">
        <v>7.55</v>
      </c>
      <c r="AG89">
        <v>119.36</v>
      </c>
      <c r="AH89" s="24">
        <v>37.25</v>
      </c>
      <c r="AI89" s="3">
        <f t="shared" si="6"/>
        <v>0.30987202925045704</v>
      </c>
      <c r="AJ89" s="3">
        <f t="shared" si="7"/>
        <v>0.69012797074954302</v>
      </c>
      <c r="AK89" s="3">
        <f t="shared" si="8"/>
        <v>11.542733089579524</v>
      </c>
      <c r="AL89" s="3">
        <f t="shared" si="9"/>
        <v>25.707266910420479</v>
      </c>
      <c r="AM89" s="3">
        <v>43.826103623839465</v>
      </c>
      <c r="AN89" s="3">
        <v>11.542733089579524</v>
      </c>
      <c r="AO89" s="3">
        <v>75.533896376160513</v>
      </c>
      <c r="AP89" s="3">
        <v>25.707266910420479</v>
      </c>
    </row>
    <row r="90" spans="2:42" x14ac:dyDescent="0.4">
      <c r="B90" s="20">
        <v>46301</v>
      </c>
      <c r="C90" s="2" t="s">
        <v>21</v>
      </c>
      <c r="D90" s="7">
        <v>6</v>
      </c>
      <c r="E90">
        <v>116</v>
      </c>
      <c r="F90" s="7">
        <v>74</v>
      </c>
      <c r="G90">
        <v>38.200000000000003</v>
      </c>
      <c r="H90">
        <v>40</v>
      </c>
      <c r="I90">
        <v>6</v>
      </c>
      <c r="J90">
        <v>175</v>
      </c>
      <c r="K90" s="15">
        <f t="shared" si="0"/>
        <v>358.75</v>
      </c>
      <c r="L90" s="7">
        <f>3012.93</f>
        <v>3012.93</v>
      </c>
      <c r="M90" s="7" t="s">
        <v>40</v>
      </c>
      <c r="N90" s="15">
        <f>87.14</f>
        <v>87.14</v>
      </c>
      <c r="O90">
        <v>2.02</v>
      </c>
      <c r="P90">
        <v>2.14</v>
      </c>
      <c r="Q90">
        <v>54.81</v>
      </c>
      <c r="R90" s="15">
        <v>0.69</v>
      </c>
      <c r="S90">
        <v>97.78</v>
      </c>
      <c r="T90">
        <v>40.15</v>
      </c>
      <c r="U90" s="27">
        <f t="shared" si="1"/>
        <v>106.45281454355217</v>
      </c>
      <c r="V90" s="27">
        <f t="shared" si="2"/>
        <v>30.001496492595479</v>
      </c>
      <c r="W90" s="27">
        <f t="shared" si="3"/>
        <v>195.67718545644777</v>
      </c>
      <c r="X90" s="28">
        <f t="shared" si="4"/>
        <v>69.71850350740452</v>
      </c>
      <c r="Y90">
        <v>35.409999999999997</v>
      </c>
      <c r="Z90" s="15">
        <f t="shared" si="5"/>
        <v>0.91724137931034477</v>
      </c>
      <c r="AB90" s="23">
        <v>41</v>
      </c>
      <c r="AC90">
        <v>13.47</v>
      </c>
      <c r="AD90">
        <v>3.86</v>
      </c>
      <c r="AE90">
        <v>24.76</v>
      </c>
      <c r="AF90">
        <v>8.9700000000000006</v>
      </c>
      <c r="AG90">
        <v>263.89999999999998</v>
      </c>
      <c r="AH90" s="24">
        <v>86.89</v>
      </c>
      <c r="AI90" s="3">
        <f t="shared" si="6"/>
        <v>0.30085736554949338</v>
      </c>
      <c r="AJ90" s="3">
        <f t="shared" si="7"/>
        <v>0.69914263445050662</v>
      </c>
      <c r="AK90" s="3">
        <f t="shared" si="8"/>
        <v>26.141496492595479</v>
      </c>
      <c r="AL90" s="3">
        <f t="shared" si="9"/>
        <v>60.748503507404521</v>
      </c>
      <c r="AM90" s="3">
        <v>92.982814543552166</v>
      </c>
      <c r="AN90" s="3">
        <v>26.141496492595479</v>
      </c>
      <c r="AO90" s="3">
        <v>170.91718545644778</v>
      </c>
      <c r="AP90" s="3">
        <v>60.748503507404521</v>
      </c>
    </row>
    <row r="91" spans="2:42" x14ac:dyDescent="0.4">
      <c r="B91" s="20">
        <v>46301</v>
      </c>
      <c r="C91" s="2" t="s">
        <v>21</v>
      </c>
      <c r="D91" s="7">
        <v>7</v>
      </c>
      <c r="E91">
        <v>127</v>
      </c>
      <c r="F91" s="7">
        <v>68.5</v>
      </c>
      <c r="G91">
        <v>37.200000000000003</v>
      </c>
      <c r="H91">
        <v>45</v>
      </c>
      <c r="I91">
        <v>11</v>
      </c>
      <c r="J91">
        <v>219</v>
      </c>
      <c r="K91" s="15">
        <f t="shared" si="0"/>
        <v>481.8</v>
      </c>
      <c r="L91" s="7">
        <f>3072.8</f>
        <v>3072.8</v>
      </c>
      <c r="M91" s="7" t="s">
        <v>40</v>
      </c>
      <c r="N91" s="15">
        <f>73.53</f>
        <v>73.53</v>
      </c>
      <c r="O91">
        <v>1.96</v>
      </c>
      <c r="P91">
        <v>2.1</v>
      </c>
      <c r="Q91">
        <v>45.71</v>
      </c>
      <c r="R91" s="15">
        <v>0.68</v>
      </c>
      <c r="S91">
        <v>93.95</v>
      </c>
      <c r="T91">
        <v>39.69</v>
      </c>
      <c r="U91" s="27">
        <f t="shared" si="1"/>
        <v>127.5935847052576</v>
      </c>
      <c r="V91" s="27">
        <f t="shared" si="2"/>
        <v>36.906149162861489</v>
      </c>
      <c r="W91" s="27">
        <f t="shared" si="3"/>
        <v>257.43641529474246</v>
      </c>
      <c r="X91" s="28">
        <f t="shared" si="4"/>
        <v>98.553850837138498</v>
      </c>
      <c r="Y91">
        <v>27.94</v>
      </c>
      <c r="Z91" s="15">
        <f t="shared" si="5"/>
        <v>0.90140845070422526</v>
      </c>
      <c r="AB91" s="23">
        <v>44</v>
      </c>
      <c r="AC91">
        <v>12.48</v>
      </c>
      <c r="AD91">
        <v>3.58</v>
      </c>
      <c r="AE91">
        <v>25.18</v>
      </c>
      <c r="AF91">
        <v>9.56</v>
      </c>
      <c r="AG91">
        <v>347.37</v>
      </c>
      <c r="AH91" s="24">
        <v>122.32</v>
      </c>
      <c r="AI91" s="3">
        <f t="shared" si="6"/>
        <v>0.27245053272450531</v>
      </c>
      <c r="AJ91" s="3">
        <f t="shared" si="7"/>
        <v>0.72754946727549463</v>
      </c>
      <c r="AK91" s="3">
        <f t="shared" si="8"/>
        <v>33.326149162861491</v>
      </c>
      <c r="AL91" s="3">
        <f t="shared" si="9"/>
        <v>88.993850837138496</v>
      </c>
      <c r="AM91" s="3">
        <v>115.11358470525759</v>
      </c>
      <c r="AN91" s="3">
        <v>33.326149162861491</v>
      </c>
      <c r="AO91" s="3">
        <v>232.25641529474248</v>
      </c>
      <c r="AP91" s="3">
        <v>88.993850837138496</v>
      </c>
    </row>
    <row r="92" spans="2:42" x14ac:dyDescent="0.4">
      <c r="B92" s="20">
        <v>46301</v>
      </c>
      <c r="C92" s="2" t="s">
        <v>21</v>
      </c>
      <c r="D92" s="7">
        <v>8</v>
      </c>
      <c r="E92">
        <v>117</v>
      </c>
      <c r="F92" s="7">
        <v>65</v>
      </c>
      <c r="G92">
        <v>43</v>
      </c>
      <c r="H92">
        <v>41</v>
      </c>
      <c r="I92">
        <v>5</v>
      </c>
      <c r="J92">
        <v>138</v>
      </c>
      <c r="K92" s="15">
        <f t="shared" si="0"/>
        <v>296.7</v>
      </c>
      <c r="L92" s="7">
        <f>3305.15</f>
        <v>3305.15</v>
      </c>
      <c r="M92" s="7" t="s">
        <v>40</v>
      </c>
      <c r="N92" s="15">
        <f>72.52</f>
        <v>72.52</v>
      </c>
      <c r="O92">
        <v>3.8</v>
      </c>
      <c r="P92">
        <v>4.13</v>
      </c>
      <c r="Q92">
        <v>41.2</v>
      </c>
      <c r="R92" s="15">
        <v>1.36</v>
      </c>
      <c r="S92">
        <v>67.64</v>
      </c>
      <c r="T92">
        <v>26.3</v>
      </c>
      <c r="U92" s="27">
        <f t="shared" si="1"/>
        <v>73.828842315369258</v>
      </c>
      <c r="V92" s="27">
        <f t="shared" si="2"/>
        <v>20.861453634085212</v>
      </c>
      <c r="W92" s="27">
        <f t="shared" si="3"/>
        <v>135.82115768463075</v>
      </c>
      <c r="X92" s="28">
        <f t="shared" si="4"/>
        <v>49.678546365914784</v>
      </c>
      <c r="Y92">
        <v>56.56</v>
      </c>
      <c r="Z92" s="15">
        <f t="shared" si="5"/>
        <v>0.88086642599277976</v>
      </c>
      <c r="AB92" s="23">
        <v>43</v>
      </c>
      <c r="AC92">
        <v>12.35</v>
      </c>
      <c r="AD92">
        <v>3.54</v>
      </c>
      <c r="AE92">
        <v>22.72</v>
      </c>
      <c r="AF92">
        <v>8.43</v>
      </c>
      <c r="AG92" s="15">
        <f>157.87+16.71</f>
        <v>174.58</v>
      </c>
      <c r="AH92" s="24">
        <f>52.41+6.16</f>
        <v>58.569999999999993</v>
      </c>
      <c r="AI92" s="3">
        <f t="shared" si="6"/>
        <v>0.29573934837092736</v>
      </c>
      <c r="AJ92" s="3">
        <f t="shared" si="7"/>
        <v>0.7042606516290727</v>
      </c>
      <c r="AK92" s="3">
        <f t="shared" si="8"/>
        <v>17.321453634085213</v>
      </c>
      <c r="AL92" s="3">
        <f t="shared" si="9"/>
        <v>41.248546365914784</v>
      </c>
      <c r="AM92" s="3">
        <v>61.478842315369263</v>
      </c>
      <c r="AN92" s="3">
        <v>17.321453634085213</v>
      </c>
      <c r="AO92" s="3">
        <v>113.10115768463073</v>
      </c>
      <c r="AP92" s="3">
        <v>41.248546365914784</v>
      </c>
    </row>
    <row r="93" spans="2:42" s="5" customFormat="1" x14ac:dyDescent="0.4">
      <c r="B93" s="21">
        <v>46301</v>
      </c>
      <c r="C93" s="6" t="s">
        <v>21</v>
      </c>
      <c r="D93" s="8">
        <v>9</v>
      </c>
      <c r="E93" s="5">
        <v>114</v>
      </c>
      <c r="F93" s="8">
        <v>71</v>
      </c>
      <c r="G93" s="5">
        <v>38.200000000000003</v>
      </c>
      <c r="H93" s="5">
        <v>48</v>
      </c>
      <c r="I93" s="5">
        <v>9</v>
      </c>
      <c r="J93" s="5">
        <v>245</v>
      </c>
      <c r="K93" s="17">
        <f t="shared" si="0"/>
        <v>514.5</v>
      </c>
      <c r="L93" s="8">
        <f>7056.15</f>
        <v>7056.15</v>
      </c>
      <c r="M93" s="8" t="s">
        <v>40</v>
      </c>
      <c r="N93" s="17">
        <f>159.64</f>
        <v>159.63999999999999</v>
      </c>
      <c r="O93" s="5">
        <v>4.9400000000000004</v>
      </c>
      <c r="P93" s="5">
        <v>5.43</v>
      </c>
      <c r="Q93" s="17">
        <v>56.82</v>
      </c>
      <c r="R93" s="17">
        <v>1.64</v>
      </c>
      <c r="S93" s="5">
        <v>131.80000000000001</v>
      </c>
      <c r="T93" s="17">
        <v>41.37</v>
      </c>
      <c r="U93" s="29">
        <f t="shared" si="1"/>
        <v>139.17477341389727</v>
      </c>
      <c r="V93" s="29">
        <f t="shared" si="2"/>
        <v>38.26247264770241</v>
      </c>
      <c r="W93" s="29">
        <f t="shared" si="3"/>
        <v>264.62522658610271</v>
      </c>
      <c r="X93" s="30">
        <f t="shared" si="4"/>
        <v>97.287527352297587</v>
      </c>
      <c r="Y93" s="17">
        <v>21.88</v>
      </c>
      <c r="Z93" s="15">
        <f t="shared" si="5"/>
        <v>0.87071240105540915</v>
      </c>
      <c r="AA93" s="17"/>
      <c r="AB93" s="22">
        <v>42</v>
      </c>
      <c r="AC93" s="5">
        <v>13.69</v>
      </c>
      <c r="AD93" s="17">
        <v>3.87</v>
      </c>
      <c r="AE93" s="5">
        <v>26.03</v>
      </c>
      <c r="AF93" s="17">
        <v>9.84</v>
      </c>
      <c r="AG93" s="5">
        <v>364.08</v>
      </c>
      <c r="AH93" s="25">
        <v>121.84</v>
      </c>
      <c r="AI93" s="3">
        <f t="shared" si="6"/>
        <v>0.28227571115973743</v>
      </c>
      <c r="AJ93" s="3">
        <f t="shared" si="7"/>
        <v>0.71772428884026251</v>
      </c>
      <c r="AK93" s="3">
        <f t="shared" si="8"/>
        <v>34.392472647702412</v>
      </c>
      <c r="AL93" s="3">
        <f t="shared" si="9"/>
        <v>87.447527352297584</v>
      </c>
      <c r="AM93" s="3">
        <v>125.48477341389726</v>
      </c>
      <c r="AN93" s="3">
        <v>34.392472647702412</v>
      </c>
      <c r="AO93" s="3">
        <v>238.59522658610274</v>
      </c>
      <c r="AP93" s="3">
        <v>87.447527352297584</v>
      </c>
    </row>
    <row r="94" spans="2:42" x14ac:dyDescent="0.4">
      <c r="B94" s="20">
        <v>46301</v>
      </c>
      <c r="C94" s="2" t="s">
        <v>22</v>
      </c>
      <c r="D94" s="7">
        <v>1</v>
      </c>
      <c r="E94">
        <v>128</v>
      </c>
      <c r="F94" s="7">
        <v>76</v>
      </c>
      <c r="G94">
        <v>43.4</v>
      </c>
      <c r="H94">
        <v>44</v>
      </c>
      <c r="I94">
        <v>10</v>
      </c>
      <c r="J94">
        <v>160</v>
      </c>
      <c r="K94" s="15">
        <f t="shared" si="0"/>
        <v>328</v>
      </c>
      <c r="L94" s="7">
        <v>4173.63</v>
      </c>
      <c r="M94" s="7" t="s">
        <v>40</v>
      </c>
      <c r="N94" s="15">
        <v>111.2</v>
      </c>
      <c r="O94" s="15">
        <v>2.95</v>
      </c>
      <c r="P94">
        <v>3.2</v>
      </c>
      <c r="Q94">
        <v>69.62</v>
      </c>
      <c r="R94" s="15">
        <v>0.93</v>
      </c>
      <c r="S94">
        <v>99.22</v>
      </c>
      <c r="T94">
        <v>38.11</v>
      </c>
      <c r="U94" s="27">
        <f t="shared" si="1"/>
        <v>106.13786516853934</v>
      </c>
      <c r="V94" s="27">
        <f t="shared" si="2"/>
        <v>29.440160951714489</v>
      </c>
      <c r="W94" s="27">
        <f t="shared" si="3"/>
        <v>183.85213483146069</v>
      </c>
      <c r="X94" s="28">
        <f t="shared" si="4"/>
        <v>66.829839048285521</v>
      </c>
      <c r="Y94">
        <v>21.38</v>
      </c>
      <c r="Z94" s="15">
        <f t="shared" si="5"/>
        <v>0.88986784140969166</v>
      </c>
      <c r="AA94" s="15">
        <f>AVERAGE(Z94:Z102)</f>
        <v>0.88622043567384834</v>
      </c>
      <c r="AB94" s="23">
        <v>41</v>
      </c>
      <c r="AC94">
        <v>15.31</v>
      </c>
      <c r="AD94">
        <v>4.37</v>
      </c>
      <c r="AE94">
        <v>26.52</v>
      </c>
      <c r="AF94">
        <v>9.92</v>
      </c>
      <c r="AG94">
        <v>248.16</v>
      </c>
      <c r="AH94" s="24">
        <v>81.98</v>
      </c>
      <c r="AI94" s="3">
        <f t="shared" si="6"/>
        <v>0.30580825752274321</v>
      </c>
      <c r="AJ94" s="3">
        <f t="shared" si="7"/>
        <v>0.6941917424772569</v>
      </c>
      <c r="AK94" s="3">
        <f t="shared" si="8"/>
        <v>25.070160951714488</v>
      </c>
      <c r="AL94" s="3">
        <f t="shared" si="9"/>
        <v>56.909839048285527</v>
      </c>
      <c r="AM94" s="3">
        <v>90.827865168539333</v>
      </c>
      <c r="AN94" s="3">
        <v>25.070160951714488</v>
      </c>
      <c r="AO94" s="3">
        <v>157.33213483146068</v>
      </c>
      <c r="AP94" s="3">
        <v>56.909839048285527</v>
      </c>
    </row>
    <row r="95" spans="2:42" x14ac:dyDescent="0.4">
      <c r="B95" s="20">
        <v>46301</v>
      </c>
      <c r="C95" s="2" t="s">
        <v>22</v>
      </c>
      <c r="D95" s="7">
        <v>2</v>
      </c>
      <c r="E95">
        <v>113</v>
      </c>
      <c r="F95" s="7">
        <v>68</v>
      </c>
      <c r="G95">
        <v>44.7</v>
      </c>
      <c r="H95">
        <v>64</v>
      </c>
      <c r="I95">
        <v>10</v>
      </c>
      <c r="J95">
        <v>191</v>
      </c>
      <c r="K95" s="15">
        <f t="shared" si="0"/>
        <v>324.7</v>
      </c>
      <c r="L95" s="7">
        <f>4266.1</f>
        <v>4266.1000000000004</v>
      </c>
      <c r="M95" s="7" t="s">
        <v>40</v>
      </c>
      <c r="N95" s="15">
        <f>106.29</f>
        <v>106.29</v>
      </c>
      <c r="O95" s="15">
        <v>1.97</v>
      </c>
      <c r="P95">
        <v>1.9</v>
      </c>
      <c r="Q95">
        <v>67.510000000000005</v>
      </c>
      <c r="R95" s="15">
        <v>0.56000000000000005</v>
      </c>
      <c r="S95">
        <v>105.87</v>
      </c>
      <c r="T95">
        <v>48.58</v>
      </c>
      <c r="U95" s="27">
        <f t="shared" si="1"/>
        <v>93.77513686455741</v>
      </c>
      <c r="V95" s="27">
        <f t="shared" si="2"/>
        <v>26.912903225806449</v>
      </c>
      <c r="W95" s="27">
        <f t="shared" si="3"/>
        <v>165.6048631354426</v>
      </c>
      <c r="X95" s="28">
        <f t="shared" si="4"/>
        <v>56.51709677419354</v>
      </c>
      <c r="Y95">
        <v>39.6</v>
      </c>
      <c r="Z95" s="15">
        <f t="shared" si="5"/>
        <v>1.0522388059701493</v>
      </c>
      <c r="AB95" s="23">
        <v>34</v>
      </c>
      <c r="AC95">
        <v>10.17</v>
      </c>
      <c r="AD95">
        <v>3</v>
      </c>
      <c r="AE95">
        <v>17.96</v>
      </c>
      <c r="AF95">
        <v>6.3</v>
      </c>
      <c r="AG95">
        <v>231.25</v>
      </c>
      <c r="AH95" s="24">
        <v>74.13</v>
      </c>
      <c r="AI95" s="3">
        <f t="shared" si="6"/>
        <v>0.32258064516129031</v>
      </c>
      <c r="AJ95" s="3">
        <f t="shared" si="7"/>
        <v>0.67741935483870963</v>
      </c>
      <c r="AK95" s="3">
        <f t="shared" si="8"/>
        <v>23.912903225806449</v>
      </c>
      <c r="AL95" s="3">
        <f t="shared" si="9"/>
        <v>50.217096774193543</v>
      </c>
      <c r="AM95" s="3">
        <v>83.605136864557409</v>
      </c>
      <c r="AN95" s="3">
        <v>23.912903225806449</v>
      </c>
      <c r="AO95" s="3">
        <v>147.64486313544259</v>
      </c>
      <c r="AP95" s="3">
        <v>50.217096774193543</v>
      </c>
    </row>
    <row r="96" spans="2:42" x14ac:dyDescent="0.4">
      <c r="B96" s="20">
        <v>46301</v>
      </c>
      <c r="C96" s="2" t="s">
        <v>22</v>
      </c>
      <c r="D96" s="7">
        <v>3</v>
      </c>
      <c r="E96">
        <v>111</v>
      </c>
      <c r="F96" s="7">
        <v>62.5</v>
      </c>
      <c r="G96">
        <v>43.6</v>
      </c>
      <c r="H96">
        <v>36</v>
      </c>
      <c r="I96">
        <v>11</v>
      </c>
      <c r="J96">
        <v>157</v>
      </c>
      <c r="K96" s="15">
        <f t="shared" si="0"/>
        <v>306.14999999999998</v>
      </c>
      <c r="L96" s="7">
        <f>2588.84</f>
        <v>2588.84</v>
      </c>
      <c r="M96" s="7" t="s">
        <v>40</v>
      </c>
      <c r="N96" s="15">
        <f>55.37</f>
        <v>55.37</v>
      </c>
      <c r="O96">
        <v>2.56</v>
      </c>
      <c r="P96">
        <v>2.69</v>
      </c>
      <c r="Q96">
        <v>30.22</v>
      </c>
      <c r="R96" s="15">
        <v>0.81</v>
      </c>
      <c r="S96">
        <v>67.72</v>
      </c>
      <c r="T96">
        <v>27.57</v>
      </c>
      <c r="U96" s="27">
        <f t="shared" si="1"/>
        <v>78.24062656641604</v>
      </c>
      <c r="V96" s="27">
        <f t="shared" si="2"/>
        <v>22.228445692883898</v>
      </c>
      <c r="W96" s="27">
        <f t="shared" si="3"/>
        <v>146.34937343358393</v>
      </c>
      <c r="X96" s="28">
        <f t="shared" si="4"/>
        <v>52.191554307116107</v>
      </c>
      <c r="Y96">
        <v>54.19</v>
      </c>
      <c r="Z96" s="15">
        <f t="shared" si="5"/>
        <v>0.93085106382978733</v>
      </c>
      <c r="AB96" s="23">
        <v>39</v>
      </c>
      <c r="AC96">
        <v>11.12</v>
      </c>
      <c r="AD96">
        <v>3.19</v>
      </c>
      <c r="AE96">
        <v>20.8</v>
      </c>
      <c r="AF96">
        <v>7.49</v>
      </c>
      <c r="AG96">
        <v>192.67</v>
      </c>
      <c r="AH96" s="24">
        <v>63.74</v>
      </c>
      <c r="AI96" s="3">
        <f t="shared" si="6"/>
        <v>0.29868913857677903</v>
      </c>
      <c r="AJ96" s="3">
        <f t="shared" si="7"/>
        <v>0.70131086142322097</v>
      </c>
      <c r="AK96" s="3">
        <f t="shared" si="8"/>
        <v>19.038445692883897</v>
      </c>
      <c r="AL96" s="3">
        <f t="shared" si="9"/>
        <v>44.701554307116105</v>
      </c>
      <c r="AM96" s="3">
        <v>67.120626566416036</v>
      </c>
      <c r="AN96" s="3">
        <v>19.038445692883897</v>
      </c>
      <c r="AO96" s="3">
        <v>125.54937343358394</v>
      </c>
      <c r="AP96" s="3">
        <v>44.701554307116105</v>
      </c>
    </row>
    <row r="97" spans="2:42" x14ac:dyDescent="0.4">
      <c r="B97" s="20">
        <v>46301</v>
      </c>
      <c r="C97" s="2" t="s">
        <v>22</v>
      </c>
      <c r="D97" s="7">
        <v>4</v>
      </c>
      <c r="E97">
        <v>132</v>
      </c>
      <c r="F97" s="7">
        <v>75</v>
      </c>
      <c r="G97">
        <v>30.8</v>
      </c>
      <c r="H97">
        <v>25</v>
      </c>
      <c r="I97">
        <v>11</v>
      </c>
      <c r="J97">
        <v>148</v>
      </c>
      <c r="K97" s="15">
        <f t="shared" si="0"/>
        <v>296</v>
      </c>
      <c r="L97" s="7">
        <v>2287.64</v>
      </c>
      <c r="M97" s="7" t="s">
        <v>40</v>
      </c>
      <c r="N97" s="15">
        <v>55.82</v>
      </c>
      <c r="O97">
        <v>2.5099999999999998</v>
      </c>
      <c r="P97">
        <v>2.89</v>
      </c>
      <c r="Q97">
        <v>34.229999999999997</v>
      </c>
      <c r="R97" s="15">
        <v>0.89</v>
      </c>
      <c r="S97">
        <v>65.28</v>
      </c>
      <c r="T97">
        <v>28.25</v>
      </c>
      <c r="U97" s="27">
        <f t="shared" si="1"/>
        <v>65.446207227374472</v>
      </c>
      <c r="V97" s="27">
        <f t="shared" si="2"/>
        <v>20.689189189189189</v>
      </c>
      <c r="W97" s="27">
        <f t="shared" si="3"/>
        <v>133.82379277262552</v>
      </c>
      <c r="X97" s="28">
        <f t="shared" si="4"/>
        <v>55.860810810810811</v>
      </c>
      <c r="Y97">
        <v>11.27</v>
      </c>
      <c r="Z97" s="15">
        <f t="shared" si="5"/>
        <v>0.80999999999999983</v>
      </c>
      <c r="AB97" s="23">
        <v>40</v>
      </c>
      <c r="AC97">
        <v>10.27</v>
      </c>
      <c r="AD97">
        <v>3.2</v>
      </c>
      <c r="AE97">
        <v>21</v>
      </c>
      <c r="AF97">
        <v>8.64</v>
      </c>
      <c r="AG97">
        <v>168</v>
      </c>
      <c r="AH97" s="24">
        <v>64.709999999999994</v>
      </c>
      <c r="AI97" s="3">
        <f t="shared" si="6"/>
        <v>0.27027027027027029</v>
      </c>
      <c r="AJ97" s="3">
        <f t="shared" si="7"/>
        <v>0.72972972972972983</v>
      </c>
      <c r="AK97" s="3">
        <f t="shared" si="8"/>
        <v>17.48918918918919</v>
      </c>
      <c r="AL97" s="3">
        <f t="shared" si="9"/>
        <v>47.220810810810811</v>
      </c>
      <c r="AM97" s="3">
        <v>55.176207227374476</v>
      </c>
      <c r="AN97" s="3">
        <v>17.48918918918919</v>
      </c>
      <c r="AO97" s="3">
        <v>112.82379277262552</v>
      </c>
      <c r="AP97" s="3">
        <v>47.220810810810811</v>
      </c>
    </row>
    <row r="98" spans="2:42" x14ac:dyDescent="0.4">
      <c r="B98" s="20">
        <v>46301</v>
      </c>
      <c r="C98" s="2" t="s">
        <v>22</v>
      </c>
      <c r="D98" s="7">
        <v>5</v>
      </c>
      <c r="E98">
        <v>130</v>
      </c>
      <c r="F98" s="7">
        <v>74.5</v>
      </c>
      <c r="G98">
        <v>29.7</v>
      </c>
      <c r="H98">
        <v>23</v>
      </c>
      <c r="I98">
        <v>5</v>
      </c>
      <c r="J98">
        <v>89</v>
      </c>
      <c r="K98" s="15">
        <f t="shared" si="0"/>
        <v>186.9</v>
      </c>
      <c r="L98" s="7">
        <v>2678.24</v>
      </c>
      <c r="M98" s="7" t="s">
        <v>40</v>
      </c>
      <c r="N98" s="15">
        <v>56.28</v>
      </c>
      <c r="O98">
        <v>5.13</v>
      </c>
      <c r="P98">
        <v>5.58</v>
      </c>
      <c r="Q98">
        <v>33.42</v>
      </c>
      <c r="R98" s="15">
        <v>1.37</v>
      </c>
      <c r="S98">
        <v>64.22</v>
      </c>
      <c r="T98">
        <v>23.19</v>
      </c>
      <c r="U98" s="27">
        <f t="shared" si="1"/>
        <v>50.278800738007376</v>
      </c>
      <c r="V98" s="27">
        <f t="shared" si="2"/>
        <v>14.361275941583397</v>
      </c>
      <c r="W98" s="27">
        <f t="shared" si="3"/>
        <v>103.93119926199262</v>
      </c>
      <c r="X98" s="28">
        <f t="shared" si="4"/>
        <v>37.828724058416604</v>
      </c>
      <c r="Y98">
        <v>18.47</v>
      </c>
      <c r="Z98" s="15">
        <f t="shared" si="5"/>
        <v>0.89311163895486934</v>
      </c>
      <c r="AB98" s="23">
        <v>42</v>
      </c>
      <c r="AC98">
        <v>12.37</v>
      </c>
      <c r="AD98">
        <v>3.58</v>
      </c>
      <c r="AE98">
        <v>25.57</v>
      </c>
      <c r="AF98">
        <v>9.43</v>
      </c>
      <c r="AG98">
        <v>116.27</v>
      </c>
      <c r="AH98" s="24">
        <v>39.18</v>
      </c>
      <c r="AI98" s="3">
        <f t="shared" si="6"/>
        <v>0.2751729438893159</v>
      </c>
      <c r="AJ98" s="3">
        <f t="shared" si="7"/>
        <v>0.7248270561106841</v>
      </c>
      <c r="AK98" s="3">
        <f t="shared" si="8"/>
        <v>10.781275941583397</v>
      </c>
      <c r="AL98" s="3">
        <f t="shared" si="9"/>
        <v>28.398724058416605</v>
      </c>
      <c r="AM98" s="3">
        <v>37.908800738007379</v>
      </c>
      <c r="AN98" s="3">
        <v>10.781275941583397</v>
      </c>
      <c r="AO98" s="3">
        <v>78.361199261992624</v>
      </c>
      <c r="AP98" s="3">
        <v>28.398724058416605</v>
      </c>
    </row>
    <row r="99" spans="2:42" x14ac:dyDescent="0.4">
      <c r="B99" s="20">
        <v>46301</v>
      </c>
      <c r="C99" s="2" t="s">
        <v>22</v>
      </c>
      <c r="D99" s="7">
        <v>6</v>
      </c>
      <c r="E99">
        <v>136.5</v>
      </c>
      <c r="F99" s="7">
        <v>80</v>
      </c>
      <c r="G99">
        <v>32.200000000000003</v>
      </c>
      <c r="H99">
        <v>37</v>
      </c>
      <c r="I99">
        <v>6</v>
      </c>
      <c r="J99">
        <v>131</v>
      </c>
      <c r="K99" s="15">
        <f t="shared" si="0"/>
        <v>275.10000000000002</v>
      </c>
      <c r="L99" s="7">
        <f>4181.97</f>
        <v>4181.97</v>
      </c>
      <c r="M99" s="7" t="s">
        <v>40</v>
      </c>
      <c r="N99" s="15">
        <f>77.98</f>
        <v>77.98</v>
      </c>
      <c r="O99">
        <v>3.41</v>
      </c>
      <c r="P99">
        <v>3.82</v>
      </c>
      <c r="Q99">
        <v>44.7</v>
      </c>
      <c r="R99" s="15">
        <v>0.93</v>
      </c>
      <c r="S99">
        <v>93.3</v>
      </c>
      <c r="T99">
        <v>35.89</v>
      </c>
      <c r="U99" s="27">
        <f t="shared" si="1"/>
        <v>71.634248665141115</v>
      </c>
      <c r="V99" s="27">
        <f t="shared" si="2"/>
        <v>20.041035767511179</v>
      </c>
      <c r="W99" s="27">
        <f t="shared" si="3"/>
        <v>153.75575133485887</v>
      </c>
      <c r="X99" s="28">
        <f t="shared" si="4"/>
        <v>56.148964232488822</v>
      </c>
      <c r="Y99">
        <v>26.32</v>
      </c>
      <c r="Z99" s="15">
        <f t="shared" si="5"/>
        <v>0.8581314878892734</v>
      </c>
      <c r="AB99" s="23">
        <v>42</v>
      </c>
      <c r="AC99">
        <v>12.5</v>
      </c>
      <c r="AD99">
        <v>3.53</v>
      </c>
      <c r="AE99">
        <v>26.83</v>
      </c>
      <c r="AF99">
        <v>9.89</v>
      </c>
      <c r="AG99">
        <v>186.06</v>
      </c>
      <c r="AH99" s="24">
        <v>62.77</v>
      </c>
      <c r="AI99" s="3">
        <f t="shared" si="6"/>
        <v>0.26304023845007451</v>
      </c>
      <c r="AJ99" s="3">
        <f t="shared" si="7"/>
        <v>0.73695976154992549</v>
      </c>
      <c r="AK99" s="3">
        <f t="shared" si="8"/>
        <v>16.511035767511178</v>
      </c>
      <c r="AL99" s="3">
        <f t="shared" si="9"/>
        <v>46.258964232488822</v>
      </c>
      <c r="AM99" s="3">
        <v>59.134248665141115</v>
      </c>
      <c r="AN99" s="3">
        <v>16.511035767511178</v>
      </c>
      <c r="AO99" s="3">
        <v>126.92575133485887</v>
      </c>
      <c r="AP99" s="3">
        <v>46.258964232488822</v>
      </c>
    </row>
    <row r="100" spans="2:42" x14ac:dyDescent="0.4">
      <c r="B100" s="20">
        <v>46301</v>
      </c>
      <c r="C100" s="2" t="s">
        <v>22</v>
      </c>
      <c r="D100" s="7">
        <v>7</v>
      </c>
      <c r="E100">
        <v>124</v>
      </c>
      <c r="F100" s="7">
        <v>71</v>
      </c>
      <c r="G100">
        <v>47.2</v>
      </c>
      <c r="H100">
        <v>40</v>
      </c>
      <c r="I100">
        <v>9</v>
      </c>
      <c r="J100">
        <v>151</v>
      </c>
      <c r="K100" s="15">
        <f t="shared" si="0"/>
        <v>294.45</v>
      </c>
      <c r="L100" s="7">
        <f>4657.44</f>
        <v>4657.4399999999996</v>
      </c>
      <c r="M100" s="7" t="s">
        <v>40</v>
      </c>
      <c r="N100" s="15">
        <f>102.14</f>
        <v>102.14</v>
      </c>
      <c r="O100">
        <v>2.02</v>
      </c>
      <c r="P100">
        <v>2.2999999999999998</v>
      </c>
      <c r="Q100">
        <v>57.15</v>
      </c>
      <c r="R100" s="15">
        <v>0.72</v>
      </c>
      <c r="S100">
        <v>97.32</v>
      </c>
      <c r="T100">
        <v>37.01</v>
      </c>
      <c r="U100" s="27">
        <f t="shared" si="1"/>
        <v>103.93181987000928</v>
      </c>
      <c r="V100" s="27">
        <f t="shared" si="2"/>
        <v>27.705131348511387</v>
      </c>
      <c r="W100" s="27">
        <f t="shared" si="3"/>
        <v>196.6981801299907</v>
      </c>
      <c r="X100" s="28">
        <f t="shared" si="4"/>
        <v>76.714868651488629</v>
      </c>
      <c r="Y100">
        <v>23.03</v>
      </c>
      <c r="Z100" s="15">
        <f t="shared" si="5"/>
        <v>0.82278481012658233</v>
      </c>
      <c r="AB100" s="23">
        <v>39</v>
      </c>
      <c r="AC100">
        <v>11.17</v>
      </c>
      <c r="AD100">
        <v>3.03</v>
      </c>
      <c r="AE100">
        <v>21.14</v>
      </c>
      <c r="AF100">
        <v>8.39</v>
      </c>
      <c r="AG100">
        <v>268.32</v>
      </c>
      <c r="AH100" s="24">
        <v>93</v>
      </c>
      <c r="AI100" s="3">
        <f t="shared" si="6"/>
        <v>0.26532399299474607</v>
      </c>
      <c r="AJ100" s="3">
        <f t="shared" si="7"/>
        <v>0.73467600700525404</v>
      </c>
      <c r="AK100" s="3">
        <f t="shared" si="8"/>
        <v>24.675131348511385</v>
      </c>
      <c r="AL100" s="3">
        <f t="shared" si="9"/>
        <v>68.324868651488629</v>
      </c>
      <c r="AM100" s="3">
        <v>92.761819870009276</v>
      </c>
      <c r="AN100" s="3">
        <v>24.675131348511385</v>
      </c>
      <c r="AO100" s="3">
        <v>175.55818012999069</v>
      </c>
      <c r="AP100" s="3">
        <v>68.324868651488629</v>
      </c>
    </row>
    <row r="101" spans="2:42" x14ac:dyDescent="0.4">
      <c r="B101" s="20">
        <v>46301</v>
      </c>
      <c r="C101" s="2" t="s">
        <v>22</v>
      </c>
      <c r="D101" s="7">
        <v>8</v>
      </c>
      <c r="E101">
        <v>115</v>
      </c>
      <c r="F101" s="7">
        <v>68</v>
      </c>
      <c r="G101">
        <v>40</v>
      </c>
      <c r="H101">
        <v>45</v>
      </c>
      <c r="I101">
        <v>7</v>
      </c>
      <c r="J101">
        <v>124</v>
      </c>
      <c r="K101" s="15">
        <f t="shared" si="0"/>
        <v>241.8</v>
      </c>
      <c r="L101" s="7">
        <f>3798.38</f>
        <v>3798.38</v>
      </c>
      <c r="M101" s="7" t="s">
        <v>40</v>
      </c>
      <c r="N101" s="15">
        <f>96.1</f>
        <v>96.1</v>
      </c>
      <c r="O101">
        <v>3.03</v>
      </c>
      <c r="P101">
        <v>3.35</v>
      </c>
      <c r="Q101">
        <v>59.42</v>
      </c>
      <c r="R101" s="15">
        <v>0.95</v>
      </c>
      <c r="S101">
        <v>101.79</v>
      </c>
      <c r="T101">
        <v>44.41</v>
      </c>
      <c r="U101" s="27">
        <f t="shared" si="1"/>
        <v>65.732613325220569</v>
      </c>
      <c r="V101" s="27">
        <f t="shared" si="2"/>
        <v>19.589149952244508</v>
      </c>
      <c r="W101" s="27">
        <f t="shared" si="3"/>
        <v>124.96738667477945</v>
      </c>
      <c r="X101" s="28">
        <f t="shared" si="4"/>
        <v>41.090850047755495</v>
      </c>
      <c r="Y101">
        <v>47.05</v>
      </c>
      <c r="Z101" s="15">
        <f t="shared" si="5"/>
        <v>0.86666666666666659</v>
      </c>
      <c r="AB101" s="23">
        <v>39</v>
      </c>
      <c r="AC101">
        <v>11.33</v>
      </c>
      <c r="AD101">
        <v>3.38</v>
      </c>
      <c r="AE101">
        <v>21.54</v>
      </c>
      <c r="AF101">
        <v>7.09</v>
      </c>
      <c r="AG101">
        <v>157.83000000000001</v>
      </c>
      <c r="AH101" s="24">
        <v>50.21</v>
      </c>
      <c r="AI101" s="3">
        <f t="shared" si="6"/>
        <v>0.32282712511938877</v>
      </c>
      <c r="AJ101" s="3">
        <f t="shared" si="7"/>
        <v>0.67717287488061129</v>
      </c>
      <c r="AK101" s="3">
        <f t="shared" si="8"/>
        <v>16.209149952244509</v>
      </c>
      <c r="AL101" s="3">
        <f t="shared" si="9"/>
        <v>34.000850047755492</v>
      </c>
      <c r="AM101" s="3">
        <v>54.402613325220571</v>
      </c>
      <c r="AN101" s="3">
        <v>16.209149952244509</v>
      </c>
      <c r="AO101" s="3">
        <v>103.42738667477944</v>
      </c>
      <c r="AP101" s="3">
        <v>34.000850047755492</v>
      </c>
    </row>
    <row r="102" spans="2:42" s="5" customFormat="1" x14ac:dyDescent="0.4">
      <c r="B102" s="21">
        <v>46301</v>
      </c>
      <c r="C102" s="6" t="s">
        <v>22</v>
      </c>
      <c r="D102" s="8">
        <v>9</v>
      </c>
      <c r="E102" s="5">
        <v>133.5</v>
      </c>
      <c r="F102" s="8">
        <v>78</v>
      </c>
      <c r="G102" s="5">
        <v>46.1</v>
      </c>
      <c r="H102" s="5">
        <v>28</v>
      </c>
      <c r="I102" s="5">
        <v>5</v>
      </c>
      <c r="J102" s="5">
        <v>108</v>
      </c>
      <c r="K102" s="17">
        <f t="shared" si="0"/>
        <v>194.4</v>
      </c>
      <c r="L102" s="8">
        <f>3848.8</f>
        <v>3848.8</v>
      </c>
      <c r="M102" s="8" t="s">
        <v>40</v>
      </c>
      <c r="N102" s="17">
        <f>113.92</f>
        <v>113.92</v>
      </c>
      <c r="O102" s="5">
        <v>4.76</v>
      </c>
      <c r="P102" s="5">
        <v>5.33</v>
      </c>
      <c r="Q102" s="17">
        <v>64.680000000000007</v>
      </c>
      <c r="R102" s="17">
        <v>1.47</v>
      </c>
      <c r="S102" s="5">
        <v>100.05</v>
      </c>
      <c r="T102" s="17">
        <v>40.119999999999997</v>
      </c>
      <c r="U102" s="29">
        <f t="shared" si="1"/>
        <v>62.071192396313364</v>
      </c>
      <c r="V102" s="29">
        <f t="shared" si="2"/>
        <v>18.093134073441504</v>
      </c>
      <c r="W102" s="29">
        <f t="shared" si="3"/>
        <v>121.49880760368664</v>
      </c>
      <c r="X102" s="30">
        <f t="shared" si="4"/>
        <v>41.926865926558499</v>
      </c>
      <c r="Y102" s="17">
        <v>22.63</v>
      </c>
      <c r="Z102" s="15">
        <f t="shared" si="5"/>
        <v>0.8523316062176165</v>
      </c>
      <c r="AA102" s="17"/>
      <c r="AB102" s="22">
        <v>36</v>
      </c>
      <c r="AC102" s="5">
        <v>11.74</v>
      </c>
      <c r="AD102" s="17">
        <v>3.53</v>
      </c>
      <c r="AE102" s="5">
        <v>22.98</v>
      </c>
      <c r="AF102" s="17">
        <v>8.18</v>
      </c>
      <c r="AG102" s="5">
        <v>148.85</v>
      </c>
      <c r="AH102" s="25">
        <v>48.31</v>
      </c>
      <c r="AI102" s="3">
        <f t="shared" si="6"/>
        <v>0.30145175064047824</v>
      </c>
      <c r="AJ102" s="3">
        <f t="shared" si="7"/>
        <v>0.69854824935952176</v>
      </c>
      <c r="AK102" s="3">
        <f t="shared" si="8"/>
        <v>14.563134073441505</v>
      </c>
      <c r="AL102" s="3">
        <f t="shared" si="9"/>
        <v>33.746865926558499</v>
      </c>
      <c r="AM102" s="3">
        <v>50.331192396313362</v>
      </c>
      <c r="AN102" s="3">
        <v>14.563134073441505</v>
      </c>
      <c r="AO102" s="3">
        <v>98.518807603686639</v>
      </c>
      <c r="AP102" s="3">
        <v>33.746865926558499</v>
      </c>
    </row>
    <row r="103" spans="2:42" x14ac:dyDescent="0.4">
      <c r="B103" s="20">
        <v>46301</v>
      </c>
      <c r="C103" s="2" t="s">
        <v>23</v>
      </c>
      <c r="D103" s="7">
        <v>1</v>
      </c>
      <c r="E103">
        <v>121</v>
      </c>
      <c r="F103" s="7">
        <v>63.5</v>
      </c>
      <c r="G103">
        <v>19.399999999999999</v>
      </c>
      <c r="H103">
        <v>25</v>
      </c>
      <c r="I103">
        <v>5</v>
      </c>
      <c r="J103">
        <v>121</v>
      </c>
      <c r="K103" s="15">
        <f t="shared" si="0"/>
        <v>254.1</v>
      </c>
      <c r="L103" s="7">
        <v>3960.7</v>
      </c>
      <c r="M103" s="7" t="s">
        <v>40</v>
      </c>
      <c r="N103" s="15">
        <v>84.57</v>
      </c>
      <c r="O103">
        <v>1.56</v>
      </c>
      <c r="P103">
        <v>1.67</v>
      </c>
      <c r="Q103">
        <v>22.81</v>
      </c>
      <c r="R103" s="15">
        <v>0.54</v>
      </c>
      <c r="S103">
        <v>88.6</v>
      </c>
      <c r="T103">
        <v>23.97</v>
      </c>
      <c r="U103" s="27">
        <f t="shared" si="1"/>
        <v>76.113068181818193</v>
      </c>
      <c r="V103" s="27">
        <f t="shared" si="2"/>
        <v>18.232919776119406</v>
      </c>
      <c r="W103" s="27">
        <f t="shared" si="3"/>
        <v>115.25693181818183</v>
      </c>
      <c r="X103" s="28">
        <f t="shared" si="4"/>
        <v>42.657080223880598</v>
      </c>
      <c r="Y103">
        <v>29.7</v>
      </c>
      <c r="Z103" s="15">
        <f t="shared" si="5"/>
        <v>0.90265486725663724</v>
      </c>
      <c r="AA103" s="15">
        <f>AVERAGE(Z103:Z108)</f>
        <v>0.91998313630748374</v>
      </c>
      <c r="AB103" s="23">
        <v>42</v>
      </c>
      <c r="AC103">
        <v>13.3</v>
      </c>
      <c r="AD103">
        <v>3.21</v>
      </c>
      <c r="AE103">
        <v>20.14</v>
      </c>
      <c r="AF103">
        <v>7.51</v>
      </c>
      <c r="AG103">
        <v>157.93</v>
      </c>
      <c r="AH103" s="24">
        <v>50.17</v>
      </c>
      <c r="AI103" s="3">
        <f t="shared" si="6"/>
        <v>0.29944029850746273</v>
      </c>
      <c r="AJ103" s="3">
        <f t="shared" si="7"/>
        <v>0.70055970149253732</v>
      </c>
      <c r="AK103" s="3">
        <f t="shared" si="8"/>
        <v>15.022919776119405</v>
      </c>
      <c r="AL103" s="3">
        <f t="shared" si="9"/>
        <v>35.1470802238806</v>
      </c>
      <c r="AM103" s="3">
        <v>62.813068181818188</v>
      </c>
      <c r="AN103" s="3">
        <v>15.022919776119405</v>
      </c>
      <c r="AO103" s="3">
        <v>95.116931818181826</v>
      </c>
      <c r="AP103" s="3">
        <v>35.1470802238806</v>
      </c>
    </row>
    <row r="104" spans="2:42" x14ac:dyDescent="0.4">
      <c r="B104" s="20">
        <v>46301</v>
      </c>
      <c r="C104" s="2" t="s">
        <v>23</v>
      </c>
      <c r="D104" s="7">
        <v>2</v>
      </c>
      <c r="E104">
        <v>116</v>
      </c>
      <c r="F104" s="7">
        <v>75.5</v>
      </c>
      <c r="G104">
        <v>39.200000000000003</v>
      </c>
      <c r="H104">
        <v>39</v>
      </c>
      <c r="I104">
        <v>4</v>
      </c>
      <c r="J104">
        <v>220</v>
      </c>
      <c r="K104" s="15">
        <f t="shared" si="0"/>
        <v>495</v>
      </c>
      <c r="L104" s="7">
        <f>2974.04</f>
        <v>2974.04</v>
      </c>
      <c r="M104" s="7" t="s">
        <v>40</v>
      </c>
      <c r="N104" s="15">
        <f>84.06</f>
        <v>84.06</v>
      </c>
      <c r="O104">
        <v>2.66</v>
      </c>
      <c r="P104">
        <v>2.77</v>
      </c>
      <c r="Q104">
        <v>40.54</v>
      </c>
      <c r="R104" s="15">
        <v>0.82</v>
      </c>
      <c r="S104">
        <f>101.81</f>
        <v>101.81</v>
      </c>
      <c r="T104">
        <v>31.49</v>
      </c>
      <c r="U104" s="27">
        <f t="shared" si="1"/>
        <v>137.8887063453025</v>
      </c>
      <c r="V104" s="27">
        <f t="shared" si="2"/>
        <v>36.087027439024396</v>
      </c>
      <c r="W104" s="27">
        <f t="shared" si="3"/>
        <v>223.59129365469749</v>
      </c>
      <c r="X104" s="28">
        <f t="shared" si="4"/>
        <v>77.45297256097561</v>
      </c>
      <c r="Y104">
        <v>63</v>
      </c>
      <c r="Z104" s="15">
        <f t="shared" si="5"/>
        <v>0.94358974358974368</v>
      </c>
      <c r="AB104" s="23">
        <v>45</v>
      </c>
      <c r="AC104">
        <v>15.51</v>
      </c>
      <c r="AD104">
        <v>4.17</v>
      </c>
      <c r="AE104">
        <v>25.15</v>
      </c>
      <c r="AF104">
        <v>8.9499999999999993</v>
      </c>
      <c r="AG104">
        <v>320.82</v>
      </c>
      <c r="AH104" s="24">
        <v>100.42</v>
      </c>
      <c r="AI104" s="3">
        <f t="shared" si="6"/>
        <v>0.31783536585365857</v>
      </c>
      <c r="AJ104" s="3">
        <f t="shared" si="7"/>
        <v>0.68216463414634143</v>
      </c>
      <c r="AK104" s="3">
        <f t="shared" si="8"/>
        <v>31.917027439024395</v>
      </c>
      <c r="AL104" s="3">
        <f t="shared" si="9"/>
        <v>68.502972560975607</v>
      </c>
      <c r="AM104" s="3">
        <v>122.3787063453025</v>
      </c>
      <c r="AN104" s="3">
        <v>31.917027439024395</v>
      </c>
      <c r="AO104" s="3">
        <v>198.44129365469749</v>
      </c>
      <c r="AP104" s="3">
        <v>68.502972560975607</v>
      </c>
    </row>
    <row r="105" spans="2:42" x14ac:dyDescent="0.4">
      <c r="B105" s="20">
        <v>46301</v>
      </c>
      <c r="C105" s="2" t="s">
        <v>23</v>
      </c>
      <c r="D105" s="7">
        <v>3</v>
      </c>
      <c r="E105">
        <v>130.5</v>
      </c>
      <c r="F105" s="7">
        <v>76.5</v>
      </c>
      <c r="G105">
        <v>36</v>
      </c>
      <c r="H105">
        <v>37</v>
      </c>
      <c r="I105">
        <v>9</v>
      </c>
      <c r="J105">
        <v>165</v>
      </c>
      <c r="K105" s="15">
        <f t="shared" si="0"/>
        <v>330</v>
      </c>
      <c r="L105" s="7">
        <f>4199.33</f>
        <v>4199.33</v>
      </c>
      <c r="M105" s="7" t="s">
        <v>40</v>
      </c>
      <c r="N105" s="15">
        <f>96.32</f>
        <v>96.32</v>
      </c>
      <c r="O105">
        <v>3.78</v>
      </c>
      <c r="P105">
        <v>3.99</v>
      </c>
      <c r="Q105">
        <v>26.05</v>
      </c>
      <c r="R105" s="15">
        <v>1.28</v>
      </c>
      <c r="S105">
        <f>77.17</f>
        <v>77.17</v>
      </c>
      <c r="T105">
        <v>22.62</v>
      </c>
      <c r="U105" s="27">
        <f t="shared" si="1"/>
        <v>90.726037249283664</v>
      </c>
      <c r="V105" s="27">
        <f t="shared" si="2"/>
        <v>20.906110615521854</v>
      </c>
      <c r="W105" s="27">
        <f t="shared" si="3"/>
        <v>143.64396275071636</v>
      </c>
      <c r="X105" s="28">
        <f t="shared" si="4"/>
        <v>51.203889384478138</v>
      </c>
      <c r="Y105">
        <v>21.67</v>
      </c>
      <c r="Z105" s="15">
        <f t="shared" si="5"/>
        <v>0.92250922509225097</v>
      </c>
      <c r="AB105" s="23">
        <v>40</v>
      </c>
      <c r="AC105">
        <v>13.51</v>
      </c>
      <c r="AD105">
        <v>3.25</v>
      </c>
      <c r="AE105">
        <v>21.39</v>
      </c>
      <c r="AF105">
        <v>7.96</v>
      </c>
      <c r="AG105">
        <v>199.47</v>
      </c>
      <c r="AH105" s="24">
        <v>60.9</v>
      </c>
      <c r="AI105" s="3">
        <f t="shared" si="6"/>
        <v>0.28991971454058874</v>
      </c>
      <c r="AJ105" s="3">
        <f t="shared" si="7"/>
        <v>0.71008028545941115</v>
      </c>
      <c r="AK105" s="3">
        <f t="shared" si="8"/>
        <v>17.656110615521854</v>
      </c>
      <c r="AL105" s="3">
        <f t="shared" si="9"/>
        <v>43.243889384478138</v>
      </c>
      <c r="AM105" s="3">
        <v>77.216037249283659</v>
      </c>
      <c r="AN105" s="3">
        <v>17.656110615521854</v>
      </c>
      <c r="AO105" s="3">
        <v>122.25396275071634</v>
      </c>
      <c r="AP105" s="3">
        <v>43.243889384478138</v>
      </c>
    </row>
    <row r="106" spans="2:42" x14ac:dyDescent="0.4">
      <c r="B106" s="20">
        <v>46301</v>
      </c>
      <c r="C106" s="2" t="s">
        <v>23</v>
      </c>
      <c r="D106" s="7">
        <v>4</v>
      </c>
      <c r="E106">
        <v>123</v>
      </c>
      <c r="F106" s="7">
        <v>77</v>
      </c>
      <c r="G106">
        <v>41.3</v>
      </c>
      <c r="H106">
        <v>43</v>
      </c>
      <c r="I106">
        <v>6</v>
      </c>
      <c r="J106">
        <v>202</v>
      </c>
      <c r="K106" s="15">
        <f t="shared" si="0"/>
        <v>373.7</v>
      </c>
      <c r="L106" s="7">
        <v>5756.18</v>
      </c>
      <c r="M106" s="7" t="s">
        <v>40</v>
      </c>
      <c r="N106" s="15">
        <v>142.11000000000001</v>
      </c>
      <c r="O106">
        <v>3.37</v>
      </c>
      <c r="P106">
        <v>3.61</v>
      </c>
      <c r="Q106">
        <v>48.45</v>
      </c>
      <c r="R106" s="15">
        <v>1.07</v>
      </c>
      <c r="S106">
        <v>99.36</v>
      </c>
      <c r="T106">
        <v>29.23</v>
      </c>
      <c r="U106" s="27">
        <f t="shared" si="1"/>
        <v>130.74533333333332</v>
      </c>
      <c r="V106" s="27">
        <f t="shared" si="2"/>
        <v>31.05291629162916</v>
      </c>
      <c r="W106" s="27">
        <f t="shared" si="3"/>
        <v>190.82466666666664</v>
      </c>
      <c r="X106" s="28">
        <f t="shared" si="4"/>
        <v>67.237083708370832</v>
      </c>
      <c r="Y106">
        <v>32.96</v>
      </c>
      <c r="Z106" s="15">
        <f t="shared" si="5"/>
        <v>0.90551181102362199</v>
      </c>
      <c r="AB106" s="23">
        <v>37</v>
      </c>
      <c r="AC106">
        <v>14.82</v>
      </c>
      <c r="AD106">
        <v>3.51</v>
      </c>
      <c r="AE106">
        <v>21.63</v>
      </c>
      <c r="AF106">
        <v>7.6</v>
      </c>
      <c r="AG106">
        <v>285.12</v>
      </c>
      <c r="AH106" s="24">
        <v>87.18</v>
      </c>
      <c r="AI106" s="3">
        <f t="shared" si="6"/>
        <v>0.3159315931593159</v>
      </c>
      <c r="AJ106" s="3">
        <f t="shared" si="7"/>
        <v>0.68406840684068404</v>
      </c>
      <c r="AK106" s="3">
        <f t="shared" si="8"/>
        <v>27.542916291629162</v>
      </c>
      <c r="AL106" s="3">
        <f t="shared" si="9"/>
        <v>59.637083708370838</v>
      </c>
      <c r="AM106" s="3">
        <v>115.92533333333333</v>
      </c>
      <c r="AN106" s="3">
        <v>27.542916291629162</v>
      </c>
      <c r="AO106" s="3">
        <v>169.19466666666665</v>
      </c>
      <c r="AP106" s="3">
        <v>59.637083708370838</v>
      </c>
    </row>
    <row r="107" spans="2:42" x14ac:dyDescent="0.4">
      <c r="B107" s="20">
        <v>46301</v>
      </c>
      <c r="C107" s="2" t="s">
        <v>23</v>
      </c>
      <c r="D107" s="7">
        <v>5</v>
      </c>
      <c r="E107">
        <v>133</v>
      </c>
      <c r="F107" s="7">
        <v>82</v>
      </c>
      <c r="G107">
        <v>39.9</v>
      </c>
      <c r="H107">
        <v>43</v>
      </c>
      <c r="I107">
        <v>7</v>
      </c>
      <c r="J107">
        <v>182</v>
      </c>
      <c r="K107" s="15">
        <f t="shared" si="0"/>
        <v>382.2</v>
      </c>
      <c r="L107" s="7">
        <v>5861.78</v>
      </c>
      <c r="M107" s="7" t="s">
        <v>40</v>
      </c>
      <c r="N107" s="15">
        <v>129.88</v>
      </c>
      <c r="O107">
        <v>3.8</v>
      </c>
      <c r="P107">
        <v>3.99</v>
      </c>
      <c r="Q107">
        <v>41.78</v>
      </c>
      <c r="R107" s="15">
        <v>1.21</v>
      </c>
      <c r="S107">
        <v>102.43</v>
      </c>
      <c r="T107">
        <v>28.77</v>
      </c>
      <c r="U107" s="27">
        <f t="shared" si="1"/>
        <v>118.86416408668731</v>
      </c>
      <c r="V107" s="27">
        <f t="shared" si="2"/>
        <v>28.755143540669859</v>
      </c>
      <c r="W107" s="27">
        <f t="shared" si="3"/>
        <v>207.88583591331269</v>
      </c>
      <c r="X107" s="28">
        <f t="shared" si="4"/>
        <v>73.394856459330143</v>
      </c>
      <c r="Y107">
        <v>28.56</v>
      </c>
      <c r="Z107" s="15">
        <f t="shared" si="5"/>
        <v>0.93165467625899268</v>
      </c>
      <c r="AB107" s="23">
        <v>42</v>
      </c>
      <c r="AC107">
        <v>14.1</v>
      </c>
      <c r="AD107">
        <v>3.53</v>
      </c>
      <c r="AE107">
        <v>24.66</v>
      </c>
      <c r="AF107">
        <v>9.01</v>
      </c>
      <c r="AG107">
        <v>287.99</v>
      </c>
      <c r="AH107" s="24">
        <v>89.61</v>
      </c>
      <c r="AI107" s="3">
        <f t="shared" si="6"/>
        <v>0.28149920255183414</v>
      </c>
      <c r="AJ107" s="3">
        <f t="shared" si="7"/>
        <v>0.71850079744816586</v>
      </c>
      <c r="AK107" s="3">
        <f t="shared" si="8"/>
        <v>25.225143540669858</v>
      </c>
      <c r="AL107" s="3">
        <f t="shared" si="9"/>
        <v>64.384856459330138</v>
      </c>
      <c r="AM107" s="3">
        <v>104.76416408668732</v>
      </c>
      <c r="AN107" s="3">
        <v>25.225143540669858</v>
      </c>
      <c r="AO107" s="3">
        <v>183.22583591331269</v>
      </c>
      <c r="AP107" s="3">
        <v>64.384856459330138</v>
      </c>
    </row>
    <row r="108" spans="2:42" s="5" customFormat="1" x14ac:dyDescent="0.4">
      <c r="B108" s="21">
        <v>46301</v>
      </c>
      <c r="C108" s="6" t="s">
        <v>23</v>
      </c>
      <c r="D108" s="8">
        <v>6</v>
      </c>
      <c r="E108" s="5">
        <v>127.5</v>
      </c>
      <c r="F108" s="8">
        <v>77</v>
      </c>
      <c r="G108" s="5">
        <v>32.4</v>
      </c>
      <c r="H108" s="5">
        <v>37</v>
      </c>
      <c r="I108" s="5">
        <v>5</v>
      </c>
      <c r="J108" s="5">
        <v>184</v>
      </c>
      <c r="K108" s="17">
        <f t="shared" si="0"/>
        <v>340.4</v>
      </c>
      <c r="L108" s="8">
        <v>6326.7</v>
      </c>
      <c r="M108" s="8" t="s">
        <v>40</v>
      </c>
      <c r="N108" s="17">
        <v>157.83000000000001</v>
      </c>
      <c r="O108" s="5">
        <v>3.91</v>
      </c>
      <c r="P108" s="5">
        <v>4.1500000000000004</v>
      </c>
      <c r="Q108" s="17">
        <v>46.82</v>
      </c>
      <c r="R108" s="17">
        <v>1.36</v>
      </c>
      <c r="S108" s="5">
        <v>136.08000000000001</v>
      </c>
      <c r="T108" s="17">
        <v>42.65</v>
      </c>
      <c r="U108" s="29">
        <f t="shared" si="1"/>
        <v>108.81349397590363</v>
      </c>
      <c r="V108" s="29">
        <f t="shared" si="2"/>
        <v>28.887284287011809</v>
      </c>
      <c r="W108" s="29">
        <f t="shared" si="3"/>
        <v>179.4265060240964</v>
      </c>
      <c r="X108" s="30">
        <f t="shared" si="4"/>
        <v>66.052715712988203</v>
      </c>
      <c r="Y108" s="17">
        <v>34.869999999999997</v>
      </c>
      <c r="Z108" s="15">
        <f t="shared" si="5"/>
        <v>0.91397849462365588</v>
      </c>
      <c r="AA108" s="17"/>
      <c r="AB108" s="22">
        <v>37</v>
      </c>
      <c r="AC108" s="5">
        <v>12.22</v>
      </c>
      <c r="AD108" s="17">
        <v>3.35</v>
      </c>
      <c r="AE108" s="5">
        <v>20.149999999999999</v>
      </c>
      <c r="AF108" s="17">
        <v>7.66</v>
      </c>
      <c r="AG108" s="5">
        <v>255.87</v>
      </c>
      <c r="AH108" s="25">
        <v>83.93</v>
      </c>
      <c r="AI108" s="3">
        <f t="shared" si="6"/>
        <v>0.30426884650317892</v>
      </c>
      <c r="AJ108" s="3">
        <f t="shared" si="7"/>
        <v>0.69573115349682113</v>
      </c>
      <c r="AK108" s="3">
        <f t="shared" si="8"/>
        <v>25.537284287011808</v>
      </c>
      <c r="AL108" s="3">
        <f t="shared" si="9"/>
        <v>58.392715712988199</v>
      </c>
      <c r="AM108" s="3">
        <v>96.593493975903627</v>
      </c>
      <c r="AN108" s="3">
        <v>25.537284287011808</v>
      </c>
      <c r="AO108" s="3">
        <v>159.27650602409639</v>
      </c>
      <c r="AP108" s="3">
        <v>58.392715712988199</v>
      </c>
    </row>
    <row r="109" spans="2:42" x14ac:dyDescent="0.4">
      <c r="B109" s="20">
        <v>46301</v>
      </c>
      <c r="C109" s="2" t="s">
        <v>24</v>
      </c>
      <c r="D109" s="7">
        <v>1</v>
      </c>
      <c r="E109">
        <v>130</v>
      </c>
      <c r="F109" s="7">
        <v>75</v>
      </c>
      <c r="G109">
        <v>44.1</v>
      </c>
      <c r="H109">
        <v>48</v>
      </c>
      <c r="I109">
        <v>10</v>
      </c>
      <c r="J109">
        <v>148</v>
      </c>
      <c r="K109" s="15">
        <f t="shared" si="0"/>
        <v>325.60000000000002</v>
      </c>
      <c r="L109" s="7">
        <v>6405.5</v>
      </c>
      <c r="M109" s="7" t="s">
        <v>40</v>
      </c>
      <c r="N109" s="15">
        <v>162.94999999999999</v>
      </c>
      <c r="O109">
        <v>1.42</v>
      </c>
      <c r="P109">
        <v>1.51</v>
      </c>
      <c r="Q109">
        <v>77.02</v>
      </c>
      <c r="R109" s="15">
        <v>0.47</v>
      </c>
      <c r="S109">
        <v>145.66</v>
      </c>
      <c r="T109">
        <v>47.61</v>
      </c>
      <c r="U109" s="27">
        <f t="shared" si="1"/>
        <v>85.325957040572789</v>
      </c>
      <c r="V109" s="27">
        <f t="shared" si="2"/>
        <v>22.282959641255609</v>
      </c>
      <c r="W109" s="27">
        <f t="shared" si="3"/>
        <v>167.51404295942717</v>
      </c>
      <c r="X109" s="28">
        <f t="shared" si="4"/>
        <v>58.297040358744397</v>
      </c>
      <c r="Y109">
        <v>29.51</v>
      </c>
      <c r="Z109" s="15">
        <f t="shared" si="5"/>
        <v>0.91346153846153844</v>
      </c>
      <c r="AA109" s="15">
        <f>AVERAGE(Z109:Z114)</f>
        <v>0.91537972888399854</v>
      </c>
      <c r="AB109" s="23">
        <v>44</v>
      </c>
      <c r="AC109">
        <v>14.14</v>
      </c>
      <c r="AD109">
        <v>3.7</v>
      </c>
      <c r="AE109">
        <v>27.76</v>
      </c>
      <c r="AF109">
        <v>9.68</v>
      </c>
      <c r="AG109">
        <v>210.94</v>
      </c>
      <c r="AH109" s="24">
        <v>67.2</v>
      </c>
      <c r="AI109" s="3">
        <f t="shared" si="6"/>
        <v>0.27653213751868466</v>
      </c>
      <c r="AJ109" s="3">
        <f t="shared" si="7"/>
        <v>0.72346786248131545</v>
      </c>
      <c r="AK109" s="3">
        <f t="shared" si="8"/>
        <v>18.582959641255609</v>
      </c>
      <c r="AL109" s="3">
        <f t="shared" si="9"/>
        <v>48.617040358744397</v>
      </c>
      <c r="AM109" s="3">
        <v>71.185957040572788</v>
      </c>
      <c r="AN109" s="3">
        <v>18.582959641255609</v>
      </c>
      <c r="AO109" s="3">
        <v>139.75404295942718</v>
      </c>
      <c r="AP109" s="3">
        <v>48.617040358744397</v>
      </c>
    </row>
    <row r="110" spans="2:42" x14ac:dyDescent="0.4">
      <c r="B110" s="20">
        <v>46301</v>
      </c>
      <c r="C110" s="2" t="s">
        <v>24</v>
      </c>
      <c r="D110" s="7">
        <v>2</v>
      </c>
      <c r="E110">
        <v>127</v>
      </c>
      <c r="F110" s="7">
        <v>77</v>
      </c>
      <c r="G110">
        <v>39.5</v>
      </c>
      <c r="H110">
        <v>49</v>
      </c>
      <c r="I110">
        <v>9</v>
      </c>
      <c r="J110">
        <v>163</v>
      </c>
      <c r="K110" s="15">
        <f t="shared" si="0"/>
        <v>334.15</v>
      </c>
      <c r="L110" s="7">
        <v>7182.79</v>
      </c>
      <c r="M110" s="7" t="s">
        <v>40</v>
      </c>
      <c r="N110" s="15">
        <v>189.94</v>
      </c>
      <c r="O110">
        <v>1.48</v>
      </c>
      <c r="P110">
        <v>1.58</v>
      </c>
      <c r="Q110">
        <v>82.08</v>
      </c>
      <c r="R110" s="15">
        <v>0.49</v>
      </c>
      <c r="S110">
        <v>161.61000000000001</v>
      </c>
      <c r="T110">
        <v>46.69</v>
      </c>
      <c r="U110" s="27">
        <f t="shared" si="1"/>
        <v>106.92604685212299</v>
      </c>
      <c r="V110" s="27">
        <f t="shared" si="2"/>
        <v>28.297469135802473</v>
      </c>
      <c r="W110" s="27">
        <f t="shared" si="3"/>
        <v>188.74395314787699</v>
      </c>
      <c r="X110" s="28">
        <f t="shared" si="4"/>
        <v>64.782530864197525</v>
      </c>
      <c r="Y110">
        <v>30.46</v>
      </c>
      <c r="Z110" s="15">
        <f t="shared" si="5"/>
        <v>0.90825688073394484</v>
      </c>
      <c r="AB110" s="23">
        <v>41</v>
      </c>
      <c r="AC110">
        <v>14.82</v>
      </c>
      <c r="AD110">
        <v>3.94</v>
      </c>
      <c r="AE110">
        <v>26.16</v>
      </c>
      <c r="AF110">
        <v>9.02</v>
      </c>
      <c r="AG110">
        <v>254.69</v>
      </c>
      <c r="AH110" s="24">
        <v>80.12</v>
      </c>
      <c r="AI110" s="3">
        <f t="shared" si="6"/>
        <v>0.30401234567901236</v>
      </c>
      <c r="AJ110" s="3">
        <f t="shared" si="7"/>
        <v>0.69598765432098764</v>
      </c>
      <c r="AK110" s="3">
        <f t="shared" si="8"/>
        <v>24.357469135802472</v>
      </c>
      <c r="AL110" s="3">
        <f t="shared" si="9"/>
        <v>55.762530864197529</v>
      </c>
      <c r="AM110" s="3">
        <v>92.106046852122986</v>
      </c>
      <c r="AN110" s="3">
        <v>24.357469135802472</v>
      </c>
      <c r="AO110" s="3">
        <v>162.583953147877</v>
      </c>
      <c r="AP110" s="3">
        <v>55.762530864197529</v>
      </c>
    </row>
    <row r="111" spans="2:42" x14ac:dyDescent="0.4">
      <c r="B111" s="20">
        <v>46301</v>
      </c>
      <c r="C111" s="2" t="s">
        <v>24</v>
      </c>
      <c r="D111" s="7">
        <v>3</v>
      </c>
      <c r="E111">
        <v>136.5</v>
      </c>
      <c r="F111" s="7">
        <v>82</v>
      </c>
      <c r="G111">
        <v>43.2</v>
      </c>
      <c r="H111">
        <v>11</v>
      </c>
      <c r="I111">
        <v>3</v>
      </c>
      <c r="J111">
        <v>74</v>
      </c>
      <c r="K111" s="15">
        <f t="shared" si="0"/>
        <v>140.6</v>
      </c>
      <c r="L111" s="7">
        <v>2854.99</v>
      </c>
      <c r="M111" s="7" t="s">
        <v>40</v>
      </c>
      <c r="N111" s="15">
        <v>71.36</v>
      </c>
      <c r="O111">
        <v>2.67</v>
      </c>
      <c r="P111">
        <v>2.77</v>
      </c>
      <c r="Q111">
        <v>19.690000000000001</v>
      </c>
      <c r="R111" s="15">
        <v>0.97</v>
      </c>
      <c r="S111">
        <v>109.36</v>
      </c>
      <c r="T111">
        <v>32.11</v>
      </c>
      <c r="U111" s="27">
        <f t="shared" si="1"/>
        <v>31.408721103653985</v>
      </c>
      <c r="V111" s="27">
        <f t="shared" si="2"/>
        <v>8.2988589881593118</v>
      </c>
      <c r="W111" s="27">
        <f t="shared" si="3"/>
        <v>57.92127889634601</v>
      </c>
      <c r="X111" s="28">
        <f t="shared" si="4"/>
        <v>23.041141011840693</v>
      </c>
      <c r="Y111">
        <v>27.47</v>
      </c>
      <c r="Z111" s="15">
        <f t="shared" si="5"/>
        <v>0.94444444444444442</v>
      </c>
      <c r="AB111" s="23">
        <v>38</v>
      </c>
      <c r="AC111">
        <v>9.43</v>
      </c>
      <c r="AD111">
        <v>2.46</v>
      </c>
      <c r="AE111">
        <v>17.39</v>
      </c>
      <c r="AF111">
        <v>6.83</v>
      </c>
      <c r="AG111">
        <v>62.51</v>
      </c>
      <c r="AH111" s="24">
        <v>22.05</v>
      </c>
      <c r="AI111" s="3">
        <f t="shared" si="6"/>
        <v>0.26480086114101187</v>
      </c>
      <c r="AJ111" s="3">
        <f t="shared" si="7"/>
        <v>0.73519913885898824</v>
      </c>
      <c r="AK111" s="3">
        <f t="shared" si="8"/>
        <v>5.8388589881593118</v>
      </c>
      <c r="AL111" s="3">
        <f t="shared" si="9"/>
        <v>16.211141011840692</v>
      </c>
      <c r="AM111" s="3">
        <v>21.978721103653985</v>
      </c>
      <c r="AN111" s="3">
        <v>5.8388589881593118</v>
      </c>
      <c r="AO111" s="3">
        <v>40.531278896346009</v>
      </c>
      <c r="AP111" s="3">
        <v>16.211141011840692</v>
      </c>
    </row>
    <row r="112" spans="2:42" x14ac:dyDescent="0.4">
      <c r="B112" s="20">
        <v>46301</v>
      </c>
      <c r="C112" s="2" t="s">
        <v>24</v>
      </c>
      <c r="D112" s="7">
        <v>4</v>
      </c>
      <c r="E112">
        <v>133</v>
      </c>
      <c r="F112" s="7">
        <v>78</v>
      </c>
      <c r="G112">
        <v>51.3</v>
      </c>
      <c r="H112">
        <v>43</v>
      </c>
      <c r="I112">
        <v>9</v>
      </c>
      <c r="J112">
        <v>177</v>
      </c>
      <c r="K112" s="15">
        <f t="shared" si="0"/>
        <v>389.4</v>
      </c>
      <c r="L112" s="7">
        <v>3831.5</v>
      </c>
      <c r="M112" s="7" t="s">
        <v>40</v>
      </c>
      <c r="N112" s="15">
        <v>91.08</v>
      </c>
      <c r="O112">
        <v>2.14</v>
      </c>
      <c r="P112">
        <v>2.2799999999999998</v>
      </c>
      <c r="Q112">
        <v>49.64</v>
      </c>
      <c r="R112" s="15">
        <v>0.73</v>
      </c>
      <c r="S112">
        <v>145.97</v>
      </c>
      <c r="T112">
        <v>47.08</v>
      </c>
      <c r="U112" s="27">
        <f t="shared" si="1"/>
        <v>103.61674475955611</v>
      </c>
      <c r="V112" s="27">
        <f t="shared" si="2"/>
        <v>27.52045790251108</v>
      </c>
      <c r="W112" s="27">
        <f t="shared" si="3"/>
        <v>199.53325524044394</v>
      </c>
      <c r="X112" s="28">
        <f t="shared" si="4"/>
        <v>73.189542097488925</v>
      </c>
      <c r="Y112">
        <v>38.18</v>
      </c>
      <c r="Z112" s="15">
        <f t="shared" si="5"/>
        <v>0.90967741935483892</v>
      </c>
      <c r="AB112" s="23">
        <v>44</v>
      </c>
      <c r="AC112">
        <v>13.86</v>
      </c>
      <c r="AD112">
        <v>3.7</v>
      </c>
      <c r="AE112">
        <v>26.69</v>
      </c>
      <c r="AF112">
        <v>9.84</v>
      </c>
      <c r="AG112">
        <v>262.60000000000002</v>
      </c>
      <c r="AH112" s="24">
        <v>87.17</v>
      </c>
      <c r="AI112" s="3">
        <f t="shared" si="6"/>
        <v>0.27326440177252587</v>
      </c>
      <c r="AJ112" s="3">
        <f t="shared" si="7"/>
        <v>0.72673559822747413</v>
      </c>
      <c r="AK112" s="3">
        <f t="shared" si="8"/>
        <v>23.82045790251108</v>
      </c>
      <c r="AL112" s="3">
        <f t="shared" si="9"/>
        <v>63.349542097488921</v>
      </c>
      <c r="AM112" s="3">
        <v>89.756744759556113</v>
      </c>
      <c r="AN112" s="3">
        <v>23.82045790251108</v>
      </c>
      <c r="AO112" s="3">
        <v>172.84325524044394</v>
      </c>
      <c r="AP112" s="3">
        <v>63.349542097488921</v>
      </c>
    </row>
    <row r="113" spans="2:42" x14ac:dyDescent="0.4">
      <c r="B113" s="20">
        <v>46301</v>
      </c>
      <c r="C113" s="2" t="s">
        <v>24</v>
      </c>
      <c r="D113" s="7">
        <v>5</v>
      </c>
      <c r="E113">
        <v>133</v>
      </c>
      <c r="F113" s="7">
        <v>82</v>
      </c>
      <c r="G113">
        <v>49.7</v>
      </c>
      <c r="H113">
        <v>27</v>
      </c>
      <c r="I113">
        <v>5</v>
      </c>
      <c r="J113">
        <v>129</v>
      </c>
      <c r="K113" s="15">
        <f t="shared" si="0"/>
        <v>251.55</v>
      </c>
      <c r="L113" s="7">
        <v>4544.79</v>
      </c>
      <c r="M113" s="7" t="s">
        <v>40</v>
      </c>
      <c r="N113" s="15">
        <v>109.09</v>
      </c>
      <c r="O113">
        <v>3.28</v>
      </c>
      <c r="P113">
        <v>3.47</v>
      </c>
      <c r="Q113">
        <v>56.45</v>
      </c>
      <c r="R113" s="15">
        <v>1.1100000000000001</v>
      </c>
      <c r="S113">
        <v>111.66</v>
      </c>
      <c r="T113">
        <v>35.19</v>
      </c>
      <c r="U113" s="27">
        <f t="shared" si="1"/>
        <v>85.16947552447553</v>
      </c>
      <c r="V113" s="27">
        <f t="shared" si="2"/>
        <v>23.655230125523016</v>
      </c>
      <c r="W113" s="27">
        <f t="shared" si="3"/>
        <v>151.32052447552445</v>
      </c>
      <c r="X113" s="28">
        <f t="shared" si="4"/>
        <v>52.744769874476994</v>
      </c>
      <c r="Y113">
        <v>50.57</v>
      </c>
      <c r="Z113" s="15">
        <f t="shared" si="5"/>
        <v>0.9194915254237287</v>
      </c>
      <c r="AB113" s="23">
        <v>39</v>
      </c>
      <c r="AC113">
        <v>13.39</v>
      </c>
      <c r="AD113">
        <v>3.7</v>
      </c>
      <c r="AE113">
        <v>23.79</v>
      </c>
      <c r="AF113">
        <v>8.25</v>
      </c>
      <c r="AG113">
        <v>199.31</v>
      </c>
      <c r="AH113" s="24">
        <v>64.45</v>
      </c>
      <c r="AI113" s="3">
        <f t="shared" si="6"/>
        <v>0.30962343096234313</v>
      </c>
      <c r="AJ113" s="3">
        <f t="shared" si="7"/>
        <v>0.69037656903765698</v>
      </c>
      <c r="AK113" s="3">
        <f t="shared" si="8"/>
        <v>19.955230125523016</v>
      </c>
      <c r="AL113" s="3">
        <f t="shared" si="9"/>
        <v>44.494769874476994</v>
      </c>
      <c r="AM113" s="3">
        <v>71.779475524475529</v>
      </c>
      <c r="AN113" s="3">
        <v>19.955230125523016</v>
      </c>
      <c r="AO113" s="3">
        <v>127.53052447552446</v>
      </c>
      <c r="AP113" s="3">
        <v>44.494769874476994</v>
      </c>
    </row>
    <row r="114" spans="2:42" s="5" customFormat="1" x14ac:dyDescent="0.4">
      <c r="B114" s="21">
        <v>46301</v>
      </c>
      <c r="C114" s="6" t="s">
        <v>24</v>
      </c>
      <c r="D114" s="8">
        <v>6</v>
      </c>
      <c r="E114" s="5">
        <v>134.5</v>
      </c>
      <c r="F114" s="8">
        <v>80</v>
      </c>
      <c r="G114" s="5">
        <v>37.5</v>
      </c>
      <c r="H114" s="5">
        <v>45</v>
      </c>
      <c r="I114" s="5">
        <v>7</v>
      </c>
      <c r="J114" s="5">
        <v>173</v>
      </c>
      <c r="K114" s="17">
        <f t="shared" si="0"/>
        <v>354.65</v>
      </c>
      <c r="L114" s="8">
        <v>5510.75</v>
      </c>
      <c r="M114" s="8" t="s">
        <v>40</v>
      </c>
      <c r="N114" s="17">
        <v>137.02000000000001</v>
      </c>
      <c r="O114" s="5">
        <v>3.32</v>
      </c>
      <c r="P114" s="5">
        <v>3.59</v>
      </c>
      <c r="Q114" s="17">
        <v>56.73</v>
      </c>
      <c r="R114" s="17">
        <v>0.97</v>
      </c>
      <c r="S114" s="5">
        <v>125.3</v>
      </c>
      <c r="T114" s="17">
        <v>40.03</v>
      </c>
      <c r="U114" s="29">
        <f t="shared" si="1"/>
        <v>101.65719124544034</v>
      </c>
      <c r="V114" s="29">
        <f t="shared" si="2"/>
        <v>28.342634450506623</v>
      </c>
      <c r="W114" s="29">
        <f t="shared" si="3"/>
        <v>202.44280875455971</v>
      </c>
      <c r="X114" s="30">
        <f t="shared" si="4"/>
        <v>69.937365549493364</v>
      </c>
      <c r="Y114" s="17">
        <v>43.21</v>
      </c>
      <c r="Z114" s="15">
        <f t="shared" si="5"/>
        <v>0.89694656488549596</v>
      </c>
      <c r="AA114" s="17"/>
      <c r="AB114" s="22">
        <v>41</v>
      </c>
      <c r="AC114" s="5">
        <v>12.83</v>
      </c>
      <c r="AD114" s="17">
        <v>3.7</v>
      </c>
      <c r="AE114" s="5">
        <v>25.55</v>
      </c>
      <c r="AF114" s="17">
        <v>9.1300000000000008</v>
      </c>
      <c r="AG114" s="5">
        <v>265.72000000000003</v>
      </c>
      <c r="AH114" s="25">
        <v>85.45</v>
      </c>
      <c r="AI114" s="3">
        <f t="shared" si="6"/>
        <v>0.28838659392049881</v>
      </c>
      <c r="AJ114" s="3">
        <f t="shared" si="7"/>
        <v>0.71161340607950108</v>
      </c>
      <c r="AK114" s="3">
        <f t="shared" si="8"/>
        <v>24.642634450506623</v>
      </c>
      <c r="AL114" s="3">
        <f t="shared" si="9"/>
        <v>60.807365549493369</v>
      </c>
      <c r="AM114" s="3">
        <v>88.827191245440346</v>
      </c>
      <c r="AN114" s="3">
        <v>24.642634450506623</v>
      </c>
      <c r="AO114" s="3">
        <v>176.8928087545597</v>
      </c>
      <c r="AP114" s="3">
        <v>60.807365549493369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A588-921D-42B5-ACBD-D06F1653D8D2}">
  <dimension ref="A1:AP31"/>
  <sheetViews>
    <sheetView workbookViewId="0">
      <selection activeCell="T10" sqref="T10"/>
    </sheetView>
  </sheetViews>
  <sheetFormatPr defaultRowHeight="17.399999999999999" x14ac:dyDescent="0.4"/>
  <cols>
    <col min="1" max="1" width="11.09765625" bestFit="1" customWidth="1"/>
    <col min="3" max="3" width="11.0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53</v>
      </c>
      <c r="D1" s="9" t="s">
        <v>2</v>
      </c>
      <c r="E1" s="10" t="s">
        <v>3</v>
      </c>
      <c r="F1" s="9" t="s">
        <v>4</v>
      </c>
      <c r="G1" s="11" t="s">
        <v>5</v>
      </c>
      <c r="H1" s="10" t="s">
        <v>6</v>
      </c>
      <c r="I1" s="10" t="s">
        <v>7</v>
      </c>
      <c r="J1" s="10" t="s">
        <v>8</v>
      </c>
      <c r="K1" s="12" t="s">
        <v>9</v>
      </c>
      <c r="L1" s="12" t="s">
        <v>30</v>
      </c>
      <c r="M1" s="9" t="s">
        <v>10</v>
      </c>
      <c r="N1" s="11" t="s">
        <v>25</v>
      </c>
      <c r="O1" s="11" t="s">
        <v>26</v>
      </c>
      <c r="P1" s="11" t="s">
        <v>27</v>
      </c>
      <c r="Q1" s="11" t="s">
        <v>28</v>
      </c>
      <c r="R1" s="11" t="s">
        <v>11</v>
      </c>
      <c r="S1" s="11" t="s">
        <v>12</v>
      </c>
      <c r="T1" s="11" t="s">
        <v>13</v>
      </c>
      <c r="U1" s="9" t="s">
        <v>14</v>
      </c>
      <c r="V1" s="10" t="s">
        <v>29</v>
      </c>
      <c r="X1" s="1" t="s">
        <v>1</v>
      </c>
      <c r="Y1" s="10" t="s">
        <v>3</v>
      </c>
      <c r="Z1" s="9" t="s">
        <v>4</v>
      </c>
      <c r="AA1" s="11" t="s">
        <v>5</v>
      </c>
      <c r="AB1" s="10" t="s">
        <v>6</v>
      </c>
      <c r="AC1" s="10" t="s">
        <v>7</v>
      </c>
      <c r="AD1" s="10" t="s">
        <v>8</v>
      </c>
      <c r="AE1" s="12" t="s">
        <v>9</v>
      </c>
      <c r="AF1" s="12" t="s">
        <v>30</v>
      </c>
      <c r="AG1" s="9" t="s">
        <v>10</v>
      </c>
      <c r="AH1" s="11" t="s">
        <v>25</v>
      </c>
      <c r="AI1" s="11" t="s">
        <v>26</v>
      </c>
      <c r="AJ1" s="11" t="s">
        <v>27</v>
      </c>
      <c r="AK1" s="11" t="s">
        <v>28</v>
      </c>
      <c r="AL1" s="11" t="s">
        <v>11</v>
      </c>
      <c r="AM1" s="11" t="s">
        <v>12</v>
      </c>
      <c r="AN1" s="11" t="s">
        <v>13</v>
      </c>
      <c r="AO1" s="9" t="s">
        <v>14</v>
      </c>
      <c r="AP1" s="10" t="s">
        <v>29</v>
      </c>
    </row>
    <row r="2" spans="1:42" ht="18" thickTop="1" x14ac:dyDescent="0.4">
      <c r="A2" s="2">
        <v>46266</v>
      </c>
      <c r="B2" s="2" t="s">
        <v>18</v>
      </c>
      <c r="C2">
        <v>1</v>
      </c>
      <c r="D2" s="7">
        <v>1</v>
      </c>
      <c r="E2">
        <v>134.5</v>
      </c>
      <c r="F2" s="7">
        <v>85</v>
      </c>
      <c r="G2">
        <v>41.2</v>
      </c>
      <c r="H2">
        <v>36</v>
      </c>
      <c r="I2">
        <v>5</v>
      </c>
      <c r="J2" s="32">
        <v>90</v>
      </c>
      <c r="K2">
        <v>164</v>
      </c>
      <c r="L2" s="7">
        <v>8163.25</v>
      </c>
      <c r="M2" s="7" t="s">
        <v>19</v>
      </c>
      <c r="N2">
        <v>186.6</v>
      </c>
      <c r="O2">
        <v>42.62</v>
      </c>
      <c r="P2">
        <v>89.44</v>
      </c>
      <c r="Q2">
        <v>22.57</v>
      </c>
      <c r="R2">
        <v>34.299999999999997</v>
      </c>
      <c r="S2">
        <v>12.66</v>
      </c>
      <c r="T2">
        <v>1.64</v>
      </c>
      <c r="U2" s="7">
        <v>1.19</v>
      </c>
      <c r="V2" s="15">
        <v>24.57</v>
      </c>
      <c r="X2" s="2" t="s">
        <v>18</v>
      </c>
      <c r="Y2">
        <f>AVERAGE(E2:E10)</f>
        <v>127.10000000000001</v>
      </c>
      <c r="Z2">
        <f t="shared" ref="Z2:AP2" si="0">AVERAGE(F2:F10)</f>
        <v>77.833333333333329</v>
      </c>
      <c r="AA2">
        <f t="shared" si="0"/>
        <v>48.93333333333333</v>
      </c>
      <c r="AB2">
        <f t="shared" si="0"/>
        <v>43.666666666666664</v>
      </c>
      <c r="AC2">
        <f t="shared" si="0"/>
        <v>6.7777777777777777</v>
      </c>
      <c r="AD2">
        <f t="shared" si="0"/>
        <v>130.22222222222223</v>
      </c>
      <c r="AE2">
        <f t="shared" si="0"/>
        <v>235.44444444444446</v>
      </c>
      <c r="AF2">
        <f t="shared" si="0"/>
        <v>9398.3799999999992</v>
      </c>
      <c r="AG2" t="s">
        <v>52</v>
      </c>
      <c r="AH2">
        <f t="shared" si="0"/>
        <v>225.30777777777777</v>
      </c>
      <c r="AI2">
        <f t="shared" si="0"/>
        <v>52.117777777777775</v>
      </c>
      <c r="AJ2">
        <f t="shared" si="0"/>
        <v>132.44777777777779</v>
      </c>
      <c r="AK2">
        <f t="shared" si="0"/>
        <v>34.596666666666664</v>
      </c>
      <c r="AL2">
        <f t="shared" si="0"/>
        <v>51.841111111111111</v>
      </c>
      <c r="AM2">
        <f t="shared" si="0"/>
        <v>10.29</v>
      </c>
      <c r="AN2">
        <f t="shared" si="0"/>
        <v>9.0166666666666657</v>
      </c>
      <c r="AO2">
        <f t="shared" si="0"/>
        <v>1.3711111111111112</v>
      </c>
      <c r="AP2">
        <f t="shared" si="0"/>
        <v>23.493333333333336</v>
      </c>
    </row>
    <row r="3" spans="1:42" x14ac:dyDescent="0.4">
      <c r="A3" s="2">
        <v>46266</v>
      </c>
      <c r="B3" s="2" t="s">
        <v>18</v>
      </c>
      <c r="C3">
        <v>1</v>
      </c>
      <c r="D3" s="7">
        <v>2</v>
      </c>
      <c r="E3">
        <v>124.6</v>
      </c>
      <c r="F3" s="7">
        <v>77.3</v>
      </c>
      <c r="G3">
        <v>47.3</v>
      </c>
      <c r="H3">
        <v>47</v>
      </c>
      <c r="I3">
        <v>8</v>
      </c>
      <c r="J3">
        <v>165</v>
      </c>
      <c r="K3" s="32">
        <v>400</v>
      </c>
      <c r="L3" s="7">
        <v>10567.2</v>
      </c>
      <c r="M3" s="7" t="s">
        <v>19</v>
      </c>
      <c r="N3">
        <v>265.12</v>
      </c>
      <c r="O3">
        <v>63.15</v>
      </c>
      <c r="P3">
        <v>148.51</v>
      </c>
      <c r="Q3">
        <v>39.869999999999997</v>
      </c>
      <c r="R3">
        <v>20.77</v>
      </c>
      <c r="S3">
        <v>6.49</v>
      </c>
      <c r="T3">
        <v>0.89</v>
      </c>
      <c r="U3" s="31">
        <v>0.24</v>
      </c>
      <c r="V3" s="15">
        <v>40.799999999999997</v>
      </c>
      <c r="X3" s="2" t="s">
        <v>21</v>
      </c>
      <c r="Y3">
        <f>AVERAGE(E11:E19)</f>
        <v>128.44444444444446</v>
      </c>
      <c r="Z3">
        <f t="shared" ref="Z3:AP3" si="1">AVERAGE(F11:F19)</f>
        <v>79.711111111111094</v>
      </c>
      <c r="AA3">
        <f t="shared" si="1"/>
        <v>46.655555555555544</v>
      </c>
      <c r="AB3">
        <f t="shared" si="1"/>
        <v>48.111111111111114</v>
      </c>
      <c r="AC3">
        <f t="shared" si="1"/>
        <v>7.1111111111111107</v>
      </c>
      <c r="AD3">
        <f t="shared" si="1"/>
        <v>128.55555555555554</v>
      </c>
      <c r="AE3">
        <f t="shared" si="1"/>
        <v>227.55555555555554</v>
      </c>
      <c r="AF3">
        <f t="shared" si="1"/>
        <v>7497.7411111111105</v>
      </c>
      <c r="AG3" t="s">
        <v>52</v>
      </c>
      <c r="AH3">
        <f t="shared" si="1"/>
        <v>196.63555555555553</v>
      </c>
      <c r="AI3">
        <f t="shared" si="1"/>
        <v>57.076666666666675</v>
      </c>
      <c r="AJ3">
        <f t="shared" si="1"/>
        <v>116.79666666666668</v>
      </c>
      <c r="AK3">
        <f t="shared" si="1"/>
        <v>35.50888888888889</v>
      </c>
      <c r="AL3">
        <f t="shared" si="1"/>
        <v>53.908888888888896</v>
      </c>
      <c r="AM3">
        <f t="shared" si="1"/>
        <v>10.252222222222223</v>
      </c>
      <c r="AN3">
        <f t="shared" si="1"/>
        <v>9.242222222222221</v>
      </c>
      <c r="AO3">
        <f t="shared" si="1"/>
        <v>1.1555555555555559</v>
      </c>
      <c r="AP3">
        <f t="shared" si="1"/>
        <v>28.718888888888884</v>
      </c>
    </row>
    <row r="4" spans="1:42" x14ac:dyDescent="0.4">
      <c r="A4" s="2">
        <v>46266</v>
      </c>
      <c r="B4" s="2" t="s">
        <v>18</v>
      </c>
      <c r="C4">
        <v>1</v>
      </c>
      <c r="D4" s="7">
        <v>3</v>
      </c>
      <c r="E4">
        <v>132.5</v>
      </c>
      <c r="F4" s="7">
        <v>81</v>
      </c>
      <c r="G4">
        <v>55</v>
      </c>
      <c r="H4">
        <v>31</v>
      </c>
      <c r="I4">
        <v>5</v>
      </c>
      <c r="J4" s="32">
        <v>80</v>
      </c>
      <c r="K4">
        <v>130</v>
      </c>
      <c r="L4" s="7">
        <v>7798.65</v>
      </c>
      <c r="M4" s="7" t="s">
        <v>19</v>
      </c>
      <c r="N4">
        <v>211.53</v>
      </c>
      <c r="O4">
        <v>46.35</v>
      </c>
      <c r="P4">
        <v>102.84</v>
      </c>
      <c r="Q4">
        <v>25.82</v>
      </c>
      <c r="R4">
        <v>34.56</v>
      </c>
      <c r="S4">
        <v>6.17</v>
      </c>
      <c r="T4">
        <v>10.44</v>
      </c>
      <c r="U4" s="7">
        <v>1.42</v>
      </c>
      <c r="V4" s="15">
        <v>11.85</v>
      </c>
      <c r="X4" s="2" t="s">
        <v>23</v>
      </c>
      <c r="Y4">
        <f>AVERAGE(E20:E25)</f>
        <v>123.88333333333333</v>
      </c>
      <c r="Z4">
        <f t="shared" ref="Z4:AP4" si="2">AVERAGE(F20:F25)</f>
        <v>77.116666666666674</v>
      </c>
      <c r="AA4">
        <f t="shared" si="2"/>
        <v>45.566666666666663</v>
      </c>
      <c r="AB4">
        <f t="shared" si="2"/>
        <v>47.666666666666664</v>
      </c>
      <c r="AC4">
        <f t="shared" si="2"/>
        <v>6.833333333333333</v>
      </c>
      <c r="AD4">
        <f t="shared" si="2"/>
        <v>98.666666666666671</v>
      </c>
      <c r="AE4">
        <f t="shared" si="2"/>
        <v>154.16666666666666</v>
      </c>
      <c r="AF4">
        <f t="shared" si="2"/>
        <v>9594.8616666666676</v>
      </c>
      <c r="AG4" t="s">
        <v>52</v>
      </c>
      <c r="AH4">
        <f t="shared" si="2"/>
        <v>204.40166666666664</v>
      </c>
      <c r="AI4">
        <f t="shared" si="2"/>
        <v>48.405000000000001</v>
      </c>
      <c r="AJ4">
        <f t="shared" si="2"/>
        <v>129.10666666666665</v>
      </c>
      <c r="AK4">
        <f t="shared" si="2"/>
        <v>33.56166666666666</v>
      </c>
      <c r="AL4">
        <f t="shared" si="2"/>
        <v>40.015000000000001</v>
      </c>
      <c r="AM4">
        <f t="shared" si="2"/>
        <v>6.7966666666666669</v>
      </c>
      <c r="AN4">
        <f t="shared" si="2"/>
        <v>6.0100000000000007</v>
      </c>
      <c r="AO4">
        <f t="shared" si="2"/>
        <v>0.77</v>
      </c>
      <c r="AP4">
        <f t="shared" si="2"/>
        <v>16.564999999999998</v>
      </c>
    </row>
    <row r="5" spans="1:42" x14ac:dyDescent="0.4">
      <c r="A5" s="2">
        <v>46266</v>
      </c>
      <c r="B5" s="2" t="s">
        <v>18</v>
      </c>
      <c r="C5">
        <v>1</v>
      </c>
      <c r="D5" s="7">
        <v>4</v>
      </c>
      <c r="E5">
        <v>138.1</v>
      </c>
      <c r="F5" s="7">
        <v>87.1</v>
      </c>
      <c r="G5">
        <v>44.9</v>
      </c>
      <c r="H5">
        <v>46</v>
      </c>
      <c r="I5">
        <v>7</v>
      </c>
      <c r="J5">
        <v>140</v>
      </c>
      <c r="K5">
        <v>294</v>
      </c>
      <c r="L5" s="7">
        <v>10360.77</v>
      </c>
      <c r="M5" s="7" t="s">
        <v>19</v>
      </c>
      <c r="N5">
        <v>266.94</v>
      </c>
      <c r="O5">
        <v>58.95</v>
      </c>
      <c r="P5">
        <v>161.41999999999999</v>
      </c>
      <c r="Q5">
        <v>39.39</v>
      </c>
      <c r="R5">
        <v>65.28</v>
      </c>
      <c r="S5">
        <v>9.99</v>
      </c>
      <c r="T5">
        <v>7.83</v>
      </c>
      <c r="U5" s="7">
        <v>1.03</v>
      </c>
      <c r="V5" s="15">
        <v>16.97</v>
      </c>
      <c r="X5" s="2" t="s">
        <v>24</v>
      </c>
      <c r="Y5">
        <f>AVERAGE(E26:E31)</f>
        <v>130.83333333333334</v>
      </c>
      <c r="Z5">
        <f t="shared" ref="Z5:AP5" si="3">AVERAGE(F26:F31)</f>
        <v>79.016666666666666</v>
      </c>
      <c r="AA5">
        <f t="shared" si="3"/>
        <v>43.75</v>
      </c>
      <c r="AB5">
        <f t="shared" si="3"/>
        <v>45</v>
      </c>
      <c r="AC5">
        <f t="shared" si="3"/>
        <v>6.666666666666667</v>
      </c>
      <c r="AD5">
        <f t="shared" si="3"/>
        <v>99.333333333333329</v>
      </c>
      <c r="AE5">
        <f t="shared" si="3"/>
        <v>180.5</v>
      </c>
      <c r="AF5">
        <f t="shared" si="3"/>
        <v>7182.6766666666672</v>
      </c>
      <c r="AG5" t="s">
        <v>52</v>
      </c>
      <c r="AH5">
        <f t="shared" si="3"/>
        <v>147.38999999999999</v>
      </c>
      <c r="AI5">
        <f t="shared" si="3"/>
        <v>49.93</v>
      </c>
      <c r="AJ5">
        <f t="shared" si="3"/>
        <v>114.62333333333333</v>
      </c>
      <c r="AK5">
        <f t="shared" si="3"/>
        <v>35.96</v>
      </c>
      <c r="AL5">
        <f t="shared" si="3"/>
        <v>44.166666666666664</v>
      </c>
      <c r="AM5">
        <f t="shared" si="3"/>
        <v>7.7833333333333341</v>
      </c>
      <c r="AN5">
        <f t="shared" si="3"/>
        <v>4.7549999999999999</v>
      </c>
      <c r="AO5">
        <f t="shared" si="3"/>
        <v>0.6333333333333333</v>
      </c>
      <c r="AP5">
        <f t="shared" si="3"/>
        <v>23.179999999999996</v>
      </c>
    </row>
    <row r="6" spans="1:42" x14ac:dyDescent="0.4">
      <c r="A6" s="2">
        <v>46266</v>
      </c>
      <c r="B6" s="2" t="s">
        <v>18</v>
      </c>
      <c r="C6">
        <v>1</v>
      </c>
      <c r="D6" s="7">
        <v>5</v>
      </c>
      <c r="E6">
        <v>126.6</v>
      </c>
      <c r="F6" s="7">
        <v>72.099999999999994</v>
      </c>
      <c r="G6">
        <v>47.8</v>
      </c>
      <c r="H6">
        <v>49</v>
      </c>
      <c r="I6">
        <v>9</v>
      </c>
      <c r="J6">
        <v>186</v>
      </c>
      <c r="K6">
        <v>289</v>
      </c>
      <c r="L6" s="7">
        <v>10986.36</v>
      </c>
      <c r="M6" s="7" t="s">
        <v>19</v>
      </c>
      <c r="N6">
        <v>254.69</v>
      </c>
      <c r="O6">
        <v>63.2</v>
      </c>
      <c r="P6">
        <v>186.6</v>
      </c>
      <c r="Q6">
        <v>50.45</v>
      </c>
      <c r="R6">
        <v>85.8</v>
      </c>
      <c r="S6">
        <v>16.12</v>
      </c>
      <c r="T6">
        <v>23.03</v>
      </c>
      <c r="U6" s="31">
        <v>3.06</v>
      </c>
      <c r="V6" s="15">
        <v>27.21</v>
      </c>
    </row>
    <row r="7" spans="1:42" x14ac:dyDescent="0.4">
      <c r="A7" s="2">
        <v>46266</v>
      </c>
      <c r="B7" s="2" t="s">
        <v>18</v>
      </c>
      <c r="C7">
        <v>1</v>
      </c>
      <c r="D7" s="7">
        <v>6</v>
      </c>
      <c r="E7">
        <v>120.7</v>
      </c>
      <c r="F7" s="7">
        <v>71.599999999999994</v>
      </c>
      <c r="G7">
        <v>52.6</v>
      </c>
      <c r="H7">
        <v>52</v>
      </c>
      <c r="I7">
        <v>7</v>
      </c>
      <c r="J7">
        <v>126</v>
      </c>
      <c r="K7">
        <v>194</v>
      </c>
      <c r="L7" s="7">
        <v>10192.23</v>
      </c>
      <c r="M7" s="7" t="s">
        <v>19</v>
      </c>
      <c r="N7">
        <v>228.62</v>
      </c>
      <c r="O7">
        <v>47.16</v>
      </c>
      <c r="P7">
        <v>136.47999999999999</v>
      </c>
      <c r="Q7">
        <v>32.950000000000003</v>
      </c>
      <c r="R7">
        <v>39.86</v>
      </c>
      <c r="S7">
        <v>7.91</v>
      </c>
      <c r="T7">
        <v>8.48</v>
      </c>
      <c r="U7" s="7">
        <v>1.53</v>
      </c>
      <c r="V7" s="15">
        <v>14.28</v>
      </c>
    </row>
    <row r="8" spans="1:42" x14ac:dyDescent="0.4">
      <c r="A8" s="2">
        <v>46266</v>
      </c>
      <c r="B8" s="2" t="s">
        <v>18</v>
      </c>
      <c r="C8">
        <v>1</v>
      </c>
      <c r="D8" s="7">
        <v>7</v>
      </c>
      <c r="E8">
        <v>136.6</v>
      </c>
      <c r="F8" s="7">
        <v>84.8</v>
      </c>
      <c r="G8">
        <v>50.2</v>
      </c>
      <c r="H8">
        <v>46</v>
      </c>
      <c r="I8">
        <v>6</v>
      </c>
      <c r="J8">
        <v>155</v>
      </c>
      <c r="K8">
        <v>254</v>
      </c>
      <c r="L8" s="7">
        <v>9162.57</v>
      </c>
      <c r="M8" s="7" t="s">
        <v>19</v>
      </c>
      <c r="N8">
        <v>242.58</v>
      </c>
      <c r="O8">
        <v>58.24</v>
      </c>
      <c r="P8">
        <v>130.94999999999999</v>
      </c>
      <c r="Q8">
        <v>36.479999999999997</v>
      </c>
      <c r="R8">
        <v>75.260000000000005</v>
      </c>
      <c r="S8">
        <v>13.17</v>
      </c>
      <c r="T8">
        <v>10.11</v>
      </c>
      <c r="U8" s="7">
        <v>1.46</v>
      </c>
      <c r="V8" s="15">
        <v>33.68</v>
      </c>
    </row>
    <row r="9" spans="1:42" x14ac:dyDescent="0.4">
      <c r="A9" s="2">
        <v>46266</v>
      </c>
      <c r="B9" s="2" t="s">
        <v>18</v>
      </c>
      <c r="C9">
        <v>1</v>
      </c>
      <c r="D9" s="7">
        <v>8</v>
      </c>
      <c r="E9">
        <v>115</v>
      </c>
      <c r="F9" s="7">
        <v>73.5</v>
      </c>
      <c r="G9">
        <v>44.9</v>
      </c>
      <c r="H9">
        <v>58</v>
      </c>
      <c r="I9">
        <v>8</v>
      </c>
      <c r="J9">
        <v>138</v>
      </c>
      <c r="K9">
        <v>239</v>
      </c>
      <c r="L9" s="7">
        <v>11142.83</v>
      </c>
      <c r="M9" s="7" t="s">
        <v>19</v>
      </c>
      <c r="N9">
        <v>252.03</v>
      </c>
      <c r="O9">
        <v>60.89</v>
      </c>
      <c r="P9">
        <v>176.25</v>
      </c>
      <c r="Q9">
        <v>49.65</v>
      </c>
      <c r="R9">
        <v>67.66</v>
      </c>
      <c r="S9">
        <v>12.25</v>
      </c>
      <c r="T9">
        <v>9.49</v>
      </c>
      <c r="U9" s="7">
        <v>1.22</v>
      </c>
      <c r="V9" s="15">
        <v>31.59</v>
      </c>
    </row>
    <row r="10" spans="1:42" x14ac:dyDescent="0.4">
      <c r="A10" s="6">
        <v>46266</v>
      </c>
      <c r="B10" s="6" t="s">
        <v>18</v>
      </c>
      <c r="C10" s="5">
        <v>1</v>
      </c>
      <c r="D10" s="8">
        <v>9</v>
      </c>
      <c r="E10" s="5">
        <v>115.3</v>
      </c>
      <c r="F10" s="8">
        <v>68.099999999999994</v>
      </c>
      <c r="G10" s="5">
        <v>56.5</v>
      </c>
      <c r="H10" s="5">
        <v>28</v>
      </c>
      <c r="I10" s="5">
        <v>6</v>
      </c>
      <c r="J10" s="5">
        <v>92</v>
      </c>
      <c r="K10" s="5">
        <v>155</v>
      </c>
      <c r="L10" s="8">
        <v>6211.56</v>
      </c>
      <c r="M10" s="8" t="s">
        <v>19</v>
      </c>
      <c r="N10" s="5">
        <v>119.66</v>
      </c>
      <c r="O10" s="36">
        <v>28.5</v>
      </c>
      <c r="P10" s="36">
        <v>59.54</v>
      </c>
      <c r="Q10" s="36">
        <v>14.19</v>
      </c>
      <c r="R10" s="5">
        <v>43.08</v>
      </c>
      <c r="S10" s="5">
        <v>7.85</v>
      </c>
      <c r="T10" s="5">
        <v>9.24</v>
      </c>
      <c r="U10" s="8">
        <v>1.19</v>
      </c>
      <c r="V10" s="5">
        <v>10.49</v>
      </c>
    </row>
    <row r="11" spans="1:42" x14ac:dyDescent="0.4">
      <c r="A11" s="2">
        <v>46266</v>
      </c>
      <c r="B11" s="2" t="s">
        <v>21</v>
      </c>
      <c r="C11">
        <v>2</v>
      </c>
      <c r="D11" s="7">
        <v>1</v>
      </c>
      <c r="E11">
        <v>139</v>
      </c>
      <c r="F11" s="7">
        <v>91</v>
      </c>
      <c r="G11">
        <v>48.8</v>
      </c>
      <c r="H11">
        <v>54</v>
      </c>
      <c r="I11">
        <v>7</v>
      </c>
      <c r="J11">
        <v>147</v>
      </c>
      <c r="K11">
        <v>152</v>
      </c>
      <c r="L11" s="7">
        <v>5720.09</v>
      </c>
      <c r="M11" s="7" t="s">
        <v>19</v>
      </c>
      <c r="N11">
        <v>193.03</v>
      </c>
      <c r="O11">
        <v>76.27</v>
      </c>
      <c r="P11">
        <v>134.43</v>
      </c>
      <c r="Q11">
        <v>46.55</v>
      </c>
      <c r="R11">
        <v>61.18</v>
      </c>
      <c r="S11">
        <v>12.02</v>
      </c>
      <c r="T11">
        <v>8.08</v>
      </c>
      <c r="U11" s="7">
        <v>1.1000000000000001</v>
      </c>
      <c r="V11" s="15">
        <v>20.86</v>
      </c>
    </row>
    <row r="12" spans="1:42" x14ac:dyDescent="0.4">
      <c r="A12" s="2">
        <v>46266</v>
      </c>
      <c r="B12" s="2" t="s">
        <v>21</v>
      </c>
      <c r="C12">
        <v>2</v>
      </c>
      <c r="D12" s="7">
        <v>2</v>
      </c>
      <c r="E12">
        <v>111.4</v>
      </c>
      <c r="F12" s="7">
        <v>71</v>
      </c>
      <c r="G12">
        <v>48.3</v>
      </c>
      <c r="H12">
        <v>58</v>
      </c>
      <c r="I12">
        <v>10</v>
      </c>
      <c r="J12">
        <v>142</v>
      </c>
      <c r="K12">
        <v>323</v>
      </c>
      <c r="L12" s="7">
        <v>4472.2</v>
      </c>
      <c r="M12" s="7" t="s">
        <v>19</v>
      </c>
      <c r="N12">
        <v>123.36</v>
      </c>
      <c r="O12">
        <v>64.05</v>
      </c>
      <c r="P12">
        <v>106.15</v>
      </c>
      <c r="Q12">
        <v>43.39</v>
      </c>
      <c r="R12">
        <v>45.66</v>
      </c>
      <c r="S12">
        <v>10.26</v>
      </c>
      <c r="T12">
        <v>6.22</v>
      </c>
      <c r="U12" s="7">
        <v>0.54</v>
      </c>
      <c r="V12" s="15">
        <v>27.77</v>
      </c>
    </row>
    <row r="13" spans="1:42" x14ac:dyDescent="0.4">
      <c r="A13" s="2">
        <v>46266</v>
      </c>
      <c r="B13" s="2" t="s">
        <v>21</v>
      </c>
      <c r="C13">
        <v>2</v>
      </c>
      <c r="D13" s="7">
        <v>3</v>
      </c>
      <c r="E13">
        <v>125.1</v>
      </c>
      <c r="F13" s="7">
        <v>72.400000000000006</v>
      </c>
      <c r="G13">
        <v>44.8</v>
      </c>
      <c r="H13">
        <v>43</v>
      </c>
      <c r="I13">
        <v>7</v>
      </c>
      <c r="J13">
        <v>145</v>
      </c>
      <c r="K13">
        <v>252</v>
      </c>
      <c r="L13" s="7">
        <v>7286.86</v>
      </c>
      <c r="M13" s="7" t="s">
        <v>19</v>
      </c>
      <c r="N13">
        <v>180.92</v>
      </c>
      <c r="O13">
        <v>47.31</v>
      </c>
      <c r="P13">
        <v>112.32</v>
      </c>
      <c r="Q13">
        <v>30.19</v>
      </c>
      <c r="R13">
        <v>61.05</v>
      </c>
      <c r="S13">
        <v>11.01</v>
      </c>
      <c r="T13">
        <v>5.96</v>
      </c>
      <c r="U13" s="7">
        <v>0.9</v>
      </c>
      <c r="V13" s="15">
        <v>30.6</v>
      </c>
    </row>
    <row r="14" spans="1:42" x14ac:dyDescent="0.4">
      <c r="A14" s="2">
        <v>46266</v>
      </c>
      <c r="B14" s="2" t="s">
        <v>21</v>
      </c>
      <c r="C14">
        <v>2</v>
      </c>
      <c r="D14" s="7">
        <v>4</v>
      </c>
      <c r="E14">
        <v>132.30000000000001</v>
      </c>
      <c r="F14" s="7">
        <v>83.5</v>
      </c>
      <c r="G14">
        <v>41.2</v>
      </c>
      <c r="H14">
        <v>35</v>
      </c>
      <c r="I14">
        <v>5</v>
      </c>
      <c r="J14">
        <v>90</v>
      </c>
      <c r="K14">
        <v>159</v>
      </c>
      <c r="L14" s="7">
        <v>6858.74</v>
      </c>
      <c r="M14" s="7" t="s">
        <v>19</v>
      </c>
      <c r="N14">
        <v>173.12</v>
      </c>
      <c r="O14">
        <v>43.28</v>
      </c>
      <c r="P14">
        <v>86.83</v>
      </c>
      <c r="Q14">
        <v>24.08</v>
      </c>
      <c r="R14">
        <v>38.17</v>
      </c>
      <c r="S14">
        <v>6.7</v>
      </c>
      <c r="T14">
        <v>5.27</v>
      </c>
      <c r="U14" s="7">
        <v>0.48</v>
      </c>
      <c r="V14" s="15">
        <v>20.27</v>
      </c>
    </row>
    <row r="15" spans="1:42" x14ac:dyDescent="0.4">
      <c r="A15" s="2">
        <v>46266</v>
      </c>
      <c r="B15" s="2" t="s">
        <v>21</v>
      </c>
      <c r="C15">
        <v>2</v>
      </c>
      <c r="D15" s="7">
        <v>5</v>
      </c>
      <c r="E15">
        <v>132.6</v>
      </c>
      <c r="F15" s="7">
        <v>83.2</v>
      </c>
      <c r="G15">
        <v>45.7</v>
      </c>
      <c r="H15">
        <v>36</v>
      </c>
      <c r="I15">
        <v>6</v>
      </c>
      <c r="J15">
        <v>111</v>
      </c>
      <c r="K15">
        <v>191</v>
      </c>
      <c r="L15" s="7">
        <v>5510.3</v>
      </c>
      <c r="M15" s="7" t="s">
        <v>19</v>
      </c>
      <c r="N15">
        <v>116.78</v>
      </c>
      <c r="O15">
        <v>52.21</v>
      </c>
      <c r="P15">
        <v>96.45</v>
      </c>
      <c r="Q15">
        <v>36.82</v>
      </c>
      <c r="R15">
        <v>37.299999999999997</v>
      </c>
      <c r="S15">
        <v>7.17</v>
      </c>
      <c r="T15">
        <v>8.84</v>
      </c>
      <c r="U15" s="7">
        <v>1.21</v>
      </c>
      <c r="V15" s="15">
        <v>29.47</v>
      </c>
    </row>
    <row r="16" spans="1:42" x14ac:dyDescent="0.4">
      <c r="A16" s="2">
        <v>46266</v>
      </c>
      <c r="B16" s="2" t="s">
        <v>21</v>
      </c>
      <c r="C16">
        <v>2</v>
      </c>
      <c r="D16" s="7">
        <v>6</v>
      </c>
      <c r="E16">
        <v>136.6</v>
      </c>
      <c r="F16" s="7">
        <v>75.5</v>
      </c>
      <c r="G16">
        <v>53.6</v>
      </c>
      <c r="H16">
        <v>47</v>
      </c>
      <c r="I16">
        <v>8</v>
      </c>
      <c r="J16">
        <v>126</v>
      </c>
      <c r="K16">
        <v>207</v>
      </c>
      <c r="L16" s="7">
        <v>8874.24</v>
      </c>
      <c r="M16" s="7" t="s">
        <v>19</v>
      </c>
      <c r="N16">
        <v>247.64</v>
      </c>
      <c r="O16">
        <v>53.61</v>
      </c>
      <c r="P16">
        <v>125.7</v>
      </c>
      <c r="Q16">
        <v>32.46</v>
      </c>
      <c r="R16">
        <v>56</v>
      </c>
      <c r="S16">
        <v>9.52</v>
      </c>
      <c r="T16">
        <v>20.25</v>
      </c>
      <c r="U16" s="31">
        <v>3.1</v>
      </c>
      <c r="V16" s="15">
        <v>18.97</v>
      </c>
    </row>
    <row r="17" spans="1:22" x14ac:dyDescent="0.4">
      <c r="A17" s="2">
        <v>46266</v>
      </c>
      <c r="B17" s="2" t="s">
        <v>21</v>
      </c>
      <c r="C17">
        <v>2</v>
      </c>
      <c r="D17" s="7">
        <v>7</v>
      </c>
      <c r="E17">
        <v>134.4</v>
      </c>
      <c r="F17" s="7">
        <v>77.5</v>
      </c>
      <c r="G17">
        <v>46.4</v>
      </c>
      <c r="H17">
        <v>53</v>
      </c>
      <c r="I17">
        <v>8</v>
      </c>
      <c r="J17">
        <v>119</v>
      </c>
      <c r="K17">
        <v>226</v>
      </c>
      <c r="L17" s="7">
        <v>10237.799999999999</v>
      </c>
      <c r="M17" s="7" t="s">
        <v>19</v>
      </c>
      <c r="N17">
        <v>255.04</v>
      </c>
      <c r="O17">
        <v>58.22</v>
      </c>
      <c r="P17">
        <v>124.73</v>
      </c>
      <c r="Q17">
        <v>32.65</v>
      </c>
      <c r="R17">
        <v>60.97</v>
      </c>
      <c r="S17">
        <v>12.03</v>
      </c>
      <c r="T17">
        <v>16.04</v>
      </c>
      <c r="U17" s="31">
        <v>2.2200000000000002</v>
      </c>
      <c r="V17" s="15">
        <v>18.29</v>
      </c>
    </row>
    <row r="18" spans="1:22" x14ac:dyDescent="0.4">
      <c r="A18" s="2">
        <v>46266</v>
      </c>
      <c r="B18" s="2" t="s">
        <v>21</v>
      </c>
      <c r="C18">
        <v>2</v>
      </c>
      <c r="D18" s="7">
        <v>8</v>
      </c>
      <c r="E18">
        <v>126.3</v>
      </c>
      <c r="F18" s="7">
        <v>86.8</v>
      </c>
      <c r="G18">
        <v>44.4</v>
      </c>
      <c r="H18">
        <v>66</v>
      </c>
      <c r="I18">
        <v>8</v>
      </c>
      <c r="J18">
        <v>152</v>
      </c>
      <c r="K18">
        <v>281</v>
      </c>
      <c r="L18" s="7">
        <v>10656.13</v>
      </c>
      <c r="M18" s="7" t="s">
        <v>19</v>
      </c>
      <c r="N18">
        <v>262.57</v>
      </c>
      <c r="O18">
        <v>64.5</v>
      </c>
      <c r="P18">
        <v>134.35</v>
      </c>
      <c r="Q18">
        <v>36.94</v>
      </c>
      <c r="R18">
        <v>71.97</v>
      </c>
      <c r="S18">
        <v>13.84</v>
      </c>
      <c r="T18">
        <v>7.92</v>
      </c>
      <c r="U18" s="7">
        <v>0.39</v>
      </c>
      <c r="V18" s="33">
        <v>55.3</v>
      </c>
    </row>
    <row r="19" spans="1:22" x14ac:dyDescent="0.4">
      <c r="A19" s="6">
        <v>46266</v>
      </c>
      <c r="B19" s="6" t="s">
        <v>21</v>
      </c>
      <c r="C19" s="5">
        <v>2</v>
      </c>
      <c r="D19" s="8">
        <v>9</v>
      </c>
      <c r="E19" s="5">
        <v>118.3</v>
      </c>
      <c r="F19" s="8">
        <v>76.5</v>
      </c>
      <c r="G19" s="5">
        <v>46.7</v>
      </c>
      <c r="H19" s="5">
        <v>41</v>
      </c>
      <c r="I19" s="5">
        <v>5</v>
      </c>
      <c r="J19" s="5">
        <v>125</v>
      </c>
      <c r="K19" s="5">
        <v>257</v>
      </c>
      <c r="L19" s="8">
        <v>7863.31</v>
      </c>
      <c r="M19" s="8" t="s">
        <v>19</v>
      </c>
      <c r="N19" s="5">
        <v>217.26</v>
      </c>
      <c r="O19" s="5">
        <v>54.24</v>
      </c>
      <c r="P19" s="5">
        <v>130.21</v>
      </c>
      <c r="Q19" s="5">
        <v>36.5</v>
      </c>
      <c r="R19" s="5">
        <v>52.88</v>
      </c>
      <c r="S19" s="5">
        <v>9.7200000000000006</v>
      </c>
      <c r="T19" s="5">
        <v>4.5999999999999996</v>
      </c>
      <c r="U19" s="8">
        <v>0.46</v>
      </c>
      <c r="V19" s="5">
        <v>36.94</v>
      </c>
    </row>
    <row r="20" spans="1:22" x14ac:dyDescent="0.4">
      <c r="A20" s="2">
        <v>46266</v>
      </c>
      <c r="B20" s="2" t="s">
        <v>23</v>
      </c>
      <c r="C20">
        <v>3</v>
      </c>
      <c r="D20" s="7">
        <v>1</v>
      </c>
      <c r="E20">
        <v>133.5</v>
      </c>
      <c r="F20" s="7">
        <v>80</v>
      </c>
      <c r="G20">
        <v>43</v>
      </c>
      <c r="H20">
        <v>36</v>
      </c>
      <c r="I20">
        <v>6</v>
      </c>
      <c r="J20">
        <v>62</v>
      </c>
      <c r="K20">
        <v>85</v>
      </c>
      <c r="L20" s="7">
        <v>6909.05</v>
      </c>
      <c r="M20" s="7" t="s">
        <v>19</v>
      </c>
      <c r="N20">
        <v>167.12</v>
      </c>
      <c r="O20">
        <v>34.07</v>
      </c>
      <c r="P20">
        <v>83.4</v>
      </c>
      <c r="Q20">
        <v>21.78</v>
      </c>
      <c r="R20">
        <v>23.61</v>
      </c>
      <c r="S20">
        <v>3.37</v>
      </c>
      <c r="T20">
        <v>1.1000000000000001</v>
      </c>
      <c r="U20" s="7">
        <v>0.11</v>
      </c>
      <c r="V20">
        <v>11.53</v>
      </c>
    </row>
    <row r="21" spans="1:22" x14ac:dyDescent="0.4">
      <c r="A21" s="2">
        <v>46266</v>
      </c>
      <c r="B21" s="2" t="s">
        <v>23</v>
      </c>
      <c r="C21">
        <v>3</v>
      </c>
      <c r="D21" s="7">
        <v>2</v>
      </c>
      <c r="E21">
        <v>112.7</v>
      </c>
      <c r="F21" s="7">
        <v>71.5</v>
      </c>
      <c r="G21">
        <v>44.2</v>
      </c>
      <c r="H21">
        <v>59</v>
      </c>
      <c r="I21">
        <v>8</v>
      </c>
      <c r="J21">
        <v>142</v>
      </c>
      <c r="K21">
        <v>203</v>
      </c>
      <c r="L21" s="31">
        <v>15402.75</v>
      </c>
      <c r="M21" s="7" t="s">
        <v>19</v>
      </c>
      <c r="N21">
        <v>259.77</v>
      </c>
      <c r="O21">
        <v>61.91</v>
      </c>
      <c r="P21">
        <v>138.49</v>
      </c>
      <c r="Q21">
        <v>37.299999999999997</v>
      </c>
      <c r="R21">
        <v>55.51</v>
      </c>
      <c r="S21">
        <v>8.9700000000000006</v>
      </c>
      <c r="T21">
        <v>5.78</v>
      </c>
      <c r="U21" s="7">
        <v>0.67</v>
      </c>
      <c r="V21">
        <v>15.59</v>
      </c>
    </row>
    <row r="22" spans="1:22" x14ac:dyDescent="0.4">
      <c r="A22" s="2">
        <v>46266</v>
      </c>
      <c r="B22" s="2" t="s">
        <v>23</v>
      </c>
      <c r="C22">
        <v>3</v>
      </c>
      <c r="D22" s="7">
        <v>3</v>
      </c>
      <c r="E22">
        <v>117.3</v>
      </c>
      <c r="F22" s="7">
        <v>77</v>
      </c>
      <c r="G22">
        <v>51.4</v>
      </c>
      <c r="H22">
        <v>59</v>
      </c>
      <c r="I22">
        <v>8</v>
      </c>
      <c r="J22">
        <v>123</v>
      </c>
      <c r="K22">
        <v>169</v>
      </c>
      <c r="L22" s="7">
        <v>8680.56</v>
      </c>
      <c r="M22" s="7" t="s">
        <v>19</v>
      </c>
      <c r="N22">
        <v>237.58</v>
      </c>
      <c r="O22">
        <v>48.65</v>
      </c>
      <c r="P22">
        <v>130.27000000000001</v>
      </c>
      <c r="Q22">
        <v>33.049999999999997</v>
      </c>
      <c r="R22">
        <v>44.93</v>
      </c>
      <c r="S22">
        <v>7.67</v>
      </c>
      <c r="T22">
        <v>7.6</v>
      </c>
      <c r="U22" s="7">
        <v>1.03</v>
      </c>
      <c r="V22">
        <v>17.329999999999998</v>
      </c>
    </row>
    <row r="23" spans="1:22" x14ac:dyDescent="0.4">
      <c r="A23" s="2">
        <v>46266</v>
      </c>
      <c r="B23" s="2" t="s">
        <v>23</v>
      </c>
      <c r="C23">
        <v>3</v>
      </c>
      <c r="D23" s="7">
        <v>4</v>
      </c>
      <c r="E23">
        <v>130</v>
      </c>
      <c r="F23" s="7">
        <v>74</v>
      </c>
      <c r="G23">
        <v>37.799999999999997</v>
      </c>
      <c r="H23">
        <v>35</v>
      </c>
      <c r="I23">
        <v>5</v>
      </c>
      <c r="J23">
        <v>86</v>
      </c>
      <c r="K23">
        <v>151</v>
      </c>
      <c r="L23" s="7">
        <v>7969.77</v>
      </c>
      <c r="M23" s="7" t="s">
        <v>19</v>
      </c>
      <c r="N23">
        <v>208.65</v>
      </c>
      <c r="O23">
        <v>44.36</v>
      </c>
      <c r="P23">
        <v>158.9</v>
      </c>
      <c r="Q23">
        <v>40.14</v>
      </c>
      <c r="R23">
        <v>34.380000000000003</v>
      </c>
      <c r="S23">
        <v>5.75</v>
      </c>
      <c r="T23">
        <v>5.04</v>
      </c>
      <c r="U23" s="7">
        <v>0.71</v>
      </c>
      <c r="V23">
        <v>12.45</v>
      </c>
    </row>
    <row r="24" spans="1:22" x14ac:dyDescent="0.4">
      <c r="A24" s="2">
        <v>46266</v>
      </c>
      <c r="B24" s="2" t="s">
        <v>23</v>
      </c>
      <c r="C24">
        <v>3</v>
      </c>
      <c r="D24" s="7">
        <v>5</v>
      </c>
      <c r="E24">
        <v>115</v>
      </c>
      <c r="F24" s="7">
        <v>77.8</v>
      </c>
      <c r="G24">
        <v>51.9</v>
      </c>
      <c r="H24">
        <v>39</v>
      </c>
      <c r="I24">
        <v>6</v>
      </c>
      <c r="J24">
        <v>54</v>
      </c>
      <c r="K24">
        <v>85</v>
      </c>
      <c r="L24" s="7">
        <v>8606.93</v>
      </c>
      <c r="M24" s="7" t="s">
        <v>19</v>
      </c>
      <c r="N24">
        <v>203.66</v>
      </c>
      <c r="O24">
        <v>38.32</v>
      </c>
      <c r="P24">
        <v>117.29</v>
      </c>
      <c r="Q24">
        <v>26.51</v>
      </c>
      <c r="R24">
        <v>20.09</v>
      </c>
      <c r="S24">
        <v>3.21</v>
      </c>
      <c r="T24">
        <v>3.85</v>
      </c>
      <c r="U24" s="7">
        <v>0.51</v>
      </c>
      <c r="V24">
        <v>10.96</v>
      </c>
    </row>
    <row r="25" spans="1:22" x14ac:dyDescent="0.4">
      <c r="A25" s="6">
        <v>46266</v>
      </c>
      <c r="B25" s="6" t="s">
        <v>23</v>
      </c>
      <c r="C25" s="5">
        <v>3</v>
      </c>
      <c r="D25" s="8">
        <v>6</v>
      </c>
      <c r="E25" s="5">
        <v>134.80000000000001</v>
      </c>
      <c r="F25" s="8">
        <v>82.4</v>
      </c>
      <c r="G25" s="5">
        <v>45.1</v>
      </c>
      <c r="H25" s="5">
        <v>58</v>
      </c>
      <c r="I25" s="5">
        <v>8</v>
      </c>
      <c r="J25" s="5">
        <v>125</v>
      </c>
      <c r="K25" s="5">
        <v>232</v>
      </c>
      <c r="L25" s="8">
        <v>10000.11</v>
      </c>
      <c r="M25" s="8" t="s">
        <v>19</v>
      </c>
      <c r="N25" s="5">
        <v>149.63</v>
      </c>
      <c r="O25" s="5">
        <v>63.12</v>
      </c>
      <c r="P25" s="5">
        <v>146.29</v>
      </c>
      <c r="Q25" s="5">
        <v>42.59</v>
      </c>
      <c r="R25" s="5">
        <v>61.57</v>
      </c>
      <c r="S25" s="5">
        <v>11.81</v>
      </c>
      <c r="T25" s="5">
        <v>12.69</v>
      </c>
      <c r="U25" s="37">
        <v>1.59</v>
      </c>
      <c r="V25" s="5">
        <v>31.53</v>
      </c>
    </row>
    <row r="26" spans="1:22" x14ac:dyDescent="0.4">
      <c r="A26" s="2">
        <v>46266</v>
      </c>
      <c r="B26" s="2" t="s">
        <v>24</v>
      </c>
      <c r="C26">
        <v>4</v>
      </c>
      <c r="D26" s="7">
        <v>1</v>
      </c>
      <c r="E26">
        <v>138.1</v>
      </c>
      <c r="F26" s="7">
        <v>85</v>
      </c>
      <c r="G26">
        <v>43.8</v>
      </c>
      <c r="H26">
        <v>56</v>
      </c>
      <c r="I26" s="32">
        <v>12</v>
      </c>
      <c r="J26" s="32">
        <v>150</v>
      </c>
      <c r="K26" s="32">
        <v>271</v>
      </c>
      <c r="L26" s="7">
        <v>7500.64</v>
      </c>
      <c r="M26" s="7" t="s">
        <v>19</v>
      </c>
      <c r="N26">
        <v>155.63999999999999</v>
      </c>
      <c r="O26">
        <v>67.64</v>
      </c>
      <c r="P26">
        <v>135.21</v>
      </c>
      <c r="Q26" s="32">
        <v>50.42</v>
      </c>
      <c r="R26" s="32">
        <v>69.75</v>
      </c>
      <c r="S26" s="32">
        <v>12.61</v>
      </c>
      <c r="T26">
        <v>8.5500000000000007</v>
      </c>
      <c r="U26" s="7">
        <v>1.2</v>
      </c>
      <c r="V26">
        <v>25.57</v>
      </c>
    </row>
    <row r="27" spans="1:22" x14ac:dyDescent="0.4">
      <c r="A27" s="2">
        <v>46266</v>
      </c>
      <c r="B27" s="2" t="s">
        <v>24</v>
      </c>
      <c r="C27">
        <v>4</v>
      </c>
      <c r="D27" s="7">
        <v>2</v>
      </c>
      <c r="E27">
        <v>129.80000000000001</v>
      </c>
      <c r="F27" s="7">
        <v>76</v>
      </c>
      <c r="G27">
        <v>43.3</v>
      </c>
      <c r="H27">
        <v>37</v>
      </c>
      <c r="I27">
        <v>6</v>
      </c>
      <c r="J27">
        <v>87</v>
      </c>
      <c r="K27">
        <v>136</v>
      </c>
      <c r="L27" s="7">
        <v>6704.41</v>
      </c>
      <c r="M27" s="7" t="s">
        <v>19</v>
      </c>
      <c r="N27">
        <v>138.72</v>
      </c>
      <c r="O27" s="32">
        <v>26.65</v>
      </c>
      <c r="P27">
        <v>89.49</v>
      </c>
      <c r="Q27" s="32">
        <v>21.5</v>
      </c>
      <c r="R27">
        <v>36.29</v>
      </c>
      <c r="S27">
        <v>5.96</v>
      </c>
      <c r="T27">
        <v>4.18</v>
      </c>
      <c r="U27" s="7">
        <v>0.49</v>
      </c>
      <c r="V27">
        <v>11.08</v>
      </c>
    </row>
    <row r="28" spans="1:22" x14ac:dyDescent="0.4">
      <c r="A28" s="2">
        <v>46266</v>
      </c>
      <c r="B28" s="2" t="s">
        <v>24</v>
      </c>
      <c r="C28">
        <v>4</v>
      </c>
      <c r="D28" s="7">
        <v>3</v>
      </c>
      <c r="E28">
        <v>138.5</v>
      </c>
      <c r="F28" s="7">
        <v>80</v>
      </c>
      <c r="G28">
        <v>41.6</v>
      </c>
      <c r="H28">
        <v>51</v>
      </c>
      <c r="I28">
        <v>5</v>
      </c>
      <c r="J28">
        <v>101</v>
      </c>
      <c r="K28">
        <v>188</v>
      </c>
      <c r="L28" s="7">
        <v>7668.31</v>
      </c>
      <c r="M28" s="7" t="s">
        <v>19</v>
      </c>
      <c r="N28">
        <v>166.37</v>
      </c>
      <c r="O28">
        <v>57.79</v>
      </c>
      <c r="P28">
        <v>119.85</v>
      </c>
      <c r="Q28">
        <v>41.71</v>
      </c>
      <c r="R28">
        <v>44.63</v>
      </c>
      <c r="S28">
        <v>7.75</v>
      </c>
      <c r="T28">
        <v>3.89</v>
      </c>
      <c r="U28" s="7">
        <v>0.46</v>
      </c>
      <c r="V28">
        <v>30.13</v>
      </c>
    </row>
    <row r="29" spans="1:22" x14ac:dyDescent="0.4">
      <c r="A29" s="2">
        <v>46266</v>
      </c>
      <c r="B29" s="2" t="s">
        <v>24</v>
      </c>
      <c r="C29">
        <v>4</v>
      </c>
      <c r="D29" s="7">
        <v>4</v>
      </c>
      <c r="E29">
        <v>117</v>
      </c>
      <c r="F29" s="7">
        <v>74</v>
      </c>
      <c r="G29">
        <v>48.7</v>
      </c>
      <c r="H29">
        <v>45</v>
      </c>
      <c r="I29">
        <v>5</v>
      </c>
      <c r="J29">
        <v>114</v>
      </c>
      <c r="K29">
        <v>191</v>
      </c>
      <c r="L29" s="7">
        <v>9107.7000000000007</v>
      </c>
      <c r="M29" s="7" t="s">
        <v>19</v>
      </c>
      <c r="N29">
        <v>203.81</v>
      </c>
      <c r="O29">
        <v>46.72</v>
      </c>
      <c r="P29">
        <v>133.34</v>
      </c>
      <c r="Q29">
        <v>33.47</v>
      </c>
      <c r="R29">
        <v>46.58</v>
      </c>
      <c r="S29">
        <v>8.39</v>
      </c>
      <c r="T29">
        <v>7.72</v>
      </c>
      <c r="U29" s="7">
        <v>1.1200000000000001</v>
      </c>
      <c r="V29">
        <v>23.22</v>
      </c>
    </row>
    <row r="30" spans="1:22" x14ac:dyDescent="0.4">
      <c r="A30" s="2">
        <v>46266</v>
      </c>
      <c r="B30" s="2" t="s">
        <v>24</v>
      </c>
      <c r="C30">
        <v>4</v>
      </c>
      <c r="D30" s="7">
        <v>5</v>
      </c>
      <c r="E30">
        <v>133.1</v>
      </c>
      <c r="F30" s="7">
        <v>77.3</v>
      </c>
      <c r="G30">
        <v>39.1</v>
      </c>
      <c r="H30">
        <v>37</v>
      </c>
      <c r="I30">
        <v>7</v>
      </c>
      <c r="J30">
        <v>53</v>
      </c>
      <c r="K30">
        <v>117</v>
      </c>
      <c r="L30" s="7">
        <v>6956.67</v>
      </c>
      <c r="M30" s="7" t="s">
        <v>19</v>
      </c>
      <c r="N30">
        <v>109.16</v>
      </c>
      <c r="O30">
        <v>53.11</v>
      </c>
      <c r="P30">
        <v>108.38</v>
      </c>
      <c r="Q30">
        <v>32.97</v>
      </c>
      <c r="R30">
        <v>22.85</v>
      </c>
      <c r="S30">
        <v>4.24</v>
      </c>
      <c r="T30">
        <v>2</v>
      </c>
      <c r="U30" s="7">
        <v>0.21</v>
      </c>
      <c r="V30">
        <v>21.02</v>
      </c>
    </row>
    <row r="31" spans="1:22" x14ac:dyDescent="0.4">
      <c r="A31" s="6">
        <v>46266</v>
      </c>
      <c r="B31" s="6" t="s">
        <v>24</v>
      </c>
      <c r="C31" s="5">
        <v>4</v>
      </c>
      <c r="D31" s="8">
        <v>6</v>
      </c>
      <c r="E31" s="5">
        <v>128.5</v>
      </c>
      <c r="F31" s="8">
        <v>81.8</v>
      </c>
      <c r="G31" s="5">
        <v>46</v>
      </c>
      <c r="H31" s="5">
        <v>44</v>
      </c>
      <c r="I31" s="5">
        <v>5</v>
      </c>
      <c r="J31" s="5">
        <v>91</v>
      </c>
      <c r="K31" s="5">
        <v>180</v>
      </c>
      <c r="L31" s="8">
        <v>5158.33</v>
      </c>
      <c r="M31" s="8" t="s">
        <v>19</v>
      </c>
      <c r="N31" s="5">
        <v>110.64</v>
      </c>
      <c r="O31" s="5">
        <v>47.67</v>
      </c>
      <c r="P31" s="5">
        <v>101.47</v>
      </c>
      <c r="Q31" s="5">
        <v>35.69</v>
      </c>
      <c r="R31" s="5">
        <v>44.9</v>
      </c>
      <c r="S31" s="5">
        <v>7.75</v>
      </c>
      <c r="T31" s="5">
        <v>2.19</v>
      </c>
      <c r="U31" s="8">
        <v>0.32</v>
      </c>
      <c r="V31" s="5">
        <v>28.06</v>
      </c>
    </row>
  </sheetData>
  <phoneticPr fontId="1" type="noConversion"/>
  <pageMargins left="0.7" right="0.7" top="0.75" bottom="0.75" header="0.3" footer="0.3"/>
  <ignoredErrors>
    <ignoredError sqref="Y3:AF5 Y2:AF2 AH2:AP2 AH3:AP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0472-8508-4403-B411-8D154D88DBE8}">
  <dimension ref="A1:AQ37"/>
  <sheetViews>
    <sheetView workbookViewId="0">
      <selection activeCell="F5" sqref="F5"/>
    </sheetView>
  </sheetViews>
  <sheetFormatPr defaultRowHeight="17.399999999999999" x14ac:dyDescent="0.4"/>
  <cols>
    <col min="1" max="1" width="11.09765625" bestFit="1" customWidth="1"/>
    <col min="3" max="3" width="11.09765625" bestFit="1" customWidth="1"/>
  </cols>
  <sheetData>
    <row r="1" spans="1:43" ht="18" thickBot="1" x14ac:dyDescent="0.45">
      <c r="A1" s="1" t="s">
        <v>0</v>
      </c>
      <c r="B1" s="1" t="s">
        <v>1</v>
      </c>
      <c r="C1" s="1" t="s">
        <v>53</v>
      </c>
      <c r="D1" s="9" t="s">
        <v>2</v>
      </c>
      <c r="E1" s="10" t="s">
        <v>3</v>
      </c>
      <c r="F1" s="9" t="s">
        <v>4</v>
      </c>
      <c r="G1" s="11" t="s">
        <v>5</v>
      </c>
      <c r="H1" s="10" t="s">
        <v>6</v>
      </c>
      <c r="I1" s="10" t="s">
        <v>7</v>
      </c>
      <c r="J1" s="10" t="s">
        <v>8</v>
      </c>
      <c r="K1" s="12" t="s">
        <v>9</v>
      </c>
      <c r="L1" s="12" t="s">
        <v>30</v>
      </c>
      <c r="M1" s="9" t="s">
        <v>10</v>
      </c>
      <c r="N1" s="11" t="s">
        <v>25</v>
      </c>
      <c r="O1" s="11" t="s">
        <v>26</v>
      </c>
      <c r="P1" s="11" t="s">
        <v>27</v>
      </c>
      <c r="Q1" s="11" t="s">
        <v>28</v>
      </c>
      <c r="R1" s="11" t="s">
        <v>11</v>
      </c>
      <c r="S1" s="11" t="s">
        <v>12</v>
      </c>
      <c r="T1" s="11" t="s">
        <v>13</v>
      </c>
      <c r="U1" s="9" t="s">
        <v>14</v>
      </c>
      <c r="V1" s="10" t="s">
        <v>29</v>
      </c>
      <c r="W1" s="16" t="s">
        <v>43</v>
      </c>
      <c r="Y1" s="1" t="s">
        <v>1</v>
      </c>
      <c r="Z1" s="10" t="s">
        <v>3</v>
      </c>
      <c r="AA1" s="9" t="s">
        <v>4</v>
      </c>
      <c r="AB1" s="11" t="s">
        <v>5</v>
      </c>
      <c r="AC1" s="10" t="s">
        <v>6</v>
      </c>
      <c r="AD1" s="10" t="s">
        <v>7</v>
      </c>
      <c r="AE1" s="10" t="s">
        <v>8</v>
      </c>
      <c r="AF1" s="12" t="s">
        <v>9</v>
      </c>
      <c r="AG1" s="12" t="s">
        <v>30</v>
      </c>
      <c r="AH1" s="9" t="s">
        <v>10</v>
      </c>
      <c r="AI1" s="11" t="s">
        <v>25</v>
      </c>
      <c r="AJ1" s="11" t="s">
        <v>26</v>
      </c>
      <c r="AK1" s="11" t="s">
        <v>27</v>
      </c>
      <c r="AL1" s="11" t="s">
        <v>28</v>
      </c>
      <c r="AM1" s="11" t="s">
        <v>11</v>
      </c>
      <c r="AN1" s="11" t="s">
        <v>12</v>
      </c>
      <c r="AO1" s="11" t="s">
        <v>13</v>
      </c>
      <c r="AP1" s="9" t="s">
        <v>14</v>
      </c>
      <c r="AQ1" s="10" t="s">
        <v>29</v>
      </c>
    </row>
    <row r="2" spans="1:43" ht="18" thickTop="1" x14ac:dyDescent="0.4">
      <c r="A2" s="20">
        <v>46301</v>
      </c>
      <c r="B2" s="2" t="s">
        <v>18</v>
      </c>
      <c r="C2">
        <v>1</v>
      </c>
      <c r="D2" s="7">
        <v>1</v>
      </c>
      <c r="E2">
        <v>135</v>
      </c>
      <c r="F2" s="7">
        <v>75.5</v>
      </c>
      <c r="G2">
        <v>54.1</v>
      </c>
      <c r="H2">
        <v>39</v>
      </c>
      <c r="I2">
        <v>7</v>
      </c>
      <c r="J2">
        <v>112</v>
      </c>
      <c r="K2" s="15">
        <v>224</v>
      </c>
      <c r="L2" s="7">
        <f>4736.7</f>
        <v>4736.7</v>
      </c>
      <c r="M2" s="7" t="s">
        <v>40</v>
      </c>
      <c r="N2" s="15">
        <f>120.49</f>
        <v>120.49</v>
      </c>
      <c r="O2">
        <v>34.67</v>
      </c>
      <c r="P2" s="33">
        <f>62.57</f>
        <v>62.57</v>
      </c>
      <c r="Q2" s="32">
        <v>18.079999999999998</v>
      </c>
      <c r="R2" s="34">
        <v>62.691372151898733</v>
      </c>
      <c r="S2" s="34">
        <v>14.807494145199065</v>
      </c>
      <c r="T2" s="34">
        <v>115.58862784810127</v>
      </c>
      <c r="U2" s="35">
        <v>42.672505854800939</v>
      </c>
      <c r="V2">
        <v>10.19</v>
      </c>
      <c r="W2" s="33">
        <v>0.96261682242990654</v>
      </c>
      <c r="Y2" s="2" t="s">
        <v>18</v>
      </c>
      <c r="Z2">
        <f>AVERAGE(E2:E10)</f>
        <v>128.72222222222223</v>
      </c>
      <c r="AA2">
        <f t="shared" ref="AA2:AQ2" si="0">AVERAGE(F2:F10)</f>
        <v>77.5</v>
      </c>
      <c r="AB2">
        <f t="shared" si="0"/>
        <v>46.766666666666673</v>
      </c>
      <c r="AC2">
        <f t="shared" si="0"/>
        <v>45</v>
      </c>
      <c r="AD2">
        <f t="shared" si="0"/>
        <v>9.8888888888888893</v>
      </c>
      <c r="AE2">
        <f t="shared" si="0"/>
        <v>149.44444444444446</v>
      </c>
      <c r="AF2">
        <f t="shared" si="0"/>
        <v>309.66666666666669</v>
      </c>
      <c r="AG2">
        <f t="shared" si="0"/>
        <v>5333.3566666666675</v>
      </c>
      <c r="AH2" t="s">
        <v>41</v>
      </c>
      <c r="AI2">
        <f t="shared" si="0"/>
        <v>145.11666666666665</v>
      </c>
      <c r="AJ2">
        <f t="shared" si="0"/>
        <v>48.951111111111111</v>
      </c>
      <c r="AK2">
        <f t="shared" si="0"/>
        <v>112.78777777777779</v>
      </c>
      <c r="AL2">
        <f t="shared" si="0"/>
        <v>32.426666666666669</v>
      </c>
      <c r="AM2">
        <f t="shared" si="0"/>
        <v>90.286601968131549</v>
      </c>
      <c r="AN2">
        <f t="shared" si="0"/>
        <v>22.157194503302559</v>
      </c>
      <c r="AO2">
        <f t="shared" si="0"/>
        <v>161.92450914297956</v>
      </c>
      <c r="AP2">
        <f t="shared" si="0"/>
        <v>59.965027718919664</v>
      </c>
      <c r="AQ2">
        <f t="shared" si="0"/>
        <v>19.459999999999997</v>
      </c>
    </row>
    <row r="3" spans="1:43" x14ac:dyDescent="0.4">
      <c r="A3" s="20">
        <v>46301</v>
      </c>
      <c r="B3" s="2" t="s">
        <v>18</v>
      </c>
      <c r="C3">
        <v>1</v>
      </c>
      <c r="D3" s="7">
        <v>2</v>
      </c>
      <c r="E3">
        <v>124</v>
      </c>
      <c r="F3" s="31">
        <v>112.5</v>
      </c>
      <c r="G3">
        <v>42.4</v>
      </c>
      <c r="H3">
        <v>43</v>
      </c>
      <c r="I3">
        <v>7</v>
      </c>
      <c r="J3">
        <v>209</v>
      </c>
      <c r="K3" s="15">
        <v>418</v>
      </c>
      <c r="L3" s="7">
        <f>4884.88</f>
        <v>4884.88</v>
      </c>
      <c r="M3" s="7" t="s">
        <v>40</v>
      </c>
      <c r="N3" s="15">
        <f>138.65</f>
        <v>138.65</v>
      </c>
      <c r="O3">
        <v>45.82</v>
      </c>
      <c r="P3" s="15">
        <f>124.57</f>
        <v>124.57</v>
      </c>
      <c r="Q3">
        <v>37.090000000000003</v>
      </c>
      <c r="R3" s="27">
        <v>128.10358995358993</v>
      </c>
      <c r="S3" s="27">
        <v>30.749286898839138</v>
      </c>
      <c r="T3" s="27">
        <v>237.06641004641006</v>
      </c>
      <c r="U3" s="28">
        <v>88.490713101160864</v>
      </c>
      <c r="V3" s="32">
        <v>57.56</v>
      </c>
      <c r="W3" s="15">
        <v>0.92079207920792072</v>
      </c>
      <c r="Y3" s="2" t="s">
        <v>21</v>
      </c>
      <c r="Z3">
        <f>AVERAGE(E11:E19)</f>
        <v>124.94444444444444</v>
      </c>
      <c r="AA3">
        <f t="shared" ref="AA3:AQ3" si="1">AVERAGE(F11:F19)</f>
        <v>73.111111111111114</v>
      </c>
      <c r="AB3">
        <f t="shared" si="1"/>
        <v>37.977777777777781</v>
      </c>
      <c r="AC3">
        <f t="shared" si="1"/>
        <v>39.444444444444443</v>
      </c>
      <c r="AD3">
        <f t="shared" si="1"/>
        <v>7.666666666666667</v>
      </c>
      <c r="AE3">
        <f t="shared" si="1"/>
        <v>155.44444444444446</v>
      </c>
      <c r="AF3">
        <f t="shared" ref="AF3" si="2">AVERAGE(K11:K19)</f>
        <v>321.66666666666669</v>
      </c>
      <c r="AG3">
        <f t="shared" ref="AG3" si="3">AVERAGE(L11:L19)</f>
        <v>4091.1766666666663</v>
      </c>
      <c r="AH3" t="s">
        <v>41</v>
      </c>
      <c r="AI3">
        <f t="shared" si="1"/>
        <v>95.398888888888891</v>
      </c>
      <c r="AJ3">
        <f t="shared" si="1"/>
        <v>44.12222222222222</v>
      </c>
      <c r="AK3">
        <f t="shared" si="1"/>
        <v>88.973333333333329</v>
      </c>
      <c r="AL3">
        <f t="shared" si="1"/>
        <v>31.971111111111114</v>
      </c>
      <c r="AM3">
        <f t="shared" si="1"/>
        <v>86.115021030953571</v>
      </c>
      <c r="AN3">
        <f t="shared" si="1"/>
        <v>23.897413521608556</v>
      </c>
      <c r="AO3">
        <f t="shared" si="1"/>
        <v>169.70720119126861</v>
      </c>
      <c r="AP3">
        <f t="shared" si="1"/>
        <v>63.334808700613671</v>
      </c>
      <c r="AQ3">
        <f t="shared" si="1"/>
        <v>27.05222222222222</v>
      </c>
    </row>
    <row r="4" spans="1:43" x14ac:dyDescent="0.4">
      <c r="A4" s="20">
        <v>46301</v>
      </c>
      <c r="B4" s="2" t="s">
        <v>18</v>
      </c>
      <c r="C4">
        <v>1</v>
      </c>
      <c r="D4" s="7">
        <v>3</v>
      </c>
      <c r="E4">
        <v>131</v>
      </c>
      <c r="F4" s="7">
        <v>70</v>
      </c>
      <c r="G4">
        <v>41.4</v>
      </c>
      <c r="H4">
        <v>34</v>
      </c>
      <c r="I4">
        <v>5</v>
      </c>
      <c r="J4" s="32">
        <v>44</v>
      </c>
      <c r="K4" s="33">
        <v>88</v>
      </c>
      <c r="L4" s="7">
        <v>4996.07</v>
      </c>
      <c r="M4" s="7" t="s">
        <v>40</v>
      </c>
      <c r="N4">
        <v>127.29</v>
      </c>
      <c r="O4">
        <v>33.119999999999997</v>
      </c>
      <c r="P4" s="32">
        <v>77.62</v>
      </c>
      <c r="Q4" s="32">
        <v>21.45</v>
      </c>
      <c r="R4" s="34">
        <v>20.602640394088674</v>
      </c>
      <c r="S4" s="34">
        <v>4.9706209150326792</v>
      </c>
      <c r="T4" s="34">
        <v>36.637359605911328</v>
      </c>
      <c r="U4" s="35">
        <v>12.119379084967321</v>
      </c>
      <c r="V4">
        <v>8.07</v>
      </c>
      <c r="W4" s="15">
        <v>0.90857142857142847</v>
      </c>
      <c r="Y4" s="2" t="s">
        <v>23</v>
      </c>
      <c r="Z4">
        <f>AVERAGE(E20:E25)</f>
        <v>125.16666666666667</v>
      </c>
      <c r="AA4">
        <f t="shared" ref="AA4:AQ4" si="4">AVERAGE(F20:F25)</f>
        <v>75.25</v>
      </c>
      <c r="AB4">
        <f t="shared" si="4"/>
        <v>34.699999999999996</v>
      </c>
      <c r="AC4">
        <f t="shared" si="4"/>
        <v>37.333333333333336</v>
      </c>
      <c r="AD4">
        <f t="shared" si="4"/>
        <v>6</v>
      </c>
      <c r="AE4">
        <f t="shared" si="4"/>
        <v>179</v>
      </c>
      <c r="AF4">
        <f>AVERAGE(K11:K16)</f>
        <v>266.83333333333331</v>
      </c>
      <c r="AG4">
        <f>AVERAGE(L11:L16)</f>
        <v>3897.748333333333</v>
      </c>
      <c r="AH4" t="s">
        <v>41</v>
      </c>
      <c r="AI4">
        <f>AVERAGE(N11:N16)</f>
        <v>92.15000000000002</v>
      </c>
      <c r="AJ4">
        <f t="shared" si="4"/>
        <v>37.741666666666667</v>
      </c>
      <c r="AK4">
        <f>AVERAGE(P11:P16)</f>
        <v>84.561666666666667</v>
      </c>
      <c r="AL4">
        <f t="shared" si="4"/>
        <v>29.788333333333338</v>
      </c>
      <c r="AM4">
        <f t="shared" si="4"/>
        <v>110.52513386205476</v>
      </c>
      <c r="AN4">
        <f t="shared" si="4"/>
        <v>27.320233658329414</v>
      </c>
      <c r="AO4">
        <f t="shared" si="4"/>
        <v>176.77153280461189</v>
      </c>
      <c r="AP4">
        <f t="shared" si="4"/>
        <v>62.999766341670579</v>
      </c>
      <c r="AQ4">
        <f t="shared" si="4"/>
        <v>35.126666666666672</v>
      </c>
    </row>
    <row r="5" spans="1:43" x14ac:dyDescent="0.4">
      <c r="A5" s="20">
        <v>46301</v>
      </c>
      <c r="B5" s="2" t="s">
        <v>18</v>
      </c>
      <c r="C5">
        <v>1</v>
      </c>
      <c r="D5" s="7">
        <v>4</v>
      </c>
      <c r="E5">
        <v>122</v>
      </c>
      <c r="F5" s="7">
        <v>69.5</v>
      </c>
      <c r="G5">
        <v>51.7</v>
      </c>
      <c r="H5">
        <v>42</v>
      </c>
      <c r="I5">
        <v>10</v>
      </c>
      <c r="J5">
        <v>165</v>
      </c>
      <c r="K5" s="15">
        <v>404</v>
      </c>
      <c r="L5" s="7">
        <f>3936.12</f>
        <v>3936.12</v>
      </c>
      <c r="M5" s="7" t="s">
        <v>40</v>
      </c>
      <c r="N5" s="15">
        <f>96.36</f>
        <v>96.36</v>
      </c>
      <c r="O5">
        <v>52.59</v>
      </c>
      <c r="P5">
        <v>111.72</v>
      </c>
      <c r="Q5">
        <v>37.049999999999997</v>
      </c>
      <c r="R5" s="27">
        <v>99.785666368515223</v>
      </c>
      <c r="S5" s="27">
        <v>26.417028301886791</v>
      </c>
      <c r="T5" s="27">
        <v>179.46433363148481</v>
      </c>
      <c r="U5" s="28">
        <v>65.3929716981132</v>
      </c>
      <c r="V5">
        <v>23.89</v>
      </c>
      <c r="W5" s="15">
        <v>0.92063492063492058</v>
      </c>
      <c r="Y5" s="2" t="s">
        <v>24</v>
      </c>
      <c r="Z5">
        <f>AVERAGE(E26:E31)</f>
        <v>132.33333333333334</v>
      </c>
      <c r="AA5">
        <f t="shared" ref="AA5:AQ5" si="5">AVERAGE(F26:F31)</f>
        <v>79</v>
      </c>
      <c r="AB5">
        <f t="shared" si="5"/>
        <v>44.216666666666669</v>
      </c>
      <c r="AC5">
        <f t="shared" si="5"/>
        <v>37.166666666666664</v>
      </c>
      <c r="AD5">
        <f t="shared" si="5"/>
        <v>7.166666666666667</v>
      </c>
      <c r="AE5">
        <f t="shared" si="5"/>
        <v>144</v>
      </c>
      <c r="AF5">
        <f>AVERAGE(K17:K31)</f>
        <v>351.06666666666666</v>
      </c>
      <c r="AG5">
        <f>AVERAGE(L17:L31)</f>
        <v>4856.21</v>
      </c>
      <c r="AH5" t="s">
        <v>41</v>
      </c>
      <c r="AI5">
        <f>AVERAGE(N17:N31)</f>
        <v>117.46</v>
      </c>
      <c r="AJ5">
        <f t="shared" si="5"/>
        <v>56.935000000000002</v>
      </c>
      <c r="AK5">
        <f>AVERAGE(P17:P31)</f>
        <v>113.22666666666667</v>
      </c>
      <c r="AL5">
        <f t="shared" si="5"/>
        <v>41.451666666666668</v>
      </c>
      <c r="AM5">
        <f t="shared" si="5"/>
        <v>85.684022754303626</v>
      </c>
      <c r="AN5">
        <f t="shared" si="5"/>
        <v>23.066268373959684</v>
      </c>
      <c r="AO5">
        <f t="shared" si="5"/>
        <v>161.24597724569637</v>
      </c>
      <c r="AP5">
        <f t="shared" si="5"/>
        <v>56.998731626040318</v>
      </c>
      <c r="AQ5">
        <f t="shared" si="5"/>
        <v>36.56666666666667</v>
      </c>
    </row>
    <row r="6" spans="1:43" x14ac:dyDescent="0.4">
      <c r="A6" s="20">
        <v>46301</v>
      </c>
      <c r="B6" s="2" t="s">
        <v>18</v>
      </c>
      <c r="C6">
        <v>1</v>
      </c>
      <c r="D6" s="7">
        <v>5</v>
      </c>
      <c r="E6">
        <v>125</v>
      </c>
      <c r="F6" s="7">
        <v>77.5</v>
      </c>
      <c r="G6">
        <v>47.9</v>
      </c>
      <c r="H6">
        <v>43</v>
      </c>
      <c r="I6">
        <v>7</v>
      </c>
      <c r="J6">
        <v>163</v>
      </c>
      <c r="K6" s="15">
        <v>334</v>
      </c>
      <c r="L6" s="7">
        <f>7140.06</f>
        <v>7140.06</v>
      </c>
      <c r="M6" s="7" t="s">
        <v>40</v>
      </c>
      <c r="N6" s="15">
        <f>199.55</f>
        <v>199.55</v>
      </c>
      <c r="O6">
        <v>53.69</v>
      </c>
      <c r="P6">
        <v>151.18</v>
      </c>
      <c r="Q6">
        <v>40.5</v>
      </c>
      <c r="R6" s="27">
        <v>117.25573007288972</v>
      </c>
      <c r="S6" s="27">
        <v>27.608490974729236</v>
      </c>
      <c r="T6" s="27">
        <v>185.71426992711025</v>
      </c>
      <c r="U6" s="28">
        <v>68.951509025270752</v>
      </c>
      <c r="V6">
        <v>13.05</v>
      </c>
      <c r="W6" s="33">
        <v>0.8540540540540541</v>
      </c>
    </row>
    <row r="7" spans="1:43" x14ac:dyDescent="0.4">
      <c r="A7" s="20">
        <v>46301</v>
      </c>
      <c r="B7" s="2" t="s">
        <v>18</v>
      </c>
      <c r="C7">
        <v>1</v>
      </c>
      <c r="D7" s="7">
        <v>6</v>
      </c>
      <c r="E7">
        <v>123.5</v>
      </c>
      <c r="F7" s="7">
        <v>73</v>
      </c>
      <c r="G7">
        <v>44.3</v>
      </c>
      <c r="H7">
        <v>39</v>
      </c>
      <c r="I7">
        <v>13</v>
      </c>
      <c r="J7">
        <v>163</v>
      </c>
      <c r="K7" s="15">
        <v>334</v>
      </c>
      <c r="L7" s="7">
        <f>6052.88</f>
        <v>6052.88</v>
      </c>
      <c r="M7" s="7" t="s">
        <v>40</v>
      </c>
      <c r="N7" s="15">
        <f>168.2</f>
        <v>168.2</v>
      </c>
      <c r="O7">
        <v>49.96</v>
      </c>
      <c r="P7">
        <v>119.09</v>
      </c>
      <c r="Q7">
        <v>33</v>
      </c>
      <c r="R7" s="27">
        <v>101.5954850361197</v>
      </c>
      <c r="S7" s="27">
        <v>23.475527156549525</v>
      </c>
      <c r="T7" s="27">
        <v>168.30451496388025</v>
      </c>
      <c r="U7" s="28">
        <v>61.96447284345048</v>
      </c>
      <c r="V7">
        <v>13.1</v>
      </c>
      <c r="W7" s="15">
        <v>0.92338709677419373</v>
      </c>
    </row>
    <row r="8" spans="1:43" x14ac:dyDescent="0.4">
      <c r="A8" s="20">
        <v>46301</v>
      </c>
      <c r="B8" s="2" t="s">
        <v>18</v>
      </c>
      <c r="C8">
        <v>1</v>
      </c>
      <c r="D8" s="7">
        <v>7</v>
      </c>
      <c r="E8">
        <v>136</v>
      </c>
      <c r="F8" s="7">
        <v>83</v>
      </c>
      <c r="G8">
        <v>44.7</v>
      </c>
      <c r="H8">
        <v>53</v>
      </c>
      <c r="I8">
        <v>10</v>
      </c>
      <c r="J8">
        <v>165</v>
      </c>
      <c r="K8" s="15">
        <v>347</v>
      </c>
      <c r="L8" s="7">
        <f>4356.1</f>
        <v>4356.1000000000004</v>
      </c>
      <c r="M8" s="7" t="s">
        <v>40</v>
      </c>
      <c r="N8" s="15">
        <f>115.82</f>
        <v>115.82</v>
      </c>
      <c r="O8">
        <v>63.32</v>
      </c>
      <c r="P8">
        <v>124.88</v>
      </c>
      <c r="Q8">
        <v>37.81</v>
      </c>
      <c r="R8" s="27">
        <v>106.43496623981373</v>
      </c>
      <c r="S8" s="27">
        <v>26.983726415094342</v>
      </c>
      <c r="T8" s="27">
        <v>201.19503376018625</v>
      </c>
      <c r="U8" s="28">
        <v>77.026273584905653</v>
      </c>
      <c r="V8">
        <v>26.37</v>
      </c>
      <c r="W8" s="15">
        <v>0.9156626506024097</v>
      </c>
    </row>
    <row r="9" spans="1:43" x14ac:dyDescent="0.4">
      <c r="A9" s="20">
        <v>46301</v>
      </c>
      <c r="B9" s="2" t="s">
        <v>18</v>
      </c>
      <c r="C9">
        <v>1</v>
      </c>
      <c r="D9" s="7">
        <v>8</v>
      </c>
      <c r="E9">
        <v>130</v>
      </c>
      <c r="F9" s="7">
        <v>70</v>
      </c>
      <c r="G9">
        <v>44.6</v>
      </c>
      <c r="H9">
        <v>58</v>
      </c>
      <c r="I9">
        <v>11</v>
      </c>
      <c r="J9">
        <v>165</v>
      </c>
      <c r="K9" s="15">
        <v>314</v>
      </c>
      <c r="L9" s="7">
        <f>5380.5</f>
        <v>5380.5</v>
      </c>
      <c r="M9" s="7" t="s">
        <v>40</v>
      </c>
      <c r="N9" s="15">
        <f>147.57</f>
        <v>147.57</v>
      </c>
      <c r="O9">
        <v>40.19</v>
      </c>
      <c r="P9">
        <v>116.87</v>
      </c>
      <c r="Q9">
        <v>31.74</v>
      </c>
      <c r="R9" s="27">
        <v>86.5607236650131</v>
      </c>
      <c r="S9" s="27">
        <v>21.579734278122228</v>
      </c>
      <c r="T9" s="27">
        <v>158.59927633498688</v>
      </c>
      <c r="U9" s="28">
        <v>57.780265721877761</v>
      </c>
      <c r="V9">
        <v>7.94</v>
      </c>
      <c r="W9" s="15">
        <v>0.91525423728813549</v>
      </c>
    </row>
    <row r="10" spans="1:43" x14ac:dyDescent="0.4">
      <c r="A10" s="21">
        <v>46301</v>
      </c>
      <c r="B10" s="6" t="s">
        <v>18</v>
      </c>
      <c r="C10" s="5">
        <v>1</v>
      </c>
      <c r="D10" s="8">
        <v>9</v>
      </c>
      <c r="E10" s="5">
        <v>132</v>
      </c>
      <c r="F10" s="8">
        <v>66.5</v>
      </c>
      <c r="G10" s="5">
        <v>49.8</v>
      </c>
      <c r="H10" s="5">
        <v>54</v>
      </c>
      <c r="I10" s="5">
        <v>19</v>
      </c>
      <c r="J10" s="5">
        <v>159</v>
      </c>
      <c r="K10" s="17">
        <v>324</v>
      </c>
      <c r="L10" s="8">
        <f>6516.9</f>
        <v>6516.9</v>
      </c>
      <c r="M10" s="8" t="s">
        <v>40</v>
      </c>
      <c r="N10" s="17">
        <f>192.12</f>
        <v>192.12</v>
      </c>
      <c r="O10" s="17">
        <v>67.2</v>
      </c>
      <c r="P10" s="5">
        <v>126.59</v>
      </c>
      <c r="Q10" s="17">
        <v>35.119999999999997</v>
      </c>
      <c r="R10" s="29">
        <v>89.549243831254984</v>
      </c>
      <c r="S10" s="29">
        <v>22.822841444270018</v>
      </c>
      <c r="T10" s="29">
        <v>174.75075616874506</v>
      </c>
      <c r="U10" s="30">
        <v>65.287158555729988</v>
      </c>
      <c r="V10" s="17">
        <v>14.97</v>
      </c>
      <c r="W10" s="33">
        <v>0.83679525222551931</v>
      </c>
    </row>
    <row r="11" spans="1:43" x14ac:dyDescent="0.4">
      <c r="A11" s="20">
        <v>46301</v>
      </c>
      <c r="B11" s="2" t="s">
        <v>21</v>
      </c>
      <c r="C11">
        <v>2</v>
      </c>
      <c r="D11" s="7">
        <v>1</v>
      </c>
      <c r="E11">
        <v>109.5</v>
      </c>
      <c r="F11" s="7">
        <v>60</v>
      </c>
      <c r="G11">
        <v>32.700000000000003</v>
      </c>
      <c r="H11">
        <v>31</v>
      </c>
      <c r="I11">
        <v>4</v>
      </c>
      <c r="J11" s="32">
        <v>29</v>
      </c>
      <c r="K11" s="33">
        <v>57</v>
      </c>
      <c r="L11" s="7">
        <f>4434.46</f>
        <v>4434.46</v>
      </c>
      <c r="M11" s="7" t="s">
        <v>40</v>
      </c>
      <c r="N11" s="15">
        <f>99.42</f>
        <v>99.42</v>
      </c>
      <c r="O11">
        <v>27.85</v>
      </c>
      <c r="P11" s="32">
        <v>66.81</v>
      </c>
      <c r="Q11" s="32">
        <v>19.16</v>
      </c>
      <c r="R11" s="34">
        <v>13.032385513319365</v>
      </c>
      <c r="S11" s="34">
        <v>3.2086363636363635</v>
      </c>
      <c r="T11" s="34">
        <v>26.767614486680635</v>
      </c>
      <c r="U11" s="35">
        <v>9.461363636363636</v>
      </c>
      <c r="V11">
        <v>7.79</v>
      </c>
      <c r="W11" s="15">
        <v>0.9309090909090908</v>
      </c>
    </row>
    <row r="12" spans="1:43" x14ac:dyDescent="0.4">
      <c r="A12" s="20">
        <v>46301</v>
      </c>
      <c r="B12" s="2" t="s">
        <v>21</v>
      </c>
      <c r="C12">
        <v>2</v>
      </c>
      <c r="D12" s="7">
        <v>2</v>
      </c>
      <c r="E12">
        <v>138</v>
      </c>
      <c r="F12" s="7">
        <v>84</v>
      </c>
      <c r="G12">
        <v>42</v>
      </c>
      <c r="H12">
        <v>44</v>
      </c>
      <c r="I12">
        <v>11</v>
      </c>
      <c r="J12">
        <v>183</v>
      </c>
      <c r="K12" s="15">
        <v>384</v>
      </c>
      <c r="L12" s="7">
        <f>3473.11</f>
        <v>3473.11</v>
      </c>
      <c r="M12" s="7" t="s">
        <v>40</v>
      </c>
      <c r="N12" s="15">
        <f>77.34</f>
        <v>77.34</v>
      </c>
      <c r="O12">
        <v>48.39</v>
      </c>
      <c r="P12">
        <v>80.569999999999993</v>
      </c>
      <c r="Q12">
        <v>32.68</v>
      </c>
      <c r="R12" s="27">
        <v>94.970967741935482</v>
      </c>
      <c r="S12" s="27">
        <v>26.81108477666363</v>
      </c>
      <c r="T12" s="27">
        <v>199.43903225806451</v>
      </c>
      <c r="U12" s="28">
        <v>75.66891522333637</v>
      </c>
      <c r="V12">
        <v>15.75</v>
      </c>
      <c r="W12" s="15">
        <v>0.90977443609022546</v>
      </c>
    </row>
    <row r="13" spans="1:43" x14ac:dyDescent="0.4">
      <c r="A13" s="20">
        <v>46301</v>
      </c>
      <c r="B13" s="2" t="s">
        <v>21</v>
      </c>
      <c r="C13">
        <v>2</v>
      </c>
      <c r="D13" s="7">
        <v>3</v>
      </c>
      <c r="E13">
        <v>137.5</v>
      </c>
      <c r="F13" s="7">
        <v>81</v>
      </c>
      <c r="G13">
        <v>29.6</v>
      </c>
      <c r="H13">
        <v>39</v>
      </c>
      <c r="I13">
        <v>13</v>
      </c>
      <c r="J13">
        <v>167</v>
      </c>
      <c r="K13" s="15">
        <v>334</v>
      </c>
      <c r="L13" s="7">
        <f>6505.53</f>
        <v>6505.53</v>
      </c>
      <c r="M13" s="7" t="s">
        <v>40</v>
      </c>
      <c r="N13" s="15">
        <f>142.86</f>
        <v>142.86000000000001</v>
      </c>
      <c r="O13">
        <v>49.82</v>
      </c>
      <c r="P13">
        <v>103.77</v>
      </c>
      <c r="Q13">
        <v>31.35</v>
      </c>
      <c r="R13" s="27">
        <v>92.110779220779222</v>
      </c>
      <c r="S13" s="27">
        <v>24.33250213492741</v>
      </c>
      <c r="T13" s="27">
        <v>192.11922077922077</v>
      </c>
      <c r="U13" s="28">
        <v>74.947497865072577</v>
      </c>
      <c r="V13">
        <v>15.2</v>
      </c>
      <c r="W13" s="15">
        <v>0.91219512195121955</v>
      </c>
    </row>
    <row r="14" spans="1:43" x14ac:dyDescent="0.4">
      <c r="A14" s="20">
        <v>46301</v>
      </c>
      <c r="B14" s="2" t="s">
        <v>21</v>
      </c>
      <c r="C14">
        <v>2</v>
      </c>
      <c r="D14" s="7">
        <v>4</v>
      </c>
      <c r="E14">
        <v>122.5</v>
      </c>
      <c r="F14" s="7">
        <v>74.5</v>
      </c>
      <c r="G14">
        <v>40.9</v>
      </c>
      <c r="H14">
        <v>23</v>
      </c>
      <c r="I14">
        <v>8</v>
      </c>
      <c r="J14">
        <v>147</v>
      </c>
      <c r="K14" s="15">
        <v>294</v>
      </c>
      <c r="L14" s="7">
        <f>4167.55</f>
        <v>4167.55</v>
      </c>
      <c r="M14" s="7" t="s">
        <v>40</v>
      </c>
      <c r="N14" s="15">
        <f>91.6</f>
        <v>91.6</v>
      </c>
      <c r="O14">
        <v>42.12</v>
      </c>
      <c r="P14">
        <v>85.13</v>
      </c>
      <c r="Q14">
        <v>29.83</v>
      </c>
      <c r="R14" s="27">
        <v>71.784938200632368</v>
      </c>
      <c r="S14" s="27">
        <v>19.760193392425464</v>
      </c>
      <c r="T14" s="27">
        <v>158.81506179936767</v>
      </c>
      <c r="U14" s="28">
        <v>61.439806607574546</v>
      </c>
      <c r="V14">
        <v>21.72</v>
      </c>
      <c r="W14" s="15">
        <v>0.86956521739130432</v>
      </c>
    </row>
    <row r="15" spans="1:43" x14ac:dyDescent="0.4">
      <c r="A15" s="20">
        <v>46301</v>
      </c>
      <c r="B15" s="2" t="s">
        <v>21</v>
      </c>
      <c r="C15">
        <v>2</v>
      </c>
      <c r="D15" s="7">
        <v>5</v>
      </c>
      <c r="E15">
        <v>143</v>
      </c>
      <c r="F15" s="7">
        <v>80</v>
      </c>
      <c r="G15">
        <v>40</v>
      </c>
      <c r="H15">
        <v>44</v>
      </c>
      <c r="I15">
        <v>2</v>
      </c>
      <c r="J15">
        <v>96</v>
      </c>
      <c r="K15" s="15">
        <v>173</v>
      </c>
      <c r="L15" s="7">
        <f>1792.91</f>
        <v>1792.91</v>
      </c>
      <c r="M15" s="7" t="s">
        <v>40</v>
      </c>
      <c r="N15" s="15">
        <f>54.54</f>
        <v>54.54</v>
      </c>
      <c r="O15">
        <v>30.38</v>
      </c>
      <c r="P15">
        <v>73.31</v>
      </c>
      <c r="Q15">
        <v>27.21</v>
      </c>
      <c r="R15" s="27">
        <v>56.086103623839463</v>
      </c>
      <c r="S15" s="27">
        <v>14.932733089579525</v>
      </c>
      <c r="T15" s="34">
        <v>96.663896376160508</v>
      </c>
      <c r="U15" s="35">
        <v>33.257266910420476</v>
      </c>
      <c r="V15" s="32">
        <v>41.22</v>
      </c>
      <c r="W15" s="15">
        <v>0.90816326530612257</v>
      </c>
    </row>
    <row r="16" spans="1:43" x14ac:dyDescent="0.4">
      <c r="A16" s="20">
        <v>46301</v>
      </c>
      <c r="B16" s="2" t="s">
        <v>21</v>
      </c>
      <c r="C16">
        <v>2</v>
      </c>
      <c r="D16" s="7">
        <v>6</v>
      </c>
      <c r="E16">
        <v>116</v>
      </c>
      <c r="F16" s="7">
        <v>74</v>
      </c>
      <c r="G16">
        <v>38.200000000000003</v>
      </c>
      <c r="H16">
        <v>40</v>
      </c>
      <c r="I16">
        <v>6</v>
      </c>
      <c r="J16">
        <v>175</v>
      </c>
      <c r="K16" s="15">
        <v>359</v>
      </c>
      <c r="L16" s="7">
        <f>3012.93</f>
        <v>3012.93</v>
      </c>
      <c r="M16" s="7" t="s">
        <v>40</v>
      </c>
      <c r="N16" s="15">
        <f>87.14</f>
        <v>87.14</v>
      </c>
      <c r="O16">
        <v>54.81</v>
      </c>
      <c r="P16">
        <v>97.78</v>
      </c>
      <c r="Q16">
        <v>40.15</v>
      </c>
      <c r="R16" s="27">
        <v>106.45281454355217</v>
      </c>
      <c r="S16" s="27">
        <v>30.001496492595479</v>
      </c>
      <c r="T16" s="27">
        <v>195.67718545644777</v>
      </c>
      <c r="U16" s="28">
        <v>69.71850350740452</v>
      </c>
      <c r="V16">
        <v>35.409999999999997</v>
      </c>
      <c r="W16" s="15">
        <v>0.91724137931034477</v>
      </c>
    </row>
    <row r="17" spans="1:23" x14ac:dyDescent="0.4">
      <c r="A17" s="20">
        <v>46301</v>
      </c>
      <c r="B17" s="2" t="s">
        <v>21</v>
      </c>
      <c r="C17">
        <v>2</v>
      </c>
      <c r="D17" s="7">
        <v>7</v>
      </c>
      <c r="E17">
        <v>127</v>
      </c>
      <c r="F17" s="7">
        <v>68.5</v>
      </c>
      <c r="G17">
        <v>37.200000000000003</v>
      </c>
      <c r="H17">
        <v>45</v>
      </c>
      <c r="I17">
        <v>11</v>
      </c>
      <c r="J17">
        <v>219</v>
      </c>
      <c r="K17" s="15">
        <v>482</v>
      </c>
      <c r="L17" s="7">
        <f>3072.8</f>
        <v>3072.8</v>
      </c>
      <c r="M17" s="7" t="s">
        <v>40</v>
      </c>
      <c r="N17" s="15">
        <f>73.53</f>
        <v>73.53</v>
      </c>
      <c r="O17">
        <v>45.71</v>
      </c>
      <c r="P17">
        <v>93.95</v>
      </c>
      <c r="Q17">
        <v>39.69</v>
      </c>
      <c r="R17" s="27">
        <v>127.5935847052576</v>
      </c>
      <c r="S17" s="27">
        <v>36.906149162861489</v>
      </c>
      <c r="T17" s="27">
        <v>257.43641529474246</v>
      </c>
      <c r="U17" s="28">
        <v>98.553850837138498</v>
      </c>
      <c r="V17">
        <v>27.94</v>
      </c>
      <c r="W17" s="15">
        <v>0.90140845070422526</v>
      </c>
    </row>
    <row r="18" spans="1:23" x14ac:dyDescent="0.4">
      <c r="A18" s="20">
        <v>46301</v>
      </c>
      <c r="B18" s="2" t="s">
        <v>21</v>
      </c>
      <c r="C18">
        <v>2</v>
      </c>
      <c r="D18" s="7">
        <v>8</v>
      </c>
      <c r="E18">
        <v>117</v>
      </c>
      <c r="F18" s="7">
        <v>65</v>
      </c>
      <c r="G18">
        <v>43</v>
      </c>
      <c r="H18">
        <v>41</v>
      </c>
      <c r="I18">
        <v>5</v>
      </c>
      <c r="J18">
        <v>138</v>
      </c>
      <c r="K18" s="15">
        <v>297</v>
      </c>
      <c r="L18" s="7">
        <f>3305.15</f>
        <v>3305.15</v>
      </c>
      <c r="M18" s="7" t="s">
        <v>40</v>
      </c>
      <c r="N18" s="15">
        <f>72.52</f>
        <v>72.52</v>
      </c>
      <c r="O18">
        <v>41.2</v>
      </c>
      <c r="P18">
        <v>67.64</v>
      </c>
      <c r="Q18">
        <v>26.3</v>
      </c>
      <c r="R18" s="27">
        <v>73.828842315369258</v>
      </c>
      <c r="S18" s="27">
        <v>20.861453634085212</v>
      </c>
      <c r="T18" s="27">
        <v>135.82115768463075</v>
      </c>
      <c r="U18" s="28">
        <v>49.678546365914784</v>
      </c>
      <c r="V18" s="32">
        <v>56.56</v>
      </c>
      <c r="W18" s="15">
        <v>0.88086642599277976</v>
      </c>
    </row>
    <row r="19" spans="1:23" x14ac:dyDescent="0.4">
      <c r="A19" s="21">
        <v>46301</v>
      </c>
      <c r="B19" s="6" t="s">
        <v>21</v>
      </c>
      <c r="C19" s="5">
        <v>2</v>
      </c>
      <c r="D19" s="8">
        <v>9</v>
      </c>
      <c r="E19" s="5">
        <v>114</v>
      </c>
      <c r="F19" s="8">
        <v>71</v>
      </c>
      <c r="G19" s="5">
        <v>38.200000000000003</v>
      </c>
      <c r="H19" s="5">
        <v>48</v>
      </c>
      <c r="I19" s="5">
        <v>9</v>
      </c>
      <c r="J19" s="5">
        <v>245</v>
      </c>
      <c r="K19" s="17">
        <v>515</v>
      </c>
      <c r="L19" s="8">
        <f>7056.15</f>
        <v>7056.15</v>
      </c>
      <c r="M19" s="8" t="s">
        <v>40</v>
      </c>
      <c r="N19" s="17">
        <f>159.64</f>
        <v>159.63999999999999</v>
      </c>
      <c r="O19" s="17">
        <v>56.82</v>
      </c>
      <c r="P19" s="5">
        <v>131.80000000000001</v>
      </c>
      <c r="Q19" s="17">
        <v>41.37</v>
      </c>
      <c r="R19" s="29">
        <v>139.17477341389727</v>
      </c>
      <c r="S19" s="29">
        <v>38.26247264770241</v>
      </c>
      <c r="T19" s="29">
        <v>264.62522658610271</v>
      </c>
      <c r="U19" s="30">
        <v>97.287527352297587</v>
      </c>
      <c r="V19" s="17">
        <v>21.88</v>
      </c>
      <c r="W19" s="15">
        <v>0.87071240105540915</v>
      </c>
    </row>
    <row r="20" spans="1:23" x14ac:dyDescent="0.4">
      <c r="A20" s="20">
        <v>46301</v>
      </c>
      <c r="B20" s="2" t="s">
        <v>23</v>
      </c>
      <c r="C20">
        <v>3</v>
      </c>
      <c r="D20" s="7">
        <v>1</v>
      </c>
      <c r="E20">
        <v>121</v>
      </c>
      <c r="F20" s="7">
        <v>63.5</v>
      </c>
      <c r="G20">
        <v>19.399999999999999</v>
      </c>
      <c r="H20">
        <v>25</v>
      </c>
      <c r="I20">
        <v>5</v>
      </c>
      <c r="J20">
        <v>121</v>
      </c>
      <c r="K20" s="15">
        <v>254</v>
      </c>
      <c r="L20" s="7">
        <v>3960.7</v>
      </c>
      <c r="M20" s="7" t="s">
        <v>40</v>
      </c>
      <c r="N20" s="15">
        <v>84.57</v>
      </c>
      <c r="O20">
        <v>22.81</v>
      </c>
      <c r="P20">
        <v>88.6</v>
      </c>
      <c r="Q20">
        <v>23.97</v>
      </c>
      <c r="R20" s="27">
        <v>76.113068181818193</v>
      </c>
      <c r="S20" s="27">
        <v>18.232919776119406</v>
      </c>
      <c r="T20" s="27">
        <v>115.25693181818183</v>
      </c>
      <c r="U20" s="28">
        <v>42.657080223880598</v>
      </c>
      <c r="V20">
        <v>29.7</v>
      </c>
      <c r="W20" s="15">
        <v>0.90265486725663724</v>
      </c>
    </row>
    <row r="21" spans="1:23" x14ac:dyDescent="0.4">
      <c r="A21" s="20">
        <v>46301</v>
      </c>
      <c r="B21" s="2" t="s">
        <v>23</v>
      </c>
      <c r="C21">
        <v>3</v>
      </c>
      <c r="D21" s="7">
        <v>2</v>
      </c>
      <c r="E21">
        <v>116</v>
      </c>
      <c r="F21" s="7">
        <v>75.5</v>
      </c>
      <c r="G21">
        <v>39.200000000000003</v>
      </c>
      <c r="H21">
        <v>39</v>
      </c>
      <c r="I21">
        <v>4</v>
      </c>
      <c r="J21">
        <v>220</v>
      </c>
      <c r="K21" s="15">
        <v>495</v>
      </c>
      <c r="L21" s="7">
        <f>2974.04</f>
        <v>2974.04</v>
      </c>
      <c r="M21" s="7" t="s">
        <v>40</v>
      </c>
      <c r="N21" s="15">
        <f>84.06</f>
        <v>84.06</v>
      </c>
      <c r="O21">
        <v>40.54</v>
      </c>
      <c r="P21">
        <f>101.81</f>
        <v>101.81</v>
      </c>
      <c r="Q21">
        <v>31.49</v>
      </c>
      <c r="R21" s="27">
        <v>137.8887063453025</v>
      </c>
      <c r="S21" s="27">
        <v>36.087027439024396</v>
      </c>
      <c r="T21" s="27">
        <v>223.59129365469749</v>
      </c>
      <c r="U21" s="28">
        <v>77.45297256097561</v>
      </c>
      <c r="V21" s="32">
        <v>63</v>
      </c>
      <c r="W21" s="15">
        <v>0.94358974358974368</v>
      </c>
    </row>
    <row r="22" spans="1:23" x14ac:dyDescent="0.4">
      <c r="A22" s="20">
        <v>46301</v>
      </c>
      <c r="B22" s="2" t="s">
        <v>23</v>
      </c>
      <c r="C22">
        <v>3</v>
      </c>
      <c r="D22" s="7">
        <v>3</v>
      </c>
      <c r="E22">
        <v>130.5</v>
      </c>
      <c r="F22" s="7">
        <v>76.5</v>
      </c>
      <c r="G22">
        <v>36</v>
      </c>
      <c r="H22">
        <v>37</v>
      </c>
      <c r="I22">
        <v>9</v>
      </c>
      <c r="J22">
        <v>165</v>
      </c>
      <c r="K22" s="15">
        <v>330</v>
      </c>
      <c r="L22" s="7">
        <f>4199.33</f>
        <v>4199.33</v>
      </c>
      <c r="M22" s="7" t="s">
        <v>40</v>
      </c>
      <c r="N22" s="15">
        <f>96.32</f>
        <v>96.32</v>
      </c>
      <c r="O22">
        <v>26.05</v>
      </c>
      <c r="P22">
        <f>77.17</f>
        <v>77.17</v>
      </c>
      <c r="Q22">
        <v>22.62</v>
      </c>
      <c r="R22" s="27">
        <v>90.726037249283664</v>
      </c>
      <c r="S22" s="27">
        <v>20.906110615521854</v>
      </c>
      <c r="T22" s="27">
        <v>143.64396275071636</v>
      </c>
      <c r="U22" s="28">
        <v>51.203889384478138</v>
      </c>
      <c r="V22">
        <v>21.67</v>
      </c>
      <c r="W22" s="15">
        <v>0.92250922509225097</v>
      </c>
    </row>
    <row r="23" spans="1:23" x14ac:dyDescent="0.4">
      <c r="A23" s="20">
        <v>46301</v>
      </c>
      <c r="B23" s="2" t="s">
        <v>23</v>
      </c>
      <c r="C23">
        <v>3</v>
      </c>
      <c r="D23" s="7">
        <v>4</v>
      </c>
      <c r="E23">
        <v>123</v>
      </c>
      <c r="F23" s="7">
        <v>77</v>
      </c>
      <c r="G23">
        <v>41.3</v>
      </c>
      <c r="H23">
        <v>43</v>
      </c>
      <c r="I23">
        <v>6</v>
      </c>
      <c r="J23">
        <v>202</v>
      </c>
      <c r="K23" s="15">
        <v>374</v>
      </c>
      <c r="L23" s="7">
        <v>5756.18</v>
      </c>
      <c r="M23" s="7" t="s">
        <v>40</v>
      </c>
      <c r="N23" s="15">
        <v>142.11000000000001</v>
      </c>
      <c r="O23">
        <v>48.45</v>
      </c>
      <c r="P23">
        <v>99.36</v>
      </c>
      <c r="Q23">
        <v>29.23</v>
      </c>
      <c r="R23" s="27">
        <v>130.74533333333332</v>
      </c>
      <c r="S23" s="27">
        <v>31.05291629162916</v>
      </c>
      <c r="T23" s="27">
        <v>190.82466666666664</v>
      </c>
      <c r="U23" s="28">
        <v>67.237083708370832</v>
      </c>
      <c r="V23">
        <v>32.96</v>
      </c>
      <c r="W23" s="15">
        <v>0.90551181102362199</v>
      </c>
    </row>
    <row r="24" spans="1:23" x14ac:dyDescent="0.4">
      <c r="A24" s="20">
        <v>46301</v>
      </c>
      <c r="B24" s="2" t="s">
        <v>23</v>
      </c>
      <c r="C24">
        <v>3</v>
      </c>
      <c r="D24" s="7">
        <v>5</v>
      </c>
      <c r="E24">
        <v>133</v>
      </c>
      <c r="F24" s="7">
        <v>82</v>
      </c>
      <c r="G24">
        <v>39.9</v>
      </c>
      <c r="H24">
        <v>43</v>
      </c>
      <c r="I24">
        <v>7</v>
      </c>
      <c r="J24">
        <v>182</v>
      </c>
      <c r="K24" s="15">
        <v>382</v>
      </c>
      <c r="L24" s="7">
        <v>5861.78</v>
      </c>
      <c r="M24" s="7" t="s">
        <v>40</v>
      </c>
      <c r="N24" s="15">
        <v>129.88</v>
      </c>
      <c r="O24">
        <v>41.78</v>
      </c>
      <c r="P24">
        <v>102.43</v>
      </c>
      <c r="Q24">
        <v>28.77</v>
      </c>
      <c r="R24" s="27">
        <v>118.86416408668731</v>
      </c>
      <c r="S24" s="27">
        <v>28.755143540669859</v>
      </c>
      <c r="T24" s="27">
        <v>207.88583591331269</v>
      </c>
      <c r="U24" s="28">
        <v>73.394856459330143</v>
      </c>
      <c r="V24">
        <v>28.56</v>
      </c>
      <c r="W24" s="15">
        <v>0.93165467625899268</v>
      </c>
    </row>
    <row r="25" spans="1:23" x14ac:dyDescent="0.4">
      <c r="A25" s="21">
        <v>46301</v>
      </c>
      <c r="B25" s="6" t="s">
        <v>23</v>
      </c>
      <c r="C25" s="5">
        <v>3</v>
      </c>
      <c r="D25" s="8">
        <v>6</v>
      </c>
      <c r="E25" s="5">
        <v>127.5</v>
      </c>
      <c r="F25" s="8">
        <v>77</v>
      </c>
      <c r="G25" s="5">
        <v>32.4</v>
      </c>
      <c r="H25" s="5">
        <v>37</v>
      </c>
      <c r="I25" s="5">
        <v>5</v>
      </c>
      <c r="J25" s="5">
        <v>184</v>
      </c>
      <c r="K25" s="17">
        <v>340</v>
      </c>
      <c r="L25" s="8">
        <v>6326.7</v>
      </c>
      <c r="M25" s="8" t="s">
        <v>40</v>
      </c>
      <c r="N25" s="17">
        <v>157.83000000000001</v>
      </c>
      <c r="O25" s="17">
        <v>46.82</v>
      </c>
      <c r="P25" s="5">
        <v>136.08000000000001</v>
      </c>
      <c r="Q25" s="17">
        <v>42.65</v>
      </c>
      <c r="R25" s="29">
        <v>108.81349397590363</v>
      </c>
      <c r="S25" s="29">
        <v>28.887284287011809</v>
      </c>
      <c r="T25" s="29">
        <v>179.4265060240964</v>
      </c>
      <c r="U25" s="30">
        <v>66.052715712988203</v>
      </c>
      <c r="V25" s="17">
        <v>34.869999999999997</v>
      </c>
      <c r="W25" s="15">
        <v>0.91397849462365588</v>
      </c>
    </row>
    <row r="26" spans="1:23" x14ac:dyDescent="0.4">
      <c r="A26" s="20">
        <v>46301</v>
      </c>
      <c r="B26" s="2" t="s">
        <v>24</v>
      </c>
      <c r="C26">
        <v>4</v>
      </c>
      <c r="D26" s="7">
        <v>1</v>
      </c>
      <c r="E26">
        <v>130</v>
      </c>
      <c r="F26" s="7">
        <v>75</v>
      </c>
      <c r="G26">
        <v>44.1</v>
      </c>
      <c r="H26">
        <v>48</v>
      </c>
      <c r="I26">
        <v>10</v>
      </c>
      <c r="J26">
        <v>148</v>
      </c>
      <c r="K26" s="15">
        <v>326</v>
      </c>
      <c r="L26" s="7">
        <v>6405.5</v>
      </c>
      <c r="M26" s="7" t="s">
        <v>40</v>
      </c>
      <c r="N26" s="15">
        <v>162.94999999999999</v>
      </c>
      <c r="O26">
        <v>77.02</v>
      </c>
      <c r="P26">
        <v>145.66</v>
      </c>
      <c r="Q26">
        <v>47.61</v>
      </c>
      <c r="R26" s="27">
        <v>85.325957040572789</v>
      </c>
      <c r="S26" s="27">
        <v>22.282959641255609</v>
      </c>
      <c r="T26" s="27">
        <v>167.51404295942717</v>
      </c>
      <c r="U26" s="28">
        <v>58.297040358744397</v>
      </c>
      <c r="V26">
        <v>29.51</v>
      </c>
      <c r="W26" s="15">
        <v>0.91346153846153844</v>
      </c>
    </row>
    <row r="27" spans="1:23" x14ac:dyDescent="0.4">
      <c r="A27" s="20">
        <v>46301</v>
      </c>
      <c r="B27" s="2" t="s">
        <v>24</v>
      </c>
      <c r="C27">
        <v>4</v>
      </c>
      <c r="D27" s="7">
        <v>2</v>
      </c>
      <c r="E27">
        <v>127</v>
      </c>
      <c r="F27" s="7">
        <v>77</v>
      </c>
      <c r="G27">
        <v>39.5</v>
      </c>
      <c r="H27">
        <v>49</v>
      </c>
      <c r="I27">
        <v>9</v>
      </c>
      <c r="J27">
        <v>163</v>
      </c>
      <c r="K27" s="15">
        <v>334</v>
      </c>
      <c r="L27" s="7">
        <v>7182.79</v>
      </c>
      <c r="M27" s="7" t="s">
        <v>40</v>
      </c>
      <c r="N27" s="15">
        <v>189.94</v>
      </c>
      <c r="O27">
        <v>82.08</v>
      </c>
      <c r="P27">
        <v>161.61000000000001</v>
      </c>
      <c r="Q27">
        <v>46.69</v>
      </c>
      <c r="R27" s="27">
        <v>106.92604685212299</v>
      </c>
      <c r="S27" s="27">
        <v>28.297469135802473</v>
      </c>
      <c r="T27" s="27">
        <v>188.74395314787699</v>
      </c>
      <c r="U27" s="28">
        <v>64.782530864197525</v>
      </c>
      <c r="V27">
        <v>30.46</v>
      </c>
      <c r="W27" s="15">
        <v>0.90825688073394484</v>
      </c>
    </row>
    <row r="28" spans="1:23" x14ac:dyDescent="0.4">
      <c r="A28" s="20">
        <v>46301</v>
      </c>
      <c r="B28" s="2" t="s">
        <v>24</v>
      </c>
      <c r="C28">
        <v>4</v>
      </c>
      <c r="D28" s="7">
        <v>3</v>
      </c>
      <c r="E28">
        <v>136.5</v>
      </c>
      <c r="F28" s="7">
        <v>82</v>
      </c>
      <c r="G28">
        <v>43.2</v>
      </c>
      <c r="H28">
        <v>11</v>
      </c>
      <c r="I28">
        <v>3</v>
      </c>
      <c r="J28" s="32">
        <v>74</v>
      </c>
      <c r="K28" s="33">
        <v>141</v>
      </c>
      <c r="L28" s="7">
        <v>2854.99</v>
      </c>
      <c r="M28" s="7" t="s">
        <v>40</v>
      </c>
      <c r="N28" s="33">
        <v>71.36</v>
      </c>
      <c r="O28" s="32">
        <v>19.690000000000001</v>
      </c>
      <c r="P28">
        <v>109.36</v>
      </c>
      <c r="Q28">
        <v>32.11</v>
      </c>
      <c r="R28" s="34">
        <v>31.408721103653985</v>
      </c>
      <c r="S28" s="34">
        <v>8.2988589881593118</v>
      </c>
      <c r="T28" s="34">
        <v>57.92127889634601</v>
      </c>
      <c r="U28" s="35">
        <v>23.041141011840693</v>
      </c>
      <c r="V28">
        <v>27.47</v>
      </c>
      <c r="W28" s="33">
        <v>0.94444444444444442</v>
      </c>
    </row>
    <row r="29" spans="1:23" x14ac:dyDescent="0.4">
      <c r="A29" s="20">
        <v>46301</v>
      </c>
      <c r="B29" s="2" t="s">
        <v>24</v>
      </c>
      <c r="C29">
        <v>4</v>
      </c>
      <c r="D29" s="7">
        <v>4</v>
      </c>
      <c r="E29">
        <v>133</v>
      </c>
      <c r="F29" s="7">
        <v>78</v>
      </c>
      <c r="G29">
        <v>51.3</v>
      </c>
      <c r="H29">
        <v>43</v>
      </c>
      <c r="I29">
        <v>9</v>
      </c>
      <c r="J29">
        <v>177</v>
      </c>
      <c r="K29" s="15">
        <v>389</v>
      </c>
      <c r="L29" s="7">
        <v>3831.5</v>
      </c>
      <c r="M29" s="7" t="s">
        <v>40</v>
      </c>
      <c r="N29" s="15">
        <v>91.08</v>
      </c>
      <c r="O29">
        <v>49.64</v>
      </c>
      <c r="P29">
        <v>145.97</v>
      </c>
      <c r="Q29">
        <v>47.08</v>
      </c>
      <c r="R29" s="27">
        <v>103.61674475955611</v>
      </c>
      <c r="S29" s="27">
        <v>27.52045790251108</v>
      </c>
      <c r="T29" s="27">
        <v>199.53325524044394</v>
      </c>
      <c r="U29" s="28">
        <v>73.189542097488925</v>
      </c>
      <c r="V29">
        <v>38.18</v>
      </c>
      <c r="W29" s="15">
        <v>0.90967741935483892</v>
      </c>
    </row>
    <row r="30" spans="1:23" x14ac:dyDescent="0.4">
      <c r="A30" s="20">
        <v>46301</v>
      </c>
      <c r="B30" s="2" t="s">
        <v>24</v>
      </c>
      <c r="C30">
        <v>4</v>
      </c>
      <c r="D30" s="7">
        <v>5</v>
      </c>
      <c r="E30">
        <v>133</v>
      </c>
      <c r="F30" s="7">
        <v>82</v>
      </c>
      <c r="G30">
        <v>49.7</v>
      </c>
      <c r="H30">
        <v>27</v>
      </c>
      <c r="I30">
        <v>5</v>
      </c>
      <c r="J30">
        <v>129</v>
      </c>
      <c r="K30" s="15">
        <v>252</v>
      </c>
      <c r="L30" s="7">
        <v>4544.79</v>
      </c>
      <c r="M30" s="7" t="s">
        <v>40</v>
      </c>
      <c r="N30" s="15">
        <v>109.09</v>
      </c>
      <c r="O30">
        <v>56.45</v>
      </c>
      <c r="P30">
        <v>111.66</v>
      </c>
      <c r="Q30">
        <v>35.19</v>
      </c>
      <c r="R30" s="27">
        <v>85.16947552447553</v>
      </c>
      <c r="S30" s="27">
        <v>23.655230125523016</v>
      </c>
      <c r="T30" s="27">
        <v>151.32052447552445</v>
      </c>
      <c r="U30" s="28">
        <v>52.744769874476994</v>
      </c>
      <c r="V30" s="32">
        <v>50.57</v>
      </c>
      <c r="W30" s="15">
        <v>0.9194915254237287</v>
      </c>
    </row>
    <row r="31" spans="1:23" x14ac:dyDescent="0.4">
      <c r="A31" s="21">
        <v>46301</v>
      </c>
      <c r="B31" s="6" t="s">
        <v>24</v>
      </c>
      <c r="C31" s="5">
        <v>4</v>
      </c>
      <c r="D31" s="8">
        <v>6</v>
      </c>
      <c r="E31" s="5">
        <v>134.5</v>
      </c>
      <c r="F31" s="8">
        <v>80</v>
      </c>
      <c r="G31" s="5">
        <v>37.5</v>
      </c>
      <c r="H31" s="5">
        <v>45</v>
      </c>
      <c r="I31" s="5">
        <v>7</v>
      </c>
      <c r="J31" s="5">
        <v>173</v>
      </c>
      <c r="K31" s="17">
        <v>355</v>
      </c>
      <c r="L31" s="8">
        <v>5510.75</v>
      </c>
      <c r="M31" s="8" t="s">
        <v>40</v>
      </c>
      <c r="N31" s="17">
        <v>137.02000000000001</v>
      </c>
      <c r="O31" s="17">
        <v>56.73</v>
      </c>
      <c r="P31" s="5">
        <v>125.3</v>
      </c>
      <c r="Q31" s="17">
        <v>40.03</v>
      </c>
      <c r="R31" s="29">
        <v>101.65719124544034</v>
      </c>
      <c r="S31" s="29">
        <v>28.342634450506623</v>
      </c>
      <c r="T31" s="29">
        <v>202.44280875455971</v>
      </c>
      <c r="U31" s="30">
        <v>69.937365549493364</v>
      </c>
      <c r="V31" s="17">
        <v>43.21</v>
      </c>
      <c r="W31" s="15">
        <v>0.89694656488549596</v>
      </c>
    </row>
    <row r="32" spans="1:23" x14ac:dyDescent="0.4">
      <c r="K32" s="15"/>
      <c r="N32" s="15"/>
    </row>
    <row r="33" spans="11:14" x14ac:dyDescent="0.4">
      <c r="K33" s="15"/>
      <c r="N33" s="15"/>
    </row>
    <row r="34" spans="11:14" x14ac:dyDescent="0.4">
      <c r="K34" s="15"/>
      <c r="N34" s="15"/>
    </row>
    <row r="35" spans="11:14" x14ac:dyDescent="0.4">
      <c r="K35" s="15"/>
      <c r="N35" s="15"/>
    </row>
    <row r="36" spans="11:14" x14ac:dyDescent="0.4">
      <c r="K36" s="15"/>
      <c r="N36" s="15"/>
    </row>
    <row r="37" spans="11:14" x14ac:dyDescent="0.4">
      <c r="K37" s="15"/>
      <c r="N37" s="15"/>
    </row>
  </sheetData>
  <phoneticPr fontId="1" type="noConversion"/>
  <pageMargins left="0.7" right="0.7" top="0.75" bottom="0.75" header="0.3" footer="0.3"/>
  <ignoredErrors>
    <ignoredError sqref="Z4:AG5 Z2:AG2 AI2:AQ2 AI4:AI5 Z3:AE3 AO3:AQ3 AL3:AN3 AJ3 AF3:AI3 AK3 AK4:AQ5" formulaRange="1"/>
    <ignoredError sqref="AJ4:AJ5" formula="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AC1D-0807-460C-A16B-3802D5FF36B7}">
  <dimension ref="A1:W60"/>
  <sheetViews>
    <sheetView tabSelected="1" workbookViewId="0">
      <pane ySplit="1" topLeftCell="A31" activePane="bottomLeft" state="frozen"/>
      <selection pane="bottomLeft" activeCell="R38" sqref="R38"/>
    </sheetView>
  </sheetViews>
  <sheetFormatPr defaultRowHeight="17.399999999999999" x14ac:dyDescent="0.4"/>
  <cols>
    <col min="1" max="1" width="11.09765625" bestFit="1" customWidth="1"/>
    <col min="2" max="2" width="10.09765625" bestFit="1" customWidth="1"/>
    <col min="3" max="3" width="14.09765625" bestFit="1" customWidth="1"/>
    <col min="4" max="4" width="7.3984375" bestFit="1" customWidth="1"/>
    <col min="5" max="5" width="6.8984375" bestFit="1" customWidth="1"/>
    <col min="6" max="6" width="5.8984375" bestFit="1" customWidth="1"/>
    <col min="7" max="7" width="6.19921875" bestFit="1" customWidth="1"/>
    <col min="8" max="8" width="5.8984375" bestFit="1" customWidth="1"/>
    <col min="9" max="9" width="7.69921875" bestFit="1" customWidth="1"/>
    <col min="10" max="10" width="9.59765625" bestFit="1" customWidth="1"/>
    <col min="11" max="11" width="5.8984375" bestFit="1" customWidth="1"/>
    <col min="12" max="12" width="9.5" bestFit="1" customWidth="1"/>
    <col min="13" max="13" width="9.59765625" style="42" bestFit="1" customWidth="1"/>
    <col min="14" max="15" width="7.5" bestFit="1" customWidth="1"/>
    <col min="16" max="16" width="8.8984375" bestFit="1" customWidth="1"/>
    <col min="17" max="17" width="9.3984375" bestFit="1" customWidth="1"/>
    <col min="18" max="18" width="10.8984375" bestFit="1" customWidth="1"/>
    <col min="19" max="19" width="11.3984375" bestFit="1" customWidth="1"/>
    <col min="20" max="20" width="7" bestFit="1" customWidth="1"/>
    <col min="21" max="21" width="7.5" style="7" bestFit="1" customWidth="1"/>
    <col min="22" max="22" width="9.3984375" style="42" bestFit="1" customWidth="1"/>
    <col min="23" max="23" width="13" bestFit="1" customWidth="1"/>
  </cols>
  <sheetData>
    <row r="1" spans="1:23" ht="18" thickBot="1" x14ac:dyDescent="0.45">
      <c r="A1" s="1" t="s">
        <v>0</v>
      </c>
      <c r="B1" s="1" t="s">
        <v>1</v>
      </c>
      <c r="C1" s="1" t="s">
        <v>53</v>
      </c>
      <c r="D1" s="9" t="s">
        <v>2</v>
      </c>
      <c r="E1" s="10" t="s">
        <v>3</v>
      </c>
      <c r="F1" s="9" t="s">
        <v>4</v>
      </c>
      <c r="G1" s="11" t="s">
        <v>5</v>
      </c>
      <c r="H1" s="10" t="s">
        <v>6</v>
      </c>
      <c r="I1" s="10" t="s">
        <v>7</v>
      </c>
      <c r="J1" s="10" t="s">
        <v>8</v>
      </c>
      <c r="K1" s="12" t="s">
        <v>9</v>
      </c>
      <c r="L1" s="10" t="s">
        <v>30</v>
      </c>
      <c r="M1" s="41" t="s">
        <v>10</v>
      </c>
      <c r="N1" s="11" t="s">
        <v>25</v>
      </c>
      <c r="O1" s="11" t="s">
        <v>26</v>
      </c>
      <c r="P1" s="11" t="s">
        <v>27</v>
      </c>
      <c r="Q1" s="11" t="s">
        <v>28</v>
      </c>
      <c r="R1" s="11" t="s">
        <v>11</v>
      </c>
      <c r="S1" s="11" t="s">
        <v>12</v>
      </c>
      <c r="T1" s="11" t="s">
        <v>13</v>
      </c>
      <c r="U1" s="9" t="s">
        <v>14</v>
      </c>
      <c r="V1" s="46" t="s">
        <v>29</v>
      </c>
      <c r="W1" s="10" t="s">
        <v>54</v>
      </c>
    </row>
    <row r="2" spans="1:23" ht="18" thickTop="1" x14ac:dyDescent="0.4">
      <c r="A2" s="2">
        <v>46266</v>
      </c>
      <c r="B2" s="2" t="s">
        <v>18</v>
      </c>
      <c r="C2">
        <v>1</v>
      </c>
      <c r="D2" s="7">
        <v>1</v>
      </c>
      <c r="E2">
        <v>134.5</v>
      </c>
      <c r="F2" s="7">
        <v>85</v>
      </c>
      <c r="G2">
        <v>41.2</v>
      </c>
      <c r="H2">
        <v>36</v>
      </c>
      <c r="I2">
        <v>5</v>
      </c>
      <c r="J2" s="32"/>
      <c r="L2">
        <v>8163.25</v>
      </c>
      <c r="M2" s="42" t="s">
        <v>19</v>
      </c>
      <c r="N2">
        <v>186.6</v>
      </c>
      <c r="O2">
        <v>42.62</v>
      </c>
      <c r="P2">
        <v>89.44</v>
      </c>
      <c r="Q2">
        <v>22.57</v>
      </c>
      <c r="R2">
        <v>34.299999999999997</v>
      </c>
      <c r="S2">
        <v>12.66</v>
      </c>
      <c r="V2" s="47">
        <v>24.57</v>
      </c>
    </row>
    <row r="3" spans="1:23" x14ac:dyDescent="0.4">
      <c r="A3" s="2">
        <v>46266</v>
      </c>
      <c r="B3" s="2" t="s">
        <v>18</v>
      </c>
      <c r="C3">
        <v>1</v>
      </c>
      <c r="D3" s="7">
        <v>2</v>
      </c>
      <c r="E3">
        <v>124.6</v>
      </c>
      <c r="F3" s="7">
        <v>77.3</v>
      </c>
      <c r="G3">
        <v>47.3</v>
      </c>
      <c r="H3">
        <v>47</v>
      </c>
      <c r="I3">
        <v>8</v>
      </c>
      <c r="K3" s="32"/>
      <c r="L3">
        <v>10567.2</v>
      </c>
      <c r="M3" s="42" t="s">
        <v>19</v>
      </c>
      <c r="N3">
        <v>265.12</v>
      </c>
      <c r="O3">
        <v>63.15</v>
      </c>
      <c r="P3">
        <v>148.51</v>
      </c>
      <c r="Q3">
        <v>39.869999999999997</v>
      </c>
      <c r="R3">
        <v>20.77</v>
      </c>
      <c r="S3">
        <v>6.49</v>
      </c>
      <c r="U3" s="31"/>
      <c r="V3" s="47">
        <v>40.799999999999997</v>
      </c>
    </row>
    <row r="4" spans="1:23" x14ac:dyDescent="0.4">
      <c r="A4" s="2">
        <v>46266</v>
      </c>
      <c r="B4" s="2" t="s">
        <v>18</v>
      </c>
      <c r="C4">
        <v>1</v>
      </c>
      <c r="D4" s="7">
        <v>3</v>
      </c>
      <c r="E4">
        <v>132.5</v>
      </c>
      <c r="F4" s="7">
        <v>81</v>
      </c>
      <c r="G4">
        <v>55</v>
      </c>
      <c r="I4">
        <v>5</v>
      </c>
      <c r="J4" s="32"/>
      <c r="L4">
        <v>7798.65</v>
      </c>
      <c r="M4" s="42" t="s">
        <v>19</v>
      </c>
      <c r="N4">
        <v>211.53</v>
      </c>
      <c r="O4">
        <v>46.35</v>
      </c>
      <c r="P4">
        <v>102.84</v>
      </c>
      <c r="Q4">
        <v>25.82</v>
      </c>
      <c r="R4">
        <v>34.56</v>
      </c>
      <c r="S4">
        <v>6.17</v>
      </c>
      <c r="V4" s="47">
        <v>11.85</v>
      </c>
    </row>
    <row r="5" spans="1:23" x14ac:dyDescent="0.4">
      <c r="A5" s="2">
        <v>46266</v>
      </c>
      <c r="B5" s="2" t="s">
        <v>18</v>
      </c>
      <c r="C5">
        <v>1</v>
      </c>
      <c r="D5" s="7">
        <v>4</v>
      </c>
      <c r="E5">
        <v>138.1</v>
      </c>
      <c r="F5" s="7">
        <v>87.1</v>
      </c>
      <c r="G5">
        <v>44.9</v>
      </c>
      <c r="H5">
        <v>46</v>
      </c>
      <c r="I5">
        <v>7</v>
      </c>
      <c r="J5">
        <v>140</v>
      </c>
      <c r="K5">
        <v>294</v>
      </c>
      <c r="L5">
        <v>10360.77</v>
      </c>
      <c r="M5" s="42" t="s">
        <v>19</v>
      </c>
      <c r="N5">
        <v>266.94</v>
      </c>
      <c r="O5">
        <v>58.95</v>
      </c>
      <c r="P5">
        <v>161.41999999999999</v>
      </c>
      <c r="Q5">
        <v>39.39</v>
      </c>
      <c r="R5">
        <v>65.28</v>
      </c>
      <c r="S5">
        <v>9.99</v>
      </c>
      <c r="T5">
        <v>7.83</v>
      </c>
      <c r="U5" s="7">
        <v>1.03</v>
      </c>
      <c r="V5" s="47">
        <v>16.97</v>
      </c>
    </row>
    <row r="6" spans="1:23" x14ac:dyDescent="0.4">
      <c r="A6" s="2">
        <v>46266</v>
      </c>
      <c r="B6" s="2" t="s">
        <v>18</v>
      </c>
      <c r="C6">
        <v>1</v>
      </c>
      <c r="D6" s="7">
        <v>5</v>
      </c>
      <c r="E6">
        <v>126.6</v>
      </c>
      <c r="F6" s="7">
        <v>72.099999999999994</v>
      </c>
      <c r="G6">
        <v>47.8</v>
      </c>
      <c r="H6">
        <v>49</v>
      </c>
      <c r="I6">
        <v>9</v>
      </c>
      <c r="J6">
        <v>186</v>
      </c>
      <c r="K6">
        <v>289</v>
      </c>
      <c r="L6">
        <v>10986.36</v>
      </c>
      <c r="M6" s="42" t="s">
        <v>19</v>
      </c>
      <c r="N6">
        <v>254.69</v>
      </c>
      <c r="O6">
        <v>63.2</v>
      </c>
      <c r="P6">
        <v>186.6</v>
      </c>
      <c r="Q6">
        <v>50.45</v>
      </c>
      <c r="R6">
        <v>85.8</v>
      </c>
      <c r="S6">
        <v>16.12</v>
      </c>
      <c r="T6">
        <v>23.03</v>
      </c>
      <c r="U6" s="7">
        <v>3.06</v>
      </c>
      <c r="V6" s="47">
        <v>27.21</v>
      </c>
    </row>
    <row r="7" spans="1:23" x14ac:dyDescent="0.4">
      <c r="A7" s="2">
        <v>46266</v>
      </c>
      <c r="B7" s="2" t="s">
        <v>18</v>
      </c>
      <c r="C7">
        <v>1</v>
      </c>
      <c r="D7" s="7">
        <v>6</v>
      </c>
      <c r="E7">
        <v>120.7</v>
      </c>
      <c r="F7" s="7">
        <v>71.599999999999994</v>
      </c>
      <c r="G7">
        <v>52.6</v>
      </c>
      <c r="H7">
        <v>52</v>
      </c>
      <c r="I7">
        <v>7</v>
      </c>
      <c r="J7">
        <v>126</v>
      </c>
      <c r="K7">
        <v>194</v>
      </c>
      <c r="L7">
        <v>10192.23</v>
      </c>
      <c r="M7" s="42" t="s">
        <v>19</v>
      </c>
      <c r="N7">
        <v>228.62</v>
      </c>
      <c r="O7">
        <v>47.16</v>
      </c>
      <c r="P7">
        <v>136.47999999999999</v>
      </c>
      <c r="Q7">
        <v>32.950000000000003</v>
      </c>
      <c r="R7">
        <v>39.86</v>
      </c>
      <c r="S7">
        <v>7.91</v>
      </c>
      <c r="T7">
        <v>8.48</v>
      </c>
      <c r="U7" s="7">
        <v>1.53</v>
      </c>
      <c r="V7" s="47">
        <v>14.28</v>
      </c>
    </row>
    <row r="8" spans="1:23" x14ac:dyDescent="0.4">
      <c r="A8" s="2">
        <v>46266</v>
      </c>
      <c r="B8" s="2" t="s">
        <v>18</v>
      </c>
      <c r="C8">
        <v>1</v>
      </c>
      <c r="D8" s="7">
        <v>7</v>
      </c>
      <c r="E8">
        <v>136.6</v>
      </c>
      <c r="F8" s="7">
        <v>84.8</v>
      </c>
      <c r="G8">
        <v>50.2</v>
      </c>
      <c r="H8">
        <v>46</v>
      </c>
      <c r="I8">
        <v>6</v>
      </c>
      <c r="J8">
        <v>155</v>
      </c>
      <c r="K8">
        <v>254</v>
      </c>
      <c r="L8">
        <v>9162.57</v>
      </c>
      <c r="M8" s="42" t="s">
        <v>19</v>
      </c>
      <c r="N8">
        <v>242.58</v>
      </c>
      <c r="O8">
        <v>58.24</v>
      </c>
      <c r="P8">
        <v>130.94999999999999</v>
      </c>
      <c r="Q8">
        <v>36.479999999999997</v>
      </c>
      <c r="R8">
        <v>75.260000000000005</v>
      </c>
      <c r="S8">
        <v>13.17</v>
      </c>
      <c r="T8">
        <v>10.11</v>
      </c>
      <c r="U8" s="7">
        <v>1.46</v>
      </c>
      <c r="V8" s="47">
        <v>33.68</v>
      </c>
    </row>
    <row r="9" spans="1:23" s="5" customFormat="1" x14ac:dyDescent="0.4">
      <c r="A9" s="6">
        <v>46266</v>
      </c>
      <c r="B9" s="6" t="s">
        <v>18</v>
      </c>
      <c r="C9" s="5">
        <v>1</v>
      </c>
      <c r="D9" s="8">
        <v>8</v>
      </c>
      <c r="E9" s="5">
        <v>115</v>
      </c>
      <c r="F9" s="8">
        <v>73.5</v>
      </c>
      <c r="G9" s="5">
        <v>44.9</v>
      </c>
      <c r="H9" s="5">
        <v>58</v>
      </c>
      <c r="I9" s="5">
        <v>8</v>
      </c>
      <c r="J9" s="5">
        <v>138</v>
      </c>
      <c r="K9" s="5">
        <v>239</v>
      </c>
      <c r="L9" s="5">
        <v>11142.83</v>
      </c>
      <c r="M9" s="43" t="s">
        <v>19</v>
      </c>
      <c r="N9" s="5">
        <v>252.03</v>
      </c>
      <c r="O9" s="5">
        <v>60.89</v>
      </c>
      <c r="P9" s="5">
        <v>176.25</v>
      </c>
      <c r="Q9" s="5">
        <v>49.65</v>
      </c>
      <c r="R9" s="5">
        <v>67.66</v>
      </c>
      <c r="S9" s="5">
        <v>12.25</v>
      </c>
      <c r="T9" s="5">
        <v>9.49</v>
      </c>
      <c r="U9" s="8">
        <v>1.22</v>
      </c>
      <c r="V9" s="48">
        <v>31.59</v>
      </c>
    </row>
    <row r="10" spans="1:23" x14ac:dyDescent="0.4">
      <c r="A10" s="2">
        <v>46266</v>
      </c>
      <c r="B10" s="2" t="s">
        <v>21</v>
      </c>
      <c r="C10">
        <v>2</v>
      </c>
      <c r="D10" s="7">
        <v>1</v>
      </c>
      <c r="E10">
        <v>139</v>
      </c>
      <c r="F10" s="7">
        <v>91</v>
      </c>
      <c r="G10">
        <v>48.8</v>
      </c>
      <c r="H10">
        <v>54</v>
      </c>
      <c r="I10">
        <v>7</v>
      </c>
      <c r="J10">
        <v>147</v>
      </c>
      <c r="K10">
        <v>152</v>
      </c>
      <c r="L10">
        <v>5720.09</v>
      </c>
      <c r="M10" s="42" t="s">
        <v>19</v>
      </c>
      <c r="N10">
        <v>193.03</v>
      </c>
      <c r="O10">
        <v>76.27</v>
      </c>
      <c r="P10">
        <v>134.43</v>
      </c>
      <c r="Q10">
        <v>46.55</v>
      </c>
      <c r="R10">
        <v>61.18</v>
      </c>
      <c r="S10">
        <v>12.02</v>
      </c>
      <c r="T10">
        <v>8.08</v>
      </c>
      <c r="U10" s="7">
        <v>1.1000000000000001</v>
      </c>
      <c r="V10" s="47">
        <v>20.86</v>
      </c>
    </row>
    <row r="11" spans="1:23" x14ac:dyDescent="0.4">
      <c r="A11" s="2">
        <v>46266</v>
      </c>
      <c r="B11" s="2" t="s">
        <v>21</v>
      </c>
      <c r="C11">
        <v>2</v>
      </c>
      <c r="D11" s="7">
        <v>2</v>
      </c>
      <c r="E11">
        <v>111.4</v>
      </c>
      <c r="F11" s="7">
        <v>71</v>
      </c>
      <c r="G11">
        <v>48.3</v>
      </c>
      <c r="H11">
        <v>58</v>
      </c>
      <c r="I11">
        <v>10</v>
      </c>
      <c r="J11">
        <v>142</v>
      </c>
      <c r="K11">
        <v>323</v>
      </c>
      <c r="M11" s="42" t="s">
        <v>19</v>
      </c>
      <c r="N11">
        <v>123.36</v>
      </c>
      <c r="O11">
        <v>64.05</v>
      </c>
      <c r="P11">
        <v>106.15</v>
      </c>
      <c r="Q11">
        <v>43.39</v>
      </c>
      <c r="R11">
        <v>45.66</v>
      </c>
      <c r="S11">
        <v>10.26</v>
      </c>
      <c r="T11">
        <v>6.22</v>
      </c>
      <c r="U11" s="7">
        <v>0.54</v>
      </c>
      <c r="V11" s="47">
        <v>27.77</v>
      </c>
    </row>
    <row r="12" spans="1:23" x14ac:dyDescent="0.4">
      <c r="A12" s="2">
        <v>46266</v>
      </c>
      <c r="B12" s="2" t="s">
        <v>21</v>
      </c>
      <c r="C12">
        <v>2</v>
      </c>
      <c r="D12" s="7">
        <v>3</v>
      </c>
      <c r="E12">
        <v>125.1</v>
      </c>
      <c r="F12" s="7">
        <v>72.400000000000006</v>
      </c>
      <c r="G12">
        <v>44.8</v>
      </c>
      <c r="H12">
        <v>43</v>
      </c>
      <c r="I12">
        <v>7</v>
      </c>
      <c r="J12">
        <v>145</v>
      </c>
      <c r="K12">
        <v>252</v>
      </c>
      <c r="L12">
        <v>7286.86</v>
      </c>
      <c r="M12" s="42" t="s">
        <v>19</v>
      </c>
      <c r="N12">
        <v>180.92</v>
      </c>
      <c r="O12">
        <v>47.31</v>
      </c>
      <c r="P12">
        <v>112.32</v>
      </c>
      <c r="Q12">
        <v>30.19</v>
      </c>
      <c r="R12">
        <v>61.05</v>
      </c>
      <c r="S12">
        <v>11.01</v>
      </c>
      <c r="T12">
        <v>5.96</v>
      </c>
      <c r="U12" s="7">
        <v>0.9</v>
      </c>
      <c r="V12" s="47">
        <v>30.6</v>
      </c>
    </row>
    <row r="13" spans="1:23" x14ac:dyDescent="0.4">
      <c r="A13" s="2">
        <v>46266</v>
      </c>
      <c r="B13" s="2" t="s">
        <v>21</v>
      </c>
      <c r="C13">
        <v>2</v>
      </c>
      <c r="D13" s="7">
        <v>4</v>
      </c>
      <c r="E13">
        <v>132.30000000000001</v>
      </c>
      <c r="F13" s="7">
        <v>83.5</v>
      </c>
      <c r="G13">
        <v>41.2</v>
      </c>
      <c r="H13">
        <v>35</v>
      </c>
      <c r="I13">
        <v>5</v>
      </c>
      <c r="J13">
        <v>90</v>
      </c>
      <c r="K13">
        <v>159</v>
      </c>
      <c r="L13">
        <v>6858.74</v>
      </c>
      <c r="M13" s="42" t="s">
        <v>19</v>
      </c>
      <c r="N13">
        <v>173.12</v>
      </c>
      <c r="O13">
        <v>43.28</v>
      </c>
      <c r="P13">
        <v>86.83</v>
      </c>
      <c r="Q13">
        <v>24.08</v>
      </c>
      <c r="R13">
        <v>38.17</v>
      </c>
      <c r="S13">
        <v>6.7</v>
      </c>
      <c r="T13">
        <v>5.27</v>
      </c>
      <c r="U13" s="7">
        <v>0.48</v>
      </c>
      <c r="V13" s="47">
        <v>20.27</v>
      </c>
    </row>
    <row r="14" spans="1:23" x14ac:dyDescent="0.4">
      <c r="A14" s="2">
        <v>46266</v>
      </c>
      <c r="B14" s="2" t="s">
        <v>21</v>
      </c>
      <c r="C14">
        <v>2</v>
      </c>
      <c r="D14" s="7">
        <v>5</v>
      </c>
      <c r="E14">
        <v>132.6</v>
      </c>
      <c r="F14" s="7">
        <v>83.2</v>
      </c>
      <c r="G14">
        <v>45.7</v>
      </c>
      <c r="H14">
        <v>36</v>
      </c>
      <c r="I14">
        <v>6</v>
      </c>
      <c r="J14">
        <v>111</v>
      </c>
      <c r="K14">
        <v>191</v>
      </c>
      <c r="M14" s="42" t="s">
        <v>19</v>
      </c>
      <c r="N14">
        <v>116.78</v>
      </c>
      <c r="O14">
        <v>52.21</v>
      </c>
      <c r="P14">
        <v>96.45</v>
      </c>
      <c r="Q14">
        <v>36.82</v>
      </c>
      <c r="R14">
        <v>37.299999999999997</v>
      </c>
      <c r="S14">
        <v>7.17</v>
      </c>
      <c r="T14">
        <v>8.84</v>
      </c>
      <c r="U14" s="7">
        <v>1.21</v>
      </c>
      <c r="V14" s="47">
        <v>29.47</v>
      </c>
    </row>
    <row r="15" spans="1:23" x14ac:dyDescent="0.4">
      <c r="A15" s="2">
        <v>46266</v>
      </c>
      <c r="B15" s="2" t="s">
        <v>21</v>
      </c>
      <c r="C15">
        <v>2</v>
      </c>
      <c r="D15" s="7">
        <v>6</v>
      </c>
      <c r="E15">
        <v>136.6</v>
      </c>
      <c r="F15" s="7">
        <v>75.5</v>
      </c>
      <c r="G15">
        <v>53.6</v>
      </c>
      <c r="H15">
        <v>47</v>
      </c>
      <c r="I15">
        <v>8</v>
      </c>
      <c r="L15">
        <v>8874.24</v>
      </c>
      <c r="M15" s="42" t="s">
        <v>19</v>
      </c>
      <c r="N15">
        <v>247.64</v>
      </c>
      <c r="O15">
        <v>53.61</v>
      </c>
      <c r="P15">
        <v>125.7</v>
      </c>
      <c r="Q15">
        <v>32.46</v>
      </c>
      <c r="R15">
        <v>56</v>
      </c>
      <c r="S15">
        <v>9.52</v>
      </c>
      <c r="U15" s="31"/>
      <c r="V15" s="47">
        <v>18.97</v>
      </c>
    </row>
    <row r="16" spans="1:23" x14ac:dyDescent="0.4">
      <c r="A16" s="2">
        <v>46266</v>
      </c>
      <c r="B16" s="2" t="s">
        <v>21</v>
      </c>
      <c r="C16">
        <v>2</v>
      </c>
      <c r="D16" s="7">
        <v>7</v>
      </c>
      <c r="E16">
        <v>134.4</v>
      </c>
      <c r="F16" s="7">
        <v>77.5</v>
      </c>
      <c r="G16">
        <v>46.4</v>
      </c>
      <c r="H16">
        <v>53</v>
      </c>
      <c r="I16">
        <v>8</v>
      </c>
      <c r="L16">
        <v>10237.799999999999</v>
      </c>
      <c r="M16" s="42" t="s">
        <v>19</v>
      </c>
      <c r="N16">
        <v>255.04</v>
      </c>
      <c r="O16">
        <v>58.22</v>
      </c>
      <c r="P16">
        <v>124.73</v>
      </c>
      <c r="Q16">
        <v>32.65</v>
      </c>
      <c r="R16">
        <v>60.97</v>
      </c>
      <c r="S16">
        <v>12.03</v>
      </c>
      <c r="U16" s="31"/>
      <c r="V16" s="47">
        <v>18.29</v>
      </c>
    </row>
    <row r="17" spans="1:23" x14ac:dyDescent="0.4">
      <c r="A17" s="2">
        <v>46266</v>
      </c>
      <c r="B17" s="2" t="s">
        <v>21</v>
      </c>
      <c r="C17">
        <v>2</v>
      </c>
      <c r="D17" s="7">
        <v>8</v>
      </c>
      <c r="E17">
        <v>126.3</v>
      </c>
      <c r="F17" s="7">
        <v>86.8</v>
      </c>
      <c r="G17">
        <v>44.4</v>
      </c>
      <c r="H17">
        <v>66</v>
      </c>
      <c r="I17">
        <v>8</v>
      </c>
      <c r="J17">
        <v>152</v>
      </c>
      <c r="K17">
        <v>281</v>
      </c>
      <c r="L17">
        <v>10656.13</v>
      </c>
      <c r="M17" s="42" t="s">
        <v>19</v>
      </c>
      <c r="N17">
        <v>262.57</v>
      </c>
      <c r="O17">
        <v>64.5</v>
      </c>
      <c r="P17">
        <v>134.35</v>
      </c>
      <c r="Q17">
        <v>36.94</v>
      </c>
      <c r="R17">
        <v>71.97</v>
      </c>
      <c r="S17">
        <v>13.84</v>
      </c>
      <c r="T17">
        <v>7.92</v>
      </c>
      <c r="U17" s="7">
        <v>0.39</v>
      </c>
      <c r="V17" s="49"/>
    </row>
    <row r="18" spans="1:23" x14ac:dyDescent="0.4">
      <c r="A18" s="6">
        <v>46266</v>
      </c>
      <c r="B18" s="6" t="s">
        <v>21</v>
      </c>
      <c r="C18" s="5">
        <v>2</v>
      </c>
      <c r="D18" s="8">
        <v>9</v>
      </c>
      <c r="E18" s="5">
        <v>118.3</v>
      </c>
      <c r="F18" s="8">
        <v>76.5</v>
      </c>
      <c r="G18" s="5">
        <v>46.7</v>
      </c>
      <c r="H18" s="5">
        <v>41</v>
      </c>
      <c r="I18" s="5">
        <v>5</v>
      </c>
      <c r="J18" s="5">
        <v>125</v>
      </c>
      <c r="K18" s="5">
        <v>257</v>
      </c>
      <c r="L18" s="5">
        <v>7863.31</v>
      </c>
      <c r="M18" s="43" t="s">
        <v>19</v>
      </c>
      <c r="N18" s="5">
        <v>217.26</v>
      </c>
      <c r="O18" s="5">
        <v>54.24</v>
      </c>
      <c r="P18" s="5">
        <v>130.21</v>
      </c>
      <c r="Q18" s="5">
        <v>36.5</v>
      </c>
      <c r="R18" s="5">
        <v>52.88</v>
      </c>
      <c r="S18" s="5">
        <v>9.7200000000000006</v>
      </c>
      <c r="T18" s="5">
        <v>4.5999999999999996</v>
      </c>
      <c r="U18" s="8">
        <v>0.46</v>
      </c>
      <c r="V18" s="43">
        <v>36.94</v>
      </c>
    </row>
    <row r="19" spans="1:23" x14ac:dyDescent="0.4">
      <c r="A19" s="2">
        <v>46266</v>
      </c>
      <c r="B19" s="2" t="s">
        <v>23</v>
      </c>
      <c r="C19">
        <v>3</v>
      </c>
      <c r="D19" s="7">
        <v>1</v>
      </c>
      <c r="E19">
        <v>133.5</v>
      </c>
      <c r="F19" s="7">
        <v>80</v>
      </c>
      <c r="G19">
        <v>43</v>
      </c>
      <c r="H19">
        <v>36</v>
      </c>
      <c r="I19">
        <v>6</v>
      </c>
      <c r="J19">
        <v>62</v>
      </c>
      <c r="K19">
        <v>85</v>
      </c>
      <c r="L19">
        <v>6909.05</v>
      </c>
      <c r="M19" s="42" t="s">
        <v>19</v>
      </c>
      <c r="N19">
        <v>167.12</v>
      </c>
      <c r="O19">
        <v>34.07</v>
      </c>
      <c r="P19">
        <v>83.4</v>
      </c>
      <c r="Q19">
        <v>21.78</v>
      </c>
      <c r="R19">
        <v>23.61</v>
      </c>
      <c r="S19">
        <v>3.37</v>
      </c>
      <c r="T19">
        <v>1.1000000000000001</v>
      </c>
      <c r="U19" s="7">
        <v>0.11</v>
      </c>
      <c r="V19" s="42">
        <v>11.53</v>
      </c>
    </row>
    <row r="20" spans="1:23" x14ac:dyDescent="0.4">
      <c r="A20" s="2">
        <v>46266</v>
      </c>
      <c r="B20" s="2" t="s">
        <v>23</v>
      </c>
      <c r="C20">
        <v>3</v>
      </c>
      <c r="D20" s="7">
        <v>2</v>
      </c>
      <c r="E20">
        <v>112.7</v>
      </c>
      <c r="F20" s="7">
        <v>71.5</v>
      </c>
      <c r="G20">
        <v>44.2</v>
      </c>
      <c r="H20">
        <v>59</v>
      </c>
      <c r="I20">
        <v>8</v>
      </c>
      <c r="J20">
        <v>142</v>
      </c>
      <c r="K20">
        <v>203</v>
      </c>
      <c r="L20" s="40"/>
      <c r="M20" s="42" t="s">
        <v>19</v>
      </c>
      <c r="N20">
        <v>259.77</v>
      </c>
      <c r="O20">
        <v>61.91</v>
      </c>
      <c r="P20">
        <v>138.49</v>
      </c>
      <c r="Q20">
        <v>37.299999999999997</v>
      </c>
      <c r="R20">
        <v>55.51</v>
      </c>
      <c r="S20">
        <v>8.9700000000000006</v>
      </c>
      <c r="T20">
        <v>5.78</v>
      </c>
      <c r="U20" s="7">
        <v>0.67</v>
      </c>
      <c r="V20" s="42">
        <v>15.59</v>
      </c>
    </row>
    <row r="21" spans="1:23" x14ac:dyDescent="0.4">
      <c r="A21" s="2">
        <v>46266</v>
      </c>
      <c r="B21" s="2" t="s">
        <v>23</v>
      </c>
      <c r="C21">
        <v>3</v>
      </c>
      <c r="D21" s="7">
        <v>3</v>
      </c>
      <c r="E21">
        <v>117.3</v>
      </c>
      <c r="F21" s="7">
        <v>77</v>
      </c>
      <c r="G21">
        <v>51.4</v>
      </c>
      <c r="H21">
        <v>59</v>
      </c>
      <c r="I21">
        <v>8</v>
      </c>
      <c r="J21">
        <v>123</v>
      </c>
      <c r="K21">
        <v>169</v>
      </c>
      <c r="L21">
        <v>8680.56</v>
      </c>
      <c r="M21" s="42" t="s">
        <v>19</v>
      </c>
      <c r="N21">
        <v>237.58</v>
      </c>
      <c r="O21">
        <v>48.65</v>
      </c>
      <c r="P21">
        <v>130.27000000000001</v>
      </c>
      <c r="Q21">
        <v>33.049999999999997</v>
      </c>
      <c r="R21">
        <v>44.93</v>
      </c>
      <c r="S21">
        <v>7.67</v>
      </c>
      <c r="T21">
        <v>7.6</v>
      </c>
      <c r="U21" s="7">
        <v>1.03</v>
      </c>
      <c r="V21" s="42">
        <v>17.329999999999998</v>
      </c>
    </row>
    <row r="22" spans="1:23" x14ac:dyDescent="0.4">
      <c r="A22" s="2">
        <v>46266</v>
      </c>
      <c r="B22" s="2" t="s">
        <v>23</v>
      </c>
      <c r="C22">
        <v>3</v>
      </c>
      <c r="D22" s="7">
        <v>4</v>
      </c>
      <c r="E22">
        <v>130</v>
      </c>
      <c r="F22" s="7">
        <v>74</v>
      </c>
      <c r="G22">
        <v>37.799999999999997</v>
      </c>
      <c r="H22">
        <v>35</v>
      </c>
      <c r="I22">
        <v>5</v>
      </c>
      <c r="J22">
        <v>86</v>
      </c>
      <c r="K22">
        <v>151</v>
      </c>
      <c r="L22">
        <v>7969.77</v>
      </c>
      <c r="M22" s="42" t="s">
        <v>19</v>
      </c>
      <c r="N22">
        <v>208.65</v>
      </c>
      <c r="O22">
        <v>44.36</v>
      </c>
      <c r="P22">
        <v>158.9</v>
      </c>
      <c r="Q22">
        <v>40.14</v>
      </c>
      <c r="R22">
        <v>34.380000000000003</v>
      </c>
      <c r="S22">
        <v>5.75</v>
      </c>
      <c r="T22">
        <v>5.04</v>
      </c>
      <c r="U22" s="7">
        <v>0.71</v>
      </c>
      <c r="V22" s="42">
        <v>12.45</v>
      </c>
    </row>
    <row r="23" spans="1:23" x14ac:dyDescent="0.4">
      <c r="A23" s="2">
        <v>46266</v>
      </c>
      <c r="B23" s="2" t="s">
        <v>23</v>
      </c>
      <c r="C23">
        <v>3</v>
      </c>
      <c r="D23" s="7">
        <v>5</v>
      </c>
      <c r="E23">
        <v>115</v>
      </c>
      <c r="F23" s="7">
        <v>77.8</v>
      </c>
      <c r="G23">
        <v>51.9</v>
      </c>
      <c r="H23">
        <v>39</v>
      </c>
      <c r="I23">
        <v>6</v>
      </c>
      <c r="J23">
        <v>54</v>
      </c>
      <c r="K23">
        <v>85</v>
      </c>
      <c r="L23">
        <v>8606.93</v>
      </c>
      <c r="M23" s="42" t="s">
        <v>19</v>
      </c>
      <c r="N23">
        <v>203.66</v>
      </c>
      <c r="O23">
        <v>38.32</v>
      </c>
      <c r="P23">
        <v>117.29</v>
      </c>
      <c r="Q23">
        <v>26.51</v>
      </c>
      <c r="R23">
        <v>20.09</v>
      </c>
      <c r="S23">
        <v>3.21</v>
      </c>
      <c r="T23">
        <v>3.85</v>
      </c>
      <c r="U23" s="7">
        <v>0.51</v>
      </c>
      <c r="V23" s="42">
        <v>10.96</v>
      </c>
    </row>
    <row r="24" spans="1:23" x14ac:dyDescent="0.4">
      <c r="A24" s="6">
        <v>46266</v>
      </c>
      <c r="B24" s="6" t="s">
        <v>23</v>
      </c>
      <c r="C24" s="5">
        <v>3</v>
      </c>
      <c r="D24" s="8">
        <v>6</v>
      </c>
      <c r="E24" s="5">
        <v>134.80000000000001</v>
      </c>
      <c r="F24" s="8">
        <v>82.4</v>
      </c>
      <c r="G24" s="5">
        <v>45.1</v>
      </c>
      <c r="H24" s="5">
        <v>58</v>
      </c>
      <c r="I24" s="5">
        <v>8</v>
      </c>
      <c r="J24" s="5"/>
      <c r="K24" s="5"/>
      <c r="L24" s="5"/>
      <c r="M24" s="43" t="s">
        <v>19</v>
      </c>
      <c r="N24" s="5">
        <v>149.63</v>
      </c>
      <c r="O24" s="5">
        <v>63.12</v>
      </c>
      <c r="P24" s="5">
        <v>146.29</v>
      </c>
      <c r="Q24" s="5">
        <v>42.59</v>
      </c>
      <c r="R24" s="5">
        <v>61.57</v>
      </c>
      <c r="S24" s="5">
        <v>11.81</v>
      </c>
      <c r="T24" s="5"/>
      <c r="U24" s="37"/>
      <c r="V24" s="43">
        <v>31.53</v>
      </c>
    </row>
    <row r="25" spans="1:23" x14ac:dyDescent="0.4">
      <c r="A25" s="2">
        <v>46266</v>
      </c>
      <c r="B25" s="2" t="s">
        <v>24</v>
      </c>
      <c r="C25">
        <v>4</v>
      </c>
      <c r="D25" s="7">
        <v>1</v>
      </c>
      <c r="E25">
        <v>138.1</v>
      </c>
      <c r="F25" s="7">
        <v>85</v>
      </c>
      <c r="G25">
        <v>43.8</v>
      </c>
      <c r="H25">
        <v>56</v>
      </c>
      <c r="I25" s="32"/>
      <c r="J25" s="32"/>
      <c r="K25" s="32"/>
      <c r="L25">
        <v>7500.64</v>
      </c>
      <c r="M25" s="42" t="s">
        <v>19</v>
      </c>
      <c r="N25">
        <v>155.63999999999999</v>
      </c>
      <c r="O25">
        <v>67.64</v>
      </c>
      <c r="P25">
        <v>135.21</v>
      </c>
      <c r="Q25" s="32"/>
      <c r="R25" s="32"/>
      <c r="S25" s="32"/>
      <c r="V25" s="42">
        <v>25.57</v>
      </c>
    </row>
    <row r="26" spans="1:23" x14ac:dyDescent="0.4">
      <c r="A26" s="2">
        <v>46266</v>
      </c>
      <c r="B26" s="2" t="s">
        <v>24</v>
      </c>
      <c r="C26">
        <v>4</v>
      </c>
      <c r="D26" s="7">
        <v>2</v>
      </c>
      <c r="E26">
        <v>129.80000000000001</v>
      </c>
      <c r="F26" s="7">
        <v>76</v>
      </c>
      <c r="G26">
        <v>43.3</v>
      </c>
      <c r="H26">
        <v>37</v>
      </c>
      <c r="I26">
        <v>6</v>
      </c>
      <c r="J26">
        <v>87</v>
      </c>
      <c r="K26">
        <v>136</v>
      </c>
      <c r="L26">
        <v>6704.41</v>
      </c>
      <c r="M26" s="42" t="s">
        <v>19</v>
      </c>
      <c r="N26">
        <v>138.72</v>
      </c>
      <c r="O26" s="32"/>
      <c r="P26">
        <v>89.49</v>
      </c>
      <c r="Q26" s="32"/>
      <c r="R26">
        <v>36.29</v>
      </c>
      <c r="S26">
        <v>5.96</v>
      </c>
      <c r="T26">
        <v>4.18</v>
      </c>
      <c r="U26" s="7">
        <v>0.49</v>
      </c>
      <c r="V26" s="42">
        <v>11.08</v>
      </c>
    </row>
    <row r="27" spans="1:23" x14ac:dyDescent="0.4">
      <c r="A27" s="2">
        <v>46266</v>
      </c>
      <c r="B27" s="2" t="s">
        <v>24</v>
      </c>
      <c r="C27">
        <v>4</v>
      </c>
      <c r="D27" s="7">
        <v>3</v>
      </c>
      <c r="E27">
        <v>138.5</v>
      </c>
      <c r="F27" s="7">
        <v>80</v>
      </c>
      <c r="G27">
        <v>41.6</v>
      </c>
      <c r="H27">
        <v>51</v>
      </c>
      <c r="I27">
        <v>5</v>
      </c>
      <c r="J27">
        <v>101</v>
      </c>
      <c r="K27">
        <v>188</v>
      </c>
      <c r="L27">
        <v>7668.31</v>
      </c>
      <c r="M27" s="42" t="s">
        <v>19</v>
      </c>
      <c r="N27">
        <v>166.37</v>
      </c>
      <c r="O27">
        <v>57.79</v>
      </c>
      <c r="P27">
        <v>119.85</v>
      </c>
      <c r="Q27">
        <v>41.71</v>
      </c>
      <c r="R27">
        <v>44.63</v>
      </c>
      <c r="S27">
        <v>7.75</v>
      </c>
      <c r="T27">
        <v>3.89</v>
      </c>
      <c r="U27" s="7">
        <v>0.46</v>
      </c>
      <c r="V27" s="42">
        <v>30.13</v>
      </c>
    </row>
    <row r="28" spans="1:23" x14ac:dyDescent="0.4">
      <c r="A28" s="2">
        <v>46266</v>
      </c>
      <c r="B28" s="2" t="s">
        <v>24</v>
      </c>
      <c r="C28">
        <v>4</v>
      </c>
      <c r="D28" s="7">
        <v>4</v>
      </c>
      <c r="E28">
        <v>117</v>
      </c>
      <c r="F28" s="7">
        <v>74</v>
      </c>
      <c r="G28">
        <v>48.7</v>
      </c>
      <c r="H28">
        <v>45</v>
      </c>
      <c r="I28">
        <v>5</v>
      </c>
      <c r="J28">
        <v>114</v>
      </c>
      <c r="K28">
        <v>191</v>
      </c>
      <c r="M28" s="42" t="s">
        <v>19</v>
      </c>
      <c r="N28">
        <v>203.81</v>
      </c>
      <c r="O28">
        <v>46.72</v>
      </c>
      <c r="P28">
        <v>133.34</v>
      </c>
      <c r="Q28">
        <v>33.47</v>
      </c>
      <c r="R28">
        <v>46.58</v>
      </c>
      <c r="S28">
        <v>8.39</v>
      </c>
      <c r="T28">
        <v>7.72</v>
      </c>
      <c r="U28" s="7">
        <v>1.1200000000000001</v>
      </c>
      <c r="V28" s="42">
        <v>23.22</v>
      </c>
    </row>
    <row r="29" spans="1:23" x14ac:dyDescent="0.4">
      <c r="A29" s="2">
        <v>46266</v>
      </c>
      <c r="B29" s="2" t="s">
        <v>24</v>
      </c>
      <c r="C29">
        <v>4</v>
      </c>
      <c r="D29" s="7">
        <v>5</v>
      </c>
      <c r="E29">
        <v>133.1</v>
      </c>
      <c r="F29" s="7">
        <v>77.3</v>
      </c>
      <c r="G29">
        <v>39.1</v>
      </c>
      <c r="H29">
        <v>37</v>
      </c>
      <c r="I29">
        <v>7</v>
      </c>
      <c r="J29">
        <v>53</v>
      </c>
      <c r="K29">
        <v>117</v>
      </c>
      <c r="L29">
        <v>6956.67</v>
      </c>
      <c r="M29" s="42" t="s">
        <v>19</v>
      </c>
      <c r="N29">
        <v>109.16</v>
      </c>
      <c r="O29">
        <v>53.11</v>
      </c>
      <c r="P29">
        <v>108.38</v>
      </c>
      <c r="Q29">
        <v>32.97</v>
      </c>
      <c r="R29">
        <v>22.85</v>
      </c>
      <c r="S29">
        <v>4.24</v>
      </c>
      <c r="T29">
        <v>2</v>
      </c>
      <c r="U29" s="7">
        <v>0.21</v>
      </c>
      <c r="V29" s="42">
        <v>21.02</v>
      </c>
    </row>
    <row r="30" spans="1:23" x14ac:dyDescent="0.4">
      <c r="A30" s="6">
        <v>46266</v>
      </c>
      <c r="B30" s="6" t="s">
        <v>24</v>
      </c>
      <c r="C30" s="5">
        <v>4</v>
      </c>
      <c r="D30" s="8">
        <v>6</v>
      </c>
      <c r="E30" s="5">
        <v>128.5</v>
      </c>
      <c r="F30" s="8">
        <v>81.8</v>
      </c>
      <c r="G30" s="5">
        <v>46</v>
      </c>
      <c r="H30" s="5">
        <v>44</v>
      </c>
      <c r="I30" s="5">
        <v>5</v>
      </c>
      <c r="J30" s="5">
        <v>91</v>
      </c>
      <c r="K30" s="5">
        <v>180</v>
      </c>
      <c r="L30" s="5">
        <v>5158.33</v>
      </c>
      <c r="M30" s="43" t="s">
        <v>19</v>
      </c>
      <c r="N30" s="5">
        <v>110.64</v>
      </c>
      <c r="O30" s="5">
        <v>47.67</v>
      </c>
      <c r="P30" s="5">
        <v>101.47</v>
      </c>
      <c r="Q30" s="5">
        <v>35.69</v>
      </c>
      <c r="R30" s="5">
        <v>44.9</v>
      </c>
      <c r="S30" s="5">
        <v>7.75</v>
      </c>
      <c r="T30" s="5">
        <v>2.19</v>
      </c>
      <c r="U30" s="8">
        <v>0.32</v>
      </c>
      <c r="V30" s="43">
        <v>28.06</v>
      </c>
    </row>
    <row r="31" spans="1:23" x14ac:dyDescent="0.4">
      <c r="A31" s="20">
        <v>46301</v>
      </c>
      <c r="B31" s="2" t="s">
        <v>18</v>
      </c>
      <c r="C31">
        <v>1</v>
      </c>
      <c r="D31" s="7">
        <v>1</v>
      </c>
      <c r="E31" s="52">
        <v>135</v>
      </c>
      <c r="F31" s="52">
        <v>75.5</v>
      </c>
      <c r="G31" s="52">
        <v>54.1</v>
      </c>
      <c r="H31" s="50">
        <v>39</v>
      </c>
      <c r="I31" s="50">
        <v>7</v>
      </c>
      <c r="J31" s="50"/>
      <c r="K31" s="50"/>
      <c r="L31" s="3">
        <f>4736.7</f>
        <v>4736.7</v>
      </c>
      <c r="M31" s="44" t="s">
        <v>40</v>
      </c>
      <c r="N31" s="3"/>
      <c r="O31" s="3"/>
      <c r="P31" s="3"/>
      <c r="Q31" s="3"/>
      <c r="R31" s="3"/>
      <c r="S31" s="3"/>
      <c r="T31" s="3"/>
      <c r="U31" s="38"/>
      <c r="V31" s="44">
        <v>10.19</v>
      </c>
      <c r="W31" s="3"/>
    </row>
    <row r="32" spans="1:23" x14ac:dyDescent="0.4">
      <c r="A32" s="20">
        <v>46301</v>
      </c>
      <c r="B32" s="2" t="s">
        <v>18</v>
      </c>
      <c r="C32">
        <v>1</v>
      </c>
      <c r="D32" s="7">
        <v>2</v>
      </c>
      <c r="E32" s="52">
        <v>124</v>
      </c>
      <c r="F32" s="52"/>
      <c r="G32" s="52">
        <v>42.4</v>
      </c>
      <c r="H32" s="50">
        <v>43</v>
      </c>
      <c r="I32" s="50">
        <v>7</v>
      </c>
      <c r="J32" s="50">
        <v>209</v>
      </c>
      <c r="K32" s="50">
        <v>418</v>
      </c>
      <c r="L32" s="3">
        <f>4884.88</f>
        <v>4884.88</v>
      </c>
      <c r="M32" s="44" t="s">
        <v>40</v>
      </c>
      <c r="N32" s="3">
        <f>138.65</f>
        <v>138.65</v>
      </c>
      <c r="O32" s="3">
        <v>45.82</v>
      </c>
      <c r="P32" s="3">
        <f>124.57</f>
        <v>124.57</v>
      </c>
      <c r="Q32" s="3">
        <v>37.090000000000003</v>
      </c>
      <c r="R32" s="3">
        <v>128.10358995358993</v>
      </c>
      <c r="S32" s="3">
        <v>30.749286898839138</v>
      </c>
      <c r="T32" s="3">
        <v>237.06641004641006</v>
      </c>
      <c r="U32" s="38">
        <v>88.490713101160864</v>
      </c>
      <c r="V32" s="44"/>
      <c r="W32" s="3">
        <v>0.92079207920792072</v>
      </c>
    </row>
    <row r="33" spans="1:23" x14ac:dyDescent="0.4">
      <c r="A33" s="20">
        <v>46301</v>
      </c>
      <c r="B33" s="2" t="s">
        <v>18</v>
      </c>
      <c r="C33">
        <v>1</v>
      </c>
      <c r="D33" s="7">
        <v>3</v>
      </c>
      <c r="E33" s="52">
        <v>131</v>
      </c>
      <c r="F33" s="52">
        <v>70</v>
      </c>
      <c r="G33" s="52">
        <v>41.4</v>
      </c>
      <c r="H33" s="50"/>
      <c r="I33" s="50">
        <v>5</v>
      </c>
      <c r="J33" s="50"/>
      <c r="K33" s="50"/>
      <c r="L33" s="3">
        <v>4996.07</v>
      </c>
      <c r="M33" s="44" t="s">
        <v>40</v>
      </c>
      <c r="N33" s="3"/>
      <c r="O33" s="3"/>
      <c r="P33" s="3"/>
      <c r="Q33" s="3"/>
      <c r="R33" s="3"/>
      <c r="S33" s="3"/>
      <c r="T33" s="3"/>
      <c r="U33" s="38"/>
      <c r="V33" s="44">
        <v>8.07</v>
      </c>
      <c r="W33" s="3">
        <v>0.90857142857142847</v>
      </c>
    </row>
    <row r="34" spans="1:23" x14ac:dyDescent="0.4">
      <c r="A34" s="20">
        <v>46301</v>
      </c>
      <c r="B34" s="2" t="s">
        <v>18</v>
      </c>
      <c r="C34">
        <v>1</v>
      </c>
      <c r="D34" s="7">
        <v>4</v>
      </c>
      <c r="E34" s="52">
        <v>122</v>
      </c>
      <c r="F34" s="52">
        <v>69.5</v>
      </c>
      <c r="G34" s="52">
        <v>51.7</v>
      </c>
      <c r="H34" s="50">
        <v>42</v>
      </c>
      <c r="I34" s="50">
        <v>10</v>
      </c>
      <c r="J34" s="50">
        <v>165</v>
      </c>
      <c r="K34" s="50">
        <v>404</v>
      </c>
      <c r="L34" s="3">
        <f>3936.12</f>
        <v>3936.12</v>
      </c>
      <c r="M34" s="44" t="s">
        <v>40</v>
      </c>
      <c r="N34" s="3">
        <f>96.36</f>
        <v>96.36</v>
      </c>
      <c r="O34" s="3">
        <v>52.59</v>
      </c>
      <c r="P34" s="3">
        <v>111.72</v>
      </c>
      <c r="Q34" s="3">
        <v>37.049999999999997</v>
      </c>
      <c r="R34" s="3">
        <v>99.785666368515223</v>
      </c>
      <c r="S34" s="3">
        <v>26.417028301886791</v>
      </c>
      <c r="T34" s="3">
        <v>179.46433363148481</v>
      </c>
      <c r="U34" s="38">
        <v>65.3929716981132</v>
      </c>
      <c r="V34" s="44">
        <v>23.89</v>
      </c>
      <c r="W34" s="3">
        <v>0.92063492063492058</v>
      </c>
    </row>
    <row r="35" spans="1:23" x14ac:dyDescent="0.4">
      <c r="A35" s="20">
        <v>46301</v>
      </c>
      <c r="B35" s="2" t="s">
        <v>18</v>
      </c>
      <c r="C35">
        <v>1</v>
      </c>
      <c r="D35" s="7">
        <v>5</v>
      </c>
      <c r="E35" s="52">
        <v>125</v>
      </c>
      <c r="F35" s="52">
        <v>77.5</v>
      </c>
      <c r="G35" s="52">
        <v>47.9</v>
      </c>
      <c r="H35" s="50">
        <v>43</v>
      </c>
      <c r="I35" s="50">
        <v>7</v>
      </c>
      <c r="J35" s="50">
        <v>163</v>
      </c>
      <c r="K35" s="50">
        <v>334</v>
      </c>
      <c r="L35" s="3">
        <f>7140.06</f>
        <v>7140.06</v>
      </c>
      <c r="M35" s="44" t="s">
        <v>40</v>
      </c>
      <c r="N35" s="3">
        <f>199.55</f>
        <v>199.55</v>
      </c>
      <c r="O35" s="3">
        <v>53.69</v>
      </c>
      <c r="P35" s="3">
        <v>151.18</v>
      </c>
      <c r="Q35" s="3">
        <v>40.5</v>
      </c>
      <c r="R35" s="3">
        <v>117.25573007288972</v>
      </c>
      <c r="S35" s="3">
        <v>27.608490974729236</v>
      </c>
      <c r="T35" s="3">
        <v>185.71426992711025</v>
      </c>
      <c r="U35" s="38">
        <v>68.951509025270752</v>
      </c>
      <c r="V35" s="44">
        <v>13.05</v>
      </c>
      <c r="W35" s="3"/>
    </row>
    <row r="36" spans="1:23" x14ac:dyDescent="0.4">
      <c r="A36" s="20">
        <v>46301</v>
      </c>
      <c r="B36" s="2" t="s">
        <v>18</v>
      </c>
      <c r="C36">
        <v>1</v>
      </c>
      <c r="D36" s="7">
        <v>6</v>
      </c>
      <c r="E36" s="52">
        <v>123.5</v>
      </c>
      <c r="F36" s="52">
        <v>73</v>
      </c>
      <c r="G36" s="52">
        <v>44.3</v>
      </c>
      <c r="H36" s="50">
        <v>39</v>
      </c>
      <c r="I36" s="50">
        <v>13</v>
      </c>
      <c r="J36" s="50">
        <v>163</v>
      </c>
      <c r="K36" s="50">
        <v>334</v>
      </c>
      <c r="L36" s="3">
        <f>6052.88</f>
        <v>6052.88</v>
      </c>
      <c r="M36" s="44" t="s">
        <v>40</v>
      </c>
      <c r="N36" s="3">
        <f>168.2</f>
        <v>168.2</v>
      </c>
      <c r="O36" s="3">
        <v>49.96</v>
      </c>
      <c r="P36" s="3">
        <v>119.09</v>
      </c>
      <c r="Q36" s="3">
        <v>33</v>
      </c>
      <c r="R36" s="3">
        <v>101.5954850361197</v>
      </c>
      <c r="S36" s="3">
        <v>23.475527156549525</v>
      </c>
      <c r="T36" s="3">
        <v>168.30451496388025</v>
      </c>
      <c r="U36" s="38">
        <v>61.96447284345048</v>
      </c>
      <c r="V36" s="44">
        <v>13.1</v>
      </c>
      <c r="W36" s="3">
        <v>0.92338709677419373</v>
      </c>
    </row>
    <row r="37" spans="1:23" x14ac:dyDescent="0.4">
      <c r="A37" s="20">
        <v>46301</v>
      </c>
      <c r="B37" s="2" t="s">
        <v>18</v>
      </c>
      <c r="C37">
        <v>1</v>
      </c>
      <c r="D37" s="7">
        <v>7</v>
      </c>
      <c r="E37" s="52">
        <v>136</v>
      </c>
      <c r="F37" s="52">
        <v>83</v>
      </c>
      <c r="G37" s="52">
        <v>44.7</v>
      </c>
      <c r="H37" s="50">
        <v>53</v>
      </c>
      <c r="I37" s="50">
        <v>10</v>
      </c>
      <c r="J37" s="50">
        <v>165</v>
      </c>
      <c r="K37" s="50">
        <v>347</v>
      </c>
      <c r="L37" s="3">
        <f>4356.1</f>
        <v>4356.1000000000004</v>
      </c>
      <c r="M37" s="44" t="s">
        <v>40</v>
      </c>
      <c r="N37" s="3">
        <f>115.82</f>
        <v>115.82</v>
      </c>
      <c r="O37" s="3">
        <v>63.32</v>
      </c>
      <c r="P37" s="3">
        <v>124.88</v>
      </c>
      <c r="Q37" s="3">
        <v>37.81</v>
      </c>
      <c r="R37" s="3">
        <v>106.43496623981373</v>
      </c>
      <c r="S37" s="3">
        <v>26.983726415094342</v>
      </c>
      <c r="T37" s="3">
        <v>201.19503376018625</v>
      </c>
      <c r="U37" s="38">
        <v>77.026273584905653</v>
      </c>
      <c r="V37" s="44">
        <v>26.37</v>
      </c>
      <c r="W37" s="3">
        <v>0.9156626506024097</v>
      </c>
    </row>
    <row r="38" spans="1:23" x14ac:dyDescent="0.4">
      <c r="A38" s="20">
        <v>46301</v>
      </c>
      <c r="B38" s="2" t="s">
        <v>18</v>
      </c>
      <c r="C38">
        <v>1</v>
      </c>
      <c r="D38" s="7">
        <v>8</v>
      </c>
      <c r="E38" s="52">
        <v>130</v>
      </c>
      <c r="F38" s="52">
        <v>70</v>
      </c>
      <c r="G38" s="52">
        <v>44.6</v>
      </c>
      <c r="H38" s="50">
        <v>58</v>
      </c>
      <c r="I38" s="50">
        <v>11</v>
      </c>
      <c r="J38" s="50">
        <v>165</v>
      </c>
      <c r="K38" s="50">
        <v>314</v>
      </c>
      <c r="L38" s="3">
        <f>5380.5</f>
        <v>5380.5</v>
      </c>
      <c r="M38" s="44" t="s">
        <v>40</v>
      </c>
      <c r="N38" s="3"/>
      <c r="O38" s="3"/>
      <c r="P38" s="3">
        <v>116.87</v>
      </c>
      <c r="Q38" s="3">
        <v>31.74</v>
      </c>
      <c r="R38" s="3">
        <v>86.5607236650131</v>
      </c>
      <c r="S38" s="3">
        <v>21.579734278122228</v>
      </c>
      <c r="T38" s="3">
        <v>158.59927633498688</v>
      </c>
      <c r="U38" s="38">
        <v>57.780265721877761</v>
      </c>
      <c r="V38" s="44">
        <v>7.94</v>
      </c>
      <c r="W38" s="3">
        <v>0.91525423728813549</v>
      </c>
    </row>
    <row r="39" spans="1:23" s="5" customFormat="1" x14ac:dyDescent="0.4">
      <c r="A39" s="21">
        <v>46301</v>
      </c>
      <c r="B39" s="6" t="s">
        <v>18</v>
      </c>
      <c r="C39" s="5">
        <v>1</v>
      </c>
      <c r="D39" s="8">
        <v>9</v>
      </c>
      <c r="E39" s="53">
        <v>132</v>
      </c>
      <c r="F39" s="53">
        <v>66.5</v>
      </c>
      <c r="G39" s="53">
        <v>49.8</v>
      </c>
      <c r="H39" s="51">
        <v>54</v>
      </c>
      <c r="I39" s="51"/>
      <c r="J39" s="51">
        <v>159</v>
      </c>
      <c r="K39" s="51">
        <v>324</v>
      </c>
      <c r="L39" s="13">
        <f>6516.9</f>
        <v>6516.9</v>
      </c>
      <c r="M39" s="45" t="s">
        <v>40</v>
      </c>
      <c r="N39" s="13">
        <f>192.12</f>
        <v>192.12</v>
      </c>
      <c r="O39" s="13">
        <v>67.2</v>
      </c>
      <c r="P39" s="13">
        <v>126.59</v>
      </c>
      <c r="Q39" s="13">
        <v>35.119999999999997</v>
      </c>
      <c r="R39" s="13">
        <v>89.549243831254984</v>
      </c>
      <c r="S39" s="13">
        <v>22.822841444270018</v>
      </c>
      <c r="T39" s="13">
        <v>174.75075616874506</v>
      </c>
      <c r="U39" s="39">
        <v>65.287158555729988</v>
      </c>
      <c r="V39" s="45">
        <v>14.97</v>
      </c>
      <c r="W39" s="13"/>
    </row>
    <row r="40" spans="1:23" x14ac:dyDescent="0.4">
      <c r="A40" s="20">
        <v>46301</v>
      </c>
      <c r="B40" s="2" t="s">
        <v>21</v>
      </c>
      <c r="C40">
        <v>2</v>
      </c>
      <c r="D40" s="7">
        <v>1</v>
      </c>
      <c r="E40" s="52">
        <v>109.5</v>
      </c>
      <c r="F40" s="52">
        <v>60</v>
      </c>
      <c r="G40" s="52">
        <v>32.700000000000003</v>
      </c>
      <c r="H40" s="50">
        <v>31</v>
      </c>
      <c r="I40" s="50">
        <v>4</v>
      </c>
      <c r="J40" s="50"/>
      <c r="K40" s="50"/>
      <c r="L40" s="3">
        <f>4434.46</f>
        <v>4434.46</v>
      </c>
      <c r="M40" s="44" t="s">
        <v>40</v>
      </c>
      <c r="N40" s="3"/>
      <c r="O40" s="3"/>
      <c r="P40" s="3"/>
      <c r="Q40" s="3"/>
      <c r="R40" s="3"/>
      <c r="S40" s="3"/>
      <c r="T40" s="3"/>
      <c r="U40" s="38"/>
      <c r="V40" s="44">
        <v>7.79</v>
      </c>
      <c r="W40" s="3">
        <v>0.9309090909090908</v>
      </c>
    </row>
    <row r="41" spans="1:23" x14ac:dyDescent="0.4">
      <c r="A41" s="20">
        <v>46301</v>
      </c>
      <c r="B41" s="2" t="s">
        <v>21</v>
      </c>
      <c r="C41">
        <v>2</v>
      </c>
      <c r="D41" s="7">
        <v>2</v>
      </c>
      <c r="E41" s="52">
        <v>138</v>
      </c>
      <c r="F41" s="52">
        <v>84</v>
      </c>
      <c r="G41" s="52">
        <v>42</v>
      </c>
      <c r="H41" s="50">
        <v>44</v>
      </c>
      <c r="I41" s="50">
        <v>11</v>
      </c>
      <c r="J41" s="50">
        <v>183</v>
      </c>
      <c r="K41" s="50">
        <v>384</v>
      </c>
      <c r="L41" s="3">
        <f>3473.11</f>
        <v>3473.11</v>
      </c>
      <c r="M41" s="44" t="s">
        <v>40</v>
      </c>
      <c r="N41" s="3">
        <f>77.34</f>
        <v>77.34</v>
      </c>
      <c r="O41" s="3">
        <v>48.39</v>
      </c>
      <c r="P41" s="3">
        <v>80.569999999999993</v>
      </c>
      <c r="Q41" s="3">
        <v>32.68</v>
      </c>
      <c r="R41" s="3">
        <v>94.970967741935482</v>
      </c>
      <c r="S41" s="3">
        <v>26.81108477666363</v>
      </c>
      <c r="T41" s="3">
        <v>199.43903225806451</v>
      </c>
      <c r="U41" s="38">
        <v>75.66891522333637</v>
      </c>
      <c r="V41" s="44">
        <v>15.75</v>
      </c>
      <c r="W41" s="3">
        <v>0.90977443609022546</v>
      </c>
    </row>
    <row r="42" spans="1:23" x14ac:dyDescent="0.4">
      <c r="A42" s="20">
        <v>46301</v>
      </c>
      <c r="B42" s="2" t="s">
        <v>21</v>
      </c>
      <c r="C42">
        <v>2</v>
      </c>
      <c r="D42" s="7">
        <v>3</v>
      </c>
      <c r="E42" s="52">
        <v>137.5</v>
      </c>
      <c r="F42" s="52">
        <v>81</v>
      </c>
      <c r="G42" s="52">
        <v>29.6</v>
      </c>
      <c r="H42" s="50">
        <v>39</v>
      </c>
      <c r="I42" s="50">
        <v>13</v>
      </c>
      <c r="J42" s="50">
        <v>167</v>
      </c>
      <c r="K42" s="50">
        <v>334</v>
      </c>
      <c r="L42" s="3"/>
      <c r="M42" s="44" t="s">
        <v>40</v>
      </c>
      <c r="N42" s="3">
        <f>142.86</f>
        <v>142.86000000000001</v>
      </c>
      <c r="O42" s="3">
        <v>49.82</v>
      </c>
      <c r="P42" s="3">
        <v>103.77</v>
      </c>
      <c r="Q42" s="3">
        <v>31.35</v>
      </c>
      <c r="R42" s="3">
        <v>92.110779220779222</v>
      </c>
      <c r="S42" s="3">
        <v>24.33250213492741</v>
      </c>
      <c r="T42" s="3">
        <v>192.11922077922077</v>
      </c>
      <c r="U42" s="38">
        <v>74.947497865072577</v>
      </c>
      <c r="V42" s="44">
        <v>15.2</v>
      </c>
      <c r="W42" s="3">
        <v>0.91219512195121955</v>
      </c>
    </row>
    <row r="43" spans="1:23" x14ac:dyDescent="0.4">
      <c r="A43" s="20">
        <v>46301</v>
      </c>
      <c r="B43" s="2" t="s">
        <v>21</v>
      </c>
      <c r="C43">
        <v>2</v>
      </c>
      <c r="D43" s="7">
        <v>4</v>
      </c>
      <c r="E43" s="52">
        <v>122.5</v>
      </c>
      <c r="F43" s="52">
        <v>74.5</v>
      </c>
      <c r="G43" s="52">
        <v>40.9</v>
      </c>
      <c r="H43" s="50"/>
      <c r="I43" s="50">
        <v>8</v>
      </c>
      <c r="J43" s="50">
        <v>147</v>
      </c>
      <c r="K43" s="50">
        <v>294</v>
      </c>
      <c r="L43" s="3">
        <f>4167.55</f>
        <v>4167.55</v>
      </c>
      <c r="M43" s="44" t="s">
        <v>40</v>
      </c>
      <c r="N43" s="3">
        <f>91.6</f>
        <v>91.6</v>
      </c>
      <c r="O43" s="3">
        <v>42.12</v>
      </c>
      <c r="P43" s="3">
        <v>85.13</v>
      </c>
      <c r="Q43" s="3">
        <v>29.83</v>
      </c>
      <c r="R43" s="3">
        <v>71.784938200632368</v>
      </c>
      <c r="S43" s="3">
        <v>19.760193392425464</v>
      </c>
      <c r="T43" s="3">
        <v>158.81506179936767</v>
      </c>
      <c r="U43" s="38">
        <v>61.439806607574546</v>
      </c>
      <c r="V43" s="44">
        <v>21.72</v>
      </c>
      <c r="W43" s="3">
        <v>0.86956521739130432</v>
      </c>
    </row>
    <row r="44" spans="1:23" x14ac:dyDescent="0.4">
      <c r="A44" s="20">
        <v>46301</v>
      </c>
      <c r="B44" s="2" t="s">
        <v>21</v>
      </c>
      <c r="C44">
        <v>2</v>
      </c>
      <c r="D44" s="7">
        <v>5</v>
      </c>
      <c r="E44" s="52">
        <v>143</v>
      </c>
      <c r="F44" s="52">
        <v>80</v>
      </c>
      <c r="G44" s="52">
        <v>40</v>
      </c>
      <c r="H44" s="50">
        <v>44</v>
      </c>
      <c r="I44" s="50"/>
      <c r="J44" s="50"/>
      <c r="K44" s="50"/>
      <c r="L44" s="3"/>
      <c r="M44" s="44" t="s">
        <v>40</v>
      </c>
      <c r="N44" s="3"/>
      <c r="O44" s="3"/>
      <c r="P44" s="3">
        <v>73.31</v>
      </c>
      <c r="Q44" s="3">
        <v>27.21</v>
      </c>
      <c r="R44" s="3">
        <v>56.086103623839463</v>
      </c>
      <c r="S44" s="3">
        <v>14.932733089579525</v>
      </c>
      <c r="T44" s="3"/>
      <c r="U44" s="38"/>
      <c r="V44" s="44"/>
      <c r="W44" s="3">
        <v>0.90816326530612257</v>
      </c>
    </row>
    <row r="45" spans="1:23" x14ac:dyDescent="0.4">
      <c r="A45" s="20">
        <v>46301</v>
      </c>
      <c r="B45" s="2" t="s">
        <v>21</v>
      </c>
      <c r="C45">
        <v>2</v>
      </c>
      <c r="D45" s="7">
        <v>6</v>
      </c>
      <c r="E45" s="52">
        <v>116</v>
      </c>
      <c r="F45" s="52">
        <v>74</v>
      </c>
      <c r="G45" s="52">
        <v>38.200000000000003</v>
      </c>
      <c r="H45" s="50">
        <v>40</v>
      </c>
      <c r="I45" s="50">
        <v>6</v>
      </c>
      <c r="J45" s="50">
        <v>175</v>
      </c>
      <c r="K45" s="50">
        <v>359</v>
      </c>
      <c r="L45" s="3">
        <f>3012.93</f>
        <v>3012.93</v>
      </c>
      <c r="M45" s="44" t="s">
        <v>40</v>
      </c>
      <c r="N45" s="3">
        <f>87.14</f>
        <v>87.14</v>
      </c>
      <c r="O45" s="3">
        <v>54.81</v>
      </c>
      <c r="P45" s="3"/>
      <c r="Q45" s="3"/>
      <c r="R45" s="3">
        <v>106.45281454355217</v>
      </c>
      <c r="S45" s="3">
        <v>30.001496492595479</v>
      </c>
      <c r="T45" s="3">
        <v>195.67718545644777</v>
      </c>
      <c r="U45" s="38">
        <v>69.71850350740452</v>
      </c>
      <c r="V45" s="44">
        <v>35.409999999999997</v>
      </c>
      <c r="W45" s="3">
        <v>0.91724137931034477</v>
      </c>
    </row>
    <row r="46" spans="1:23" x14ac:dyDescent="0.4">
      <c r="A46" s="20">
        <v>46301</v>
      </c>
      <c r="B46" s="2" t="s">
        <v>21</v>
      </c>
      <c r="C46">
        <v>2</v>
      </c>
      <c r="D46" s="7">
        <v>7</v>
      </c>
      <c r="E46" s="52">
        <v>127</v>
      </c>
      <c r="F46" s="52">
        <v>68.5</v>
      </c>
      <c r="G46" s="52">
        <v>37.200000000000003</v>
      </c>
      <c r="H46" s="50">
        <v>45</v>
      </c>
      <c r="I46" s="50">
        <v>11</v>
      </c>
      <c r="J46" s="50"/>
      <c r="K46" s="50"/>
      <c r="L46" s="3">
        <f>3072.8</f>
        <v>3072.8</v>
      </c>
      <c r="M46" s="44" t="s">
        <v>40</v>
      </c>
      <c r="N46" s="3">
        <f>73.53</f>
        <v>73.53</v>
      </c>
      <c r="O46" s="3">
        <v>45.71</v>
      </c>
      <c r="P46" s="3"/>
      <c r="Q46" s="3"/>
      <c r="R46" s="3"/>
      <c r="S46" s="3"/>
      <c r="T46" s="3"/>
      <c r="U46" s="38"/>
      <c r="V46" s="44">
        <v>27.94</v>
      </c>
      <c r="W46" s="3">
        <v>0.90140845070422526</v>
      </c>
    </row>
    <row r="47" spans="1:23" x14ac:dyDescent="0.4">
      <c r="A47" s="20">
        <v>46301</v>
      </c>
      <c r="B47" s="2" t="s">
        <v>21</v>
      </c>
      <c r="C47">
        <v>2</v>
      </c>
      <c r="D47" s="7">
        <v>8</v>
      </c>
      <c r="E47" s="52">
        <v>117</v>
      </c>
      <c r="F47" s="52">
        <v>65</v>
      </c>
      <c r="G47" s="52">
        <v>43</v>
      </c>
      <c r="H47" s="50">
        <v>41</v>
      </c>
      <c r="I47" s="50">
        <v>5</v>
      </c>
      <c r="J47" s="50">
        <v>138</v>
      </c>
      <c r="K47" s="50">
        <v>297</v>
      </c>
      <c r="L47" s="3">
        <f>3305.15</f>
        <v>3305.15</v>
      </c>
      <c r="M47" s="44" t="s">
        <v>40</v>
      </c>
      <c r="N47" s="3">
        <f>72.52</f>
        <v>72.52</v>
      </c>
      <c r="O47" s="3">
        <v>41.2</v>
      </c>
      <c r="P47" s="3">
        <v>67.64</v>
      </c>
      <c r="Q47" s="3">
        <v>26.3</v>
      </c>
      <c r="R47" s="3">
        <v>73.828842315369258</v>
      </c>
      <c r="S47" s="3">
        <v>20.861453634085212</v>
      </c>
      <c r="T47" s="3">
        <v>135.82115768463075</v>
      </c>
      <c r="U47" s="38">
        <v>49.678546365914784</v>
      </c>
      <c r="V47" s="44"/>
      <c r="W47" s="3">
        <v>0.88086642599277976</v>
      </c>
    </row>
    <row r="48" spans="1:23" s="5" customFormat="1" x14ac:dyDescent="0.4">
      <c r="A48" s="21">
        <v>46301</v>
      </c>
      <c r="B48" s="6" t="s">
        <v>21</v>
      </c>
      <c r="C48" s="5">
        <v>2</v>
      </c>
      <c r="D48" s="8">
        <v>9</v>
      </c>
      <c r="E48" s="53">
        <v>114</v>
      </c>
      <c r="F48" s="53">
        <v>71</v>
      </c>
      <c r="G48" s="53">
        <v>38.200000000000003</v>
      </c>
      <c r="H48" s="51">
        <v>48</v>
      </c>
      <c r="I48" s="51">
        <v>9</v>
      </c>
      <c r="J48" s="51"/>
      <c r="K48" s="51"/>
      <c r="L48" s="13"/>
      <c r="M48" s="45" t="s">
        <v>40</v>
      </c>
      <c r="N48" s="13">
        <f>159.64</f>
        <v>159.63999999999999</v>
      </c>
      <c r="O48" s="13">
        <v>56.82</v>
      </c>
      <c r="P48" s="13"/>
      <c r="Q48" s="13"/>
      <c r="R48" s="13"/>
      <c r="S48" s="13"/>
      <c r="T48" s="13"/>
      <c r="U48" s="39"/>
      <c r="V48" s="45">
        <v>21.88</v>
      </c>
      <c r="W48" s="13">
        <v>0.87071240105540915</v>
      </c>
    </row>
    <row r="49" spans="1:23" x14ac:dyDescent="0.4">
      <c r="A49" s="20">
        <v>46301</v>
      </c>
      <c r="B49" s="2" t="s">
        <v>23</v>
      </c>
      <c r="C49">
        <v>3</v>
      </c>
      <c r="D49" s="7">
        <v>1</v>
      </c>
      <c r="E49" s="52">
        <v>121</v>
      </c>
      <c r="F49" s="52">
        <v>63.5</v>
      </c>
      <c r="G49" s="52"/>
      <c r="H49" s="50"/>
      <c r="I49" s="50">
        <v>5</v>
      </c>
      <c r="J49" s="50">
        <v>121</v>
      </c>
      <c r="K49" s="50">
        <v>254</v>
      </c>
      <c r="L49" s="3">
        <v>3960.7</v>
      </c>
      <c r="M49" s="44" t="s">
        <v>40</v>
      </c>
      <c r="N49" s="3">
        <v>84.57</v>
      </c>
      <c r="O49" s="3">
        <v>22.81</v>
      </c>
      <c r="P49" s="3">
        <v>88.6</v>
      </c>
      <c r="Q49" s="3">
        <v>23.97</v>
      </c>
      <c r="R49" s="3">
        <v>76.113068181818193</v>
      </c>
      <c r="S49" s="3">
        <v>18.232919776119406</v>
      </c>
      <c r="T49" s="3">
        <v>115.25693181818183</v>
      </c>
      <c r="U49" s="38">
        <v>42.657080223880598</v>
      </c>
      <c r="V49" s="44">
        <v>29.7</v>
      </c>
      <c r="W49" s="3">
        <v>0.90265486725663724</v>
      </c>
    </row>
    <row r="50" spans="1:23" x14ac:dyDescent="0.4">
      <c r="A50" s="20">
        <v>46301</v>
      </c>
      <c r="B50" s="2" t="s">
        <v>23</v>
      </c>
      <c r="C50">
        <v>3</v>
      </c>
      <c r="D50" s="7">
        <v>2</v>
      </c>
      <c r="E50" s="52">
        <v>116</v>
      </c>
      <c r="F50" s="52">
        <v>75.5</v>
      </c>
      <c r="G50" s="52">
        <v>39.200000000000003</v>
      </c>
      <c r="H50" s="50">
        <v>39</v>
      </c>
      <c r="I50" s="50">
        <v>4</v>
      </c>
      <c r="J50" s="50"/>
      <c r="K50" s="50"/>
      <c r="L50" s="3">
        <f>2974.04</f>
        <v>2974.04</v>
      </c>
      <c r="M50" s="44" t="s">
        <v>40</v>
      </c>
      <c r="N50" s="3">
        <f>84.06</f>
        <v>84.06</v>
      </c>
      <c r="O50" s="3">
        <v>40.54</v>
      </c>
      <c r="P50" s="3">
        <f>101.81</f>
        <v>101.81</v>
      </c>
      <c r="Q50" s="3">
        <v>31.49</v>
      </c>
      <c r="R50" s="3"/>
      <c r="S50" s="3"/>
      <c r="T50" s="3">
        <v>223.59129365469749</v>
      </c>
      <c r="U50" s="38">
        <v>77.45297256097561</v>
      </c>
      <c r="V50" s="44"/>
      <c r="W50" s="3">
        <v>0.94358974358974368</v>
      </c>
    </row>
    <row r="51" spans="1:23" x14ac:dyDescent="0.4">
      <c r="A51" s="20">
        <v>46301</v>
      </c>
      <c r="B51" s="2" t="s">
        <v>23</v>
      </c>
      <c r="C51">
        <v>3</v>
      </c>
      <c r="D51" s="7">
        <v>3</v>
      </c>
      <c r="E51" s="52">
        <v>130.5</v>
      </c>
      <c r="F51" s="52">
        <v>76.5</v>
      </c>
      <c r="G51" s="52">
        <v>36</v>
      </c>
      <c r="H51" s="50">
        <v>37</v>
      </c>
      <c r="I51" s="50">
        <v>9</v>
      </c>
      <c r="J51" s="50">
        <v>165</v>
      </c>
      <c r="K51" s="50">
        <v>330</v>
      </c>
      <c r="L51" s="3">
        <f>4199.33</f>
        <v>4199.33</v>
      </c>
      <c r="M51" s="44" t="s">
        <v>40</v>
      </c>
      <c r="N51" s="3">
        <f>96.32</f>
        <v>96.32</v>
      </c>
      <c r="O51" s="3">
        <v>26.05</v>
      </c>
      <c r="P51" s="3">
        <f>77.17</f>
        <v>77.17</v>
      </c>
      <c r="Q51" s="3">
        <v>22.62</v>
      </c>
      <c r="R51" s="3">
        <v>90.726037249283664</v>
      </c>
      <c r="S51" s="3">
        <v>20.906110615521854</v>
      </c>
      <c r="T51" s="3">
        <v>143.64396275071636</v>
      </c>
      <c r="U51" s="38">
        <v>51.203889384478138</v>
      </c>
      <c r="V51" s="44">
        <v>21.67</v>
      </c>
      <c r="W51" s="3">
        <v>0.92250922509225097</v>
      </c>
    </row>
    <row r="52" spans="1:23" x14ac:dyDescent="0.4">
      <c r="A52" s="20">
        <v>46301</v>
      </c>
      <c r="B52" s="2" t="s">
        <v>23</v>
      </c>
      <c r="C52">
        <v>3</v>
      </c>
      <c r="D52" s="7">
        <v>4</v>
      </c>
      <c r="E52" s="52">
        <v>123</v>
      </c>
      <c r="F52" s="52">
        <v>77</v>
      </c>
      <c r="G52" s="52">
        <v>41.3</v>
      </c>
      <c r="H52" s="50">
        <v>43</v>
      </c>
      <c r="I52" s="50">
        <v>6</v>
      </c>
      <c r="J52" s="50"/>
      <c r="K52" s="50"/>
      <c r="L52" s="3">
        <v>5756.18</v>
      </c>
      <c r="M52" s="44" t="s">
        <v>40</v>
      </c>
      <c r="N52" s="3">
        <v>142.11000000000001</v>
      </c>
      <c r="O52" s="3">
        <v>48.45</v>
      </c>
      <c r="P52" s="3">
        <v>99.36</v>
      </c>
      <c r="Q52" s="3">
        <v>29.23</v>
      </c>
      <c r="R52" s="3">
        <v>130.74533333333332</v>
      </c>
      <c r="S52" s="3">
        <v>31.05291629162916</v>
      </c>
      <c r="T52" s="3">
        <v>190.82466666666664</v>
      </c>
      <c r="U52" s="38">
        <v>67.237083708370832</v>
      </c>
      <c r="V52" s="44">
        <v>32.96</v>
      </c>
      <c r="W52" s="3">
        <v>0.90551181102362199</v>
      </c>
    </row>
    <row r="53" spans="1:23" x14ac:dyDescent="0.4">
      <c r="A53" s="20">
        <v>46301</v>
      </c>
      <c r="B53" s="2" t="s">
        <v>23</v>
      </c>
      <c r="C53">
        <v>3</v>
      </c>
      <c r="D53" s="7">
        <v>5</v>
      </c>
      <c r="E53" s="52">
        <v>133</v>
      </c>
      <c r="F53" s="52">
        <v>82</v>
      </c>
      <c r="G53" s="52">
        <v>39.9</v>
      </c>
      <c r="H53" s="50">
        <v>43</v>
      </c>
      <c r="I53" s="50">
        <v>7</v>
      </c>
      <c r="J53" s="50">
        <v>182</v>
      </c>
      <c r="K53" s="50">
        <v>382</v>
      </c>
      <c r="L53" s="3">
        <v>5861.78</v>
      </c>
      <c r="M53" s="44" t="s">
        <v>40</v>
      </c>
      <c r="N53" s="3">
        <v>129.88</v>
      </c>
      <c r="O53" s="3">
        <v>41.78</v>
      </c>
      <c r="P53" s="3">
        <v>102.43</v>
      </c>
      <c r="Q53" s="3">
        <v>28.77</v>
      </c>
      <c r="R53" s="3">
        <v>118.86416408668731</v>
      </c>
      <c r="S53" s="3">
        <v>28.755143540669859</v>
      </c>
      <c r="T53" s="3">
        <v>207.88583591331269</v>
      </c>
      <c r="U53" s="38">
        <v>73.394856459330143</v>
      </c>
      <c r="V53" s="44">
        <v>28.56</v>
      </c>
      <c r="W53" s="3">
        <v>0.93165467625899268</v>
      </c>
    </row>
    <row r="54" spans="1:23" s="5" customFormat="1" x14ac:dyDescent="0.4">
      <c r="A54" s="21">
        <v>46301</v>
      </c>
      <c r="B54" s="6" t="s">
        <v>23</v>
      </c>
      <c r="C54" s="5">
        <v>3</v>
      </c>
      <c r="D54" s="8">
        <v>6</v>
      </c>
      <c r="E54" s="53">
        <v>127.5</v>
      </c>
      <c r="F54" s="53">
        <v>77</v>
      </c>
      <c r="G54" s="53">
        <v>32.4</v>
      </c>
      <c r="H54" s="51">
        <v>37</v>
      </c>
      <c r="I54" s="51">
        <v>5</v>
      </c>
      <c r="J54" s="51">
        <v>184</v>
      </c>
      <c r="K54" s="51">
        <v>340</v>
      </c>
      <c r="L54" s="13">
        <v>6326.7</v>
      </c>
      <c r="M54" s="45" t="s">
        <v>40</v>
      </c>
      <c r="N54" s="13">
        <v>157.83000000000001</v>
      </c>
      <c r="O54" s="13">
        <v>46.82</v>
      </c>
      <c r="P54" s="13"/>
      <c r="Q54" s="13"/>
      <c r="R54" s="13">
        <v>108.81349397590363</v>
      </c>
      <c r="S54" s="13">
        <v>28.887284287011809</v>
      </c>
      <c r="T54" s="13">
        <v>179.4265060240964</v>
      </c>
      <c r="U54" s="39">
        <v>66.052715712988203</v>
      </c>
      <c r="V54" s="45">
        <v>34.869999999999997</v>
      </c>
      <c r="W54" s="13">
        <v>0.91397849462365588</v>
      </c>
    </row>
    <row r="55" spans="1:23" x14ac:dyDescent="0.4">
      <c r="A55" s="20">
        <v>46301</v>
      </c>
      <c r="B55" s="2" t="s">
        <v>24</v>
      </c>
      <c r="C55">
        <v>4</v>
      </c>
      <c r="D55" s="7">
        <v>1</v>
      </c>
      <c r="E55" s="52">
        <v>130</v>
      </c>
      <c r="F55" s="52">
        <v>75</v>
      </c>
      <c r="G55" s="52">
        <v>44.1</v>
      </c>
      <c r="H55" s="50">
        <v>48</v>
      </c>
      <c r="I55" s="50">
        <v>10</v>
      </c>
      <c r="J55" s="50">
        <v>148</v>
      </c>
      <c r="K55" s="50">
        <v>326</v>
      </c>
      <c r="L55" s="3"/>
      <c r="M55" s="44" t="s">
        <v>40</v>
      </c>
      <c r="N55" s="3"/>
      <c r="O55" s="3"/>
      <c r="P55" s="3">
        <v>145.66</v>
      </c>
      <c r="Q55" s="3"/>
      <c r="R55" s="3">
        <v>85.325957040572789</v>
      </c>
      <c r="S55" s="3">
        <v>22.282959641255609</v>
      </c>
      <c r="T55" s="3">
        <v>167.51404295942717</v>
      </c>
      <c r="U55" s="38">
        <v>58.297040358744397</v>
      </c>
      <c r="V55" s="44">
        <v>29.51</v>
      </c>
      <c r="W55" s="3">
        <v>0.91346153846153844</v>
      </c>
    </row>
    <row r="56" spans="1:23" x14ac:dyDescent="0.4">
      <c r="A56" s="20">
        <v>46301</v>
      </c>
      <c r="B56" s="2" t="s">
        <v>24</v>
      </c>
      <c r="C56">
        <v>4</v>
      </c>
      <c r="D56" s="7">
        <v>2</v>
      </c>
      <c r="E56" s="52">
        <v>127</v>
      </c>
      <c r="F56" s="52">
        <v>77</v>
      </c>
      <c r="G56" s="52">
        <v>39.5</v>
      </c>
      <c r="H56" s="50">
        <v>49</v>
      </c>
      <c r="I56" s="50">
        <v>9</v>
      </c>
      <c r="J56" s="50">
        <v>163</v>
      </c>
      <c r="K56" s="50">
        <v>334</v>
      </c>
      <c r="L56" s="3"/>
      <c r="M56" s="44" t="s">
        <v>40</v>
      </c>
      <c r="N56" s="3"/>
      <c r="O56" s="3"/>
      <c r="P56" s="3">
        <v>161.61000000000001</v>
      </c>
      <c r="Q56" s="3"/>
      <c r="R56" s="3">
        <v>106.92604685212299</v>
      </c>
      <c r="S56" s="3">
        <v>28.297469135802473</v>
      </c>
      <c r="T56" s="3">
        <v>188.74395314787699</v>
      </c>
      <c r="U56" s="38">
        <v>64.782530864197525</v>
      </c>
      <c r="V56" s="44">
        <v>30.46</v>
      </c>
      <c r="W56" s="3">
        <v>0.90825688073394484</v>
      </c>
    </row>
    <row r="57" spans="1:23" x14ac:dyDescent="0.4">
      <c r="A57" s="20">
        <v>46301</v>
      </c>
      <c r="B57" s="2" t="s">
        <v>24</v>
      </c>
      <c r="C57">
        <v>4</v>
      </c>
      <c r="D57" s="7">
        <v>3</v>
      </c>
      <c r="E57" s="52">
        <v>136.5</v>
      </c>
      <c r="F57" s="52">
        <v>82</v>
      </c>
      <c r="G57" s="52">
        <v>43.2</v>
      </c>
      <c r="H57" s="50"/>
      <c r="I57" s="50"/>
      <c r="J57" s="50">
        <v>74</v>
      </c>
      <c r="K57" s="50">
        <v>141</v>
      </c>
      <c r="L57" s="3">
        <v>2854.99</v>
      </c>
      <c r="M57" s="44" t="s">
        <v>40</v>
      </c>
      <c r="N57" s="3">
        <v>71.36</v>
      </c>
      <c r="O57" s="3">
        <v>19.690000000000001</v>
      </c>
      <c r="P57" s="3">
        <v>109.36</v>
      </c>
      <c r="Q57" s="3">
        <v>32.11</v>
      </c>
      <c r="R57" s="3"/>
      <c r="S57" s="3"/>
      <c r="T57" s="3">
        <v>57.92127889634601</v>
      </c>
      <c r="U57" s="38">
        <v>23.041141011840693</v>
      </c>
      <c r="V57" s="44">
        <v>27.47</v>
      </c>
      <c r="W57" s="3"/>
    </row>
    <row r="58" spans="1:23" x14ac:dyDescent="0.4">
      <c r="A58" s="20">
        <v>46301</v>
      </c>
      <c r="B58" s="2" t="s">
        <v>24</v>
      </c>
      <c r="C58">
        <v>4</v>
      </c>
      <c r="D58" s="7">
        <v>4</v>
      </c>
      <c r="E58" s="52">
        <v>133</v>
      </c>
      <c r="F58" s="52">
        <v>78</v>
      </c>
      <c r="G58" s="52"/>
      <c r="H58" s="50">
        <v>43</v>
      </c>
      <c r="I58" s="50">
        <v>9</v>
      </c>
      <c r="J58" s="50">
        <v>177</v>
      </c>
      <c r="K58" s="50">
        <v>389</v>
      </c>
      <c r="L58" s="3">
        <v>3831.5</v>
      </c>
      <c r="M58" s="44" t="s">
        <v>40</v>
      </c>
      <c r="N58" s="3">
        <v>91.08</v>
      </c>
      <c r="O58" s="3">
        <v>49.64</v>
      </c>
      <c r="P58" s="3">
        <v>145.97</v>
      </c>
      <c r="Q58" s="3">
        <v>47.08</v>
      </c>
      <c r="R58" s="3">
        <v>103.61674475955611</v>
      </c>
      <c r="S58" s="3">
        <v>27.52045790251108</v>
      </c>
      <c r="T58" s="3">
        <v>199.53325524044394</v>
      </c>
      <c r="U58" s="38">
        <v>73.189542097488925</v>
      </c>
      <c r="V58" s="44">
        <v>38.18</v>
      </c>
      <c r="W58" s="3">
        <v>0.90967741935483892</v>
      </c>
    </row>
    <row r="59" spans="1:23" x14ac:dyDescent="0.4">
      <c r="A59" s="20">
        <v>46301</v>
      </c>
      <c r="B59" s="2" t="s">
        <v>24</v>
      </c>
      <c r="C59">
        <v>4</v>
      </c>
      <c r="D59" s="7">
        <v>5</v>
      </c>
      <c r="E59" s="52">
        <v>133</v>
      </c>
      <c r="F59" s="52">
        <v>82</v>
      </c>
      <c r="G59" s="52"/>
      <c r="H59" s="50"/>
      <c r="I59" s="50">
        <v>5</v>
      </c>
      <c r="J59" s="50">
        <v>129</v>
      </c>
      <c r="K59" s="50">
        <v>252</v>
      </c>
      <c r="L59" s="3">
        <v>4544.79</v>
      </c>
      <c r="M59" s="44" t="s">
        <v>40</v>
      </c>
      <c r="N59" s="3">
        <v>109.09</v>
      </c>
      <c r="O59" s="3">
        <v>56.45</v>
      </c>
      <c r="P59" s="3">
        <v>111.66</v>
      </c>
      <c r="Q59" s="3">
        <v>35.19</v>
      </c>
      <c r="R59" s="3">
        <v>85.16947552447553</v>
      </c>
      <c r="S59" s="3">
        <v>23.655230125523016</v>
      </c>
      <c r="T59" s="3">
        <v>151.32052447552445</v>
      </c>
      <c r="U59" s="38">
        <v>52.744769874476994</v>
      </c>
      <c r="V59" s="44"/>
      <c r="W59" s="3">
        <v>0.9194915254237287</v>
      </c>
    </row>
    <row r="60" spans="1:23" s="5" customFormat="1" x14ac:dyDescent="0.4">
      <c r="A60" s="21">
        <v>46301</v>
      </c>
      <c r="B60" s="6" t="s">
        <v>24</v>
      </c>
      <c r="C60" s="5">
        <v>4</v>
      </c>
      <c r="D60" s="8">
        <v>6</v>
      </c>
      <c r="E60" s="53">
        <v>134.5</v>
      </c>
      <c r="F60" s="53">
        <v>80</v>
      </c>
      <c r="G60" s="53">
        <v>37.5</v>
      </c>
      <c r="H60" s="51">
        <v>45</v>
      </c>
      <c r="I60" s="51">
        <v>7</v>
      </c>
      <c r="J60" s="51">
        <v>173</v>
      </c>
      <c r="K60" s="51">
        <v>355</v>
      </c>
      <c r="L60" s="13">
        <v>5510.75</v>
      </c>
      <c r="M60" s="45" t="s">
        <v>40</v>
      </c>
      <c r="N60" s="13">
        <v>137.02000000000001</v>
      </c>
      <c r="O60" s="13">
        <v>56.73</v>
      </c>
      <c r="P60" s="13">
        <v>125.3</v>
      </c>
      <c r="Q60" s="13">
        <v>40.03</v>
      </c>
      <c r="R60" s="13">
        <v>101.65719124544034</v>
      </c>
      <c r="S60" s="13">
        <v>28.342634450506623</v>
      </c>
      <c r="T60" s="13">
        <v>202.44280875455971</v>
      </c>
      <c r="U60" s="39">
        <v>69.937365549493364</v>
      </c>
      <c r="V60" s="45">
        <v>43.21</v>
      </c>
      <c r="W60" s="13">
        <v>0.89694656488549596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대원콩</vt:lpstr>
      <vt:lpstr>260901</vt:lpstr>
      <vt:lpstr>261006</vt:lpstr>
      <vt:lpstr>이상값제거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윤정민</dc:creator>
  <cp:lastModifiedBy>윤정민</cp:lastModifiedBy>
  <dcterms:created xsi:type="dcterms:W3CDTF">2025-08-03T08:35:07Z</dcterms:created>
  <dcterms:modified xsi:type="dcterms:W3CDTF">2026-10-30T05:27:25Z</dcterms:modified>
</cp:coreProperties>
</file>