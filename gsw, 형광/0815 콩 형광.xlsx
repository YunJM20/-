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jbnuackr-my.sharepoint.com/personal/yunjm9802_jbnu_ac_kr/Documents/바탕 화면/연구 과제/밭콩 과제/1차 년도(2026)/gsw, 형광/"/>
    </mc:Choice>
  </mc:AlternateContent>
  <xr:revisionPtr revIDLastSave="23" documentId="11_9E7F43204A287847FC6002D0C094A6B3A12FC120" xr6:coauthVersionLast="47" xr6:coauthVersionMax="47" xr10:uidLastSave="{A0C3B6B0-FF29-4423-A74A-608DC0646728}"/>
  <bookViews>
    <workbookView xWindow="28680" yWindow="-120" windowWidth="29040" windowHeight="15720" activeTab="1" xr2:uid="{00000000-000D-0000-FFFF-FFFF00000000}"/>
  </bookViews>
  <sheets>
    <sheet name="dark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21" i="1" l="1"/>
  <c r="P21" i="1" s="1"/>
  <c r="AF21" i="1"/>
  <c r="U21" i="1"/>
  <c r="M21" i="1" s="1"/>
  <c r="K21" i="1"/>
  <c r="AL20" i="1"/>
  <c r="P20" i="1" s="1"/>
  <c r="AF20" i="1"/>
  <c r="U20" i="1"/>
  <c r="M20" i="1" s="1"/>
  <c r="K20" i="1"/>
  <c r="AL19" i="1"/>
  <c r="AF19" i="1"/>
  <c r="U19" i="1"/>
  <c r="P19" i="1"/>
  <c r="Q19" i="1" s="1"/>
  <c r="M19" i="1"/>
  <c r="K19" i="1"/>
  <c r="AL18" i="1"/>
  <c r="P18" i="1" s="1"/>
  <c r="Q18" i="1" s="1"/>
  <c r="AF18" i="1"/>
  <c r="U18" i="1"/>
  <c r="M18" i="1" s="1"/>
  <c r="K18" i="1"/>
  <c r="AL17" i="1"/>
  <c r="P17" i="1" s="1"/>
  <c r="AF17" i="1"/>
  <c r="U17" i="1"/>
  <c r="M17" i="1" s="1"/>
  <c r="K17" i="1"/>
  <c r="AL16" i="1"/>
  <c r="AF16" i="1"/>
  <c r="U16" i="1"/>
  <c r="P16" i="1"/>
  <c r="Q16" i="1" s="1"/>
  <c r="M16" i="1"/>
  <c r="K16" i="1"/>
  <c r="AL15" i="1"/>
  <c r="P15" i="1" s="1"/>
  <c r="AF15" i="1"/>
  <c r="U15" i="1"/>
  <c r="M15" i="1"/>
  <c r="K15" i="1"/>
  <c r="AL14" i="1"/>
  <c r="AF14" i="1"/>
  <c r="U14" i="1"/>
  <c r="P14" i="1"/>
  <c r="T14" i="1" s="1"/>
  <c r="M14" i="1"/>
  <c r="K14" i="1"/>
  <c r="AL13" i="1"/>
  <c r="P13" i="1" s="1"/>
  <c r="AF13" i="1"/>
  <c r="U13" i="1"/>
  <c r="M13" i="1"/>
  <c r="K13" i="1"/>
  <c r="AL12" i="1"/>
  <c r="P12" i="1" s="1"/>
  <c r="AF12" i="1"/>
  <c r="U12" i="1"/>
  <c r="M12" i="1" s="1"/>
  <c r="K12" i="1"/>
  <c r="AL11" i="1"/>
  <c r="AF11" i="1"/>
  <c r="U11" i="1"/>
  <c r="P11" i="1"/>
  <c r="T11" i="1" s="1"/>
  <c r="M11" i="1"/>
  <c r="K11" i="1"/>
  <c r="AL10" i="1"/>
  <c r="AF10" i="1"/>
  <c r="U10" i="1"/>
  <c r="P10" i="1"/>
  <c r="T10" i="1" s="1"/>
  <c r="M10" i="1"/>
  <c r="L10" i="1" s="1"/>
  <c r="K10" i="1"/>
  <c r="AL9" i="1"/>
  <c r="P9" i="1" s="1"/>
  <c r="AF9" i="1"/>
  <c r="U9" i="1"/>
  <c r="M9" i="1" s="1"/>
  <c r="K9" i="1"/>
  <c r="AL8" i="1"/>
  <c r="AF8" i="1"/>
  <c r="U8" i="1"/>
  <c r="P8" i="1"/>
  <c r="T8" i="1" s="1"/>
  <c r="M8" i="1"/>
  <c r="K8" i="1"/>
  <c r="AL7" i="1"/>
  <c r="P7" i="1" s="1"/>
  <c r="AF7" i="1"/>
  <c r="U7" i="1"/>
  <c r="M7" i="1"/>
  <c r="K7" i="1"/>
  <c r="AL6" i="1"/>
  <c r="P6" i="1" s="1"/>
  <c r="Q6" i="1" s="1"/>
  <c r="AF6" i="1"/>
  <c r="U6" i="1"/>
  <c r="M6" i="1"/>
  <c r="K6" i="1"/>
  <c r="AL5" i="1"/>
  <c r="P5" i="1" s="1"/>
  <c r="AF5" i="1"/>
  <c r="U5" i="1"/>
  <c r="M5" i="1"/>
  <c r="K5" i="1"/>
  <c r="AL4" i="1"/>
  <c r="P4" i="1" s="1"/>
  <c r="AF4" i="1"/>
  <c r="U4" i="1"/>
  <c r="M4" i="1" s="1"/>
  <c r="K4" i="1"/>
  <c r="J10" i="1" l="1"/>
  <c r="L8" i="1"/>
  <c r="J8" i="1" s="1"/>
  <c r="L11" i="1"/>
  <c r="J11" i="1" s="1"/>
  <c r="T20" i="1"/>
  <c r="L20" i="1" s="1"/>
  <c r="J20" i="1" s="1"/>
  <c r="Q20" i="1"/>
  <c r="L12" i="1"/>
  <c r="J12" i="1" s="1"/>
  <c r="T7" i="1"/>
  <c r="L7" i="1" s="1"/>
  <c r="J7" i="1" s="1"/>
  <c r="Q7" i="1"/>
  <c r="L14" i="1"/>
  <c r="J14" i="1" s="1"/>
  <c r="Q17" i="1"/>
  <c r="T17" i="1"/>
  <c r="L17" i="1" s="1"/>
  <c r="J17" i="1" s="1"/>
  <c r="Q15" i="1"/>
  <c r="T15" i="1"/>
  <c r="L15" i="1" s="1"/>
  <c r="J15" i="1" s="1"/>
  <c r="Q5" i="1"/>
  <c r="T5" i="1"/>
  <c r="L5" i="1" s="1"/>
  <c r="J5" i="1" s="1"/>
  <c r="T4" i="1"/>
  <c r="L4" i="1" s="1"/>
  <c r="J4" i="1" s="1"/>
  <c r="Q4" i="1"/>
  <c r="T12" i="1"/>
  <c r="Q12" i="1"/>
  <c r="T21" i="1"/>
  <c r="L21" i="1" s="1"/>
  <c r="J21" i="1" s="1"/>
  <c r="Q21" i="1"/>
  <c r="T9" i="1"/>
  <c r="L9" i="1" s="1"/>
  <c r="J9" i="1" s="1"/>
  <c r="Q9" i="1"/>
  <c r="T13" i="1"/>
  <c r="L13" i="1" s="1"/>
  <c r="J13" i="1" s="1"/>
  <c r="Q13" i="1"/>
  <c r="T6" i="1"/>
  <c r="L6" i="1" s="1"/>
  <c r="J6" i="1" s="1"/>
  <c r="Q14" i="1"/>
  <c r="T19" i="1"/>
  <c r="L19" i="1" s="1"/>
  <c r="J19" i="1" s="1"/>
  <c r="Q8" i="1"/>
  <c r="Q11" i="1"/>
  <c r="Q10" i="1"/>
  <c r="T18" i="1"/>
  <c r="L18" i="1" s="1"/>
  <c r="J18" i="1" s="1"/>
  <c r="T16" i="1"/>
  <c r="L16" i="1" s="1"/>
  <c r="J16" i="1" s="1"/>
</calcChain>
</file>

<file path=xl/sharedStrings.xml><?xml version="1.0" encoding="utf-8"?>
<sst xmlns="http://schemas.openxmlformats.org/spreadsheetml/2006/main" count="2090" uniqueCount="699">
  <si>
    <t>SYS</t>
  </si>
  <si>
    <t>USERDEF</t>
  </si>
  <si>
    <t>PORO</t>
  </si>
  <si>
    <t>FLUORO</t>
  </si>
  <si>
    <t>SENSOR</t>
  </si>
  <si>
    <t>MATCH</t>
  </si>
  <si>
    <t>STABILITY</t>
  </si>
  <si>
    <t>P_CONFIG</t>
  </si>
  <si>
    <t>FL_CONFIG</t>
  </si>
  <si>
    <t>SENSOR_V</t>
  </si>
  <si>
    <t>USERCAL</t>
  </si>
  <si>
    <t>META</t>
  </si>
  <si>
    <t>Obs#</t>
  </si>
  <si>
    <t>Time</t>
  </si>
  <si>
    <t>Date</t>
  </si>
  <si>
    <t>configName</t>
  </si>
  <si>
    <t>configAuthor</t>
  </si>
  <si>
    <t>remark</t>
  </si>
  <si>
    <t>Observation</t>
  </si>
  <si>
    <t/>
  </si>
  <si>
    <t>gsw</t>
  </si>
  <si>
    <t>gbw</t>
  </si>
  <si>
    <t>gtw</t>
  </si>
  <si>
    <t>E_apparent</t>
  </si>
  <si>
    <t>VPcham</t>
  </si>
  <si>
    <t>VPref</t>
  </si>
  <si>
    <t>VPleaf</t>
  </si>
  <si>
    <t>VPDleaf</t>
  </si>
  <si>
    <t>H2O_r</t>
  </si>
  <si>
    <t>H2O_s</t>
  </si>
  <si>
    <t>H2O_leaf</t>
  </si>
  <si>
    <t>leaf_area</t>
  </si>
  <si>
    <t>leaf_width</t>
  </si>
  <si>
    <t>flashID</t>
  </si>
  <si>
    <t>Fo</t>
  </si>
  <si>
    <t>Fm</t>
  </si>
  <si>
    <t>Fv/Fm</t>
  </si>
  <si>
    <t>Fs</t>
  </si>
  <si>
    <t>Fm'</t>
  </si>
  <si>
    <t>PhiPS2</t>
  </si>
  <si>
    <t>PS2/1</t>
  </si>
  <si>
    <t>abs</t>
  </si>
  <si>
    <t>ETR</t>
  </si>
  <si>
    <t>TRANS</t>
  </si>
  <si>
    <t>rh_s</t>
  </si>
  <si>
    <t>rh_r</t>
  </si>
  <si>
    <t>Tref</t>
  </si>
  <si>
    <t>Tmeas</t>
  </si>
  <si>
    <t>Tleaf</t>
  </si>
  <si>
    <t>P_atm</t>
  </si>
  <si>
    <t>flow</t>
  </si>
  <si>
    <t>flow_s</t>
  </si>
  <si>
    <t>leak_pct</t>
  </si>
  <si>
    <t>Qamb</t>
  </si>
  <si>
    <t>batt</t>
  </si>
  <si>
    <t>match_time</t>
  </si>
  <si>
    <t>match_date</t>
  </si>
  <si>
    <t>rh_adj</t>
  </si>
  <si>
    <t>type</t>
  </si>
  <si>
    <t>gsw1sec</t>
  </si>
  <si>
    <t>gsw2sec</t>
  </si>
  <si>
    <t>gsw4sec</t>
  </si>
  <si>
    <t>flr1sec</t>
  </si>
  <si>
    <t>flr2sec</t>
  </si>
  <si>
    <t>flr4sec</t>
  </si>
  <si>
    <t>auto</t>
  </si>
  <si>
    <t>flow_set</t>
  </si>
  <si>
    <t>gsw_limit</t>
  </si>
  <si>
    <t>gsw_period</t>
  </si>
  <si>
    <t>aw</t>
  </si>
  <si>
    <t>Bla</t>
  </si>
  <si>
    <t>Blb</t>
  </si>
  <si>
    <t>Blc</t>
  </si>
  <si>
    <t>Bld</t>
  </si>
  <si>
    <t>Ble</t>
  </si>
  <si>
    <t>chamber</t>
  </si>
  <si>
    <t>dark</t>
  </si>
  <si>
    <t>flash_type</t>
  </si>
  <si>
    <t>flash_intensity</t>
  </si>
  <si>
    <t>modrate</t>
  </si>
  <si>
    <t>flr_limit</t>
  </si>
  <si>
    <t>flr_period</t>
  </si>
  <si>
    <t>P1_dur</t>
  </si>
  <si>
    <t>P2_dur</t>
  </si>
  <si>
    <t>P3_dur</t>
  </si>
  <si>
    <t>P1_Fmax</t>
  </si>
  <si>
    <t>P2_ramp</t>
  </si>
  <si>
    <t>P2_slp</t>
  </si>
  <si>
    <t>P3_Fmax</t>
  </si>
  <si>
    <t>P3_Pred</t>
  </si>
  <si>
    <t>P3_DeltaF</t>
  </si>
  <si>
    <t>v_humA</t>
  </si>
  <si>
    <t>v_humB</t>
  </si>
  <si>
    <t>v_flowIn</t>
  </si>
  <si>
    <t>v_flowOut</t>
  </si>
  <si>
    <t>v_temp</t>
  </si>
  <si>
    <t>v_irt</t>
  </si>
  <si>
    <t>v_pres</t>
  </si>
  <si>
    <t>v_par</t>
  </si>
  <si>
    <t>v_F</t>
  </si>
  <si>
    <t>i_LED</t>
  </si>
  <si>
    <t>b_rhr</t>
  </si>
  <si>
    <t>m_rhr</t>
  </si>
  <si>
    <t>span_rhr</t>
  </si>
  <si>
    <t>b_rhs</t>
  </si>
  <si>
    <t>m_rhs</t>
  </si>
  <si>
    <t>span_rhs</t>
  </si>
  <si>
    <t>z_flowIn</t>
  </si>
  <si>
    <t>z_flowOut</t>
  </si>
  <si>
    <t>z_quantum</t>
  </si>
  <si>
    <t>z_flr</t>
  </si>
  <si>
    <t>flashId</t>
  </si>
  <si>
    <t>lciSerNum</t>
  </si>
  <si>
    <t>lcpSerNum</t>
  </si>
  <si>
    <t>lcfSerNum</t>
  </si>
  <si>
    <t>lcrhSerNum</t>
  </si>
  <si>
    <t>version</t>
  </si>
  <si>
    <t>configUpdatedAt</t>
  </si>
  <si>
    <t>HHMMSS</t>
  </si>
  <si>
    <t>YYYYMMDD</t>
  </si>
  <si>
    <t>mol+1m-2s-1</t>
  </si>
  <si>
    <t>mmol+1m-2s-1</t>
  </si>
  <si>
    <t>kPa</t>
  </si>
  <si>
    <t>mmol+1mol-1</t>
  </si>
  <si>
    <t>cm+2</t>
  </si>
  <si>
    <t>mm</t>
  </si>
  <si>
    <t>umol+1m-2s-1</t>
  </si>
  <si>
    <t>%</t>
  </si>
  <si>
    <t>C</t>
  </si>
  <si>
    <t>umol+1sec-1</t>
  </si>
  <si>
    <t>V</t>
  </si>
  <si>
    <t>(umol+1m-2s-1)s-1</t>
  </si>
  <si>
    <t>s</t>
  </si>
  <si>
    <t>Hz</t>
  </si>
  <si>
    <t>s-1</t>
  </si>
  <si>
    <t>ms</t>
  </si>
  <si>
    <t>A</t>
  </si>
  <si>
    <t>1</t>
  </si>
  <si>
    <t>20:43:57</t>
  </si>
  <si>
    <t>2026-08-15</t>
  </si>
  <si>
    <t>Moon</t>
  </si>
  <si>
    <t>001</t>
  </si>
  <si>
    <t>1.905465</t>
  </si>
  <si>
    <t>1.900617</t>
  </si>
  <si>
    <t>18.941202</t>
  </si>
  <si>
    <t>18.989513</t>
  </si>
  <si>
    <t>7.500000</t>
  </si>
  <si>
    <t>PSF-01106_20260815204357_cc2</t>
  </si>
  <si>
    <t>104.134079</t>
  </si>
  <si>
    <t>601.732483</t>
  </si>
  <si>
    <t>0.826943</t>
  </si>
  <si>
    <t>0.000000</t>
  </si>
  <si>
    <t>0.5</t>
  </si>
  <si>
    <t>0.84</t>
  </si>
  <si>
    <t>1.000000</t>
  </si>
  <si>
    <t>61.79</t>
  </si>
  <si>
    <t>61.64</t>
  </si>
  <si>
    <t>24.49</t>
  </si>
  <si>
    <t>24.76</t>
  </si>
  <si>
    <t>100.34</t>
  </si>
  <si>
    <t>156.0</t>
  </si>
  <si>
    <t>153.7</t>
  </si>
  <si>
    <t>1.5</t>
  </si>
  <si>
    <t>-0</t>
  </si>
  <si>
    <t>3.873</t>
  </si>
  <si>
    <t>20:43:49</t>
  </si>
  <si>
    <t>-1.89</t>
  </si>
  <si>
    <t>-0.016</t>
  </si>
  <si>
    <t>-0.060</t>
  </si>
  <si>
    <t>-9999.000</t>
  </si>
  <si>
    <t>-0.064</t>
  </si>
  <si>
    <t>0.640</t>
  </si>
  <si>
    <t>150</t>
  </si>
  <si>
    <t>-9999.000000</t>
  </si>
  <si>
    <t>0.058905</t>
  </si>
  <si>
    <t>0.029230</t>
  </si>
  <si>
    <t>-0.000068</t>
  </si>
  <si>
    <t>standard</t>
  </si>
  <si>
    <t>rectangular</t>
  </si>
  <si>
    <t>6000</t>
  </si>
  <si>
    <t>5</t>
  </si>
  <si>
    <t>2.000000</t>
  </si>
  <si>
    <t>55537</t>
  </si>
  <si>
    <t>-9999</t>
  </si>
  <si>
    <t>2.521291</t>
  </si>
  <si>
    <t>2.460878</t>
  </si>
  <si>
    <t>1.670263</t>
  </si>
  <si>
    <t>0.938173</t>
  </si>
  <si>
    <t>0.278373</t>
  </si>
  <si>
    <t>0.004156</t>
  </si>
  <si>
    <t>0.056275</t>
  </si>
  <si>
    <t>0.107041</t>
  </si>
  <si>
    <t>0.000223</t>
  </si>
  <si>
    <t>2.422871</t>
  </si>
  <si>
    <t>-0.000027</t>
  </si>
  <si>
    <t>2.366660</t>
  </si>
  <si>
    <t>-0.000011</t>
  </si>
  <si>
    <t>0.600352</t>
  </si>
  <si>
    <t>0.601307</t>
  </si>
  <si>
    <t>0.107059</t>
  </si>
  <si>
    <t>PFA-01006</t>
  </si>
  <si>
    <t>PSA-01011</t>
  </si>
  <si>
    <t>PSF-01106</t>
  </si>
  <si>
    <t>RHS-01988</t>
  </si>
  <si>
    <t>3.0.0</t>
  </si>
  <si>
    <t>2025-07-19T10:24:14.301Z</t>
  </si>
  <si>
    <t>2</t>
  </si>
  <si>
    <t>20:44:13</t>
  </si>
  <si>
    <t>002</t>
  </si>
  <si>
    <t>1.988435</t>
  </si>
  <si>
    <t>1.966458</t>
  </si>
  <si>
    <t>19.597359</t>
  </si>
  <si>
    <t>19.816380</t>
  </si>
  <si>
    <t>PSF-01106_20260815204413_090</t>
  </si>
  <si>
    <t>100.609657</t>
  </si>
  <si>
    <t>608.653320</t>
  </si>
  <si>
    <t>0.834701</t>
  </si>
  <si>
    <t>64.25</t>
  </si>
  <si>
    <t>63.54</t>
  </si>
  <si>
    <t>24.55</t>
  </si>
  <si>
    <t>25.04</t>
  </si>
  <si>
    <t>144.7</t>
  </si>
  <si>
    <t>7.3</t>
  </si>
  <si>
    <t>3.871</t>
  </si>
  <si>
    <t>-0.034</t>
  </si>
  <si>
    <t>-0.124</t>
  </si>
  <si>
    <t>0.040</t>
  </si>
  <si>
    <t>0.535</t>
  </si>
  <si>
    <t>2.523908</t>
  </si>
  <si>
    <t>2.463970</t>
  </si>
  <si>
    <t>1.670011</t>
  </si>
  <si>
    <t>0.915065</t>
  </si>
  <si>
    <t>0.277711</t>
  </si>
  <si>
    <t>0.006766</t>
  </si>
  <si>
    <t>0.058910</t>
  </si>
  <si>
    <t>0.000221</t>
  </si>
  <si>
    <t>3</t>
  </si>
  <si>
    <t>20:44:28</t>
  </si>
  <si>
    <t>003</t>
  </si>
  <si>
    <t>2.064977</t>
  </si>
  <si>
    <t>2.045900</t>
  </si>
  <si>
    <t>20.390034</t>
  </si>
  <si>
    <t>20.580158</t>
  </si>
  <si>
    <t>PSF-01106_20260815204428_52d</t>
  </si>
  <si>
    <t>109.443428</t>
  </si>
  <si>
    <t>644.078125</t>
  </si>
  <si>
    <t>0.830077</t>
  </si>
  <si>
    <t>66.53</t>
  </si>
  <si>
    <t>65.92</t>
  </si>
  <si>
    <t>24.60</t>
  </si>
  <si>
    <t>24.86</t>
  </si>
  <si>
    <t>156.1</t>
  </si>
  <si>
    <t>149.7</t>
  </si>
  <si>
    <t>4.1</t>
  </si>
  <si>
    <t>3.870</t>
  </si>
  <si>
    <t>-0.145</t>
  </si>
  <si>
    <t>0.306</t>
  </si>
  <si>
    <t>0.534</t>
  </si>
  <si>
    <t>2.527156</t>
  </si>
  <si>
    <t>2.466825</t>
  </si>
  <si>
    <t>1.670544</t>
  </si>
  <si>
    <t>0.927756</t>
  </si>
  <si>
    <t>0.277166</t>
  </si>
  <si>
    <t>0.004102</t>
  </si>
  <si>
    <t>0.061258</t>
  </si>
  <si>
    <t>0.107042</t>
  </si>
  <si>
    <t>4</t>
  </si>
  <si>
    <t>20:44:39</t>
  </si>
  <si>
    <t>004</t>
  </si>
  <si>
    <t>2.092243</t>
  </si>
  <si>
    <t>2.070146</t>
  </si>
  <si>
    <t>20.632492</t>
  </si>
  <si>
    <t>20.852726</t>
  </si>
  <si>
    <t>PSF-01106_20260815204439_3ed</t>
  </si>
  <si>
    <t>93.587997</t>
  </si>
  <si>
    <t>609.618896</t>
  </si>
  <si>
    <t>0.846481</t>
  </si>
  <si>
    <t>67.28</t>
  </si>
  <si>
    <t>66.57</t>
  </si>
  <si>
    <t>24.63</t>
  </si>
  <si>
    <t>24.71</t>
  </si>
  <si>
    <t>100.33</t>
  </si>
  <si>
    <t>135.2</t>
  </si>
  <si>
    <t>13.4</t>
  </si>
  <si>
    <t>3.869</t>
  </si>
  <si>
    <t>-0.045</t>
  </si>
  <si>
    <t>-0.167</t>
  </si>
  <si>
    <t>-0.061</t>
  </si>
  <si>
    <t>0.375</t>
  </si>
  <si>
    <t>2.528048</t>
  </si>
  <si>
    <t>2.467763</t>
  </si>
  <si>
    <t>1.670565</t>
  </si>
  <si>
    <t>0.891283</t>
  </si>
  <si>
    <t>0.276818</t>
  </si>
  <si>
    <t>0.001966</t>
  </si>
  <si>
    <t>0.063001</t>
  </si>
  <si>
    <t>0.107036</t>
  </si>
  <si>
    <t>0.000227</t>
  </si>
  <si>
    <t>20:44:54</t>
  </si>
  <si>
    <t>005</t>
  </si>
  <si>
    <t>2.088837</t>
  </si>
  <si>
    <t>2.060569</t>
  </si>
  <si>
    <t>20.536383</t>
  </si>
  <si>
    <t>20.818111</t>
  </si>
  <si>
    <t>PSF-01106_20260815204454_d94</t>
  </si>
  <si>
    <t>100.267769</t>
  </si>
  <si>
    <t>622.976685</t>
  </si>
  <si>
    <t>0.839051</t>
  </si>
  <si>
    <t>66.99</t>
  </si>
  <si>
    <t>66.09</t>
  </si>
  <si>
    <t>24.67</t>
  </si>
  <si>
    <t>24.99</t>
  </si>
  <si>
    <t>148.6</t>
  </si>
  <si>
    <t>4.8</t>
  </si>
  <si>
    <t>-0.043</t>
  </si>
  <si>
    <t>-0.159</t>
  </si>
  <si>
    <t>0.223</t>
  </si>
  <si>
    <t>0.474</t>
  </si>
  <si>
    <t>2.527376</t>
  </si>
  <si>
    <t>2.467394</t>
  </si>
  <si>
    <t>1.670341</t>
  </si>
  <si>
    <t>0.924992</t>
  </si>
  <si>
    <t>0.276326</t>
  </si>
  <si>
    <t>0.004714</t>
  </si>
  <si>
    <t>0.065296</t>
  </si>
  <si>
    <t>6</t>
  </si>
  <si>
    <t>20:45:06</t>
  </si>
  <si>
    <t>006</t>
  </si>
  <si>
    <t>2.091995</t>
  </si>
  <si>
    <t>2.061666</t>
  </si>
  <si>
    <t>20.548286</t>
  </si>
  <si>
    <t>20.850567</t>
  </si>
  <si>
    <t>PSF-01106_20260815204506_cb0</t>
  </si>
  <si>
    <t>108.603355</t>
  </si>
  <si>
    <t>637.353638</t>
  </si>
  <si>
    <t>0.829603</t>
  </si>
  <si>
    <t>66.93</t>
  </si>
  <si>
    <t>65.96</t>
  </si>
  <si>
    <t>24.77</t>
  </si>
  <si>
    <t>155.8</t>
  </si>
  <si>
    <t>153.6</t>
  </si>
  <si>
    <t>3.868</t>
  </si>
  <si>
    <t>-0.052</t>
  </si>
  <si>
    <t>-0.222</t>
  </si>
  <si>
    <t>0.653</t>
  </si>
  <si>
    <t>0.610</t>
  </si>
  <si>
    <t>2.527193</t>
  </si>
  <si>
    <t>2.467307</t>
  </si>
  <si>
    <t>1.668707</t>
  </si>
  <si>
    <t>0.937769</t>
  </si>
  <si>
    <t>0.275873</t>
  </si>
  <si>
    <t>0.001698</t>
  </si>
  <si>
    <t>0.067152</t>
  </si>
  <si>
    <t>0.107040</t>
  </si>
  <si>
    <t>7</t>
  </si>
  <si>
    <t>20:45:19</t>
  </si>
  <si>
    <t>007</t>
  </si>
  <si>
    <t>2.126866</t>
  </si>
  <si>
    <t>2.104014</t>
  </si>
  <si>
    <t>20.968065</t>
  </si>
  <si>
    <t>21.195797</t>
  </si>
  <si>
    <t>PSF-01106_20260815204519_01d</t>
  </si>
  <si>
    <t>96.570610</t>
  </si>
  <si>
    <t>624.015930</t>
  </si>
  <si>
    <t>0.845243</t>
  </si>
  <si>
    <t>67.88</t>
  </si>
  <si>
    <t>67.15</t>
  </si>
  <si>
    <t>24.75</t>
  </si>
  <si>
    <t>147.1</t>
  </si>
  <si>
    <t>5.7</t>
  </si>
  <si>
    <t>-0.047</t>
  </si>
  <si>
    <t>-0.196</t>
  </si>
  <si>
    <t>0.208</t>
  </si>
  <si>
    <t>0.490</t>
  </si>
  <si>
    <t>2.528810</t>
  </si>
  <si>
    <t>2.468487</t>
  </si>
  <si>
    <t>1.669904</t>
  </si>
  <si>
    <t>0.921160</t>
  </si>
  <si>
    <t>0.275412</t>
  </si>
  <si>
    <t>0.004366</t>
  </si>
  <si>
    <t>0.069152</t>
  </si>
  <si>
    <t>8</t>
  </si>
  <si>
    <t>20:45:35</t>
  </si>
  <si>
    <t>008</t>
  </si>
  <si>
    <t>2.150591</t>
  </si>
  <si>
    <t>2.128739</t>
  </si>
  <si>
    <t>21.213457</t>
  </si>
  <si>
    <t>21.431219</t>
  </si>
  <si>
    <t>PSF-01106_20260815204535_e4e</t>
  </si>
  <si>
    <t>105.636833</t>
  </si>
  <si>
    <t>626.868713</t>
  </si>
  <si>
    <t>0.831485</t>
  </si>
  <si>
    <t>68.44</t>
  </si>
  <si>
    <t>67.75</t>
  </si>
  <si>
    <t>24.80</t>
  </si>
  <si>
    <t>24.91</t>
  </si>
  <si>
    <t>100.35</t>
  </si>
  <si>
    <t>145.7</t>
  </si>
  <si>
    <t>6.7</t>
  </si>
  <si>
    <t>-0.037</t>
  </si>
  <si>
    <t>-0.137</t>
  </si>
  <si>
    <t>0.271</t>
  </si>
  <si>
    <t>0.404</t>
  </si>
  <si>
    <t>2.529621</t>
  </si>
  <si>
    <t>2.469190</t>
  </si>
  <si>
    <t>1.671136</t>
  </si>
  <si>
    <t>0.917645</t>
  </si>
  <si>
    <t>0.274901</t>
  </si>
  <si>
    <t>0.002288</t>
  </si>
  <si>
    <t>0.071442</t>
  </si>
  <si>
    <t>0.000228</t>
  </si>
  <si>
    <t>9</t>
  </si>
  <si>
    <t>20:45:49</t>
  </si>
  <si>
    <t>009</t>
  </si>
  <si>
    <t>2.158278</t>
  </si>
  <si>
    <t>2.134649</t>
  </si>
  <si>
    <t>21.271822</t>
  </si>
  <si>
    <t>21.507296</t>
  </si>
  <si>
    <t>PSF-01106_20260815204549_d84</t>
  </si>
  <si>
    <t>109.339714</t>
  </si>
  <si>
    <t>622.945557</t>
  </si>
  <si>
    <t>0.824479</t>
  </si>
  <si>
    <t>68.48</t>
  </si>
  <si>
    <t>67.73</t>
  </si>
  <si>
    <t>24.85</t>
  </si>
  <si>
    <t>25.20</t>
  </si>
  <si>
    <t>147.7</t>
  </si>
  <si>
    <t>5.3</t>
  </si>
  <si>
    <t>3.867</t>
  </si>
  <si>
    <t>-0.182</t>
  </si>
  <si>
    <t>0.356</t>
  </si>
  <si>
    <t>0.449</t>
  </si>
  <si>
    <t>2.529588</t>
  </si>
  <si>
    <t>2.469227</t>
  </si>
  <si>
    <t>1.670085</t>
  </si>
  <si>
    <t>0.922709</t>
  </si>
  <si>
    <t>0.274346</t>
  </si>
  <si>
    <t>0.005027</t>
  </si>
  <si>
    <t>0.073552</t>
  </si>
  <si>
    <t>0.107038</t>
  </si>
  <si>
    <t>0.000219</t>
  </si>
  <si>
    <t>10</t>
  </si>
  <si>
    <t>20:46:21</t>
  </si>
  <si>
    <t>010</t>
  </si>
  <si>
    <t>2.168479</t>
  </si>
  <si>
    <t>2.119321</t>
  </si>
  <si>
    <t>21.121767</t>
  </si>
  <si>
    <t>21.611691</t>
  </si>
  <si>
    <t>PSF-01106_20260815204621_20b</t>
  </si>
  <si>
    <t>96.217987</t>
  </si>
  <si>
    <t>616.317261</t>
  </si>
  <si>
    <t>0.843882</t>
  </si>
  <si>
    <t>68.37</t>
  </si>
  <si>
    <t>66.82</t>
  </si>
  <si>
    <t>24.96</t>
  </si>
  <si>
    <t>25.18</t>
  </si>
  <si>
    <t>155.7</t>
  </si>
  <si>
    <t>149.0</t>
  </si>
  <si>
    <t>4.3</t>
  </si>
  <si>
    <t>3.865</t>
  </si>
  <si>
    <t>-0.224</t>
  </si>
  <si>
    <t>0.344</t>
  </si>
  <si>
    <t>0.407</t>
  </si>
  <si>
    <t>2.528316</t>
  </si>
  <si>
    <t>2.469067</t>
  </si>
  <si>
    <t>1.667136</t>
  </si>
  <si>
    <t>0.926112</t>
  </si>
  <si>
    <t>0.273181</t>
  </si>
  <si>
    <t>0.003536</t>
  </si>
  <si>
    <t>0.078329</t>
  </si>
  <si>
    <t>0.107037</t>
  </si>
  <si>
    <t>11</t>
  </si>
  <si>
    <t>20:46:35</t>
  </si>
  <si>
    <t>011</t>
  </si>
  <si>
    <t>2.171883</t>
  </si>
  <si>
    <t>2.139407</t>
  </si>
  <si>
    <t>21.321735</t>
  </si>
  <si>
    <t>21.645395</t>
  </si>
  <si>
    <t>PSF-01106_20260815204635_e38</t>
  </si>
  <si>
    <t>95.327499</t>
  </si>
  <si>
    <t>617.075806</t>
  </si>
  <si>
    <t>0.845517</t>
  </si>
  <si>
    <t>68.25</t>
  </si>
  <si>
    <t>67.23</t>
  </si>
  <si>
    <t>25.01</t>
  </si>
  <si>
    <t>25.12</t>
  </si>
  <si>
    <t>132.0</t>
  </si>
  <si>
    <t>15.4</t>
  </si>
  <si>
    <t>3.866</t>
  </si>
  <si>
    <t>-0.142</t>
  </si>
  <si>
    <t>0.352</t>
  </si>
  <si>
    <t>0.347</t>
  </si>
  <si>
    <t>2.528875</t>
  </si>
  <si>
    <t>2.468915</t>
  </si>
  <si>
    <t>1.670324</t>
  </si>
  <si>
    <t>0.883440</t>
  </si>
  <si>
    <t>0.272592</t>
  </si>
  <si>
    <t>0.002217</t>
  </si>
  <si>
    <t>0.080306</t>
  </si>
  <si>
    <t>12</t>
  </si>
  <si>
    <t>20:46:48</t>
  </si>
  <si>
    <t>012</t>
  </si>
  <si>
    <t>2.159948</t>
  </si>
  <si>
    <t>2.132767</t>
  </si>
  <si>
    <t>21.254976</t>
  </si>
  <si>
    <t>21.525858</t>
  </si>
  <si>
    <t>PSF-01106_20260815204648_374</t>
  </si>
  <si>
    <t>107.459305</t>
  </si>
  <si>
    <t>631.403442</t>
  </si>
  <si>
    <t>0.829809</t>
  </si>
  <si>
    <t>67.70</t>
  </si>
  <si>
    <t>66.85</t>
  </si>
  <si>
    <t>25.06</t>
  </si>
  <si>
    <t>25.23</t>
  </si>
  <si>
    <t>149.6</t>
  </si>
  <si>
    <t>-0.028</t>
  </si>
  <si>
    <t>-0.122</t>
  </si>
  <si>
    <t>0.273</t>
  </si>
  <si>
    <t>0.492</t>
  </si>
  <si>
    <t>2.528335</t>
  </si>
  <si>
    <t>2.468210</t>
  </si>
  <si>
    <t>1.670234</t>
  </si>
  <si>
    <t>0.927611</t>
  </si>
  <si>
    <t>0.272106</t>
  </si>
  <si>
    <t>0.002992</t>
  </si>
  <si>
    <t>0.082115</t>
  </si>
  <si>
    <t>13</t>
  </si>
  <si>
    <t>20:46:59</t>
  </si>
  <si>
    <t>013</t>
  </si>
  <si>
    <t>2.143609</t>
  </si>
  <si>
    <t>2.123808</t>
  </si>
  <si>
    <t>21.163691</t>
  </si>
  <si>
    <t>21.361006</t>
  </si>
  <si>
    <t>PSF-01106_20260815204659_d3b</t>
  </si>
  <si>
    <t>102.524757</t>
  </si>
  <si>
    <t>622.809265</t>
  </si>
  <si>
    <t>0.835383</t>
  </si>
  <si>
    <t>67.00</t>
  </si>
  <si>
    <t>66.38</t>
  </si>
  <si>
    <t>25.10</t>
  </si>
  <si>
    <t>154.3</t>
  </si>
  <si>
    <t>1.0</t>
  </si>
  <si>
    <t>3.864</t>
  </si>
  <si>
    <t>-0.025</t>
  </si>
  <si>
    <t>-0.147</t>
  </si>
  <si>
    <t>0.175</t>
  </si>
  <si>
    <t>0.665</t>
  </si>
  <si>
    <t>2.527685</t>
  </si>
  <si>
    <t>2.467320</t>
  </si>
  <si>
    <t>1.668546</t>
  </si>
  <si>
    <t>0.939651</t>
  </si>
  <si>
    <t>0.271594</t>
  </si>
  <si>
    <t>0.002087</t>
  </si>
  <si>
    <t>0.083692</t>
  </si>
  <si>
    <t>0.000220</t>
  </si>
  <si>
    <t>14</t>
  </si>
  <si>
    <t>20:47:29</t>
  </si>
  <si>
    <t>014</t>
  </si>
  <si>
    <t>2.190165</t>
  </si>
  <si>
    <t>2.138837</t>
  </si>
  <si>
    <t>21.316589</t>
  </si>
  <si>
    <t>21.828140</t>
  </si>
  <si>
    <t>PSF-01106_20260815204729_4a9</t>
  </si>
  <si>
    <t>115.125061</t>
  </si>
  <si>
    <t>642.828247</t>
  </si>
  <si>
    <t>0.820909</t>
  </si>
  <si>
    <t>68.02</t>
  </si>
  <si>
    <t>66.43</t>
  </si>
  <si>
    <t>25.21</t>
  </si>
  <si>
    <t>155.9</t>
  </si>
  <si>
    <t>153.2</t>
  </si>
  <si>
    <t>1.7</t>
  </si>
  <si>
    <t>3.862</t>
  </si>
  <si>
    <t>-0.068</t>
  </si>
  <si>
    <t>-0.194</t>
  </si>
  <si>
    <t>0.418</t>
  </si>
  <si>
    <t>0.749</t>
  </si>
  <si>
    <t>2.527733</t>
  </si>
  <si>
    <t>2.468592</t>
  </si>
  <si>
    <t>1.669084</t>
  </si>
  <si>
    <t>0.936920</t>
  </si>
  <si>
    <t>0.270455</t>
  </si>
  <si>
    <t>-0.000780</t>
  </si>
  <si>
    <t>0.088028</t>
  </si>
  <si>
    <t>0.107035</t>
  </si>
  <si>
    <t>15</t>
  </si>
  <si>
    <t>20:47:52</t>
  </si>
  <si>
    <t>015</t>
  </si>
  <si>
    <t>2.172450</t>
  </si>
  <si>
    <t>2.136107</t>
  </si>
  <si>
    <t>21.290018</t>
  </si>
  <si>
    <t>21.652235</t>
  </si>
  <si>
    <t>PSF-01106_20260815204752_c42</t>
  </si>
  <si>
    <t>104.001762</t>
  </si>
  <si>
    <t>603.653687</t>
  </si>
  <si>
    <t>0.827713</t>
  </si>
  <si>
    <t>67.12</t>
  </si>
  <si>
    <t>66.00</t>
  </si>
  <si>
    <t>25.30</t>
  </si>
  <si>
    <t>153.8</t>
  </si>
  <si>
    <t>1.4</t>
  </si>
  <si>
    <t>3.861</t>
  </si>
  <si>
    <t>-0.154</t>
  </si>
  <si>
    <t>0.477</t>
  </si>
  <si>
    <t>0.873</t>
  </si>
  <si>
    <t>2.527125</t>
  </si>
  <si>
    <t>2.467443</t>
  </si>
  <si>
    <t>1.670189</t>
  </si>
  <si>
    <t>0.938333</t>
  </si>
  <si>
    <t>0.269509</t>
  </si>
  <si>
    <t>-0.001106</t>
  </si>
  <si>
    <t>0.091342</t>
  </si>
  <si>
    <t>16</t>
  </si>
  <si>
    <t>20:48:06</t>
  </si>
  <si>
    <t>016</t>
  </si>
  <si>
    <t>2.178610</t>
  </si>
  <si>
    <t>2.157423</t>
  </si>
  <si>
    <t>21.503109</t>
  </si>
  <si>
    <t>21.714279</t>
  </si>
  <si>
    <t>PSF-01106_20260815204806_7de</t>
  </si>
  <si>
    <t>120.230194</t>
  </si>
  <si>
    <t>644.262329</t>
  </si>
  <si>
    <t>0.813383</t>
  </si>
  <si>
    <t>67.10</t>
  </si>
  <si>
    <t>66.45</t>
  </si>
  <si>
    <t>25.35</t>
  </si>
  <si>
    <t>25.08</t>
  </si>
  <si>
    <t>156.2</t>
  </si>
  <si>
    <t>148.5</t>
  </si>
  <si>
    <t>4.9</t>
  </si>
  <si>
    <t>3.860</t>
  </si>
  <si>
    <t>-0.030</t>
  </si>
  <si>
    <t>-0.098</t>
  </si>
  <si>
    <t>0.589</t>
  </si>
  <si>
    <t>0.906</t>
  </si>
  <si>
    <t>2.467410</t>
  </si>
  <si>
    <t>1.671542</t>
  </si>
  <si>
    <t>0.924687</t>
  </si>
  <si>
    <t>0.268948</t>
  </si>
  <si>
    <t>-0.002211</t>
  </si>
  <si>
    <t>0.093249</t>
  </si>
  <si>
    <t>17</t>
  </si>
  <si>
    <t>20:48:21</t>
  </si>
  <si>
    <t>017</t>
  </si>
  <si>
    <t>2.205700</t>
  </si>
  <si>
    <t>2.178597</t>
  </si>
  <si>
    <t>21.712635</t>
  </si>
  <si>
    <t>21.982754</t>
  </si>
  <si>
    <t>PSF-01106_20260815204821_1a9</t>
  </si>
  <si>
    <t>101.209763</t>
  </si>
  <si>
    <t>629.778748</t>
  </si>
  <si>
    <t>0.839293</t>
  </si>
  <si>
    <t>66.87</t>
  </si>
  <si>
    <t>25.41</t>
  </si>
  <si>
    <t>152.5</t>
  </si>
  <si>
    <t>2.2</t>
  </si>
  <si>
    <t>-0.187</t>
  </si>
  <si>
    <t>0.436</t>
  </si>
  <si>
    <t>0.726</t>
  </si>
  <si>
    <t>2.528298</t>
  </si>
  <si>
    <t>2.468154</t>
  </si>
  <si>
    <t>1.670356</t>
  </si>
  <si>
    <t>0.935122</t>
  </si>
  <si>
    <t>0.268327</t>
  </si>
  <si>
    <t>-0.002397</t>
  </si>
  <si>
    <t>0.095361</t>
  </si>
  <si>
    <t>18</t>
  </si>
  <si>
    <t>20:48:33</t>
  </si>
  <si>
    <t>018</t>
  </si>
  <si>
    <t>2.221453</t>
  </si>
  <si>
    <t>2.202881</t>
  </si>
  <si>
    <t>21.954929</t>
  </si>
  <si>
    <t>22.140028</t>
  </si>
  <si>
    <t>PSF-01106_20260815204833_411</t>
  </si>
  <si>
    <t>101.857422</t>
  </si>
  <si>
    <t>615.828064</t>
  </si>
  <si>
    <t>0.834601</t>
  </si>
  <si>
    <t>67.99</t>
  </si>
  <si>
    <t>67.43</t>
  </si>
  <si>
    <t>25.46</t>
  </si>
  <si>
    <t>152.4</t>
  </si>
  <si>
    <t>-0.038</t>
  </si>
  <si>
    <t>-0.139</t>
  </si>
  <si>
    <t>0.382</t>
  </si>
  <si>
    <t>0.661</t>
  </si>
  <si>
    <t>2.529046</t>
  </si>
  <si>
    <t>2.468510</t>
  </si>
  <si>
    <t>1.669035</t>
  </si>
  <si>
    <t>0.934902</t>
  </si>
  <si>
    <t>0.267816</t>
  </si>
  <si>
    <t>-0.001965</t>
  </si>
  <si>
    <t>0.097024</t>
  </si>
  <si>
    <t>Fo</t>
    <phoneticPr fontId="1" type="noConversion"/>
  </si>
  <si>
    <t>Fm</t>
    <phoneticPr fontId="1" type="noConversion"/>
  </si>
  <si>
    <t>Fv/Fm</t>
    <phoneticPr fontId="1" type="noConversion"/>
  </si>
  <si>
    <t>처리</t>
    <phoneticPr fontId="1" type="noConversion"/>
  </si>
  <si>
    <t>처리_</t>
    <phoneticPr fontId="1" type="noConversion"/>
  </si>
  <si>
    <t>ETc</t>
    <phoneticPr fontId="1" type="noConversion"/>
  </si>
  <si>
    <t>침수 ETc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</si>
</sst>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0" xfId="0" applyBorder="1"/>
    <xf numFmtId="0" fontId="0" fillId="0" borderId="0" xfId="0" applyNumberFormat="1" applyBorder="1"/>
    <xf numFmtId="0" fontId="0" fillId="0" borderId="8" xfId="0" applyNumberFormat="1" applyBorder="1"/>
    <xf numFmtId="0" fontId="0" fillId="0" borderId="7" xfId="0" applyNumberFormat="1" applyBorder="1"/>
    <xf numFmtId="0" fontId="0" fillId="0" borderId="9" xfId="0" applyNumberFormat="1" applyBorder="1"/>
    <xf numFmtId="0" fontId="0" fillId="2" borderId="10" xfId="0" applyFill="1" applyBorder="1"/>
    <xf numFmtId="0" fontId="0" fillId="0" borderId="5" xfId="0" applyNumberFormat="1" applyBorder="1"/>
    <xf numFmtId="0" fontId="0" fillId="0" borderId="11" xfId="0" applyNumberFormat="1" applyBorder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C21"/>
  <sheetViews>
    <sheetView workbookViewId="0">
      <selection activeCell="X4" sqref="X4:Z21"/>
    </sheetView>
  </sheetViews>
  <sheetFormatPr defaultRowHeight="19.2" x14ac:dyDescent="0.45"/>
  <sheetData>
    <row r="1" spans="1:107" x14ac:dyDescent="0.45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1</v>
      </c>
      <c r="G1" t="s">
        <v>1</v>
      </c>
      <c r="H1" t="s">
        <v>1</v>
      </c>
      <c r="I1" t="s">
        <v>1</v>
      </c>
      <c r="J1" t="s">
        <v>2</v>
      </c>
      <c r="K1" t="s">
        <v>2</v>
      </c>
      <c r="L1" t="s">
        <v>2</v>
      </c>
      <c r="M1" t="s">
        <v>2</v>
      </c>
      <c r="N1" t="s">
        <v>2</v>
      </c>
      <c r="O1" t="s">
        <v>2</v>
      </c>
      <c r="P1" t="s">
        <v>2</v>
      </c>
      <c r="Q1" t="s">
        <v>2</v>
      </c>
      <c r="R1" t="s">
        <v>2</v>
      </c>
      <c r="S1" t="s">
        <v>2</v>
      </c>
      <c r="T1" t="s">
        <v>2</v>
      </c>
      <c r="U1" t="s">
        <v>2</v>
      </c>
      <c r="V1" t="s">
        <v>2</v>
      </c>
      <c r="W1" t="s">
        <v>3</v>
      </c>
      <c r="X1" t="s">
        <v>3</v>
      </c>
      <c r="Y1" t="s">
        <v>3</v>
      </c>
      <c r="Z1" t="s">
        <v>3</v>
      </c>
      <c r="AA1" t="s">
        <v>3</v>
      </c>
      <c r="AB1" t="s">
        <v>3</v>
      </c>
      <c r="AC1" t="s">
        <v>3</v>
      </c>
      <c r="AD1" t="s">
        <v>3</v>
      </c>
      <c r="AE1" t="s">
        <v>3</v>
      </c>
      <c r="AF1" t="s">
        <v>3</v>
      </c>
      <c r="AG1" t="s">
        <v>3</v>
      </c>
      <c r="AH1" t="s">
        <v>4</v>
      </c>
      <c r="AI1" t="s">
        <v>4</v>
      </c>
      <c r="AJ1" t="s">
        <v>4</v>
      </c>
      <c r="AK1" t="s">
        <v>4</v>
      </c>
      <c r="AL1" t="s">
        <v>4</v>
      </c>
      <c r="AM1" t="s">
        <v>4</v>
      </c>
      <c r="AN1" t="s">
        <v>4</v>
      </c>
      <c r="AO1" t="s">
        <v>4</v>
      </c>
      <c r="AP1" t="s">
        <v>4</v>
      </c>
      <c r="AQ1" t="s">
        <v>4</v>
      </c>
      <c r="AR1" t="s">
        <v>4</v>
      </c>
      <c r="AS1" t="s">
        <v>5</v>
      </c>
      <c r="AT1" t="s">
        <v>5</v>
      </c>
      <c r="AU1" t="s">
        <v>5</v>
      </c>
      <c r="AV1" t="s">
        <v>5</v>
      </c>
      <c r="AW1" t="s">
        <v>6</v>
      </c>
      <c r="AX1" t="s">
        <v>6</v>
      </c>
      <c r="AY1" t="s">
        <v>6</v>
      </c>
      <c r="AZ1" t="s">
        <v>6</v>
      </c>
      <c r="BA1" t="s">
        <v>6</v>
      </c>
      <c r="BB1" t="s">
        <v>6</v>
      </c>
      <c r="BC1" t="s">
        <v>7</v>
      </c>
      <c r="BD1" t="s">
        <v>7</v>
      </c>
      <c r="BE1" t="s">
        <v>7</v>
      </c>
      <c r="BF1" t="s">
        <v>7</v>
      </c>
      <c r="BG1" t="s">
        <v>7</v>
      </c>
      <c r="BH1" t="s">
        <v>7</v>
      </c>
      <c r="BI1" t="s">
        <v>7</v>
      </c>
      <c r="BJ1" t="s">
        <v>7</v>
      </c>
      <c r="BK1" t="s">
        <v>7</v>
      </c>
      <c r="BL1" t="s">
        <v>7</v>
      </c>
      <c r="BM1" t="s">
        <v>7</v>
      </c>
      <c r="BN1" t="s">
        <v>8</v>
      </c>
      <c r="BO1" t="s">
        <v>8</v>
      </c>
      <c r="BP1" t="s">
        <v>8</v>
      </c>
      <c r="BQ1" t="s">
        <v>8</v>
      </c>
      <c r="BR1" t="s">
        <v>8</v>
      </c>
      <c r="BS1" t="s">
        <v>8</v>
      </c>
      <c r="BT1" t="s">
        <v>8</v>
      </c>
      <c r="BU1" t="s">
        <v>8</v>
      </c>
      <c r="BV1" t="s">
        <v>8</v>
      </c>
      <c r="BW1" t="s">
        <v>8</v>
      </c>
      <c r="BX1" t="s">
        <v>8</v>
      </c>
      <c r="BY1" t="s">
        <v>8</v>
      </c>
      <c r="BZ1" t="s">
        <v>8</v>
      </c>
      <c r="CA1" t="s">
        <v>8</v>
      </c>
      <c r="CB1" t="s">
        <v>8</v>
      </c>
      <c r="CC1" t="s">
        <v>9</v>
      </c>
      <c r="CD1" t="s">
        <v>9</v>
      </c>
      <c r="CE1" t="s">
        <v>9</v>
      </c>
      <c r="CF1" t="s">
        <v>9</v>
      </c>
      <c r="CG1" t="s">
        <v>9</v>
      </c>
      <c r="CH1" t="s">
        <v>9</v>
      </c>
      <c r="CI1" t="s">
        <v>9</v>
      </c>
      <c r="CJ1" t="s">
        <v>9</v>
      </c>
      <c r="CK1" t="s">
        <v>9</v>
      </c>
      <c r="CL1" t="s">
        <v>9</v>
      </c>
      <c r="CM1" t="s">
        <v>10</v>
      </c>
      <c r="CN1" t="s">
        <v>10</v>
      </c>
      <c r="CO1" t="s">
        <v>10</v>
      </c>
      <c r="CP1" t="s">
        <v>10</v>
      </c>
      <c r="CQ1" t="s">
        <v>10</v>
      </c>
      <c r="CR1" t="s">
        <v>10</v>
      </c>
      <c r="CS1" t="s">
        <v>10</v>
      </c>
      <c r="CT1" t="s">
        <v>10</v>
      </c>
      <c r="CU1" t="s">
        <v>10</v>
      </c>
      <c r="CV1" t="s">
        <v>10</v>
      </c>
      <c r="CW1" t="s">
        <v>11</v>
      </c>
      <c r="CX1" t="s">
        <v>11</v>
      </c>
      <c r="CY1" t="s">
        <v>11</v>
      </c>
      <c r="CZ1" t="s">
        <v>11</v>
      </c>
      <c r="DA1" t="s">
        <v>11</v>
      </c>
      <c r="DB1" t="s">
        <v>11</v>
      </c>
      <c r="DC1" t="s">
        <v>11</v>
      </c>
    </row>
    <row r="2" spans="1:107" x14ac:dyDescent="0.4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  <c r="O2" t="s">
        <v>25</v>
      </c>
      <c r="P2" t="s">
        <v>26</v>
      </c>
      <c r="Q2" t="s">
        <v>27</v>
      </c>
      <c r="R2" t="s">
        <v>28</v>
      </c>
      <c r="S2" t="s">
        <v>29</v>
      </c>
      <c r="T2" t="s">
        <v>30</v>
      </c>
      <c r="U2" t="s">
        <v>31</v>
      </c>
      <c r="V2" t="s">
        <v>32</v>
      </c>
      <c r="W2" t="s">
        <v>33</v>
      </c>
      <c r="X2" t="s">
        <v>34</v>
      </c>
      <c r="Y2" t="s">
        <v>35</v>
      </c>
      <c r="Z2" t="s">
        <v>36</v>
      </c>
      <c r="AA2" t="s">
        <v>37</v>
      </c>
      <c r="AB2" t="s">
        <v>38</v>
      </c>
      <c r="AC2" t="s">
        <v>39</v>
      </c>
      <c r="AD2" t="s">
        <v>40</v>
      </c>
      <c r="AE2" t="s">
        <v>41</v>
      </c>
      <c r="AF2" t="s">
        <v>42</v>
      </c>
      <c r="AG2" t="s">
        <v>43</v>
      </c>
      <c r="AH2" t="s">
        <v>44</v>
      </c>
      <c r="AI2" t="s">
        <v>45</v>
      </c>
      <c r="AJ2" t="s">
        <v>46</v>
      </c>
      <c r="AK2" t="s">
        <v>47</v>
      </c>
      <c r="AL2" t="s">
        <v>48</v>
      </c>
      <c r="AM2" t="s">
        <v>49</v>
      </c>
      <c r="AN2" t="s">
        <v>50</v>
      </c>
      <c r="AO2" t="s">
        <v>51</v>
      </c>
      <c r="AP2" t="s">
        <v>52</v>
      </c>
      <c r="AQ2" t="s">
        <v>53</v>
      </c>
      <c r="AR2" t="s">
        <v>54</v>
      </c>
      <c r="AS2" t="s">
        <v>55</v>
      </c>
      <c r="AT2" t="s">
        <v>56</v>
      </c>
      <c r="AU2" t="s">
        <v>57</v>
      </c>
      <c r="AV2" t="s">
        <v>58</v>
      </c>
      <c r="AW2" t="s">
        <v>59</v>
      </c>
      <c r="AX2" t="s">
        <v>60</v>
      </c>
      <c r="AY2" t="s">
        <v>61</v>
      </c>
      <c r="AZ2" t="s">
        <v>62</v>
      </c>
      <c r="BA2" t="s">
        <v>63</v>
      </c>
      <c r="BB2" t="s">
        <v>64</v>
      </c>
      <c r="BC2" t="s">
        <v>65</v>
      </c>
      <c r="BD2" t="s">
        <v>66</v>
      </c>
      <c r="BE2" t="s">
        <v>67</v>
      </c>
      <c r="BF2" t="s">
        <v>68</v>
      </c>
      <c r="BG2" t="s">
        <v>69</v>
      </c>
      <c r="BH2" t="s">
        <v>70</v>
      </c>
      <c r="BI2" t="s">
        <v>71</v>
      </c>
      <c r="BJ2" t="s">
        <v>72</v>
      </c>
      <c r="BK2" t="s">
        <v>73</v>
      </c>
      <c r="BL2" t="s">
        <v>74</v>
      </c>
      <c r="BM2" t="s">
        <v>75</v>
      </c>
      <c r="BN2" t="s">
        <v>76</v>
      </c>
      <c r="BO2" t="s">
        <v>77</v>
      </c>
      <c r="BP2" t="s">
        <v>78</v>
      </c>
      <c r="BQ2" t="s">
        <v>79</v>
      </c>
      <c r="BR2" t="s">
        <v>80</v>
      </c>
      <c r="BS2" t="s">
        <v>81</v>
      </c>
      <c r="BT2" t="s">
        <v>82</v>
      </c>
      <c r="BU2" t="s">
        <v>83</v>
      </c>
      <c r="BV2" t="s">
        <v>84</v>
      </c>
      <c r="BW2" t="s">
        <v>85</v>
      </c>
      <c r="BX2" t="s">
        <v>86</v>
      </c>
      <c r="BY2" t="s">
        <v>87</v>
      </c>
      <c r="BZ2" t="s">
        <v>88</v>
      </c>
      <c r="CA2" t="s">
        <v>89</v>
      </c>
      <c r="CB2" t="s">
        <v>90</v>
      </c>
      <c r="CC2" t="s">
        <v>91</v>
      </c>
      <c r="CD2" t="s">
        <v>92</v>
      </c>
      <c r="CE2" t="s">
        <v>93</v>
      </c>
      <c r="CF2" t="s">
        <v>94</v>
      </c>
      <c r="CG2" t="s">
        <v>95</v>
      </c>
      <c r="CH2" t="s">
        <v>96</v>
      </c>
      <c r="CI2" t="s">
        <v>97</v>
      </c>
      <c r="CJ2" t="s">
        <v>98</v>
      </c>
      <c r="CK2" t="s">
        <v>99</v>
      </c>
      <c r="CL2" t="s">
        <v>100</v>
      </c>
      <c r="CM2" t="s">
        <v>101</v>
      </c>
      <c r="CN2" t="s">
        <v>102</v>
      </c>
      <c r="CO2" t="s">
        <v>103</v>
      </c>
      <c r="CP2" t="s">
        <v>104</v>
      </c>
      <c r="CQ2" t="s">
        <v>105</v>
      </c>
      <c r="CR2" t="s">
        <v>106</v>
      </c>
      <c r="CS2" t="s">
        <v>107</v>
      </c>
      <c r="CT2" t="s">
        <v>108</v>
      </c>
      <c r="CU2" t="s">
        <v>109</v>
      </c>
      <c r="CV2" t="s">
        <v>110</v>
      </c>
      <c r="CW2" t="s">
        <v>111</v>
      </c>
      <c r="CX2" t="s">
        <v>112</v>
      </c>
      <c r="CY2" t="s">
        <v>113</v>
      </c>
      <c r="CZ2" t="s">
        <v>114</v>
      </c>
      <c r="DA2" t="s">
        <v>115</v>
      </c>
      <c r="DB2" t="s">
        <v>116</v>
      </c>
      <c r="DC2" t="s">
        <v>117</v>
      </c>
    </row>
    <row r="3" spans="1:107" x14ac:dyDescent="0.45">
      <c r="A3" t="s">
        <v>19</v>
      </c>
      <c r="B3" t="s">
        <v>118</v>
      </c>
      <c r="C3" t="s">
        <v>119</v>
      </c>
      <c r="D3" t="s">
        <v>19</v>
      </c>
      <c r="E3" t="s">
        <v>19</v>
      </c>
      <c r="F3" t="s">
        <v>19</v>
      </c>
      <c r="G3" t="s">
        <v>19</v>
      </c>
      <c r="H3" t="s">
        <v>19</v>
      </c>
      <c r="I3" t="s">
        <v>19</v>
      </c>
      <c r="J3" t="s">
        <v>120</v>
      </c>
      <c r="K3" t="s">
        <v>120</v>
      </c>
      <c r="L3" t="s">
        <v>120</v>
      </c>
      <c r="M3" t="s">
        <v>121</v>
      </c>
      <c r="N3" t="s">
        <v>122</v>
      </c>
      <c r="O3" t="s">
        <v>122</v>
      </c>
      <c r="P3" t="s">
        <v>122</v>
      </c>
      <c r="Q3" t="s">
        <v>122</v>
      </c>
      <c r="R3" t="s">
        <v>123</v>
      </c>
      <c r="S3" t="s">
        <v>123</v>
      </c>
      <c r="T3" t="s">
        <v>123</v>
      </c>
      <c r="U3" t="s">
        <v>124</v>
      </c>
      <c r="V3" t="s">
        <v>125</v>
      </c>
      <c r="W3" t="s">
        <v>19</v>
      </c>
      <c r="X3" t="s">
        <v>19</v>
      </c>
      <c r="Y3" t="s">
        <v>19</v>
      </c>
      <c r="Z3" t="s">
        <v>19</v>
      </c>
      <c r="AA3" t="s">
        <v>19</v>
      </c>
      <c r="AB3" t="s">
        <v>19</v>
      </c>
      <c r="AC3" t="s">
        <v>19</v>
      </c>
      <c r="AD3" t="s">
        <v>19</v>
      </c>
      <c r="AE3" t="s">
        <v>19</v>
      </c>
      <c r="AF3" t="s">
        <v>126</v>
      </c>
      <c r="AG3" t="s">
        <v>19</v>
      </c>
      <c r="AH3" t="s">
        <v>127</v>
      </c>
      <c r="AI3" t="s">
        <v>127</v>
      </c>
      <c r="AJ3" t="s">
        <v>128</v>
      </c>
      <c r="AK3" t="s">
        <v>128</v>
      </c>
      <c r="AL3" t="s">
        <v>128</v>
      </c>
      <c r="AM3" t="s">
        <v>122</v>
      </c>
      <c r="AN3" t="s">
        <v>129</v>
      </c>
      <c r="AO3" t="s">
        <v>129</v>
      </c>
      <c r="AP3" t="s">
        <v>127</v>
      </c>
      <c r="AQ3" t="s">
        <v>126</v>
      </c>
      <c r="AR3" t="s">
        <v>130</v>
      </c>
      <c r="AS3" t="s">
        <v>118</v>
      </c>
      <c r="AT3" t="s">
        <v>119</v>
      </c>
      <c r="AU3" t="s">
        <v>127</v>
      </c>
      <c r="AV3" t="s">
        <v>19</v>
      </c>
      <c r="AW3" t="s">
        <v>19</v>
      </c>
      <c r="AX3" t="s">
        <v>19</v>
      </c>
      <c r="AY3" t="s">
        <v>19</v>
      </c>
      <c r="AZ3" t="s">
        <v>19</v>
      </c>
      <c r="BA3" t="s">
        <v>19</v>
      </c>
      <c r="BB3" t="s">
        <v>19</v>
      </c>
      <c r="BC3" t="s">
        <v>19</v>
      </c>
      <c r="BD3" t="s">
        <v>129</v>
      </c>
      <c r="BE3" t="s">
        <v>131</v>
      </c>
      <c r="BF3" t="s">
        <v>132</v>
      </c>
      <c r="BG3" t="s">
        <v>19</v>
      </c>
      <c r="BH3" t="s">
        <v>19</v>
      </c>
      <c r="BI3" t="s">
        <v>19</v>
      </c>
      <c r="BJ3" t="s">
        <v>19</v>
      </c>
      <c r="BK3" t="s">
        <v>19</v>
      </c>
      <c r="BL3" t="s">
        <v>19</v>
      </c>
      <c r="BM3" t="s">
        <v>19</v>
      </c>
      <c r="BN3" t="s">
        <v>19</v>
      </c>
      <c r="BO3" t="s">
        <v>19</v>
      </c>
      <c r="BP3" t="s">
        <v>126</v>
      </c>
      <c r="BQ3" t="s">
        <v>133</v>
      </c>
      <c r="BR3" t="s">
        <v>134</v>
      </c>
      <c r="BS3" t="s">
        <v>132</v>
      </c>
      <c r="BT3" t="s">
        <v>135</v>
      </c>
      <c r="BU3" t="s">
        <v>135</v>
      </c>
      <c r="BV3" t="s">
        <v>135</v>
      </c>
      <c r="BW3" t="s">
        <v>19</v>
      </c>
      <c r="BX3" t="s">
        <v>127</v>
      </c>
      <c r="BY3" t="s">
        <v>19</v>
      </c>
      <c r="BZ3" t="s">
        <v>19</v>
      </c>
      <c r="CA3" t="s">
        <v>19</v>
      </c>
      <c r="CB3" t="s">
        <v>19</v>
      </c>
      <c r="CC3" t="s">
        <v>130</v>
      </c>
      <c r="CD3" t="s">
        <v>130</v>
      </c>
      <c r="CE3" t="s">
        <v>130</v>
      </c>
      <c r="CF3" t="s">
        <v>130</v>
      </c>
      <c r="CG3" t="s">
        <v>130</v>
      </c>
      <c r="CH3" t="s">
        <v>130</v>
      </c>
      <c r="CI3" t="s">
        <v>130</v>
      </c>
      <c r="CJ3" t="s">
        <v>130</v>
      </c>
      <c r="CK3" t="s">
        <v>130</v>
      </c>
      <c r="CL3" t="s">
        <v>136</v>
      </c>
      <c r="CM3" t="s">
        <v>19</v>
      </c>
      <c r="CN3" t="s">
        <v>19</v>
      </c>
      <c r="CO3" t="s">
        <v>19</v>
      </c>
      <c r="CP3" t="s">
        <v>19</v>
      </c>
      <c r="CQ3" t="s">
        <v>19</v>
      </c>
      <c r="CR3" t="s">
        <v>19</v>
      </c>
      <c r="CS3" t="s">
        <v>19</v>
      </c>
      <c r="CT3" t="s">
        <v>19</v>
      </c>
      <c r="CU3" t="s">
        <v>19</v>
      </c>
      <c r="CV3" t="s">
        <v>19</v>
      </c>
      <c r="CW3" t="s">
        <v>19</v>
      </c>
      <c r="CX3" t="s">
        <v>19</v>
      </c>
      <c r="CY3" t="s">
        <v>19</v>
      </c>
      <c r="CZ3" t="s">
        <v>19</v>
      </c>
      <c r="DA3" t="s">
        <v>19</v>
      </c>
      <c r="DB3" t="s">
        <v>19</v>
      </c>
      <c r="DC3" t="s">
        <v>19</v>
      </c>
    </row>
    <row r="4" spans="1:107" x14ac:dyDescent="0.45">
      <c r="A4" t="s">
        <v>137</v>
      </c>
      <c r="B4" t="s">
        <v>138</v>
      </c>
      <c r="C4" t="s">
        <v>139</v>
      </c>
      <c r="D4" t="s">
        <v>76</v>
      </c>
      <c r="E4" t="s">
        <v>140</v>
      </c>
      <c r="F4" t="s">
        <v>19</v>
      </c>
      <c r="G4" t="s">
        <v>141</v>
      </c>
      <c r="H4" t="s">
        <v>19</v>
      </c>
      <c r="I4" t="s">
        <v>19</v>
      </c>
      <c r="J4">
        <f t="shared" ref="J4:J21" si="0">1/((1/L4)-(1/K4))</f>
        <v>1.3906364469406268E-2</v>
      </c>
      <c r="K4">
        <f t="shared" ref="K4:K21" si="1">BH4+(BI4*AN4)+(BJ4*AN4*POWER(V4,2))+(BK4*AN4*V4)+(BL4*POWER(AN4,2))</f>
        <v>2.9050319999999994</v>
      </c>
      <c r="L4">
        <f t="shared" ref="L4:L21" si="2">((M4/1000)*(1000-((T4+S4)/2)))/(T4-S4)</f>
        <v>1.3840111966403824E-2</v>
      </c>
      <c r="M4">
        <f t="shared" ref="M4:M21" si="3">(AN4*(S4-R4))/(100*U4*(1000-S4))*1000</f>
        <v>0.17389358129641838</v>
      </c>
      <c r="N4" t="s">
        <v>142</v>
      </c>
      <c r="O4" t="s">
        <v>143</v>
      </c>
      <c r="P4">
        <f t="shared" ref="P4:P21" si="4">0.61365*EXP((17.502*AL4)/(240.97+AL4))</f>
        <v>3.1344643551402283</v>
      </c>
      <c r="Q4">
        <f t="shared" ref="Q4:Q21" si="5">P4-N4</f>
        <v>1.2289993551402283</v>
      </c>
      <c r="R4" t="s">
        <v>144</v>
      </c>
      <c r="S4" t="s">
        <v>145</v>
      </c>
      <c r="T4">
        <f t="shared" ref="T4:T21" si="6">(P4/AM4)*1000</f>
        <v>31.238432879611601</v>
      </c>
      <c r="U4">
        <f t="shared" ref="U4:U21" si="7">V4*BG4</f>
        <v>0.4417875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151</v>
      </c>
      <c r="AC4" t="s">
        <v>151</v>
      </c>
      <c r="AD4" t="s">
        <v>152</v>
      </c>
      <c r="AE4" t="s">
        <v>153</v>
      </c>
      <c r="AF4">
        <f t="shared" ref="AF4:AF21" si="8">AC4*AD4*AE4*AQ4</f>
        <v>0</v>
      </c>
      <c r="AG4" t="s">
        <v>154</v>
      </c>
      <c r="AH4" t="s">
        <v>155</v>
      </c>
      <c r="AI4" t="s">
        <v>156</v>
      </c>
      <c r="AJ4" t="s">
        <v>157</v>
      </c>
      <c r="AK4" t="s">
        <v>158</v>
      </c>
      <c r="AL4">
        <f t="shared" ref="AL4:AL21" si="9">(AK4-AJ4)*(AJ4*0+0)+AK4</f>
        <v>24.76</v>
      </c>
      <c r="AM4" t="s">
        <v>159</v>
      </c>
      <c r="AN4" t="s">
        <v>160</v>
      </c>
      <c r="AO4" t="s">
        <v>161</v>
      </c>
      <c r="AP4" t="s">
        <v>162</v>
      </c>
      <c r="AQ4" t="s">
        <v>163</v>
      </c>
      <c r="AR4" t="s">
        <v>164</v>
      </c>
      <c r="AS4" t="s">
        <v>165</v>
      </c>
      <c r="AT4" t="s">
        <v>139</v>
      </c>
      <c r="AU4" t="s">
        <v>166</v>
      </c>
      <c r="AV4" t="s">
        <v>137</v>
      </c>
      <c r="AW4" t="s">
        <v>167</v>
      </c>
      <c r="AX4" t="s">
        <v>168</v>
      </c>
      <c r="AY4" t="s">
        <v>169</v>
      </c>
      <c r="AZ4" t="s">
        <v>170</v>
      </c>
      <c r="BA4" t="s">
        <v>171</v>
      </c>
      <c r="BB4" t="s">
        <v>169</v>
      </c>
      <c r="BC4" t="s">
        <v>137</v>
      </c>
      <c r="BD4" t="s">
        <v>172</v>
      </c>
      <c r="BE4" t="s">
        <v>169</v>
      </c>
      <c r="BF4" t="s">
        <v>173</v>
      </c>
      <c r="BG4" t="s">
        <v>174</v>
      </c>
      <c r="BH4" t="s">
        <v>151</v>
      </c>
      <c r="BI4" t="s">
        <v>175</v>
      </c>
      <c r="BJ4" t="s">
        <v>151</v>
      </c>
      <c r="BK4" t="s">
        <v>151</v>
      </c>
      <c r="BL4" t="s">
        <v>176</v>
      </c>
      <c r="BM4" t="s">
        <v>177</v>
      </c>
      <c r="BN4" t="s">
        <v>137</v>
      </c>
      <c r="BO4" t="s">
        <v>178</v>
      </c>
      <c r="BP4" t="s">
        <v>179</v>
      </c>
      <c r="BQ4" t="s">
        <v>180</v>
      </c>
      <c r="BR4" t="s">
        <v>154</v>
      </c>
      <c r="BS4" t="s">
        <v>181</v>
      </c>
      <c r="BT4" t="s">
        <v>182</v>
      </c>
      <c r="BU4" t="s">
        <v>182</v>
      </c>
      <c r="BV4" t="s">
        <v>182</v>
      </c>
      <c r="BW4" t="s">
        <v>151</v>
      </c>
      <c r="BX4" t="s">
        <v>183</v>
      </c>
      <c r="BY4" t="s">
        <v>151</v>
      </c>
      <c r="BZ4" t="s">
        <v>151</v>
      </c>
      <c r="CA4" t="s">
        <v>151</v>
      </c>
      <c r="CB4" t="s">
        <v>151</v>
      </c>
      <c r="CC4" t="s">
        <v>184</v>
      </c>
      <c r="CD4" t="s">
        <v>185</v>
      </c>
      <c r="CE4" t="s">
        <v>186</v>
      </c>
      <c r="CF4" t="s">
        <v>187</v>
      </c>
      <c r="CG4" t="s">
        <v>188</v>
      </c>
      <c r="CH4" t="s">
        <v>189</v>
      </c>
      <c r="CI4" t="s">
        <v>190</v>
      </c>
      <c r="CJ4" t="s">
        <v>191</v>
      </c>
      <c r="CK4" t="s">
        <v>148</v>
      </c>
      <c r="CL4" t="s">
        <v>192</v>
      </c>
      <c r="CM4" t="s">
        <v>193</v>
      </c>
      <c r="CN4" t="s">
        <v>194</v>
      </c>
      <c r="CO4" t="s">
        <v>154</v>
      </c>
      <c r="CP4" t="s">
        <v>195</v>
      </c>
      <c r="CQ4" t="s">
        <v>196</v>
      </c>
      <c r="CR4" t="s">
        <v>154</v>
      </c>
      <c r="CS4" t="s">
        <v>197</v>
      </c>
      <c r="CT4" t="s">
        <v>198</v>
      </c>
      <c r="CU4" t="s">
        <v>199</v>
      </c>
      <c r="CV4" t="s">
        <v>151</v>
      </c>
      <c r="CW4" t="s">
        <v>147</v>
      </c>
      <c r="CX4" t="s">
        <v>200</v>
      </c>
      <c r="CY4" t="s">
        <v>201</v>
      </c>
      <c r="CZ4" t="s">
        <v>202</v>
      </c>
      <c r="DA4" t="s">
        <v>203</v>
      </c>
      <c r="DB4" t="s">
        <v>204</v>
      </c>
      <c r="DC4" t="s">
        <v>205</v>
      </c>
    </row>
    <row r="5" spans="1:107" x14ac:dyDescent="0.45">
      <c r="A5" t="s">
        <v>206</v>
      </c>
      <c r="B5" t="s">
        <v>207</v>
      </c>
      <c r="C5" t="s">
        <v>139</v>
      </c>
      <c r="D5" t="s">
        <v>76</v>
      </c>
      <c r="E5" t="s">
        <v>140</v>
      </c>
      <c r="F5" t="s">
        <v>19</v>
      </c>
      <c r="G5" t="s">
        <v>208</v>
      </c>
      <c r="H5" t="s">
        <v>19</v>
      </c>
      <c r="I5" t="s">
        <v>19</v>
      </c>
      <c r="J5">
        <f t="shared" si="0"/>
        <v>6.5790223194450867E-2</v>
      </c>
      <c r="K5">
        <f t="shared" si="1"/>
        <v>2.9050319999999994</v>
      </c>
      <c r="L5">
        <f t="shared" si="2"/>
        <v>6.4333268471888749E-2</v>
      </c>
      <c r="M5">
        <f t="shared" si="3"/>
        <v>0.78902268826521604</v>
      </c>
      <c r="N5" t="s">
        <v>209</v>
      </c>
      <c r="O5" t="s">
        <v>210</v>
      </c>
      <c r="P5">
        <f t="shared" si="4"/>
        <v>3.1872682753025634</v>
      </c>
      <c r="Q5">
        <f t="shared" si="5"/>
        <v>1.1988332753025635</v>
      </c>
      <c r="R5" t="s">
        <v>211</v>
      </c>
      <c r="S5" t="s">
        <v>212</v>
      </c>
      <c r="T5">
        <f t="shared" si="6"/>
        <v>31.764682831398876</v>
      </c>
      <c r="U5">
        <f t="shared" si="7"/>
        <v>0.4417875</v>
      </c>
      <c r="V5" t="s">
        <v>146</v>
      </c>
      <c r="W5" t="s">
        <v>213</v>
      </c>
      <c r="X5" t="s">
        <v>214</v>
      </c>
      <c r="Y5" t="s">
        <v>215</v>
      </c>
      <c r="Z5" t="s">
        <v>216</v>
      </c>
      <c r="AA5" t="s">
        <v>151</v>
      </c>
      <c r="AB5" t="s">
        <v>151</v>
      </c>
      <c r="AC5" t="s">
        <v>151</v>
      </c>
      <c r="AD5" t="s">
        <v>152</v>
      </c>
      <c r="AE5" t="s">
        <v>153</v>
      </c>
      <c r="AF5">
        <f t="shared" si="8"/>
        <v>0</v>
      </c>
      <c r="AG5" t="s">
        <v>154</v>
      </c>
      <c r="AH5" t="s">
        <v>217</v>
      </c>
      <c r="AI5" t="s">
        <v>218</v>
      </c>
      <c r="AJ5" t="s">
        <v>219</v>
      </c>
      <c r="AK5" t="s">
        <v>220</v>
      </c>
      <c r="AL5">
        <f t="shared" si="9"/>
        <v>25.04</v>
      </c>
      <c r="AM5" t="s">
        <v>159</v>
      </c>
      <c r="AN5" t="s">
        <v>160</v>
      </c>
      <c r="AO5" t="s">
        <v>221</v>
      </c>
      <c r="AP5" t="s">
        <v>222</v>
      </c>
      <c r="AQ5" t="s">
        <v>163</v>
      </c>
      <c r="AR5" t="s">
        <v>223</v>
      </c>
      <c r="AS5" t="s">
        <v>165</v>
      </c>
      <c r="AT5" t="s">
        <v>139</v>
      </c>
      <c r="AU5" t="s">
        <v>166</v>
      </c>
      <c r="AV5" t="s">
        <v>137</v>
      </c>
      <c r="AW5" t="s">
        <v>224</v>
      </c>
      <c r="AX5" t="s">
        <v>225</v>
      </c>
      <c r="AY5" t="s">
        <v>169</v>
      </c>
      <c r="AZ5" t="s">
        <v>226</v>
      </c>
      <c r="BA5" t="s">
        <v>227</v>
      </c>
      <c r="BB5" t="s">
        <v>169</v>
      </c>
      <c r="BC5" t="s">
        <v>137</v>
      </c>
      <c r="BD5" t="s">
        <v>172</v>
      </c>
      <c r="BE5" t="s">
        <v>169</v>
      </c>
      <c r="BF5" t="s">
        <v>173</v>
      </c>
      <c r="BG5" t="s">
        <v>174</v>
      </c>
      <c r="BH5" t="s">
        <v>151</v>
      </c>
      <c r="BI5" t="s">
        <v>175</v>
      </c>
      <c r="BJ5" t="s">
        <v>151</v>
      </c>
      <c r="BK5" t="s">
        <v>151</v>
      </c>
      <c r="BL5" t="s">
        <v>176</v>
      </c>
      <c r="BM5" t="s">
        <v>177</v>
      </c>
      <c r="BN5" t="s">
        <v>137</v>
      </c>
      <c r="BO5" t="s">
        <v>178</v>
      </c>
      <c r="BP5" t="s">
        <v>179</v>
      </c>
      <c r="BQ5" t="s">
        <v>180</v>
      </c>
      <c r="BR5" t="s">
        <v>154</v>
      </c>
      <c r="BS5" t="s">
        <v>181</v>
      </c>
      <c r="BT5" t="s">
        <v>182</v>
      </c>
      <c r="BU5" t="s">
        <v>182</v>
      </c>
      <c r="BV5" t="s">
        <v>182</v>
      </c>
      <c r="BW5" t="s">
        <v>151</v>
      </c>
      <c r="BX5" t="s">
        <v>183</v>
      </c>
      <c r="BY5" t="s">
        <v>151</v>
      </c>
      <c r="BZ5" t="s">
        <v>151</v>
      </c>
      <c r="CA5" t="s">
        <v>151</v>
      </c>
      <c r="CB5" t="s">
        <v>151</v>
      </c>
      <c r="CC5" t="s">
        <v>228</v>
      </c>
      <c r="CD5" t="s">
        <v>229</v>
      </c>
      <c r="CE5" t="s">
        <v>230</v>
      </c>
      <c r="CF5" t="s">
        <v>231</v>
      </c>
      <c r="CG5" t="s">
        <v>232</v>
      </c>
      <c r="CH5" t="s">
        <v>233</v>
      </c>
      <c r="CI5" t="s">
        <v>234</v>
      </c>
      <c r="CJ5" t="s">
        <v>191</v>
      </c>
      <c r="CK5" t="s">
        <v>214</v>
      </c>
      <c r="CL5" t="s">
        <v>235</v>
      </c>
      <c r="CM5" t="s">
        <v>193</v>
      </c>
      <c r="CN5" t="s">
        <v>194</v>
      </c>
      <c r="CO5" t="s">
        <v>154</v>
      </c>
      <c r="CP5" t="s">
        <v>195</v>
      </c>
      <c r="CQ5" t="s">
        <v>196</v>
      </c>
      <c r="CR5" t="s">
        <v>154</v>
      </c>
      <c r="CS5" t="s">
        <v>197</v>
      </c>
      <c r="CT5" t="s">
        <v>198</v>
      </c>
      <c r="CU5" t="s">
        <v>199</v>
      </c>
      <c r="CV5" t="s">
        <v>151</v>
      </c>
      <c r="CW5" t="s">
        <v>213</v>
      </c>
      <c r="CX5" t="s">
        <v>200</v>
      </c>
      <c r="CY5" t="s">
        <v>201</v>
      </c>
      <c r="CZ5" t="s">
        <v>202</v>
      </c>
      <c r="DA5" t="s">
        <v>203</v>
      </c>
      <c r="DB5" t="s">
        <v>204</v>
      </c>
      <c r="DC5" t="s">
        <v>205</v>
      </c>
    </row>
    <row r="6" spans="1:107" x14ac:dyDescent="0.45">
      <c r="A6" t="s">
        <v>236</v>
      </c>
      <c r="B6" t="s">
        <v>237</v>
      </c>
      <c r="C6" t="s">
        <v>139</v>
      </c>
      <c r="D6" t="s">
        <v>76</v>
      </c>
      <c r="E6" t="s">
        <v>140</v>
      </c>
      <c r="F6" t="s">
        <v>19</v>
      </c>
      <c r="G6" t="s">
        <v>238</v>
      </c>
      <c r="H6" t="s">
        <v>19</v>
      </c>
      <c r="I6" t="s">
        <v>19</v>
      </c>
      <c r="J6">
        <f t="shared" si="0"/>
        <v>6.293284264155756E-2</v>
      </c>
      <c r="K6">
        <f t="shared" si="1"/>
        <v>2.9058327199999998</v>
      </c>
      <c r="L6">
        <f t="shared" si="2"/>
        <v>6.1598772099650895E-2</v>
      </c>
      <c r="M6">
        <f t="shared" si="3"/>
        <v>0.68589482162171023</v>
      </c>
      <c r="N6" t="s">
        <v>239</v>
      </c>
      <c r="O6" t="s">
        <v>240</v>
      </c>
      <c r="P6">
        <f t="shared" si="4"/>
        <v>3.1532344523850782</v>
      </c>
      <c r="Q6">
        <f t="shared" si="5"/>
        <v>1.0882574523850783</v>
      </c>
      <c r="R6" t="s">
        <v>241</v>
      </c>
      <c r="S6" t="s">
        <v>242</v>
      </c>
      <c r="T6">
        <f t="shared" si="6"/>
        <v>31.425497831224614</v>
      </c>
      <c r="U6">
        <f t="shared" si="7"/>
        <v>0.4417875</v>
      </c>
      <c r="V6" t="s">
        <v>146</v>
      </c>
      <c r="W6" t="s">
        <v>243</v>
      </c>
      <c r="X6" t="s">
        <v>244</v>
      </c>
      <c r="Y6" t="s">
        <v>245</v>
      </c>
      <c r="Z6" t="s">
        <v>246</v>
      </c>
      <c r="AA6" t="s">
        <v>151</v>
      </c>
      <c r="AB6" t="s">
        <v>151</v>
      </c>
      <c r="AC6" t="s">
        <v>151</v>
      </c>
      <c r="AD6" t="s">
        <v>152</v>
      </c>
      <c r="AE6" t="s">
        <v>153</v>
      </c>
      <c r="AF6">
        <f t="shared" si="8"/>
        <v>0</v>
      </c>
      <c r="AG6" t="s">
        <v>154</v>
      </c>
      <c r="AH6" t="s">
        <v>247</v>
      </c>
      <c r="AI6" t="s">
        <v>248</v>
      </c>
      <c r="AJ6" t="s">
        <v>249</v>
      </c>
      <c r="AK6" t="s">
        <v>250</v>
      </c>
      <c r="AL6">
        <f t="shared" si="9"/>
        <v>24.86</v>
      </c>
      <c r="AM6" t="s">
        <v>159</v>
      </c>
      <c r="AN6" t="s">
        <v>251</v>
      </c>
      <c r="AO6" t="s">
        <v>252</v>
      </c>
      <c r="AP6" t="s">
        <v>253</v>
      </c>
      <c r="AQ6" t="s">
        <v>163</v>
      </c>
      <c r="AR6" t="s">
        <v>254</v>
      </c>
      <c r="AS6" t="s">
        <v>165</v>
      </c>
      <c r="AT6" t="s">
        <v>139</v>
      </c>
      <c r="AU6" t="s">
        <v>166</v>
      </c>
      <c r="AV6" t="s">
        <v>137</v>
      </c>
      <c r="AW6" t="s">
        <v>224</v>
      </c>
      <c r="AX6" t="s">
        <v>255</v>
      </c>
      <c r="AY6" t="s">
        <v>169</v>
      </c>
      <c r="AZ6" t="s">
        <v>256</v>
      </c>
      <c r="BA6" t="s">
        <v>257</v>
      </c>
      <c r="BB6" t="s">
        <v>169</v>
      </c>
      <c r="BC6" t="s">
        <v>137</v>
      </c>
      <c r="BD6" t="s">
        <v>172</v>
      </c>
      <c r="BE6" t="s">
        <v>169</v>
      </c>
      <c r="BF6" t="s">
        <v>173</v>
      </c>
      <c r="BG6" t="s">
        <v>174</v>
      </c>
      <c r="BH6" t="s">
        <v>151</v>
      </c>
      <c r="BI6" t="s">
        <v>175</v>
      </c>
      <c r="BJ6" t="s">
        <v>151</v>
      </c>
      <c r="BK6" t="s">
        <v>151</v>
      </c>
      <c r="BL6" t="s">
        <v>176</v>
      </c>
      <c r="BM6" t="s">
        <v>177</v>
      </c>
      <c r="BN6" t="s">
        <v>137</v>
      </c>
      <c r="BO6" t="s">
        <v>178</v>
      </c>
      <c r="BP6" t="s">
        <v>179</v>
      </c>
      <c r="BQ6" t="s">
        <v>180</v>
      </c>
      <c r="BR6" t="s">
        <v>154</v>
      </c>
      <c r="BS6" t="s">
        <v>181</v>
      </c>
      <c r="BT6" t="s">
        <v>182</v>
      </c>
      <c r="BU6" t="s">
        <v>182</v>
      </c>
      <c r="BV6" t="s">
        <v>182</v>
      </c>
      <c r="BW6" t="s">
        <v>151</v>
      </c>
      <c r="BX6" t="s">
        <v>183</v>
      </c>
      <c r="BY6" t="s">
        <v>151</v>
      </c>
      <c r="BZ6" t="s">
        <v>151</v>
      </c>
      <c r="CA6" t="s">
        <v>151</v>
      </c>
      <c r="CB6" t="s">
        <v>151</v>
      </c>
      <c r="CC6" t="s">
        <v>258</v>
      </c>
      <c r="CD6" t="s">
        <v>259</v>
      </c>
      <c r="CE6" t="s">
        <v>260</v>
      </c>
      <c r="CF6" t="s">
        <v>261</v>
      </c>
      <c r="CG6" t="s">
        <v>262</v>
      </c>
      <c r="CH6" t="s">
        <v>263</v>
      </c>
      <c r="CI6" t="s">
        <v>264</v>
      </c>
      <c r="CJ6" t="s">
        <v>265</v>
      </c>
      <c r="CK6" t="s">
        <v>244</v>
      </c>
      <c r="CL6" t="s">
        <v>235</v>
      </c>
      <c r="CM6" t="s">
        <v>193</v>
      </c>
      <c r="CN6" t="s">
        <v>194</v>
      </c>
      <c r="CO6" t="s">
        <v>154</v>
      </c>
      <c r="CP6" t="s">
        <v>195</v>
      </c>
      <c r="CQ6" t="s">
        <v>196</v>
      </c>
      <c r="CR6" t="s">
        <v>154</v>
      </c>
      <c r="CS6" t="s">
        <v>197</v>
      </c>
      <c r="CT6" t="s">
        <v>198</v>
      </c>
      <c r="CU6" t="s">
        <v>199</v>
      </c>
      <c r="CV6" t="s">
        <v>151</v>
      </c>
      <c r="CW6" t="s">
        <v>243</v>
      </c>
      <c r="CX6" t="s">
        <v>200</v>
      </c>
      <c r="CY6" t="s">
        <v>201</v>
      </c>
      <c r="CZ6" t="s">
        <v>202</v>
      </c>
      <c r="DA6" t="s">
        <v>203</v>
      </c>
      <c r="DB6" t="s">
        <v>204</v>
      </c>
      <c r="DC6" t="s">
        <v>205</v>
      </c>
    </row>
    <row r="7" spans="1:107" x14ac:dyDescent="0.45">
      <c r="A7" t="s">
        <v>266</v>
      </c>
      <c r="B7" t="s">
        <v>267</v>
      </c>
      <c r="C7" t="s">
        <v>139</v>
      </c>
      <c r="D7" t="s">
        <v>76</v>
      </c>
      <c r="E7" t="s">
        <v>140</v>
      </c>
      <c r="F7" t="s">
        <v>19</v>
      </c>
      <c r="G7" t="s">
        <v>268</v>
      </c>
      <c r="H7" t="s">
        <v>19</v>
      </c>
      <c r="I7" t="s">
        <v>19</v>
      </c>
      <c r="J7">
        <f t="shared" si="0"/>
        <v>7.7181958601205844E-2</v>
      </c>
      <c r="K7">
        <f t="shared" si="1"/>
        <v>2.9058327199999998</v>
      </c>
      <c r="L7">
        <f t="shared" si="2"/>
        <v>7.5184967176305573E-2</v>
      </c>
      <c r="M7">
        <f t="shared" si="3"/>
        <v>0.79474138146806528</v>
      </c>
      <c r="N7" t="s">
        <v>269</v>
      </c>
      <c r="O7" t="s">
        <v>270</v>
      </c>
      <c r="P7">
        <f t="shared" si="4"/>
        <v>3.1251159804618811</v>
      </c>
      <c r="Q7">
        <f t="shared" si="5"/>
        <v>1.0328729804618813</v>
      </c>
      <c r="R7" t="s">
        <v>271</v>
      </c>
      <c r="S7" t="s">
        <v>272</v>
      </c>
      <c r="T7">
        <f t="shared" si="6"/>
        <v>31.148370183014862</v>
      </c>
      <c r="U7">
        <f t="shared" si="7"/>
        <v>0.4417875</v>
      </c>
      <c r="V7" t="s">
        <v>146</v>
      </c>
      <c r="W7" t="s">
        <v>273</v>
      </c>
      <c r="X7" t="s">
        <v>274</v>
      </c>
      <c r="Y7" t="s">
        <v>275</v>
      </c>
      <c r="Z7" t="s">
        <v>276</v>
      </c>
      <c r="AA7" t="s">
        <v>151</v>
      </c>
      <c r="AB7" t="s">
        <v>151</v>
      </c>
      <c r="AC7" t="s">
        <v>151</v>
      </c>
      <c r="AD7" t="s">
        <v>152</v>
      </c>
      <c r="AE7" t="s">
        <v>153</v>
      </c>
      <c r="AF7">
        <f t="shared" si="8"/>
        <v>0</v>
      </c>
      <c r="AG7" t="s">
        <v>154</v>
      </c>
      <c r="AH7" t="s">
        <v>277</v>
      </c>
      <c r="AI7" t="s">
        <v>278</v>
      </c>
      <c r="AJ7" t="s">
        <v>279</v>
      </c>
      <c r="AK7" t="s">
        <v>280</v>
      </c>
      <c r="AL7">
        <f t="shared" si="9"/>
        <v>24.71</v>
      </c>
      <c r="AM7" t="s">
        <v>281</v>
      </c>
      <c r="AN7" t="s">
        <v>251</v>
      </c>
      <c r="AO7" t="s">
        <v>282</v>
      </c>
      <c r="AP7" t="s">
        <v>283</v>
      </c>
      <c r="AQ7" t="s">
        <v>163</v>
      </c>
      <c r="AR7" t="s">
        <v>284</v>
      </c>
      <c r="AS7" t="s">
        <v>165</v>
      </c>
      <c r="AT7" t="s">
        <v>139</v>
      </c>
      <c r="AU7" t="s">
        <v>166</v>
      </c>
      <c r="AV7" t="s">
        <v>137</v>
      </c>
      <c r="AW7" t="s">
        <v>285</v>
      </c>
      <c r="AX7" t="s">
        <v>286</v>
      </c>
      <c r="AY7" t="s">
        <v>169</v>
      </c>
      <c r="AZ7" t="s">
        <v>287</v>
      </c>
      <c r="BA7" t="s">
        <v>288</v>
      </c>
      <c r="BB7" t="s">
        <v>169</v>
      </c>
      <c r="BC7" t="s">
        <v>137</v>
      </c>
      <c r="BD7" t="s">
        <v>172</v>
      </c>
      <c r="BE7" t="s">
        <v>169</v>
      </c>
      <c r="BF7" t="s">
        <v>173</v>
      </c>
      <c r="BG7" t="s">
        <v>174</v>
      </c>
      <c r="BH7" t="s">
        <v>151</v>
      </c>
      <c r="BI7" t="s">
        <v>175</v>
      </c>
      <c r="BJ7" t="s">
        <v>151</v>
      </c>
      <c r="BK7" t="s">
        <v>151</v>
      </c>
      <c r="BL7" t="s">
        <v>176</v>
      </c>
      <c r="BM7" t="s">
        <v>177</v>
      </c>
      <c r="BN7" t="s">
        <v>137</v>
      </c>
      <c r="BO7" t="s">
        <v>178</v>
      </c>
      <c r="BP7" t="s">
        <v>179</v>
      </c>
      <c r="BQ7" t="s">
        <v>180</v>
      </c>
      <c r="BR7" t="s">
        <v>154</v>
      </c>
      <c r="BS7" t="s">
        <v>181</v>
      </c>
      <c r="BT7" t="s">
        <v>182</v>
      </c>
      <c r="BU7" t="s">
        <v>182</v>
      </c>
      <c r="BV7" t="s">
        <v>182</v>
      </c>
      <c r="BW7" t="s">
        <v>151</v>
      </c>
      <c r="BX7" t="s">
        <v>183</v>
      </c>
      <c r="BY7" t="s">
        <v>151</v>
      </c>
      <c r="BZ7" t="s">
        <v>151</v>
      </c>
      <c r="CA7" t="s">
        <v>151</v>
      </c>
      <c r="CB7" t="s">
        <v>151</v>
      </c>
      <c r="CC7" t="s">
        <v>289</v>
      </c>
      <c r="CD7" t="s">
        <v>290</v>
      </c>
      <c r="CE7" t="s">
        <v>291</v>
      </c>
      <c r="CF7" t="s">
        <v>292</v>
      </c>
      <c r="CG7" t="s">
        <v>293</v>
      </c>
      <c r="CH7" t="s">
        <v>294</v>
      </c>
      <c r="CI7" t="s">
        <v>295</v>
      </c>
      <c r="CJ7" t="s">
        <v>296</v>
      </c>
      <c r="CK7" t="s">
        <v>274</v>
      </c>
      <c r="CL7" t="s">
        <v>297</v>
      </c>
      <c r="CM7" t="s">
        <v>193</v>
      </c>
      <c r="CN7" t="s">
        <v>194</v>
      </c>
      <c r="CO7" t="s">
        <v>154</v>
      </c>
      <c r="CP7" t="s">
        <v>195</v>
      </c>
      <c r="CQ7" t="s">
        <v>196</v>
      </c>
      <c r="CR7" t="s">
        <v>154</v>
      </c>
      <c r="CS7" t="s">
        <v>197</v>
      </c>
      <c r="CT7" t="s">
        <v>198</v>
      </c>
      <c r="CU7" t="s">
        <v>199</v>
      </c>
      <c r="CV7" t="s">
        <v>151</v>
      </c>
      <c r="CW7" t="s">
        <v>273</v>
      </c>
      <c r="CX7" t="s">
        <v>200</v>
      </c>
      <c r="CY7" t="s">
        <v>201</v>
      </c>
      <c r="CZ7" t="s">
        <v>202</v>
      </c>
      <c r="DA7" t="s">
        <v>203</v>
      </c>
      <c r="DB7" t="s">
        <v>204</v>
      </c>
      <c r="DC7" t="s">
        <v>205</v>
      </c>
    </row>
    <row r="8" spans="1:107" x14ac:dyDescent="0.45">
      <c r="A8" t="s">
        <v>180</v>
      </c>
      <c r="B8" t="s">
        <v>298</v>
      </c>
      <c r="C8" t="s">
        <v>139</v>
      </c>
      <c r="D8" t="s">
        <v>76</v>
      </c>
      <c r="E8" t="s">
        <v>140</v>
      </c>
      <c r="F8" t="s">
        <v>19</v>
      </c>
      <c r="G8" t="s">
        <v>299</v>
      </c>
      <c r="H8" t="s">
        <v>19</v>
      </c>
      <c r="I8" t="s">
        <v>19</v>
      </c>
      <c r="J8">
        <f t="shared" si="0"/>
        <v>9.4116057837899711E-2</v>
      </c>
      <c r="K8">
        <f t="shared" si="1"/>
        <v>2.9050319999999994</v>
      </c>
      <c r="L8">
        <f t="shared" si="2"/>
        <v>9.1162608334198814E-2</v>
      </c>
      <c r="M8">
        <f t="shared" si="3"/>
        <v>1.0159628195859263</v>
      </c>
      <c r="N8" t="s">
        <v>300</v>
      </c>
      <c r="O8" t="s">
        <v>301</v>
      </c>
      <c r="P8">
        <f t="shared" si="4"/>
        <v>3.1777823888513104</v>
      </c>
      <c r="Q8">
        <f t="shared" si="5"/>
        <v>1.0889453888513105</v>
      </c>
      <c r="R8" t="s">
        <v>302</v>
      </c>
      <c r="S8" t="s">
        <v>303</v>
      </c>
      <c r="T8">
        <f t="shared" si="6"/>
        <v>31.670145394172913</v>
      </c>
      <c r="U8">
        <f t="shared" si="7"/>
        <v>0.4417875</v>
      </c>
      <c r="V8" t="s">
        <v>146</v>
      </c>
      <c r="W8" t="s">
        <v>304</v>
      </c>
      <c r="X8" t="s">
        <v>305</v>
      </c>
      <c r="Y8" t="s">
        <v>306</v>
      </c>
      <c r="Z8" t="s">
        <v>307</v>
      </c>
      <c r="AA8" t="s">
        <v>151</v>
      </c>
      <c r="AB8" t="s">
        <v>151</v>
      </c>
      <c r="AC8" t="s">
        <v>151</v>
      </c>
      <c r="AD8" t="s">
        <v>152</v>
      </c>
      <c r="AE8" t="s">
        <v>153</v>
      </c>
      <c r="AF8">
        <f t="shared" si="8"/>
        <v>0</v>
      </c>
      <c r="AG8" t="s">
        <v>154</v>
      </c>
      <c r="AH8" t="s">
        <v>308</v>
      </c>
      <c r="AI8" t="s">
        <v>309</v>
      </c>
      <c r="AJ8" t="s">
        <v>310</v>
      </c>
      <c r="AK8" t="s">
        <v>311</v>
      </c>
      <c r="AL8">
        <f t="shared" si="9"/>
        <v>24.99</v>
      </c>
      <c r="AM8" t="s">
        <v>159</v>
      </c>
      <c r="AN8" t="s">
        <v>160</v>
      </c>
      <c r="AO8" t="s">
        <v>312</v>
      </c>
      <c r="AP8" t="s">
        <v>313</v>
      </c>
      <c r="AQ8" t="s">
        <v>163</v>
      </c>
      <c r="AR8" t="s">
        <v>284</v>
      </c>
      <c r="AS8" t="s">
        <v>165</v>
      </c>
      <c r="AT8" t="s">
        <v>139</v>
      </c>
      <c r="AU8" t="s">
        <v>166</v>
      </c>
      <c r="AV8" t="s">
        <v>137</v>
      </c>
      <c r="AW8" t="s">
        <v>314</v>
      </c>
      <c r="AX8" t="s">
        <v>315</v>
      </c>
      <c r="AY8" t="s">
        <v>169</v>
      </c>
      <c r="AZ8" t="s">
        <v>316</v>
      </c>
      <c r="BA8" t="s">
        <v>317</v>
      </c>
      <c r="BB8" t="s">
        <v>169</v>
      </c>
      <c r="BC8" t="s">
        <v>137</v>
      </c>
      <c r="BD8" t="s">
        <v>172</v>
      </c>
      <c r="BE8" t="s">
        <v>169</v>
      </c>
      <c r="BF8" t="s">
        <v>173</v>
      </c>
      <c r="BG8" t="s">
        <v>174</v>
      </c>
      <c r="BH8" t="s">
        <v>151</v>
      </c>
      <c r="BI8" t="s">
        <v>175</v>
      </c>
      <c r="BJ8" t="s">
        <v>151</v>
      </c>
      <c r="BK8" t="s">
        <v>151</v>
      </c>
      <c r="BL8" t="s">
        <v>176</v>
      </c>
      <c r="BM8" t="s">
        <v>177</v>
      </c>
      <c r="BN8" t="s">
        <v>137</v>
      </c>
      <c r="BO8" t="s">
        <v>178</v>
      </c>
      <c r="BP8" t="s">
        <v>179</v>
      </c>
      <c r="BQ8" t="s">
        <v>180</v>
      </c>
      <c r="BR8" t="s">
        <v>154</v>
      </c>
      <c r="BS8" t="s">
        <v>181</v>
      </c>
      <c r="BT8" t="s">
        <v>182</v>
      </c>
      <c r="BU8" t="s">
        <v>182</v>
      </c>
      <c r="BV8" t="s">
        <v>182</v>
      </c>
      <c r="BW8" t="s">
        <v>151</v>
      </c>
      <c r="BX8" t="s">
        <v>183</v>
      </c>
      <c r="BY8" t="s">
        <v>151</v>
      </c>
      <c r="BZ8" t="s">
        <v>151</v>
      </c>
      <c r="CA8" t="s">
        <v>151</v>
      </c>
      <c r="CB8" t="s">
        <v>151</v>
      </c>
      <c r="CC8" t="s">
        <v>318</v>
      </c>
      <c r="CD8" t="s">
        <v>319</v>
      </c>
      <c r="CE8" t="s">
        <v>320</v>
      </c>
      <c r="CF8" t="s">
        <v>321</v>
      </c>
      <c r="CG8" t="s">
        <v>322</v>
      </c>
      <c r="CH8" t="s">
        <v>323</v>
      </c>
      <c r="CI8" t="s">
        <v>324</v>
      </c>
      <c r="CJ8" t="s">
        <v>265</v>
      </c>
      <c r="CK8" t="s">
        <v>305</v>
      </c>
      <c r="CL8" t="s">
        <v>297</v>
      </c>
      <c r="CM8" t="s">
        <v>193</v>
      </c>
      <c r="CN8" t="s">
        <v>194</v>
      </c>
      <c r="CO8" t="s">
        <v>154</v>
      </c>
      <c r="CP8" t="s">
        <v>195</v>
      </c>
      <c r="CQ8" t="s">
        <v>196</v>
      </c>
      <c r="CR8" t="s">
        <v>154</v>
      </c>
      <c r="CS8" t="s">
        <v>197</v>
      </c>
      <c r="CT8" t="s">
        <v>198</v>
      </c>
      <c r="CU8" t="s">
        <v>199</v>
      </c>
      <c r="CV8" t="s">
        <v>151</v>
      </c>
      <c r="CW8" t="s">
        <v>304</v>
      </c>
      <c r="CX8" t="s">
        <v>200</v>
      </c>
      <c r="CY8" t="s">
        <v>201</v>
      </c>
      <c r="CZ8" t="s">
        <v>202</v>
      </c>
      <c r="DA8" t="s">
        <v>203</v>
      </c>
      <c r="DB8" t="s">
        <v>204</v>
      </c>
      <c r="DC8" t="s">
        <v>205</v>
      </c>
    </row>
    <row r="9" spans="1:107" x14ac:dyDescent="0.45">
      <c r="A9" t="s">
        <v>325</v>
      </c>
      <c r="B9" t="s">
        <v>326</v>
      </c>
      <c r="C9" t="s">
        <v>139</v>
      </c>
      <c r="D9" t="s">
        <v>76</v>
      </c>
      <c r="E9" t="s">
        <v>140</v>
      </c>
      <c r="F9" t="s">
        <v>19</v>
      </c>
      <c r="G9" t="s">
        <v>327</v>
      </c>
      <c r="H9" t="s">
        <v>19</v>
      </c>
      <c r="I9" t="s">
        <v>19</v>
      </c>
      <c r="J9">
        <f t="shared" si="0"/>
        <v>0.10556612385859464</v>
      </c>
      <c r="K9">
        <f t="shared" si="1"/>
        <v>2.9034264800000003</v>
      </c>
      <c r="L9">
        <f t="shared" si="2"/>
        <v>0.10186249012674786</v>
      </c>
      <c r="M9">
        <f t="shared" si="3"/>
        <v>1.0887192531051959</v>
      </c>
      <c r="N9" t="s">
        <v>328</v>
      </c>
      <c r="O9" t="s">
        <v>329</v>
      </c>
      <c r="P9">
        <f t="shared" si="4"/>
        <v>3.1363369601078994</v>
      </c>
      <c r="Q9">
        <f t="shared" si="5"/>
        <v>1.0443419601078996</v>
      </c>
      <c r="R9" t="s">
        <v>330</v>
      </c>
      <c r="S9" t="s">
        <v>331</v>
      </c>
      <c r="T9">
        <f t="shared" si="6"/>
        <v>31.260210905092194</v>
      </c>
      <c r="U9">
        <f t="shared" si="7"/>
        <v>0.4417875</v>
      </c>
      <c r="V9" t="s">
        <v>146</v>
      </c>
      <c r="W9" t="s">
        <v>332</v>
      </c>
      <c r="X9" t="s">
        <v>333</v>
      </c>
      <c r="Y9" t="s">
        <v>334</v>
      </c>
      <c r="Z9" t="s">
        <v>335</v>
      </c>
      <c r="AA9" t="s">
        <v>151</v>
      </c>
      <c r="AB9" t="s">
        <v>151</v>
      </c>
      <c r="AC9" t="s">
        <v>151</v>
      </c>
      <c r="AD9" t="s">
        <v>152</v>
      </c>
      <c r="AE9" t="s">
        <v>153</v>
      </c>
      <c r="AF9">
        <f t="shared" si="8"/>
        <v>0</v>
      </c>
      <c r="AG9" t="s">
        <v>154</v>
      </c>
      <c r="AH9" t="s">
        <v>336</v>
      </c>
      <c r="AI9" t="s">
        <v>337</v>
      </c>
      <c r="AJ9" t="s">
        <v>280</v>
      </c>
      <c r="AK9" t="s">
        <v>338</v>
      </c>
      <c r="AL9">
        <f t="shared" si="9"/>
        <v>24.77</v>
      </c>
      <c r="AM9" t="s">
        <v>281</v>
      </c>
      <c r="AN9" t="s">
        <v>339</v>
      </c>
      <c r="AO9" t="s">
        <v>340</v>
      </c>
      <c r="AP9" t="s">
        <v>162</v>
      </c>
      <c r="AQ9" t="s">
        <v>163</v>
      </c>
      <c r="AR9" t="s">
        <v>341</v>
      </c>
      <c r="AS9" t="s">
        <v>165</v>
      </c>
      <c r="AT9" t="s">
        <v>139</v>
      </c>
      <c r="AU9" t="s">
        <v>166</v>
      </c>
      <c r="AV9" t="s">
        <v>137</v>
      </c>
      <c r="AW9" t="s">
        <v>342</v>
      </c>
      <c r="AX9" t="s">
        <v>343</v>
      </c>
      <c r="AY9" t="s">
        <v>169</v>
      </c>
      <c r="AZ9" t="s">
        <v>344</v>
      </c>
      <c r="BA9" t="s">
        <v>345</v>
      </c>
      <c r="BB9" t="s">
        <v>169</v>
      </c>
      <c r="BC9" t="s">
        <v>137</v>
      </c>
      <c r="BD9" t="s">
        <v>172</v>
      </c>
      <c r="BE9" t="s">
        <v>169</v>
      </c>
      <c r="BF9" t="s">
        <v>173</v>
      </c>
      <c r="BG9" t="s">
        <v>174</v>
      </c>
      <c r="BH9" t="s">
        <v>151</v>
      </c>
      <c r="BI9" t="s">
        <v>175</v>
      </c>
      <c r="BJ9" t="s">
        <v>151</v>
      </c>
      <c r="BK9" t="s">
        <v>151</v>
      </c>
      <c r="BL9" t="s">
        <v>176</v>
      </c>
      <c r="BM9" t="s">
        <v>177</v>
      </c>
      <c r="BN9" t="s">
        <v>137</v>
      </c>
      <c r="BO9" t="s">
        <v>178</v>
      </c>
      <c r="BP9" t="s">
        <v>179</v>
      </c>
      <c r="BQ9" t="s">
        <v>180</v>
      </c>
      <c r="BR9" t="s">
        <v>154</v>
      </c>
      <c r="BS9" t="s">
        <v>181</v>
      </c>
      <c r="BT9" t="s">
        <v>182</v>
      </c>
      <c r="BU9" t="s">
        <v>182</v>
      </c>
      <c r="BV9" t="s">
        <v>182</v>
      </c>
      <c r="BW9" t="s">
        <v>151</v>
      </c>
      <c r="BX9" t="s">
        <v>183</v>
      </c>
      <c r="BY9" t="s">
        <v>151</v>
      </c>
      <c r="BZ9" t="s">
        <v>151</v>
      </c>
      <c r="CA9" t="s">
        <v>151</v>
      </c>
      <c r="CB9" t="s">
        <v>151</v>
      </c>
      <c r="CC9" t="s">
        <v>346</v>
      </c>
      <c r="CD9" t="s">
        <v>347</v>
      </c>
      <c r="CE9" t="s">
        <v>348</v>
      </c>
      <c r="CF9" t="s">
        <v>349</v>
      </c>
      <c r="CG9" t="s">
        <v>350</v>
      </c>
      <c r="CH9" t="s">
        <v>351</v>
      </c>
      <c r="CI9" t="s">
        <v>352</v>
      </c>
      <c r="CJ9" t="s">
        <v>353</v>
      </c>
      <c r="CK9" t="s">
        <v>333</v>
      </c>
      <c r="CL9" t="s">
        <v>235</v>
      </c>
      <c r="CM9" t="s">
        <v>193</v>
      </c>
      <c r="CN9" t="s">
        <v>194</v>
      </c>
      <c r="CO9" t="s">
        <v>154</v>
      </c>
      <c r="CP9" t="s">
        <v>195</v>
      </c>
      <c r="CQ9" t="s">
        <v>196</v>
      </c>
      <c r="CR9" t="s">
        <v>154</v>
      </c>
      <c r="CS9" t="s">
        <v>197</v>
      </c>
      <c r="CT9" t="s">
        <v>198</v>
      </c>
      <c r="CU9" t="s">
        <v>199</v>
      </c>
      <c r="CV9" t="s">
        <v>151</v>
      </c>
      <c r="CW9" t="s">
        <v>332</v>
      </c>
      <c r="CX9" t="s">
        <v>200</v>
      </c>
      <c r="CY9" t="s">
        <v>201</v>
      </c>
      <c r="CZ9" t="s">
        <v>202</v>
      </c>
      <c r="DA9" t="s">
        <v>203</v>
      </c>
      <c r="DB9" t="s">
        <v>204</v>
      </c>
      <c r="DC9" t="s">
        <v>205</v>
      </c>
    </row>
    <row r="10" spans="1:107" x14ac:dyDescent="0.45">
      <c r="A10" t="s">
        <v>354</v>
      </c>
      <c r="B10" t="s">
        <v>355</v>
      </c>
      <c r="C10" t="s">
        <v>139</v>
      </c>
      <c r="D10" t="s">
        <v>76</v>
      </c>
      <c r="E10" t="s">
        <v>140</v>
      </c>
      <c r="F10" t="s">
        <v>19</v>
      </c>
      <c r="G10" t="s">
        <v>356</v>
      </c>
      <c r="H10" t="s">
        <v>19</v>
      </c>
      <c r="I10" t="s">
        <v>19</v>
      </c>
      <c r="J10">
        <f t="shared" si="0"/>
        <v>7.7699498131222011E-2</v>
      </c>
      <c r="K10">
        <f t="shared" si="1"/>
        <v>2.9050319999999994</v>
      </c>
      <c r="L10">
        <f t="shared" si="2"/>
        <v>7.5675443329901046E-2</v>
      </c>
      <c r="M10">
        <f t="shared" si="3"/>
        <v>0.82156023286570157</v>
      </c>
      <c r="N10" t="s">
        <v>357</v>
      </c>
      <c r="O10" t="s">
        <v>358</v>
      </c>
      <c r="P10">
        <f t="shared" si="4"/>
        <v>3.1872682753025634</v>
      </c>
      <c r="Q10">
        <f t="shared" si="5"/>
        <v>1.0604022753025633</v>
      </c>
      <c r="R10" t="s">
        <v>359</v>
      </c>
      <c r="S10" t="s">
        <v>360</v>
      </c>
      <c r="T10">
        <f t="shared" si="6"/>
        <v>31.764682831398876</v>
      </c>
      <c r="U10">
        <f t="shared" si="7"/>
        <v>0.4417875</v>
      </c>
      <c r="V10" t="s">
        <v>146</v>
      </c>
      <c r="W10" t="s">
        <v>361</v>
      </c>
      <c r="X10" t="s">
        <v>362</v>
      </c>
      <c r="Y10" t="s">
        <v>363</v>
      </c>
      <c r="Z10" t="s">
        <v>364</v>
      </c>
      <c r="AA10" t="s">
        <v>151</v>
      </c>
      <c r="AB10" t="s">
        <v>151</v>
      </c>
      <c r="AC10" t="s">
        <v>151</v>
      </c>
      <c r="AD10" t="s">
        <v>152</v>
      </c>
      <c r="AE10" t="s">
        <v>153</v>
      </c>
      <c r="AF10">
        <f t="shared" si="8"/>
        <v>0</v>
      </c>
      <c r="AG10" t="s">
        <v>154</v>
      </c>
      <c r="AH10" t="s">
        <v>365</v>
      </c>
      <c r="AI10" t="s">
        <v>366</v>
      </c>
      <c r="AJ10" t="s">
        <v>367</v>
      </c>
      <c r="AK10" t="s">
        <v>220</v>
      </c>
      <c r="AL10">
        <f t="shared" si="9"/>
        <v>25.04</v>
      </c>
      <c r="AM10" t="s">
        <v>159</v>
      </c>
      <c r="AN10" t="s">
        <v>160</v>
      </c>
      <c r="AO10" t="s">
        <v>368</v>
      </c>
      <c r="AP10" t="s">
        <v>369</v>
      </c>
      <c r="AQ10" t="s">
        <v>163</v>
      </c>
      <c r="AR10" t="s">
        <v>341</v>
      </c>
      <c r="AS10" t="s">
        <v>165</v>
      </c>
      <c r="AT10" t="s">
        <v>139</v>
      </c>
      <c r="AU10" t="s">
        <v>166</v>
      </c>
      <c r="AV10" t="s">
        <v>137</v>
      </c>
      <c r="AW10" t="s">
        <v>370</v>
      </c>
      <c r="AX10" t="s">
        <v>371</v>
      </c>
      <c r="AY10" t="s">
        <v>169</v>
      </c>
      <c r="AZ10" t="s">
        <v>372</v>
      </c>
      <c r="BA10" t="s">
        <v>373</v>
      </c>
      <c r="BB10" t="s">
        <v>169</v>
      </c>
      <c r="BC10" t="s">
        <v>137</v>
      </c>
      <c r="BD10" t="s">
        <v>172</v>
      </c>
      <c r="BE10" t="s">
        <v>169</v>
      </c>
      <c r="BF10" t="s">
        <v>173</v>
      </c>
      <c r="BG10" t="s">
        <v>174</v>
      </c>
      <c r="BH10" t="s">
        <v>151</v>
      </c>
      <c r="BI10" t="s">
        <v>175</v>
      </c>
      <c r="BJ10" t="s">
        <v>151</v>
      </c>
      <c r="BK10" t="s">
        <v>151</v>
      </c>
      <c r="BL10" t="s">
        <v>176</v>
      </c>
      <c r="BM10" t="s">
        <v>177</v>
      </c>
      <c r="BN10" t="s">
        <v>137</v>
      </c>
      <c r="BO10" t="s">
        <v>178</v>
      </c>
      <c r="BP10" t="s">
        <v>179</v>
      </c>
      <c r="BQ10" t="s">
        <v>180</v>
      </c>
      <c r="BR10" t="s">
        <v>154</v>
      </c>
      <c r="BS10" t="s">
        <v>181</v>
      </c>
      <c r="BT10" t="s">
        <v>182</v>
      </c>
      <c r="BU10" t="s">
        <v>182</v>
      </c>
      <c r="BV10" t="s">
        <v>182</v>
      </c>
      <c r="BW10" t="s">
        <v>151</v>
      </c>
      <c r="BX10" t="s">
        <v>183</v>
      </c>
      <c r="BY10" t="s">
        <v>151</v>
      </c>
      <c r="BZ10" t="s">
        <v>151</v>
      </c>
      <c r="CA10" t="s">
        <v>151</v>
      </c>
      <c r="CB10" t="s">
        <v>151</v>
      </c>
      <c r="CC10" t="s">
        <v>374</v>
      </c>
      <c r="CD10" t="s">
        <v>375</v>
      </c>
      <c r="CE10" t="s">
        <v>376</v>
      </c>
      <c r="CF10" t="s">
        <v>377</v>
      </c>
      <c r="CG10" t="s">
        <v>378</v>
      </c>
      <c r="CH10" t="s">
        <v>379</v>
      </c>
      <c r="CI10" t="s">
        <v>380</v>
      </c>
      <c r="CJ10" t="s">
        <v>353</v>
      </c>
      <c r="CK10" t="s">
        <v>362</v>
      </c>
      <c r="CL10" t="s">
        <v>235</v>
      </c>
      <c r="CM10" t="s">
        <v>193</v>
      </c>
      <c r="CN10" t="s">
        <v>194</v>
      </c>
      <c r="CO10" t="s">
        <v>154</v>
      </c>
      <c r="CP10" t="s">
        <v>195</v>
      </c>
      <c r="CQ10" t="s">
        <v>196</v>
      </c>
      <c r="CR10" t="s">
        <v>154</v>
      </c>
      <c r="CS10" t="s">
        <v>197</v>
      </c>
      <c r="CT10" t="s">
        <v>198</v>
      </c>
      <c r="CU10" t="s">
        <v>199</v>
      </c>
      <c r="CV10" t="s">
        <v>151</v>
      </c>
      <c r="CW10" t="s">
        <v>361</v>
      </c>
      <c r="CX10" t="s">
        <v>200</v>
      </c>
      <c r="CY10" t="s">
        <v>201</v>
      </c>
      <c r="CZ10" t="s">
        <v>202</v>
      </c>
      <c r="DA10" t="s">
        <v>203</v>
      </c>
      <c r="DB10" t="s">
        <v>204</v>
      </c>
      <c r="DC10" t="s">
        <v>205</v>
      </c>
    </row>
    <row r="11" spans="1:107" x14ac:dyDescent="0.45">
      <c r="A11" t="s">
        <v>381</v>
      </c>
      <c r="B11" t="s">
        <v>382</v>
      </c>
      <c r="C11" t="s">
        <v>139</v>
      </c>
      <c r="D11" t="s">
        <v>76</v>
      </c>
      <c r="E11" t="s">
        <v>140</v>
      </c>
      <c r="F11" t="s">
        <v>19</v>
      </c>
      <c r="G11" t="s">
        <v>383</v>
      </c>
      <c r="H11" t="s">
        <v>19</v>
      </c>
      <c r="I11" t="s">
        <v>19</v>
      </c>
      <c r="J11">
        <f t="shared" si="0"/>
        <v>7.7937259134442688E-2</v>
      </c>
      <c r="K11">
        <f t="shared" si="1"/>
        <v>2.9058327199999998</v>
      </c>
      <c r="L11">
        <f t="shared" si="2"/>
        <v>7.5901506913639352E-2</v>
      </c>
      <c r="M11">
        <f t="shared" si="3"/>
        <v>0.78628541418701425</v>
      </c>
      <c r="N11" t="s">
        <v>384</v>
      </c>
      <c r="O11" t="s">
        <v>385</v>
      </c>
      <c r="P11">
        <f t="shared" si="4"/>
        <v>3.1626562829603095</v>
      </c>
      <c r="Q11">
        <f t="shared" si="5"/>
        <v>1.0120652829603096</v>
      </c>
      <c r="R11" t="s">
        <v>386</v>
      </c>
      <c r="S11" t="s">
        <v>387</v>
      </c>
      <c r="T11">
        <f t="shared" si="6"/>
        <v>31.516255933834675</v>
      </c>
      <c r="U11">
        <f t="shared" si="7"/>
        <v>0.4417875</v>
      </c>
      <c r="V11" t="s">
        <v>146</v>
      </c>
      <c r="W11" t="s">
        <v>388</v>
      </c>
      <c r="X11" t="s">
        <v>389</v>
      </c>
      <c r="Y11" t="s">
        <v>390</v>
      </c>
      <c r="Z11" t="s">
        <v>391</v>
      </c>
      <c r="AA11" t="s">
        <v>151</v>
      </c>
      <c r="AB11" t="s">
        <v>151</v>
      </c>
      <c r="AC11" t="s">
        <v>151</v>
      </c>
      <c r="AD11" t="s">
        <v>152</v>
      </c>
      <c r="AE11" t="s">
        <v>153</v>
      </c>
      <c r="AF11">
        <f t="shared" si="8"/>
        <v>0</v>
      </c>
      <c r="AG11" t="s">
        <v>154</v>
      </c>
      <c r="AH11" t="s">
        <v>392</v>
      </c>
      <c r="AI11" t="s">
        <v>393</v>
      </c>
      <c r="AJ11" t="s">
        <v>394</v>
      </c>
      <c r="AK11" t="s">
        <v>395</v>
      </c>
      <c r="AL11">
        <f t="shared" si="9"/>
        <v>24.91</v>
      </c>
      <c r="AM11" t="s">
        <v>396</v>
      </c>
      <c r="AN11" t="s">
        <v>251</v>
      </c>
      <c r="AO11" t="s">
        <v>397</v>
      </c>
      <c r="AP11" t="s">
        <v>398</v>
      </c>
      <c r="AQ11" t="s">
        <v>163</v>
      </c>
      <c r="AR11" t="s">
        <v>341</v>
      </c>
      <c r="AS11" t="s">
        <v>165</v>
      </c>
      <c r="AT11" t="s">
        <v>139</v>
      </c>
      <c r="AU11" t="s">
        <v>166</v>
      </c>
      <c r="AV11" t="s">
        <v>137</v>
      </c>
      <c r="AW11" t="s">
        <v>399</v>
      </c>
      <c r="AX11" t="s">
        <v>400</v>
      </c>
      <c r="AY11" t="s">
        <v>169</v>
      </c>
      <c r="AZ11" t="s">
        <v>401</v>
      </c>
      <c r="BA11" t="s">
        <v>402</v>
      </c>
      <c r="BB11" t="s">
        <v>169</v>
      </c>
      <c r="BC11" t="s">
        <v>137</v>
      </c>
      <c r="BD11" t="s">
        <v>172</v>
      </c>
      <c r="BE11" t="s">
        <v>169</v>
      </c>
      <c r="BF11" t="s">
        <v>173</v>
      </c>
      <c r="BG11" t="s">
        <v>174</v>
      </c>
      <c r="BH11" t="s">
        <v>151</v>
      </c>
      <c r="BI11" t="s">
        <v>175</v>
      </c>
      <c r="BJ11" t="s">
        <v>151</v>
      </c>
      <c r="BK11" t="s">
        <v>151</v>
      </c>
      <c r="BL11" t="s">
        <v>176</v>
      </c>
      <c r="BM11" t="s">
        <v>177</v>
      </c>
      <c r="BN11" t="s">
        <v>137</v>
      </c>
      <c r="BO11" t="s">
        <v>178</v>
      </c>
      <c r="BP11" t="s">
        <v>179</v>
      </c>
      <c r="BQ11" t="s">
        <v>180</v>
      </c>
      <c r="BR11" t="s">
        <v>154</v>
      </c>
      <c r="BS11" t="s">
        <v>181</v>
      </c>
      <c r="BT11" t="s">
        <v>182</v>
      </c>
      <c r="BU11" t="s">
        <v>182</v>
      </c>
      <c r="BV11" t="s">
        <v>182</v>
      </c>
      <c r="BW11" t="s">
        <v>151</v>
      </c>
      <c r="BX11" t="s">
        <v>183</v>
      </c>
      <c r="BY11" t="s">
        <v>151</v>
      </c>
      <c r="BZ11" t="s">
        <v>151</v>
      </c>
      <c r="CA11" t="s">
        <v>151</v>
      </c>
      <c r="CB11" t="s">
        <v>151</v>
      </c>
      <c r="CC11" t="s">
        <v>403</v>
      </c>
      <c r="CD11" t="s">
        <v>404</v>
      </c>
      <c r="CE11" t="s">
        <v>405</v>
      </c>
      <c r="CF11" t="s">
        <v>406</v>
      </c>
      <c r="CG11" t="s">
        <v>407</v>
      </c>
      <c r="CH11" t="s">
        <v>408</v>
      </c>
      <c r="CI11" t="s">
        <v>409</v>
      </c>
      <c r="CJ11" t="s">
        <v>265</v>
      </c>
      <c r="CK11" t="s">
        <v>389</v>
      </c>
      <c r="CL11" t="s">
        <v>410</v>
      </c>
      <c r="CM11" t="s">
        <v>193</v>
      </c>
      <c r="CN11" t="s">
        <v>194</v>
      </c>
      <c r="CO11" t="s">
        <v>154</v>
      </c>
      <c r="CP11" t="s">
        <v>195</v>
      </c>
      <c r="CQ11" t="s">
        <v>196</v>
      </c>
      <c r="CR11" t="s">
        <v>154</v>
      </c>
      <c r="CS11" t="s">
        <v>197</v>
      </c>
      <c r="CT11" t="s">
        <v>198</v>
      </c>
      <c r="CU11" t="s">
        <v>199</v>
      </c>
      <c r="CV11" t="s">
        <v>151</v>
      </c>
      <c r="CW11" t="s">
        <v>388</v>
      </c>
      <c r="CX11" t="s">
        <v>200</v>
      </c>
      <c r="CY11" t="s">
        <v>201</v>
      </c>
      <c r="CZ11" t="s">
        <v>202</v>
      </c>
      <c r="DA11" t="s">
        <v>203</v>
      </c>
      <c r="DB11" t="s">
        <v>204</v>
      </c>
      <c r="DC11" t="s">
        <v>205</v>
      </c>
    </row>
    <row r="12" spans="1:107" x14ac:dyDescent="0.45">
      <c r="A12" t="s">
        <v>411</v>
      </c>
      <c r="B12" t="s">
        <v>412</v>
      </c>
      <c r="C12" t="s">
        <v>139</v>
      </c>
      <c r="D12" t="s">
        <v>76</v>
      </c>
      <c r="E12" t="s">
        <v>140</v>
      </c>
      <c r="F12" t="s">
        <v>19</v>
      </c>
      <c r="G12" t="s">
        <v>413</v>
      </c>
      <c r="H12" t="s">
        <v>19</v>
      </c>
      <c r="I12" t="s">
        <v>19</v>
      </c>
      <c r="J12">
        <f t="shared" si="0"/>
        <v>8.0496709009575923E-2</v>
      </c>
      <c r="K12">
        <f t="shared" si="1"/>
        <v>2.9050319999999994</v>
      </c>
      <c r="L12">
        <f t="shared" si="2"/>
        <v>7.832633290774238E-2</v>
      </c>
      <c r="M12">
        <f t="shared" si="3"/>
        <v>0.84976050881789134</v>
      </c>
      <c r="N12" t="s">
        <v>414</v>
      </c>
      <c r="O12" t="s">
        <v>415</v>
      </c>
      <c r="P12">
        <f t="shared" si="4"/>
        <v>3.2177895977677848</v>
      </c>
      <c r="Q12">
        <f t="shared" si="5"/>
        <v>1.0595115977677847</v>
      </c>
      <c r="R12" t="s">
        <v>416</v>
      </c>
      <c r="S12" t="s">
        <v>417</v>
      </c>
      <c r="T12">
        <f t="shared" si="6"/>
        <v>32.065666146166265</v>
      </c>
      <c r="U12">
        <f t="shared" si="7"/>
        <v>0.4417875</v>
      </c>
      <c r="V12" t="s">
        <v>146</v>
      </c>
      <c r="W12" t="s">
        <v>418</v>
      </c>
      <c r="X12" t="s">
        <v>419</v>
      </c>
      <c r="Y12" t="s">
        <v>420</v>
      </c>
      <c r="Z12" t="s">
        <v>421</v>
      </c>
      <c r="AA12" t="s">
        <v>151</v>
      </c>
      <c r="AB12" t="s">
        <v>151</v>
      </c>
      <c r="AC12" t="s">
        <v>151</v>
      </c>
      <c r="AD12" t="s">
        <v>152</v>
      </c>
      <c r="AE12" t="s">
        <v>153</v>
      </c>
      <c r="AF12">
        <f t="shared" si="8"/>
        <v>0</v>
      </c>
      <c r="AG12" t="s">
        <v>154</v>
      </c>
      <c r="AH12" t="s">
        <v>422</v>
      </c>
      <c r="AI12" t="s">
        <v>423</v>
      </c>
      <c r="AJ12" t="s">
        <v>424</v>
      </c>
      <c r="AK12" t="s">
        <v>425</v>
      </c>
      <c r="AL12">
        <f t="shared" si="9"/>
        <v>25.2</v>
      </c>
      <c r="AM12" t="s">
        <v>396</v>
      </c>
      <c r="AN12" t="s">
        <v>160</v>
      </c>
      <c r="AO12" t="s">
        <v>426</v>
      </c>
      <c r="AP12" t="s">
        <v>427</v>
      </c>
      <c r="AQ12" t="s">
        <v>163</v>
      </c>
      <c r="AR12" t="s">
        <v>428</v>
      </c>
      <c r="AS12" t="s">
        <v>165</v>
      </c>
      <c r="AT12" t="s">
        <v>139</v>
      </c>
      <c r="AU12" t="s">
        <v>166</v>
      </c>
      <c r="AV12" t="s">
        <v>137</v>
      </c>
      <c r="AW12" t="s">
        <v>285</v>
      </c>
      <c r="AX12" t="s">
        <v>429</v>
      </c>
      <c r="AY12" t="s">
        <v>169</v>
      </c>
      <c r="AZ12" t="s">
        <v>430</v>
      </c>
      <c r="BA12" t="s">
        <v>431</v>
      </c>
      <c r="BB12" t="s">
        <v>169</v>
      </c>
      <c r="BC12" t="s">
        <v>137</v>
      </c>
      <c r="BD12" t="s">
        <v>172</v>
      </c>
      <c r="BE12" t="s">
        <v>169</v>
      </c>
      <c r="BF12" t="s">
        <v>173</v>
      </c>
      <c r="BG12" t="s">
        <v>174</v>
      </c>
      <c r="BH12" t="s">
        <v>151</v>
      </c>
      <c r="BI12" t="s">
        <v>175</v>
      </c>
      <c r="BJ12" t="s">
        <v>151</v>
      </c>
      <c r="BK12" t="s">
        <v>151</v>
      </c>
      <c r="BL12" t="s">
        <v>176</v>
      </c>
      <c r="BM12" t="s">
        <v>177</v>
      </c>
      <c r="BN12" t="s">
        <v>137</v>
      </c>
      <c r="BO12" t="s">
        <v>178</v>
      </c>
      <c r="BP12" t="s">
        <v>179</v>
      </c>
      <c r="BQ12" t="s">
        <v>180</v>
      </c>
      <c r="BR12" t="s">
        <v>154</v>
      </c>
      <c r="BS12" t="s">
        <v>181</v>
      </c>
      <c r="BT12" t="s">
        <v>182</v>
      </c>
      <c r="BU12" t="s">
        <v>182</v>
      </c>
      <c r="BV12" t="s">
        <v>182</v>
      </c>
      <c r="BW12" t="s">
        <v>151</v>
      </c>
      <c r="BX12" t="s">
        <v>183</v>
      </c>
      <c r="BY12" t="s">
        <v>151</v>
      </c>
      <c r="BZ12" t="s">
        <v>151</v>
      </c>
      <c r="CA12" t="s">
        <v>151</v>
      </c>
      <c r="CB12" t="s">
        <v>151</v>
      </c>
      <c r="CC12" t="s">
        <v>432</v>
      </c>
      <c r="CD12" t="s">
        <v>433</v>
      </c>
      <c r="CE12" t="s">
        <v>434</v>
      </c>
      <c r="CF12" t="s">
        <v>435</v>
      </c>
      <c r="CG12" t="s">
        <v>436</v>
      </c>
      <c r="CH12" t="s">
        <v>437</v>
      </c>
      <c r="CI12" t="s">
        <v>438</v>
      </c>
      <c r="CJ12" t="s">
        <v>439</v>
      </c>
      <c r="CK12" t="s">
        <v>419</v>
      </c>
      <c r="CL12" t="s">
        <v>440</v>
      </c>
      <c r="CM12" t="s">
        <v>193</v>
      </c>
      <c r="CN12" t="s">
        <v>194</v>
      </c>
      <c r="CO12" t="s">
        <v>154</v>
      </c>
      <c r="CP12" t="s">
        <v>195</v>
      </c>
      <c r="CQ12" t="s">
        <v>196</v>
      </c>
      <c r="CR12" t="s">
        <v>154</v>
      </c>
      <c r="CS12" t="s">
        <v>197</v>
      </c>
      <c r="CT12" t="s">
        <v>198</v>
      </c>
      <c r="CU12" t="s">
        <v>199</v>
      </c>
      <c r="CV12" t="s">
        <v>151</v>
      </c>
      <c r="CW12" t="s">
        <v>418</v>
      </c>
      <c r="CX12" t="s">
        <v>200</v>
      </c>
      <c r="CY12" t="s">
        <v>201</v>
      </c>
      <c r="CZ12" t="s">
        <v>202</v>
      </c>
      <c r="DA12" t="s">
        <v>203</v>
      </c>
      <c r="DB12" t="s">
        <v>204</v>
      </c>
      <c r="DC12" t="s">
        <v>205</v>
      </c>
    </row>
    <row r="13" spans="1:107" x14ac:dyDescent="0.45">
      <c r="A13" t="s">
        <v>441</v>
      </c>
      <c r="B13" t="s">
        <v>442</v>
      </c>
      <c r="C13" t="s">
        <v>139</v>
      </c>
      <c r="D13" t="s">
        <v>76</v>
      </c>
      <c r="E13" t="s">
        <v>140</v>
      </c>
      <c r="F13" t="s">
        <v>19</v>
      </c>
      <c r="G13" t="s">
        <v>443</v>
      </c>
      <c r="H13" t="s">
        <v>19</v>
      </c>
      <c r="I13" t="s">
        <v>19</v>
      </c>
      <c r="J13">
        <f t="shared" si="0"/>
        <v>0.17476330067336454</v>
      </c>
      <c r="K13">
        <f t="shared" si="1"/>
        <v>2.9026216799999998</v>
      </c>
      <c r="L13">
        <f t="shared" si="2"/>
        <v>0.16483857190070189</v>
      </c>
      <c r="M13">
        <f t="shared" si="3"/>
        <v>1.7647884351443877</v>
      </c>
      <c r="N13" t="s">
        <v>444</v>
      </c>
      <c r="O13" t="s">
        <v>445</v>
      </c>
      <c r="P13">
        <f t="shared" si="4"/>
        <v>3.2139605199382135</v>
      </c>
      <c r="Q13">
        <f t="shared" si="5"/>
        <v>1.0454815199382135</v>
      </c>
      <c r="R13" t="s">
        <v>446</v>
      </c>
      <c r="S13" t="s">
        <v>447</v>
      </c>
      <c r="T13">
        <f t="shared" si="6"/>
        <v>32.030700816605673</v>
      </c>
      <c r="U13">
        <f t="shared" si="7"/>
        <v>0.4417875</v>
      </c>
      <c r="V13" t="s">
        <v>146</v>
      </c>
      <c r="W13" t="s">
        <v>448</v>
      </c>
      <c r="X13" t="s">
        <v>449</v>
      </c>
      <c r="Y13" t="s">
        <v>450</v>
      </c>
      <c r="Z13" t="s">
        <v>451</v>
      </c>
      <c r="AA13" t="s">
        <v>151</v>
      </c>
      <c r="AB13" t="s">
        <v>151</v>
      </c>
      <c r="AC13" t="s">
        <v>151</v>
      </c>
      <c r="AD13" t="s">
        <v>152</v>
      </c>
      <c r="AE13" t="s">
        <v>153</v>
      </c>
      <c r="AF13">
        <f t="shared" si="8"/>
        <v>0</v>
      </c>
      <c r="AG13" t="s">
        <v>154</v>
      </c>
      <c r="AH13" t="s">
        <v>452</v>
      </c>
      <c r="AI13" t="s">
        <v>453</v>
      </c>
      <c r="AJ13" t="s">
        <v>454</v>
      </c>
      <c r="AK13" t="s">
        <v>455</v>
      </c>
      <c r="AL13">
        <f t="shared" si="9"/>
        <v>25.18</v>
      </c>
      <c r="AM13" t="s">
        <v>159</v>
      </c>
      <c r="AN13" t="s">
        <v>456</v>
      </c>
      <c r="AO13" t="s">
        <v>457</v>
      </c>
      <c r="AP13" t="s">
        <v>458</v>
      </c>
      <c r="AQ13" t="s">
        <v>163</v>
      </c>
      <c r="AR13" t="s">
        <v>459</v>
      </c>
      <c r="AS13" t="s">
        <v>165</v>
      </c>
      <c r="AT13" t="s">
        <v>139</v>
      </c>
      <c r="AU13" t="s">
        <v>166</v>
      </c>
      <c r="AV13" t="s">
        <v>137</v>
      </c>
      <c r="AW13" t="s">
        <v>168</v>
      </c>
      <c r="AX13" t="s">
        <v>460</v>
      </c>
      <c r="AY13" t="s">
        <v>169</v>
      </c>
      <c r="AZ13" t="s">
        <v>461</v>
      </c>
      <c r="BA13" t="s">
        <v>462</v>
      </c>
      <c r="BB13" t="s">
        <v>169</v>
      </c>
      <c r="BC13" t="s">
        <v>137</v>
      </c>
      <c r="BD13" t="s">
        <v>172</v>
      </c>
      <c r="BE13" t="s">
        <v>169</v>
      </c>
      <c r="BF13" t="s">
        <v>173</v>
      </c>
      <c r="BG13" t="s">
        <v>174</v>
      </c>
      <c r="BH13" t="s">
        <v>151</v>
      </c>
      <c r="BI13" t="s">
        <v>175</v>
      </c>
      <c r="BJ13" t="s">
        <v>151</v>
      </c>
      <c r="BK13" t="s">
        <v>151</v>
      </c>
      <c r="BL13" t="s">
        <v>176</v>
      </c>
      <c r="BM13" t="s">
        <v>177</v>
      </c>
      <c r="BN13" t="s">
        <v>137</v>
      </c>
      <c r="BO13" t="s">
        <v>178</v>
      </c>
      <c r="BP13" t="s">
        <v>179</v>
      </c>
      <c r="BQ13" t="s">
        <v>180</v>
      </c>
      <c r="BR13" t="s">
        <v>154</v>
      </c>
      <c r="BS13" t="s">
        <v>181</v>
      </c>
      <c r="BT13" t="s">
        <v>182</v>
      </c>
      <c r="BU13" t="s">
        <v>182</v>
      </c>
      <c r="BV13" t="s">
        <v>182</v>
      </c>
      <c r="BW13" t="s">
        <v>151</v>
      </c>
      <c r="BX13" t="s">
        <v>183</v>
      </c>
      <c r="BY13" t="s">
        <v>151</v>
      </c>
      <c r="BZ13" t="s">
        <v>151</v>
      </c>
      <c r="CA13" t="s">
        <v>151</v>
      </c>
      <c r="CB13" t="s">
        <v>151</v>
      </c>
      <c r="CC13" t="s">
        <v>463</v>
      </c>
      <c r="CD13" t="s">
        <v>464</v>
      </c>
      <c r="CE13" t="s">
        <v>465</v>
      </c>
      <c r="CF13" t="s">
        <v>466</v>
      </c>
      <c r="CG13" t="s">
        <v>467</v>
      </c>
      <c r="CH13" t="s">
        <v>468</v>
      </c>
      <c r="CI13" t="s">
        <v>469</v>
      </c>
      <c r="CJ13" t="s">
        <v>470</v>
      </c>
      <c r="CK13" t="s">
        <v>449</v>
      </c>
      <c r="CL13" t="s">
        <v>410</v>
      </c>
      <c r="CM13" t="s">
        <v>193</v>
      </c>
      <c r="CN13" t="s">
        <v>194</v>
      </c>
      <c r="CO13" t="s">
        <v>154</v>
      </c>
      <c r="CP13" t="s">
        <v>195</v>
      </c>
      <c r="CQ13" t="s">
        <v>196</v>
      </c>
      <c r="CR13" t="s">
        <v>154</v>
      </c>
      <c r="CS13" t="s">
        <v>197</v>
      </c>
      <c r="CT13" t="s">
        <v>198</v>
      </c>
      <c r="CU13" t="s">
        <v>199</v>
      </c>
      <c r="CV13" t="s">
        <v>151</v>
      </c>
      <c r="CW13" t="s">
        <v>448</v>
      </c>
      <c r="CX13" t="s">
        <v>200</v>
      </c>
      <c r="CY13" t="s">
        <v>201</v>
      </c>
      <c r="CZ13" t="s">
        <v>202</v>
      </c>
      <c r="DA13" t="s">
        <v>203</v>
      </c>
      <c r="DB13" t="s">
        <v>204</v>
      </c>
      <c r="DC13" t="s">
        <v>205</v>
      </c>
    </row>
    <row r="14" spans="1:107" x14ac:dyDescent="0.45">
      <c r="A14" t="s">
        <v>471</v>
      </c>
      <c r="B14" t="s">
        <v>472</v>
      </c>
      <c r="C14" t="s">
        <v>139</v>
      </c>
      <c r="D14" t="s">
        <v>76</v>
      </c>
      <c r="E14" t="s">
        <v>140</v>
      </c>
      <c r="F14" t="s">
        <v>19</v>
      </c>
      <c r="G14" t="s">
        <v>473</v>
      </c>
      <c r="H14" t="s">
        <v>19</v>
      </c>
      <c r="I14" t="s">
        <v>19</v>
      </c>
      <c r="J14">
        <f t="shared" si="0"/>
        <v>0.11507214987508348</v>
      </c>
      <c r="K14">
        <f t="shared" si="1"/>
        <v>2.9050319999999994</v>
      </c>
      <c r="L14">
        <f t="shared" si="2"/>
        <v>0.11068766542694901</v>
      </c>
      <c r="M14">
        <f t="shared" si="3"/>
        <v>1.16816424936358</v>
      </c>
      <c r="N14" t="s">
        <v>474</v>
      </c>
      <c r="O14" t="s">
        <v>475</v>
      </c>
      <c r="P14">
        <f t="shared" si="4"/>
        <v>3.2024971644540732</v>
      </c>
      <c r="Q14">
        <f t="shared" si="5"/>
        <v>1.0306141644540734</v>
      </c>
      <c r="R14" t="s">
        <v>476</v>
      </c>
      <c r="S14" t="s">
        <v>477</v>
      </c>
      <c r="T14">
        <f t="shared" si="6"/>
        <v>31.916455695177127</v>
      </c>
      <c r="U14">
        <f t="shared" si="7"/>
        <v>0.4417875</v>
      </c>
      <c r="V14" t="s">
        <v>146</v>
      </c>
      <c r="W14" t="s">
        <v>478</v>
      </c>
      <c r="X14" t="s">
        <v>479</v>
      </c>
      <c r="Y14" t="s">
        <v>480</v>
      </c>
      <c r="Z14" t="s">
        <v>481</v>
      </c>
      <c r="AA14" t="s">
        <v>151</v>
      </c>
      <c r="AB14" t="s">
        <v>151</v>
      </c>
      <c r="AC14" t="s">
        <v>151</v>
      </c>
      <c r="AD14" t="s">
        <v>152</v>
      </c>
      <c r="AE14" t="s">
        <v>153</v>
      </c>
      <c r="AF14">
        <f t="shared" si="8"/>
        <v>0</v>
      </c>
      <c r="AG14" t="s">
        <v>154</v>
      </c>
      <c r="AH14" t="s">
        <v>482</v>
      </c>
      <c r="AI14" t="s">
        <v>483</v>
      </c>
      <c r="AJ14" t="s">
        <v>484</v>
      </c>
      <c r="AK14" t="s">
        <v>485</v>
      </c>
      <c r="AL14">
        <f t="shared" si="9"/>
        <v>25.12</v>
      </c>
      <c r="AM14" t="s">
        <v>159</v>
      </c>
      <c r="AN14" t="s">
        <v>160</v>
      </c>
      <c r="AO14" t="s">
        <v>486</v>
      </c>
      <c r="AP14" t="s">
        <v>487</v>
      </c>
      <c r="AQ14" t="s">
        <v>163</v>
      </c>
      <c r="AR14" t="s">
        <v>488</v>
      </c>
      <c r="AS14" t="s">
        <v>165</v>
      </c>
      <c r="AT14" t="s">
        <v>139</v>
      </c>
      <c r="AU14" t="s">
        <v>166</v>
      </c>
      <c r="AV14" t="s">
        <v>137</v>
      </c>
      <c r="AW14" t="s">
        <v>399</v>
      </c>
      <c r="AX14" t="s">
        <v>489</v>
      </c>
      <c r="AY14" t="s">
        <v>169</v>
      </c>
      <c r="AZ14" t="s">
        <v>490</v>
      </c>
      <c r="BA14" t="s">
        <v>491</v>
      </c>
      <c r="BB14" t="s">
        <v>169</v>
      </c>
      <c r="BC14" t="s">
        <v>137</v>
      </c>
      <c r="BD14" t="s">
        <v>172</v>
      </c>
      <c r="BE14" t="s">
        <v>169</v>
      </c>
      <c r="BF14" t="s">
        <v>173</v>
      </c>
      <c r="BG14" t="s">
        <v>174</v>
      </c>
      <c r="BH14" t="s">
        <v>151</v>
      </c>
      <c r="BI14" t="s">
        <v>175</v>
      </c>
      <c r="BJ14" t="s">
        <v>151</v>
      </c>
      <c r="BK14" t="s">
        <v>151</v>
      </c>
      <c r="BL14" t="s">
        <v>176</v>
      </c>
      <c r="BM14" t="s">
        <v>177</v>
      </c>
      <c r="BN14" t="s">
        <v>137</v>
      </c>
      <c r="BO14" t="s">
        <v>178</v>
      </c>
      <c r="BP14" t="s">
        <v>179</v>
      </c>
      <c r="BQ14" t="s">
        <v>180</v>
      </c>
      <c r="BR14" t="s">
        <v>154</v>
      </c>
      <c r="BS14" t="s">
        <v>181</v>
      </c>
      <c r="BT14" t="s">
        <v>182</v>
      </c>
      <c r="BU14" t="s">
        <v>182</v>
      </c>
      <c r="BV14" t="s">
        <v>182</v>
      </c>
      <c r="BW14" t="s">
        <v>151</v>
      </c>
      <c r="BX14" t="s">
        <v>183</v>
      </c>
      <c r="BY14" t="s">
        <v>151</v>
      </c>
      <c r="BZ14" t="s">
        <v>151</v>
      </c>
      <c r="CA14" t="s">
        <v>151</v>
      </c>
      <c r="CB14" t="s">
        <v>151</v>
      </c>
      <c r="CC14" t="s">
        <v>492</v>
      </c>
      <c r="CD14" t="s">
        <v>493</v>
      </c>
      <c r="CE14" t="s">
        <v>494</v>
      </c>
      <c r="CF14" t="s">
        <v>495</v>
      </c>
      <c r="CG14" t="s">
        <v>496</v>
      </c>
      <c r="CH14" t="s">
        <v>497</v>
      </c>
      <c r="CI14" t="s">
        <v>498</v>
      </c>
      <c r="CJ14" t="s">
        <v>191</v>
      </c>
      <c r="CK14" t="s">
        <v>479</v>
      </c>
      <c r="CL14" t="s">
        <v>235</v>
      </c>
      <c r="CM14" t="s">
        <v>193</v>
      </c>
      <c r="CN14" t="s">
        <v>194</v>
      </c>
      <c r="CO14" t="s">
        <v>154</v>
      </c>
      <c r="CP14" t="s">
        <v>195</v>
      </c>
      <c r="CQ14" t="s">
        <v>196</v>
      </c>
      <c r="CR14" t="s">
        <v>154</v>
      </c>
      <c r="CS14" t="s">
        <v>197</v>
      </c>
      <c r="CT14" t="s">
        <v>198</v>
      </c>
      <c r="CU14" t="s">
        <v>199</v>
      </c>
      <c r="CV14" t="s">
        <v>151</v>
      </c>
      <c r="CW14" t="s">
        <v>478</v>
      </c>
      <c r="CX14" t="s">
        <v>200</v>
      </c>
      <c r="CY14" t="s">
        <v>201</v>
      </c>
      <c r="CZ14" t="s">
        <v>202</v>
      </c>
      <c r="DA14" t="s">
        <v>203</v>
      </c>
      <c r="DB14" t="s">
        <v>204</v>
      </c>
      <c r="DC14" t="s">
        <v>205</v>
      </c>
    </row>
    <row r="15" spans="1:107" x14ac:dyDescent="0.45">
      <c r="A15" t="s">
        <v>499</v>
      </c>
      <c r="B15" t="s">
        <v>500</v>
      </c>
      <c r="C15" t="s">
        <v>139</v>
      </c>
      <c r="D15" t="s">
        <v>76</v>
      </c>
      <c r="E15" t="s">
        <v>140</v>
      </c>
      <c r="F15" t="s">
        <v>19</v>
      </c>
      <c r="G15" t="s">
        <v>501</v>
      </c>
      <c r="H15" t="s">
        <v>19</v>
      </c>
      <c r="I15" t="s">
        <v>19</v>
      </c>
      <c r="J15">
        <f t="shared" si="0"/>
        <v>9.2606577904601042E-2</v>
      </c>
      <c r="K15">
        <f t="shared" si="1"/>
        <v>2.9050319999999994</v>
      </c>
      <c r="L15">
        <f t="shared" si="2"/>
        <v>8.9745666541098473E-2</v>
      </c>
      <c r="M15">
        <f t="shared" si="3"/>
        <v>0.97755672743931377</v>
      </c>
      <c r="N15" t="s">
        <v>502</v>
      </c>
      <c r="O15" t="s">
        <v>503</v>
      </c>
      <c r="P15">
        <f t="shared" si="4"/>
        <v>3.2235406884260489</v>
      </c>
      <c r="Q15">
        <f t="shared" si="5"/>
        <v>1.0635926884260489</v>
      </c>
      <c r="R15" t="s">
        <v>504</v>
      </c>
      <c r="S15" t="s">
        <v>505</v>
      </c>
      <c r="T15">
        <f t="shared" si="6"/>
        <v>32.126177879470291</v>
      </c>
      <c r="U15">
        <f t="shared" si="7"/>
        <v>0.4417875</v>
      </c>
      <c r="V15" t="s">
        <v>146</v>
      </c>
      <c r="W15" t="s">
        <v>506</v>
      </c>
      <c r="X15" t="s">
        <v>507</v>
      </c>
      <c r="Y15" t="s">
        <v>508</v>
      </c>
      <c r="Z15" t="s">
        <v>509</v>
      </c>
      <c r="AA15" t="s">
        <v>151</v>
      </c>
      <c r="AB15" t="s">
        <v>151</v>
      </c>
      <c r="AC15" t="s">
        <v>151</v>
      </c>
      <c r="AD15" t="s">
        <v>152</v>
      </c>
      <c r="AE15" t="s">
        <v>153</v>
      </c>
      <c r="AF15">
        <f t="shared" si="8"/>
        <v>0</v>
      </c>
      <c r="AG15" t="s">
        <v>154</v>
      </c>
      <c r="AH15" t="s">
        <v>510</v>
      </c>
      <c r="AI15" t="s">
        <v>511</v>
      </c>
      <c r="AJ15" t="s">
        <v>512</v>
      </c>
      <c r="AK15" t="s">
        <v>513</v>
      </c>
      <c r="AL15">
        <f t="shared" si="9"/>
        <v>25.23</v>
      </c>
      <c r="AM15" t="s">
        <v>159</v>
      </c>
      <c r="AN15" t="s">
        <v>160</v>
      </c>
      <c r="AO15" t="s">
        <v>514</v>
      </c>
      <c r="AP15" t="s">
        <v>253</v>
      </c>
      <c r="AQ15" t="s">
        <v>163</v>
      </c>
      <c r="AR15" t="s">
        <v>459</v>
      </c>
      <c r="AS15" t="s">
        <v>165</v>
      </c>
      <c r="AT15" t="s">
        <v>139</v>
      </c>
      <c r="AU15" t="s">
        <v>166</v>
      </c>
      <c r="AV15" t="s">
        <v>137</v>
      </c>
      <c r="AW15" t="s">
        <v>515</v>
      </c>
      <c r="AX15" t="s">
        <v>516</v>
      </c>
      <c r="AY15" t="s">
        <v>169</v>
      </c>
      <c r="AZ15" t="s">
        <v>517</v>
      </c>
      <c r="BA15" t="s">
        <v>518</v>
      </c>
      <c r="BB15" t="s">
        <v>169</v>
      </c>
      <c r="BC15" t="s">
        <v>137</v>
      </c>
      <c r="BD15" t="s">
        <v>172</v>
      </c>
      <c r="BE15" t="s">
        <v>169</v>
      </c>
      <c r="BF15" t="s">
        <v>173</v>
      </c>
      <c r="BG15" t="s">
        <v>174</v>
      </c>
      <c r="BH15" t="s">
        <v>151</v>
      </c>
      <c r="BI15" t="s">
        <v>175</v>
      </c>
      <c r="BJ15" t="s">
        <v>151</v>
      </c>
      <c r="BK15" t="s">
        <v>151</v>
      </c>
      <c r="BL15" t="s">
        <v>176</v>
      </c>
      <c r="BM15" t="s">
        <v>177</v>
      </c>
      <c r="BN15" t="s">
        <v>137</v>
      </c>
      <c r="BO15" t="s">
        <v>178</v>
      </c>
      <c r="BP15" t="s">
        <v>179</v>
      </c>
      <c r="BQ15" t="s">
        <v>180</v>
      </c>
      <c r="BR15" t="s">
        <v>154</v>
      </c>
      <c r="BS15" t="s">
        <v>181</v>
      </c>
      <c r="BT15" t="s">
        <v>182</v>
      </c>
      <c r="BU15" t="s">
        <v>182</v>
      </c>
      <c r="BV15" t="s">
        <v>182</v>
      </c>
      <c r="BW15" t="s">
        <v>151</v>
      </c>
      <c r="BX15" t="s">
        <v>183</v>
      </c>
      <c r="BY15" t="s">
        <v>151</v>
      </c>
      <c r="BZ15" t="s">
        <v>151</v>
      </c>
      <c r="CA15" t="s">
        <v>151</v>
      </c>
      <c r="CB15" t="s">
        <v>151</v>
      </c>
      <c r="CC15" t="s">
        <v>519</v>
      </c>
      <c r="CD15" t="s">
        <v>520</v>
      </c>
      <c r="CE15" t="s">
        <v>521</v>
      </c>
      <c r="CF15" t="s">
        <v>522</v>
      </c>
      <c r="CG15" t="s">
        <v>523</v>
      </c>
      <c r="CH15" t="s">
        <v>524</v>
      </c>
      <c r="CI15" t="s">
        <v>525</v>
      </c>
      <c r="CJ15" t="s">
        <v>353</v>
      </c>
      <c r="CK15" t="s">
        <v>507</v>
      </c>
      <c r="CL15" t="s">
        <v>192</v>
      </c>
      <c r="CM15" t="s">
        <v>193</v>
      </c>
      <c r="CN15" t="s">
        <v>194</v>
      </c>
      <c r="CO15" t="s">
        <v>154</v>
      </c>
      <c r="CP15" t="s">
        <v>195</v>
      </c>
      <c r="CQ15" t="s">
        <v>196</v>
      </c>
      <c r="CR15" t="s">
        <v>154</v>
      </c>
      <c r="CS15" t="s">
        <v>197</v>
      </c>
      <c r="CT15" t="s">
        <v>198</v>
      </c>
      <c r="CU15" t="s">
        <v>199</v>
      </c>
      <c r="CV15" t="s">
        <v>151</v>
      </c>
      <c r="CW15" t="s">
        <v>506</v>
      </c>
      <c r="CX15" t="s">
        <v>200</v>
      </c>
      <c r="CY15" t="s">
        <v>201</v>
      </c>
      <c r="CZ15" t="s">
        <v>202</v>
      </c>
      <c r="DA15" t="s">
        <v>203</v>
      </c>
      <c r="DB15" t="s">
        <v>204</v>
      </c>
      <c r="DC15" t="s">
        <v>205</v>
      </c>
    </row>
    <row r="16" spans="1:107" x14ac:dyDescent="0.45">
      <c r="A16" t="s">
        <v>526</v>
      </c>
      <c r="B16" t="s">
        <v>527</v>
      </c>
      <c r="C16" t="s">
        <v>139</v>
      </c>
      <c r="D16" t="s">
        <v>76</v>
      </c>
      <c r="E16" t="s">
        <v>140</v>
      </c>
      <c r="F16" t="s">
        <v>19</v>
      </c>
      <c r="G16" t="s">
        <v>528</v>
      </c>
      <c r="H16" t="s">
        <v>19</v>
      </c>
      <c r="I16" t="s">
        <v>19</v>
      </c>
      <c r="J16">
        <f t="shared" si="0"/>
        <v>6.6120926987781006E-2</v>
      </c>
      <c r="K16">
        <f t="shared" si="1"/>
        <v>2.9034264800000003</v>
      </c>
      <c r="L16">
        <f t="shared" si="2"/>
        <v>6.46486565079646E-2</v>
      </c>
      <c r="M16">
        <f t="shared" si="3"/>
        <v>0.71103604156233036</v>
      </c>
      <c r="N16" t="s">
        <v>529</v>
      </c>
      <c r="O16" t="s">
        <v>530</v>
      </c>
      <c r="P16">
        <f t="shared" si="4"/>
        <v>3.2177895977677848</v>
      </c>
      <c r="Q16">
        <f t="shared" si="5"/>
        <v>1.0741805977677847</v>
      </c>
      <c r="R16" t="s">
        <v>531</v>
      </c>
      <c r="S16" t="s">
        <v>532</v>
      </c>
      <c r="T16">
        <f t="shared" si="6"/>
        <v>32.065666146166265</v>
      </c>
      <c r="U16">
        <f t="shared" si="7"/>
        <v>0.4417875</v>
      </c>
      <c r="V16" t="s">
        <v>146</v>
      </c>
      <c r="W16" t="s">
        <v>533</v>
      </c>
      <c r="X16" t="s">
        <v>534</v>
      </c>
      <c r="Y16" t="s">
        <v>535</v>
      </c>
      <c r="Z16" t="s">
        <v>536</v>
      </c>
      <c r="AA16" t="s">
        <v>151</v>
      </c>
      <c r="AB16" t="s">
        <v>151</v>
      </c>
      <c r="AC16" t="s">
        <v>151</v>
      </c>
      <c r="AD16" t="s">
        <v>152</v>
      </c>
      <c r="AE16" t="s">
        <v>153</v>
      </c>
      <c r="AF16">
        <f t="shared" si="8"/>
        <v>0</v>
      </c>
      <c r="AG16" t="s">
        <v>154</v>
      </c>
      <c r="AH16" t="s">
        <v>537</v>
      </c>
      <c r="AI16" t="s">
        <v>538</v>
      </c>
      <c r="AJ16" t="s">
        <v>539</v>
      </c>
      <c r="AK16" t="s">
        <v>425</v>
      </c>
      <c r="AL16">
        <f t="shared" si="9"/>
        <v>25.2</v>
      </c>
      <c r="AM16" t="s">
        <v>396</v>
      </c>
      <c r="AN16" t="s">
        <v>339</v>
      </c>
      <c r="AO16" t="s">
        <v>540</v>
      </c>
      <c r="AP16" t="s">
        <v>541</v>
      </c>
      <c r="AQ16" t="s">
        <v>163</v>
      </c>
      <c r="AR16" t="s">
        <v>542</v>
      </c>
      <c r="AS16" t="s">
        <v>165</v>
      </c>
      <c r="AT16" t="s">
        <v>139</v>
      </c>
      <c r="AU16" t="s">
        <v>166</v>
      </c>
      <c r="AV16" t="s">
        <v>137</v>
      </c>
      <c r="AW16" t="s">
        <v>543</v>
      </c>
      <c r="AX16" t="s">
        <v>544</v>
      </c>
      <c r="AY16" t="s">
        <v>169</v>
      </c>
      <c r="AZ16" t="s">
        <v>545</v>
      </c>
      <c r="BA16" t="s">
        <v>546</v>
      </c>
      <c r="BB16" t="s">
        <v>169</v>
      </c>
      <c r="BC16" t="s">
        <v>137</v>
      </c>
      <c r="BD16" t="s">
        <v>172</v>
      </c>
      <c r="BE16" t="s">
        <v>169</v>
      </c>
      <c r="BF16" t="s">
        <v>173</v>
      </c>
      <c r="BG16" t="s">
        <v>174</v>
      </c>
      <c r="BH16" t="s">
        <v>151</v>
      </c>
      <c r="BI16" t="s">
        <v>175</v>
      </c>
      <c r="BJ16" t="s">
        <v>151</v>
      </c>
      <c r="BK16" t="s">
        <v>151</v>
      </c>
      <c r="BL16" t="s">
        <v>176</v>
      </c>
      <c r="BM16" t="s">
        <v>177</v>
      </c>
      <c r="BN16" t="s">
        <v>137</v>
      </c>
      <c r="BO16" t="s">
        <v>178</v>
      </c>
      <c r="BP16" t="s">
        <v>179</v>
      </c>
      <c r="BQ16" t="s">
        <v>180</v>
      </c>
      <c r="BR16" t="s">
        <v>154</v>
      </c>
      <c r="BS16" t="s">
        <v>181</v>
      </c>
      <c r="BT16" t="s">
        <v>182</v>
      </c>
      <c r="BU16" t="s">
        <v>182</v>
      </c>
      <c r="BV16" t="s">
        <v>182</v>
      </c>
      <c r="BW16" t="s">
        <v>151</v>
      </c>
      <c r="BX16" t="s">
        <v>183</v>
      </c>
      <c r="BY16" t="s">
        <v>151</v>
      </c>
      <c r="BZ16" t="s">
        <v>151</v>
      </c>
      <c r="CA16" t="s">
        <v>151</v>
      </c>
      <c r="CB16" t="s">
        <v>151</v>
      </c>
      <c r="CC16" t="s">
        <v>547</v>
      </c>
      <c r="CD16" t="s">
        <v>548</v>
      </c>
      <c r="CE16" t="s">
        <v>549</v>
      </c>
      <c r="CF16" t="s">
        <v>550</v>
      </c>
      <c r="CG16" t="s">
        <v>551</v>
      </c>
      <c r="CH16" t="s">
        <v>552</v>
      </c>
      <c r="CI16" t="s">
        <v>553</v>
      </c>
      <c r="CJ16" t="s">
        <v>470</v>
      </c>
      <c r="CK16" t="s">
        <v>534</v>
      </c>
      <c r="CL16" t="s">
        <v>554</v>
      </c>
      <c r="CM16" t="s">
        <v>193</v>
      </c>
      <c r="CN16" t="s">
        <v>194</v>
      </c>
      <c r="CO16" t="s">
        <v>154</v>
      </c>
      <c r="CP16" t="s">
        <v>195</v>
      </c>
      <c r="CQ16" t="s">
        <v>196</v>
      </c>
      <c r="CR16" t="s">
        <v>154</v>
      </c>
      <c r="CS16" t="s">
        <v>197</v>
      </c>
      <c r="CT16" t="s">
        <v>198</v>
      </c>
      <c r="CU16" t="s">
        <v>199</v>
      </c>
      <c r="CV16" t="s">
        <v>151</v>
      </c>
      <c r="CW16" t="s">
        <v>533</v>
      </c>
      <c r="CX16" t="s">
        <v>200</v>
      </c>
      <c r="CY16" t="s">
        <v>201</v>
      </c>
      <c r="CZ16" t="s">
        <v>202</v>
      </c>
      <c r="DA16" t="s">
        <v>203</v>
      </c>
      <c r="DB16" t="s">
        <v>204</v>
      </c>
      <c r="DC16" t="s">
        <v>205</v>
      </c>
    </row>
    <row r="17" spans="1:107" x14ac:dyDescent="0.45">
      <c r="A17" t="s">
        <v>555</v>
      </c>
      <c r="B17" t="s">
        <v>556</v>
      </c>
      <c r="C17" t="s">
        <v>139</v>
      </c>
      <c r="D17" t="s">
        <v>76</v>
      </c>
      <c r="E17" t="s">
        <v>140</v>
      </c>
      <c r="F17" t="s">
        <v>19</v>
      </c>
      <c r="G17" t="s">
        <v>557</v>
      </c>
      <c r="H17" t="s">
        <v>19</v>
      </c>
      <c r="I17" t="s">
        <v>19</v>
      </c>
      <c r="J17">
        <f t="shared" si="0"/>
        <v>0.19195982171897685</v>
      </c>
      <c r="K17">
        <f t="shared" si="1"/>
        <v>2.9042299199999997</v>
      </c>
      <c r="L17">
        <f t="shared" si="2"/>
        <v>0.1800585571879719</v>
      </c>
      <c r="M17">
        <f t="shared" si="3"/>
        <v>1.8454677684901446</v>
      </c>
      <c r="N17" t="s">
        <v>558</v>
      </c>
      <c r="O17" t="s">
        <v>559</v>
      </c>
      <c r="P17">
        <f t="shared" si="4"/>
        <v>3.1910695525482975</v>
      </c>
      <c r="Q17">
        <f t="shared" si="5"/>
        <v>1.0009045525482976</v>
      </c>
      <c r="R17" t="s">
        <v>560</v>
      </c>
      <c r="S17" t="s">
        <v>561</v>
      </c>
      <c r="T17">
        <f t="shared" si="6"/>
        <v>31.80256679836852</v>
      </c>
      <c r="U17">
        <f t="shared" si="7"/>
        <v>0.4417875</v>
      </c>
      <c r="V17" t="s">
        <v>146</v>
      </c>
      <c r="W17" t="s">
        <v>562</v>
      </c>
      <c r="X17" t="s">
        <v>563</v>
      </c>
      <c r="Y17" t="s">
        <v>564</v>
      </c>
      <c r="Z17" t="s">
        <v>565</v>
      </c>
      <c r="AA17" t="s">
        <v>151</v>
      </c>
      <c r="AB17" t="s">
        <v>151</v>
      </c>
      <c r="AC17" t="s">
        <v>151</v>
      </c>
      <c r="AD17" t="s">
        <v>152</v>
      </c>
      <c r="AE17" t="s">
        <v>153</v>
      </c>
      <c r="AF17">
        <f t="shared" si="8"/>
        <v>0</v>
      </c>
      <c r="AG17" t="s">
        <v>154</v>
      </c>
      <c r="AH17" t="s">
        <v>566</v>
      </c>
      <c r="AI17" t="s">
        <v>567</v>
      </c>
      <c r="AJ17" t="s">
        <v>568</v>
      </c>
      <c r="AK17" t="s">
        <v>512</v>
      </c>
      <c r="AL17">
        <f t="shared" si="9"/>
        <v>25.06</v>
      </c>
      <c r="AM17" t="s">
        <v>159</v>
      </c>
      <c r="AN17" t="s">
        <v>569</v>
      </c>
      <c r="AO17" t="s">
        <v>570</v>
      </c>
      <c r="AP17" t="s">
        <v>571</v>
      </c>
      <c r="AQ17" t="s">
        <v>163</v>
      </c>
      <c r="AR17" t="s">
        <v>572</v>
      </c>
      <c r="AS17" t="s">
        <v>165</v>
      </c>
      <c r="AT17" t="s">
        <v>139</v>
      </c>
      <c r="AU17" t="s">
        <v>166</v>
      </c>
      <c r="AV17" t="s">
        <v>137</v>
      </c>
      <c r="AW17" t="s">
        <v>573</v>
      </c>
      <c r="AX17" t="s">
        <v>574</v>
      </c>
      <c r="AY17" t="s">
        <v>169</v>
      </c>
      <c r="AZ17" t="s">
        <v>575</v>
      </c>
      <c r="BA17" t="s">
        <v>576</v>
      </c>
      <c r="BB17" t="s">
        <v>169</v>
      </c>
      <c r="BC17" t="s">
        <v>137</v>
      </c>
      <c r="BD17" t="s">
        <v>172</v>
      </c>
      <c r="BE17" t="s">
        <v>169</v>
      </c>
      <c r="BF17" t="s">
        <v>173</v>
      </c>
      <c r="BG17" t="s">
        <v>174</v>
      </c>
      <c r="BH17" t="s">
        <v>151</v>
      </c>
      <c r="BI17" t="s">
        <v>175</v>
      </c>
      <c r="BJ17" t="s">
        <v>151</v>
      </c>
      <c r="BK17" t="s">
        <v>151</v>
      </c>
      <c r="BL17" t="s">
        <v>176</v>
      </c>
      <c r="BM17" t="s">
        <v>177</v>
      </c>
      <c r="BN17" t="s">
        <v>137</v>
      </c>
      <c r="BO17" t="s">
        <v>178</v>
      </c>
      <c r="BP17" t="s">
        <v>179</v>
      </c>
      <c r="BQ17" t="s">
        <v>180</v>
      </c>
      <c r="BR17" t="s">
        <v>154</v>
      </c>
      <c r="BS17" t="s">
        <v>181</v>
      </c>
      <c r="BT17" t="s">
        <v>182</v>
      </c>
      <c r="BU17" t="s">
        <v>182</v>
      </c>
      <c r="BV17" t="s">
        <v>182</v>
      </c>
      <c r="BW17" t="s">
        <v>151</v>
      </c>
      <c r="BX17" t="s">
        <v>183</v>
      </c>
      <c r="BY17" t="s">
        <v>151</v>
      </c>
      <c r="BZ17" t="s">
        <v>151</v>
      </c>
      <c r="CA17" t="s">
        <v>151</v>
      </c>
      <c r="CB17" t="s">
        <v>151</v>
      </c>
      <c r="CC17" t="s">
        <v>577</v>
      </c>
      <c r="CD17" t="s">
        <v>578</v>
      </c>
      <c r="CE17" t="s">
        <v>579</v>
      </c>
      <c r="CF17" t="s">
        <v>580</v>
      </c>
      <c r="CG17" t="s">
        <v>581</v>
      </c>
      <c r="CH17" t="s">
        <v>582</v>
      </c>
      <c r="CI17" t="s">
        <v>583</v>
      </c>
      <c r="CJ17" t="s">
        <v>584</v>
      </c>
      <c r="CK17" t="s">
        <v>563</v>
      </c>
      <c r="CL17" t="s">
        <v>554</v>
      </c>
      <c r="CM17" t="s">
        <v>193</v>
      </c>
      <c r="CN17" t="s">
        <v>194</v>
      </c>
      <c r="CO17" t="s">
        <v>154</v>
      </c>
      <c r="CP17" t="s">
        <v>195</v>
      </c>
      <c r="CQ17" t="s">
        <v>196</v>
      </c>
      <c r="CR17" t="s">
        <v>154</v>
      </c>
      <c r="CS17" t="s">
        <v>197</v>
      </c>
      <c r="CT17" t="s">
        <v>198</v>
      </c>
      <c r="CU17" t="s">
        <v>199</v>
      </c>
      <c r="CV17" t="s">
        <v>151</v>
      </c>
      <c r="CW17" t="s">
        <v>562</v>
      </c>
      <c r="CX17" t="s">
        <v>200</v>
      </c>
      <c r="CY17" t="s">
        <v>201</v>
      </c>
      <c r="CZ17" t="s">
        <v>202</v>
      </c>
      <c r="DA17" t="s">
        <v>203</v>
      </c>
      <c r="DB17" t="s">
        <v>204</v>
      </c>
      <c r="DC17" t="s">
        <v>205</v>
      </c>
    </row>
    <row r="18" spans="1:107" x14ac:dyDescent="0.45">
      <c r="A18" t="s">
        <v>585</v>
      </c>
      <c r="B18" t="s">
        <v>586</v>
      </c>
      <c r="C18" t="s">
        <v>139</v>
      </c>
      <c r="D18" t="s">
        <v>76</v>
      </c>
      <c r="E18" t="s">
        <v>140</v>
      </c>
      <c r="F18" t="s">
        <v>19</v>
      </c>
      <c r="G18" t="s">
        <v>587</v>
      </c>
      <c r="H18" t="s">
        <v>19</v>
      </c>
      <c r="I18" t="s">
        <v>19</v>
      </c>
      <c r="J18">
        <f t="shared" si="0"/>
        <v>0.12943946232457629</v>
      </c>
      <c r="K18">
        <f t="shared" si="1"/>
        <v>2.9050319999999994</v>
      </c>
      <c r="L18">
        <f t="shared" si="2"/>
        <v>0.12391804793169206</v>
      </c>
      <c r="M18">
        <f t="shared" si="3"/>
        <v>1.3073345738323405</v>
      </c>
      <c r="N18" t="s">
        <v>588</v>
      </c>
      <c r="O18" t="s">
        <v>589</v>
      </c>
      <c r="P18">
        <f t="shared" si="4"/>
        <v>3.2024971644540732</v>
      </c>
      <c r="Q18">
        <f t="shared" si="5"/>
        <v>1.0300471644540732</v>
      </c>
      <c r="R18" t="s">
        <v>590</v>
      </c>
      <c r="S18" t="s">
        <v>591</v>
      </c>
      <c r="T18">
        <f t="shared" si="6"/>
        <v>31.919636842958969</v>
      </c>
      <c r="U18">
        <f t="shared" si="7"/>
        <v>0.4417875</v>
      </c>
      <c r="V18" t="s">
        <v>146</v>
      </c>
      <c r="W18" t="s">
        <v>592</v>
      </c>
      <c r="X18" t="s">
        <v>593</v>
      </c>
      <c r="Y18" t="s">
        <v>594</v>
      </c>
      <c r="Z18" t="s">
        <v>595</v>
      </c>
      <c r="AA18" t="s">
        <v>151</v>
      </c>
      <c r="AB18" t="s">
        <v>151</v>
      </c>
      <c r="AC18" t="s">
        <v>151</v>
      </c>
      <c r="AD18" t="s">
        <v>152</v>
      </c>
      <c r="AE18" t="s">
        <v>153</v>
      </c>
      <c r="AF18">
        <f t="shared" si="8"/>
        <v>0</v>
      </c>
      <c r="AG18" t="s">
        <v>154</v>
      </c>
      <c r="AH18" t="s">
        <v>596</v>
      </c>
      <c r="AI18" t="s">
        <v>597</v>
      </c>
      <c r="AJ18" t="s">
        <v>598</v>
      </c>
      <c r="AK18" t="s">
        <v>485</v>
      </c>
      <c r="AL18">
        <f t="shared" si="9"/>
        <v>25.12</v>
      </c>
      <c r="AM18" t="s">
        <v>281</v>
      </c>
      <c r="AN18" t="s">
        <v>160</v>
      </c>
      <c r="AO18" t="s">
        <v>599</v>
      </c>
      <c r="AP18" t="s">
        <v>600</v>
      </c>
      <c r="AQ18" t="s">
        <v>163</v>
      </c>
      <c r="AR18" t="s">
        <v>601</v>
      </c>
      <c r="AS18" t="s">
        <v>165</v>
      </c>
      <c r="AT18" t="s">
        <v>139</v>
      </c>
      <c r="AU18" t="s">
        <v>166</v>
      </c>
      <c r="AV18" t="s">
        <v>137</v>
      </c>
      <c r="AW18" t="s">
        <v>285</v>
      </c>
      <c r="AX18" t="s">
        <v>602</v>
      </c>
      <c r="AY18" t="s">
        <v>169</v>
      </c>
      <c r="AZ18" t="s">
        <v>603</v>
      </c>
      <c r="BA18" t="s">
        <v>604</v>
      </c>
      <c r="BB18" t="s">
        <v>169</v>
      </c>
      <c r="BC18" t="s">
        <v>137</v>
      </c>
      <c r="BD18" t="s">
        <v>172</v>
      </c>
      <c r="BE18" t="s">
        <v>169</v>
      </c>
      <c r="BF18" t="s">
        <v>173</v>
      </c>
      <c r="BG18" t="s">
        <v>174</v>
      </c>
      <c r="BH18" t="s">
        <v>151</v>
      </c>
      <c r="BI18" t="s">
        <v>175</v>
      </c>
      <c r="BJ18" t="s">
        <v>151</v>
      </c>
      <c r="BK18" t="s">
        <v>151</v>
      </c>
      <c r="BL18" t="s">
        <v>176</v>
      </c>
      <c r="BM18" t="s">
        <v>177</v>
      </c>
      <c r="BN18" t="s">
        <v>137</v>
      </c>
      <c r="BO18" t="s">
        <v>178</v>
      </c>
      <c r="BP18" t="s">
        <v>179</v>
      </c>
      <c r="BQ18" t="s">
        <v>180</v>
      </c>
      <c r="BR18" t="s">
        <v>154</v>
      </c>
      <c r="BS18" t="s">
        <v>181</v>
      </c>
      <c r="BT18" t="s">
        <v>182</v>
      </c>
      <c r="BU18" t="s">
        <v>182</v>
      </c>
      <c r="BV18" t="s">
        <v>182</v>
      </c>
      <c r="BW18" t="s">
        <v>151</v>
      </c>
      <c r="BX18" t="s">
        <v>183</v>
      </c>
      <c r="BY18" t="s">
        <v>151</v>
      </c>
      <c r="BZ18" t="s">
        <v>151</v>
      </c>
      <c r="CA18" t="s">
        <v>151</v>
      </c>
      <c r="CB18" t="s">
        <v>151</v>
      </c>
      <c r="CC18" t="s">
        <v>605</v>
      </c>
      <c r="CD18" t="s">
        <v>606</v>
      </c>
      <c r="CE18" t="s">
        <v>607</v>
      </c>
      <c r="CF18" t="s">
        <v>608</v>
      </c>
      <c r="CG18" t="s">
        <v>609</v>
      </c>
      <c r="CH18" t="s">
        <v>610</v>
      </c>
      <c r="CI18" t="s">
        <v>611</v>
      </c>
      <c r="CJ18" t="s">
        <v>439</v>
      </c>
      <c r="CK18" t="s">
        <v>593</v>
      </c>
      <c r="CL18" t="s">
        <v>235</v>
      </c>
      <c r="CM18" t="s">
        <v>193</v>
      </c>
      <c r="CN18" t="s">
        <v>194</v>
      </c>
      <c r="CO18" t="s">
        <v>154</v>
      </c>
      <c r="CP18" t="s">
        <v>195</v>
      </c>
      <c r="CQ18" t="s">
        <v>196</v>
      </c>
      <c r="CR18" t="s">
        <v>154</v>
      </c>
      <c r="CS18" t="s">
        <v>197</v>
      </c>
      <c r="CT18" t="s">
        <v>198</v>
      </c>
      <c r="CU18" t="s">
        <v>199</v>
      </c>
      <c r="CV18" t="s">
        <v>151</v>
      </c>
      <c r="CW18" t="s">
        <v>592</v>
      </c>
      <c r="CX18" t="s">
        <v>200</v>
      </c>
      <c r="CY18" t="s">
        <v>201</v>
      </c>
      <c r="CZ18" t="s">
        <v>202</v>
      </c>
      <c r="DA18" t="s">
        <v>203</v>
      </c>
      <c r="DB18" t="s">
        <v>204</v>
      </c>
      <c r="DC18" t="s">
        <v>205</v>
      </c>
    </row>
    <row r="19" spans="1:107" x14ac:dyDescent="0.45">
      <c r="A19" t="s">
        <v>612</v>
      </c>
      <c r="B19" t="s">
        <v>613</v>
      </c>
      <c r="C19" t="s">
        <v>139</v>
      </c>
      <c r="D19" t="s">
        <v>76</v>
      </c>
      <c r="E19" t="s">
        <v>140</v>
      </c>
      <c r="F19" t="s">
        <v>19</v>
      </c>
      <c r="G19" t="s">
        <v>614</v>
      </c>
      <c r="H19" t="s">
        <v>19</v>
      </c>
      <c r="I19" t="s">
        <v>19</v>
      </c>
      <c r="J19">
        <f t="shared" si="0"/>
        <v>7.5224482913601246E-2</v>
      </c>
      <c r="K19">
        <f t="shared" si="1"/>
        <v>2.9066320800000001</v>
      </c>
      <c r="L19">
        <f t="shared" si="2"/>
        <v>7.3326764928102472E-2</v>
      </c>
      <c r="M19">
        <f t="shared" si="3"/>
        <v>0.76319253034318768</v>
      </c>
      <c r="N19" t="s">
        <v>615</v>
      </c>
      <c r="O19" t="s">
        <v>616</v>
      </c>
      <c r="P19">
        <f t="shared" si="4"/>
        <v>3.1948747908297075</v>
      </c>
      <c r="Q19">
        <f t="shared" si="5"/>
        <v>1.0162647908297076</v>
      </c>
      <c r="R19" t="s">
        <v>617</v>
      </c>
      <c r="S19" t="s">
        <v>618</v>
      </c>
      <c r="T19">
        <f t="shared" si="6"/>
        <v>31.843663817698665</v>
      </c>
      <c r="U19">
        <f t="shared" si="7"/>
        <v>0.4417875</v>
      </c>
      <c r="V19" t="s">
        <v>146</v>
      </c>
      <c r="W19" t="s">
        <v>619</v>
      </c>
      <c r="X19" t="s">
        <v>620</v>
      </c>
      <c r="Y19" t="s">
        <v>621</v>
      </c>
      <c r="Z19" t="s">
        <v>622</v>
      </c>
      <c r="AA19" t="s">
        <v>151</v>
      </c>
      <c r="AB19" t="s">
        <v>151</v>
      </c>
      <c r="AC19" t="s">
        <v>151</v>
      </c>
      <c r="AD19" t="s">
        <v>152</v>
      </c>
      <c r="AE19" t="s">
        <v>153</v>
      </c>
      <c r="AF19">
        <f t="shared" si="8"/>
        <v>0</v>
      </c>
      <c r="AG19" t="s">
        <v>154</v>
      </c>
      <c r="AH19" t="s">
        <v>623</v>
      </c>
      <c r="AI19" t="s">
        <v>624</v>
      </c>
      <c r="AJ19" t="s">
        <v>625</v>
      </c>
      <c r="AK19" t="s">
        <v>626</v>
      </c>
      <c r="AL19">
        <f t="shared" si="9"/>
        <v>25.08</v>
      </c>
      <c r="AM19" t="s">
        <v>281</v>
      </c>
      <c r="AN19" t="s">
        <v>627</v>
      </c>
      <c r="AO19" t="s">
        <v>628</v>
      </c>
      <c r="AP19" t="s">
        <v>629</v>
      </c>
      <c r="AQ19" t="s">
        <v>163</v>
      </c>
      <c r="AR19" t="s">
        <v>630</v>
      </c>
      <c r="AS19" t="s">
        <v>165</v>
      </c>
      <c r="AT19" t="s">
        <v>139</v>
      </c>
      <c r="AU19" t="s">
        <v>166</v>
      </c>
      <c r="AV19" t="s">
        <v>137</v>
      </c>
      <c r="AW19" t="s">
        <v>631</v>
      </c>
      <c r="AX19" t="s">
        <v>632</v>
      </c>
      <c r="AY19" t="s">
        <v>169</v>
      </c>
      <c r="AZ19" t="s">
        <v>633</v>
      </c>
      <c r="BA19" t="s">
        <v>634</v>
      </c>
      <c r="BB19" t="s">
        <v>169</v>
      </c>
      <c r="BC19" t="s">
        <v>137</v>
      </c>
      <c r="BD19" t="s">
        <v>172</v>
      </c>
      <c r="BE19" t="s">
        <v>169</v>
      </c>
      <c r="BF19" t="s">
        <v>173</v>
      </c>
      <c r="BG19" t="s">
        <v>174</v>
      </c>
      <c r="BH19" t="s">
        <v>151</v>
      </c>
      <c r="BI19" t="s">
        <v>175</v>
      </c>
      <c r="BJ19" t="s">
        <v>151</v>
      </c>
      <c r="BK19" t="s">
        <v>151</v>
      </c>
      <c r="BL19" t="s">
        <v>176</v>
      </c>
      <c r="BM19" t="s">
        <v>177</v>
      </c>
      <c r="BN19" t="s">
        <v>137</v>
      </c>
      <c r="BO19" t="s">
        <v>178</v>
      </c>
      <c r="BP19" t="s">
        <v>179</v>
      </c>
      <c r="BQ19" t="s">
        <v>180</v>
      </c>
      <c r="BR19" t="s">
        <v>154</v>
      </c>
      <c r="BS19" t="s">
        <v>181</v>
      </c>
      <c r="BT19" t="s">
        <v>182</v>
      </c>
      <c r="BU19" t="s">
        <v>182</v>
      </c>
      <c r="BV19" t="s">
        <v>182</v>
      </c>
      <c r="BW19" t="s">
        <v>151</v>
      </c>
      <c r="BX19" t="s">
        <v>183</v>
      </c>
      <c r="BY19" t="s">
        <v>151</v>
      </c>
      <c r="BZ19" t="s">
        <v>151</v>
      </c>
      <c r="CA19" t="s">
        <v>151</v>
      </c>
      <c r="CB19" t="s">
        <v>151</v>
      </c>
      <c r="CC19" t="s">
        <v>577</v>
      </c>
      <c r="CD19" t="s">
        <v>635</v>
      </c>
      <c r="CE19" t="s">
        <v>636</v>
      </c>
      <c r="CF19" t="s">
        <v>637</v>
      </c>
      <c r="CG19" t="s">
        <v>638</v>
      </c>
      <c r="CH19" t="s">
        <v>639</v>
      </c>
      <c r="CI19" t="s">
        <v>640</v>
      </c>
      <c r="CJ19" t="s">
        <v>296</v>
      </c>
      <c r="CK19" t="s">
        <v>620</v>
      </c>
      <c r="CL19" t="s">
        <v>554</v>
      </c>
      <c r="CM19" t="s">
        <v>193</v>
      </c>
      <c r="CN19" t="s">
        <v>194</v>
      </c>
      <c r="CO19" t="s">
        <v>154</v>
      </c>
      <c r="CP19" t="s">
        <v>195</v>
      </c>
      <c r="CQ19" t="s">
        <v>196</v>
      </c>
      <c r="CR19" t="s">
        <v>154</v>
      </c>
      <c r="CS19" t="s">
        <v>197</v>
      </c>
      <c r="CT19" t="s">
        <v>198</v>
      </c>
      <c r="CU19" t="s">
        <v>199</v>
      </c>
      <c r="CV19" t="s">
        <v>151</v>
      </c>
      <c r="CW19" t="s">
        <v>619</v>
      </c>
      <c r="CX19" t="s">
        <v>200</v>
      </c>
      <c r="CY19" t="s">
        <v>201</v>
      </c>
      <c r="CZ19" t="s">
        <v>202</v>
      </c>
      <c r="DA19" t="s">
        <v>203</v>
      </c>
      <c r="DB19" t="s">
        <v>204</v>
      </c>
      <c r="DC19" t="s">
        <v>205</v>
      </c>
    </row>
    <row r="20" spans="1:107" x14ac:dyDescent="0.45">
      <c r="A20" t="s">
        <v>641</v>
      </c>
      <c r="B20" t="s">
        <v>642</v>
      </c>
      <c r="C20" t="s">
        <v>139</v>
      </c>
      <c r="D20" t="s">
        <v>76</v>
      </c>
      <c r="E20" t="s">
        <v>140</v>
      </c>
      <c r="F20" t="s">
        <v>19</v>
      </c>
      <c r="G20" t="s">
        <v>643</v>
      </c>
      <c r="H20" t="s">
        <v>19</v>
      </c>
      <c r="I20" t="s">
        <v>19</v>
      </c>
      <c r="J20">
        <f t="shared" si="0"/>
        <v>9.8779251994815367E-2</v>
      </c>
      <c r="K20">
        <f t="shared" si="1"/>
        <v>2.9050319999999994</v>
      </c>
      <c r="L20">
        <f t="shared" si="2"/>
        <v>9.5530931842150835E-2</v>
      </c>
      <c r="M20">
        <f t="shared" si="3"/>
        <v>0.97525861384968016</v>
      </c>
      <c r="N20" t="s">
        <v>644</v>
      </c>
      <c r="O20" t="s">
        <v>645</v>
      </c>
      <c r="P20">
        <f t="shared" si="4"/>
        <v>3.2024971644540732</v>
      </c>
      <c r="Q20">
        <f t="shared" si="5"/>
        <v>0.99679716445407296</v>
      </c>
      <c r="R20" t="s">
        <v>646</v>
      </c>
      <c r="S20" t="s">
        <v>647</v>
      </c>
      <c r="T20">
        <f t="shared" si="6"/>
        <v>31.916455695177127</v>
      </c>
      <c r="U20">
        <f t="shared" si="7"/>
        <v>0.4417875</v>
      </c>
      <c r="V20" t="s">
        <v>146</v>
      </c>
      <c r="W20" t="s">
        <v>648</v>
      </c>
      <c r="X20" t="s">
        <v>649</v>
      </c>
      <c r="Y20" t="s">
        <v>650</v>
      </c>
      <c r="Z20" t="s">
        <v>651</v>
      </c>
      <c r="AA20" t="s">
        <v>151</v>
      </c>
      <c r="AB20" t="s">
        <v>151</v>
      </c>
      <c r="AC20" t="s">
        <v>151</v>
      </c>
      <c r="AD20" t="s">
        <v>152</v>
      </c>
      <c r="AE20" t="s">
        <v>153</v>
      </c>
      <c r="AF20">
        <f t="shared" si="8"/>
        <v>0</v>
      </c>
      <c r="AG20" t="s">
        <v>154</v>
      </c>
      <c r="AH20" t="s">
        <v>510</v>
      </c>
      <c r="AI20" t="s">
        <v>652</v>
      </c>
      <c r="AJ20" t="s">
        <v>653</v>
      </c>
      <c r="AK20" t="s">
        <v>485</v>
      </c>
      <c r="AL20">
        <f t="shared" si="9"/>
        <v>25.12</v>
      </c>
      <c r="AM20" t="s">
        <v>159</v>
      </c>
      <c r="AN20" t="s">
        <v>160</v>
      </c>
      <c r="AO20" t="s">
        <v>654</v>
      </c>
      <c r="AP20" t="s">
        <v>655</v>
      </c>
      <c r="AQ20" t="s">
        <v>163</v>
      </c>
      <c r="AR20" t="s">
        <v>630</v>
      </c>
      <c r="AS20" t="s">
        <v>165</v>
      </c>
      <c r="AT20" t="s">
        <v>139</v>
      </c>
      <c r="AU20" t="s">
        <v>166</v>
      </c>
      <c r="AV20" t="s">
        <v>137</v>
      </c>
      <c r="AW20" t="s">
        <v>285</v>
      </c>
      <c r="AX20" t="s">
        <v>656</v>
      </c>
      <c r="AY20" t="s">
        <v>169</v>
      </c>
      <c r="AZ20" t="s">
        <v>657</v>
      </c>
      <c r="BA20" t="s">
        <v>658</v>
      </c>
      <c r="BB20" t="s">
        <v>169</v>
      </c>
      <c r="BC20" t="s">
        <v>137</v>
      </c>
      <c r="BD20" t="s">
        <v>172</v>
      </c>
      <c r="BE20" t="s">
        <v>169</v>
      </c>
      <c r="BF20" t="s">
        <v>173</v>
      </c>
      <c r="BG20" t="s">
        <v>174</v>
      </c>
      <c r="BH20" t="s">
        <v>151</v>
      </c>
      <c r="BI20" t="s">
        <v>175</v>
      </c>
      <c r="BJ20" t="s">
        <v>151</v>
      </c>
      <c r="BK20" t="s">
        <v>151</v>
      </c>
      <c r="BL20" t="s">
        <v>176</v>
      </c>
      <c r="BM20" t="s">
        <v>177</v>
      </c>
      <c r="BN20" t="s">
        <v>137</v>
      </c>
      <c r="BO20" t="s">
        <v>178</v>
      </c>
      <c r="BP20" t="s">
        <v>179</v>
      </c>
      <c r="BQ20" t="s">
        <v>180</v>
      </c>
      <c r="BR20" t="s">
        <v>154</v>
      </c>
      <c r="BS20" t="s">
        <v>181</v>
      </c>
      <c r="BT20" t="s">
        <v>182</v>
      </c>
      <c r="BU20" t="s">
        <v>182</v>
      </c>
      <c r="BV20" t="s">
        <v>182</v>
      </c>
      <c r="BW20" t="s">
        <v>151</v>
      </c>
      <c r="BX20" t="s">
        <v>183</v>
      </c>
      <c r="BY20" t="s">
        <v>151</v>
      </c>
      <c r="BZ20" t="s">
        <v>151</v>
      </c>
      <c r="CA20" t="s">
        <v>151</v>
      </c>
      <c r="CB20" t="s">
        <v>151</v>
      </c>
      <c r="CC20" t="s">
        <v>659</v>
      </c>
      <c r="CD20" t="s">
        <v>660</v>
      </c>
      <c r="CE20" t="s">
        <v>661</v>
      </c>
      <c r="CF20" t="s">
        <v>662</v>
      </c>
      <c r="CG20" t="s">
        <v>663</v>
      </c>
      <c r="CH20" t="s">
        <v>664</v>
      </c>
      <c r="CI20" t="s">
        <v>665</v>
      </c>
      <c r="CJ20" t="s">
        <v>353</v>
      </c>
      <c r="CK20" t="s">
        <v>649</v>
      </c>
      <c r="CL20" t="s">
        <v>410</v>
      </c>
      <c r="CM20" t="s">
        <v>193</v>
      </c>
      <c r="CN20" t="s">
        <v>194</v>
      </c>
      <c r="CO20" t="s">
        <v>154</v>
      </c>
      <c r="CP20" t="s">
        <v>195</v>
      </c>
      <c r="CQ20" t="s">
        <v>196</v>
      </c>
      <c r="CR20" t="s">
        <v>154</v>
      </c>
      <c r="CS20" t="s">
        <v>197</v>
      </c>
      <c r="CT20" t="s">
        <v>198</v>
      </c>
      <c r="CU20" t="s">
        <v>199</v>
      </c>
      <c r="CV20" t="s">
        <v>151</v>
      </c>
      <c r="CW20" t="s">
        <v>648</v>
      </c>
      <c r="CX20" t="s">
        <v>200</v>
      </c>
      <c r="CY20" t="s">
        <v>201</v>
      </c>
      <c r="CZ20" t="s">
        <v>202</v>
      </c>
      <c r="DA20" t="s">
        <v>203</v>
      </c>
      <c r="DB20" t="s">
        <v>204</v>
      </c>
      <c r="DC20" t="s">
        <v>205</v>
      </c>
    </row>
    <row r="21" spans="1:107" x14ac:dyDescent="0.45">
      <c r="A21" t="s">
        <v>666</v>
      </c>
      <c r="B21" t="s">
        <v>667</v>
      </c>
      <c r="C21" t="s">
        <v>139</v>
      </c>
      <c r="D21" t="s">
        <v>76</v>
      </c>
      <c r="E21" t="s">
        <v>140</v>
      </c>
      <c r="F21" t="s">
        <v>19</v>
      </c>
      <c r="G21" t="s">
        <v>668</v>
      </c>
      <c r="H21" t="s">
        <v>19</v>
      </c>
      <c r="I21" t="s">
        <v>19</v>
      </c>
      <c r="J21">
        <f t="shared" si="0"/>
        <v>6.6829735258596173E-2</v>
      </c>
      <c r="K21">
        <f t="shared" si="1"/>
        <v>2.9042299199999997</v>
      </c>
      <c r="L21">
        <f t="shared" si="2"/>
        <v>6.5326495999556353E-2</v>
      </c>
      <c r="M21">
        <f t="shared" si="3"/>
        <v>0.66797482520626827</v>
      </c>
      <c r="N21" t="s">
        <v>669</v>
      </c>
      <c r="O21" t="s">
        <v>670</v>
      </c>
      <c r="P21">
        <f t="shared" si="4"/>
        <v>3.2197056310272809</v>
      </c>
      <c r="Q21">
        <f t="shared" si="5"/>
        <v>0.99825263102728101</v>
      </c>
      <c r="R21" t="s">
        <v>671</v>
      </c>
      <c r="S21" t="s">
        <v>672</v>
      </c>
      <c r="T21">
        <f t="shared" si="6"/>
        <v>32.087957255603754</v>
      </c>
      <c r="U21">
        <f t="shared" si="7"/>
        <v>0.4417875</v>
      </c>
      <c r="V21" t="s">
        <v>146</v>
      </c>
      <c r="W21" t="s">
        <v>673</v>
      </c>
      <c r="X21" t="s">
        <v>674</v>
      </c>
      <c r="Y21" t="s">
        <v>675</v>
      </c>
      <c r="Z21" t="s">
        <v>676</v>
      </c>
      <c r="AA21" t="s">
        <v>151</v>
      </c>
      <c r="AB21" t="s">
        <v>151</v>
      </c>
      <c r="AC21" t="s">
        <v>151</v>
      </c>
      <c r="AD21" t="s">
        <v>152</v>
      </c>
      <c r="AE21" t="s">
        <v>153</v>
      </c>
      <c r="AF21">
        <f t="shared" si="8"/>
        <v>0</v>
      </c>
      <c r="AG21" t="s">
        <v>154</v>
      </c>
      <c r="AH21" t="s">
        <v>677</v>
      </c>
      <c r="AI21" t="s">
        <v>678</v>
      </c>
      <c r="AJ21" t="s">
        <v>679</v>
      </c>
      <c r="AK21" t="s">
        <v>568</v>
      </c>
      <c r="AL21">
        <f t="shared" si="9"/>
        <v>25.21</v>
      </c>
      <c r="AM21" t="s">
        <v>159</v>
      </c>
      <c r="AN21" t="s">
        <v>569</v>
      </c>
      <c r="AO21" t="s">
        <v>680</v>
      </c>
      <c r="AP21" t="s">
        <v>655</v>
      </c>
      <c r="AQ21" t="s">
        <v>163</v>
      </c>
      <c r="AR21" t="s">
        <v>630</v>
      </c>
      <c r="AS21" t="s">
        <v>165</v>
      </c>
      <c r="AT21" t="s">
        <v>139</v>
      </c>
      <c r="AU21" t="s">
        <v>166</v>
      </c>
      <c r="AV21" t="s">
        <v>137</v>
      </c>
      <c r="AW21" t="s">
        <v>681</v>
      </c>
      <c r="AX21" t="s">
        <v>682</v>
      </c>
      <c r="AY21" t="s">
        <v>169</v>
      </c>
      <c r="AZ21" t="s">
        <v>683</v>
      </c>
      <c r="BA21" t="s">
        <v>684</v>
      </c>
      <c r="BB21" t="s">
        <v>169</v>
      </c>
      <c r="BC21" t="s">
        <v>137</v>
      </c>
      <c r="BD21" t="s">
        <v>172</v>
      </c>
      <c r="BE21" t="s">
        <v>169</v>
      </c>
      <c r="BF21" t="s">
        <v>173</v>
      </c>
      <c r="BG21" t="s">
        <v>174</v>
      </c>
      <c r="BH21" t="s">
        <v>151</v>
      </c>
      <c r="BI21" t="s">
        <v>175</v>
      </c>
      <c r="BJ21" t="s">
        <v>151</v>
      </c>
      <c r="BK21" t="s">
        <v>151</v>
      </c>
      <c r="BL21" t="s">
        <v>176</v>
      </c>
      <c r="BM21" t="s">
        <v>177</v>
      </c>
      <c r="BN21" t="s">
        <v>137</v>
      </c>
      <c r="BO21" t="s">
        <v>178</v>
      </c>
      <c r="BP21" t="s">
        <v>179</v>
      </c>
      <c r="BQ21" t="s">
        <v>180</v>
      </c>
      <c r="BR21" t="s">
        <v>154</v>
      </c>
      <c r="BS21" t="s">
        <v>181</v>
      </c>
      <c r="BT21" t="s">
        <v>182</v>
      </c>
      <c r="BU21" t="s">
        <v>182</v>
      </c>
      <c r="BV21" t="s">
        <v>182</v>
      </c>
      <c r="BW21" t="s">
        <v>151</v>
      </c>
      <c r="BX21" t="s">
        <v>183</v>
      </c>
      <c r="BY21" t="s">
        <v>151</v>
      </c>
      <c r="BZ21" t="s">
        <v>151</v>
      </c>
      <c r="CA21" t="s">
        <v>151</v>
      </c>
      <c r="CB21" t="s">
        <v>151</v>
      </c>
      <c r="CC21" t="s">
        <v>685</v>
      </c>
      <c r="CD21" t="s">
        <v>686</v>
      </c>
      <c r="CE21" t="s">
        <v>687</v>
      </c>
      <c r="CF21" t="s">
        <v>688</v>
      </c>
      <c r="CG21" t="s">
        <v>689</v>
      </c>
      <c r="CH21" t="s">
        <v>690</v>
      </c>
      <c r="CI21" t="s">
        <v>691</v>
      </c>
      <c r="CJ21" t="s">
        <v>584</v>
      </c>
      <c r="CK21" t="s">
        <v>674</v>
      </c>
      <c r="CL21" t="s">
        <v>554</v>
      </c>
      <c r="CM21" t="s">
        <v>193</v>
      </c>
      <c r="CN21" t="s">
        <v>194</v>
      </c>
      <c r="CO21" t="s">
        <v>154</v>
      </c>
      <c r="CP21" t="s">
        <v>195</v>
      </c>
      <c r="CQ21" t="s">
        <v>196</v>
      </c>
      <c r="CR21" t="s">
        <v>154</v>
      </c>
      <c r="CS21" t="s">
        <v>197</v>
      </c>
      <c r="CT21" t="s">
        <v>198</v>
      </c>
      <c r="CU21" t="s">
        <v>199</v>
      </c>
      <c r="CV21" t="s">
        <v>151</v>
      </c>
      <c r="CW21" t="s">
        <v>673</v>
      </c>
      <c r="CX21" t="s">
        <v>200</v>
      </c>
      <c r="CY21" t="s">
        <v>201</v>
      </c>
      <c r="CZ21" t="s">
        <v>202</v>
      </c>
      <c r="DA21" t="s">
        <v>203</v>
      </c>
      <c r="DB21" t="s">
        <v>204</v>
      </c>
      <c r="DC21" t="s">
        <v>205</v>
      </c>
    </row>
  </sheetData>
  <phoneticPr fontId="1" type="noConversion"/>
  <pageMargins left="0.7" right="0.7" top="0.75" bottom="0.75" header="0.3" footer="0.3"/>
  <ignoredErrors>
    <ignoredError sqref="A1:DC2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DECC2-AB47-4078-AEFA-50E16DFB69E6}">
  <dimension ref="A1:E19"/>
  <sheetViews>
    <sheetView tabSelected="1" workbookViewId="0">
      <selection sqref="A1:E19"/>
    </sheetView>
  </sheetViews>
  <sheetFormatPr defaultRowHeight="19.2" x14ac:dyDescent="0.45"/>
  <sheetData>
    <row r="1" spans="1:5" ht="19.8" thickBot="1" x14ac:dyDescent="0.5">
      <c r="A1" s="1" t="s">
        <v>695</v>
      </c>
      <c r="B1" s="2" t="s">
        <v>696</v>
      </c>
      <c r="C1" s="2" t="s">
        <v>692</v>
      </c>
      <c r="D1" s="2" t="s">
        <v>693</v>
      </c>
      <c r="E1" s="13" t="s">
        <v>694</v>
      </c>
    </row>
    <row r="2" spans="1:5" ht="19.8" thickTop="1" x14ac:dyDescent="0.45">
      <c r="A2" s="3" t="s">
        <v>697</v>
      </c>
      <c r="B2" s="8">
        <v>1</v>
      </c>
      <c r="C2" s="9">
        <v>104.134079</v>
      </c>
      <c r="D2" s="9">
        <v>601.732483</v>
      </c>
      <c r="E2" s="10">
        <v>0.82694299999999998</v>
      </c>
    </row>
    <row r="3" spans="1:5" x14ac:dyDescent="0.45">
      <c r="A3" s="3" t="s">
        <v>697</v>
      </c>
      <c r="B3" s="8">
        <v>1</v>
      </c>
      <c r="C3" s="9">
        <v>100.609657</v>
      </c>
      <c r="D3" s="9">
        <v>608.65332000000001</v>
      </c>
      <c r="E3" s="10">
        <v>0.83470100000000003</v>
      </c>
    </row>
    <row r="4" spans="1:5" x14ac:dyDescent="0.45">
      <c r="A4" s="3" t="s">
        <v>697</v>
      </c>
      <c r="B4" s="8">
        <v>1</v>
      </c>
      <c r="C4" s="9">
        <v>109.443428</v>
      </c>
      <c r="D4" s="9">
        <v>644.078125</v>
      </c>
      <c r="E4" s="10">
        <v>0.83007699999999995</v>
      </c>
    </row>
    <row r="5" spans="1:5" x14ac:dyDescent="0.45">
      <c r="A5" s="3" t="s">
        <v>697</v>
      </c>
      <c r="B5" s="8">
        <v>1</v>
      </c>
      <c r="C5" s="9">
        <v>93.587997000000001</v>
      </c>
      <c r="D5" s="9">
        <v>609.61889599999995</v>
      </c>
      <c r="E5" s="10">
        <v>0.84648100000000004</v>
      </c>
    </row>
    <row r="6" spans="1:5" x14ac:dyDescent="0.45">
      <c r="A6" s="3" t="s">
        <v>697</v>
      </c>
      <c r="B6" s="8">
        <v>1</v>
      </c>
      <c r="C6" s="9">
        <v>100.267769</v>
      </c>
      <c r="D6" s="9">
        <v>622.97668499999997</v>
      </c>
      <c r="E6" s="10">
        <v>0.83905099999999999</v>
      </c>
    </row>
    <row r="7" spans="1:5" x14ac:dyDescent="0.45">
      <c r="A7" s="3" t="s">
        <v>697</v>
      </c>
      <c r="B7" s="8">
        <v>1</v>
      </c>
      <c r="C7" s="9">
        <v>108.60335499999999</v>
      </c>
      <c r="D7" s="9">
        <v>637.35363800000005</v>
      </c>
      <c r="E7" s="10">
        <v>0.82960299999999998</v>
      </c>
    </row>
    <row r="8" spans="1:5" x14ac:dyDescent="0.45">
      <c r="A8" s="3" t="s">
        <v>697</v>
      </c>
      <c r="B8" s="8">
        <v>1</v>
      </c>
      <c r="C8" s="9">
        <v>96.570610000000002</v>
      </c>
      <c r="D8" s="9">
        <v>624.01593000000003</v>
      </c>
      <c r="E8" s="10">
        <v>0.84524299999999997</v>
      </c>
    </row>
    <row r="9" spans="1:5" x14ac:dyDescent="0.45">
      <c r="A9" s="3" t="s">
        <v>697</v>
      </c>
      <c r="B9" s="8">
        <v>1</v>
      </c>
      <c r="C9" s="9">
        <v>105.636833</v>
      </c>
      <c r="D9" s="9">
        <v>626.86871299999996</v>
      </c>
      <c r="E9" s="10">
        <v>0.83148500000000003</v>
      </c>
    </row>
    <row r="10" spans="1:5" x14ac:dyDescent="0.45">
      <c r="A10" s="4" t="s">
        <v>697</v>
      </c>
      <c r="B10" s="5">
        <v>1</v>
      </c>
      <c r="C10" s="14">
        <v>109.339714</v>
      </c>
      <c r="D10" s="14">
        <v>622.94555700000001</v>
      </c>
      <c r="E10" s="15">
        <v>0.82447899999999996</v>
      </c>
    </row>
    <row r="11" spans="1:5" x14ac:dyDescent="0.45">
      <c r="A11" s="3" t="s">
        <v>698</v>
      </c>
      <c r="B11" s="8">
        <v>2</v>
      </c>
      <c r="C11" s="9">
        <v>96.217986999999994</v>
      </c>
      <c r="D11" s="9">
        <v>616.31726100000003</v>
      </c>
      <c r="E11" s="10">
        <v>0.84388200000000002</v>
      </c>
    </row>
    <row r="12" spans="1:5" x14ac:dyDescent="0.45">
      <c r="A12" s="3" t="s">
        <v>698</v>
      </c>
      <c r="B12" s="8">
        <v>2</v>
      </c>
      <c r="C12" s="9">
        <v>95.327499000000003</v>
      </c>
      <c r="D12" s="9">
        <v>617.07580600000006</v>
      </c>
      <c r="E12" s="10">
        <v>0.84551699999999996</v>
      </c>
    </row>
    <row r="13" spans="1:5" x14ac:dyDescent="0.45">
      <c r="A13" s="3" t="s">
        <v>698</v>
      </c>
      <c r="B13" s="8">
        <v>2</v>
      </c>
      <c r="C13" s="9">
        <v>107.459305</v>
      </c>
      <c r="D13" s="9">
        <v>631.40344200000004</v>
      </c>
      <c r="E13" s="10">
        <v>0.82980900000000002</v>
      </c>
    </row>
    <row r="14" spans="1:5" x14ac:dyDescent="0.45">
      <c r="A14" s="3" t="s">
        <v>698</v>
      </c>
      <c r="B14" s="8">
        <v>2</v>
      </c>
      <c r="C14" s="9">
        <v>102.52475699999999</v>
      </c>
      <c r="D14" s="9">
        <v>622.80926499999998</v>
      </c>
      <c r="E14" s="10">
        <v>0.83538299999999999</v>
      </c>
    </row>
    <row r="15" spans="1:5" x14ac:dyDescent="0.45">
      <c r="A15" s="3" t="s">
        <v>698</v>
      </c>
      <c r="B15" s="8">
        <v>2</v>
      </c>
      <c r="C15" s="9">
        <v>115.125061</v>
      </c>
      <c r="D15" s="9">
        <v>642.82824700000003</v>
      </c>
      <c r="E15" s="10">
        <v>0.820909</v>
      </c>
    </row>
    <row r="16" spans="1:5" x14ac:dyDescent="0.45">
      <c r="A16" s="3" t="s">
        <v>698</v>
      </c>
      <c r="B16" s="8">
        <v>2</v>
      </c>
      <c r="C16" s="9">
        <v>104.001762</v>
      </c>
      <c r="D16" s="9">
        <v>603.65368699999999</v>
      </c>
      <c r="E16" s="10">
        <v>0.82771300000000003</v>
      </c>
    </row>
    <row r="17" spans="1:5" x14ac:dyDescent="0.45">
      <c r="A17" s="3" t="s">
        <v>698</v>
      </c>
      <c r="B17" s="8">
        <v>2</v>
      </c>
      <c r="C17" s="9">
        <v>120.230194</v>
      </c>
      <c r="D17" s="9">
        <v>644.26232900000002</v>
      </c>
      <c r="E17" s="10">
        <v>0.81338299999999997</v>
      </c>
    </row>
    <row r="18" spans="1:5" x14ac:dyDescent="0.45">
      <c r="A18" s="3" t="s">
        <v>698</v>
      </c>
      <c r="B18" s="8">
        <v>2</v>
      </c>
      <c r="C18" s="9">
        <v>101.209763</v>
      </c>
      <c r="D18" s="9">
        <v>629.77874799999995</v>
      </c>
      <c r="E18" s="10">
        <v>0.83929299999999996</v>
      </c>
    </row>
    <row r="19" spans="1:5" ht="19.8" thickBot="1" x14ac:dyDescent="0.5">
      <c r="A19" s="6" t="s">
        <v>698</v>
      </c>
      <c r="B19" s="7">
        <v>2</v>
      </c>
      <c r="C19" s="11">
        <v>101.857422</v>
      </c>
      <c r="D19" s="11">
        <v>615.82806400000004</v>
      </c>
      <c r="E19" s="12">
        <v>0.83460100000000004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dark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윤정민</cp:lastModifiedBy>
  <dcterms:modified xsi:type="dcterms:W3CDTF">2026-08-16T12:09:54Z</dcterms:modified>
</cp:coreProperties>
</file>