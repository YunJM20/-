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2" documentId="11_C2058416E2A9A3F3E0050D950F7889F9AB93E592" xr6:coauthVersionLast="47" xr6:coauthVersionMax="47" xr10:uidLastSave="{2B045C4F-BEC5-4208-84EE-10F4031E97C7}"/>
  <bookViews>
    <workbookView xWindow="28680" yWindow="-120" windowWidth="29040" windowHeight="15720" activeTab="2" xr2:uid="{00000000-000D-0000-FFFF-FFFF00000000}"/>
  </bookViews>
  <sheets>
    <sheet name="lightfluoromete" sheetId="1" r:id="rId1"/>
    <sheet name="Clean_Data" sheetId="2" r:id="rId2"/>
    <sheet name="Selected_Data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4" l="1"/>
  <c r="T2" i="4"/>
  <c r="S2" i="4"/>
  <c r="R2" i="4"/>
  <c r="Q2" i="4"/>
  <c r="P2" i="4"/>
  <c r="O2" i="4"/>
  <c r="N2" i="4"/>
  <c r="M2" i="4"/>
  <c r="AL16" i="1" l="1"/>
  <c r="P16" i="1" s="1"/>
  <c r="AF16" i="1"/>
  <c r="U16" i="1"/>
  <c r="M16" i="1"/>
  <c r="K16" i="1"/>
  <c r="AL15" i="1"/>
  <c r="AF15" i="1"/>
  <c r="U15" i="1"/>
  <c r="P15" i="1"/>
  <c r="Q15" i="1" s="1"/>
  <c r="M15" i="1"/>
  <c r="K15" i="1"/>
  <c r="AL14" i="1"/>
  <c r="AF14" i="1"/>
  <c r="U14" i="1"/>
  <c r="P14" i="1"/>
  <c r="Q14" i="1" s="1"/>
  <c r="M14" i="1"/>
  <c r="K14" i="1"/>
  <c r="AL13" i="1"/>
  <c r="AF13" i="1"/>
  <c r="U13" i="1"/>
  <c r="P13" i="1"/>
  <c r="T13" i="1" s="1"/>
  <c r="M13" i="1"/>
  <c r="L13" i="1" s="1"/>
  <c r="J13" i="1" s="1"/>
  <c r="K13" i="1"/>
  <c r="AL12" i="1"/>
  <c r="AF12" i="1"/>
  <c r="U12" i="1"/>
  <c r="P12" i="1"/>
  <c r="T12" i="1" s="1"/>
  <c r="L12" i="1" s="1"/>
  <c r="J12" i="1" s="1"/>
  <c r="M12" i="1"/>
  <c r="K12" i="1"/>
  <c r="AL11" i="1"/>
  <c r="P11" i="1" s="1"/>
  <c r="AF11" i="1"/>
  <c r="U11" i="1"/>
  <c r="M11" i="1" s="1"/>
  <c r="K11" i="1"/>
  <c r="AL10" i="1"/>
  <c r="AF10" i="1"/>
  <c r="U10" i="1"/>
  <c r="P10" i="1"/>
  <c r="Q10" i="1" s="1"/>
  <c r="M10" i="1"/>
  <c r="K10" i="1"/>
  <c r="AL9" i="1"/>
  <c r="P9" i="1" s="1"/>
  <c r="AF9" i="1"/>
  <c r="U9" i="1"/>
  <c r="M9" i="1" s="1"/>
  <c r="K9" i="1"/>
  <c r="AL8" i="1"/>
  <c r="AF8" i="1"/>
  <c r="U8" i="1"/>
  <c r="P8" i="1"/>
  <c r="T8" i="1" s="1"/>
  <c r="L8" i="1" s="1"/>
  <c r="J8" i="1" s="1"/>
  <c r="M8" i="1"/>
  <c r="K8" i="1"/>
  <c r="AL7" i="1"/>
  <c r="P7" i="1" s="1"/>
  <c r="AF7" i="1"/>
  <c r="U7" i="1"/>
  <c r="M7" i="1"/>
  <c r="K7" i="1"/>
  <c r="AL6" i="1"/>
  <c r="AF6" i="1"/>
  <c r="U6" i="1"/>
  <c r="P6" i="1"/>
  <c r="T6" i="1" s="1"/>
  <c r="L6" i="1" s="1"/>
  <c r="J6" i="1" s="1"/>
  <c r="M6" i="1"/>
  <c r="K6" i="1"/>
  <c r="AL5" i="1"/>
  <c r="AF5" i="1"/>
  <c r="U5" i="1"/>
  <c r="P5" i="1"/>
  <c r="T5" i="1" s="1"/>
  <c r="L5" i="1" s="1"/>
  <c r="J5" i="1" s="1"/>
  <c r="M5" i="1"/>
  <c r="K5" i="1"/>
  <c r="AL4" i="1"/>
  <c r="AF4" i="1"/>
  <c r="U4" i="1"/>
  <c r="P4" i="1"/>
  <c r="T4" i="1" s="1"/>
  <c r="M4" i="1"/>
  <c r="L4" i="1" s="1"/>
  <c r="J4" i="1" s="1"/>
  <c r="K4" i="1"/>
  <c r="T7" i="1" l="1"/>
  <c r="L7" i="1" s="1"/>
  <c r="J7" i="1" s="1"/>
  <c r="Q7" i="1"/>
  <c r="Q11" i="1"/>
  <c r="T11" i="1"/>
  <c r="L11" i="1" s="1"/>
  <c r="J11" i="1" s="1"/>
  <c r="T9" i="1"/>
  <c r="L9" i="1" s="1"/>
  <c r="J9" i="1" s="1"/>
  <c r="Q9" i="1"/>
  <c r="T16" i="1"/>
  <c r="L16" i="1" s="1"/>
  <c r="J16" i="1" s="1"/>
  <c r="Q16" i="1"/>
  <c r="T14" i="1"/>
  <c r="L14" i="1" s="1"/>
  <c r="J14" i="1" s="1"/>
  <c r="Q4" i="1"/>
  <c r="Q13" i="1"/>
  <c r="Q6" i="1"/>
  <c r="T15" i="1"/>
  <c r="L15" i="1" s="1"/>
  <c r="J15" i="1" s="1"/>
  <c r="Q8" i="1"/>
  <c r="T10" i="1"/>
  <c r="L10" i="1" s="1"/>
  <c r="J10" i="1" s="1"/>
  <c r="Q12" i="1"/>
  <c r="Q5" i="1"/>
</calcChain>
</file>

<file path=xl/sharedStrings.xml><?xml version="1.0" encoding="utf-8"?>
<sst xmlns="http://schemas.openxmlformats.org/spreadsheetml/2006/main" count="2242" uniqueCount="787">
  <si>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</si>
  <si>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</si>
  <si>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</si>
  <si>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</si>
  <si>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</si>
  <si>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</si>
  <si>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</si>
  <si>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</si>
  <si>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</si>
  <si>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</si>
  <si>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</si>
  <si>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</si>
  <si>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</si>
  <si>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</si>
  <si>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</si>
  <si>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</si>
  <si>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</si>
  <si>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</si>
  <si>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</si>
  <si>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</si>
  <si>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</si>
  <si>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</si>
  <si>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</si>
  <si>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</si>
  <si>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</si>
  <si>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</si>
  <si>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</si>
  <si>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</si>
  <si>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</si>
  <si>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</si>
  <si>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</si>
  <si>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</si>
  <si>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</si>
  <si>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</si>
  <si>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</si>
  <si>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</si>
  <si>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</si>
  <si>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</si>
  <si>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</si>
  <si>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</si>
  <si>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</si>
  <si>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</si>
  <si>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</si>
  <si>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</si>
  <si>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</si>
  <si>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</si>
  <si>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</si>
  <si>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</si>
  <si>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</si>
  <si>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</si>
  <si>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</si>
  <si>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</si>
  <si>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</si>
  <si>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</si>
  <si>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</si>
  <si>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</si>
  <si>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</si>
  <si>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</si>
  <si>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</si>
  <si>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</si>
  <si>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</si>
  <si>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</si>
  <si>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</si>
  <si>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</si>
  <si>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</si>
  <si>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</si>
  <si>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</si>
  <si>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</si>
  <si>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</si>
  <si>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</si>
  <si>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</si>
  <si>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</si>
  <si>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</si>
  <si>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</si>
  <si>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</si>
  <si>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</si>
  <si>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</si>
  <si>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</si>
  <si>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</si>
  <si>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</si>
  <si>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</si>
  <si>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</si>
  <si>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</si>
  <si>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</si>
  <si>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</si>
  <si>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</si>
  <si>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</si>
  <si>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</si>
  <si>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</si>
  <si>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</si>
  <si>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</si>
  <si>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</si>
  <si>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</si>
  <si>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</si>
  <si>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</si>
  <si>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</si>
  <si>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</si>
  <si>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</si>
  <si>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</si>
  <si>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</si>
  <si>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</si>
  <si>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</si>
  <si>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</si>
  <si>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</si>
  <si>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</si>
  <si>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</si>
  <si>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</si>
  <si>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</si>
  <si>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</si>
  <si>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</si>
  <si>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</si>
  <si>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</si>
  <si>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</si>
  <si>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</si>
  <si>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</si>
  <si>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</si>
  <si>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</si>
  <si>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</si>
  <si>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</si>
  <si>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</si>
  <si>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</si>
  <si>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</si>
  <si>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</si>
  <si>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</si>
  <si>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</si>
  <si>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</si>
  <si>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</si>
  <si>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</si>
  <si>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</si>
  <si>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</si>
  <si>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</si>
  <si>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</si>
  <si>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</si>
  <si>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</si>
  <si>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</si>
  <si>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</si>
  <si>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</si>
  <si>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</si>
  <si>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</si>
  <si>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</si>
  <si>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</si>
  <si>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</si>
  <si>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</si>
  <si>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</si>
  <si>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</si>
  <si>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</si>
  <si>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</si>
  <si>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</si>
  <si>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</si>
  <si>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</si>
  <si>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</si>
  <si>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</si>
  <si>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</si>
  <si>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</si>
  <si>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</si>
  <si>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</si>
  <si>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</si>
  <si>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</si>
  <si>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</si>
  <si>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</si>
  <si>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08:52:42</t>
  </si>
  <si>
    <t>2026-08-07</t>
  </si>
  <si>
    <t>lightfluoromete</t>
  </si>
  <si>
    <t>yun</t>
  </si>
  <si>
    <t>001</t>
  </si>
  <si>
    <t>3.332876</t>
  </si>
  <si>
    <t>3.054702</t>
  </si>
  <si>
    <t>30.467426</t>
  </si>
  <si>
    <t>33.241917</t>
  </si>
  <si>
    <t>7.500000</t>
  </si>
  <si>
    <t>PSF-01106_20260807085242_cfe</t>
  </si>
  <si>
    <t>0.000000</t>
  </si>
  <si>
    <t>120.302078</t>
  </si>
  <si>
    <t>395.067200</t>
  </si>
  <si>
    <t>0.695490</t>
  </si>
  <si>
    <t>0.5</t>
  </si>
  <si>
    <t>0.84</t>
  </si>
  <si>
    <t>1.000000</t>
  </si>
  <si>
    <t>61.85</t>
  </si>
  <si>
    <t>56.69</t>
  </si>
  <si>
    <t>34.15</t>
  </si>
  <si>
    <t>31.27</t>
  </si>
  <si>
    <t>100.26</t>
  </si>
  <si>
    <t>156.0</t>
  </si>
  <si>
    <t>151.2</t>
  </si>
  <si>
    <t>3.1</t>
  </si>
  <si>
    <t>534</t>
  </si>
  <si>
    <t>3.912</t>
  </si>
  <si>
    <t>-21</t>
  </si>
  <si>
    <t>2</t>
  </si>
  <si>
    <t>145</t>
  </si>
  <si>
    <t>21.09</t>
  </si>
  <si>
    <t>-29.43</t>
  </si>
  <si>
    <t>00:00:00</t>
  </si>
  <si>
    <t>0000-00-00</t>
  </si>
  <si>
    <t>35.850178</t>
  </si>
  <si>
    <t>127.129799</t>
  </si>
  <si>
    <t>17.700001</t>
  </si>
  <si>
    <t>4</t>
  </si>
  <si>
    <t>2.780000</t>
  </si>
  <si>
    <t>08:51:48</t>
  </si>
  <si>
    <t>0.23</t>
  </si>
  <si>
    <t>-0.001</t>
  </si>
  <si>
    <t>-0.057</t>
  </si>
  <si>
    <t>-0.521</t>
  </si>
  <si>
    <t>-1.627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</si>
  <si>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</si>
  <si>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</si>
  <si>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</si>
  <si>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</si>
  <si>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</si>
  <si>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</si>
  <si>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</si>
  <si>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</si>
  <si>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</si>
  <si>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</si>
  <si>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</si>
  <si>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</si>
  <si>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</si>
  <si>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2.505230</t>
  </si>
  <si>
    <t>2.451231</t>
  </si>
  <si>
    <t>1.669682</t>
  </si>
  <si>
    <t>0.931621</t>
  </si>
  <si>
    <t>0.190050</t>
  </si>
  <si>
    <t>-0.035485</t>
  </si>
  <si>
    <t>0.031142</t>
  </si>
  <si>
    <t>0.573121</t>
  </si>
  <si>
    <t>0.000351</t>
  </si>
  <si>
    <t>2.415626</t>
  </si>
  <si>
    <t>-0.000027</t>
  </si>
  <si>
    <t>2.361415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</si>
  <si>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</si>
  <si>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</si>
  <si>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</si>
  <si>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</si>
  <si>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</si>
  <si>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</si>
  <si>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</si>
  <si>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</si>
  <si>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</si>
  <si>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</si>
  <si>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08:54:06</t>
  </si>
  <si>
    <t>002</t>
  </si>
  <si>
    <t>3.140596</t>
  </si>
  <si>
    <t>3.056732</t>
  </si>
  <si>
    <t>30.483337</t>
  </si>
  <si>
    <t>31.319670</t>
  </si>
  <si>
    <t>PSF-01106_20260807085406_5ae</t>
  </si>
  <si>
    <t>108.266472</t>
  </si>
  <si>
    <t>380.610474</t>
  </si>
  <si>
    <t>0.715545</t>
  </si>
  <si>
    <t>57.71</t>
  </si>
  <si>
    <t>56.17</t>
  </si>
  <si>
    <t>34.33</t>
  </si>
  <si>
    <t>33.53</t>
  </si>
  <si>
    <t>100.28</t>
  </si>
  <si>
    <t>156.1</t>
  </si>
  <si>
    <t>155.2</t>
  </si>
  <si>
    <t>0.6</t>
  </si>
  <si>
    <t>396</t>
  </si>
  <si>
    <t>3.910</t>
  </si>
  <si>
    <t>-17</t>
  </si>
  <si>
    <t>-2</t>
  </si>
  <si>
    <t>218</t>
  </si>
  <si>
    <t>61.52</t>
  </si>
  <si>
    <t>47.69</t>
  </si>
  <si>
    <t>17.11</t>
  </si>
  <si>
    <t>31.19</t>
  </si>
  <si>
    <t>16.46</t>
  </si>
  <si>
    <t>96.17</t>
  </si>
  <si>
    <t>52.92</t>
  </si>
  <si>
    <t>23:54:01</t>
  </si>
  <si>
    <t>2026-08-06</t>
  </si>
  <si>
    <t>35.850147</t>
  </si>
  <si>
    <t>127.129791</t>
  </si>
  <si>
    <t>26.500000</t>
  </si>
  <si>
    <t>2.760000</t>
  </si>
  <si>
    <t>-0.002</t>
  </si>
  <si>
    <t>0.003</t>
  </si>
  <si>
    <t>-0.273</t>
  </si>
  <si>
    <t>-0.600</t>
  </si>
  <si>
    <t>-1.290</t>
  </si>
  <si>
    <t>2.504482</t>
  </si>
  <si>
    <t>2.445952</t>
  </si>
  <si>
    <t>1.670941</t>
  </si>
  <si>
    <t>0.941934</t>
  </si>
  <si>
    <t>0.188750</t>
  </si>
  <si>
    <t>-0.009407</t>
  </si>
  <si>
    <t>0.041620</t>
  </si>
  <si>
    <t>0.452752</t>
  </si>
  <si>
    <t>0.000349</t>
  </si>
  <si>
    <t>3</t>
  </si>
  <si>
    <t>08:57:11</t>
  </si>
  <si>
    <t>003</t>
  </si>
  <si>
    <t>3.455222</t>
  </si>
  <si>
    <t>3.085442</t>
  </si>
  <si>
    <t>30.771877</t>
  </si>
  <si>
    <t>34.459782</t>
  </si>
  <si>
    <t>PSF-01106_20260807085711_0a1</t>
  </si>
  <si>
    <t>139.234894</t>
  </si>
  <si>
    <t>305.631653</t>
  </si>
  <si>
    <t>0.544436</t>
  </si>
  <si>
    <t>61.58</t>
  </si>
  <si>
    <t>54.99</t>
  </si>
  <si>
    <t>34.88</t>
  </si>
  <si>
    <t>32.43</t>
  </si>
  <si>
    <t>100.27</t>
  </si>
  <si>
    <t>152.8</t>
  </si>
  <si>
    <t>2.1</t>
  </si>
  <si>
    <t>1172</t>
  </si>
  <si>
    <t>3.902</t>
  </si>
  <si>
    <t>-30</t>
  </si>
  <si>
    <t>-5</t>
  </si>
  <si>
    <t>166</t>
  </si>
  <si>
    <t>43.03</t>
  </si>
  <si>
    <t>73.10</t>
  </si>
  <si>
    <t>30.38</t>
  </si>
  <si>
    <t>-23.92</t>
  </si>
  <si>
    <t>96.66</t>
  </si>
  <si>
    <t>52.32</t>
  </si>
  <si>
    <t>23:57:07</t>
  </si>
  <si>
    <t>35.850185</t>
  </si>
  <si>
    <t>127.129745</t>
  </si>
  <si>
    <t>22.200001</t>
  </si>
  <si>
    <t>11</t>
  </si>
  <si>
    <t>1.050000</t>
  </si>
  <si>
    <t>-0.005</t>
  </si>
  <si>
    <t>0.000</t>
  </si>
  <si>
    <t>-0.008</t>
  </si>
  <si>
    <t>0.189</t>
  </si>
  <si>
    <t>0.242</t>
  </si>
  <si>
    <t>-0.006</t>
  </si>
  <si>
    <t>2.502743</t>
  </si>
  <si>
    <t>2.450760</t>
  </si>
  <si>
    <t>1.670258</t>
  </si>
  <si>
    <t>0.935764</t>
  </si>
  <si>
    <t>0.184754</t>
  </si>
  <si>
    <t>-0.030273</t>
  </si>
  <si>
    <t>0.066595</t>
  </si>
  <si>
    <t>1.129042</t>
  </si>
  <si>
    <t>0.000353</t>
  </si>
  <si>
    <t>08:59:40</t>
  </si>
  <si>
    <t>004</t>
  </si>
  <si>
    <t>3.421610</t>
  </si>
  <si>
    <t>3.114176</t>
  </si>
  <si>
    <t>31.056278</t>
  </si>
  <si>
    <t>34.122181</t>
  </si>
  <si>
    <t>PSF-01106_20260807085940_7d3</t>
  </si>
  <si>
    <t>134.291046</t>
  </si>
  <si>
    <t>434.328308</t>
  </si>
  <si>
    <t>0.690808</t>
  </si>
  <si>
    <t>60.01</t>
  </si>
  <si>
    <t>54.62</t>
  </si>
  <si>
    <t>35.17</t>
  </si>
  <si>
    <t>31.30</t>
  </si>
  <si>
    <t>156.4</t>
  </si>
  <si>
    <t>147.3</t>
  </si>
  <si>
    <t>5.8</t>
  </si>
  <si>
    <t>610</t>
  </si>
  <si>
    <t>3.901</t>
  </si>
  <si>
    <t>-8</t>
  </si>
  <si>
    <t>71</t>
  </si>
  <si>
    <t>39.35</t>
  </si>
  <si>
    <t>77.33</t>
  </si>
  <si>
    <t>22.41</t>
  </si>
  <si>
    <t>-130.41</t>
  </si>
  <si>
    <t>96.99</t>
  </si>
  <si>
    <t>51.92</t>
  </si>
  <si>
    <t>23:59:34</t>
  </si>
  <si>
    <t>35.850163</t>
  </si>
  <si>
    <t>127.129730</t>
  </si>
  <si>
    <t>24.200001</t>
  </si>
  <si>
    <t>0.980000</t>
  </si>
  <si>
    <t>-0.000</t>
  </si>
  <si>
    <t>-0.004</t>
  </si>
  <si>
    <t>0.469</t>
  </si>
  <si>
    <t>0.294</t>
  </si>
  <si>
    <t>0.541</t>
  </si>
  <si>
    <t>2.502173</t>
  </si>
  <si>
    <t>2.448719</t>
  </si>
  <si>
    <t>1.673108</t>
  </si>
  <si>
    <t>0.921812</t>
  </si>
  <si>
    <t>0.182688</t>
  </si>
  <si>
    <t>-0.048069</t>
  </si>
  <si>
    <t>0.085803</t>
  </si>
  <si>
    <t>0.639038</t>
  </si>
  <si>
    <t>0.000356</t>
  </si>
  <si>
    <t>5</t>
  </si>
  <si>
    <t>09:00:43</t>
  </si>
  <si>
    <t>005</t>
  </si>
  <si>
    <t>3.355137</t>
  </si>
  <si>
    <t>3.048683</t>
  </si>
  <si>
    <t>30.403597</t>
  </si>
  <si>
    <t>33.459778</t>
  </si>
  <si>
    <t>PSF-01106_20260807090043_218</t>
  </si>
  <si>
    <t>114.337204</t>
  </si>
  <si>
    <t>405.735626</t>
  </si>
  <si>
    <t>0.718198</t>
  </si>
  <si>
    <t>58.40</t>
  </si>
  <si>
    <t>53.07</t>
  </si>
  <si>
    <t>35.31</t>
  </si>
  <si>
    <t>31.34</t>
  </si>
  <si>
    <t>156.3</t>
  </si>
  <si>
    <t>153.5</t>
  </si>
  <si>
    <t>1.8</t>
  </si>
  <si>
    <t>341</t>
  </si>
  <si>
    <t>3.900</t>
  </si>
  <si>
    <t>-12</t>
  </si>
  <si>
    <t>9</t>
  </si>
  <si>
    <t>337</t>
  </si>
  <si>
    <t>51.41</t>
  </si>
  <si>
    <t>62.38</t>
  </si>
  <si>
    <t>14.96</t>
  </si>
  <si>
    <t>-165.70</t>
  </si>
  <si>
    <t>97.15</t>
  </si>
  <si>
    <t>51.72</t>
  </si>
  <si>
    <t>00:00:39</t>
  </si>
  <si>
    <t>35.850132</t>
  </si>
  <si>
    <t>127.129738</t>
  </si>
  <si>
    <t>24.900000</t>
  </si>
  <si>
    <t>13</t>
  </si>
  <si>
    <t>0.860000</t>
  </si>
  <si>
    <t>-0.206</t>
  </si>
  <si>
    <t>-0.405</t>
  </si>
  <si>
    <t>-0.791</t>
  </si>
  <si>
    <t>2.499996</t>
  </si>
  <si>
    <t>2.446653</t>
  </si>
  <si>
    <t>1.672714</t>
  </si>
  <si>
    <t>0.937606</t>
  </si>
  <si>
    <t>0.181720</t>
  </si>
  <si>
    <t>-0.049435</t>
  </si>
  <si>
    <t>0.093759</t>
  </si>
  <si>
    <t>0.404285</t>
  </si>
  <si>
    <t>0.000363</t>
  </si>
  <si>
    <t>6</t>
  </si>
  <si>
    <t>09:01:32</t>
  </si>
  <si>
    <t>006</t>
  </si>
  <si>
    <t>3.397945</t>
  </si>
  <si>
    <t>3.137020</t>
  </si>
  <si>
    <t>31.287056</t>
  </si>
  <si>
    <t>33.889389</t>
  </si>
  <si>
    <t>PSF-01106_20260807090132_50b</t>
  </si>
  <si>
    <t>109.751343</t>
  </si>
  <si>
    <t>343.991150</t>
  </si>
  <si>
    <t>0.680947</t>
  </si>
  <si>
    <t>58.80</t>
  </si>
  <si>
    <t>54.28</t>
  </si>
  <si>
    <t>35.41</t>
  </si>
  <si>
    <t>148.3</t>
  </si>
  <si>
    <t>5.0</t>
  </si>
  <si>
    <t>1049</t>
  </si>
  <si>
    <t>3.898</t>
  </si>
  <si>
    <t>-15</t>
  </si>
  <si>
    <t>307</t>
  </si>
  <si>
    <t>59.91</t>
  </si>
  <si>
    <t>50.14</t>
  </si>
  <si>
    <t>19.75</t>
  </si>
  <si>
    <t>168.73</t>
  </si>
  <si>
    <t>97.32</t>
  </si>
  <si>
    <t>51.52</t>
  </si>
  <si>
    <t>00:01:27</t>
  </si>
  <si>
    <t>35.850143</t>
  </si>
  <si>
    <t>127.129768</t>
  </si>
  <si>
    <t>25.900000</t>
  </si>
  <si>
    <t>0.890000</t>
  </si>
  <si>
    <t>-0.189</t>
  </si>
  <si>
    <t>-0.371</t>
  </si>
  <si>
    <t>-0.632</t>
  </si>
  <si>
    <t>2.501658</t>
  </si>
  <si>
    <t>2.447134</t>
  </si>
  <si>
    <t>1.671201</t>
  </si>
  <si>
    <t>0.924242</t>
  </si>
  <si>
    <t>0.180962</t>
  </si>
  <si>
    <t>-0.050754</t>
  </si>
  <si>
    <t>0.099754</t>
  </si>
  <si>
    <t>1.022049</t>
  </si>
  <si>
    <t>0.000360</t>
  </si>
  <si>
    <t>7</t>
  </si>
  <si>
    <t>09:04:21</t>
  </si>
  <si>
    <t>007</t>
  </si>
  <si>
    <t>3.547343</t>
  </si>
  <si>
    <t>3.267152</t>
  </si>
  <si>
    <t>32.582489</t>
  </si>
  <si>
    <t>35.376770</t>
  </si>
  <si>
    <t>PSF-01106_20260807090421_50a</t>
  </si>
  <si>
    <t>104.622963</t>
  </si>
  <si>
    <t>387.788757</t>
  </si>
  <si>
    <t>0.730206</t>
  </si>
  <si>
    <t>60.47</t>
  </si>
  <si>
    <t>55.70</t>
  </si>
  <si>
    <t>35.68</t>
  </si>
  <si>
    <t>31.37</t>
  </si>
  <si>
    <t>148.4</t>
  </si>
  <si>
    <t>4.9</t>
  </si>
  <si>
    <t>913</t>
  </si>
  <si>
    <t>3.892</t>
  </si>
  <si>
    <t>-6</t>
  </si>
  <si>
    <t>278</t>
  </si>
  <si>
    <t>63.09</t>
  </si>
  <si>
    <t>45.26</t>
  </si>
  <si>
    <t>13.40</t>
  </si>
  <si>
    <t>71.18</t>
  </si>
  <si>
    <t>97.82</t>
  </si>
  <si>
    <t>50.91</t>
  </si>
  <si>
    <t>00:04:17</t>
  </si>
  <si>
    <t>35.850128</t>
  </si>
  <si>
    <t>23.600000</t>
  </si>
  <si>
    <t>15</t>
  </si>
  <si>
    <t>0.800000</t>
  </si>
  <si>
    <t>0.008</t>
  </si>
  <si>
    <t>0.011</t>
  </si>
  <si>
    <t>0.006</t>
  </si>
  <si>
    <t>0.012</t>
  </si>
  <si>
    <t>-0.020</t>
  </si>
  <si>
    <t>2.503559</t>
  </si>
  <si>
    <t>2.449206</t>
  </si>
  <si>
    <t>1.670860</t>
  </si>
  <si>
    <t>0.924571</t>
  </si>
  <si>
    <t>0.179069</t>
  </si>
  <si>
    <t>-0.053847</t>
  </si>
  <si>
    <t>0.120997</t>
  </si>
  <si>
    <t>0.903622</t>
  </si>
  <si>
    <t>0.000358</t>
  </si>
  <si>
    <t>8</t>
  </si>
  <si>
    <t>09:06:52</t>
  </si>
  <si>
    <t>008</t>
  </si>
  <si>
    <t>3.383308</t>
  </si>
  <si>
    <t>3.059095</t>
  </si>
  <si>
    <t>30.509258</t>
  </si>
  <si>
    <t>33.742729</t>
  </si>
  <si>
    <t>PSF-01106_20260807090652_150</t>
  </si>
  <si>
    <t>134.008163</t>
  </si>
  <si>
    <t>361.492035</t>
  </si>
  <si>
    <t>0.629292</t>
  </si>
  <si>
    <t>56.87</t>
  </si>
  <si>
    <t>51.42</t>
  </si>
  <si>
    <t>35.94</t>
  </si>
  <si>
    <t>31.53</t>
  </si>
  <si>
    <t>156.2</t>
  </si>
  <si>
    <t>149.8</t>
  </si>
  <si>
    <t>4.1</t>
  </si>
  <si>
    <t>844</t>
  </si>
  <si>
    <t>3.890</t>
  </si>
  <si>
    <t>349</t>
  </si>
  <si>
    <t>64.11</t>
  </si>
  <si>
    <t>43.67</t>
  </si>
  <si>
    <t>30.02</t>
  </si>
  <si>
    <t>171.00</t>
  </si>
  <si>
    <t>98.16</t>
  </si>
  <si>
    <t>50.51</t>
  </si>
  <si>
    <t>00:06:47</t>
  </si>
  <si>
    <t>35.850159</t>
  </si>
  <si>
    <t>24.400000</t>
  </si>
  <si>
    <t>16</t>
  </si>
  <si>
    <t>0.740000</t>
  </si>
  <si>
    <t>09:04:43</t>
  </si>
  <si>
    <t>0.20</t>
  </si>
  <si>
    <t>-0.417</t>
  </si>
  <si>
    <t>-0.369</t>
  </si>
  <si>
    <t>-0.366</t>
  </si>
  <si>
    <t>2.497588</t>
  </si>
  <si>
    <t>2.444635</t>
  </si>
  <si>
    <t>1.672017</t>
  </si>
  <si>
    <t>0.928225</t>
  </si>
  <si>
    <t>0.177312</t>
  </si>
  <si>
    <t>-0.055201</t>
  </si>
  <si>
    <t>0.139265</t>
  </si>
  <si>
    <t>0.843462</t>
  </si>
  <si>
    <t>0.000352</t>
  </si>
  <si>
    <t>09:08:44</t>
  </si>
  <si>
    <t>009</t>
  </si>
  <si>
    <t>3.389127</t>
  </si>
  <si>
    <t>3.084286</t>
  </si>
  <si>
    <t>30.764259</t>
  </si>
  <si>
    <t>33.804893</t>
  </si>
  <si>
    <t>PSF-01106_20260807090844_400</t>
  </si>
  <si>
    <t>107.846977</t>
  </si>
  <si>
    <t>435.369385</t>
  </si>
  <si>
    <t>0.752286</t>
  </si>
  <si>
    <t>56.52</t>
  </si>
  <si>
    <t>51.44</t>
  </si>
  <si>
    <t>36.08</t>
  </si>
  <si>
    <t>31.35</t>
  </si>
  <si>
    <t>155.9</t>
  </si>
  <si>
    <t>148.6</t>
  </si>
  <si>
    <t>4.7</t>
  </si>
  <si>
    <t>251</t>
  </si>
  <si>
    <t>3.885</t>
  </si>
  <si>
    <t>288</t>
  </si>
  <si>
    <t>80.63</t>
  </si>
  <si>
    <t>16.28</t>
  </si>
  <si>
    <t>30.54</t>
  </si>
  <si>
    <t>96.13</t>
  </si>
  <si>
    <t>98.51</t>
  </si>
  <si>
    <t>50.11</t>
  </si>
  <si>
    <t>00:08:39</t>
  </si>
  <si>
    <t>127.129761</t>
  </si>
  <si>
    <t>26.400000</t>
  </si>
  <si>
    <t>17</t>
  </si>
  <si>
    <t>0.690000</t>
  </si>
  <si>
    <t>0.002</t>
  </si>
  <si>
    <t>0.004</t>
  </si>
  <si>
    <t>-0.102</t>
  </si>
  <si>
    <t>-0.060</t>
  </si>
  <si>
    <t>2.497581</t>
  </si>
  <si>
    <t>2.444163</t>
  </si>
  <si>
    <t>1.669152</t>
  </si>
  <si>
    <t>0.925165</t>
  </si>
  <si>
    <t>0.176325</t>
  </si>
  <si>
    <t>-0.059287</t>
  </si>
  <si>
    <t>0.152649</t>
  </si>
  <si>
    <t>0.325985</t>
  </si>
  <si>
    <t>10</t>
  </si>
  <si>
    <t>09:09:52</t>
  </si>
  <si>
    <t>010</t>
  </si>
  <si>
    <t>3.378516</t>
  </si>
  <si>
    <t>3.062646</t>
  </si>
  <si>
    <t>30.549019</t>
  </si>
  <si>
    <t>33.699730</t>
  </si>
  <si>
    <t>PSF-01106_20260807090952_fe8</t>
  </si>
  <si>
    <t>116.557716</t>
  </si>
  <si>
    <t>383.924255</t>
  </si>
  <si>
    <t>0.696404</t>
  </si>
  <si>
    <t>55.94</t>
  </si>
  <si>
    <t>50.71</t>
  </si>
  <si>
    <t>36.21</t>
  </si>
  <si>
    <t>31.26</t>
  </si>
  <si>
    <t>100.25</t>
  </si>
  <si>
    <t>147.6</t>
  </si>
  <si>
    <t>5.6</t>
  </si>
  <si>
    <t>559</t>
  </si>
  <si>
    <t>3.884</t>
  </si>
  <si>
    <t>243</t>
  </si>
  <si>
    <t>66.21</t>
  </si>
  <si>
    <t>40.33</t>
  </si>
  <si>
    <t>16.52</t>
  </si>
  <si>
    <t>88.38</t>
  </si>
  <si>
    <t>98.68</t>
  </si>
  <si>
    <t>49.91</t>
  </si>
  <si>
    <t>00:09:47</t>
  </si>
  <si>
    <t>27.000000</t>
  </si>
  <si>
    <t>0.750000</t>
  </si>
  <si>
    <t>-0.106</t>
  </si>
  <si>
    <t>-0.259</t>
  </si>
  <si>
    <t>-0.645</t>
  </si>
  <si>
    <t>2.496542</t>
  </si>
  <si>
    <t>2.443400</t>
  </si>
  <si>
    <t>1.672895</t>
  </si>
  <si>
    <t>0.922465</t>
  </si>
  <si>
    <t>0.175430</t>
  </si>
  <si>
    <t>-0.062112</t>
  </si>
  <si>
    <t>0.160652</t>
  </si>
  <si>
    <t>0.594445</t>
  </si>
  <si>
    <t>0.000357</t>
  </si>
  <si>
    <t>09:11:47</t>
  </si>
  <si>
    <t>011</t>
  </si>
  <si>
    <t>3.297311</t>
  </si>
  <si>
    <t>2.982178</t>
  </si>
  <si>
    <t>29.744814</t>
  </si>
  <si>
    <t>32.888016</t>
  </si>
  <si>
    <t>PSF-01106_20260807091147_47a</t>
  </si>
  <si>
    <t>109.879013</t>
  </si>
  <si>
    <t>389.871582</t>
  </si>
  <si>
    <t>0.718166</t>
  </si>
  <si>
    <t>54.11</t>
  </si>
  <si>
    <t>48.94</t>
  </si>
  <si>
    <t>36.38</t>
  </si>
  <si>
    <t>151.0</t>
  </si>
  <si>
    <t>3.2</t>
  </si>
  <si>
    <t>668</t>
  </si>
  <si>
    <t>3.881</t>
  </si>
  <si>
    <t>-20</t>
  </si>
  <si>
    <t>238</t>
  </si>
  <si>
    <t>73.08</t>
  </si>
  <si>
    <t>29.10</t>
  </si>
  <si>
    <t>23.71</t>
  </si>
  <si>
    <t>92.02</t>
  </si>
  <si>
    <t>99.02</t>
  </si>
  <si>
    <t>49.51</t>
  </si>
  <si>
    <t>00:11:42</t>
  </si>
  <si>
    <t>28.700001</t>
  </si>
  <si>
    <t>18</t>
  </si>
  <si>
    <t>0.700000</t>
  </si>
  <si>
    <t>-0.003</t>
  </si>
  <si>
    <t>0.019</t>
  </si>
  <si>
    <t>0.048</t>
  </si>
  <si>
    <t>2.494041</t>
  </si>
  <si>
    <t>2.441046</t>
  </si>
  <si>
    <t>1.670146</t>
  </si>
  <si>
    <t>0.931094</t>
  </si>
  <si>
    <t>0.174329</t>
  </si>
  <si>
    <t>-0.063122</t>
  </si>
  <si>
    <t>0.174053</t>
  </si>
  <si>
    <t>0.689915</t>
  </si>
  <si>
    <t>0.000355</t>
  </si>
  <si>
    <t>12</t>
  </si>
  <si>
    <t>09:14:07</t>
  </si>
  <si>
    <t>012</t>
  </si>
  <si>
    <t>3.329282</t>
  </si>
  <si>
    <t>2.975135</t>
  </si>
  <si>
    <t>29.675087</t>
  </si>
  <si>
    <t>33.207474</t>
  </si>
  <si>
    <t>PSF-01106_20260807091407_cf6</t>
  </si>
  <si>
    <t>118.051170</t>
  </si>
  <si>
    <t>394.459961</t>
  </si>
  <si>
    <t>0.700727</t>
  </si>
  <si>
    <t>54.03</t>
  </si>
  <si>
    <t>48.28</t>
  </si>
  <si>
    <t>36.58</t>
  </si>
  <si>
    <t>31.94</t>
  </si>
  <si>
    <t>151.4</t>
  </si>
  <si>
    <t>2.9</t>
  </si>
  <si>
    <t>592</t>
  </si>
  <si>
    <t>3.877</t>
  </si>
  <si>
    <t>-44</t>
  </si>
  <si>
    <t>130</t>
  </si>
  <si>
    <t>14.47</t>
  </si>
  <si>
    <t>96.83</t>
  </si>
  <si>
    <t>44.57</t>
  </si>
  <si>
    <t>-61.44</t>
  </si>
  <si>
    <t>99.55</t>
  </si>
  <si>
    <t>48.91</t>
  </si>
  <si>
    <t>00:14:02</t>
  </si>
  <si>
    <t>35.850182</t>
  </si>
  <si>
    <t>127.129753</t>
  </si>
  <si>
    <t>28.900000</t>
  </si>
  <si>
    <t>0.020</t>
  </si>
  <si>
    <t>0.150</t>
  </si>
  <si>
    <t>2.493083</t>
  </si>
  <si>
    <t>2.440904</t>
  </si>
  <si>
    <t>1.670251</t>
  </si>
  <si>
    <t>0.932335</t>
  </si>
  <si>
    <t>0.172958</t>
  </si>
  <si>
    <t>-0.058519</t>
  </si>
  <si>
    <t>0.190062</t>
  </si>
  <si>
    <t>0.623245</t>
  </si>
  <si>
    <t>0.000359</t>
  </si>
  <si>
    <t>09:16:18</t>
  </si>
  <si>
    <t>013</t>
  </si>
  <si>
    <t>3.172227</t>
  </si>
  <si>
    <t>2.866718</t>
  </si>
  <si>
    <t>28.590981</t>
  </si>
  <si>
    <t>31.637955</t>
  </si>
  <si>
    <t>PSF-01106_20260807091618_8b4</t>
  </si>
  <si>
    <t>75.348976</t>
  </si>
  <si>
    <t>258.769165</t>
  </si>
  <si>
    <t>0.708818</t>
  </si>
  <si>
    <t>51.05</t>
  </si>
  <si>
    <t>46.14</t>
  </si>
  <si>
    <t>36.73</t>
  </si>
  <si>
    <t>32.33</t>
  </si>
  <si>
    <t>154.9</t>
  </si>
  <si>
    <t>0.7</t>
  </si>
  <si>
    <t>719</t>
  </si>
  <si>
    <t>3.875</t>
  </si>
  <si>
    <t>-24</t>
  </si>
  <si>
    <t>14</t>
  </si>
  <si>
    <t>198</t>
  </si>
  <si>
    <t>68.52</t>
  </si>
  <si>
    <t>36.61</t>
  </si>
  <si>
    <t>27.57</t>
  </si>
  <si>
    <t>99.90</t>
  </si>
  <si>
    <t>48.51</t>
  </si>
  <si>
    <t>00:16:13</t>
  </si>
  <si>
    <t>35.850220</t>
  </si>
  <si>
    <t>127.129776</t>
  </si>
  <si>
    <t>31.500000</t>
  </si>
  <si>
    <t>19</t>
  </si>
  <si>
    <t>0.670000</t>
  </si>
  <si>
    <t>-0.007</t>
  </si>
  <si>
    <t>-0.183</t>
  </si>
  <si>
    <t>-1.778</t>
  </si>
  <si>
    <t>2.490049</t>
  </si>
  <si>
    <t>2.437087</t>
  </si>
  <si>
    <t>1.669809</t>
  </si>
  <si>
    <t>0.941106</t>
  </si>
  <si>
    <t>0.171948</t>
  </si>
  <si>
    <t>-0.055640</t>
  </si>
  <si>
    <t>0.204790</t>
  </si>
  <si>
    <t>0.733821</t>
  </si>
  <si>
    <t>0.000364</t>
  </si>
  <si>
    <t>gsw_corrected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</si>
  <si>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</si>
  <si>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</si>
  <si>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</si>
  <si>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</si>
  <si>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처리전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</si>
</sst>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2" fillId="2" borderId="0" xfId="1" applyAlignment="1"/>
    <xf numFmtId="0" fontId="3" fillId="0" borderId="1" xfId="0" applyFont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0" borderId="5" xfId="0" applyBorder="1"/>
    <xf numFmtId="2" fontId="0" fillId="0" borderId="0" xfId="0" applyNumberFormat="1"/>
    <xf numFmtId="0" fontId="0" fillId="0" borderId="6" xfId="0" applyBorder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6"/>
  <sheetViews>
    <sheetView workbookViewId="0">
      <selection activeCell="H21" sqref="H21"/>
    </sheetView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16" si="0">1/((1/L4)-(1/K4))</f>
        <v>1.0694829786137048</v>
      </c>
      <c r="K4">
        <f t="shared" ref="K4:K16" si="1">BY4+(BZ4*AN4)+(CA4*AN4*POWER(V4,2))+(CB4*AN4*V4)+(CC4*POWER(AN4,2))</f>
        <v>2.9050319999999994</v>
      </c>
      <c r="L4">
        <f t="shared" ref="L4:L16" si="2">((M4/1000)*(1000-((T4+S4)/2)))/(T4-S4)</f>
        <v>0.78170098566638091</v>
      </c>
      <c r="M4">
        <f t="shared" ref="M4:M16" si="3">(AN4*(S4-R4))/(100*U4*(1000-S4))*1000</f>
        <v>10.133901603661675</v>
      </c>
      <c r="N4" t="s">
        <v>165</v>
      </c>
      <c r="O4" t="s">
        <v>166</v>
      </c>
      <c r="P4">
        <f t="shared" ref="P4:P16" si="4">0.61365*EXP((17.502*AL4)/(240.97+AL4))</f>
        <v>4.5812972153776226</v>
      </c>
      <c r="Q4">
        <f t="shared" ref="Q4:Q16" si="5">P4-N4</f>
        <v>1.2484212153776224</v>
      </c>
      <c r="R4" t="s">
        <v>167</v>
      </c>
      <c r="S4" t="s">
        <v>168</v>
      </c>
      <c r="T4">
        <f t="shared" ref="T4:T16" si="6">(P4/AM4)*1000</f>
        <v>45.694167318747482</v>
      </c>
      <c r="U4">
        <f t="shared" ref="U4:U16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16" si="8">AC4*AD4*AE4*AQ4</f>
        <v>155.98449720000002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16" si="9">(AK4-AJ4)*(AJ4*0+0)+AK4</f>
        <v>31.27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196</v>
      </c>
      <c r="BG4" t="s">
        <v>197</v>
      </c>
      <c r="BH4" t="s">
        <v>198</v>
      </c>
      <c r="BI4" t="s">
        <v>199</v>
      </c>
      <c r="BJ4" t="s">
        <v>200</v>
      </c>
      <c r="BK4" t="s">
        <v>161</v>
      </c>
      <c r="BL4" t="s">
        <v>201</v>
      </c>
      <c r="BM4" t="s">
        <v>159</v>
      </c>
      <c r="BN4" t="s">
        <v>202</v>
      </c>
      <c r="BO4" t="s">
        <v>202</v>
      </c>
      <c r="BP4" t="s">
        <v>202</v>
      </c>
      <c r="BQ4" t="s">
        <v>203</v>
      </c>
      <c r="BR4" t="s">
        <v>204</v>
      </c>
      <c r="BS4" t="s">
        <v>205</v>
      </c>
      <c r="BT4" t="s">
        <v>159</v>
      </c>
      <c r="BU4" t="s">
        <v>206</v>
      </c>
      <c r="BV4" t="s">
        <v>207</v>
      </c>
      <c r="BW4" t="s">
        <v>208</v>
      </c>
      <c r="BX4" t="s">
        <v>209</v>
      </c>
      <c r="BY4" t="s">
        <v>171</v>
      </c>
      <c r="BZ4" t="s">
        <v>210</v>
      </c>
      <c r="CA4" t="s">
        <v>171</v>
      </c>
      <c r="CB4" t="s">
        <v>171</v>
      </c>
      <c r="CC4" t="s">
        <v>211</v>
      </c>
      <c r="CD4" t="s">
        <v>212</v>
      </c>
      <c r="CE4" t="s">
        <v>213</v>
      </c>
      <c r="CF4" t="s">
        <v>214</v>
      </c>
      <c r="CG4" t="s">
        <v>215</v>
      </c>
      <c r="CH4" t="s">
        <v>216</v>
      </c>
      <c r="CI4" t="s">
        <v>177</v>
      </c>
      <c r="CJ4" t="s">
        <v>208</v>
      </c>
      <c r="CK4" t="s">
        <v>217</v>
      </c>
      <c r="CL4" t="s">
        <v>217</v>
      </c>
      <c r="CM4" t="s">
        <v>217</v>
      </c>
      <c r="CN4" t="s">
        <v>171</v>
      </c>
      <c r="CO4" t="s">
        <v>218</v>
      </c>
      <c r="CP4" t="s">
        <v>171</v>
      </c>
      <c r="CQ4" t="s">
        <v>171</v>
      </c>
      <c r="CR4" t="s">
        <v>171</v>
      </c>
      <c r="CS4" t="s">
        <v>171</v>
      </c>
      <c r="CT4" t="s">
        <v>219</v>
      </c>
      <c r="CU4" t="s">
        <v>220</v>
      </c>
      <c r="CV4" t="s">
        <v>221</v>
      </c>
      <c r="CW4" t="s">
        <v>222</v>
      </c>
      <c r="CX4" t="s">
        <v>223</v>
      </c>
      <c r="CY4" t="s">
        <v>224</v>
      </c>
      <c r="CZ4" t="s">
        <v>225</v>
      </c>
      <c r="DA4" t="s">
        <v>226</v>
      </c>
      <c r="DB4" t="s">
        <v>172</v>
      </c>
      <c r="DC4" t="s">
        <v>227</v>
      </c>
      <c r="DD4" t="s">
        <v>228</v>
      </c>
      <c r="DE4" t="s">
        <v>229</v>
      </c>
      <c r="DF4" t="s">
        <v>177</v>
      </c>
      <c r="DG4" t="s">
        <v>230</v>
      </c>
      <c r="DH4" t="s">
        <v>231</v>
      </c>
      <c r="DI4" t="s">
        <v>177</v>
      </c>
      <c r="DJ4" t="s">
        <v>232</v>
      </c>
      <c r="DK4" t="s">
        <v>233</v>
      </c>
      <c r="DL4" t="s">
        <v>234</v>
      </c>
      <c r="DM4" t="s">
        <v>171</v>
      </c>
      <c r="DN4" t="s">
        <v>170</v>
      </c>
      <c r="DO4" t="s">
        <v>235</v>
      </c>
      <c r="DP4" t="s">
        <v>236</v>
      </c>
      <c r="DQ4" t="s">
        <v>237</v>
      </c>
      <c r="DR4" t="s">
        <v>238</v>
      </c>
      <c r="DS4" t="s">
        <v>239</v>
      </c>
      <c r="DT4" t="s">
        <v>240</v>
      </c>
    </row>
    <row r="5" spans="1:124" x14ac:dyDescent="0.45">
      <c r="A5" t="s">
        <v>189</v>
      </c>
      <c r="B5" t="s">
        <v>241</v>
      </c>
      <c r="C5" t="s">
        <v>161</v>
      </c>
      <c r="D5" t="s">
        <v>162</v>
      </c>
      <c r="E5" t="s">
        <v>163</v>
      </c>
      <c r="I5" t="s">
        <v>242</v>
      </c>
      <c r="J5">
        <f t="shared" si="0"/>
        <v>0.14936519406835141</v>
      </c>
      <c r="K5">
        <f t="shared" si="1"/>
        <v>2.9058327199999998</v>
      </c>
      <c r="L5">
        <f t="shared" si="2"/>
        <v>0.14206289751455206</v>
      </c>
      <c r="M5">
        <f t="shared" si="3"/>
        <v>3.0506208331140634</v>
      </c>
      <c r="N5" t="s">
        <v>243</v>
      </c>
      <c r="O5" t="s">
        <v>244</v>
      </c>
      <c r="P5">
        <f t="shared" si="4"/>
        <v>5.2045206107169344</v>
      </c>
      <c r="Q5">
        <f t="shared" si="5"/>
        <v>2.0639246107169344</v>
      </c>
      <c r="R5" t="s">
        <v>245</v>
      </c>
      <c r="S5" t="s">
        <v>246</v>
      </c>
      <c r="T5">
        <f t="shared" si="6"/>
        <v>51.899886425178842</v>
      </c>
      <c r="U5">
        <f t="shared" si="7"/>
        <v>0.4417875</v>
      </c>
      <c r="V5" t="s">
        <v>169</v>
      </c>
      <c r="W5" t="s">
        <v>247</v>
      </c>
      <c r="X5" t="s">
        <v>171</v>
      </c>
      <c r="Y5" t="s">
        <v>171</v>
      </c>
      <c r="Z5" t="s">
        <v>171</v>
      </c>
      <c r="AA5" t="s">
        <v>248</v>
      </c>
      <c r="AB5" t="s">
        <v>249</v>
      </c>
      <c r="AC5" t="s">
        <v>250</v>
      </c>
      <c r="AD5" t="s">
        <v>175</v>
      </c>
      <c r="AE5" t="s">
        <v>176</v>
      </c>
      <c r="AF5">
        <f t="shared" si="8"/>
        <v>119.00944439999999</v>
      </c>
      <c r="AG5" t="s">
        <v>177</v>
      </c>
      <c r="AH5" t="s">
        <v>251</v>
      </c>
      <c r="AI5" t="s">
        <v>252</v>
      </c>
      <c r="AJ5" t="s">
        <v>253</v>
      </c>
      <c r="AK5" t="s">
        <v>254</v>
      </c>
      <c r="AL5">
        <f t="shared" si="9"/>
        <v>33.53</v>
      </c>
      <c r="AM5" t="s">
        <v>255</v>
      </c>
      <c r="AN5" t="s">
        <v>256</v>
      </c>
      <c r="AO5" t="s">
        <v>257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266</v>
      </c>
      <c r="AY5" t="s">
        <v>267</v>
      </c>
      <c r="AZ5" t="s">
        <v>268</v>
      </c>
      <c r="BA5" t="s">
        <v>269</v>
      </c>
      <c r="BB5" t="s">
        <v>270</v>
      </c>
      <c r="BC5" t="s">
        <v>271</v>
      </c>
      <c r="BD5" t="s">
        <v>272</v>
      </c>
      <c r="BE5" t="s">
        <v>273</v>
      </c>
      <c r="BF5" t="s">
        <v>274</v>
      </c>
      <c r="BG5" t="s">
        <v>275</v>
      </c>
      <c r="BH5" t="s">
        <v>198</v>
      </c>
      <c r="BI5" t="s">
        <v>276</v>
      </c>
      <c r="BJ5" t="s">
        <v>200</v>
      </c>
      <c r="BK5" t="s">
        <v>161</v>
      </c>
      <c r="BL5" t="s">
        <v>201</v>
      </c>
      <c r="BM5" t="s">
        <v>159</v>
      </c>
      <c r="BN5" t="s">
        <v>277</v>
      </c>
      <c r="BO5" t="s">
        <v>202</v>
      </c>
      <c r="BP5" t="s">
        <v>278</v>
      </c>
      <c r="BQ5" t="s">
        <v>279</v>
      </c>
      <c r="BR5" t="s">
        <v>280</v>
      </c>
      <c r="BS5" t="s">
        <v>281</v>
      </c>
      <c r="BT5" t="s">
        <v>159</v>
      </c>
      <c r="BU5" t="s">
        <v>206</v>
      </c>
      <c r="BV5" t="s">
        <v>207</v>
      </c>
      <c r="BW5" t="s">
        <v>208</v>
      </c>
      <c r="BX5" t="s">
        <v>209</v>
      </c>
      <c r="BY5" t="s">
        <v>171</v>
      </c>
      <c r="BZ5" t="s">
        <v>210</v>
      </c>
      <c r="CA5" t="s">
        <v>171</v>
      </c>
      <c r="CB5" t="s">
        <v>171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177</v>
      </c>
      <c r="CJ5" t="s">
        <v>208</v>
      </c>
      <c r="CK5" t="s">
        <v>217</v>
      </c>
      <c r="CL5" t="s">
        <v>217</v>
      </c>
      <c r="CM5" t="s">
        <v>217</v>
      </c>
      <c r="CN5" t="s">
        <v>171</v>
      </c>
      <c r="CO5" t="s">
        <v>218</v>
      </c>
      <c r="CP5" t="s">
        <v>171</v>
      </c>
      <c r="CQ5" t="s">
        <v>171</v>
      </c>
      <c r="CR5" t="s">
        <v>171</v>
      </c>
      <c r="CS5" t="s">
        <v>171</v>
      </c>
      <c r="CT5" t="s">
        <v>282</v>
      </c>
      <c r="CU5" t="s">
        <v>283</v>
      </c>
      <c r="CV5" t="s">
        <v>284</v>
      </c>
      <c r="CW5" t="s">
        <v>285</v>
      </c>
      <c r="CX5" t="s">
        <v>286</v>
      </c>
      <c r="CY5" t="s">
        <v>287</v>
      </c>
      <c r="CZ5" t="s">
        <v>288</v>
      </c>
      <c r="DA5" t="s">
        <v>289</v>
      </c>
      <c r="DB5" t="s">
        <v>248</v>
      </c>
      <c r="DC5" t="s">
        <v>290</v>
      </c>
      <c r="DD5" t="s">
        <v>228</v>
      </c>
      <c r="DE5" t="s">
        <v>229</v>
      </c>
      <c r="DF5" t="s">
        <v>177</v>
      </c>
      <c r="DG5" t="s">
        <v>230</v>
      </c>
      <c r="DH5" t="s">
        <v>231</v>
      </c>
      <c r="DI5" t="s">
        <v>177</v>
      </c>
      <c r="DJ5" t="s">
        <v>232</v>
      </c>
      <c r="DK5" t="s">
        <v>233</v>
      </c>
      <c r="DL5" t="s">
        <v>234</v>
      </c>
      <c r="DM5" t="s">
        <v>171</v>
      </c>
      <c r="DN5" t="s">
        <v>247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</row>
    <row r="6" spans="1:124" x14ac:dyDescent="0.45">
      <c r="A6" t="s">
        <v>291</v>
      </c>
      <c r="B6" t="s">
        <v>292</v>
      </c>
      <c r="C6" t="s">
        <v>161</v>
      </c>
      <c r="D6" t="s">
        <v>162</v>
      </c>
      <c r="E6" t="s">
        <v>163</v>
      </c>
      <c r="I6" t="s">
        <v>293</v>
      </c>
      <c r="J6">
        <f t="shared" si="0"/>
        <v>1.3076857422671082</v>
      </c>
      <c r="K6">
        <f t="shared" si="1"/>
        <v>2.9050319999999994</v>
      </c>
      <c r="L6">
        <f t="shared" si="2"/>
        <v>0.90176203573166736</v>
      </c>
      <c r="M6">
        <f t="shared" si="3"/>
        <v>13.487160678225496</v>
      </c>
      <c r="N6" t="s">
        <v>294</v>
      </c>
      <c r="O6" t="s">
        <v>295</v>
      </c>
      <c r="P6">
        <f t="shared" si="4"/>
        <v>4.8925388973838428</v>
      </c>
      <c r="Q6">
        <f t="shared" si="5"/>
        <v>1.4373168973838428</v>
      </c>
      <c r="R6" t="s">
        <v>296</v>
      </c>
      <c r="S6" t="s">
        <v>297</v>
      </c>
      <c r="T6">
        <f t="shared" si="6"/>
        <v>48.793646129289343</v>
      </c>
      <c r="U6">
        <f t="shared" si="7"/>
        <v>0.4417875</v>
      </c>
      <c r="V6" t="s">
        <v>169</v>
      </c>
      <c r="W6" t="s">
        <v>298</v>
      </c>
      <c r="X6" t="s">
        <v>171</v>
      </c>
      <c r="Y6" t="s">
        <v>171</v>
      </c>
      <c r="Z6" t="s">
        <v>171</v>
      </c>
      <c r="AA6" t="s">
        <v>299</v>
      </c>
      <c r="AB6" t="s">
        <v>300</v>
      </c>
      <c r="AC6" t="s">
        <v>301</v>
      </c>
      <c r="AD6" t="s">
        <v>175</v>
      </c>
      <c r="AE6" t="s">
        <v>176</v>
      </c>
      <c r="AF6">
        <f t="shared" si="8"/>
        <v>267.99317664</v>
      </c>
      <c r="AG6" t="s">
        <v>177</v>
      </c>
      <c r="AH6" t="s">
        <v>302</v>
      </c>
      <c r="AI6" t="s">
        <v>303</v>
      </c>
      <c r="AJ6" t="s">
        <v>304</v>
      </c>
      <c r="AK6" t="s">
        <v>305</v>
      </c>
      <c r="AL6">
        <f t="shared" si="9"/>
        <v>32.43</v>
      </c>
      <c r="AM6" t="s">
        <v>306</v>
      </c>
      <c r="AN6" t="s">
        <v>183</v>
      </c>
      <c r="AO6" t="s">
        <v>307</v>
      </c>
      <c r="AP6" t="s">
        <v>308</v>
      </c>
      <c r="AQ6" t="s">
        <v>309</v>
      </c>
      <c r="AR6" t="s">
        <v>310</v>
      </c>
      <c r="AS6" t="s">
        <v>311</v>
      </c>
      <c r="AT6" t="s">
        <v>312</v>
      </c>
      <c r="AU6" t="s">
        <v>313</v>
      </c>
      <c r="AV6" t="s">
        <v>314</v>
      </c>
      <c r="AW6" t="s">
        <v>315</v>
      </c>
      <c r="AX6" t="s">
        <v>316</v>
      </c>
      <c r="AY6" t="s">
        <v>317</v>
      </c>
      <c r="AZ6" t="s">
        <v>268</v>
      </c>
      <c r="BA6" t="s">
        <v>318</v>
      </c>
      <c r="BB6" t="s">
        <v>319</v>
      </c>
      <c r="BC6" t="s">
        <v>320</v>
      </c>
      <c r="BD6" t="s">
        <v>272</v>
      </c>
      <c r="BE6" t="s">
        <v>321</v>
      </c>
      <c r="BF6" t="s">
        <v>322</v>
      </c>
      <c r="BG6" t="s">
        <v>323</v>
      </c>
      <c r="BH6" t="s">
        <v>324</v>
      </c>
      <c r="BI6" t="s">
        <v>325</v>
      </c>
      <c r="BJ6" t="s">
        <v>200</v>
      </c>
      <c r="BK6" t="s">
        <v>161</v>
      </c>
      <c r="BL6" t="s">
        <v>201</v>
      </c>
      <c r="BM6" t="s">
        <v>159</v>
      </c>
      <c r="BN6" t="s">
        <v>326</v>
      </c>
      <c r="BO6" t="s">
        <v>327</v>
      </c>
      <c r="BP6" t="s">
        <v>328</v>
      </c>
      <c r="BQ6" t="s">
        <v>329</v>
      </c>
      <c r="BR6" t="s">
        <v>330</v>
      </c>
      <c r="BS6" t="s">
        <v>331</v>
      </c>
      <c r="BT6" t="s">
        <v>159</v>
      </c>
      <c r="BU6" t="s">
        <v>206</v>
      </c>
      <c r="BV6" t="s">
        <v>207</v>
      </c>
      <c r="BW6" t="s">
        <v>208</v>
      </c>
      <c r="BX6" t="s">
        <v>209</v>
      </c>
      <c r="BY6" t="s">
        <v>171</v>
      </c>
      <c r="BZ6" t="s">
        <v>210</v>
      </c>
      <c r="CA6" t="s">
        <v>171</v>
      </c>
      <c r="CB6" t="s">
        <v>171</v>
      </c>
      <c r="CC6" t="s">
        <v>211</v>
      </c>
      <c r="CD6" t="s">
        <v>212</v>
      </c>
      <c r="CE6" t="s">
        <v>213</v>
      </c>
      <c r="CF6" t="s">
        <v>214</v>
      </c>
      <c r="CG6" t="s">
        <v>215</v>
      </c>
      <c r="CH6" t="s">
        <v>216</v>
      </c>
      <c r="CI6" t="s">
        <v>177</v>
      </c>
      <c r="CJ6" t="s">
        <v>208</v>
      </c>
      <c r="CK6" t="s">
        <v>217</v>
      </c>
      <c r="CL6" t="s">
        <v>217</v>
      </c>
      <c r="CM6" t="s">
        <v>217</v>
      </c>
      <c r="CN6" t="s">
        <v>171</v>
      </c>
      <c r="CO6" t="s">
        <v>218</v>
      </c>
      <c r="CP6" t="s">
        <v>171</v>
      </c>
      <c r="CQ6" t="s">
        <v>171</v>
      </c>
      <c r="CR6" t="s">
        <v>171</v>
      </c>
      <c r="CS6" t="s">
        <v>171</v>
      </c>
      <c r="CT6" t="s">
        <v>332</v>
      </c>
      <c r="CU6" t="s">
        <v>333</v>
      </c>
      <c r="CV6" t="s">
        <v>334</v>
      </c>
      <c r="CW6" t="s">
        <v>335</v>
      </c>
      <c r="CX6" t="s">
        <v>336</v>
      </c>
      <c r="CY6" t="s">
        <v>337</v>
      </c>
      <c r="CZ6" t="s">
        <v>338</v>
      </c>
      <c r="DA6" t="s">
        <v>339</v>
      </c>
      <c r="DB6" t="s">
        <v>299</v>
      </c>
      <c r="DC6" t="s">
        <v>340</v>
      </c>
      <c r="DD6" t="s">
        <v>228</v>
      </c>
      <c r="DE6" t="s">
        <v>229</v>
      </c>
      <c r="DF6" t="s">
        <v>177</v>
      </c>
      <c r="DG6" t="s">
        <v>230</v>
      </c>
      <c r="DH6" t="s">
        <v>231</v>
      </c>
      <c r="DI6" t="s">
        <v>177</v>
      </c>
      <c r="DJ6" t="s">
        <v>232</v>
      </c>
      <c r="DK6" t="s">
        <v>233</v>
      </c>
      <c r="DL6" t="s">
        <v>234</v>
      </c>
      <c r="DM6" t="s">
        <v>171</v>
      </c>
      <c r="DN6" t="s">
        <v>298</v>
      </c>
      <c r="DO6" t="s">
        <v>235</v>
      </c>
      <c r="DP6" t="s">
        <v>236</v>
      </c>
      <c r="DQ6" t="s">
        <v>237</v>
      </c>
      <c r="DR6" t="s">
        <v>238</v>
      </c>
      <c r="DS6" t="s">
        <v>239</v>
      </c>
      <c r="DT6" t="s">
        <v>240</v>
      </c>
    </row>
    <row r="7" spans="1:124" x14ac:dyDescent="0.45">
      <c r="A7" t="s">
        <v>198</v>
      </c>
      <c r="B7" t="s">
        <v>341</v>
      </c>
      <c r="C7" t="s">
        <v>161</v>
      </c>
      <c r="D7" t="s">
        <v>162</v>
      </c>
      <c r="E7" t="s">
        <v>163</v>
      </c>
      <c r="I7" t="s">
        <v>342</v>
      </c>
      <c r="J7">
        <f t="shared" si="0"/>
        <v>1.3602283091950598</v>
      </c>
      <c r="K7">
        <f t="shared" si="1"/>
        <v>2.9082267199999996</v>
      </c>
      <c r="L7">
        <f t="shared" si="2"/>
        <v>0.92676443515148954</v>
      </c>
      <c r="M7">
        <f t="shared" si="3"/>
        <v>11.237237055008935</v>
      </c>
      <c r="N7" t="s">
        <v>343</v>
      </c>
      <c r="O7" t="s">
        <v>344</v>
      </c>
      <c r="P7">
        <f t="shared" si="4"/>
        <v>4.5891239275699034</v>
      </c>
      <c r="Q7">
        <f t="shared" si="5"/>
        <v>1.1675139275699036</v>
      </c>
      <c r="R7" t="s">
        <v>345</v>
      </c>
      <c r="S7" t="s">
        <v>346</v>
      </c>
      <c r="T7">
        <f t="shared" si="6"/>
        <v>45.763102588451368</v>
      </c>
      <c r="U7">
        <f t="shared" si="7"/>
        <v>0.4417875</v>
      </c>
      <c r="V7" t="s">
        <v>169</v>
      </c>
      <c r="W7" t="s">
        <v>347</v>
      </c>
      <c r="X7" t="s">
        <v>171</v>
      </c>
      <c r="Y7" t="s">
        <v>171</v>
      </c>
      <c r="Z7" t="s">
        <v>171</v>
      </c>
      <c r="AA7" t="s">
        <v>348</v>
      </c>
      <c r="AB7" t="s">
        <v>349</v>
      </c>
      <c r="AC7" t="s">
        <v>350</v>
      </c>
      <c r="AD7" t="s">
        <v>175</v>
      </c>
      <c r="AE7" t="s">
        <v>176</v>
      </c>
      <c r="AF7">
        <f t="shared" si="8"/>
        <v>176.98500959999998</v>
      </c>
      <c r="AG7" t="s">
        <v>177</v>
      </c>
      <c r="AH7" t="s">
        <v>351</v>
      </c>
      <c r="AI7" t="s">
        <v>352</v>
      </c>
      <c r="AJ7" t="s">
        <v>353</v>
      </c>
      <c r="AK7" t="s">
        <v>354</v>
      </c>
      <c r="AL7">
        <f t="shared" si="9"/>
        <v>31.3</v>
      </c>
      <c r="AM7" t="s">
        <v>255</v>
      </c>
      <c r="AN7" t="s">
        <v>355</v>
      </c>
      <c r="AO7" t="s">
        <v>356</v>
      </c>
      <c r="AP7" t="s">
        <v>357</v>
      </c>
      <c r="AQ7" t="s">
        <v>358</v>
      </c>
      <c r="AR7" t="s">
        <v>359</v>
      </c>
      <c r="AS7" t="s">
        <v>188</v>
      </c>
      <c r="AT7" t="s">
        <v>360</v>
      </c>
      <c r="AU7" t="s">
        <v>361</v>
      </c>
      <c r="AV7" t="s">
        <v>362</v>
      </c>
      <c r="AW7" t="s">
        <v>363</v>
      </c>
      <c r="AX7" t="s">
        <v>364</v>
      </c>
      <c r="AY7" t="s">
        <v>365</v>
      </c>
      <c r="AZ7" t="s">
        <v>268</v>
      </c>
      <c r="BA7" t="s">
        <v>366</v>
      </c>
      <c r="BB7" t="s">
        <v>367</v>
      </c>
      <c r="BC7" t="s">
        <v>368</v>
      </c>
      <c r="BD7" t="s">
        <v>272</v>
      </c>
      <c r="BE7" t="s">
        <v>369</v>
      </c>
      <c r="BF7" t="s">
        <v>370</v>
      </c>
      <c r="BG7" t="s">
        <v>371</v>
      </c>
      <c r="BH7" t="s">
        <v>324</v>
      </c>
      <c r="BI7" t="s">
        <v>372</v>
      </c>
      <c r="BJ7" t="s">
        <v>200</v>
      </c>
      <c r="BK7" t="s">
        <v>161</v>
      </c>
      <c r="BL7" t="s">
        <v>201</v>
      </c>
      <c r="BM7" t="s">
        <v>159</v>
      </c>
      <c r="BN7" t="s">
        <v>277</v>
      </c>
      <c r="BO7" t="s">
        <v>373</v>
      </c>
      <c r="BP7" t="s">
        <v>374</v>
      </c>
      <c r="BQ7" t="s">
        <v>375</v>
      </c>
      <c r="BR7" t="s">
        <v>376</v>
      </c>
      <c r="BS7" t="s">
        <v>377</v>
      </c>
      <c r="BT7" t="s">
        <v>159</v>
      </c>
      <c r="BU7" t="s">
        <v>206</v>
      </c>
      <c r="BV7" t="s">
        <v>207</v>
      </c>
      <c r="BW7" t="s">
        <v>208</v>
      </c>
      <c r="BX7" t="s">
        <v>209</v>
      </c>
      <c r="BY7" t="s">
        <v>171</v>
      </c>
      <c r="BZ7" t="s">
        <v>210</v>
      </c>
      <c r="CA7" t="s">
        <v>171</v>
      </c>
      <c r="CB7" t="s">
        <v>171</v>
      </c>
      <c r="CC7" t="s">
        <v>211</v>
      </c>
      <c r="CD7" t="s">
        <v>212</v>
      </c>
      <c r="CE7" t="s">
        <v>213</v>
      </c>
      <c r="CF7" t="s">
        <v>214</v>
      </c>
      <c r="CG7" t="s">
        <v>215</v>
      </c>
      <c r="CH7" t="s">
        <v>216</v>
      </c>
      <c r="CI7" t="s">
        <v>177</v>
      </c>
      <c r="CJ7" t="s">
        <v>208</v>
      </c>
      <c r="CK7" t="s">
        <v>217</v>
      </c>
      <c r="CL7" t="s">
        <v>217</v>
      </c>
      <c r="CM7" t="s">
        <v>217</v>
      </c>
      <c r="CN7" t="s">
        <v>171</v>
      </c>
      <c r="CO7" t="s">
        <v>218</v>
      </c>
      <c r="CP7" t="s">
        <v>171</v>
      </c>
      <c r="CQ7" t="s">
        <v>171</v>
      </c>
      <c r="CR7" t="s">
        <v>171</v>
      </c>
      <c r="CS7" t="s">
        <v>171</v>
      </c>
      <c r="CT7" t="s">
        <v>378</v>
      </c>
      <c r="CU7" t="s">
        <v>379</v>
      </c>
      <c r="CV7" t="s">
        <v>380</v>
      </c>
      <c r="CW7" t="s">
        <v>381</v>
      </c>
      <c r="CX7" t="s">
        <v>382</v>
      </c>
      <c r="CY7" t="s">
        <v>383</v>
      </c>
      <c r="CZ7" t="s">
        <v>384</v>
      </c>
      <c r="DA7" t="s">
        <v>385</v>
      </c>
      <c r="DB7" t="s">
        <v>348</v>
      </c>
      <c r="DC7" t="s">
        <v>386</v>
      </c>
      <c r="DD7" t="s">
        <v>228</v>
      </c>
      <c r="DE7" t="s">
        <v>229</v>
      </c>
      <c r="DF7" t="s">
        <v>177</v>
      </c>
      <c r="DG7" t="s">
        <v>230</v>
      </c>
      <c r="DH7" t="s">
        <v>231</v>
      </c>
      <c r="DI7" t="s">
        <v>177</v>
      </c>
      <c r="DJ7" t="s">
        <v>232</v>
      </c>
      <c r="DK7" t="s">
        <v>233</v>
      </c>
      <c r="DL7" t="s">
        <v>234</v>
      </c>
      <c r="DM7" t="s">
        <v>171</v>
      </c>
      <c r="DN7" t="s">
        <v>347</v>
      </c>
      <c r="DO7" t="s">
        <v>235</v>
      </c>
      <c r="DP7" t="s">
        <v>236</v>
      </c>
      <c r="DQ7" t="s">
        <v>237</v>
      </c>
      <c r="DR7" t="s">
        <v>238</v>
      </c>
      <c r="DS7" t="s">
        <v>239</v>
      </c>
      <c r="DT7" t="s">
        <v>240</v>
      </c>
    </row>
    <row r="8" spans="1:124" x14ac:dyDescent="0.45">
      <c r="A8" t="s">
        <v>387</v>
      </c>
      <c r="B8" t="s">
        <v>388</v>
      </c>
      <c r="C8" t="s">
        <v>161</v>
      </c>
      <c r="D8" t="s">
        <v>162</v>
      </c>
      <c r="E8" t="s">
        <v>163</v>
      </c>
      <c r="I8" t="s">
        <v>389</v>
      </c>
      <c r="J8">
        <f t="shared" si="0"/>
        <v>1.2324072537458568</v>
      </c>
      <c r="K8">
        <f t="shared" si="1"/>
        <v>2.9074300800000006</v>
      </c>
      <c r="L8">
        <f t="shared" si="2"/>
        <v>0.86552625900128288</v>
      </c>
      <c r="M8">
        <f t="shared" si="3"/>
        <v>11.186769613651531</v>
      </c>
      <c r="N8" t="s">
        <v>390</v>
      </c>
      <c r="O8" t="s">
        <v>391</v>
      </c>
      <c r="P8">
        <f t="shared" si="4"/>
        <v>4.5995776564257751</v>
      </c>
      <c r="Q8">
        <f t="shared" si="5"/>
        <v>1.2444406564257751</v>
      </c>
      <c r="R8" t="s">
        <v>392</v>
      </c>
      <c r="S8" t="s">
        <v>393</v>
      </c>
      <c r="T8">
        <f t="shared" si="6"/>
        <v>45.871922373848363</v>
      </c>
      <c r="U8">
        <f t="shared" si="7"/>
        <v>0.4417875</v>
      </c>
      <c r="V8" t="s">
        <v>169</v>
      </c>
      <c r="W8" t="s">
        <v>394</v>
      </c>
      <c r="X8" t="s">
        <v>171</v>
      </c>
      <c r="Y8" t="s">
        <v>171</v>
      </c>
      <c r="Z8" t="s">
        <v>171</v>
      </c>
      <c r="AA8" t="s">
        <v>395</v>
      </c>
      <c r="AB8" t="s">
        <v>396</v>
      </c>
      <c r="AC8" t="s">
        <v>397</v>
      </c>
      <c r="AD8" t="s">
        <v>175</v>
      </c>
      <c r="AE8" t="s">
        <v>176</v>
      </c>
      <c r="AF8">
        <f t="shared" si="8"/>
        <v>102.86031755999998</v>
      </c>
      <c r="AG8" t="s">
        <v>177</v>
      </c>
      <c r="AH8" t="s">
        <v>398</v>
      </c>
      <c r="AI8" t="s">
        <v>399</v>
      </c>
      <c r="AJ8" t="s">
        <v>400</v>
      </c>
      <c r="AK8" t="s">
        <v>401</v>
      </c>
      <c r="AL8">
        <f t="shared" si="9"/>
        <v>31.34</v>
      </c>
      <c r="AM8" t="s">
        <v>306</v>
      </c>
      <c r="AN8" t="s">
        <v>402</v>
      </c>
      <c r="AO8" t="s">
        <v>403</v>
      </c>
      <c r="AP8" t="s">
        <v>404</v>
      </c>
      <c r="AQ8" t="s">
        <v>405</v>
      </c>
      <c r="AR8" t="s">
        <v>406</v>
      </c>
      <c r="AS8" t="s">
        <v>407</v>
      </c>
      <c r="AT8" t="s">
        <v>408</v>
      </c>
      <c r="AU8" t="s">
        <v>409</v>
      </c>
      <c r="AV8" t="s">
        <v>410</v>
      </c>
      <c r="AW8" t="s">
        <v>411</v>
      </c>
      <c r="AX8" t="s">
        <v>412</v>
      </c>
      <c r="AY8" t="s">
        <v>413</v>
      </c>
      <c r="AZ8" t="s">
        <v>268</v>
      </c>
      <c r="BA8" t="s">
        <v>414</v>
      </c>
      <c r="BB8" t="s">
        <v>415</v>
      </c>
      <c r="BC8" t="s">
        <v>416</v>
      </c>
      <c r="BD8" t="s">
        <v>161</v>
      </c>
      <c r="BE8" t="s">
        <v>417</v>
      </c>
      <c r="BF8" t="s">
        <v>418</v>
      </c>
      <c r="BG8" t="s">
        <v>419</v>
      </c>
      <c r="BH8" t="s">
        <v>420</v>
      </c>
      <c r="BI8" t="s">
        <v>421</v>
      </c>
      <c r="BJ8" t="s">
        <v>200</v>
      </c>
      <c r="BK8" t="s">
        <v>161</v>
      </c>
      <c r="BL8" t="s">
        <v>201</v>
      </c>
      <c r="BM8" t="s">
        <v>159</v>
      </c>
      <c r="BN8" t="s">
        <v>326</v>
      </c>
      <c r="BO8" t="s">
        <v>373</v>
      </c>
      <c r="BP8" t="s">
        <v>326</v>
      </c>
      <c r="BQ8" t="s">
        <v>422</v>
      </c>
      <c r="BR8" t="s">
        <v>423</v>
      </c>
      <c r="BS8" t="s">
        <v>424</v>
      </c>
      <c r="BT8" t="s">
        <v>159</v>
      </c>
      <c r="BU8" t="s">
        <v>206</v>
      </c>
      <c r="BV8" t="s">
        <v>207</v>
      </c>
      <c r="BW8" t="s">
        <v>208</v>
      </c>
      <c r="BX8" t="s">
        <v>209</v>
      </c>
      <c r="BY8" t="s">
        <v>171</v>
      </c>
      <c r="BZ8" t="s">
        <v>210</v>
      </c>
      <c r="CA8" t="s">
        <v>171</v>
      </c>
      <c r="CB8" t="s">
        <v>171</v>
      </c>
      <c r="CC8" t="s">
        <v>211</v>
      </c>
      <c r="CD8" t="s">
        <v>212</v>
      </c>
      <c r="CE8" t="s">
        <v>213</v>
      </c>
      <c r="CF8" t="s">
        <v>214</v>
      </c>
      <c r="CG8" t="s">
        <v>215</v>
      </c>
      <c r="CH8" t="s">
        <v>216</v>
      </c>
      <c r="CI8" t="s">
        <v>177</v>
      </c>
      <c r="CJ8" t="s">
        <v>208</v>
      </c>
      <c r="CK8" t="s">
        <v>217</v>
      </c>
      <c r="CL8" t="s">
        <v>217</v>
      </c>
      <c r="CM8" t="s">
        <v>217</v>
      </c>
      <c r="CN8" t="s">
        <v>171</v>
      </c>
      <c r="CO8" t="s">
        <v>218</v>
      </c>
      <c r="CP8" t="s">
        <v>171</v>
      </c>
      <c r="CQ8" t="s">
        <v>171</v>
      </c>
      <c r="CR8" t="s">
        <v>171</v>
      </c>
      <c r="CS8" t="s">
        <v>171</v>
      </c>
      <c r="CT8" t="s">
        <v>425</v>
      </c>
      <c r="CU8" t="s">
        <v>426</v>
      </c>
      <c r="CV8" t="s">
        <v>427</v>
      </c>
      <c r="CW8" t="s">
        <v>428</v>
      </c>
      <c r="CX8" t="s">
        <v>429</v>
      </c>
      <c r="CY8" t="s">
        <v>430</v>
      </c>
      <c r="CZ8" t="s">
        <v>431</v>
      </c>
      <c r="DA8" t="s">
        <v>432</v>
      </c>
      <c r="DB8" t="s">
        <v>395</v>
      </c>
      <c r="DC8" t="s">
        <v>433</v>
      </c>
      <c r="DD8" t="s">
        <v>228</v>
      </c>
      <c r="DE8" t="s">
        <v>229</v>
      </c>
      <c r="DF8" t="s">
        <v>177</v>
      </c>
      <c r="DG8" t="s">
        <v>230</v>
      </c>
      <c r="DH8" t="s">
        <v>231</v>
      </c>
      <c r="DI8" t="s">
        <v>177</v>
      </c>
      <c r="DJ8" t="s">
        <v>232</v>
      </c>
      <c r="DK8" t="s">
        <v>233</v>
      </c>
      <c r="DL8" t="s">
        <v>234</v>
      </c>
      <c r="DM8" t="s">
        <v>171</v>
      </c>
      <c r="DN8" t="s">
        <v>394</v>
      </c>
      <c r="DO8" t="s">
        <v>235</v>
      </c>
      <c r="DP8" t="s">
        <v>236</v>
      </c>
      <c r="DQ8" t="s">
        <v>237</v>
      </c>
      <c r="DR8" t="s">
        <v>238</v>
      </c>
      <c r="DS8" t="s">
        <v>239</v>
      </c>
      <c r="DT8" t="s">
        <v>240</v>
      </c>
    </row>
    <row r="9" spans="1:124" x14ac:dyDescent="0.45">
      <c r="A9" t="s">
        <v>434</v>
      </c>
      <c r="B9" t="s">
        <v>435</v>
      </c>
      <c r="C9" t="s">
        <v>161</v>
      </c>
      <c r="D9" t="s">
        <v>162</v>
      </c>
      <c r="E9" t="s">
        <v>163</v>
      </c>
      <c r="I9" t="s">
        <v>436</v>
      </c>
      <c r="J9">
        <f t="shared" si="0"/>
        <v>1.0339635336375723</v>
      </c>
      <c r="K9">
        <f t="shared" si="1"/>
        <v>2.9058327199999998</v>
      </c>
      <c r="L9">
        <f t="shared" si="2"/>
        <v>0.76260925030243176</v>
      </c>
      <c r="M9">
        <f t="shared" si="3"/>
        <v>9.5175572152357866</v>
      </c>
      <c r="N9" t="s">
        <v>437</v>
      </c>
      <c r="O9" t="s">
        <v>438</v>
      </c>
      <c r="P9">
        <f t="shared" si="4"/>
        <v>4.5995776564257751</v>
      </c>
      <c r="Q9">
        <f t="shared" si="5"/>
        <v>1.2016326564257751</v>
      </c>
      <c r="R9" t="s">
        <v>439</v>
      </c>
      <c r="S9" t="s">
        <v>440</v>
      </c>
      <c r="T9">
        <f t="shared" si="6"/>
        <v>45.871922373848363</v>
      </c>
      <c r="U9">
        <f t="shared" si="7"/>
        <v>0.4417875</v>
      </c>
      <c r="V9" t="s">
        <v>169</v>
      </c>
      <c r="W9" t="s">
        <v>441</v>
      </c>
      <c r="X9" t="s">
        <v>171</v>
      </c>
      <c r="Y9" t="s">
        <v>171</v>
      </c>
      <c r="Z9" t="s">
        <v>171</v>
      </c>
      <c r="AA9" t="s">
        <v>442</v>
      </c>
      <c r="AB9" t="s">
        <v>443</v>
      </c>
      <c r="AC9" t="s">
        <v>444</v>
      </c>
      <c r="AD9" t="s">
        <v>175</v>
      </c>
      <c r="AE9" t="s">
        <v>176</v>
      </c>
      <c r="AF9">
        <f t="shared" si="8"/>
        <v>300.01162926000001</v>
      </c>
      <c r="AG9" t="s">
        <v>177</v>
      </c>
      <c r="AH9" t="s">
        <v>445</v>
      </c>
      <c r="AI9" t="s">
        <v>446</v>
      </c>
      <c r="AJ9" t="s">
        <v>447</v>
      </c>
      <c r="AK9" t="s">
        <v>401</v>
      </c>
      <c r="AL9">
        <f t="shared" si="9"/>
        <v>31.34</v>
      </c>
      <c r="AM9" t="s">
        <v>306</v>
      </c>
      <c r="AN9" t="s">
        <v>256</v>
      </c>
      <c r="AO9" t="s">
        <v>448</v>
      </c>
      <c r="AP9" t="s">
        <v>449</v>
      </c>
      <c r="AQ9" t="s">
        <v>450</v>
      </c>
      <c r="AR9" t="s">
        <v>451</v>
      </c>
      <c r="AS9" t="s">
        <v>452</v>
      </c>
      <c r="AT9" t="s">
        <v>420</v>
      </c>
      <c r="AU9" t="s">
        <v>453</v>
      </c>
      <c r="AV9" t="s">
        <v>454</v>
      </c>
      <c r="AW9" t="s">
        <v>455</v>
      </c>
      <c r="AX9" t="s">
        <v>456</v>
      </c>
      <c r="AY9" t="s">
        <v>457</v>
      </c>
      <c r="AZ9" t="s">
        <v>268</v>
      </c>
      <c r="BA9" t="s">
        <v>458</v>
      </c>
      <c r="BB9" t="s">
        <v>459</v>
      </c>
      <c r="BC9" t="s">
        <v>460</v>
      </c>
      <c r="BD9" t="s">
        <v>161</v>
      </c>
      <c r="BE9" t="s">
        <v>461</v>
      </c>
      <c r="BF9" t="s">
        <v>462</v>
      </c>
      <c r="BG9" t="s">
        <v>463</v>
      </c>
      <c r="BH9" t="s">
        <v>324</v>
      </c>
      <c r="BI9" t="s">
        <v>464</v>
      </c>
      <c r="BJ9" t="s">
        <v>200</v>
      </c>
      <c r="BK9" t="s">
        <v>161</v>
      </c>
      <c r="BL9" t="s">
        <v>201</v>
      </c>
      <c r="BM9" t="s">
        <v>159</v>
      </c>
      <c r="BN9" t="s">
        <v>278</v>
      </c>
      <c r="BO9" t="s">
        <v>207</v>
      </c>
      <c r="BP9" t="s">
        <v>207</v>
      </c>
      <c r="BQ9" t="s">
        <v>465</v>
      </c>
      <c r="BR9" t="s">
        <v>466</v>
      </c>
      <c r="BS9" t="s">
        <v>467</v>
      </c>
      <c r="BT9" t="s">
        <v>159</v>
      </c>
      <c r="BU9" t="s">
        <v>206</v>
      </c>
      <c r="BV9" t="s">
        <v>207</v>
      </c>
      <c r="BW9" t="s">
        <v>208</v>
      </c>
      <c r="BX9" t="s">
        <v>209</v>
      </c>
      <c r="BY9" t="s">
        <v>171</v>
      </c>
      <c r="BZ9" t="s">
        <v>210</v>
      </c>
      <c r="CA9" t="s">
        <v>171</v>
      </c>
      <c r="CB9" t="s">
        <v>171</v>
      </c>
      <c r="CC9" t="s">
        <v>211</v>
      </c>
      <c r="CD9" t="s">
        <v>212</v>
      </c>
      <c r="CE9" t="s">
        <v>213</v>
      </c>
      <c r="CF9" t="s">
        <v>214</v>
      </c>
      <c r="CG9" t="s">
        <v>215</v>
      </c>
      <c r="CH9" t="s">
        <v>216</v>
      </c>
      <c r="CI9" t="s">
        <v>177</v>
      </c>
      <c r="CJ9" t="s">
        <v>208</v>
      </c>
      <c r="CK9" t="s">
        <v>217</v>
      </c>
      <c r="CL9" t="s">
        <v>217</v>
      </c>
      <c r="CM9" t="s">
        <v>217</v>
      </c>
      <c r="CN9" t="s">
        <v>171</v>
      </c>
      <c r="CO9" t="s">
        <v>218</v>
      </c>
      <c r="CP9" t="s">
        <v>171</v>
      </c>
      <c r="CQ9" t="s">
        <v>171</v>
      </c>
      <c r="CR9" t="s">
        <v>171</v>
      </c>
      <c r="CS9" t="s">
        <v>171</v>
      </c>
      <c r="CT9" t="s">
        <v>468</v>
      </c>
      <c r="CU9" t="s">
        <v>469</v>
      </c>
      <c r="CV9" t="s">
        <v>470</v>
      </c>
      <c r="CW9" t="s">
        <v>471</v>
      </c>
      <c r="CX9" t="s">
        <v>472</v>
      </c>
      <c r="CY9" t="s">
        <v>473</v>
      </c>
      <c r="CZ9" t="s">
        <v>474</v>
      </c>
      <c r="DA9" t="s">
        <v>475</v>
      </c>
      <c r="DB9" t="s">
        <v>442</v>
      </c>
      <c r="DC9" t="s">
        <v>476</v>
      </c>
      <c r="DD9" t="s">
        <v>228</v>
      </c>
      <c r="DE9" t="s">
        <v>229</v>
      </c>
      <c r="DF9" t="s">
        <v>177</v>
      </c>
      <c r="DG9" t="s">
        <v>230</v>
      </c>
      <c r="DH9" t="s">
        <v>231</v>
      </c>
      <c r="DI9" t="s">
        <v>177</v>
      </c>
      <c r="DJ9" t="s">
        <v>232</v>
      </c>
      <c r="DK9" t="s">
        <v>233</v>
      </c>
      <c r="DL9" t="s">
        <v>234</v>
      </c>
      <c r="DM9" t="s">
        <v>171</v>
      </c>
      <c r="DN9" t="s">
        <v>441</v>
      </c>
      <c r="DO9" t="s">
        <v>235</v>
      </c>
      <c r="DP9" t="s">
        <v>236</v>
      </c>
      <c r="DQ9" t="s">
        <v>237</v>
      </c>
      <c r="DR9" t="s">
        <v>238</v>
      </c>
      <c r="DS9" t="s">
        <v>239</v>
      </c>
      <c r="DT9" t="s">
        <v>240</v>
      </c>
    </row>
    <row r="10" spans="1:124" x14ac:dyDescent="0.45">
      <c r="A10" t="s">
        <v>477</v>
      </c>
      <c r="B10" t="s">
        <v>478</v>
      </c>
      <c r="C10" t="s">
        <v>161</v>
      </c>
      <c r="D10" t="s">
        <v>162</v>
      </c>
      <c r="E10" t="s">
        <v>163</v>
      </c>
      <c r="I10" t="s">
        <v>479</v>
      </c>
      <c r="J10">
        <f t="shared" si="0"/>
        <v>1.3648344582898728</v>
      </c>
      <c r="K10">
        <f t="shared" si="1"/>
        <v>2.9058327199999998</v>
      </c>
      <c r="L10">
        <f t="shared" si="2"/>
        <v>0.92865598294417018</v>
      </c>
      <c r="M10">
        <f t="shared" si="3"/>
        <v>10.235329794527312</v>
      </c>
      <c r="N10" t="s">
        <v>480</v>
      </c>
      <c r="O10" t="s">
        <v>481</v>
      </c>
      <c r="P10">
        <f t="shared" si="4"/>
        <v>4.6074315563896384</v>
      </c>
      <c r="Q10">
        <f t="shared" si="5"/>
        <v>1.0600885563896383</v>
      </c>
      <c r="R10" t="s">
        <v>482</v>
      </c>
      <c r="S10" t="s">
        <v>483</v>
      </c>
      <c r="T10">
        <f t="shared" si="6"/>
        <v>45.950249889195554</v>
      </c>
      <c r="U10">
        <f t="shared" si="7"/>
        <v>0.4417875</v>
      </c>
      <c r="V10" t="s">
        <v>169</v>
      </c>
      <c r="W10" t="s">
        <v>484</v>
      </c>
      <c r="X10" t="s">
        <v>171</v>
      </c>
      <c r="Y10" t="s">
        <v>171</v>
      </c>
      <c r="Z10" t="s">
        <v>171</v>
      </c>
      <c r="AA10" t="s">
        <v>485</v>
      </c>
      <c r="AB10" t="s">
        <v>486</v>
      </c>
      <c r="AC10" t="s">
        <v>487</v>
      </c>
      <c r="AD10" t="s">
        <v>175</v>
      </c>
      <c r="AE10" t="s">
        <v>176</v>
      </c>
      <c r="AF10">
        <f t="shared" si="8"/>
        <v>280.00479276000004</v>
      </c>
      <c r="AG10" t="s">
        <v>177</v>
      </c>
      <c r="AH10" t="s">
        <v>488</v>
      </c>
      <c r="AI10" t="s">
        <v>489</v>
      </c>
      <c r="AJ10" t="s">
        <v>490</v>
      </c>
      <c r="AK10" t="s">
        <v>491</v>
      </c>
      <c r="AL10">
        <f t="shared" si="9"/>
        <v>31.37</v>
      </c>
      <c r="AM10" t="s">
        <v>306</v>
      </c>
      <c r="AN10" t="s">
        <v>256</v>
      </c>
      <c r="AO10" t="s">
        <v>492</v>
      </c>
      <c r="AP10" t="s">
        <v>493</v>
      </c>
      <c r="AQ10" t="s">
        <v>494</v>
      </c>
      <c r="AR10" t="s">
        <v>495</v>
      </c>
      <c r="AS10" t="s">
        <v>407</v>
      </c>
      <c r="AT10" t="s">
        <v>496</v>
      </c>
      <c r="AU10" t="s">
        <v>497</v>
      </c>
      <c r="AV10" t="s">
        <v>498</v>
      </c>
      <c r="AW10" t="s">
        <v>499</v>
      </c>
      <c r="AX10" t="s">
        <v>500</v>
      </c>
      <c r="AY10" t="s">
        <v>501</v>
      </c>
      <c r="AZ10" t="s">
        <v>268</v>
      </c>
      <c r="BA10" t="s">
        <v>502</v>
      </c>
      <c r="BB10" t="s">
        <v>503</v>
      </c>
      <c r="BC10" t="s">
        <v>504</v>
      </c>
      <c r="BD10" t="s">
        <v>161</v>
      </c>
      <c r="BE10" t="s">
        <v>505</v>
      </c>
      <c r="BF10" t="s">
        <v>274</v>
      </c>
      <c r="BG10" t="s">
        <v>506</v>
      </c>
      <c r="BH10" t="s">
        <v>507</v>
      </c>
      <c r="BI10" t="s">
        <v>508</v>
      </c>
      <c r="BJ10" t="s">
        <v>200</v>
      </c>
      <c r="BK10" t="s">
        <v>161</v>
      </c>
      <c r="BL10" t="s">
        <v>201</v>
      </c>
      <c r="BM10" t="s">
        <v>159</v>
      </c>
      <c r="BN10" t="s">
        <v>509</v>
      </c>
      <c r="BO10" t="s">
        <v>373</v>
      </c>
      <c r="BP10" t="s">
        <v>510</v>
      </c>
      <c r="BQ10" t="s">
        <v>511</v>
      </c>
      <c r="BR10" t="s">
        <v>512</v>
      </c>
      <c r="BS10" t="s">
        <v>513</v>
      </c>
      <c r="BT10" t="s">
        <v>159</v>
      </c>
      <c r="BU10" t="s">
        <v>206</v>
      </c>
      <c r="BV10" t="s">
        <v>207</v>
      </c>
      <c r="BW10" t="s">
        <v>208</v>
      </c>
      <c r="BX10" t="s">
        <v>209</v>
      </c>
      <c r="BY10" t="s">
        <v>171</v>
      </c>
      <c r="BZ10" t="s">
        <v>210</v>
      </c>
      <c r="CA10" t="s">
        <v>171</v>
      </c>
      <c r="CB10" t="s">
        <v>171</v>
      </c>
      <c r="CC10" t="s">
        <v>211</v>
      </c>
      <c r="CD10" t="s">
        <v>212</v>
      </c>
      <c r="CE10" t="s">
        <v>213</v>
      </c>
      <c r="CF10" t="s">
        <v>214</v>
      </c>
      <c r="CG10" t="s">
        <v>215</v>
      </c>
      <c r="CH10" t="s">
        <v>216</v>
      </c>
      <c r="CI10" t="s">
        <v>177</v>
      </c>
      <c r="CJ10" t="s">
        <v>208</v>
      </c>
      <c r="CK10" t="s">
        <v>217</v>
      </c>
      <c r="CL10" t="s">
        <v>217</v>
      </c>
      <c r="CM10" t="s">
        <v>217</v>
      </c>
      <c r="CN10" t="s">
        <v>171</v>
      </c>
      <c r="CO10" t="s">
        <v>218</v>
      </c>
      <c r="CP10" t="s">
        <v>171</v>
      </c>
      <c r="CQ10" t="s">
        <v>171</v>
      </c>
      <c r="CR10" t="s">
        <v>171</v>
      </c>
      <c r="CS10" t="s">
        <v>171</v>
      </c>
      <c r="CT10" t="s">
        <v>514</v>
      </c>
      <c r="CU10" t="s">
        <v>515</v>
      </c>
      <c r="CV10" t="s">
        <v>516</v>
      </c>
      <c r="CW10" t="s">
        <v>517</v>
      </c>
      <c r="CX10" t="s">
        <v>518</v>
      </c>
      <c r="CY10" t="s">
        <v>519</v>
      </c>
      <c r="CZ10" t="s">
        <v>520</v>
      </c>
      <c r="DA10" t="s">
        <v>521</v>
      </c>
      <c r="DB10" t="s">
        <v>485</v>
      </c>
      <c r="DC10" t="s">
        <v>522</v>
      </c>
      <c r="DD10" t="s">
        <v>228</v>
      </c>
      <c r="DE10" t="s">
        <v>229</v>
      </c>
      <c r="DF10" t="s">
        <v>177</v>
      </c>
      <c r="DG10" t="s">
        <v>230</v>
      </c>
      <c r="DH10" t="s">
        <v>231</v>
      </c>
      <c r="DI10" t="s">
        <v>177</v>
      </c>
      <c r="DJ10" t="s">
        <v>232</v>
      </c>
      <c r="DK10" t="s">
        <v>233</v>
      </c>
      <c r="DL10" t="s">
        <v>234</v>
      </c>
      <c r="DM10" t="s">
        <v>171</v>
      </c>
      <c r="DN10" t="s">
        <v>484</v>
      </c>
      <c r="DO10" t="s">
        <v>235</v>
      </c>
      <c r="DP10" t="s">
        <v>236</v>
      </c>
      <c r="DQ10" t="s">
        <v>237</v>
      </c>
      <c r="DR10" t="s">
        <v>238</v>
      </c>
      <c r="DS10" t="s">
        <v>239</v>
      </c>
      <c r="DT10" t="s">
        <v>240</v>
      </c>
    </row>
    <row r="11" spans="1:124" x14ac:dyDescent="0.45">
      <c r="A11" t="s">
        <v>523</v>
      </c>
      <c r="B11" t="s">
        <v>524</v>
      </c>
      <c r="C11" t="s">
        <v>161</v>
      </c>
      <c r="D11" t="s">
        <v>162</v>
      </c>
      <c r="E11" t="s">
        <v>163</v>
      </c>
      <c r="I11" t="s">
        <v>525</v>
      </c>
      <c r="J11">
        <f t="shared" si="0"/>
        <v>1.3025257992374855</v>
      </c>
      <c r="K11">
        <f t="shared" si="1"/>
        <v>2.9066320800000001</v>
      </c>
      <c r="L11">
        <f t="shared" si="2"/>
        <v>0.89945860471671479</v>
      </c>
      <c r="M11">
        <f t="shared" si="3"/>
        <v>11.831608783119655</v>
      </c>
      <c r="N11" t="s">
        <v>526</v>
      </c>
      <c r="O11" t="s">
        <v>527</v>
      </c>
      <c r="P11">
        <f t="shared" si="4"/>
        <v>4.6495165768472786</v>
      </c>
      <c r="Q11">
        <f t="shared" si="5"/>
        <v>1.2662085768472786</v>
      </c>
      <c r="R11" t="s">
        <v>528</v>
      </c>
      <c r="S11" t="s">
        <v>529</v>
      </c>
      <c r="T11">
        <f t="shared" si="6"/>
        <v>46.369966857956307</v>
      </c>
      <c r="U11">
        <f t="shared" si="7"/>
        <v>0.4417875</v>
      </c>
      <c r="V11" t="s">
        <v>169</v>
      </c>
      <c r="W11" t="s">
        <v>530</v>
      </c>
      <c r="X11" t="s">
        <v>171</v>
      </c>
      <c r="Y11" t="s">
        <v>171</v>
      </c>
      <c r="Z11" t="s">
        <v>171</v>
      </c>
      <c r="AA11" t="s">
        <v>531</v>
      </c>
      <c r="AB11" t="s">
        <v>532</v>
      </c>
      <c r="AC11" t="s">
        <v>533</v>
      </c>
      <c r="AD11" t="s">
        <v>175</v>
      </c>
      <c r="AE11" t="s">
        <v>176</v>
      </c>
      <c r="AF11">
        <f t="shared" si="8"/>
        <v>223.07142815999998</v>
      </c>
      <c r="AG11" t="s">
        <v>177</v>
      </c>
      <c r="AH11" t="s">
        <v>534</v>
      </c>
      <c r="AI11" t="s">
        <v>535</v>
      </c>
      <c r="AJ11" t="s">
        <v>536</v>
      </c>
      <c r="AK11" t="s">
        <v>537</v>
      </c>
      <c r="AL11">
        <f t="shared" si="9"/>
        <v>31.53</v>
      </c>
      <c r="AM11" t="s">
        <v>306</v>
      </c>
      <c r="AN11" t="s">
        <v>538</v>
      </c>
      <c r="AO11" t="s">
        <v>539</v>
      </c>
      <c r="AP11" t="s">
        <v>540</v>
      </c>
      <c r="AQ11" t="s">
        <v>541</v>
      </c>
      <c r="AR11" t="s">
        <v>542</v>
      </c>
      <c r="AS11" t="s">
        <v>311</v>
      </c>
      <c r="AT11" t="s">
        <v>159</v>
      </c>
      <c r="AU11" t="s">
        <v>543</v>
      </c>
      <c r="AV11" t="s">
        <v>544</v>
      </c>
      <c r="AW11" t="s">
        <v>545</v>
      </c>
      <c r="AX11" t="s">
        <v>546</v>
      </c>
      <c r="AY11" t="s">
        <v>547</v>
      </c>
      <c r="AZ11" t="s">
        <v>268</v>
      </c>
      <c r="BA11" t="s">
        <v>548</v>
      </c>
      <c r="BB11" t="s">
        <v>549</v>
      </c>
      <c r="BC11" t="s">
        <v>550</v>
      </c>
      <c r="BD11" t="s">
        <v>161</v>
      </c>
      <c r="BE11" t="s">
        <v>551</v>
      </c>
      <c r="BF11" t="s">
        <v>462</v>
      </c>
      <c r="BG11" t="s">
        <v>552</v>
      </c>
      <c r="BH11" t="s">
        <v>553</v>
      </c>
      <c r="BI11" t="s">
        <v>554</v>
      </c>
      <c r="BJ11" t="s">
        <v>555</v>
      </c>
      <c r="BK11" t="s">
        <v>161</v>
      </c>
      <c r="BL11" t="s">
        <v>556</v>
      </c>
      <c r="BM11" t="s">
        <v>159</v>
      </c>
      <c r="BN11" t="s">
        <v>202</v>
      </c>
      <c r="BO11" t="s">
        <v>202</v>
      </c>
      <c r="BP11" t="s">
        <v>278</v>
      </c>
      <c r="BQ11" t="s">
        <v>557</v>
      </c>
      <c r="BR11" t="s">
        <v>558</v>
      </c>
      <c r="BS11" t="s">
        <v>559</v>
      </c>
      <c r="BT11" t="s">
        <v>159</v>
      </c>
      <c r="BU11" t="s">
        <v>206</v>
      </c>
      <c r="BV11" t="s">
        <v>207</v>
      </c>
      <c r="BW11" t="s">
        <v>208</v>
      </c>
      <c r="BX11" t="s">
        <v>209</v>
      </c>
      <c r="BY11" t="s">
        <v>171</v>
      </c>
      <c r="BZ11" t="s">
        <v>210</v>
      </c>
      <c r="CA11" t="s">
        <v>171</v>
      </c>
      <c r="CB11" t="s">
        <v>171</v>
      </c>
      <c r="CC11" t="s">
        <v>211</v>
      </c>
      <c r="CD11" t="s">
        <v>212</v>
      </c>
      <c r="CE11" t="s">
        <v>213</v>
      </c>
      <c r="CF11" t="s">
        <v>214</v>
      </c>
      <c r="CG11" t="s">
        <v>215</v>
      </c>
      <c r="CH11" t="s">
        <v>216</v>
      </c>
      <c r="CI11" t="s">
        <v>177</v>
      </c>
      <c r="CJ11" t="s">
        <v>208</v>
      </c>
      <c r="CK11" t="s">
        <v>217</v>
      </c>
      <c r="CL11" t="s">
        <v>217</v>
      </c>
      <c r="CM11" t="s">
        <v>217</v>
      </c>
      <c r="CN11" t="s">
        <v>171</v>
      </c>
      <c r="CO11" t="s">
        <v>218</v>
      </c>
      <c r="CP11" t="s">
        <v>171</v>
      </c>
      <c r="CQ11" t="s">
        <v>171</v>
      </c>
      <c r="CR11" t="s">
        <v>171</v>
      </c>
      <c r="CS11" t="s">
        <v>171</v>
      </c>
      <c r="CT11" t="s">
        <v>560</v>
      </c>
      <c r="CU11" t="s">
        <v>561</v>
      </c>
      <c r="CV11" t="s">
        <v>562</v>
      </c>
      <c r="CW11" t="s">
        <v>563</v>
      </c>
      <c r="CX11" t="s">
        <v>564</v>
      </c>
      <c r="CY11" t="s">
        <v>565</v>
      </c>
      <c r="CZ11" t="s">
        <v>566</v>
      </c>
      <c r="DA11" t="s">
        <v>567</v>
      </c>
      <c r="DB11" t="s">
        <v>531</v>
      </c>
      <c r="DC11" t="s">
        <v>568</v>
      </c>
      <c r="DD11" t="s">
        <v>228</v>
      </c>
      <c r="DE11" t="s">
        <v>229</v>
      </c>
      <c r="DF11" t="s">
        <v>177</v>
      </c>
      <c r="DG11" t="s">
        <v>230</v>
      </c>
      <c r="DH11" t="s">
        <v>231</v>
      </c>
      <c r="DI11" t="s">
        <v>177</v>
      </c>
      <c r="DJ11" t="s">
        <v>232</v>
      </c>
      <c r="DK11" t="s">
        <v>233</v>
      </c>
      <c r="DL11" t="s">
        <v>234</v>
      </c>
      <c r="DM11" t="s">
        <v>171</v>
      </c>
      <c r="DN11" t="s">
        <v>530</v>
      </c>
      <c r="DO11" t="s">
        <v>235</v>
      </c>
      <c r="DP11" t="s">
        <v>236</v>
      </c>
      <c r="DQ11" t="s">
        <v>237</v>
      </c>
      <c r="DR11" t="s">
        <v>238</v>
      </c>
      <c r="DS11" t="s">
        <v>239</v>
      </c>
      <c r="DT11" t="s">
        <v>240</v>
      </c>
    </row>
    <row r="12" spans="1:124" x14ac:dyDescent="0.45">
      <c r="A12" t="s">
        <v>408</v>
      </c>
      <c r="B12" t="s">
        <v>569</v>
      </c>
      <c r="C12" t="s">
        <v>161</v>
      </c>
      <c r="D12" t="s">
        <v>162</v>
      </c>
      <c r="E12" t="s">
        <v>163</v>
      </c>
      <c r="I12" t="s">
        <v>570</v>
      </c>
      <c r="J12">
        <f t="shared" si="0"/>
        <v>1.2654215256751653</v>
      </c>
      <c r="K12">
        <f t="shared" si="1"/>
        <v>2.9042299199999997</v>
      </c>
      <c r="L12">
        <f t="shared" si="2"/>
        <v>0.88138663486841673</v>
      </c>
      <c r="M12">
        <f t="shared" si="3"/>
        <v>11.105343725283129</v>
      </c>
      <c r="N12" t="s">
        <v>571</v>
      </c>
      <c r="O12" t="s">
        <v>572</v>
      </c>
      <c r="P12">
        <f t="shared" si="4"/>
        <v>4.602194326626651</v>
      </c>
      <c r="Q12">
        <f t="shared" si="5"/>
        <v>1.2130673266266512</v>
      </c>
      <c r="R12" t="s">
        <v>573</v>
      </c>
      <c r="S12" t="s">
        <v>574</v>
      </c>
      <c r="T12">
        <f t="shared" si="6"/>
        <v>45.902596515326657</v>
      </c>
      <c r="U12">
        <f t="shared" si="7"/>
        <v>0.4417875</v>
      </c>
      <c r="V12" t="s">
        <v>169</v>
      </c>
      <c r="W12" t="s">
        <v>575</v>
      </c>
      <c r="X12" t="s">
        <v>171</v>
      </c>
      <c r="Y12" t="s">
        <v>171</v>
      </c>
      <c r="Z12" t="s">
        <v>171</v>
      </c>
      <c r="AA12" t="s">
        <v>576</v>
      </c>
      <c r="AB12" t="s">
        <v>577</v>
      </c>
      <c r="AC12" t="s">
        <v>578</v>
      </c>
      <c r="AD12" t="s">
        <v>175</v>
      </c>
      <c r="AE12" t="s">
        <v>176</v>
      </c>
      <c r="AF12">
        <f t="shared" si="8"/>
        <v>79.305990120000004</v>
      </c>
      <c r="AG12" t="s">
        <v>177</v>
      </c>
      <c r="AH12" t="s">
        <v>579</v>
      </c>
      <c r="AI12" t="s">
        <v>580</v>
      </c>
      <c r="AJ12" t="s">
        <v>581</v>
      </c>
      <c r="AK12" t="s">
        <v>582</v>
      </c>
      <c r="AL12">
        <f t="shared" si="9"/>
        <v>31.35</v>
      </c>
      <c r="AM12" t="s">
        <v>182</v>
      </c>
      <c r="AN12" t="s">
        <v>583</v>
      </c>
      <c r="AO12" t="s">
        <v>584</v>
      </c>
      <c r="AP12" t="s">
        <v>585</v>
      </c>
      <c r="AQ12" t="s">
        <v>586</v>
      </c>
      <c r="AR12" t="s">
        <v>587</v>
      </c>
      <c r="AS12" t="s">
        <v>311</v>
      </c>
      <c r="AT12" t="s">
        <v>496</v>
      </c>
      <c r="AU12" t="s">
        <v>588</v>
      </c>
      <c r="AV12" t="s">
        <v>589</v>
      </c>
      <c r="AW12" t="s">
        <v>590</v>
      </c>
      <c r="AX12" t="s">
        <v>591</v>
      </c>
      <c r="AY12" t="s">
        <v>592</v>
      </c>
      <c r="AZ12" t="s">
        <v>268</v>
      </c>
      <c r="BA12" t="s">
        <v>593</v>
      </c>
      <c r="BB12" t="s">
        <v>594</v>
      </c>
      <c r="BC12" t="s">
        <v>595</v>
      </c>
      <c r="BD12" t="s">
        <v>161</v>
      </c>
      <c r="BE12" t="s">
        <v>551</v>
      </c>
      <c r="BF12" t="s">
        <v>596</v>
      </c>
      <c r="BG12" t="s">
        <v>597</v>
      </c>
      <c r="BH12" t="s">
        <v>598</v>
      </c>
      <c r="BI12" t="s">
        <v>599</v>
      </c>
      <c r="BJ12" t="s">
        <v>555</v>
      </c>
      <c r="BK12" t="s">
        <v>161</v>
      </c>
      <c r="BL12" t="s">
        <v>556</v>
      </c>
      <c r="BM12" t="s">
        <v>159</v>
      </c>
      <c r="BN12" t="s">
        <v>600</v>
      </c>
      <c r="BO12" t="s">
        <v>207</v>
      </c>
      <c r="BP12" t="s">
        <v>601</v>
      </c>
      <c r="BQ12" t="s">
        <v>602</v>
      </c>
      <c r="BR12" t="s">
        <v>603</v>
      </c>
      <c r="BS12" t="s">
        <v>326</v>
      </c>
      <c r="BT12" t="s">
        <v>159</v>
      </c>
      <c r="BU12" t="s">
        <v>206</v>
      </c>
      <c r="BV12" t="s">
        <v>207</v>
      </c>
      <c r="BW12" t="s">
        <v>208</v>
      </c>
      <c r="BX12" t="s">
        <v>209</v>
      </c>
      <c r="BY12" t="s">
        <v>171</v>
      </c>
      <c r="BZ12" t="s">
        <v>210</v>
      </c>
      <c r="CA12" t="s">
        <v>171</v>
      </c>
      <c r="CB12" t="s">
        <v>171</v>
      </c>
      <c r="CC12" t="s">
        <v>211</v>
      </c>
      <c r="CD12" t="s">
        <v>212</v>
      </c>
      <c r="CE12" t="s">
        <v>213</v>
      </c>
      <c r="CF12" t="s">
        <v>214</v>
      </c>
      <c r="CG12" t="s">
        <v>215</v>
      </c>
      <c r="CH12" t="s">
        <v>216</v>
      </c>
      <c r="CI12" t="s">
        <v>177</v>
      </c>
      <c r="CJ12" t="s">
        <v>208</v>
      </c>
      <c r="CK12" t="s">
        <v>217</v>
      </c>
      <c r="CL12" t="s">
        <v>217</v>
      </c>
      <c r="CM12" t="s">
        <v>217</v>
      </c>
      <c r="CN12" t="s">
        <v>171</v>
      </c>
      <c r="CO12" t="s">
        <v>218</v>
      </c>
      <c r="CP12" t="s">
        <v>171</v>
      </c>
      <c r="CQ12" t="s">
        <v>171</v>
      </c>
      <c r="CR12" t="s">
        <v>171</v>
      </c>
      <c r="CS12" t="s">
        <v>171</v>
      </c>
      <c r="CT12" t="s">
        <v>604</v>
      </c>
      <c r="CU12" t="s">
        <v>605</v>
      </c>
      <c r="CV12" t="s">
        <v>606</v>
      </c>
      <c r="CW12" t="s">
        <v>607</v>
      </c>
      <c r="CX12" t="s">
        <v>608</v>
      </c>
      <c r="CY12" t="s">
        <v>609</v>
      </c>
      <c r="CZ12" t="s">
        <v>610</v>
      </c>
      <c r="DA12" t="s">
        <v>611</v>
      </c>
      <c r="DB12" t="s">
        <v>576</v>
      </c>
      <c r="DC12" t="s">
        <v>433</v>
      </c>
      <c r="DD12" t="s">
        <v>228</v>
      </c>
      <c r="DE12" t="s">
        <v>229</v>
      </c>
      <c r="DF12" t="s">
        <v>177</v>
      </c>
      <c r="DG12" t="s">
        <v>230</v>
      </c>
      <c r="DH12" t="s">
        <v>231</v>
      </c>
      <c r="DI12" t="s">
        <v>177</v>
      </c>
      <c r="DJ12" t="s">
        <v>232</v>
      </c>
      <c r="DK12" t="s">
        <v>233</v>
      </c>
      <c r="DL12" t="s">
        <v>234</v>
      </c>
      <c r="DM12" t="s">
        <v>171</v>
      </c>
      <c r="DN12" t="s">
        <v>575</v>
      </c>
      <c r="DO12" t="s">
        <v>235</v>
      </c>
      <c r="DP12" t="s">
        <v>236</v>
      </c>
      <c r="DQ12" t="s">
        <v>237</v>
      </c>
      <c r="DR12" t="s">
        <v>238</v>
      </c>
      <c r="DS12" t="s">
        <v>239</v>
      </c>
      <c r="DT12" t="s">
        <v>240</v>
      </c>
    </row>
    <row r="13" spans="1:124" x14ac:dyDescent="0.45">
      <c r="A13" t="s">
        <v>612</v>
      </c>
      <c r="B13" t="s">
        <v>613</v>
      </c>
      <c r="C13" t="s">
        <v>161</v>
      </c>
      <c r="D13" t="s">
        <v>162</v>
      </c>
      <c r="E13" t="s">
        <v>163</v>
      </c>
      <c r="I13" t="s">
        <v>614</v>
      </c>
      <c r="J13">
        <f t="shared" si="0"/>
        <v>1.3571107848032256</v>
      </c>
      <c r="K13">
        <f t="shared" si="1"/>
        <v>2.9074300800000006</v>
      </c>
      <c r="L13">
        <f t="shared" si="2"/>
        <v>0.92523552774335249</v>
      </c>
      <c r="M13">
        <f t="shared" si="3"/>
        <v>11.535648720913644</v>
      </c>
      <c r="N13" t="s">
        <v>615</v>
      </c>
      <c r="O13" t="s">
        <v>616</v>
      </c>
      <c r="P13">
        <f t="shared" si="4"/>
        <v>4.578690895954562</v>
      </c>
      <c r="Q13">
        <f t="shared" si="5"/>
        <v>1.2001748959545622</v>
      </c>
      <c r="R13" t="s">
        <v>617</v>
      </c>
      <c r="S13" t="s">
        <v>618</v>
      </c>
      <c r="T13">
        <f t="shared" si="6"/>
        <v>45.672727141691389</v>
      </c>
      <c r="U13">
        <f t="shared" si="7"/>
        <v>0.4417875</v>
      </c>
      <c r="V13" t="s">
        <v>169</v>
      </c>
      <c r="W13" t="s">
        <v>619</v>
      </c>
      <c r="X13" t="s">
        <v>171</v>
      </c>
      <c r="Y13" t="s">
        <v>171</v>
      </c>
      <c r="Z13" t="s">
        <v>171</v>
      </c>
      <c r="AA13" t="s">
        <v>620</v>
      </c>
      <c r="AB13" t="s">
        <v>621</v>
      </c>
      <c r="AC13" t="s">
        <v>622</v>
      </c>
      <c r="AD13" t="s">
        <v>175</v>
      </c>
      <c r="AE13" t="s">
        <v>176</v>
      </c>
      <c r="AF13">
        <f t="shared" si="8"/>
        <v>163.50173111999999</v>
      </c>
      <c r="AG13" t="s">
        <v>177</v>
      </c>
      <c r="AH13" t="s">
        <v>623</v>
      </c>
      <c r="AI13" t="s">
        <v>624</v>
      </c>
      <c r="AJ13" t="s">
        <v>625</v>
      </c>
      <c r="AK13" t="s">
        <v>626</v>
      </c>
      <c r="AL13">
        <f t="shared" si="9"/>
        <v>31.26</v>
      </c>
      <c r="AM13" t="s">
        <v>627</v>
      </c>
      <c r="AN13" t="s">
        <v>402</v>
      </c>
      <c r="AO13" t="s">
        <v>628</v>
      </c>
      <c r="AP13" t="s">
        <v>629</v>
      </c>
      <c r="AQ13" t="s">
        <v>630</v>
      </c>
      <c r="AR13" t="s">
        <v>631</v>
      </c>
      <c r="AS13" t="s">
        <v>452</v>
      </c>
      <c r="AT13" t="s">
        <v>477</v>
      </c>
      <c r="AU13" t="s">
        <v>632</v>
      </c>
      <c r="AV13" t="s">
        <v>633</v>
      </c>
      <c r="AW13" t="s">
        <v>634</v>
      </c>
      <c r="AX13" t="s">
        <v>635</v>
      </c>
      <c r="AY13" t="s">
        <v>636</v>
      </c>
      <c r="AZ13" t="s">
        <v>268</v>
      </c>
      <c r="BA13" t="s">
        <v>637</v>
      </c>
      <c r="BB13" t="s">
        <v>638</v>
      </c>
      <c r="BC13" t="s">
        <v>639</v>
      </c>
      <c r="BD13" t="s">
        <v>161</v>
      </c>
      <c r="BE13" t="s">
        <v>195</v>
      </c>
      <c r="BF13" t="s">
        <v>274</v>
      </c>
      <c r="BG13" t="s">
        <v>640</v>
      </c>
      <c r="BH13" t="s">
        <v>507</v>
      </c>
      <c r="BI13" t="s">
        <v>641</v>
      </c>
      <c r="BJ13" t="s">
        <v>555</v>
      </c>
      <c r="BK13" t="s">
        <v>161</v>
      </c>
      <c r="BL13" t="s">
        <v>556</v>
      </c>
      <c r="BM13" t="s">
        <v>159</v>
      </c>
      <c r="BN13" t="s">
        <v>207</v>
      </c>
      <c r="BO13" t="s">
        <v>373</v>
      </c>
      <c r="BP13" t="s">
        <v>374</v>
      </c>
      <c r="BQ13" t="s">
        <v>642</v>
      </c>
      <c r="BR13" t="s">
        <v>643</v>
      </c>
      <c r="BS13" t="s">
        <v>644</v>
      </c>
      <c r="BT13" t="s">
        <v>159</v>
      </c>
      <c r="BU13" t="s">
        <v>206</v>
      </c>
      <c r="BV13" t="s">
        <v>207</v>
      </c>
      <c r="BW13" t="s">
        <v>208</v>
      </c>
      <c r="BX13" t="s">
        <v>209</v>
      </c>
      <c r="BY13" t="s">
        <v>171</v>
      </c>
      <c r="BZ13" t="s">
        <v>210</v>
      </c>
      <c r="CA13" t="s">
        <v>171</v>
      </c>
      <c r="CB13" t="s">
        <v>171</v>
      </c>
      <c r="CC13" t="s">
        <v>211</v>
      </c>
      <c r="CD13" t="s">
        <v>212</v>
      </c>
      <c r="CE13" t="s">
        <v>213</v>
      </c>
      <c r="CF13" t="s">
        <v>214</v>
      </c>
      <c r="CG13" t="s">
        <v>215</v>
      </c>
      <c r="CH13" t="s">
        <v>216</v>
      </c>
      <c r="CI13" t="s">
        <v>177</v>
      </c>
      <c r="CJ13" t="s">
        <v>208</v>
      </c>
      <c r="CK13" t="s">
        <v>217</v>
      </c>
      <c r="CL13" t="s">
        <v>217</v>
      </c>
      <c r="CM13" t="s">
        <v>217</v>
      </c>
      <c r="CN13" t="s">
        <v>171</v>
      </c>
      <c r="CO13" t="s">
        <v>218</v>
      </c>
      <c r="CP13" t="s">
        <v>171</v>
      </c>
      <c r="CQ13" t="s">
        <v>171</v>
      </c>
      <c r="CR13" t="s">
        <v>171</v>
      </c>
      <c r="CS13" t="s">
        <v>171</v>
      </c>
      <c r="CT13" t="s">
        <v>645</v>
      </c>
      <c r="CU13" t="s">
        <v>646</v>
      </c>
      <c r="CV13" t="s">
        <v>647</v>
      </c>
      <c r="CW13" t="s">
        <v>648</v>
      </c>
      <c r="CX13" t="s">
        <v>649</v>
      </c>
      <c r="CY13" t="s">
        <v>650</v>
      </c>
      <c r="CZ13" t="s">
        <v>651</v>
      </c>
      <c r="DA13" t="s">
        <v>652</v>
      </c>
      <c r="DB13" t="s">
        <v>620</v>
      </c>
      <c r="DC13" t="s">
        <v>653</v>
      </c>
      <c r="DD13" t="s">
        <v>228</v>
      </c>
      <c r="DE13" t="s">
        <v>229</v>
      </c>
      <c r="DF13" t="s">
        <v>177</v>
      </c>
      <c r="DG13" t="s">
        <v>230</v>
      </c>
      <c r="DH13" t="s">
        <v>231</v>
      </c>
      <c r="DI13" t="s">
        <v>177</v>
      </c>
      <c r="DJ13" t="s">
        <v>232</v>
      </c>
      <c r="DK13" t="s">
        <v>233</v>
      </c>
      <c r="DL13" t="s">
        <v>234</v>
      </c>
      <c r="DM13" t="s">
        <v>171</v>
      </c>
      <c r="DN13" t="s">
        <v>619</v>
      </c>
      <c r="DO13" t="s">
        <v>235</v>
      </c>
      <c r="DP13" t="s">
        <v>236</v>
      </c>
      <c r="DQ13" t="s">
        <v>237</v>
      </c>
      <c r="DR13" t="s">
        <v>238</v>
      </c>
      <c r="DS13" t="s">
        <v>239</v>
      </c>
      <c r="DT13" t="s">
        <v>240</v>
      </c>
    </row>
    <row r="14" spans="1:124" x14ac:dyDescent="0.45">
      <c r="A14" t="s">
        <v>324</v>
      </c>
      <c r="B14" t="s">
        <v>654</v>
      </c>
      <c r="C14" t="s">
        <v>161</v>
      </c>
      <c r="D14" t="s">
        <v>162</v>
      </c>
      <c r="E14" t="s">
        <v>163</v>
      </c>
      <c r="I14" t="s">
        <v>655</v>
      </c>
      <c r="J14">
        <f t="shared" si="0"/>
        <v>1.1957368013751073</v>
      </c>
      <c r="K14">
        <f t="shared" si="1"/>
        <v>2.9050319999999994</v>
      </c>
      <c r="L14">
        <f t="shared" si="2"/>
        <v>0.847073765877148</v>
      </c>
      <c r="M14">
        <f t="shared" si="3"/>
        <v>11.4764270883171</v>
      </c>
      <c r="N14" t="s">
        <v>656</v>
      </c>
      <c r="O14" t="s">
        <v>657</v>
      </c>
      <c r="P14">
        <f t="shared" si="4"/>
        <v>4.602194326626651</v>
      </c>
      <c r="Q14">
        <f t="shared" si="5"/>
        <v>1.3048833266266509</v>
      </c>
      <c r="R14" t="s">
        <v>658</v>
      </c>
      <c r="S14" t="s">
        <v>659</v>
      </c>
      <c r="T14">
        <f t="shared" si="6"/>
        <v>45.902596515326657</v>
      </c>
      <c r="U14">
        <f t="shared" si="7"/>
        <v>0.4417875</v>
      </c>
      <c r="V14" t="s">
        <v>169</v>
      </c>
      <c r="W14" t="s">
        <v>660</v>
      </c>
      <c r="X14" t="s">
        <v>171</v>
      </c>
      <c r="Y14" t="s">
        <v>171</v>
      </c>
      <c r="Z14" t="s">
        <v>171</v>
      </c>
      <c r="AA14" t="s">
        <v>661</v>
      </c>
      <c r="AB14" t="s">
        <v>662</v>
      </c>
      <c r="AC14" t="s">
        <v>663</v>
      </c>
      <c r="AD14" t="s">
        <v>175</v>
      </c>
      <c r="AE14" t="s">
        <v>176</v>
      </c>
      <c r="AF14">
        <f t="shared" si="8"/>
        <v>201.48865296</v>
      </c>
      <c r="AG14" t="s">
        <v>177</v>
      </c>
      <c r="AH14" t="s">
        <v>664</v>
      </c>
      <c r="AI14" t="s">
        <v>665</v>
      </c>
      <c r="AJ14" t="s">
        <v>666</v>
      </c>
      <c r="AK14" t="s">
        <v>582</v>
      </c>
      <c r="AL14">
        <f t="shared" si="9"/>
        <v>31.35</v>
      </c>
      <c r="AM14" t="s">
        <v>182</v>
      </c>
      <c r="AN14" t="s">
        <v>183</v>
      </c>
      <c r="AO14" t="s">
        <v>667</v>
      </c>
      <c r="AP14" t="s">
        <v>668</v>
      </c>
      <c r="AQ14" t="s">
        <v>669</v>
      </c>
      <c r="AR14" t="s">
        <v>670</v>
      </c>
      <c r="AS14" t="s">
        <v>671</v>
      </c>
      <c r="AT14" t="s">
        <v>420</v>
      </c>
      <c r="AU14" t="s">
        <v>672</v>
      </c>
      <c r="AV14" t="s">
        <v>673</v>
      </c>
      <c r="AW14" t="s">
        <v>674</v>
      </c>
      <c r="AX14" t="s">
        <v>675</v>
      </c>
      <c r="AY14" t="s">
        <v>676</v>
      </c>
      <c r="AZ14" t="s">
        <v>268</v>
      </c>
      <c r="BA14" t="s">
        <v>677</v>
      </c>
      <c r="BB14" t="s">
        <v>678</v>
      </c>
      <c r="BC14" t="s">
        <v>679</v>
      </c>
      <c r="BD14" t="s">
        <v>161</v>
      </c>
      <c r="BE14" t="s">
        <v>321</v>
      </c>
      <c r="BF14" t="s">
        <v>370</v>
      </c>
      <c r="BG14" t="s">
        <v>680</v>
      </c>
      <c r="BH14" t="s">
        <v>681</v>
      </c>
      <c r="BI14" t="s">
        <v>682</v>
      </c>
      <c r="BJ14" t="s">
        <v>555</v>
      </c>
      <c r="BK14" t="s">
        <v>161</v>
      </c>
      <c r="BL14" t="s">
        <v>556</v>
      </c>
      <c r="BM14" t="s">
        <v>159</v>
      </c>
      <c r="BN14" t="s">
        <v>683</v>
      </c>
      <c r="BO14" t="s">
        <v>373</v>
      </c>
      <c r="BP14" t="s">
        <v>600</v>
      </c>
      <c r="BQ14" t="s">
        <v>510</v>
      </c>
      <c r="BR14" t="s">
        <v>684</v>
      </c>
      <c r="BS14" t="s">
        <v>685</v>
      </c>
      <c r="BT14" t="s">
        <v>159</v>
      </c>
      <c r="BU14" t="s">
        <v>206</v>
      </c>
      <c r="BV14" t="s">
        <v>207</v>
      </c>
      <c r="BW14" t="s">
        <v>208</v>
      </c>
      <c r="BX14" t="s">
        <v>209</v>
      </c>
      <c r="BY14" t="s">
        <v>171</v>
      </c>
      <c r="BZ14" t="s">
        <v>210</v>
      </c>
      <c r="CA14" t="s">
        <v>171</v>
      </c>
      <c r="CB14" t="s">
        <v>171</v>
      </c>
      <c r="CC14" t="s">
        <v>211</v>
      </c>
      <c r="CD14" t="s">
        <v>212</v>
      </c>
      <c r="CE14" t="s">
        <v>213</v>
      </c>
      <c r="CF14" t="s">
        <v>214</v>
      </c>
      <c r="CG14" t="s">
        <v>215</v>
      </c>
      <c r="CH14" t="s">
        <v>216</v>
      </c>
      <c r="CI14" t="s">
        <v>177</v>
      </c>
      <c r="CJ14" t="s">
        <v>208</v>
      </c>
      <c r="CK14" t="s">
        <v>217</v>
      </c>
      <c r="CL14" t="s">
        <v>217</v>
      </c>
      <c r="CM14" t="s">
        <v>217</v>
      </c>
      <c r="CN14" t="s">
        <v>171</v>
      </c>
      <c r="CO14" t="s">
        <v>218</v>
      </c>
      <c r="CP14" t="s">
        <v>171</v>
      </c>
      <c r="CQ14" t="s">
        <v>171</v>
      </c>
      <c r="CR14" t="s">
        <v>171</v>
      </c>
      <c r="CS14" t="s">
        <v>171</v>
      </c>
      <c r="CT14" t="s">
        <v>686</v>
      </c>
      <c r="CU14" t="s">
        <v>687</v>
      </c>
      <c r="CV14" t="s">
        <v>688</v>
      </c>
      <c r="CW14" t="s">
        <v>689</v>
      </c>
      <c r="CX14" t="s">
        <v>690</v>
      </c>
      <c r="CY14" t="s">
        <v>691</v>
      </c>
      <c r="CZ14" t="s">
        <v>692</v>
      </c>
      <c r="DA14" t="s">
        <v>693</v>
      </c>
      <c r="DB14" t="s">
        <v>661</v>
      </c>
      <c r="DC14" t="s">
        <v>694</v>
      </c>
      <c r="DD14" t="s">
        <v>228</v>
      </c>
      <c r="DE14" t="s">
        <v>229</v>
      </c>
      <c r="DF14" t="s">
        <v>177</v>
      </c>
      <c r="DG14" t="s">
        <v>230</v>
      </c>
      <c r="DH14" t="s">
        <v>231</v>
      </c>
      <c r="DI14" t="s">
        <v>177</v>
      </c>
      <c r="DJ14" t="s">
        <v>232</v>
      </c>
      <c r="DK14" t="s">
        <v>233</v>
      </c>
      <c r="DL14" t="s">
        <v>234</v>
      </c>
      <c r="DM14" t="s">
        <v>171</v>
      </c>
      <c r="DN14" t="s">
        <v>660</v>
      </c>
      <c r="DO14" t="s">
        <v>235</v>
      </c>
      <c r="DP14" t="s">
        <v>236</v>
      </c>
      <c r="DQ14" t="s">
        <v>237</v>
      </c>
      <c r="DR14" t="s">
        <v>238</v>
      </c>
      <c r="DS14" t="s">
        <v>239</v>
      </c>
      <c r="DT14" t="s">
        <v>240</v>
      </c>
    </row>
    <row r="15" spans="1:124" x14ac:dyDescent="0.45">
      <c r="A15" t="s">
        <v>695</v>
      </c>
      <c r="B15" t="s">
        <v>696</v>
      </c>
      <c r="C15" t="s">
        <v>161</v>
      </c>
      <c r="D15" t="s">
        <v>162</v>
      </c>
      <c r="E15" t="s">
        <v>163</v>
      </c>
      <c r="I15" t="s">
        <v>697</v>
      </c>
      <c r="J15">
        <f t="shared" si="0"/>
        <v>1.2386203035915719</v>
      </c>
      <c r="K15">
        <f t="shared" si="1"/>
        <v>2.9050319999999994</v>
      </c>
      <c r="L15">
        <f t="shared" si="2"/>
        <v>0.86837199507893326</v>
      </c>
      <c r="M15">
        <f t="shared" si="3"/>
        <v>12.901677094359368</v>
      </c>
      <c r="N15" t="s">
        <v>698</v>
      </c>
      <c r="O15" t="s">
        <v>699</v>
      </c>
      <c r="P15">
        <f t="shared" si="4"/>
        <v>4.7588908329299757</v>
      </c>
      <c r="Q15">
        <f t="shared" si="5"/>
        <v>1.4296088329299756</v>
      </c>
      <c r="R15" t="s">
        <v>700</v>
      </c>
      <c r="S15" t="s">
        <v>701</v>
      </c>
      <c r="T15">
        <f t="shared" si="6"/>
        <v>47.465498034410288</v>
      </c>
      <c r="U15">
        <f t="shared" si="7"/>
        <v>0.4417875</v>
      </c>
      <c r="V15" t="s">
        <v>169</v>
      </c>
      <c r="W15" t="s">
        <v>702</v>
      </c>
      <c r="X15" t="s">
        <v>171</v>
      </c>
      <c r="Y15" t="s">
        <v>171</v>
      </c>
      <c r="Z15" t="s">
        <v>171</v>
      </c>
      <c r="AA15" t="s">
        <v>703</v>
      </c>
      <c r="AB15" t="s">
        <v>704</v>
      </c>
      <c r="AC15" t="s">
        <v>705</v>
      </c>
      <c r="AD15" t="s">
        <v>175</v>
      </c>
      <c r="AE15" t="s">
        <v>176</v>
      </c>
      <c r="AF15">
        <f t="shared" si="8"/>
        <v>174.22876127999999</v>
      </c>
      <c r="AG15" t="s">
        <v>177</v>
      </c>
      <c r="AH15" t="s">
        <v>706</v>
      </c>
      <c r="AI15" t="s">
        <v>707</v>
      </c>
      <c r="AJ15" t="s">
        <v>708</v>
      </c>
      <c r="AK15" t="s">
        <v>709</v>
      </c>
      <c r="AL15">
        <f t="shared" si="9"/>
        <v>31.94</v>
      </c>
      <c r="AM15" t="s">
        <v>182</v>
      </c>
      <c r="AN15" t="s">
        <v>183</v>
      </c>
      <c r="AO15" t="s">
        <v>710</v>
      </c>
      <c r="AP15" t="s">
        <v>711</v>
      </c>
      <c r="AQ15" t="s">
        <v>712</v>
      </c>
      <c r="AR15" t="s">
        <v>713</v>
      </c>
      <c r="AS15" t="s">
        <v>714</v>
      </c>
      <c r="AT15" t="s">
        <v>360</v>
      </c>
      <c r="AU15" t="s">
        <v>715</v>
      </c>
      <c r="AV15" t="s">
        <v>716</v>
      </c>
      <c r="AW15" t="s">
        <v>717</v>
      </c>
      <c r="AX15" t="s">
        <v>718</v>
      </c>
      <c r="AY15" t="s">
        <v>719</v>
      </c>
      <c r="AZ15" t="s">
        <v>268</v>
      </c>
      <c r="BA15" t="s">
        <v>720</v>
      </c>
      <c r="BB15" t="s">
        <v>721</v>
      </c>
      <c r="BC15" t="s">
        <v>722</v>
      </c>
      <c r="BD15" t="s">
        <v>161</v>
      </c>
      <c r="BE15" t="s">
        <v>723</v>
      </c>
      <c r="BF15" t="s">
        <v>724</v>
      </c>
      <c r="BG15" t="s">
        <v>725</v>
      </c>
      <c r="BH15" t="s">
        <v>681</v>
      </c>
      <c r="BI15" t="s">
        <v>641</v>
      </c>
      <c r="BJ15" t="s">
        <v>555</v>
      </c>
      <c r="BK15" t="s">
        <v>161</v>
      </c>
      <c r="BL15" t="s">
        <v>556</v>
      </c>
      <c r="BM15" t="s">
        <v>159</v>
      </c>
      <c r="BN15" t="s">
        <v>278</v>
      </c>
      <c r="BO15" t="s">
        <v>327</v>
      </c>
      <c r="BP15" t="s">
        <v>510</v>
      </c>
      <c r="BQ15" t="s">
        <v>726</v>
      </c>
      <c r="BR15" t="s">
        <v>203</v>
      </c>
      <c r="BS15" t="s">
        <v>727</v>
      </c>
      <c r="BT15" t="s">
        <v>159</v>
      </c>
      <c r="BU15" t="s">
        <v>206</v>
      </c>
      <c r="BV15" t="s">
        <v>207</v>
      </c>
      <c r="BW15" t="s">
        <v>208</v>
      </c>
      <c r="BX15" t="s">
        <v>209</v>
      </c>
      <c r="BY15" t="s">
        <v>171</v>
      </c>
      <c r="BZ15" t="s">
        <v>210</v>
      </c>
      <c r="CA15" t="s">
        <v>171</v>
      </c>
      <c r="CB15" t="s">
        <v>171</v>
      </c>
      <c r="CC15" t="s">
        <v>211</v>
      </c>
      <c r="CD15" t="s">
        <v>212</v>
      </c>
      <c r="CE15" t="s">
        <v>213</v>
      </c>
      <c r="CF15" t="s">
        <v>214</v>
      </c>
      <c r="CG15" t="s">
        <v>215</v>
      </c>
      <c r="CH15" t="s">
        <v>216</v>
      </c>
      <c r="CI15" t="s">
        <v>177</v>
      </c>
      <c r="CJ15" t="s">
        <v>208</v>
      </c>
      <c r="CK15" t="s">
        <v>217</v>
      </c>
      <c r="CL15" t="s">
        <v>217</v>
      </c>
      <c r="CM15" t="s">
        <v>217</v>
      </c>
      <c r="CN15" t="s">
        <v>171</v>
      </c>
      <c r="CO15" t="s">
        <v>218</v>
      </c>
      <c r="CP15" t="s">
        <v>171</v>
      </c>
      <c r="CQ15" t="s">
        <v>171</v>
      </c>
      <c r="CR15" t="s">
        <v>171</v>
      </c>
      <c r="CS15" t="s">
        <v>171</v>
      </c>
      <c r="CT15" t="s">
        <v>728</v>
      </c>
      <c r="CU15" t="s">
        <v>729</v>
      </c>
      <c r="CV15" t="s">
        <v>730</v>
      </c>
      <c r="CW15" t="s">
        <v>731</v>
      </c>
      <c r="CX15" t="s">
        <v>732</v>
      </c>
      <c r="CY15" t="s">
        <v>733</v>
      </c>
      <c r="CZ15" t="s">
        <v>734</v>
      </c>
      <c r="DA15" t="s">
        <v>735</v>
      </c>
      <c r="DB15" t="s">
        <v>703</v>
      </c>
      <c r="DC15" t="s">
        <v>736</v>
      </c>
      <c r="DD15" t="s">
        <v>228</v>
      </c>
      <c r="DE15" t="s">
        <v>229</v>
      </c>
      <c r="DF15" t="s">
        <v>177</v>
      </c>
      <c r="DG15" t="s">
        <v>230</v>
      </c>
      <c r="DH15" t="s">
        <v>231</v>
      </c>
      <c r="DI15" t="s">
        <v>177</v>
      </c>
      <c r="DJ15" t="s">
        <v>232</v>
      </c>
      <c r="DK15" t="s">
        <v>233</v>
      </c>
      <c r="DL15" t="s">
        <v>234</v>
      </c>
      <c r="DM15" t="s">
        <v>171</v>
      </c>
      <c r="DN15" t="s">
        <v>702</v>
      </c>
      <c r="DO15" t="s">
        <v>235</v>
      </c>
      <c r="DP15" t="s">
        <v>236</v>
      </c>
      <c r="DQ15" t="s">
        <v>237</v>
      </c>
      <c r="DR15" t="s">
        <v>238</v>
      </c>
      <c r="DS15" t="s">
        <v>239</v>
      </c>
      <c r="DT15" t="s">
        <v>240</v>
      </c>
    </row>
    <row r="16" spans="1:124" x14ac:dyDescent="0.45">
      <c r="A16" t="s">
        <v>420</v>
      </c>
      <c r="B16" t="s">
        <v>737</v>
      </c>
      <c r="C16" t="s">
        <v>161</v>
      </c>
      <c r="D16" t="s">
        <v>162</v>
      </c>
      <c r="E16" t="s">
        <v>163</v>
      </c>
      <c r="I16" t="s">
        <v>738</v>
      </c>
      <c r="J16">
        <f t="shared" si="0"/>
        <v>0.80739295273930911</v>
      </c>
      <c r="K16">
        <f t="shared" si="1"/>
        <v>2.9050319999999994</v>
      </c>
      <c r="L16">
        <f t="shared" si="2"/>
        <v>0.63179792026542936</v>
      </c>
      <c r="M16">
        <f t="shared" si="3"/>
        <v>11.11071900177072</v>
      </c>
      <c r="N16" t="s">
        <v>739</v>
      </c>
      <c r="O16" t="s">
        <v>740</v>
      </c>
      <c r="P16">
        <f t="shared" si="4"/>
        <v>4.8650015738022709</v>
      </c>
      <c r="Q16">
        <f t="shared" si="5"/>
        <v>1.692774573802271</v>
      </c>
      <c r="R16" t="s">
        <v>741</v>
      </c>
      <c r="S16" t="s">
        <v>742</v>
      </c>
      <c r="T16">
        <f t="shared" si="6"/>
        <v>48.519014399145021</v>
      </c>
      <c r="U16">
        <f t="shared" si="7"/>
        <v>0.4417875</v>
      </c>
      <c r="V16" t="s">
        <v>169</v>
      </c>
      <c r="W16" t="s">
        <v>743</v>
      </c>
      <c r="X16" t="s">
        <v>171</v>
      </c>
      <c r="Y16" t="s">
        <v>171</v>
      </c>
      <c r="Z16" t="s">
        <v>171</v>
      </c>
      <c r="AA16" t="s">
        <v>744</v>
      </c>
      <c r="AB16" t="s">
        <v>745</v>
      </c>
      <c r="AC16" t="s">
        <v>746</v>
      </c>
      <c r="AD16" t="s">
        <v>175</v>
      </c>
      <c r="AE16" t="s">
        <v>176</v>
      </c>
      <c r="AF16">
        <f t="shared" si="8"/>
        <v>214.04885963999999</v>
      </c>
      <c r="AG16" t="s">
        <v>177</v>
      </c>
      <c r="AH16" t="s">
        <v>747</v>
      </c>
      <c r="AI16" t="s">
        <v>748</v>
      </c>
      <c r="AJ16" t="s">
        <v>749</v>
      </c>
      <c r="AK16" t="s">
        <v>750</v>
      </c>
      <c r="AL16">
        <f t="shared" si="9"/>
        <v>32.33</v>
      </c>
      <c r="AM16" t="s">
        <v>306</v>
      </c>
      <c r="AN16" t="s">
        <v>183</v>
      </c>
      <c r="AO16" t="s">
        <v>751</v>
      </c>
      <c r="AP16" t="s">
        <v>752</v>
      </c>
      <c r="AQ16" t="s">
        <v>753</v>
      </c>
      <c r="AR16" t="s">
        <v>754</v>
      </c>
      <c r="AS16" t="s">
        <v>755</v>
      </c>
      <c r="AT16" t="s">
        <v>756</v>
      </c>
      <c r="AU16" t="s">
        <v>757</v>
      </c>
      <c r="AV16" t="s">
        <v>758</v>
      </c>
      <c r="AW16" t="s">
        <v>759</v>
      </c>
      <c r="AX16" t="s">
        <v>760</v>
      </c>
      <c r="AY16" t="s">
        <v>678</v>
      </c>
      <c r="AZ16" t="s">
        <v>268</v>
      </c>
      <c r="BA16" t="s">
        <v>761</v>
      </c>
      <c r="BB16" t="s">
        <v>762</v>
      </c>
      <c r="BC16" t="s">
        <v>763</v>
      </c>
      <c r="BD16" t="s">
        <v>161</v>
      </c>
      <c r="BE16" t="s">
        <v>764</v>
      </c>
      <c r="BF16" t="s">
        <v>765</v>
      </c>
      <c r="BG16" t="s">
        <v>766</v>
      </c>
      <c r="BH16" t="s">
        <v>767</v>
      </c>
      <c r="BI16" t="s">
        <v>768</v>
      </c>
      <c r="BJ16" t="s">
        <v>555</v>
      </c>
      <c r="BK16" t="s">
        <v>161</v>
      </c>
      <c r="BL16" t="s">
        <v>556</v>
      </c>
      <c r="BM16" t="s">
        <v>159</v>
      </c>
      <c r="BN16" t="s">
        <v>769</v>
      </c>
      <c r="BO16" t="s">
        <v>373</v>
      </c>
      <c r="BP16" t="s">
        <v>374</v>
      </c>
      <c r="BQ16" t="s">
        <v>202</v>
      </c>
      <c r="BR16" t="s">
        <v>770</v>
      </c>
      <c r="BS16" t="s">
        <v>771</v>
      </c>
      <c r="BT16" t="s">
        <v>159</v>
      </c>
      <c r="BU16" t="s">
        <v>206</v>
      </c>
      <c r="BV16" t="s">
        <v>207</v>
      </c>
      <c r="BW16" t="s">
        <v>208</v>
      </c>
      <c r="BX16" t="s">
        <v>209</v>
      </c>
      <c r="BY16" t="s">
        <v>171</v>
      </c>
      <c r="BZ16" t="s">
        <v>210</v>
      </c>
      <c r="CA16" t="s">
        <v>171</v>
      </c>
      <c r="CB16" t="s">
        <v>171</v>
      </c>
      <c r="CC16" t="s">
        <v>211</v>
      </c>
      <c r="CD16" t="s">
        <v>212</v>
      </c>
      <c r="CE16" t="s">
        <v>213</v>
      </c>
      <c r="CF16" t="s">
        <v>214</v>
      </c>
      <c r="CG16" t="s">
        <v>215</v>
      </c>
      <c r="CH16" t="s">
        <v>216</v>
      </c>
      <c r="CI16" t="s">
        <v>177</v>
      </c>
      <c r="CJ16" t="s">
        <v>208</v>
      </c>
      <c r="CK16" t="s">
        <v>217</v>
      </c>
      <c r="CL16" t="s">
        <v>217</v>
      </c>
      <c r="CM16" t="s">
        <v>217</v>
      </c>
      <c r="CN16" t="s">
        <v>171</v>
      </c>
      <c r="CO16" t="s">
        <v>218</v>
      </c>
      <c r="CP16" t="s">
        <v>171</v>
      </c>
      <c r="CQ16" t="s">
        <v>171</v>
      </c>
      <c r="CR16" t="s">
        <v>171</v>
      </c>
      <c r="CS16" t="s">
        <v>171</v>
      </c>
      <c r="CT16" t="s">
        <v>772</v>
      </c>
      <c r="CU16" t="s">
        <v>773</v>
      </c>
      <c r="CV16" t="s">
        <v>774</v>
      </c>
      <c r="CW16" t="s">
        <v>775</v>
      </c>
      <c r="CX16" t="s">
        <v>776</v>
      </c>
      <c r="CY16" t="s">
        <v>777</v>
      </c>
      <c r="CZ16" t="s">
        <v>778</v>
      </c>
      <c r="DA16" t="s">
        <v>779</v>
      </c>
      <c r="DB16" t="s">
        <v>744</v>
      </c>
      <c r="DC16" t="s">
        <v>780</v>
      </c>
      <c r="DD16" t="s">
        <v>228</v>
      </c>
      <c r="DE16" t="s">
        <v>229</v>
      </c>
      <c r="DF16" t="s">
        <v>177</v>
      </c>
      <c r="DG16" t="s">
        <v>230</v>
      </c>
      <c r="DH16" t="s">
        <v>231</v>
      </c>
      <c r="DI16" t="s">
        <v>177</v>
      </c>
      <c r="DJ16" t="s">
        <v>232</v>
      </c>
      <c r="DK16" t="s">
        <v>233</v>
      </c>
      <c r="DL16" t="s">
        <v>234</v>
      </c>
      <c r="DM16" t="s">
        <v>171</v>
      </c>
      <c r="DN16" t="s">
        <v>743</v>
      </c>
      <c r="DO16" t="s">
        <v>235</v>
      </c>
      <c r="DP16" t="s">
        <v>236</v>
      </c>
      <c r="DQ16" t="s">
        <v>237</v>
      </c>
      <c r="DR16" t="s">
        <v>238</v>
      </c>
      <c r="DS16" t="s">
        <v>239</v>
      </c>
      <c r="DT16" t="s">
        <v>240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4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1.07</v>
      </c>
      <c r="K2">
        <v>2.91</v>
      </c>
      <c r="L2">
        <v>0.78</v>
      </c>
      <c r="M2">
        <v>10.130000000000001</v>
      </c>
      <c r="N2">
        <v>3.33</v>
      </c>
      <c r="O2">
        <v>3.05</v>
      </c>
      <c r="P2">
        <v>4.58</v>
      </c>
      <c r="Q2">
        <v>1.25</v>
      </c>
      <c r="R2">
        <v>30.47</v>
      </c>
      <c r="S2">
        <v>33.24</v>
      </c>
      <c r="T2">
        <v>45.69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120.3</v>
      </c>
      <c r="AB2">
        <v>395.07</v>
      </c>
      <c r="AC2">
        <v>0.7</v>
      </c>
      <c r="AD2">
        <v>0.5</v>
      </c>
      <c r="AE2">
        <v>0.84</v>
      </c>
      <c r="AF2">
        <v>155.97999999999999</v>
      </c>
      <c r="AG2">
        <v>1</v>
      </c>
      <c r="AH2">
        <v>61.85</v>
      </c>
      <c r="AI2">
        <v>56.69</v>
      </c>
      <c r="AJ2">
        <v>34.15</v>
      </c>
      <c r="AK2">
        <v>31.27</v>
      </c>
      <c r="AL2">
        <v>31.27</v>
      </c>
      <c r="AM2">
        <v>100.26</v>
      </c>
      <c r="AN2">
        <v>156</v>
      </c>
      <c r="AO2">
        <v>151.19999999999999</v>
      </c>
      <c r="AP2">
        <v>3.1</v>
      </c>
      <c r="AQ2">
        <v>534</v>
      </c>
      <c r="AR2">
        <v>3.91</v>
      </c>
      <c r="AS2">
        <v>-21</v>
      </c>
      <c r="AT2">
        <v>2</v>
      </c>
      <c r="AU2">
        <v>145</v>
      </c>
      <c r="AX2">
        <v>21.09</v>
      </c>
      <c r="AY2">
        <v>-29.43</v>
      </c>
      <c r="BC2" t="s">
        <v>193</v>
      </c>
      <c r="BD2" t="s">
        <v>194</v>
      </c>
      <c r="BE2">
        <v>35.85</v>
      </c>
      <c r="BF2">
        <v>127.13</v>
      </c>
      <c r="BG2">
        <v>17.7</v>
      </c>
      <c r="BH2">
        <v>4</v>
      </c>
      <c r="BI2">
        <v>2.78</v>
      </c>
      <c r="BJ2" t="s">
        <v>200</v>
      </c>
      <c r="BK2" t="s">
        <v>161</v>
      </c>
      <c r="BL2">
        <v>0.23</v>
      </c>
      <c r="BM2" t="s">
        <v>159</v>
      </c>
      <c r="BN2">
        <v>0</v>
      </c>
      <c r="BO2">
        <v>0</v>
      </c>
      <c r="BP2">
        <v>0</v>
      </c>
      <c r="BQ2">
        <v>-0.06</v>
      </c>
      <c r="BR2">
        <v>-0.52</v>
      </c>
      <c r="BS2">
        <v>-1.63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212</v>
      </c>
      <c r="CE2" t="s">
        <v>213</v>
      </c>
      <c r="CF2" t="s">
        <v>214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2.5099999999999998</v>
      </c>
      <c r="CU2">
        <v>2.4500000000000002</v>
      </c>
      <c r="CV2">
        <v>1.67</v>
      </c>
      <c r="CW2">
        <v>0.93</v>
      </c>
      <c r="CX2">
        <v>0.19</v>
      </c>
      <c r="CY2">
        <v>-0.04</v>
      </c>
      <c r="CZ2">
        <v>0.03</v>
      </c>
      <c r="DA2">
        <v>0.56999999999999995</v>
      </c>
      <c r="DB2">
        <v>120.3</v>
      </c>
      <c r="DC2">
        <v>0</v>
      </c>
      <c r="DD2">
        <v>2.42</v>
      </c>
      <c r="DE2">
        <v>0</v>
      </c>
      <c r="DF2">
        <v>1</v>
      </c>
      <c r="DG2">
        <v>2.36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235</v>
      </c>
      <c r="DP2" t="s">
        <v>236</v>
      </c>
      <c r="DQ2" t="s">
        <v>237</v>
      </c>
      <c r="DR2" t="s">
        <v>238</v>
      </c>
      <c r="DS2" t="s">
        <v>239</v>
      </c>
      <c r="DT2" t="s">
        <v>240</v>
      </c>
    </row>
    <row r="3" spans="1:124" x14ac:dyDescent="0.45">
      <c r="A3" t="s">
        <v>189</v>
      </c>
      <c r="B3" t="s">
        <v>241</v>
      </c>
      <c r="C3" t="s">
        <v>161</v>
      </c>
      <c r="D3" t="s">
        <v>162</v>
      </c>
      <c r="E3" t="s">
        <v>163</v>
      </c>
      <c r="I3" t="s">
        <v>242</v>
      </c>
      <c r="J3">
        <v>0.15</v>
      </c>
      <c r="K3">
        <v>2.91</v>
      </c>
      <c r="L3">
        <v>0.14000000000000001</v>
      </c>
      <c r="M3">
        <v>3.05</v>
      </c>
      <c r="N3">
        <v>3.14</v>
      </c>
      <c r="O3">
        <v>3.06</v>
      </c>
      <c r="P3">
        <v>5.2</v>
      </c>
      <c r="Q3">
        <v>2.06</v>
      </c>
      <c r="R3">
        <v>30.48</v>
      </c>
      <c r="S3">
        <v>31.32</v>
      </c>
      <c r="T3">
        <v>51.9</v>
      </c>
      <c r="U3">
        <v>0.44</v>
      </c>
      <c r="V3">
        <v>7.5</v>
      </c>
      <c r="W3" t="s">
        <v>247</v>
      </c>
      <c r="X3">
        <v>0</v>
      </c>
      <c r="Y3">
        <v>0</v>
      </c>
      <c r="Z3">
        <v>0</v>
      </c>
      <c r="AA3">
        <v>108.27</v>
      </c>
      <c r="AB3">
        <v>380.61</v>
      </c>
      <c r="AC3">
        <v>0.72</v>
      </c>
      <c r="AD3">
        <v>0.5</v>
      </c>
      <c r="AE3">
        <v>0.84</v>
      </c>
      <c r="AF3">
        <v>119.01</v>
      </c>
      <c r="AG3">
        <v>1</v>
      </c>
      <c r="AH3">
        <v>57.71</v>
      </c>
      <c r="AI3">
        <v>56.17</v>
      </c>
      <c r="AJ3">
        <v>34.33</v>
      </c>
      <c r="AK3">
        <v>33.53</v>
      </c>
      <c r="AL3">
        <v>33.53</v>
      </c>
      <c r="AM3">
        <v>100.28</v>
      </c>
      <c r="AN3">
        <v>156.1</v>
      </c>
      <c r="AO3">
        <v>155.19999999999999</v>
      </c>
      <c r="AP3">
        <v>0.6</v>
      </c>
      <c r="AQ3">
        <v>396</v>
      </c>
      <c r="AR3">
        <v>3.91</v>
      </c>
      <c r="AS3">
        <v>-17</v>
      </c>
      <c r="AT3">
        <v>-2</v>
      </c>
      <c r="AU3">
        <v>218</v>
      </c>
      <c r="AV3">
        <v>61.52</v>
      </c>
      <c r="AW3">
        <v>47.69</v>
      </c>
      <c r="AX3">
        <v>17.11</v>
      </c>
      <c r="AY3">
        <v>31.19</v>
      </c>
      <c r="AZ3">
        <v>16.46</v>
      </c>
      <c r="BA3">
        <v>96.17</v>
      </c>
      <c r="BB3">
        <v>52.92</v>
      </c>
      <c r="BC3" t="s">
        <v>271</v>
      </c>
      <c r="BD3" t="s">
        <v>272</v>
      </c>
      <c r="BE3">
        <v>35.85</v>
      </c>
      <c r="BF3">
        <v>127.13</v>
      </c>
      <c r="BG3">
        <v>26.5</v>
      </c>
      <c r="BH3">
        <v>4</v>
      </c>
      <c r="BI3">
        <v>2.76</v>
      </c>
      <c r="BJ3" t="s">
        <v>200</v>
      </c>
      <c r="BK3" t="s">
        <v>161</v>
      </c>
      <c r="BL3">
        <v>0.23</v>
      </c>
      <c r="BM3" t="s">
        <v>159</v>
      </c>
      <c r="BN3">
        <v>0</v>
      </c>
      <c r="BO3">
        <v>0</v>
      </c>
      <c r="BP3">
        <v>0</v>
      </c>
      <c r="BQ3">
        <v>-0.27</v>
      </c>
      <c r="BR3">
        <v>-0.6</v>
      </c>
      <c r="BS3">
        <v>-1.29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212</v>
      </c>
      <c r="CE3" t="s">
        <v>213</v>
      </c>
      <c r="CF3" t="s">
        <v>214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</v>
      </c>
      <c r="CU3">
        <v>2.4500000000000002</v>
      </c>
      <c r="CV3">
        <v>1.67</v>
      </c>
      <c r="CW3">
        <v>0.94</v>
      </c>
      <c r="CX3">
        <v>0.19</v>
      </c>
      <c r="CY3">
        <v>-0.01</v>
      </c>
      <c r="CZ3">
        <v>0.04</v>
      </c>
      <c r="DA3">
        <v>0.45</v>
      </c>
      <c r="DB3">
        <v>108.27</v>
      </c>
      <c r="DC3">
        <v>0</v>
      </c>
      <c r="DD3">
        <v>2.42</v>
      </c>
      <c r="DE3">
        <v>0</v>
      </c>
      <c r="DF3">
        <v>1</v>
      </c>
      <c r="DG3">
        <v>2.36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247</v>
      </c>
      <c r="DO3" t="s">
        <v>235</v>
      </c>
      <c r="DP3" t="s">
        <v>236</v>
      </c>
      <c r="DQ3" t="s">
        <v>237</v>
      </c>
      <c r="DR3" t="s">
        <v>238</v>
      </c>
      <c r="DS3" t="s">
        <v>239</v>
      </c>
      <c r="DT3" t="s">
        <v>240</v>
      </c>
    </row>
    <row r="4" spans="1:124" x14ac:dyDescent="0.45">
      <c r="A4" t="s">
        <v>291</v>
      </c>
      <c r="B4" t="s">
        <v>292</v>
      </c>
      <c r="C4" t="s">
        <v>161</v>
      </c>
      <c r="D4" t="s">
        <v>162</v>
      </c>
      <c r="E4" t="s">
        <v>163</v>
      </c>
      <c r="I4" t="s">
        <v>293</v>
      </c>
      <c r="J4">
        <v>1.31</v>
      </c>
      <c r="K4">
        <v>2.91</v>
      </c>
      <c r="L4">
        <v>0.9</v>
      </c>
      <c r="M4">
        <v>13.49</v>
      </c>
      <c r="N4">
        <v>3.46</v>
      </c>
      <c r="O4">
        <v>3.09</v>
      </c>
      <c r="P4">
        <v>4.8899999999999997</v>
      </c>
      <c r="Q4">
        <v>1.44</v>
      </c>
      <c r="R4">
        <v>30.77</v>
      </c>
      <c r="S4">
        <v>34.46</v>
      </c>
      <c r="T4">
        <v>48.79</v>
      </c>
      <c r="U4">
        <v>0.44</v>
      </c>
      <c r="V4">
        <v>7.5</v>
      </c>
      <c r="W4" t="s">
        <v>298</v>
      </c>
      <c r="X4">
        <v>0</v>
      </c>
      <c r="Y4">
        <v>0</v>
      </c>
      <c r="Z4">
        <v>0</v>
      </c>
      <c r="AA4">
        <v>139.22999999999999</v>
      </c>
      <c r="AB4">
        <v>305.63</v>
      </c>
      <c r="AC4">
        <v>0.54</v>
      </c>
      <c r="AD4">
        <v>0.5</v>
      </c>
      <c r="AE4">
        <v>0.84</v>
      </c>
      <c r="AF4">
        <v>267.99</v>
      </c>
      <c r="AG4">
        <v>1</v>
      </c>
      <c r="AH4">
        <v>61.58</v>
      </c>
      <c r="AI4">
        <v>54.99</v>
      </c>
      <c r="AJ4">
        <v>34.880000000000003</v>
      </c>
      <c r="AK4">
        <v>32.43</v>
      </c>
      <c r="AL4">
        <v>32.43</v>
      </c>
      <c r="AM4">
        <v>100.27</v>
      </c>
      <c r="AN4">
        <v>156</v>
      </c>
      <c r="AO4">
        <v>152.80000000000001</v>
      </c>
      <c r="AP4">
        <v>2.1</v>
      </c>
      <c r="AQ4">
        <v>1172</v>
      </c>
      <c r="AR4">
        <v>3.9</v>
      </c>
      <c r="AS4">
        <v>-30</v>
      </c>
      <c r="AT4">
        <v>-5</v>
      </c>
      <c r="AU4">
        <v>166</v>
      </c>
      <c r="AV4">
        <v>43.03</v>
      </c>
      <c r="AW4">
        <v>73.099999999999994</v>
      </c>
      <c r="AX4">
        <v>30.38</v>
      </c>
      <c r="AY4">
        <v>-23.92</v>
      </c>
      <c r="AZ4">
        <v>16.46</v>
      </c>
      <c r="BA4">
        <v>96.66</v>
      </c>
      <c r="BB4">
        <v>52.32</v>
      </c>
      <c r="BC4" t="s">
        <v>320</v>
      </c>
      <c r="BD4" t="s">
        <v>272</v>
      </c>
      <c r="BE4">
        <v>35.85</v>
      </c>
      <c r="BF4">
        <v>127.13</v>
      </c>
      <c r="BG4">
        <v>22.2</v>
      </c>
      <c r="BH4">
        <v>11</v>
      </c>
      <c r="BI4">
        <v>1.05</v>
      </c>
      <c r="BJ4" t="s">
        <v>200</v>
      </c>
      <c r="BK4" t="s">
        <v>161</v>
      </c>
      <c r="BL4">
        <v>0.23</v>
      </c>
      <c r="BM4" t="s">
        <v>159</v>
      </c>
      <c r="BN4">
        <v>-0.01</v>
      </c>
      <c r="BO4">
        <v>0</v>
      </c>
      <c r="BP4">
        <v>-0.01</v>
      </c>
      <c r="BQ4">
        <v>0.19</v>
      </c>
      <c r="BR4">
        <v>0.24</v>
      </c>
      <c r="BS4">
        <v>-0.01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212</v>
      </c>
      <c r="CE4" t="s">
        <v>213</v>
      </c>
      <c r="CF4" t="s">
        <v>214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</v>
      </c>
      <c r="CU4">
        <v>2.4500000000000002</v>
      </c>
      <c r="CV4">
        <v>1.67</v>
      </c>
      <c r="CW4">
        <v>0.94</v>
      </c>
      <c r="CX4">
        <v>0.18</v>
      </c>
      <c r="CY4">
        <v>-0.03</v>
      </c>
      <c r="CZ4">
        <v>7.0000000000000007E-2</v>
      </c>
      <c r="DA4">
        <v>1.1299999999999999</v>
      </c>
      <c r="DB4">
        <v>139.22999999999999</v>
      </c>
      <c r="DC4">
        <v>0</v>
      </c>
      <c r="DD4">
        <v>2.42</v>
      </c>
      <c r="DE4">
        <v>0</v>
      </c>
      <c r="DF4">
        <v>1</v>
      </c>
      <c r="DG4">
        <v>2.36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298</v>
      </c>
      <c r="DO4" t="s">
        <v>235</v>
      </c>
      <c r="DP4" t="s">
        <v>236</v>
      </c>
      <c r="DQ4" t="s">
        <v>237</v>
      </c>
      <c r="DR4" t="s">
        <v>238</v>
      </c>
      <c r="DS4" t="s">
        <v>239</v>
      </c>
      <c r="DT4" t="s">
        <v>240</v>
      </c>
    </row>
    <row r="5" spans="1:124" x14ac:dyDescent="0.45">
      <c r="A5" t="s">
        <v>198</v>
      </c>
      <c r="B5" t="s">
        <v>341</v>
      </c>
      <c r="C5" t="s">
        <v>161</v>
      </c>
      <c r="D5" t="s">
        <v>162</v>
      </c>
      <c r="E5" t="s">
        <v>163</v>
      </c>
      <c r="I5" t="s">
        <v>342</v>
      </c>
      <c r="J5">
        <v>1.36</v>
      </c>
      <c r="K5">
        <v>2.91</v>
      </c>
      <c r="L5">
        <v>0.93</v>
      </c>
      <c r="M5">
        <v>11.24</v>
      </c>
      <c r="N5">
        <v>3.42</v>
      </c>
      <c r="O5">
        <v>3.11</v>
      </c>
      <c r="P5">
        <v>4.59</v>
      </c>
      <c r="Q5">
        <v>1.17</v>
      </c>
      <c r="R5">
        <v>31.06</v>
      </c>
      <c r="S5">
        <v>34.119999999999997</v>
      </c>
      <c r="T5">
        <v>45.76</v>
      </c>
      <c r="U5">
        <v>0.44</v>
      </c>
      <c r="V5">
        <v>7.5</v>
      </c>
      <c r="W5" t="s">
        <v>347</v>
      </c>
      <c r="X5">
        <v>0</v>
      </c>
      <c r="Y5">
        <v>0</v>
      </c>
      <c r="Z5">
        <v>0</v>
      </c>
      <c r="AA5">
        <v>134.29</v>
      </c>
      <c r="AB5">
        <v>434.33</v>
      </c>
      <c r="AC5">
        <v>0.69</v>
      </c>
      <c r="AD5">
        <v>0.5</v>
      </c>
      <c r="AE5">
        <v>0.84</v>
      </c>
      <c r="AF5">
        <v>176.99</v>
      </c>
      <c r="AG5">
        <v>1</v>
      </c>
      <c r="AH5">
        <v>60.01</v>
      </c>
      <c r="AI5">
        <v>54.62</v>
      </c>
      <c r="AJ5">
        <v>35.17</v>
      </c>
      <c r="AK5">
        <v>31.3</v>
      </c>
      <c r="AL5">
        <v>31.3</v>
      </c>
      <c r="AM5">
        <v>100.28</v>
      </c>
      <c r="AN5">
        <v>156.4</v>
      </c>
      <c r="AO5">
        <v>147.30000000000001</v>
      </c>
      <c r="AP5">
        <v>5.8</v>
      </c>
      <c r="AQ5">
        <v>610</v>
      </c>
      <c r="AR5">
        <v>3.9</v>
      </c>
      <c r="AS5">
        <v>-21</v>
      </c>
      <c r="AT5">
        <v>-8</v>
      </c>
      <c r="AU5">
        <v>71</v>
      </c>
      <c r="AV5">
        <v>39.35</v>
      </c>
      <c r="AW5">
        <v>77.33</v>
      </c>
      <c r="AX5">
        <v>22.41</v>
      </c>
      <c r="AY5">
        <v>-130.41</v>
      </c>
      <c r="AZ5">
        <v>16.46</v>
      </c>
      <c r="BA5">
        <v>96.99</v>
      </c>
      <c r="BB5">
        <v>51.92</v>
      </c>
      <c r="BC5" t="s">
        <v>368</v>
      </c>
      <c r="BD5" t="s">
        <v>272</v>
      </c>
      <c r="BE5">
        <v>35.85</v>
      </c>
      <c r="BF5">
        <v>127.13</v>
      </c>
      <c r="BG5">
        <v>24.2</v>
      </c>
      <c r="BH5">
        <v>11</v>
      </c>
      <c r="BI5">
        <v>0.98</v>
      </c>
      <c r="BJ5" t="s">
        <v>200</v>
      </c>
      <c r="BK5" t="s">
        <v>161</v>
      </c>
      <c r="BL5">
        <v>0.23</v>
      </c>
      <c r="BM5" t="s">
        <v>159</v>
      </c>
      <c r="BN5">
        <v>0</v>
      </c>
      <c r="BO5">
        <v>0</v>
      </c>
      <c r="BP5">
        <v>0</v>
      </c>
      <c r="BQ5">
        <v>0.47</v>
      </c>
      <c r="BR5">
        <v>0.28999999999999998</v>
      </c>
      <c r="BS5">
        <v>0.54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212</v>
      </c>
      <c r="CE5" t="s">
        <v>213</v>
      </c>
      <c r="CF5" t="s">
        <v>214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</v>
      </c>
      <c r="CU5">
        <v>2.4500000000000002</v>
      </c>
      <c r="CV5">
        <v>1.67</v>
      </c>
      <c r="CW5">
        <v>0.92</v>
      </c>
      <c r="CX5">
        <v>0.18</v>
      </c>
      <c r="CY5">
        <v>-0.05</v>
      </c>
      <c r="CZ5">
        <v>0.09</v>
      </c>
      <c r="DA5">
        <v>0.64</v>
      </c>
      <c r="DB5">
        <v>134.29</v>
      </c>
      <c r="DC5">
        <v>0</v>
      </c>
      <c r="DD5">
        <v>2.42</v>
      </c>
      <c r="DE5">
        <v>0</v>
      </c>
      <c r="DF5">
        <v>1</v>
      </c>
      <c r="DG5">
        <v>2.36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347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</row>
    <row r="6" spans="1:124" x14ac:dyDescent="0.45">
      <c r="A6" t="s">
        <v>387</v>
      </c>
      <c r="B6" t="s">
        <v>388</v>
      </c>
      <c r="C6" t="s">
        <v>161</v>
      </c>
      <c r="D6" t="s">
        <v>162</v>
      </c>
      <c r="E6" t="s">
        <v>163</v>
      </c>
      <c r="I6" t="s">
        <v>389</v>
      </c>
      <c r="J6">
        <v>1.23</v>
      </c>
      <c r="K6">
        <v>2.91</v>
      </c>
      <c r="L6">
        <v>0.87</v>
      </c>
      <c r="M6">
        <v>11.19</v>
      </c>
      <c r="N6">
        <v>3.36</v>
      </c>
      <c r="O6">
        <v>3.05</v>
      </c>
      <c r="P6">
        <v>4.5999999999999996</v>
      </c>
      <c r="Q6">
        <v>1.24</v>
      </c>
      <c r="R6">
        <v>30.4</v>
      </c>
      <c r="S6">
        <v>33.46</v>
      </c>
      <c r="T6">
        <v>45.87</v>
      </c>
      <c r="U6">
        <v>0.44</v>
      </c>
      <c r="V6">
        <v>7.5</v>
      </c>
      <c r="W6" t="s">
        <v>394</v>
      </c>
      <c r="X6">
        <v>0</v>
      </c>
      <c r="Y6">
        <v>0</v>
      </c>
      <c r="Z6">
        <v>0</v>
      </c>
      <c r="AA6">
        <v>114.34</v>
      </c>
      <c r="AB6">
        <v>405.74</v>
      </c>
      <c r="AC6">
        <v>0.72</v>
      </c>
      <c r="AD6">
        <v>0.5</v>
      </c>
      <c r="AE6">
        <v>0.84</v>
      </c>
      <c r="AF6">
        <v>102.86</v>
      </c>
      <c r="AG6">
        <v>1</v>
      </c>
      <c r="AH6">
        <v>58.4</v>
      </c>
      <c r="AI6">
        <v>53.07</v>
      </c>
      <c r="AJ6">
        <v>35.31</v>
      </c>
      <c r="AK6">
        <v>31.34</v>
      </c>
      <c r="AL6">
        <v>31.34</v>
      </c>
      <c r="AM6">
        <v>100.27</v>
      </c>
      <c r="AN6">
        <v>156.30000000000001</v>
      </c>
      <c r="AO6">
        <v>153.5</v>
      </c>
      <c r="AP6">
        <v>1.8</v>
      </c>
      <c r="AQ6">
        <v>341</v>
      </c>
      <c r="AR6">
        <v>3.9</v>
      </c>
      <c r="AS6">
        <v>-12</v>
      </c>
      <c r="AT6">
        <v>9</v>
      </c>
      <c r="AU6">
        <v>337</v>
      </c>
      <c r="AV6">
        <v>51.41</v>
      </c>
      <c r="AW6">
        <v>62.38</v>
      </c>
      <c r="AX6">
        <v>14.96</v>
      </c>
      <c r="AY6">
        <v>-165.7</v>
      </c>
      <c r="AZ6">
        <v>16.46</v>
      </c>
      <c r="BA6">
        <v>97.15</v>
      </c>
      <c r="BB6">
        <v>51.72</v>
      </c>
      <c r="BC6" t="s">
        <v>416</v>
      </c>
      <c r="BD6" t="s">
        <v>161</v>
      </c>
      <c r="BE6">
        <v>35.85</v>
      </c>
      <c r="BF6">
        <v>127.13</v>
      </c>
      <c r="BG6">
        <v>24.9</v>
      </c>
      <c r="BH6">
        <v>13</v>
      </c>
      <c r="BI6">
        <v>0.86</v>
      </c>
      <c r="BJ6" t="s">
        <v>200</v>
      </c>
      <c r="BK6" t="s">
        <v>161</v>
      </c>
      <c r="BL6">
        <v>0.23</v>
      </c>
      <c r="BM6" t="s">
        <v>159</v>
      </c>
      <c r="BN6">
        <v>-0.01</v>
      </c>
      <c r="BO6">
        <v>0</v>
      </c>
      <c r="BP6">
        <v>-0.01</v>
      </c>
      <c r="BQ6">
        <v>-0.21</v>
      </c>
      <c r="BR6">
        <v>-0.41</v>
      </c>
      <c r="BS6">
        <v>-0.79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212</v>
      </c>
      <c r="CE6" t="s">
        <v>213</v>
      </c>
      <c r="CF6" t="s">
        <v>214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</v>
      </c>
      <c r="CU6">
        <v>2.4500000000000002</v>
      </c>
      <c r="CV6">
        <v>1.67</v>
      </c>
      <c r="CW6">
        <v>0.94</v>
      </c>
      <c r="CX6">
        <v>0.18</v>
      </c>
      <c r="CY6">
        <v>-0.05</v>
      </c>
      <c r="CZ6">
        <v>0.09</v>
      </c>
      <c r="DA6">
        <v>0.4</v>
      </c>
      <c r="DB6">
        <v>114.34</v>
      </c>
      <c r="DC6">
        <v>0</v>
      </c>
      <c r="DD6">
        <v>2.42</v>
      </c>
      <c r="DE6">
        <v>0</v>
      </c>
      <c r="DF6">
        <v>1</v>
      </c>
      <c r="DG6">
        <v>2.36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394</v>
      </c>
      <c r="DO6" t="s">
        <v>235</v>
      </c>
      <c r="DP6" t="s">
        <v>236</v>
      </c>
      <c r="DQ6" t="s">
        <v>237</v>
      </c>
      <c r="DR6" t="s">
        <v>238</v>
      </c>
      <c r="DS6" t="s">
        <v>239</v>
      </c>
      <c r="DT6" t="s">
        <v>240</v>
      </c>
    </row>
    <row r="7" spans="1:124" x14ac:dyDescent="0.45">
      <c r="A7" t="s">
        <v>434</v>
      </c>
      <c r="B7" t="s">
        <v>435</v>
      </c>
      <c r="C7" t="s">
        <v>161</v>
      </c>
      <c r="D7" t="s">
        <v>162</v>
      </c>
      <c r="E7" t="s">
        <v>163</v>
      </c>
      <c r="I7" t="s">
        <v>436</v>
      </c>
      <c r="J7">
        <v>1.03</v>
      </c>
      <c r="K7">
        <v>2.91</v>
      </c>
      <c r="L7">
        <v>0.76</v>
      </c>
      <c r="M7">
        <v>9.52</v>
      </c>
      <c r="N7">
        <v>3.4</v>
      </c>
      <c r="O7">
        <v>3.14</v>
      </c>
      <c r="P7">
        <v>4.5999999999999996</v>
      </c>
      <c r="Q7">
        <v>1.2</v>
      </c>
      <c r="R7">
        <v>31.29</v>
      </c>
      <c r="S7">
        <v>33.89</v>
      </c>
      <c r="T7">
        <v>45.87</v>
      </c>
      <c r="U7">
        <v>0.44</v>
      </c>
      <c r="V7">
        <v>7.5</v>
      </c>
      <c r="W7" t="s">
        <v>441</v>
      </c>
      <c r="X7">
        <v>0</v>
      </c>
      <c r="Y7">
        <v>0</v>
      </c>
      <c r="Z7">
        <v>0</v>
      </c>
      <c r="AA7">
        <v>109.75</v>
      </c>
      <c r="AB7">
        <v>343.99</v>
      </c>
      <c r="AC7">
        <v>0.68</v>
      </c>
      <c r="AD7">
        <v>0.5</v>
      </c>
      <c r="AE7">
        <v>0.84</v>
      </c>
      <c r="AF7">
        <v>300.01</v>
      </c>
      <c r="AG7">
        <v>1</v>
      </c>
      <c r="AH7">
        <v>58.8</v>
      </c>
      <c r="AI7">
        <v>54.28</v>
      </c>
      <c r="AJ7">
        <v>35.409999999999997</v>
      </c>
      <c r="AK7">
        <v>31.34</v>
      </c>
      <c r="AL7">
        <v>31.34</v>
      </c>
      <c r="AM7">
        <v>100.27</v>
      </c>
      <c r="AN7">
        <v>156.1</v>
      </c>
      <c r="AO7">
        <v>148.30000000000001</v>
      </c>
      <c r="AP7">
        <v>5</v>
      </c>
      <c r="AQ7">
        <v>1049</v>
      </c>
      <c r="AR7">
        <v>3.9</v>
      </c>
      <c r="AS7">
        <v>-15</v>
      </c>
      <c r="AT7">
        <v>13</v>
      </c>
      <c r="AU7">
        <v>307</v>
      </c>
      <c r="AV7">
        <v>59.91</v>
      </c>
      <c r="AW7">
        <v>50.14</v>
      </c>
      <c r="AX7">
        <v>19.75</v>
      </c>
      <c r="AY7">
        <v>168.73</v>
      </c>
      <c r="AZ7">
        <v>16.46</v>
      </c>
      <c r="BA7">
        <v>97.32</v>
      </c>
      <c r="BB7">
        <v>51.52</v>
      </c>
      <c r="BC7" t="s">
        <v>460</v>
      </c>
      <c r="BD7" t="s">
        <v>161</v>
      </c>
      <c r="BE7">
        <v>35.85</v>
      </c>
      <c r="BF7">
        <v>127.13</v>
      </c>
      <c r="BG7">
        <v>25.9</v>
      </c>
      <c r="BH7">
        <v>11</v>
      </c>
      <c r="BI7">
        <v>0.89</v>
      </c>
      <c r="BJ7" t="s">
        <v>200</v>
      </c>
      <c r="BK7" t="s">
        <v>161</v>
      </c>
      <c r="BL7">
        <v>0.23</v>
      </c>
      <c r="BM7" t="s">
        <v>159</v>
      </c>
      <c r="BN7">
        <v>0</v>
      </c>
      <c r="BO7">
        <v>0</v>
      </c>
      <c r="BP7">
        <v>0</v>
      </c>
      <c r="BQ7">
        <v>-0.19</v>
      </c>
      <c r="BR7">
        <v>-0.37</v>
      </c>
      <c r="BS7">
        <v>-0.63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212</v>
      </c>
      <c r="CE7" t="s">
        <v>213</v>
      </c>
      <c r="CF7" t="s">
        <v>214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</v>
      </c>
      <c r="CU7">
        <v>2.4500000000000002</v>
      </c>
      <c r="CV7">
        <v>1.67</v>
      </c>
      <c r="CW7">
        <v>0.92</v>
      </c>
      <c r="CX7">
        <v>0.18</v>
      </c>
      <c r="CY7">
        <v>-0.05</v>
      </c>
      <c r="CZ7">
        <v>0.1</v>
      </c>
      <c r="DA7">
        <v>1.02</v>
      </c>
      <c r="DB7">
        <v>109.75</v>
      </c>
      <c r="DC7">
        <v>0</v>
      </c>
      <c r="DD7">
        <v>2.42</v>
      </c>
      <c r="DE7">
        <v>0</v>
      </c>
      <c r="DF7">
        <v>1</v>
      </c>
      <c r="DG7">
        <v>2.36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441</v>
      </c>
      <c r="DO7" t="s">
        <v>235</v>
      </c>
      <c r="DP7" t="s">
        <v>236</v>
      </c>
      <c r="DQ7" t="s">
        <v>237</v>
      </c>
      <c r="DR7" t="s">
        <v>238</v>
      </c>
      <c r="DS7" t="s">
        <v>239</v>
      </c>
      <c r="DT7" t="s">
        <v>240</v>
      </c>
    </row>
    <row r="8" spans="1:124" x14ac:dyDescent="0.45">
      <c r="A8" t="s">
        <v>477</v>
      </c>
      <c r="B8" t="s">
        <v>478</v>
      </c>
      <c r="C8" t="s">
        <v>161</v>
      </c>
      <c r="D8" t="s">
        <v>162</v>
      </c>
      <c r="E8" t="s">
        <v>163</v>
      </c>
      <c r="I8" t="s">
        <v>479</v>
      </c>
      <c r="J8">
        <v>1.36</v>
      </c>
      <c r="K8">
        <v>2.91</v>
      </c>
      <c r="L8">
        <v>0.93</v>
      </c>
      <c r="M8">
        <v>10.24</v>
      </c>
      <c r="N8">
        <v>3.55</v>
      </c>
      <c r="O8">
        <v>3.27</v>
      </c>
      <c r="P8">
        <v>4.6100000000000003</v>
      </c>
      <c r="Q8">
        <v>1.06</v>
      </c>
      <c r="R8">
        <v>32.58</v>
      </c>
      <c r="S8">
        <v>35.380000000000003</v>
      </c>
      <c r="T8">
        <v>45.95</v>
      </c>
      <c r="U8">
        <v>0.44</v>
      </c>
      <c r="V8">
        <v>7.5</v>
      </c>
      <c r="W8" t="s">
        <v>484</v>
      </c>
      <c r="X8">
        <v>0</v>
      </c>
      <c r="Y8">
        <v>0</v>
      </c>
      <c r="Z8">
        <v>0</v>
      </c>
      <c r="AA8">
        <v>104.62</v>
      </c>
      <c r="AB8">
        <v>387.79</v>
      </c>
      <c r="AC8">
        <v>0.73</v>
      </c>
      <c r="AD8">
        <v>0.5</v>
      </c>
      <c r="AE8">
        <v>0.84</v>
      </c>
      <c r="AF8">
        <v>280</v>
      </c>
      <c r="AG8">
        <v>1</v>
      </c>
      <c r="AH8">
        <v>60.47</v>
      </c>
      <c r="AI8">
        <v>55.7</v>
      </c>
      <c r="AJ8">
        <v>35.68</v>
      </c>
      <c r="AK8">
        <v>31.37</v>
      </c>
      <c r="AL8">
        <v>31.37</v>
      </c>
      <c r="AM8">
        <v>100.27</v>
      </c>
      <c r="AN8">
        <v>156.1</v>
      </c>
      <c r="AO8">
        <v>148.4</v>
      </c>
      <c r="AP8">
        <v>4.9000000000000004</v>
      </c>
      <c r="AQ8">
        <v>913</v>
      </c>
      <c r="AR8">
        <v>3.89</v>
      </c>
      <c r="AS8">
        <v>-12</v>
      </c>
      <c r="AT8">
        <v>-6</v>
      </c>
      <c r="AU8">
        <v>278</v>
      </c>
      <c r="AV8">
        <v>63.09</v>
      </c>
      <c r="AW8">
        <v>45.26</v>
      </c>
      <c r="AX8">
        <v>13.4</v>
      </c>
      <c r="AY8">
        <v>71.180000000000007</v>
      </c>
      <c r="AZ8">
        <v>16.46</v>
      </c>
      <c r="BA8">
        <v>97.82</v>
      </c>
      <c r="BB8">
        <v>50.91</v>
      </c>
      <c r="BC8" t="s">
        <v>504</v>
      </c>
      <c r="BD8" t="s">
        <v>161</v>
      </c>
      <c r="BE8">
        <v>35.85</v>
      </c>
      <c r="BF8">
        <v>127.13</v>
      </c>
      <c r="BG8">
        <v>23.6</v>
      </c>
      <c r="BH8">
        <v>15</v>
      </c>
      <c r="BI8">
        <v>0.8</v>
      </c>
      <c r="BJ8" t="s">
        <v>200</v>
      </c>
      <c r="BK8" t="s">
        <v>161</v>
      </c>
      <c r="BL8">
        <v>0.23</v>
      </c>
      <c r="BM8" t="s">
        <v>159</v>
      </c>
      <c r="BN8">
        <v>0.01</v>
      </c>
      <c r="BO8">
        <v>0</v>
      </c>
      <c r="BP8">
        <v>0.01</v>
      </c>
      <c r="BQ8">
        <v>0.01</v>
      </c>
      <c r="BR8">
        <v>0.01</v>
      </c>
      <c r="BS8">
        <v>-0.02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212</v>
      </c>
      <c r="CE8" t="s">
        <v>213</v>
      </c>
      <c r="CF8" t="s">
        <v>214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</v>
      </c>
      <c r="CU8">
        <v>2.4500000000000002</v>
      </c>
      <c r="CV8">
        <v>1.67</v>
      </c>
      <c r="CW8">
        <v>0.92</v>
      </c>
      <c r="CX8">
        <v>0.18</v>
      </c>
      <c r="CY8">
        <v>-0.05</v>
      </c>
      <c r="CZ8">
        <v>0.12</v>
      </c>
      <c r="DA8">
        <v>0.9</v>
      </c>
      <c r="DB8">
        <v>104.62</v>
      </c>
      <c r="DC8">
        <v>0</v>
      </c>
      <c r="DD8">
        <v>2.42</v>
      </c>
      <c r="DE8">
        <v>0</v>
      </c>
      <c r="DF8">
        <v>1</v>
      </c>
      <c r="DG8">
        <v>2.36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484</v>
      </c>
      <c r="DO8" t="s">
        <v>235</v>
      </c>
      <c r="DP8" t="s">
        <v>236</v>
      </c>
      <c r="DQ8" t="s">
        <v>237</v>
      </c>
      <c r="DR8" t="s">
        <v>238</v>
      </c>
      <c r="DS8" t="s">
        <v>239</v>
      </c>
      <c r="DT8" t="s">
        <v>240</v>
      </c>
    </row>
    <row r="9" spans="1:124" x14ac:dyDescent="0.45">
      <c r="A9" t="s">
        <v>523</v>
      </c>
      <c r="B9" t="s">
        <v>524</v>
      </c>
      <c r="C9" t="s">
        <v>161</v>
      </c>
      <c r="D9" t="s">
        <v>162</v>
      </c>
      <c r="E9" t="s">
        <v>163</v>
      </c>
      <c r="I9" t="s">
        <v>525</v>
      </c>
      <c r="J9">
        <v>1.3</v>
      </c>
      <c r="K9">
        <v>2.91</v>
      </c>
      <c r="L9">
        <v>0.9</v>
      </c>
      <c r="M9">
        <v>11.83</v>
      </c>
      <c r="N9">
        <v>3.38</v>
      </c>
      <c r="O9">
        <v>3.06</v>
      </c>
      <c r="P9">
        <v>4.6500000000000004</v>
      </c>
      <c r="Q9">
        <v>1.27</v>
      </c>
      <c r="R9">
        <v>30.51</v>
      </c>
      <c r="S9">
        <v>33.74</v>
      </c>
      <c r="T9">
        <v>46.37</v>
      </c>
      <c r="U9">
        <v>0.44</v>
      </c>
      <c r="V9">
        <v>7.5</v>
      </c>
      <c r="W9" t="s">
        <v>530</v>
      </c>
      <c r="X9">
        <v>0</v>
      </c>
      <c r="Y9">
        <v>0</v>
      </c>
      <c r="Z9">
        <v>0</v>
      </c>
      <c r="AA9">
        <v>134.01</v>
      </c>
      <c r="AB9">
        <v>361.49</v>
      </c>
      <c r="AC9">
        <v>0.63</v>
      </c>
      <c r="AD9">
        <v>0.5</v>
      </c>
      <c r="AE9">
        <v>0.84</v>
      </c>
      <c r="AF9">
        <v>223.07</v>
      </c>
      <c r="AG9">
        <v>1</v>
      </c>
      <c r="AH9">
        <v>56.87</v>
      </c>
      <c r="AI9">
        <v>51.42</v>
      </c>
      <c r="AJ9">
        <v>35.94</v>
      </c>
      <c r="AK9">
        <v>31.53</v>
      </c>
      <c r="AL9">
        <v>31.53</v>
      </c>
      <c r="AM9">
        <v>100.27</v>
      </c>
      <c r="AN9">
        <v>156.19999999999999</v>
      </c>
      <c r="AO9">
        <v>149.80000000000001</v>
      </c>
      <c r="AP9">
        <v>4.0999999999999996</v>
      </c>
      <c r="AQ9">
        <v>844</v>
      </c>
      <c r="AR9">
        <v>3.89</v>
      </c>
      <c r="AS9">
        <v>-30</v>
      </c>
      <c r="AT9">
        <v>1</v>
      </c>
      <c r="AU9">
        <v>349</v>
      </c>
      <c r="AV9">
        <v>64.11</v>
      </c>
      <c r="AW9">
        <v>43.67</v>
      </c>
      <c r="AX9">
        <v>30.02</v>
      </c>
      <c r="AY9">
        <v>171</v>
      </c>
      <c r="AZ9">
        <v>16.46</v>
      </c>
      <c r="BA9">
        <v>98.16</v>
      </c>
      <c r="BB9">
        <v>50.51</v>
      </c>
      <c r="BC9" t="s">
        <v>550</v>
      </c>
      <c r="BD9" t="s">
        <v>161</v>
      </c>
      <c r="BE9">
        <v>35.85</v>
      </c>
      <c r="BF9">
        <v>127.13</v>
      </c>
      <c r="BG9">
        <v>24.4</v>
      </c>
      <c r="BH9">
        <v>16</v>
      </c>
      <c r="BI9">
        <v>0.74</v>
      </c>
      <c r="BJ9" t="s">
        <v>555</v>
      </c>
      <c r="BK9" t="s">
        <v>161</v>
      </c>
      <c r="BL9">
        <v>0.2</v>
      </c>
      <c r="BM9" t="s">
        <v>159</v>
      </c>
      <c r="BN9">
        <v>0</v>
      </c>
      <c r="BO9">
        <v>0</v>
      </c>
      <c r="BP9">
        <v>0</v>
      </c>
      <c r="BQ9">
        <v>-0.42</v>
      </c>
      <c r="BR9">
        <v>-0.37</v>
      </c>
      <c r="BS9">
        <v>-0.37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212</v>
      </c>
      <c r="CE9" t="s">
        <v>213</v>
      </c>
      <c r="CF9" t="s">
        <v>214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</v>
      </c>
      <c r="CU9">
        <v>2.44</v>
      </c>
      <c r="CV9">
        <v>1.67</v>
      </c>
      <c r="CW9">
        <v>0.93</v>
      </c>
      <c r="CX9">
        <v>0.18</v>
      </c>
      <c r="CY9">
        <v>-0.06</v>
      </c>
      <c r="CZ9">
        <v>0.14000000000000001</v>
      </c>
      <c r="DA9">
        <v>0.84</v>
      </c>
      <c r="DB9">
        <v>134.01</v>
      </c>
      <c r="DC9">
        <v>0</v>
      </c>
      <c r="DD9">
        <v>2.42</v>
      </c>
      <c r="DE9">
        <v>0</v>
      </c>
      <c r="DF9">
        <v>1</v>
      </c>
      <c r="DG9">
        <v>2.36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530</v>
      </c>
      <c r="DO9" t="s">
        <v>235</v>
      </c>
      <c r="DP9" t="s">
        <v>236</v>
      </c>
      <c r="DQ9" t="s">
        <v>237</v>
      </c>
      <c r="DR9" t="s">
        <v>238</v>
      </c>
      <c r="DS9" t="s">
        <v>239</v>
      </c>
      <c r="DT9" t="s">
        <v>240</v>
      </c>
    </row>
    <row r="10" spans="1:124" x14ac:dyDescent="0.45">
      <c r="A10" t="s">
        <v>408</v>
      </c>
      <c r="B10" t="s">
        <v>569</v>
      </c>
      <c r="C10" t="s">
        <v>161</v>
      </c>
      <c r="D10" t="s">
        <v>162</v>
      </c>
      <c r="E10" t="s">
        <v>163</v>
      </c>
      <c r="I10" t="s">
        <v>570</v>
      </c>
      <c r="J10">
        <v>1.27</v>
      </c>
      <c r="K10">
        <v>2.9</v>
      </c>
      <c r="L10">
        <v>0.88</v>
      </c>
      <c r="M10">
        <v>11.11</v>
      </c>
      <c r="N10">
        <v>3.39</v>
      </c>
      <c r="O10">
        <v>3.08</v>
      </c>
      <c r="P10">
        <v>4.5999999999999996</v>
      </c>
      <c r="Q10">
        <v>1.21</v>
      </c>
      <c r="R10">
        <v>30.76</v>
      </c>
      <c r="S10">
        <v>33.799999999999997</v>
      </c>
      <c r="T10">
        <v>45.9</v>
      </c>
      <c r="U10">
        <v>0.44</v>
      </c>
      <c r="V10">
        <v>7.5</v>
      </c>
      <c r="W10" t="s">
        <v>575</v>
      </c>
      <c r="X10">
        <v>0</v>
      </c>
      <c r="Y10">
        <v>0</v>
      </c>
      <c r="Z10">
        <v>0</v>
      </c>
      <c r="AA10">
        <v>107.85</v>
      </c>
      <c r="AB10">
        <v>435.37</v>
      </c>
      <c r="AC10">
        <v>0.75</v>
      </c>
      <c r="AD10">
        <v>0.5</v>
      </c>
      <c r="AE10">
        <v>0.84</v>
      </c>
      <c r="AF10">
        <v>79.31</v>
      </c>
      <c r="AG10">
        <v>1</v>
      </c>
      <c r="AH10">
        <v>56.52</v>
      </c>
      <c r="AI10">
        <v>51.44</v>
      </c>
      <c r="AJ10">
        <v>36.08</v>
      </c>
      <c r="AK10">
        <v>31.35</v>
      </c>
      <c r="AL10">
        <v>31.35</v>
      </c>
      <c r="AM10">
        <v>100.26</v>
      </c>
      <c r="AN10">
        <v>155.9</v>
      </c>
      <c r="AO10">
        <v>148.6</v>
      </c>
      <c r="AP10">
        <v>4.7</v>
      </c>
      <c r="AQ10">
        <v>251</v>
      </c>
      <c r="AR10">
        <v>3.88</v>
      </c>
      <c r="AS10">
        <v>-30</v>
      </c>
      <c r="AT10">
        <v>-6</v>
      </c>
      <c r="AU10">
        <v>288</v>
      </c>
      <c r="AV10">
        <v>80.63</v>
      </c>
      <c r="AW10">
        <v>16.28</v>
      </c>
      <c r="AX10">
        <v>30.54</v>
      </c>
      <c r="AY10">
        <v>96.13</v>
      </c>
      <c r="AZ10">
        <v>16.46</v>
      </c>
      <c r="BA10">
        <v>98.51</v>
      </c>
      <c r="BB10">
        <v>50.11</v>
      </c>
      <c r="BC10" t="s">
        <v>595</v>
      </c>
      <c r="BD10" t="s">
        <v>161</v>
      </c>
      <c r="BE10">
        <v>35.85</v>
      </c>
      <c r="BF10">
        <v>127.13</v>
      </c>
      <c r="BG10">
        <v>26.4</v>
      </c>
      <c r="BH10">
        <v>17</v>
      </c>
      <c r="BI10">
        <v>0.69</v>
      </c>
      <c r="BJ10" t="s">
        <v>555</v>
      </c>
      <c r="BK10" t="s">
        <v>161</v>
      </c>
      <c r="BL10">
        <v>0.2</v>
      </c>
      <c r="BM10" t="s">
        <v>159</v>
      </c>
      <c r="BN10">
        <v>0</v>
      </c>
      <c r="BO10">
        <v>0</v>
      </c>
      <c r="BP10">
        <v>0</v>
      </c>
      <c r="BQ10">
        <v>-0.1</v>
      </c>
      <c r="BR10">
        <v>-0.06</v>
      </c>
      <c r="BS10">
        <v>-0.01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212</v>
      </c>
      <c r="CE10" t="s">
        <v>213</v>
      </c>
      <c r="CF10" t="s">
        <v>214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</v>
      </c>
      <c r="CU10">
        <v>2.44</v>
      </c>
      <c r="CV10">
        <v>1.67</v>
      </c>
      <c r="CW10">
        <v>0.93</v>
      </c>
      <c r="CX10">
        <v>0.18</v>
      </c>
      <c r="CY10">
        <v>-0.06</v>
      </c>
      <c r="CZ10">
        <v>0.15</v>
      </c>
      <c r="DA10">
        <v>0.33</v>
      </c>
      <c r="DB10">
        <v>107.85</v>
      </c>
      <c r="DC10">
        <v>0</v>
      </c>
      <c r="DD10">
        <v>2.42</v>
      </c>
      <c r="DE10">
        <v>0</v>
      </c>
      <c r="DF10">
        <v>1</v>
      </c>
      <c r="DG10">
        <v>2.36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575</v>
      </c>
      <c r="DO10" t="s">
        <v>235</v>
      </c>
      <c r="DP10" t="s">
        <v>236</v>
      </c>
      <c r="DQ10" t="s">
        <v>237</v>
      </c>
      <c r="DR10" t="s">
        <v>238</v>
      </c>
      <c r="DS10" t="s">
        <v>239</v>
      </c>
      <c r="DT10" t="s">
        <v>240</v>
      </c>
    </row>
    <row r="11" spans="1:124" x14ac:dyDescent="0.45">
      <c r="A11" t="s">
        <v>612</v>
      </c>
      <c r="B11" t="s">
        <v>613</v>
      </c>
      <c r="C11" t="s">
        <v>161</v>
      </c>
      <c r="D11" t="s">
        <v>162</v>
      </c>
      <c r="E11" t="s">
        <v>163</v>
      </c>
      <c r="I11" t="s">
        <v>614</v>
      </c>
      <c r="J11">
        <v>1.36</v>
      </c>
      <c r="K11">
        <v>2.91</v>
      </c>
      <c r="L11">
        <v>0.93</v>
      </c>
      <c r="M11">
        <v>11.54</v>
      </c>
      <c r="N11">
        <v>3.38</v>
      </c>
      <c r="O11">
        <v>3.06</v>
      </c>
      <c r="P11">
        <v>4.58</v>
      </c>
      <c r="Q11">
        <v>1.2</v>
      </c>
      <c r="R11">
        <v>30.55</v>
      </c>
      <c r="S11">
        <v>33.700000000000003</v>
      </c>
      <c r="T11">
        <v>45.67</v>
      </c>
      <c r="U11">
        <v>0.44</v>
      </c>
      <c r="V11">
        <v>7.5</v>
      </c>
      <c r="W11" t="s">
        <v>619</v>
      </c>
      <c r="X11">
        <v>0</v>
      </c>
      <c r="Y11">
        <v>0</v>
      </c>
      <c r="Z11">
        <v>0</v>
      </c>
      <c r="AA11">
        <v>116.56</v>
      </c>
      <c r="AB11">
        <v>383.92</v>
      </c>
      <c r="AC11">
        <v>0.7</v>
      </c>
      <c r="AD11">
        <v>0.5</v>
      </c>
      <c r="AE11">
        <v>0.84</v>
      </c>
      <c r="AF11">
        <v>163.5</v>
      </c>
      <c r="AG11">
        <v>1</v>
      </c>
      <c r="AH11">
        <v>55.94</v>
      </c>
      <c r="AI11">
        <v>50.71</v>
      </c>
      <c r="AJ11">
        <v>36.21</v>
      </c>
      <c r="AK11">
        <v>31.26</v>
      </c>
      <c r="AL11">
        <v>31.26</v>
      </c>
      <c r="AM11">
        <v>100.25</v>
      </c>
      <c r="AN11">
        <v>156.30000000000001</v>
      </c>
      <c r="AO11">
        <v>147.6</v>
      </c>
      <c r="AP11">
        <v>5.6</v>
      </c>
      <c r="AQ11">
        <v>559</v>
      </c>
      <c r="AR11">
        <v>3.88</v>
      </c>
      <c r="AS11">
        <v>-15</v>
      </c>
      <c r="AT11">
        <v>7</v>
      </c>
      <c r="AU11">
        <v>243</v>
      </c>
      <c r="AV11">
        <v>66.209999999999994</v>
      </c>
      <c r="AW11">
        <v>40.33</v>
      </c>
      <c r="AX11">
        <v>16.52</v>
      </c>
      <c r="AY11">
        <v>88.38</v>
      </c>
      <c r="AZ11">
        <v>16.46</v>
      </c>
      <c r="BA11">
        <v>98.68</v>
      </c>
      <c r="BB11">
        <v>49.91</v>
      </c>
      <c r="BC11" t="s">
        <v>639</v>
      </c>
      <c r="BD11" t="s">
        <v>161</v>
      </c>
      <c r="BE11">
        <v>35.85</v>
      </c>
      <c r="BF11">
        <v>127.13</v>
      </c>
      <c r="BG11">
        <v>27</v>
      </c>
      <c r="BH11">
        <v>15</v>
      </c>
      <c r="BI11">
        <v>0.75</v>
      </c>
      <c r="BJ11" t="s">
        <v>555</v>
      </c>
      <c r="BK11" t="s">
        <v>161</v>
      </c>
      <c r="BL11">
        <v>0.2</v>
      </c>
      <c r="BM11" t="s">
        <v>159</v>
      </c>
      <c r="BN11">
        <v>0</v>
      </c>
      <c r="BO11">
        <v>0</v>
      </c>
      <c r="BP11">
        <v>0</v>
      </c>
      <c r="BQ11">
        <v>-0.11</v>
      </c>
      <c r="BR11">
        <v>-0.26</v>
      </c>
      <c r="BS11">
        <v>-0.65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212</v>
      </c>
      <c r="CE11" t="s">
        <v>213</v>
      </c>
      <c r="CF11" t="s">
        <v>214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</v>
      </c>
      <c r="CU11">
        <v>2.44</v>
      </c>
      <c r="CV11">
        <v>1.67</v>
      </c>
      <c r="CW11">
        <v>0.92</v>
      </c>
      <c r="CX11">
        <v>0.18</v>
      </c>
      <c r="CY11">
        <v>-0.06</v>
      </c>
      <c r="CZ11">
        <v>0.16</v>
      </c>
      <c r="DA11">
        <v>0.59</v>
      </c>
      <c r="DB11">
        <v>116.56</v>
      </c>
      <c r="DC11">
        <v>0</v>
      </c>
      <c r="DD11">
        <v>2.42</v>
      </c>
      <c r="DE11">
        <v>0</v>
      </c>
      <c r="DF11">
        <v>1</v>
      </c>
      <c r="DG11">
        <v>2.36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619</v>
      </c>
      <c r="DO11" t="s">
        <v>235</v>
      </c>
      <c r="DP11" t="s">
        <v>236</v>
      </c>
      <c r="DQ11" t="s">
        <v>237</v>
      </c>
      <c r="DR11" t="s">
        <v>238</v>
      </c>
      <c r="DS11" t="s">
        <v>239</v>
      </c>
      <c r="DT11" t="s">
        <v>240</v>
      </c>
    </row>
    <row r="12" spans="1:124" x14ac:dyDescent="0.45">
      <c r="A12" t="s">
        <v>324</v>
      </c>
      <c r="B12" t="s">
        <v>654</v>
      </c>
      <c r="C12" t="s">
        <v>161</v>
      </c>
      <c r="D12" t="s">
        <v>162</v>
      </c>
      <c r="E12" t="s">
        <v>163</v>
      </c>
      <c r="I12" t="s">
        <v>655</v>
      </c>
      <c r="J12">
        <v>1.2</v>
      </c>
      <c r="K12">
        <v>2.91</v>
      </c>
      <c r="L12">
        <v>0.85</v>
      </c>
      <c r="M12">
        <v>11.48</v>
      </c>
      <c r="N12">
        <v>3.3</v>
      </c>
      <c r="O12">
        <v>2.98</v>
      </c>
      <c r="P12">
        <v>4.5999999999999996</v>
      </c>
      <c r="Q12">
        <v>1.3</v>
      </c>
      <c r="R12">
        <v>29.74</v>
      </c>
      <c r="S12">
        <v>32.89</v>
      </c>
      <c r="T12">
        <v>45.9</v>
      </c>
      <c r="U12">
        <v>0.44</v>
      </c>
      <c r="V12">
        <v>7.5</v>
      </c>
      <c r="W12" t="s">
        <v>660</v>
      </c>
      <c r="X12">
        <v>0</v>
      </c>
      <c r="Y12">
        <v>0</v>
      </c>
      <c r="Z12">
        <v>0</v>
      </c>
      <c r="AA12">
        <v>109.88</v>
      </c>
      <c r="AB12">
        <v>389.87</v>
      </c>
      <c r="AC12">
        <v>0.72</v>
      </c>
      <c r="AD12">
        <v>0.5</v>
      </c>
      <c r="AE12">
        <v>0.84</v>
      </c>
      <c r="AF12">
        <v>201.49</v>
      </c>
      <c r="AG12">
        <v>1</v>
      </c>
      <c r="AH12">
        <v>54.11</v>
      </c>
      <c r="AI12">
        <v>48.94</v>
      </c>
      <c r="AJ12">
        <v>36.380000000000003</v>
      </c>
      <c r="AK12">
        <v>31.35</v>
      </c>
      <c r="AL12">
        <v>31.35</v>
      </c>
      <c r="AM12">
        <v>100.26</v>
      </c>
      <c r="AN12">
        <v>156</v>
      </c>
      <c r="AO12">
        <v>151</v>
      </c>
      <c r="AP12">
        <v>3.2</v>
      </c>
      <c r="AQ12">
        <v>668</v>
      </c>
      <c r="AR12">
        <v>3.88</v>
      </c>
      <c r="AS12">
        <v>-20</v>
      </c>
      <c r="AT12">
        <v>13</v>
      </c>
      <c r="AU12">
        <v>238</v>
      </c>
      <c r="AV12">
        <v>73.08</v>
      </c>
      <c r="AW12">
        <v>29.1</v>
      </c>
      <c r="AX12">
        <v>23.71</v>
      </c>
      <c r="AY12">
        <v>92.02</v>
      </c>
      <c r="AZ12">
        <v>16.46</v>
      </c>
      <c r="BA12">
        <v>99.02</v>
      </c>
      <c r="BB12">
        <v>49.51</v>
      </c>
      <c r="BC12" t="s">
        <v>679</v>
      </c>
      <c r="BD12" t="s">
        <v>161</v>
      </c>
      <c r="BE12">
        <v>35.85</v>
      </c>
      <c r="BF12">
        <v>127.13</v>
      </c>
      <c r="BG12">
        <v>28.7</v>
      </c>
      <c r="BH12">
        <v>18</v>
      </c>
      <c r="BI12">
        <v>0.7</v>
      </c>
      <c r="BJ12" t="s">
        <v>555</v>
      </c>
      <c r="BK12" t="s">
        <v>161</v>
      </c>
      <c r="BL12">
        <v>0.2</v>
      </c>
      <c r="BM12" t="s">
        <v>159</v>
      </c>
      <c r="BN12">
        <v>0</v>
      </c>
      <c r="BO12">
        <v>0</v>
      </c>
      <c r="BP12">
        <v>0</v>
      </c>
      <c r="BQ12">
        <v>0.01</v>
      </c>
      <c r="BR12">
        <v>0.02</v>
      </c>
      <c r="BS12">
        <v>0.05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212</v>
      </c>
      <c r="CE12" t="s">
        <v>213</v>
      </c>
      <c r="CF12" t="s">
        <v>214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2.4900000000000002</v>
      </c>
      <c r="CU12">
        <v>2.44</v>
      </c>
      <c r="CV12">
        <v>1.67</v>
      </c>
      <c r="CW12">
        <v>0.93</v>
      </c>
      <c r="CX12">
        <v>0.17</v>
      </c>
      <c r="CY12">
        <v>-0.06</v>
      </c>
      <c r="CZ12">
        <v>0.17</v>
      </c>
      <c r="DA12">
        <v>0.69</v>
      </c>
      <c r="DB12">
        <v>109.88</v>
      </c>
      <c r="DC12">
        <v>0</v>
      </c>
      <c r="DD12">
        <v>2.42</v>
      </c>
      <c r="DE12">
        <v>0</v>
      </c>
      <c r="DF12">
        <v>1</v>
      </c>
      <c r="DG12">
        <v>2.36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660</v>
      </c>
      <c r="DO12" t="s">
        <v>235</v>
      </c>
      <c r="DP12" t="s">
        <v>236</v>
      </c>
      <c r="DQ12" t="s">
        <v>237</v>
      </c>
      <c r="DR12" t="s">
        <v>238</v>
      </c>
      <c r="DS12" t="s">
        <v>239</v>
      </c>
      <c r="DT12" t="s">
        <v>240</v>
      </c>
    </row>
    <row r="13" spans="1:124" x14ac:dyDescent="0.45">
      <c r="A13" t="s">
        <v>695</v>
      </c>
      <c r="B13" t="s">
        <v>696</v>
      </c>
      <c r="C13" t="s">
        <v>161</v>
      </c>
      <c r="D13" t="s">
        <v>162</v>
      </c>
      <c r="E13" t="s">
        <v>163</v>
      </c>
      <c r="I13" t="s">
        <v>697</v>
      </c>
      <c r="J13">
        <v>1.24</v>
      </c>
      <c r="K13">
        <v>2.91</v>
      </c>
      <c r="L13">
        <v>0.87</v>
      </c>
      <c r="M13">
        <v>12.9</v>
      </c>
      <c r="N13">
        <v>3.33</v>
      </c>
      <c r="O13">
        <v>2.98</v>
      </c>
      <c r="P13">
        <v>4.76</v>
      </c>
      <c r="Q13">
        <v>1.43</v>
      </c>
      <c r="R13">
        <v>29.68</v>
      </c>
      <c r="S13">
        <v>33.21</v>
      </c>
      <c r="T13">
        <v>47.47</v>
      </c>
      <c r="U13">
        <v>0.44</v>
      </c>
      <c r="V13">
        <v>7.5</v>
      </c>
      <c r="W13" t="s">
        <v>702</v>
      </c>
      <c r="X13">
        <v>0</v>
      </c>
      <c r="Y13">
        <v>0</v>
      </c>
      <c r="Z13">
        <v>0</v>
      </c>
      <c r="AA13">
        <v>118.05</v>
      </c>
      <c r="AB13">
        <v>394.46</v>
      </c>
      <c r="AC13">
        <v>0.7</v>
      </c>
      <c r="AD13">
        <v>0.5</v>
      </c>
      <c r="AE13">
        <v>0.84</v>
      </c>
      <c r="AF13">
        <v>174.23</v>
      </c>
      <c r="AG13">
        <v>1</v>
      </c>
      <c r="AH13">
        <v>54.03</v>
      </c>
      <c r="AI13">
        <v>48.28</v>
      </c>
      <c r="AJ13">
        <v>36.58</v>
      </c>
      <c r="AK13">
        <v>31.94</v>
      </c>
      <c r="AL13">
        <v>31.94</v>
      </c>
      <c r="AM13">
        <v>100.26</v>
      </c>
      <c r="AN13">
        <v>156</v>
      </c>
      <c r="AO13">
        <v>151.4</v>
      </c>
      <c r="AP13">
        <v>2.9</v>
      </c>
      <c r="AQ13">
        <v>592</v>
      </c>
      <c r="AR13">
        <v>3.88</v>
      </c>
      <c r="AS13">
        <v>-44</v>
      </c>
      <c r="AT13">
        <v>-8</v>
      </c>
      <c r="AU13">
        <v>130</v>
      </c>
      <c r="AV13">
        <v>14.47</v>
      </c>
      <c r="AW13">
        <v>96.83</v>
      </c>
      <c r="AX13">
        <v>44.57</v>
      </c>
      <c r="AY13">
        <v>-61.44</v>
      </c>
      <c r="AZ13">
        <v>16.46</v>
      </c>
      <c r="BA13">
        <v>99.55</v>
      </c>
      <c r="BB13">
        <v>48.91</v>
      </c>
      <c r="BC13" t="s">
        <v>722</v>
      </c>
      <c r="BD13" t="s">
        <v>161</v>
      </c>
      <c r="BE13">
        <v>35.85</v>
      </c>
      <c r="BF13">
        <v>127.13</v>
      </c>
      <c r="BG13">
        <v>28.9</v>
      </c>
      <c r="BH13">
        <v>18</v>
      </c>
      <c r="BI13">
        <v>0.75</v>
      </c>
      <c r="BJ13" t="s">
        <v>555</v>
      </c>
      <c r="BK13" t="s">
        <v>161</v>
      </c>
      <c r="BL13">
        <v>0.2</v>
      </c>
      <c r="BM13" t="s">
        <v>159</v>
      </c>
      <c r="BN13">
        <v>0</v>
      </c>
      <c r="BO13">
        <v>0</v>
      </c>
      <c r="BP13">
        <v>0.01</v>
      </c>
      <c r="BQ13">
        <v>0.02</v>
      </c>
      <c r="BR13">
        <v>-0.06</v>
      </c>
      <c r="BS13">
        <v>0.15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212</v>
      </c>
      <c r="CE13" t="s">
        <v>213</v>
      </c>
      <c r="CF13" t="s">
        <v>214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2.4900000000000002</v>
      </c>
      <c r="CU13">
        <v>2.44</v>
      </c>
      <c r="CV13">
        <v>1.67</v>
      </c>
      <c r="CW13">
        <v>0.93</v>
      </c>
      <c r="CX13">
        <v>0.17</v>
      </c>
      <c r="CY13">
        <v>-0.06</v>
      </c>
      <c r="CZ13">
        <v>0.19</v>
      </c>
      <c r="DA13">
        <v>0.62</v>
      </c>
      <c r="DB13">
        <v>118.05</v>
      </c>
      <c r="DC13">
        <v>0</v>
      </c>
      <c r="DD13">
        <v>2.42</v>
      </c>
      <c r="DE13">
        <v>0</v>
      </c>
      <c r="DF13">
        <v>1</v>
      </c>
      <c r="DG13">
        <v>2.36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702</v>
      </c>
      <c r="DO13" t="s">
        <v>235</v>
      </c>
      <c r="DP13" t="s">
        <v>236</v>
      </c>
      <c r="DQ13" t="s">
        <v>237</v>
      </c>
      <c r="DR13" t="s">
        <v>238</v>
      </c>
      <c r="DS13" t="s">
        <v>239</v>
      </c>
      <c r="DT13" t="s">
        <v>240</v>
      </c>
    </row>
    <row r="14" spans="1:124" x14ac:dyDescent="0.45">
      <c r="A14" t="s">
        <v>420</v>
      </c>
      <c r="B14" t="s">
        <v>737</v>
      </c>
      <c r="C14" t="s">
        <v>161</v>
      </c>
      <c r="D14" t="s">
        <v>162</v>
      </c>
      <c r="E14" t="s">
        <v>163</v>
      </c>
      <c r="I14" t="s">
        <v>738</v>
      </c>
      <c r="J14">
        <v>0.81</v>
      </c>
      <c r="K14">
        <v>2.91</v>
      </c>
      <c r="L14">
        <v>0.63</v>
      </c>
      <c r="M14">
        <v>11.11</v>
      </c>
      <c r="N14">
        <v>3.17</v>
      </c>
      <c r="O14">
        <v>2.87</v>
      </c>
      <c r="P14">
        <v>4.87</v>
      </c>
      <c r="Q14">
        <v>1.69</v>
      </c>
      <c r="R14">
        <v>28.59</v>
      </c>
      <c r="S14">
        <v>31.64</v>
      </c>
      <c r="T14">
        <v>48.52</v>
      </c>
      <c r="U14">
        <v>0.44</v>
      </c>
      <c r="V14">
        <v>7.5</v>
      </c>
      <c r="W14" t="s">
        <v>743</v>
      </c>
      <c r="X14">
        <v>0</v>
      </c>
      <c r="Y14">
        <v>0</v>
      </c>
      <c r="Z14">
        <v>0</v>
      </c>
      <c r="AA14">
        <v>75.349999999999994</v>
      </c>
      <c r="AB14">
        <v>258.77</v>
      </c>
      <c r="AC14">
        <v>0.71</v>
      </c>
      <c r="AD14">
        <v>0.5</v>
      </c>
      <c r="AE14">
        <v>0.84</v>
      </c>
      <c r="AF14">
        <v>214.05</v>
      </c>
      <c r="AG14">
        <v>1</v>
      </c>
      <c r="AH14">
        <v>51.05</v>
      </c>
      <c r="AI14">
        <v>46.14</v>
      </c>
      <c r="AJ14">
        <v>36.729999999999997</v>
      </c>
      <c r="AK14">
        <v>32.33</v>
      </c>
      <c r="AL14">
        <v>32.33</v>
      </c>
      <c r="AM14">
        <v>100.27</v>
      </c>
      <c r="AN14">
        <v>156</v>
      </c>
      <c r="AO14">
        <v>154.9</v>
      </c>
      <c r="AP14">
        <v>0.7</v>
      </c>
      <c r="AQ14">
        <v>719</v>
      </c>
      <c r="AR14">
        <v>3.88</v>
      </c>
      <c r="AS14">
        <v>-24</v>
      </c>
      <c r="AT14">
        <v>14</v>
      </c>
      <c r="AU14">
        <v>198</v>
      </c>
      <c r="AV14">
        <v>68.52</v>
      </c>
      <c r="AW14">
        <v>36.61</v>
      </c>
      <c r="AX14">
        <v>27.57</v>
      </c>
      <c r="AY14">
        <v>49.51</v>
      </c>
      <c r="AZ14">
        <v>16.46</v>
      </c>
      <c r="BA14">
        <v>99.9</v>
      </c>
      <c r="BB14">
        <v>48.51</v>
      </c>
      <c r="BC14" t="s">
        <v>763</v>
      </c>
      <c r="BD14" t="s">
        <v>161</v>
      </c>
      <c r="BE14">
        <v>35.85</v>
      </c>
      <c r="BF14">
        <v>127.13</v>
      </c>
      <c r="BG14">
        <v>31.5</v>
      </c>
      <c r="BH14">
        <v>19</v>
      </c>
      <c r="BI14">
        <v>0.67</v>
      </c>
      <c r="BJ14" t="s">
        <v>555</v>
      </c>
      <c r="BK14" t="s">
        <v>161</v>
      </c>
      <c r="BL14">
        <v>0.2</v>
      </c>
      <c r="BM14" t="s">
        <v>159</v>
      </c>
      <c r="BN14">
        <v>-0.01</v>
      </c>
      <c r="BO14">
        <v>0</v>
      </c>
      <c r="BP14">
        <v>0</v>
      </c>
      <c r="BQ14">
        <v>0</v>
      </c>
      <c r="BR14">
        <v>-0.18</v>
      </c>
      <c r="BS14">
        <v>-1.78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212</v>
      </c>
      <c r="CE14" t="s">
        <v>213</v>
      </c>
      <c r="CF14" t="s">
        <v>214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2.4900000000000002</v>
      </c>
      <c r="CU14">
        <v>2.44</v>
      </c>
      <c r="CV14">
        <v>1.67</v>
      </c>
      <c r="CW14">
        <v>0.94</v>
      </c>
      <c r="CX14">
        <v>0.17</v>
      </c>
      <c r="CY14">
        <v>-0.06</v>
      </c>
      <c r="CZ14">
        <v>0.2</v>
      </c>
      <c r="DA14">
        <v>0.73</v>
      </c>
      <c r="DB14">
        <v>75.349999999999994</v>
      </c>
      <c r="DC14">
        <v>0</v>
      </c>
      <c r="DD14">
        <v>2.42</v>
      </c>
      <c r="DE14">
        <v>0</v>
      </c>
      <c r="DF14">
        <v>1</v>
      </c>
      <c r="DG14">
        <v>2.36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743</v>
      </c>
      <c r="DO14" t="s">
        <v>235</v>
      </c>
      <c r="DP14" t="s">
        <v>236</v>
      </c>
      <c r="DQ14" t="s">
        <v>237</v>
      </c>
      <c r="DR14" t="s">
        <v>238</v>
      </c>
      <c r="DS14" t="s">
        <v>239</v>
      </c>
      <c r="DT14" t="s">
        <v>240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tabSelected="1" workbookViewId="0">
      <selection activeCell="A14" sqref="A14:J14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s="2" t="s">
        <v>781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1.07</v>
      </c>
      <c r="C2">
        <v>0.66196720065410919</v>
      </c>
      <c r="D2">
        <v>1.25</v>
      </c>
      <c r="E2">
        <v>120.3</v>
      </c>
      <c r="F2">
        <v>395.07</v>
      </c>
      <c r="G2">
        <v>0.7</v>
      </c>
      <c r="H2">
        <v>155.97999999999999</v>
      </c>
      <c r="I2">
        <v>534</v>
      </c>
      <c r="J2">
        <v>31.27</v>
      </c>
    </row>
    <row r="3" spans="1:10" x14ac:dyDescent="0.45">
      <c r="A3" t="s">
        <v>241</v>
      </c>
      <c r="B3" s="1"/>
      <c r="D3">
        <v>2.06</v>
      </c>
      <c r="E3">
        <v>108.27</v>
      </c>
      <c r="F3">
        <v>380.61</v>
      </c>
      <c r="G3">
        <v>0.72</v>
      </c>
      <c r="H3">
        <v>119.01</v>
      </c>
      <c r="I3">
        <v>396</v>
      </c>
      <c r="J3">
        <v>33.53</v>
      </c>
    </row>
    <row r="4" spans="1:10" x14ac:dyDescent="0.45">
      <c r="A4" t="s">
        <v>292</v>
      </c>
      <c r="B4">
        <v>1.31</v>
      </c>
      <c r="C4">
        <v>0.74548372948118169</v>
      </c>
      <c r="D4">
        <v>1.44</v>
      </c>
      <c r="E4">
        <v>139.22999999999999</v>
      </c>
      <c r="F4">
        <v>305.63</v>
      </c>
      <c r="G4" s="1">
        <v>0.54</v>
      </c>
      <c r="H4">
        <v>267.99</v>
      </c>
      <c r="I4">
        <v>1172</v>
      </c>
      <c r="J4">
        <v>32.43</v>
      </c>
    </row>
    <row r="5" spans="1:10" x14ac:dyDescent="0.45">
      <c r="A5" t="s">
        <v>341</v>
      </c>
      <c r="B5">
        <v>1.36</v>
      </c>
      <c r="C5">
        <v>0.75692202276551523</v>
      </c>
      <c r="D5">
        <v>1.17</v>
      </c>
      <c r="E5">
        <v>134.29</v>
      </c>
      <c r="F5">
        <v>434.33</v>
      </c>
      <c r="G5">
        <v>0.69</v>
      </c>
      <c r="H5">
        <v>176.99</v>
      </c>
      <c r="I5">
        <v>610</v>
      </c>
      <c r="J5">
        <v>31.3</v>
      </c>
    </row>
    <row r="6" spans="1:10" x14ac:dyDescent="0.45">
      <c r="A6" t="s">
        <v>388</v>
      </c>
      <c r="B6">
        <v>1.23</v>
      </c>
      <c r="C6">
        <v>0.72232667728496425</v>
      </c>
      <c r="D6">
        <v>1.24</v>
      </c>
      <c r="E6">
        <v>114.34</v>
      </c>
      <c r="F6">
        <v>405.74</v>
      </c>
      <c r="G6">
        <v>0.72</v>
      </c>
      <c r="H6">
        <v>102.86</v>
      </c>
      <c r="I6">
        <v>341</v>
      </c>
      <c r="J6">
        <v>31.34</v>
      </c>
    </row>
    <row r="7" spans="1:10" x14ac:dyDescent="0.45">
      <c r="A7" t="s">
        <v>435</v>
      </c>
      <c r="B7">
        <v>1.03</v>
      </c>
      <c r="C7">
        <v>0.64571439613347725</v>
      </c>
      <c r="D7">
        <v>1.2</v>
      </c>
      <c r="E7">
        <v>109.75</v>
      </c>
      <c r="F7">
        <v>343.99</v>
      </c>
      <c r="G7">
        <v>0.68</v>
      </c>
      <c r="H7">
        <v>300.01</v>
      </c>
      <c r="I7">
        <v>1049</v>
      </c>
      <c r="J7">
        <v>31.34</v>
      </c>
    </row>
    <row r="8" spans="1:10" x14ac:dyDescent="0.45">
      <c r="A8" t="s">
        <v>478</v>
      </c>
      <c r="B8">
        <v>1.36</v>
      </c>
      <c r="C8">
        <v>0.74446821024122645</v>
      </c>
      <c r="D8">
        <v>1.06</v>
      </c>
      <c r="E8">
        <v>104.62</v>
      </c>
      <c r="F8">
        <v>387.79</v>
      </c>
      <c r="G8">
        <v>0.73</v>
      </c>
      <c r="H8">
        <v>280</v>
      </c>
      <c r="I8">
        <v>913</v>
      </c>
      <c r="J8">
        <v>31.37</v>
      </c>
    </row>
    <row r="9" spans="1:10" x14ac:dyDescent="0.45">
      <c r="A9" t="s">
        <v>524</v>
      </c>
      <c r="B9">
        <v>1.3</v>
      </c>
      <c r="C9">
        <v>0.74570296555092419</v>
      </c>
      <c r="D9">
        <v>1.27</v>
      </c>
      <c r="E9">
        <v>134.01</v>
      </c>
      <c r="F9">
        <v>361.49</v>
      </c>
      <c r="G9">
        <v>0.63</v>
      </c>
      <c r="H9">
        <v>223.07</v>
      </c>
      <c r="I9">
        <v>844</v>
      </c>
      <c r="J9">
        <v>31.53</v>
      </c>
    </row>
    <row r="10" spans="1:10" x14ac:dyDescent="0.45">
      <c r="A10" t="s">
        <v>569</v>
      </c>
      <c r="B10">
        <v>1.27</v>
      </c>
      <c r="C10">
        <v>0.73017681067384022</v>
      </c>
      <c r="D10">
        <v>1.21</v>
      </c>
      <c r="E10">
        <v>107.85</v>
      </c>
      <c r="F10">
        <v>435.37</v>
      </c>
      <c r="G10">
        <v>0.75</v>
      </c>
      <c r="H10">
        <v>79.31</v>
      </c>
      <c r="I10">
        <v>251</v>
      </c>
      <c r="J10">
        <v>31.35</v>
      </c>
    </row>
    <row r="11" spans="1:10" x14ac:dyDescent="0.45">
      <c r="A11" t="s">
        <v>613</v>
      </c>
      <c r="B11">
        <v>1.36</v>
      </c>
      <c r="C11">
        <v>0.76190280061495219</v>
      </c>
      <c r="D11">
        <v>1.2</v>
      </c>
      <c r="E11">
        <v>116.56</v>
      </c>
      <c r="F11">
        <v>383.92</v>
      </c>
      <c r="G11">
        <v>0.7</v>
      </c>
      <c r="H11">
        <v>163.5</v>
      </c>
      <c r="I11">
        <v>559</v>
      </c>
      <c r="J11">
        <v>31.26</v>
      </c>
    </row>
    <row r="12" spans="1:10" x14ac:dyDescent="0.45">
      <c r="A12" t="s">
        <v>654</v>
      </c>
      <c r="B12">
        <v>1.2</v>
      </c>
      <c r="C12">
        <v>0.71646795252883255</v>
      </c>
      <c r="D12">
        <v>1.3</v>
      </c>
      <c r="E12">
        <v>109.88</v>
      </c>
      <c r="F12">
        <v>389.87</v>
      </c>
      <c r="G12">
        <v>0.72</v>
      </c>
      <c r="H12">
        <v>201.49</v>
      </c>
      <c r="I12">
        <v>668</v>
      </c>
      <c r="J12">
        <v>31.35</v>
      </c>
    </row>
    <row r="13" spans="1:10" x14ac:dyDescent="0.45">
      <c r="A13" t="s">
        <v>696</v>
      </c>
      <c r="B13">
        <v>1.24</v>
      </c>
      <c r="C13">
        <v>0.73352440955796883</v>
      </c>
      <c r="D13">
        <v>1.43</v>
      </c>
      <c r="E13">
        <v>118.05</v>
      </c>
      <c r="F13">
        <v>394.46</v>
      </c>
      <c r="G13">
        <v>0.7</v>
      </c>
      <c r="H13">
        <v>174.23</v>
      </c>
      <c r="I13">
        <v>592</v>
      </c>
      <c r="J13">
        <v>31.94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25F6-8112-4EB2-A106-C8F527FFC7A0}">
  <dimension ref="A1:U13"/>
  <sheetViews>
    <sheetView workbookViewId="0">
      <selection activeCell="I13" sqref="I13"/>
    </sheetView>
  </sheetViews>
  <sheetFormatPr defaultRowHeight="19.2" x14ac:dyDescent="0.45"/>
  <sheetData>
    <row r="1" spans="1:21" ht="19.8" thickBot="1" x14ac:dyDescent="0.5">
      <c r="A1" s="3" t="s">
        <v>782</v>
      </c>
      <c r="B1" s="4" t="s">
        <v>783</v>
      </c>
      <c r="C1" s="4" t="s">
        <v>15</v>
      </c>
      <c r="D1" s="4" t="s">
        <v>23</v>
      </c>
      <c r="E1" s="4" t="s">
        <v>784</v>
      </c>
      <c r="F1" s="4" t="s">
        <v>30</v>
      </c>
      <c r="G1" s="4" t="s">
        <v>40</v>
      </c>
      <c r="H1" s="4" t="s">
        <v>41</v>
      </c>
      <c r="I1" s="4" t="s">
        <v>42</v>
      </c>
      <c r="J1" s="4" t="s">
        <v>45</v>
      </c>
      <c r="K1" s="4" t="s">
        <v>56</v>
      </c>
      <c r="L1" s="5" t="s">
        <v>51</v>
      </c>
      <c r="M1" t="s">
        <v>785</v>
      </c>
      <c r="N1" s="6" t="s">
        <v>784</v>
      </c>
      <c r="O1" s="4" t="s">
        <v>30</v>
      </c>
      <c r="P1" s="4" t="s">
        <v>40</v>
      </c>
      <c r="Q1" s="4" t="s">
        <v>41</v>
      </c>
      <c r="R1" s="4" t="s">
        <v>42</v>
      </c>
      <c r="S1" s="4" t="s">
        <v>45</v>
      </c>
      <c r="T1" s="4" t="s">
        <v>56</v>
      </c>
      <c r="U1" s="5" t="s">
        <v>51</v>
      </c>
    </row>
    <row r="2" spans="1:21" ht="19.8" thickTop="1" x14ac:dyDescent="0.45">
      <c r="A2" s="7" t="s">
        <v>786</v>
      </c>
      <c r="B2">
        <v>1</v>
      </c>
      <c r="C2" t="s">
        <v>160</v>
      </c>
      <c r="D2">
        <v>1.07</v>
      </c>
      <c r="E2">
        <v>0.66196720065410919</v>
      </c>
      <c r="F2">
        <v>1.25</v>
      </c>
      <c r="G2">
        <v>120.3</v>
      </c>
      <c r="H2">
        <v>395.07</v>
      </c>
      <c r="I2">
        <v>0.7</v>
      </c>
      <c r="J2">
        <v>155.97999999999999</v>
      </c>
      <c r="K2">
        <v>534</v>
      </c>
      <c r="L2">
        <v>31.27</v>
      </c>
      <c r="M2" s="8">
        <f>AVERAGE(D2:D13)</f>
        <v>1.2481818181818183</v>
      </c>
      <c r="N2" s="8">
        <f t="shared" ref="N2:U2" si="0">AVERAGE(E2:E13)</f>
        <v>0.72405974322609012</v>
      </c>
      <c r="O2" s="8">
        <f t="shared" si="0"/>
        <v>1.3191666666666666</v>
      </c>
      <c r="P2" s="8">
        <f t="shared" si="0"/>
        <v>118.09583333333332</v>
      </c>
      <c r="Q2" s="8">
        <f t="shared" si="0"/>
        <v>384.85583333333329</v>
      </c>
      <c r="R2" s="8">
        <f t="shared" si="0"/>
        <v>0.69</v>
      </c>
      <c r="S2" s="8">
        <f t="shared" si="0"/>
        <v>187.03666666666666</v>
      </c>
      <c r="T2" s="8">
        <f t="shared" si="0"/>
        <v>660.75</v>
      </c>
      <c r="U2" s="8">
        <f t="shared" si="0"/>
        <v>31.667500000000004</v>
      </c>
    </row>
    <row r="3" spans="1:21" x14ac:dyDescent="0.45">
      <c r="A3" s="7" t="s">
        <v>786</v>
      </c>
      <c r="B3">
        <v>1</v>
      </c>
      <c r="C3" t="s">
        <v>241</v>
      </c>
      <c r="D3" s="1"/>
      <c r="F3">
        <v>2.06</v>
      </c>
      <c r="G3">
        <v>108.27</v>
      </c>
      <c r="H3">
        <v>380.61</v>
      </c>
      <c r="I3">
        <v>0.72</v>
      </c>
      <c r="J3">
        <v>119.01</v>
      </c>
      <c r="K3">
        <v>396</v>
      </c>
      <c r="L3">
        <v>33.53</v>
      </c>
      <c r="M3" s="8"/>
      <c r="N3" s="8"/>
    </row>
    <row r="4" spans="1:21" x14ac:dyDescent="0.45">
      <c r="A4" s="7" t="s">
        <v>786</v>
      </c>
      <c r="B4">
        <v>1</v>
      </c>
      <c r="C4" t="s">
        <v>292</v>
      </c>
      <c r="D4">
        <v>1.31</v>
      </c>
      <c r="E4">
        <v>0.74548372948118169</v>
      </c>
      <c r="F4">
        <v>1.44</v>
      </c>
      <c r="G4">
        <v>139.22999999999999</v>
      </c>
      <c r="H4">
        <v>305.63</v>
      </c>
      <c r="I4" s="1">
        <v>0.54</v>
      </c>
      <c r="J4">
        <v>267.99</v>
      </c>
      <c r="K4">
        <v>1172</v>
      </c>
      <c r="L4">
        <v>32.43</v>
      </c>
    </row>
    <row r="5" spans="1:21" x14ac:dyDescent="0.45">
      <c r="A5" s="7" t="s">
        <v>786</v>
      </c>
      <c r="B5">
        <v>1</v>
      </c>
      <c r="C5" t="s">
        <v>341</v>
      </c>
      <c r="D5">
        <v>1.36</v>
      </c>
      <c r="E5">
        <v>0.75692202276551523</v>
      </c>
      <c r="F5">
        <v>1.17</v>
      </c>
      <c r="G5">
        <v>134.29</v>
      </c>
      <c r="H5">
        <v>434.33</v>
      </c>
      <c r="I5">
        <v>0.69</v>
      </c>
      <c r="J5">
        <v>176.99</v>
      </c>
      <c r="K5">
        <v>610</v>
      </c>
      <c r="L5">
        <v>31.3</v>
      </c>
    </row>
    <row r="6" spans="1:21" x14ac:dyDescent="0.45">
      <c r="A6" s="7" t="s">
        <v>786</v>
      </c>
      <c r="B6">
        <v>1</v>
      </c>
      <c r="C6" t="s">
        <v>388</v>
      </c>
      <c r="D6">
        <v>1.23</v>
      </c>
      <c r="E6">
        <v>0.72232667728496425</v>
      </c>
      <c r="F6">
        <v>1.24</v>
      </c>
      <c r="G6">
        <v>114.34</v>
      </c>
      <c r="H6">
        <v>405.74</v>
      </c>
      <c r="I6">
        <v>0.72</v>
      </c>
      <c r="J6">
        <v>102.86</v>
      </c>
      <c r="K6">
        <v>341</v>
      </c>
      <c r="L6">
        <v>31.34</v>
      </c>
    </row>
    <row r="7" spans="1:21" x14ac:dyDescent="0.45">
      <c r="A7" s="7" t="s">
        <v>786</v>
      </c>
      <c r="B7">
        <v>1</v>
      </c>
      <c r="C7" t="s">
        <v>435</v>
      </c>
      <c r="D7">
        <v>1.03</v>
      </c>
      <c r="E7">
        <v>0.64571439613347725</v>
      </c>
      <c r="F7">
        <v>1.2</v>
      </c>
      <c r="G7">
        <v>109.75</v>
      </c>
      <c r="H7">
        <v>343.99</v>
      </c>
      <c r="I7">
        <v>0.68</v>
      </c>
      <c r="J7">
        <v>300.01</v>
      </c>
      <c r="K7">
        <v>1049</v>
      </c>
      <c r="L7">
        <v>31.34</v>
      </c>
    </row>
    <row r="8" spans="1:21" x14ac:dyDescent="0.45">
      <c r="A8" s="7" t="s">
        <v>786</v>
      </c>
      <c r="B8">
        <v>1</v>
      </c>
      <c r="C8" t="s">
        <v>478</v>
      </c>
      <c r="D8">
        <v>1.36</v>
      </c>
      <c r="E8">
        <v>0.74446821024122645</v>
      </c>
      <c r="F8">
        <v>1.06</v>
      </c>
      <c r="G8">
        <v>104.62</v>
      </c>
      <c r="H8">
        <v>387.79</v>
      </c>
      <c r="I8">
        <v>0.73</v>
      </c>
      <c r="J8">
        <v>280</v>
      </c>
      <c r="K8">
        <v>913</v>
      </c>
      <c r="L8">
        <v>31.37</v>
      </c>
    </row>
    <row r="9" spans="1:21" x14ac:dyDescent="0.45">
      <c r="A9" s="7" t="s">
        <v>786</v>
      </c>
      <c r="B9">
        <v>1</v>
      </c>
      <c r="C9" t="s">
        <v>524</v>
      </c>
      <c r="D9">
        <v>1.3</v>
      </c>
      <c r="E9">
        <v>0.74570296555092419</v>
      </c>
      <c r="F9">
        <v>1.27</v>
      </c>
      <c r="G9">
        <v>134.01</v>
      </c>
      <c r="H9">
        <v>361.49</v>
      </c>
      <c r="I9">
        <v>0.63</v>
      </c>
      <c r="J9">
        <v>223.07</v>
      </c>
      <c r="K9">
        <v>844</v>
      </c>
      <c r="L9">
        <v>31.53</v>
      </c>
    </row>
    <row r="10" spans="1:21" x14ac:dyDescent="0.45">
      <c r="A10" s="7" t="s">
        <v>786</v>
      </c>
      <c r="B10">
        <v>1</v>
      </c>
      <c r="C10" t="s">
        <v>569</v>
      </c>
      <c r="D10">
        <v>1.27</v>
      </c>
      <c r="E10">
        <v>0.73017681067384022</v>
      </c>
      <c r="F10">
        <v>1.21</v>
      </c>
      <c r="G10">
        <v>107.85</v>
      </c>
      <c r="H10">
        <v>435.37</v>
      </c>
      <c r="I10">
        <v>0.75</v>
      </c>
      <c r="J10">
        <v>79.31</v>
      </c>
      <c r="K10">
        <v>251</v>
      </c>
      <c r="L10">
        <v>31.35</v>
      </c>
    </row>
    <row r="11" spans="1:21" x14ac:dyDescent="0.45">
      <c r="A11" s="7" t="s">
        <v>786</v>
      </c>
      <c r="B11">
        <v>1</v>
      </c>
      <c r="C11" t="s">
        <v>613</v>
      </c>
      <c r="D11">
        <v>1.36</v>
      </c>
      <c r="E11">
        <v>0.76190280061495219</v>
      </c>
      <c r="F11">
        <v>1.2</v>
      </c>
      <c r="G11">
        <v>116.56</v>
      </c>
      <c r="H11">
        <v>383.92</v>
      </c>
      <c r="I11">
        <v>0.7</v>
      </c>
      <c r="J11">
        <v>163.5</v>
      </c>
      <c r="K11">
        <v>559</v>
      </c>
      <c r="L11">
        <v>31.26</v>
      </c>
    </row>
    <row r="12" spans="1:21" x14ac:dyDescent="0.45">
      <c r="A12" s="7" t="s">
        <v>786</v>
      </c>
      <c r="B12">
        <v>1</v>
      </c>
      <c r="C12" t="s">
        <v>654</v>
      </c>
      <c r="D12">
        <v>1.2</v>
      </c>
      <c r="E12">
        <v>0.71646795252883255</v>
      </c>
      <c r="F12">
        <v>1.3</v>
      </c>
      <c r="G12">
        <v>109.88</v>
      </c>
      <c r="H12">
        <v>389.87</v>
      </c>
      <c r="I12">
        <v>0.72</v>
      </c>
      <c r="J12">
        <v>201.49</v>
      </c>
      <c r="K12">
        <v>668</v>
      </c>
      <c r="L12">
        <v>31.35</v>
      </c>
    </row>
    <row r="13" spans="1:21" ht="19.8" thickBot="1" x14ac:dyDescent="0.5">
      <c r="A13" s="7" t="s">
        <v>786</v>
      </c>
      <c r="B13" s="9">
        <v>1</v>
      </c>
      <c r="C13" t="s">
        <v>696</v>
      </c>
      <c r="D13">
        <v>1.24</v>
      </c>
      <c r="E13">
        <v>0.73352440955796883</v>
      </c>
      <c r="F13">
        <v>1.43</v>
      </c>
      <c r="G13">
        <v>118.05</v>
      </c>
      <c r="H13">
        <v>394.46</v>
      </c>
      <c r="I13">
        <v>0.7</v>
      </c>
      <c r="J13">
        <v>174.23</v>
      </c>
      <c r="K13">
        <v>592</v>
      </c>
      <c r="L13">
        <v>31.94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윤정민</cp:lastModifiedBy>
  <dcterms:created xsi:type="dcterms:W3CDTF">2026-08-07T02:39:09Z</dcterms:created>
  <dcterms:modified xsi:type="dcterms:W3CDTF">2026-10-26T04:26:35Z</dcterms:modified>
</cp:coreProperties>
</file>