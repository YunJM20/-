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2" documentId="11_C2058416E841E2CFA2258EA977B2AC79935C82F0" xr6:coauthVersionLast="47" xr6:coauthVersionMax="47" xr10:uidLastSave="{F617C968-4EB2-42A1-B797-ABDF677669B2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T3" i="4"/>
  <c r="S3" i="4"/>
  <c r="R3" i="4"/>
  <c r="Q3" i="4"/>
  <c r="P3" i="4"/>
  <c r="O3" i="4"/>
  <c r="N3" i="4"/>
  <c r="M3" i="4"/>
  <c r="U2" i="4"/>
  <c r="T2" i="4"/>
  <c r="S2" i="4"/>
  <c r="R2" i="4"/>
  <c r="Q2" i="4"/>
  <c r="P2" i="4"/>
  <c r="O2" i="4"/>
  <c r="N2" i="4"/>
  <c r="M2" i="4"/>
  <c r="AL21" i="1" l="1"/>
  <c r="AF21" i="1"/>
  <c r="U21" i="1"/>
  <c r="M21" i="1" s="1"/>
  <c r="L21" i="1" s="1"/>
  <c r="J21" i="1" s="1"/>
  <c r="T21" i="1"/>
  <c r="Q21" i="1"/>
  <c r="P21" i="1"/>
  <c r="K21" i="1"/>
  <c r="AL20" i="1"/>
  <c r="P20" i="1" s="1"/>
  <c r="AF20" i="1"/>
  <c r="U20" i="1"/>
  <c r="M20" i="1" s="1"/>
  <c r="K20" i="1"/>
  <c r="AL19" i="1"/>
  <c r="AF19" i="1"/>
  <c r="U19" i="1"/>
  <c r="M19" i="1" s="1"/>
  <c r="L19" i="1" s="1"/>
  <c r="J19" i="1" s="1"/>
  <c r="P19" i="1"/>
  <c r="T19" i="1" s="1"/>
  <c r="K19" i="1"/>
  <c r="AL18" i="1"/>
  <c r="P18" i="1" s="1"/>
  <c r="AF18" i="1"/>
  <c r="U18" i="1"/>
  <c r="M18" i="1" s="1"/>
  <c r="K18" i="1"/>
  <c r="AL17" i="1"/>
  <c r="P17" i="1" s="1"/>
  <c r="AF17" i="1"/>
  <c r="U17" i="1"/>
  <c r="M17" i="1"/>
  <c r="K17" i="1"/>
  <c r="AL16" i="1"/>
  <c r="AF16" i="1"/>
  <c r="U16" i="1"/>
  <c r="P16" i="1"/>
  <c r="T16" i="1" s="1"/>
  <c r="L16" i="1" s="1"/>
  <c r="J16" i="1" s="1"/>
  <c r="M16" i="1"/>
  <c r="K16" i="1"/>
  <c r="AL15" i="1"/>
  <c r="AF15" i="1"/>
  <c r="U15" i="1"/>
  <c r="P15" i="1"/>
  <c r="T15" i="1" s="1"/>
  <c r="M15" i="1"/>
  <c r="L15" i="1" s="1"/>
  <c r="J15" i="1" s="1"/>
  <c r="K15" i="1"/>
  <c r="AL14" i="1"/>
  <c r="AF14" i="1"/>
  <c r="U14" i="1"/>
  <c r="P14" i="1"/>
  <c r="T14" i="1" s="1"/>
  <c r="M14" i="1"/>
  <c r="K14" i="1"/>
  <c r="AL13" i="1"/>
  <c r="P13" i="1" s="1"/>
  <c r="AF13" i="1"/>
  <c r="U13" i="1"/>
  <c r="M13" i="1" s="1"/>
  <c r="K13" i="1"/>
  <c r="AL12" i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AF10" i="1"/>
  <c r="U10" i="1"/>
  <c r="M10" i="1" s="1"/>
  <c r="P10" i="1"/>
  <c r="T10" i="1" s="1"/>
  <c r="K10" i="1"/>
  <c r="AL9" i="1"/>
  <c r="P9" i="1" s="1"/>
  <c r="AF9" i="1"/>
  <c r="U9" i="1"/>
  <c r="M9" i="1" s="1"/>
  <c r="K9" i="1"/>
  <c r="AL8" i="1"/>
  <c r="P8" i="1" s="1"/>
  <c r="AF8" i="1"/>
  <c r="U8" i="1"/>
  <c r="M8" i="1"/>
  <c r="K8" i="1"/>
  <c r="AL7" i="1"/>
  <c r="AF7" i="1"/>
  <c r="U7" i="1"/>
  <c r="P7" i="1"/>
  <c r="Q7" i="1" s="1"/>
  <c r="M7" i="1"/>
  <c r="K7" i="1"/>
  <c r="AL6" i="1"/>
  <c r="AF6" i="1"/>
  <c r="U6" i="1"/>
  <c r="P6" i="1"/>
  <c r="T6" i="1" s="1"/>
  <c r="M6" i="1"/>
  <c r="L6" i="1" s="1"/>
  <c r="J6" i="1" s="1"/>
  <c r="K6" i="1"/>
  <c r="AL5" i="1"/>
  <c r="AF5" i="1"/>
  <c r="U5" i="1"/>
  <c r="P5" i="1"/>
  <c r="T5" i="1" s="1"/>
  <c r="M5" i="1"/>
  <c r="L5" i="1" s="1"/>
  <c r="J5" i="1" s="1"/>
  <c r="K5" i="1"/>
  <c r="AL4" i="1"/>
  <c r="P4" i="1" s="1"/>
  <c r="AF4" i="1"/>
  <c r="U4" i="1"/>
  <c r="M4" i="1" s="1"/>
  <c r="K4" i="1"/>
  <c r="T18" i="1" l="1"/>
  <c r="Q18" i="1"/>
  <c r="T4" i="1"/>
  <c r="Q4" i="1"/>
  <c r="T11" i="1"/>
  <c r="Q11" i="1"/>
  <c r="L11" i="1"/>
  <c r="J11" i="1" s="1"/>
  <c r="T12" i="1"/>
  <c r="Q12" i="1"/>
  <c r="L9" i="1"/>
  <c r="J9" i="1" s="1"/>
  <c r="L12" i="1"/>
  <c r="J12" i="1" s="1"/>
  <c r="T8" i="1"/>
  <c r="L8" i="1" s="1"/>
  <c r="J8" i="1" s="1"/>
  <c r="Q8" i="1"/>
  <c r="L4" i="1"/>
  <c r="J4" i="1" s="1"/>
  <c r="L13" i="1"/>
  <c r="J13" i="1" s="1"/>
  <c r="T20" i="1"/>
  <c r="L20" i="1" s="1"/>
  <c r="J20" i="1" s="1"/>
  <c r="Q20" i="1"/>
  <c r="T9" i="1"/>
  <c r="Q9" i="1"/>
  <c r="L14" i="1"/>
  <c r="J14" i="1" s="1"/>
  <c r="L10" i="1"/>
  <c r="J10" i="1" s="1"/>
  <c r="Q13" i="1"/>
  <c r="T13" i="1"/>
  <c r="T17" i="1"/>
  <c r="L17" i="1" s="1"/>
  <c r="J17" i="1" s="1"/>
  <c r="Q17" i="1"/>
  <c r="L18" i="1"/>
  <c r="J18" i="1" s="1"/>
  <c r="Q16" i="1"/>
  <c r="T7" i="1"/>
  <c r="L7" i="1" s="1"/>
  <c r="J7" i="1" s="1"/>
  <c r="Q14" i="1"/>
  <c r="Q6" i="1"/>
  <c r="Q15" i="1"/>
  <c r="Q5" i="1"/>
  <c r="Q10" i="1"/>
  <c r="Q19" i="1"/>
</calcChain>
</file>

<file path=xl/sharedStrings.xml><?xml version="1.0" encoding="utf-8"?>
<sst xmlns="http://schemas.openxmlformats.org/spreadsheetml/2006/main" count="2930" uniqueCount="947">
  <si>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</si>
  <si>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</si>
  <si>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</si>
  <si>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</si>
  <si>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</si>
  <si>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</si>
  <si>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</si>
  <si>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</si>
  <si>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</si>
  <si>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</si>
  <si>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</si>
  <si>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</si>
  <si>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</si>
  <si>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</si>
  <si>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</si>
  <si>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</si>
  <si>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</si>
  <si>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</si>
  <si>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</si>
  <si>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</si>
  <si>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</si>
  <si>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</si>
  <si>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</si>
  <si>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</si>
  <si>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</si>
  <si>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</si>
  <si>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</si>
  <si>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</si>
  <si>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</si>
  <si>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</si>
  <si>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</si>
  <si>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</si>
  <si>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</si>
  <si>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</si>
  <si>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</si>
  <si>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</si>
  <si>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</si>
  <si>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</si>
  <si>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</si>
  <si>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</si>
  <si>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</si>
  <si>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</si>
  <si>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</si>
  <si>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</si>
  <si>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</si>
  <si>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</si>
  <si>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</si>
  <si>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</si>
  <si>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</si>
  <si>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</si>
  <si>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</si>
  <si>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</si>
  <si>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</si>
  <si>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</si>
  <si>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</si>
  <si>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</si>
  <si>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</si>
  <si>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</si>
  <si>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</si>
  <si>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</si>
  <si>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</si>
  <si>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</si>
  <si>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</si>
  <si>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</si>
  <si>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</si>
  <si>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</si>
  <si>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</si>
  <si>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</si>
  <si>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</si>
  <si>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</si>
  <si>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</si>
  <si>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</si>
  <si>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</si>
  <si>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</si>
  <si>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</si>
  <si>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</si>
  <si>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</si>
  <si>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</si>
  <si>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</si>
  <si>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</si>
  <si>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</si>
  <si>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</si>
  <si>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</si>
  <si>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</si>
  <si>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</si>
  <si>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</si>
  <si>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</si>
  <si>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</si>
  <si>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</si>
  <si>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</si>
  <si>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</si>
  <si>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</si>
  <si>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</si>
  <si>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</si>
  <si>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</si>
  <si>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</si>
  <si>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</si>
  <si>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</si>
  <si>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</si>
  <si>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</si>
  <si>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</si>
  <si>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</si>
  <si>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</si>
  <si>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</si>
  <si>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</si>
  <si>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</si>
  <si>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</si>
  <si>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</si>
  <si>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</si>
  <si>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</si>
  <si>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</si>
  <si>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</si>
  <si>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</si>
  <si>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</si>
  <si>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</si>
  <si>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</si>
  <si>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</si>
  <si>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</si>
  <si>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</si>
  <si>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</si>
  <si>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</si>
  <si>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</si>
  <si>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</si>
  <si>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</si>
  <si>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</si>
  <si>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</si>
  <si>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</si>
  <si>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</si>
  <si>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</si>
  <si>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</si>
  <si>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</si>
  <si>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</si>
  <si>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</si>
  <si>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</si>
  <si>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</si>
  <si>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</si>
  <si>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</si>
  <si>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</si>
  <si>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</si>
  <si>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</si>
  <si>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</si>
  <si>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</si>
  <si>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</si>
  <si>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</si>
  <si>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</si>
  <si>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</si>
  <si>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</si>
  <si>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</si>
  <si>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</si>
  <si>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</si>
  <si>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</si>
  <si>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</si>
  <si>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</si>
  <si>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</si>
  <si>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</si>
  <si>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</si>
  <si>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</si>
  <si>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</si>
  <si>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</si>
  <si>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</si>
  <si>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08:18:24</t>
  </si>
  <si>
    <t>2026-08-21</t>
  </si>
  <si>
    <t>lightfluoromete</t>
  </si>
  <si>
    <t>yun</t>
  </si>
  <si>
    <t>001</t>
  </si>
  <si>
    <t>2.717372</t>
  </si>
  <si>
    <t>2.645139</t>
  </si>
  <si>
    <t>26.182882</t>
  </si>
  <si>
    <t>26.897886</t>
  </si>
  <si>
    <t>7.500000</t>
  </si>
  <si>
    <t>PSF-01106_20260821081824_bb5</t>
  </si>
  <si>
    <t>0.000000</t>
  </si>
  <si>
    <t>123.630882</t>
  </si>
  <si>
    <t>510.732300</t>
  </si>
  <si>
    <t>0.757934</t>
  </si>
  <si>
    <t>0.5</t>
  </si>
  <si>
    <t>0.84</t>
  </si>
  <si>
    <t>1.000000</t>
  </si>
  <si>
    <t>73.41</t>
  </si>
  <si>
    <t>71.46</t>
  </si>
  <si>
    <t>27.57</t>
  </si>
  <si>
    <t>26.95</t>
  </si>
  <si>
    <t>101.03</t>
  </si>
  <si>
    <t>156.0</t>
  </si>
  <si>
    <t>154.3</t>
  </si>
  <si>
    <t>1.1</t>
  </si>
  <si>
    <t>114</t>
  </si>
  <si>
    <t>3.970</t>
  </si>
  <si>
    <t>-16</t>
  </si>
  <si>
    <t>-8</t>
  </si>
  <si>
    <t>175</t>
  </si>
  <si>
    <t>17.84</t>
  </si>
  <si>
    <t>-32.02</t>
  </si>
  <si>
    <t>00:00:00</t>
  </si>
  <si>
    <t>0000-00-00</t>
  </si>
  <si>
    <t>nan</t>
  </si>
  <si>
    <t>0</t>
  </si>
  <si>
    <t>08:18:03</t>
  </si>
  <si>
    <t>-1.97</t>
  </si>
  <si>
    <t>0.001</t>
  </si>
  <si>
    <t>-0.000</t>
  </si>
  <si>
    <t>-0.004</t>
  </si>
  <si>
    <t>-0.137</t>
  </si>
  <si>
    <t>-0.196</t>
  </si>
  <si>
    <t>-0.414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</si>
  <si>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</si>
  <si>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</si>
  <si>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</si>
  <si>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</si>
  <si>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</si>
  <si>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</si>
  <si>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</si>
  <si>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</si>
  <si>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</si>
  <si>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</si>
  <si>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</si>
  <si>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2.534128</t>
  </si>
  <si>
    <t>2.475070</t>
  </si>
  <si>
    <t>1.670209</t>
  </si>
  <si>
    <t>0.939741</t>
  </si>
  <si>
    <t>0.246189</t>
  </si>
  <si>
    <t>-0.006520</t>
  </si>
  <si>
    <t>0.169643</t>
  </si>
  <si>
    <t>0.206560</t>
  </si>
  <si>
    <t>0.000340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</si>
  <si>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</si>
  <si>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</si>
  <si>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</si>
  <si>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</si>
  <si>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</si>
  <si>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</si>
  <si>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</si>
  <si>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</si>
  <si>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</si>
  <si>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</si>
  <si>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</si>
  <si>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</si>
  <si>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</si>
  <si>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</si>
  <si>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08:18:50</t>
  </si>
  <si>
    <t>002</t>
  </si>
  <si>
    <t>2.803348</t>
  </si>
  <si>
    <t>2.728269</t>
  </si>
  <si>
    <t>27.006683</t>
  </si>
  <si>
    <t>27.749876</t>
  </si>
  <si>
    <t>PSF-01106_20260821081850_019</t>
  </si>
  <si>
    <t>111.641052</t>
  </si>
  <si>
    <t>516.689636</t>
  </si>
  <si>
    <t>0.783930</t>
  </si>
  <si>
    <t>75.27</t>
  </si>
  <si>
    <t>73.25</t>
  </si>
  <si>
    <t>27.68</t>
  </si>
  <si>
    <t>26.75</t>
  </si>
  <si>
    <t>101.02</t>
  </si>
  <si>
    <t>154.1</t>
  </si>
  <si>
    <t>1.2</t>
  </si>
  <si>
    <t>106</t>
  </si>
  <si>
    <t>3.969</t>
  </si>
  <si>
    <t>-28</t>
  </si>
  <si>
    <t>-10</t>
  </si>
  <si>
    <t>198</t>
  </si>
  <si>
    <t>62.22</t>
  </si>
  <si>
    <t>46.60</t>
  </si>
  <si>
    <t>29.60</t>
  </si>
  <si>
    <t>-2.59</t>
  </si>
  <si>
    <t>12.18</t>
  </si>
  <si>
    <t>95.08</t>
  </si>
  <si>
    <t>62.03</t>
  </si>
  <si>
    <t>23:18:14</t>
  </si>
  <si>
    <t>2026-08-20</t>
  </si>
  <si>
    <t>35.850269</t>
  </si>
  <si>
    <t>127.129822</t>
  </si>
  <si>
    <t>28.400000</t>
  </si>
  <si>
    <t>6</t>
  </si>
  <si>
    <t>2.670000</t>
  </si>
  <si>
    <t>-0.007</t>
  </si>
  <si>
    <t>-0.009</t>
  </si>
  <si>
    <t>-0.157</t>
  </si>
  <si>
    <t>-0.106</t>
  </si>
  <si>
    <t>-0.274</t>
  </si>
  <si>
    <t>2.536548</t>
  </si>
  <si>
    <t>2.477391</t>
  </si>
  <si>
    <t>1.669929</t>
  </si>
  <si>
    <t>0.939096</t>
  </si>
  <si>
    <t>0.245150</t>
  </si>
  <si>
    <t>-0.010170</t>
  </si>
  <si>
    <t>0.173785</t>
  </si>
  <si>
    <t>0.199147</t>
  </si>
  <si>
    <t>0.000349</t>
  </si>
  <si>
    <t>3</t>
  </si>
  <si>
    <t>08:19:13</t>
  </si>
  <si>
    <t>003</t>
  </si>
  <si>
    <t>2.808750</t>
  </si>
  <si>
    <t>2.753261</t>
  </si>
  <si>
    <t>27.254210</t>
  </si>
  <si>
    <t>27.803486</t>
  </si>
  <si>
    <t>PSF-01106_20260821081913_f15</t>
  </si>
  <si>
    <t>107.334137</t>
  </si>
  <si>
    <t>500.674713</t>
  </si>
  <si>
    <t>0.785621</t>
  </si>
  <si>
    <t>75.04</t>
  </si>
  <si>
    <t>73.55</t>
  </si>
  <si>
    <t>27.77</t>
  </si>
  <si>
    <t>27.04</t>
  </si>
  <si>
    <t>156.2</t>
  </si>
  <si>
    <t>153.5</t>
  </si>
  <si>
    <t>1.7</t>
  </si>
  <si>
    <t>104</t>
  </si>
  <si>
    <t>3.967</t>
  </si>
  <si>
    <t>4</t>
  </si>
  <si>
    <t>170</t>
  </si>
  <si>
    <t>63.03</t>
  </si>
  <si>
    <t>45.35</t>
  </si>
  <si>
    <t>16.48</t>
  </si>
  <si>
    <t>4.24</t>
  </si>
  <si>
    <t>23:18:37</t>
  </si>
  <si>
    <t>35.850292</t>
  </si>
  <si>
    <t>127.129791</t>
  </si>
  <si>
    <t>38.900002</t>
  </si>
  <si>
    <t>7</t>
  </si>
  <si>
    <t>2.620000</t>
  </si>
  <si>
    <t>0.002</t>
  </si>
  <si>
    <t>-0.019</t>
  </si>
  <si>
    <t>-0.042</t>
  </si>
  <si>
    <t>-0.120</t>
  </si>
  <si>
    <t>2.536946</t>
  </si>
  <si>
    <t>2.477087</t>
  </si>
  <si>
    <t>1.671935</t>
  </si>
  <si>
    <t>0.937603</t>
  </si>
  <si>
    <t>0.244323</t>
  </si>
  <si>
    <t>-0.007842</t>
  </si>
  <si>
    <t>0.177290</t>
  </si>
  <si>
    <t>0.197720</t>
  </si>
  <si>
    <t>08:19:31</t>
  </si>
  <si>
    <t>004</t>
  </si>
  <si>
    <t>2.822201</t>
  </si>
  <si>
    <t>2.756352</t>
  </si>
  <si>
    <t>27.285885</t>
  </si>
  <si>
    <t>27.937748</t>
  </si>
  <si>
    <t>PSF-01106_20260821081931_8e2</t>
  </si>
  <si>
    <t>114.598633</t>
  </si>
  <si>
    <t>532.777161</t>
  </si>
  <si>
    <t>0.784903</t>
  </si>
  <si>
    <t>75.11</t>
  </si>
  <si>
    <t>73.36</t>
  </si>
  <si>
    <t>27.83</t>
  </si>
  <si>
    <t>26.91</t>
  </si>
  <si>
    <t>1.3</t>
  </si>
  <si>
    <t>3.968</t>
  </si>
  <si>
    <t>-14</t>
  </si>
  <si>
    <t>-1</t>
  </si>
  <si>
    <t>88</t>
  </si>
  <si>
    <t>48.31</t>
  </si>
  <si>
    <t>66.51</t>
  </si>
  <si>
    <t>14.03</t>
  </si>
  <si>
    <t>-96.13</t>
  </si>
  <si>
    <t>23:18:56</t>
  </si>
  <si>
    <t>35.850296</t>
  </si>
  <si>
    <t>127.129753</t>
  </si>
  <si>
    <t>41.299999</t>
  </si>
  <si>
    <t>5</t>
  </si>
  <si>
    <t>2.710000</t>
  </si>
  <si>
    <t>0.000</t>
  </si>
  <si>
    <t>0.005</t>
  </si>
  <si>
    <t>-0.142</t>
  </si>
  <si>
    <t>-0.222</t>
  </si>
  <si>
    <t>-0.285</t>
  </si>
  <si>
    <t>2.536665</t>
  </si>
  <si>
    <t>2.477171</t>
  </si>
  <si>
    <t>1.671553</t>
  </si>
  <si>
    <t>0.939267</t>
  </si>
  <si>
    <t>0.243696</t>
  </si>
  <si>
    <t>-0.010152</t>
  </si>
  <si>
    <t>0.179963</t>
  </si>
  <si>
    <t>0.206848</t>
  </si>
  <si>
    <t>0.000352</t>
  </si>
  <si>
    <t>08:19:53</t>
  </si>
  <si>
    <t>005</t>
  </si>
  <si>
    <t>2.835500</t>
  </si>
  <si>
    <t>2.771570</t>
  </si>
  <si>
    <t>27.437416</t>
  </si>
  <si>
    <t>28.070292</t>
  </si>
  <si>
    <t>PSF-01106_20260821081953_574</t>
  </si>
  <si>
    <t>101.647141</t>
  </si>
  <si>
    <t>494.073273</t>
  </si>
  <si>
    <t>0.794267</t>
  </si>
  <si>
    <t>75.16</t>
  </si>
  <si>
    <t>73.46</t>
  </si>
  <si>
    <t>27.90</t>
  </si>
  <si>
    <t>26.94</t>
  </si>
  <si>
    <t>101.01</t>
  </si>
  <si>
    <t>155.9</t>
  </si>
  <si>
    <t>136.8</t>
  </si>
  <si>
    <t>12.2</t>
  </si>
  <si>
    <t>103</t>
  </si>
  <si>
    <t>3.966</t>
  </si>
  <si>
    <t>-31</t>
  </si>
  <si>
    <t>-23</t>
  </si>
  <si>
    <t>136</t>
  </si>
  <si>
    <t>23.94</t>
  </si>
  <si>
    <t>91.40</t>
  </si>
  <si>
    <t>37.91</t>
  </si>
  <si>
    <t>-83.49</t>
  </si>
  <si>
    <t>95.24</t>
  </si>
  <si>
    <t>61.83</t>
  </si>
  <si>
    <t>23:19:18</t>
  </si>
  <si>
    <t>35.850380</t>
  </si>
  <si>
    <t>127.129692</t>
  </si>
  <si>
    <t>43.799999</t>
  </si>
  <si>
    <t>10.140000</t>
  </si>
  <si>
    <t>-0.002</t>
  </si>
  <si>
    <t>-0.001</t>
  </si>
  <si>
    <t>0.055</t>
  </si>
  <si>
    <t>-0.053</t>
  </si>
  <si>
    <t>-0.195</t>
  </si>
  <si>
    <t>2.536791</t>
  </si>
  <si>
    <t>2.477216</t>
  </si>
  <si>
    <t>1.669025</t>
  </si>
  <si>
    <t>0.895469</t>
  </si>
  <si>
    <t>0.243017</t>
  </si>
  <si>
    <t>-0.010650</t>
  </si>
  <si>
    <t>0.183094</t>
  </si>
  <si>
    <t>0.196487</t>
  </si>
  <si>
    <t>08:20:07</t>
  </si>
  <si>
    <t>006</t>
  </si>
  <si>
    <t>2.824243</t>
  </si>
  <si>
    <t>2.769541</t>
  </si>
  <si>
    <t>27.417461</t>
  </si>
  <si>
    <t>27.958996</t>
  </si>
  <si>
    <t>PSF-01106_20260821082007_7f7</t>
  </si>
  <si>
    <t>101.426125</t>
  </si>
  <si>
    <t>489.311462</t>
  </si>
  <si>
    <t>0.792717</t>
  </si>
  <si>
    <t>74.65</t>
  </si>
  <si>
    <t>73.21</t>
  </si>
  <si>
    <t>27.95</t>
  </si>
  <si>
    <t>27.08</t>
  </si>
  <si>
    <t>156.1</t>
  </si>
  <si>
    <t>153.0</t>
  </si>
  <si>
    <t>2.0</t>
  </si>
  <si>
    <t>110</t>
  </si>
  <si>
    <t>-13</t>
  </si>
  <si>
    <t>-2</t>
  </si>
  <si>
    <t>145</t>
  </si>
  <si>
    <t>52.32</t>
  </si>
  <si>
    <t>61.13</t>
  </si>
  <si>
    <t>13.15</t>
  </si>
  <si>
    <t>-43.82</t>
  </si>
  <si>
    <t>23:19:32</t>
  </si>
  <si>
    <t>35.850319</t>
  </si>
  <si>
    <t>41.700001</t>
  </si>
  <si>
    <t>2.570000</t>
  </si>
  <si>
    <t>0.128</t>
  </si>
  <si>
    <t>0.097</t>
  </si>
  <si>
    <t>0.300</t>
  </si>
  <si>
    <t>2.536438</t>
  </si>
  <si>
    <t>2.476576</t>
  </si>
  <si>
    <t>1.670841</t>
  </si>
  <si>
    <t>0.936293</t>
  </si>
  <si>
    <t>0.242570</t>
  </si>
  <si>
    <t>-0.009471</t>
  </si>
  <si>
    <t>0.185053</t>
  </si>
  <si>
    <t>0.203405</t>
  </si>
  <si>
    <t>0.000345</t>
  </si>
  <si>
    <t>08:20:42</t>
  </si>
  <si>
    <t>007</t>
  </si>
  <si>
    <t>2.868283</t>
  </si>
  <si>
    <t>2.803567</t>
  </si>
  <si>
    <t>27.752728</t>
  </si>
  <si>
    <t>28.393354</t>
  </si>
  <si>
    <t>PSF-01106_20260821082042_93c</t>
  </si>
  <si>
    <t>104.707718</t>
  </si>
  <si>
    <t>509.845032</t>
  </si>
  <si>
    <t>0.794628</t>
  </si>
  <si>
    <t>75.35</t>
  </si>
  <si>
    <t>73.65</t>
  </si>
  <si>
    <t>28.05</t>
  </si>
  <si>
    <t>27.07</t>
  </si>
  <si>
    <t>143.2</t>
  </si>
  <si>
    <t>8.3</t>
  </si>
  <si>
    <t>109</t>
  </si>
  <si>
    <t>61.03</t>
  </si>
  <si>
    <t>48.43</t>
  </si>
  <si>
    <t>-0.87</t>
  </si>
  <si>
    <t>95.40</t>
  </si>
  <si>
    <t>61.63</t>
  </si>
  <si>
    <t>23:20:03</t>
  </si>
  <si>
    <t>35.850330</t>
  </si>
  <si>
    <t>41.799999</t>
  </si>
  <si>
    <t>2.540000</t>
  </si>
  <si>
    <t>0.004</t>
  </si>
  <si>
    <t>0.077</t>
  </si>
  <si>
    <t>-0.093</t>
  </si>
  <si>
    <t>-0.090</t>
  </si>
  <si>
    <t>2.537014</t>
  </si>
  <si>
    <t>2.477434</t>
  </si>
  <si>
    <t>1.671346</t>
  </si>
  <si>
    <t>0.911424</t>
  </si>
  <si>
    <t>0.241543</t>
  </si>
  <si>
    <t>-0.010954</t>
  </si>
  <si>
    <t>0.189858</t>
  </si>
  <si>
    <t>0.201968</t>
  </si>
  <si>
    <t>0.000347</t>
  </si>
  <si>
    <t>8</t>
  </si>
  <si>
    <t>08:21:08</t>
  </si>
  <si>
    <t>008</t>
  </si>
  <si>
    <t>2.866023</t>
  </si>
  <si>
    <t>2.797702</t>
  </si>
  <si>
    <t>27.695498</t>
  </si>
  <si>
    <t>28.371830</t>
  </si>
  <si>
    <t>PSF-01106_20260821082108_54c</t>
  </si>
  <si>
    <t>103.097679</t>
  </si>
  <si>
    <t>504.218109</t>
  </si>
  <si>
    <t>0.795530</t>
  </si>
  <si>
    <t>74.96</t>
  </si>
  <si>
    <t>73.17</t>
  </si>
  <si>
    <t>28.13</t>
  </si>
  <si>
    <t>151.8</t>
  </si>
  <si>
    <t>2.6</t>
  </si>
  <si>
    <t>62</t>
  </si>
  <si>
    <t>3.964</t>
  </si>
  <si>
    <t>-29</t>
  </si>
  <si>
    <t>-70</t>
  </si>
  <si>
    <t>99</t>
  </si>
  <si>
    <t>70.14</t>
  </si>
  <si>
    <t>33.97</t>
  </si>
  <si>
    <t>72.59</t>
  </si>
  <si>
    <t>-160.99</t>
  </si>
  <si>
    <t>23:20:32</t>
  </si>
  <si>
    <t>35.850281</t>
  </si>
  <si>
    <t>127.129707</t>
  </si>
  <si>
    <t>41.900002</t>
  </si>
  <si>
    <t>1.490000</t>
  </si>
  <si>
    <t>-0.089</t>
  </si>
  <si>
    <t>-0.217</t>
  </si>
  <si>
    <t>-0.286</t>
  </si>
  <si>
    <t>2.536346</t>
  </si>
  <si>
    <t>2.476927</t>
  </si>
  <si>
    <t>1.669165</t>
  </si>
  <si>
    <t>0.933347</t>
  </si>
  <si>
    <t>0.240818</t>
  </si>
  <si>
    <t>-0.013227</t>
  </si>
  <si>
    <t>0.193274</t>
  </si>
  <si>
    <t>0.160797</t>
  </si>
  <si>
    <t>0.000341</t>
  </si>
  <si>
    <t>9</t>
  </si>
  <si>
    <t>08:21:36</t>
  </si>
  <si>
    <t>009</t>
  </si>
  <si>
    <t>2.872964</t>
  </si>
  <si>
    <t>2.815703</t>
  </si>
  <si>
    <t>27.872318</t>
  </si>
  <si>
    <t>28.439137</t>
  </si>
  <si>
    <t>PSF-01106_20260821082136_379</t>
  </si>
  <si>
    <t>99.823593</t>
  </si>
  <si>
    <t>490.919342</t>
  </si>
  <si>
    <t>0.796660</t>
  </si>
  <si>
    <t>74.78</t>
  </si>
  <si>
    <t>73.29</t>
  </si>
  <si>
    <t>28.21</t>
  </si>
  <si>
    <t>27.21</t>
  </si>
  <si>
    <t>152.0</t>
  </si>
  <si>
    <t>3.963</t>
  </si>
  <si>
    <t>124</t>
  </si>
  <si>
    <t>47.17</t>
  </si>
  <si>
    <t>67.98</t>
  </si>
  <si>
    <t>16.03</t>
  </si>
  <si>
    <t>-59.62</t>
  </si>
  <si>
    <t>95.55</t>
  </si>
  <si>
    <t>61.42</t>
  </si>
  <si>
    <t>23:21:01</t>
  </si>
  <si>
    <t>127.129700</t>
  </si>
  <si>
    <t>42.099998</t>
  </si>
  <si>
    <t>0.003</t>
  </si>
  <si>
    <t>0.063</t>
  </si>
  <si>
    <t>0.058</t>
  </si>
  <si>
    <t>0.126</t>
  </si>
  <si>
    <t>2.536499</t>
  </si>
  <si>
    <t>2.476696</t>
  </si>
  <si>
    <t>1.671117</t>
  </si>
  <si>
    <t>0.933828</t>
  </si>
  <si>
    <t>0.240046</t>
  </si>
  <si>
    <t>-0.011196</t>
  </si>
  <si>
    <t>0.197008</t>
  </si>
  <si>
    <t>0.202736</t>
  </si>
  <si>
    <t>10</t>
  </si>
  <si>
    <t>08:22:09</t>
  </si>
  <si>
    <t>010</t>
  </si>
  <si>
    <t>2.830776</t>
  </si>
  <si>
    <t>2.804204</t>
  </si>
  <si>
    <t>27.760271</t>
  </si>
  <si>
    <t>28.023321</t>
  </si>
  <si>
    <t>PSF-01106_20260821082209_255</t>
  </si>
  <si>
    <t>136.810547</t>
  </si>
  <si>
    <t>536.962158</t>
  </si>
  <si>
    <t>0.745214</t>
  </si>
  <si>
    <t>73.30</t>
  </si>
  <si>
    <t>72.61</t>
  </si>
  <si>
    <t>28.30</t>
  </si>
  <si>
    <t>27.65</t>
  </si>
  <si>
    <t>156.3</t>
  </si>
  <si>
    <t>154.8</t>
  </si>
  <si>
    <t>1.0</t>
  </si>
  <si>
    <t>-25</t>
  </si>
  <si>
    <t>-4</t>
  </si>
  <si>
    <t>95</t>
  </si>
  <si>
    <t>36.67</t>
  </si>
  <si>
    <t>80.21</t>
  </si>
  <si>
    <t>25.30</t>
  </si>
  <si>
    <t>-94.40</t>
  </si>
  <si>
    <t>23:21:34</t>
  </si>
  <si>
    <t>35.850147</t>
  </si>
  <si>
    <t>127.129639</t>
  </si>
  <si>
    <t>44.599998</t>
  </si>
  <si>
    <t>1.480000</t>
  </si>
  <si>
    <t>-0.178</t>
  </si>
  <si>
    <t>-0.477</t>
  </si>
  <si>
    <t>-0.938</t>
  </si>
  <si>
    <t>2.535546</t>
  </si>
  <si>
    <t>2.474801</t>
  </si>
  <si>
    <t>1.672865</t>
  </si>
  <si>
    <t>0.941027</t>
  </si>
  <si>
    <t>0.239183</t>
  </si>
  <si>
    <t>-0.006915</t>
  </si>
  <si>
    <t>0.201136</t>
  </si>
  <si>
    <t>0.197506</t>
  </si>
  <si>
    <t>0.000357</t>
  </si>
  <si>
    <t>11</t>
  </si>
  <si>
    <t>08:22:26</t>
  </si>
  <si>
    <t>011</t>
  </si>
  <si>
    <t>2.831499</t>
  </si>
  <si>
    <t>2.792312</t>
  </si>
  <si>
    <t>27.641937</t>
  </si>
  <si>
    <t>28.029860</t>
  </si>
  <si>
    <t>PSF-01106_20260821082226_60f</t>
  </si>
  <si>
    <t>126.128555</t>
  </si>
  <si>
    <t>526.201111</t>
  </si>
  <si>
    <t>0.760304</t>
  </si>
  <si>
    <t>73.12</t>
  </si>
  <si>
    <t>72.10</t>
  </si>
  <si>
    <t>28.35</t>
  </si>
  <si>
    <t>27.42</t>
  </si>
  <si>
    <t>150.6</t>
  </si>
  <si>
    <t>3.4</t>
  </si>
  <si>
    <t>101</t>
  </si>
  <si>
    <t>31</t>
  </si>
  <si>
    <t>128</t>
  </si>
  <si>
    <t>72.01</t>
  </si>
  <si>
    <t>30.88</t>
  </si>
  <si>
    <t>33.73</t>
  </si>
  <si>
    <t>16.07</t>
  </si>
  <si>
    <t>23:21:51</t>
  </si>
  <si>
    <t>127.129631</t>
  </si>
  <si>
    <t>45.599998</t>
  </si>
  <si>
    <t>1.040000</t>
  </si>
  <si>
    <t>0.007</t>
  </si>
  <si>
    <t>0.060</t>
  </si>
  <si>
    <t>-0.027</t>
  </si>
  <si>
    <t>2.534848</t>
  </si>
  <si>
    <t>2.474566</t>
  </si>
  <si>
    <t>1.669941</t>
  </si>
  <si>
    <t>0.930186</t>
  </si>
  <si>
    <t>0.238741</t>
  </si>
  <si>
    <t>-0.010279</t>
  </si>
  <si>
    <t>0.203226</t>
  </si>
  <si>
    <t>0.195123</t>
  </si>
  <si>
    <t>12</t>
  </si>
  <si>
    <t>08:22:41</t>
  </si>
  <si>
    <t>012</t>
  </si>
  <si>
    <t>2.838059</t>
  </si>
  <si>
    <t>2.798270</t>
  </si>
  <si>
    <t>27.701736</t>
  </si>
  <si>
    <t>28.095627</t>
  </si>
  <si>
    <t>PSF-01106_20260821082241_b88</t>
  </si>
  <si>
    <t>123.604416</t>
  </si>
  <si>
    <t>529.075378</t>
  </si>
  <si>
    <t>0.766376</t>
  </si>
  <si>
    <t>72.09</t>
  </si>
  <si>
    <t>28.39</t>
  </si>
  <si>
    <t>27.40</t>
  </si>
  <si>
    <t>151.3</t>
  </si>
  <si>
    <t>3.0</t>
  </si>
  <si>
    <t>116</t>
  </si>
  <si>
    <t>3.961</t>
  </si>
  <si>
    <t>-12</t>
  </si>
  <si>
    <t>138</t>
  </si>
  <si>
    <t>57.27</t>
  </si>
  <si>
    <t>54.07</t>
  </si>
  <si>
    <t>13.40</t>
  </si>
  <si>
    <t>-15.18</t>
  </si>
  <si>
    <t>95.71</t>
  </si>
  <si>
    <t>61.22</t>
  </si>
  <si>
    <t>23:22:06</t>
  </si>
  <si>
    <t>35.850185</t>
  </si>
  <si>
    <t>127.129608</t>
  </si>
  <si>
    <t>45.700001</t>
  </si>
  <si>
    <t>1.090000</t>
  </si>
  <si>
    <t>-0.049</t>
  </si>
  <si>
    <t>0.044</t>
  </si>
  <si>
    <t>-0.098</t>
  </si>
  <si>
    <t>2.534821</t>
  </si>
  <si>
    <t>2.474558</t>
  </si>
  <si>
    <t>1.669732</t>
  </si>
  <si>
    <t>0.932012</t>
  </si>
  <si>
    <t>0.238364</t>
  </si>
  <si>
    <t>-0.011070</t>
  </si>
  <si>
    <t>0.205140</t>
  </si>
  <si>
    <t>0.208158</t>
  </si>
  <si>
    <t>13</t>
  </si>
  <si>
    <t>08:23:13</t>
  </si>
  <si>
    <t>013</t>
  </si>
  <si>
    <t>2.863766</t>
  </si>
  <si>
    <t>2.832986</t>
  </si>
  <si>
    <t>28.044365</t>
  </si>
  <si>
    <t>28.349066</t>
  </si>
  <si>
    <t>PSF-01106_20260821082313_687</t>
  </si>
  <si>
    <t>109.071136</t>
  </si>
  <si>
    <t>484.536407</t>
  </si>
  <si>
    <t>0.774896</t>
  </si>
  <si>
    <t>73.42</t>
  </si>
  <si>
    <t>72.63</t>
  </si>
  <si>
    <t>28.47</t>
  </si>
  <si>
    <t>141.1</t>
  </si>
  <si>
    <t>9.5</t>
  </si>
  <si>
    <t>117</t>
  </si>
  <si>
    <t>-6</t>
  </si>
  <si>
    <t>168</t>
  </si>
  <si>
    <t>51.64</t>
  </si>
  <si>
    <t>62.06</t>
  </si>
  <si>
    <t>17.06</t>
  </si>
  <si>
    <t>-32.87</t>
  </si>
  <si>
    <t>23:22:38</t>
  </si>
  <si>
    <t>35.850239</t>
  </si>
  <si>
    <t>127.129585</t>
  </si>
  <si>
    <t>0.062</t>
  </si>
  <si>
    <t>-0.016</t>
  </si>
  <si>
    <t>-0.328</t>
  </si>
  <si>
    <t>2.535547</t>
  </si>
  <si>
    <t>2.474933</t>
  </si>
  <si>
    <t>1.669958</t>
  </si>
  <si>
    <t>0.906184</t>
  </si>
  <si>
    <t>0.237581</t>
  </si>
  <si>
    <t>-0.009055</t>
  </si>
  <si>
    <t>0.209205</t>
  </si>
  <si>
    <t>0.208974</t>
  </si>
  <si>
    <t>0.000343</t>
  </si>
  <si>
    <t>14</t>
  </si>
  <si>
    <t>08:23:29</t>
  </si>
  <si>
    <t>014</t>
  </si>
  <si>
    <t>2.848611</t>
  </si>
  <si>
    <t>2.825526</t>
  </si>
  <si>
    <t>27.971006</t>
  </si>
  <si>
    <t>28.199530</t>
  </si>
  <si>
    <t>PSF-01106_20260821082329_21d</t>
  </si>
  <si>
    <t>135.744446</t>
  </si>
  <si>
    <t>511.187195</t>
  </si>
  <si>
    <t>0.734453</t>
  </si>
  <si>
    <t>72.88</t>
  </si>
  <si>
    <t>72.29</t>
  </si>
  <si>
    <t>28.51</t>
  </si>
  <si>
    <t>27.76</t>
  </si>
  <si>
    <t>1.6</t>
  </si>
  <si>
    <t>-37</t>
  </si>
  <si>
    <t>-19</t>
  </si>
  <si>
    <t>26.08</t>
  </si>
  <si>
    <t>89.82</t>
  </si>
  <si>
    <t>40.96</t>
  </si>
  <si>
    <t>-105.78</t>
  </si>
  <si>
    <t>23:22:54</t>
  </si>
  <si>
    <t>35.850224</t>
  </si>
  <si>
    <t>127.129593</t>
  </si>
  <si>
    <t>45.900002</t>
  </si>
  <si>
    <t>-0.003</t>
  </si>
  <si>
    <t>-0.315</t>
  </si>
  <si>
    <t>-0.510</t>
  </si>
  <si>
    <t>2.535062</t>
  </si>
  <si>
    <t>2.474235</t>
  </si>
  <si>
    <t>1.670343</t>
  </si>
  <si>
    <t>0.937611</t>
  </si>
  <si>
    <t>0.237230</t>
  </si>
  <si>
    <t>-0.008159</t>
  </si>
  <si>
    <t>0.211052</t>
  </si>
  <si>
    <t>0.195020</t>
  </si>
  <si>
    <t>16</t>
  </si>
  <si>
    <t>08:24:09</t>
  </si>
  <si>
    <t>016</t>
  </si>
  <si>
    <t>2.877676</t>
  </si>
  <si>
    <t>2.838931</t>
  </si>
  <si>
    <t>28.105301</t>
  </si>
  <si>
    <t>28.488886</t>
  </si>
  <si>
    <t>PSF-01106_20260821082409_edc</t>
  </si>
  <si>
    <t>125.323891</t>
  </si>
  <si>
    <t>512.148499</t>
  </si>
  <si>
    <t>0.755298</t>
  </si>
  <si>
    <t>72.22</t>
  </si>
  <si>
    <t>28.61</t>
  </si>
  <si>
    <t>27.54</t>
  </si>
  <si>
    <t>147.8</t>
  </si>
  <si>
    <t>5.2</t>
  </si>
  <si>
    <t>3.956</t>
  </si>
  <si>
    <t>-11</t>
  </si>
  <si>
    <t>292</t>
  </si>
  <si>
    <t>82.26</t>
  </si>
  <si>
    <t>13.47</t>
  </si>
  <si>
    <t>21.85</t>
  </si>
  <si>
    <t>81.16</t>
  </si>
  <si>
    <t>95.87</t>
  </si>
  <si>
    <t>61.02</t>
  </si>
  <si>
    <t>23:23:34</t>
  </si>
  <si>
    <t>35.850220</t>
  </si>
  <si>
    <t>127.129745</t>
  </si>
  <si>
    <t>45.299999</t>
  </si>
  <si>
    <t>1.370000</t>
  </si>
  <si>
    <t>-0.185</t>
  </si>
  <si>
    <t>-0.311</t>
  </si>
  <si>
    <t>-0.518</t>
  </si>
  <si>
    <t>2.534955</t>
  </si>
  <si>
    <t>2.474637</t>
  </si>
  <si>
    <t>1.670283</t>
  </si>
  <si>
    <t>0.923139</t>
  </si>
  <si>
    <t>0.236321</t>
  </si>
  <si>
    <t>-0.012021</t>
  </si>
  <si>
    <t>0.215918</t>
  </si>
  <si>
    <t>0.201787</t>
  </si>
  <si>
    <t>0.000353</t>
  </si>
  <si>
    <t>17</t>
  </si>
  <si>
    <t>08:24:35</t>
  </si>
  <si>
    <t>017</t>
  </si>
  <si>
    <t>2.894027</t>
  </si>
  <si>
    <t>2.861571</t>
  </si>
  <si>
    <t>28.328949</t>
  </si>
  <si>
    <t>28.650253</t>
  </si>
  <si>
    <t>PSF-01106_20260821082435_248</t>
  </si>
  <si>
    <t>128.126984</t>
  </si>
  <si>
    <t>533.153748</t>
  </si>
  <si>
    <t>0.759681</t>
  </si>
  <si>
    <t>73.38</t>
  </si>
  <si>
    <t>72.55</t>
  </si>
  <si>
    <t>28.66</t>
  </si>
  <si>
    <t>27.79</t>
  </si>
  <si>
    <t>151.5</t>
  </si>
  <si>
    <t>3.960</t>
  </si>
  <si>
    <t>-9</t>
  </si>
  <si>
    <t>331</t>
  </si>
  <si>
    <t>76.55</t>
  </si>
  <si>
    <t>23.25</t>
  </si>
  <si>
    <t>16.59</t>
  </si>
  <si>
    <t>117.79</t>
  </si>
  <si>
    <t>23:23:58</t>
  </si>
  <si>
    <t>35.850136</t>
  </si>
  <si>
    <t>127.129807</t>
  </si>
  <si>
    <t>45.000000</t>
  </si>
  <si>
    <t>0.092</t>
  </si>
  <si>
    <t>-0.058</t>
  </si>
  <si>
    <t>2.535398</t>
  </si>
  <si>
    <t>2.474842</t>
  </si>
  <si>
    <t>1.670651</t>
  </si>
  <si>
    <t>0.932364</t>
  </si>
  <si>
    <t>0.235783</t>
  </si>
  <si>
    <t>-0.009709</t>
  </si>
  <si>
    <t>0.219137</t>
  </si>
  <si>
    <t>0.202700</t>
  </si>
  <si>
    <t>0.000348</t>
  </si>
  <si>
    <t>18</t>
  </si>
  <si>
    <t>08:24:58</t>
  </si>
  <si>
    <t>018</t>
  </si>
  <si>
    <t>2.884025</t>
  </si>
  <si>
    <t>2.858545</t>
  </si>
  <si>
    <t>28.297523</t>
  </si>
  <si>
    <t>28.549755</t>
  </si>
  <si>
    <t>PSF-01106_20260821082458_bd8</t>
  </si>
  <si>
    <t>113.620522</t>
  </si>
  <si>
    <t>515.041687</t>
  </si>
  <si>
    <t>0.779396</t>
  </si>
  <si>
    <t>72.92</t>
  </si>
  <si>
    <t>72.28</t>
  </si>
  <si>
    <t>28.71</t>
  </si>
  <si>
    <t>27.93</t>
  </si>
  <si>
    <t>108</t>
  </si>
  <si>
    <t>3.959</t>
  </si>
  <si>
    <t>-22</t>
  </si>
  <si>
    <t>324</t>
  </si>
  <si>
    <t>77.86</t>
  </si>
  <si>
    <t>21.03</t>
  </si>
  <si>
    <t>22.09</t>
  </si>
  <si>
    <t>138.67</t>
  </si>
  <si>
    <t>96.03</t>
  </si>
  <si>
    <t>60.82</t>
  </si>
  <si>
    <t>23:24:22</t>
  </si>
  <si>
    <t>35.850166</t>
  </si>
  <si>
    <t>44.500000</t>
  </si>
  <si>
    <t>1.160000</t>
  </si>
  <si>
    <t>-0.300</t>
  </si>
  <si>
    <t>-0.541</t>
  </si>
  <si>
    <t>2.535009</t>
  </si>
  <si>
    <t>2.474258</t>
  </si>
  <si>
    <t>1.671574</t>
  </si>
  <si>
    <t>0.939580</t>
  </si>
  <si>
    <t>0.235338</t>
  </si>
  <si>
    <t>-0.008546</t>
  </si>
  <si>
    <t>0.221884</t>
  </si>
  <si>
    <t>0.200905</t>
  </si>
  <si>
    <t>19</t>
  </si>
  <si>
    <t>08:25:23</t>
  </si>
  <si>
    <t>019</t>
  </si>
  <si>
    <t>2.895530</t>
  </si>
  <si>
    <t>2.852586</t>
  </si>
  <si>
    <t>28.237345</t>
  </si>
  <si>
    <t>28.662443</t>
  </si>
  <si>
    <t>PSF-01106_20260821082523_6f8</t>
  </si>
  <si>
    <t>128.413086</t>
  </si>
  <si>
    <t>523.885132</t>
  </si>
  <si>
    <t>0.754883</t>
  </si>
  <si>
    <t>73.00</t>
  </si>
  <si>
    <t>71.91</t>
  </si>
  <si>
    <t>28.76</t>
  </si>
  <si>
    <t>155.8</t>
  </si>
  <si>
    <t>3.958</t>
  </si>
  <si>
    <t>-15</t>
  </si>
  <si>
    <t>-3</t>
  </si>
  <si>
    <t>312</t>
  </si>
  <si>
    <t>74.88</t>
  </si>
  <si>
    <t>15.29</t>
  </si>
  <si>
    <t>120.55</t>
  </si>
  <si>
    <t>23:24:47</t>
  </si>
  <si>
    <t>127.129784</t>
  </si>
  <si>
    <t>44.799999</t>
  </si>
  <si>
    <t>1.460000</t>
  </si>
  <si>
    <t>0.008</t>
  </si>
  <si>
    <t>-0.063</t>
  </si>
  <si>
    <t>-0.103</t>
  </si>
  <si>
    <t>-0.351</t>
  </si>
  <si>
    <t>2.534504</t>
  </si>
  <si>
    <t>2.474346</t>
  </si>
  <si>
    <t>1.668677</t>
  </si>
  <si>
    <t>0.939673</t>
  </si>
  <si>
    <t>0.234868</t>
  </si>
  <si>
    <t>-0.010903</t>
  </si>
  <si>
    <t>0.224896</t>
  </si>
  <si>
    <t>0.208007</t>
  </si>
  <si>
    <t>0.000350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</si>
  <si>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</si>
  <si>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</si>
  <si>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</si>
  <si>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</si>
  <si>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</si>
  <si>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</si>
  <si>
    <t>gsw_corrected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</si>
</sst>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'처리별 분류'!$E$1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'처리별 분류'!$E$2:$E$19</c:f>
              <c:numCache>
                <c:formatCode>General</c:formatCode>
                <c:ptCount val="18"/>
                <c:pt idx="0">
                  <c:v>0.28614062704009968</c:v>
                </c:pt>
                <c:pt idx="1">
                  <c:v>0.34456729032494843</c:v>
                </c:pt>
                <c:pt idx="2">
                  <c:v>0.24430093234546479</c:v>
                </c:pt>
                <c:pt idx="3">
                  <c:v>0.29892344981768149</c:v>
                </c:pt>
                <c:pt idx="4">
                  <c:v>0.29405409828514778</c:v>
                </c:pt>
                <c:pt idx="5">
                  <c:v>0.24058692544482899</c:v>
                </c:pt>
                <c:pt idx="6">
                  <c:v>0.29828800053096421</c:v>
                </c:pt>
                <c:pt idx="7">
                  <c:v>0.32352716533014741</c:v>
                </c:pt>
                <c:pt idx="8">
                  <c:v>0.25805916437416809</c:v>
                </c:pt>
                <c:pt idx="9">
                  <c:v>0.10618673925002781</c:v>
                </c:pt>
                <c:pt idx="10">
                  <c:v>0.16411308141424291</c:v>
                </c:pt>
                <c:pt idx="11">
                  <c:v>0.16809733408413691</c:v>
                </c:pt>
                <c:pt idx="12">
                  <c:v>0.12650978561835899</c:v>
                </c:pt>
                <c:pt idx="13">
                  <c:v>9.1513569141231016E-2</c:v>
                </c:pt>
                <c:pt idx="14">
                  <c:v>0.16563629586511269</c:v>
                </c:pt>
                <c:pt idx="15">
                  <c:v>0.13410130628104899</c:v>
                </c:pt>
                <c:pt idx="16">
                  <c:v>0.1000313908739151</c:v>
                </c:pt>
                <c:pt idx="17">
                  <c:v>0.17514478127844971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2-4AB2-AE95-921427D3F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723872"/>
        <c:axId val="1364660080"/>
      </c:scatterChart>
      <c:valAx>
        <c:axId val="135572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4660080"/>
        <c:crosses val="autoZero"/>
        <c:crossBetween val="midCat"/>
      </c:valAx>
      <c:valAx>
        <c:axId val="13646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572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5</xdr:row>
      <xdr:rowOff>200977</xdr:rowOff>
    </xdr:from>
    <xdr:to>
      <xdr:col>18</xdr:col>
      <xdr:colOff>621030</xdr:colOff>
      <xdr:row>16</xdr:row>
      <xdr:rowOff>225742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43D937E-FC53-9664-BB8A-1475C7FA8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workbookViewId="0">
      <selection activeCell="G9" sqref="G9"/>
    </sheetView>
  </sheetViews>
  <sheetFormatPr defaultRowHeight="19.2" x14ac:dyDescent="0.45"/>
  <sheetData>
    <row r="1" spans="1:124" ht="17.25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25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25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7.25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1" si="0">1/((1/L4)-(1/K4))</f>
        <v>0.33253546253328303</v>
      </c>
      <c r="K4">
        <f t="shared" ref="K4:K21" si="1">BY4+(BZ4*AN4)+(CA4*AN4*POWER(V4,2))+(CB4*AN4*V4)+(CC4*POWER(AN4,2))</f>
        <v>2.9050319999999994</v>
      </c>
      <c r="L4">
        <f t="shared" ref="L4:L21" si="2">((M4/1000)*(1000-((T4+S4)/2)))/(T4-S4)</f>
        <v>0.29838024102148181</v>
      </c>
      <c r="M4">
        <f t="shared" ref="M4:M21" si="3">(AN4*(S4-R4))/(100*U4*(1000-S4))*1000</f>
        <v>2.5945451343077024</v>
      </c>
      <c r="N4" t="s">
        <v>165</v>
      </c>
      <c r="O4" t="s">
        <v>166</v>
      </c>
      <c r="P4">
        <f t="shared" ref="P4:P21" si="4">0.61365*EXP((17.502*AL4)/(240.97+AL4))</f>
        <v>3.5686625094010407</v>
      </c>
      <c r="Q4">
        <f t="shared" ref="Q4:Q21" si="5">P4-N4</f>
        <v>0.85129050940104056</v>
      </c>
      <c r="R4" t="s">
        <v>167</v>
      </c>
      <c r="S4" t="s">
        <v>168</v>
      </c>
      <c r="T4">
        <f t="shared" ref="T4:T21" si="6">(P4/AM4)*1000</f>
        <v>35.322800251420773</v>
      </c>
      <c r="U4">
        <f t="shared" ref="U4:U21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1" si="8">AC4*AD4*AE4*AQ4</f>
        <v>36.289879919999997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1" si="9">(AK4-AJ4)*(AJ4*0+0)+AK4</f>
        <v>26.95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X4" t="s">
        <v>191</v>
      </c>
      <c r="AY4" t="s">
        <v>192</v>
      </c>
      <c r="BC4" t="s">
        <v>193</v>
      </c>
      <c r="BD4" t="s">
        <v>194</v>
      </c>
      <c r="BE4" t="s">
        <v>195</v>
      </c>
      <c r="BF4" t="s">
        <v>195</v>
      </c>
      <c r="BG4" t="s">
        <v>195</v>
      </c>
      <c r="BH4" t="s">
        <v>196</v>
      </c>
      <c r="BI4" t="s">
        <v>195</v>
      </c>
      <c r="BJ4" t="s">
        <v>197</v>
      </c>
      <c r="BK4" t="s">
        <v>161</v>
      </c>
      <c r="BL4" t="s">
        <v>198</v>
      </c>
      <c r="BM4" t="s">
        <v>159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159</v>
      </c>
      <c r="BU4" t="s">
        <v>205</v>
      </c>
      <c r="BV4" t="s">
        <v>199</v>
      </c>
      <c r="BW4" t="s">
        <v>206</v>
      </c>
      <c r="BX4" t="s">
        <v>207</v>
      </c>
      <c r="BY4" t="s">
        <v>171</v>
      </c>
      <c r="BZ4" t="s">
        <v>208</v>
      </c>
      <c r="CA4" t="s">
        <v>171</v>
      </c>
      <c r="CB4" t="s">
        <v>171</v>
      </c>
      <c r="CC4" t="s">
        <v>209</v>
      </c>
      <c r="CD4" t="s">
        <v>210</v>
      </c>
      <c r="CE4" t="s">
        <v>196</v>
      </c>
      <c r="CF4" t="s">
        <v>211</v>
      </c>
      <c r="CG4" t="s">
        <v>212</v>
      </c>
      <c r="CH4" t="s">
        <v>213</v>
      </c>
      <c r="CI4" t="s">
        <v>177</v>
      </c>
      <c r="CJ4" t="s">
        <v>206</v>
      </c>
      <c r="CK4" t="s">
        <v>214</v>
      </c>
      <c r="CL4" t="s">
        <v>214</v>
      </c>
      <c r="CM4" t="s">
        <v>214</v>
      </c>
      <c r="CN4" t="s">
        <v>171</v>
      </c>
      <c r="CO4" t="s">
        <v>215</v>
      </c>
      <c r="CP4" t="s">
        <v>171</v>
      </c>
      <c r="CQ4" t="s">
        <v>171</v>
      </c>
      <c r="CR4" t="s">
        <v>171</v>
      </c>
      <c r="CS4" t="s">
        <v>171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172</v>
      </c>
      <c r="DC4" t="s">
        <v>224</v>
      </c>
      <c r="DD4" t="s">
        <v>225</v>
      </c>
      <c r="DE4" t="s">
        <v>226</v>
      </c>
      <c r="DF4" t="s">
        <v>177</v>
      </c>
      <c r="DG4" t="s">
        <v>227</v>
      </c>
      <c r="DH4" t="s">
        <v>228</v>
      </c>
      <c r="DI4" t="s">
        <v>177</v>
      </c>
      <c r="DJ4" t="s">
        <v>229</v>
      </c>
      <c r="DK4" t="s">
        <v>230</v>
      </c>
      <c r="DL4" t="s">
        <v>231</v>
      </c>
      <c r="DM4" t="s">
        <v>171</v>
      </c>
      <c r="DN4" t="s">
        <v>170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ht="17.25" customHeight="1" x14ac:dyDescent="0.45">
      <c r="A5" t="s">
        <v>238</v>
      </c>
      <c r="B5" t="s">
        <v>239</v>
      </c>
      <c r="C5" t="s">
        <v>161</v>
      </c>
      <c r="D5" t="s">
        <v>162</v>
      </c>
      <c r="E5" t="s">
        <v>163</v>
      </c>
      <c r="I5" t="s">
        <v>240</v>
      </c>
      <c r="J5">
        <f t="shared" si="0"/>
        <v>0.41744584292051023</v>
      </c>
      <c r="K5">
        <f t="shared" si="1"/>
        <v>2.9050319999999994</v>
      </c>
      <c r="L5">
        <f t="shared" si="2"/>
        <v>0.36499672512039361</v>
      </c>
      <c r="M5">
        <f t="shared" si="3"/>
        <v>2.6991982140588884</v>
      </c>
      <c r="N5" t="s">
        <v>241</v>
      </c>
      <c r="O5" t="s">
        <v>242</v>
      </c>
      <c r="P5">
        <f t="shared" si="4"/>
        <v>3.5269420477454108</v>
      </c>
      <c r="Q5">
        <f t="shared" si="5"/>
        <v>0.72359404774541058</v>
      </c>
      <c r="R5" t="s">
        <v>243</v>
      </c>
      <c r="S5" t="s">
        <v>244</v>
      </c>
      <c r="T5">
        <f t="shared" si="6"/>
        <v>34.913304768812225</v>
      </c>
      <c r="U5">
        <f t="shared" si="7"/>
        <v>0.4417875</v>
      </c>
      <c r="V5" t="s">
        <v>169</v>
      </c>
      <c r="W5" t="s">
        <v>245</v>
      </c>
      <c r="X5" t="s">
        <v>171</v>
      </c>
      <c r="Y5" t="s">
        <v>171</v>
      </c>
      <c r="Z5" t="s">
        <v>171</v>
      </c>
      <c r="AA5" t="s">
        <v>246</v>
      </c>
      <c r="AB5" t="s">
        <v>247</v>
      </c>
      <c r="AC5" t="s">
        <v>248</v>
      </c>
      <c r="AD5" t="s">
        <v>175</v>
      </c>
      <c r="AE5" t="s">
        <v>176</v>
      </c>
      <c r="AF5">
        <f t="shared" si="8"/>
        <v>34.900563599999998</v>
      </c>
      <c r="AG5" t="s">
        <v>177</v>
      </c>
      <c r="AH5" t="s">
        <v>249</v>
      </c>
      <c r="AI5" t="s">
        <v>250</v>
      </c>
      <c r="AJ5" t="s">
        <v>251</v>
      </c>
      <c r="AK5" t="s">
        <v>252</v>
      </c>
      <c r="AL5">
        <f t="shared" si="9"/>
        <v>26.75</v>
      </c>
      <c r="AM5" t="s">
        <v>253</v>
      </c>
      <c r="AN5" t="s">
        <v>183</v>
      </c>
      <c r="AO5" t="s">
        <v>254</v>
      </c>
      <c r="AP5" t="s">
        <v>255</v>
      </c>
      <c r="AQ5" t="s">
        <v>256</v>
      </c>
      <c r="AR5" t="s">
        <v>257</v>
      </c>
      <c r="AS5" t="s">
        <v>258</v>
      </c>
      <c r="AT5" t="s">
        <v>259</v>
      </c>
      <c r="AU5" t="s">
        <v>260</v>
      </c>
      <c r="AV5" t="s">
        <v>261</v>
      </c>
      <c r="AW5" t="s">
        <v>262</v>
      </c>
      <c r="AX5" t="s">
        <v>263</v>
      </c>
      <c r="AY5" t="s">
        <v>264</v>
      </c>
      <c r="AZ5" t="s">
        <v>265</v>
      </c>
      <c r="BA5" t="s">
        <v>266</v>
      </c>
      <c r="BB5" t="s">
        <v>267</v>
      </c>
      <c r="BC5" t="s">
        <v>268</v>
      </c>
      <c r="BD5" t="s">
        <v>269</v>
      </c>
      <c r="BE5" t="s">
        <v>270</v>
      </c>
      <c r="BF5" t="s">
        <v>271</v>
      </c>
      <c r="BG5" t="s">
        <v>272</v>
      </c>
      <c r="BH5" t="s">
        <v>273</v>
      </c>
      <c r="BI5" t="s">
        <v>274</v>
      </c>
      <c r="BJ5" t="s">
        <v>197</v>
      </c>
      <c r="BK5" t="s">
        <v>161</v>
      </c>
      <c r="BL5" t="s">
        <v>198</v>
      </c>
      <c r="BM5" t="s">
        <v>159</v>
      </c>
      <c r="BN5" t="s">
        <v>275</v>
      </c>
      <c r="BO5" t="s">
        <v>200</v>
      </c>
      <c r="BP5" t="s">
        <v>276</v>
      </c>
      <c r="BQ5" t="s">
        <v>277</v>
      </c>
      <c r="BR5" t="s">
        <v>278</v>
      </c>
      <c r="BS5" t="s">
        <v>279</v>
      </c>
      <c r="BT5" t="s">
        <v>159</v>
      </c>
      <c r="BU5" t="s">
        <v>205</v>
      </c>
      <c r="BV5" t="s">
        <v>199</v>
      </c>
      <c r="BW5" t="s">
        <v>206</v>
      </c>
      <c r="BX5" t="s">
        <v>207</v>
      </c>
      <c r="BY5" t="s">
        <v>171</v>
      </c>
      <c r="BZ5" t="s">
        <v>208</v>
      </c>
      <c r="CA5" t="s">
        <v>171</v>
      </c>
      <c r="CB5" t="s">
        <v>171</v>
      </c>
      <c r="CC5" t="s">
        <v>209</v>
      </c>
      <c r="CD5" t="s">
        <v>210</v>
      </c>
      <c r="CE5" t="s">
        <v>196</v>
      </c>
      <c r="CF5" t="s">
        <v>211</v>
      </c>
      <c r="CG5" t="s">
        <v>212</v>
      </c>
      <c r="CH5" t="s">
        <v>213</v>
      </c>
      <c r="CI5" t="s">
        <v>177</v>
      </c>
      <c r="CJ5" t="s">
        <v>206</v>
      </c>
      <c r="CK5" t="s">
        <v>214</v>
      </c>
      <c r="CL5" t="s">
        <v>214</v>
      </c>
      <c r="CM5" t="s">
        <v>214</v>
      </c>
      <c r="CN5" t="s">
        <v>171</v>
      </c>
      <c r="CO5" t="s">
        <v>215</v>
      </c>
      <c r="CP5" t="s">
        <v>171</v>
      </c>
      <c r="CQ5" t="s">
        <v>171</v>
      </c>
      <c r="CR5" t="s">
        <v>171</v>
      </c>
      <c r="CS5" t="s">
        <v>171</v>
      </c>
      <c r="CT5" t="s">
        <v>280</v>
      </c>
      <c r="CU5" t="s">
        <v>281</v>
      </c>
      <c r="CV5" t="s">
        <v>282</v>
      </c>
      <c r="CW5" t="s">
        <v>283</v>
      </c>
      <c r="CX5" t="s">
        <v>284</v>
      </c>
      <c r="CY5" t="s">
        <v>285</v>
      </c>
      <c r="CZ5" t="s">
        <v>286</v>
      </c>
      <c r="DA5" t="s">
        <v>287</v>
      </c>
      <c r="DB5" t="s">
        <v>246</v>
      </c>
      <c r="DC5" t="s">
        <v>288</v>
      </c>
      <c r="DD5" t="s">
        <v>225</v>
      </c>
      <c r="DE5" t="s">
        <v>226</v>
      </c>
      <c r="DF5" t="s">
        <v>177</v>
      </c>
      <c r="DG5" t="s">
        <v>227</v>
      </c>
      <c r="DH5" t="s">
        <v>228</v>
      </c>
      <c r="DI5" t="s">
        <v>177</v>
      </c>
      <c r="DJ5" t="s">
        <v>229</v>
      </c>
      <c r="DK5" t="s">
        <v>230</v>
      </c>
      <c r="DL5" t="s">
        <v>231</v>
      </c>
      <c r="DM5" t="s">
        <v>171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ht="17.25" customHeight="1" x14ac:dyDescent="0.45">
      <c r="A6" t="s">
        <v>289</v>
      </c>
      <c r="B6" t="s">
        <v>290</v>
      </c>
      <c r="C6" t="s">
        <v>161</v>
      </c>
      <c r="D6" t="s">
        <v>162</v>
      </c>
      <c r="E6" t="s">
        <v>163</v>
      </c>
      <c r="I6" t="s">
        <v>291</v>
      </c>
      <c r="J6">
        <f t="shared" si="0"/>
        <v>0.27458656987050373</v>
      </c>
      <c r="K6">
        <f t="shared" si="1"/>
        <v>2.9066320800000001</v>
      </c>
      <c r="L6">
        <f t="shared" si="2"/>
        <v>0.25088565753103964</v>
      </c>
      <c r="M6">
        <f t="shared" si="3"/>
        <v>1.9975799475433063</v>
      </c>
      <c r="N6" t="s">
        <v>292</v>
      </c>
      <c r="O6" t="s">
        <v>293</v>
      </c>
      <c r="P6">
        <f t="shared" si="4"/>
        <v>3.5875768359973317</v>
      </c>
      <c r="Q6">
        <f t="shared" si="5"/>
        <v>0.77882683599733182</v>
      </c>
      <c r="R6" t="s">
        <v>294</v>
      </c>
      <c r="S6" t="s">
        <v>295</v>
      </c>
      <c r="T6">
        <f t="shared" si="6"/>
        <v>35.513530350399243</v>
      </c>
      <c r="U6">
        <f t="shared" si="7"/>
        <v>0.4417875</v>
      </c>
      <c r="V6" t="s">
        <v>169</v>
      </c>
      <c r="W6" t="s">
        <v>296</v>
      </c>
      <c r="X6" t="s">
        <v>171</v>
      </c>
      <c r="Y6" t="s">
        <v>171</v>
      </c>
      <c r="Z6" t="s">
        <v>171</v>
      </c>
      <c r="AA6" t="s">
        <v>297</v>
      </c>
      <c r="AB6" t="s">
        <v>298</v>
      </c>
      <c r="AC6" t="s">
        <v>299</v>
      </c>
      <c r="AD6" t="s">
        <v>175</v>
      </c>
      <c r="AE6" t="s">
        <v>176</v>
      </c>
      <c r="AF6">
        <f t="shared" si="8"/>
        <v>34.315925280000002</v>
      </c>
      <c r="AG6" t="s">
        <v>177</v>
      </c>
      <c r="AH6" t="s">
        <v>300</v>
      </c>
      <c r="AI6" t="s">
        <v>301</v>
      </c>
      <c r="AJ6" t="s">
        <v>302</v>
      </c>
      <c r="AK6" t="s">
        <v>303</v>
      </c>
      <c r="AL6">
        <f t="shared" si="9"/>
        <v>27.04</v>
      </c>
      <c r="AM6" t="s">
        <v>253</v>
      </c>
      <c r="AN6" t="s">
        <v>304</v>
      </c>
      <c r="AO6" t="s">
        <v>305</v>
      </c>
      <c r="AP6" t="s">
        <v>306</v>
      </c>
      <c r="AQ6" t="s">
        <v>307</v>
      </c>
      <c r="AR6" t="s">
        <v>308</v>
      </c>
      <c r="AS6" t="s">
        <v>188</v>
      </c>
      <c r="AT6" t="s">
        <v>309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265</v>
      </c>
      <c r="BA6" t="s">
        <v>266</v>
      </c>
      <c r="BB6" t="s">
        <v>267</v>
      </c>
      <c r="BC6" t="s">
        <v>315</v>
      </c>
      <c r="BD6" t="s">
        <v>269</v>
      </c>
      <c r="BE6" t="s">
        <v>316</v>
      </c>
      <c r="BF6" t="s">
        <v>317</v>
      </c>
      <c r="BG6" t="s">
        <v>318</v>
      </c>
      <c r="BH6" t="s">
        <v>319</v>
      </c>
      <c r="BI6" t="s">
        <v>320</v>
      </c>
      <c r="BJ6" t="s">
        <v>197</v>
      </c>
      <c r="BK6" t="s">
        <v>161</v>
      </c>
      <c r="BL6" t="s">
        <v>198</v>
      </c>
      <c r="BM6" t="s">
        <v>159</v>
      </c>
      <c r="BN6" t="s">
        <v>321</v>
      </c>
      <c r="BO6" t="s">
        <v>200</v>
      </c>
      <c r="BP6" t="s">
        <v>276</v>
      </c>
      <c r="BQ6" t="s">
        <v>322</v>
      </c>
      <c r="BR6" t="s">
        <v>323</v>
      </c>
      <c r="BS6" t="s">
        <v>324</v>
      </c>
      <c r="BT6" t="s">
        <v>159</v>
      </c>
      <c r="BU6" t="s">
        <v>205</v>
      </c>
      <c r="BV6" t="s">
        <v>199</v>
      </c>
      <c r="BW6" t="s">
        <v>206</v>
      </c>
      <c r="BX6" t="s">
        <v>207</v>
      </c>
      <c r="BY6" t="s">
        <v>171</v>
      </c>
      <c r="BZ6" t="s">
        <v>208</v>
      </c>
      <c r="CA6" t="s">
        <v>171</v>
      </c>
      <c r="CB6" t="s">
        <v>171</v>
      </c>
      <c r="CC6" t="s">
        <v>209</v>
      </c>
      <c r="CD6" t="s">
        <v>210</v>
      </c>
      <c r="CE6" t="s">
        <v>196</v>
      </c>
      <c r="CF6" t="s">
        <v>211</v>
      </c>
      <c r="CG6" t="s">
        <v>212</v>
      </c>
      <c r="CH6" t="s">
        <v>213</v>
      </c>
      <c r="CI6" t="s">
        <v>177</v>
      </c>
      <c r="CJ6" t="s">
        <v>206</v>
      </c>
      <c r="CK6" t="s">
        <v>214</v>
      </c>
      <c r="CL6" t="s">
        <v>214</v>
      </c>
      <c r="CM6" t="s">
        <v>214</v>
      </c>
      <c r="CN6" t="s">
        <v>171</v>
      </c>
      <c r="CO6" t="s">
        <v>215</v>
      </c>
      <c r="CP6" t="s">
        <v>171</v>
      </c>
      <c r="CQ6" t="s">
        <v>171</v>
      </c>
      <c r="CR6" t="s">
        <v>171</v>
      </c>
      <c r="CS6" t="s">
        <v>171</v>
      </c>
      <c r="CT6" t="s">
        <v>325</v>
      </c>
      <c r="CU6" t="s">
        <v>326</v>
      </c>
      <c r="CV6" t="s">
        <v>327</v>
      </c>
      <c r="CW6" t="s">
        <v>328</v>
      </c>
      <c r="CX6" t="s">
        <v>329</v>
      </c>
      <c r="CY6" t="s">
        <v>330</v>
      </c>
      <c r="CZ6" t="s">
        <v>331</v>
      </c>
      <c r="DA6" t="s">
        <v>332</v>
      </c>
      <c r="DB6" t="s">
        <v>297</v>
      </c>
      <c r="DC6" t="s">
        <v>288</v>
      </c>
      <c r="DD6" t="s">
        <v>225</v>
      </c>
      <c r="DE6" t="s">
        <v>226</v>
      </c>
      <c r="DF6" t="s">
        <v>177</v>
      </c>
      <c r="DG6" t="s">
        <v>227</v>
      </c>
      <c r="DH6" t="s">
        <v>228</v>
      </c>
      <c r="DI6" t="s">
        <v>177</v>
      </c>
      <c r="DJ6" t="s">
        <v>229</v>
      </c>
      <c r="DK6" t="s">
        <v>230</v>
      </c>
      <c r="DL6" t="s">
        <v>231</v>
      </c>
      <c r="DM6" t="s">
        <v>171</v>
      </c>
      <c r="DN6" t="s">
        <v>296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ht="17.25" customHeight="1" x14ac:dyDescent="0.45">
      <c r="A7" t="s">
        <v>309</v>
      </c>
      <c r="B7" t="s">
        <v>333</v>
      </c>
      <c r="C7" t="s">
        <v>161</v>
      </c>
      <c r="D7" t="s">
        <v>162</v>
      </c>
      <c r="E7" t="s">
        <v>163</v>
      </c>
      <c r="I7" t="s">
        <v>334</v>
      </c>
      <c r="J7">
        <f t="shared" si="0"/>
        <v>0.35239545727653898</v>
      </c>
      <c r="K7">
        <f t="shared" si="1"/>
        <v>2.9066320800000001</v>
      </c>
      <c r="L7">
        <f t="shared" si="2"/>
        <v>0.31429128144839724</v>
      </c>
      <c r="M7">
        <f t="shared" si="3"/>
        <v>2.3709907425607071</v>
      </c>
      <c r="N7" t="s">
        <v>335</v>
      </c>
      <c r="O7" t="s">
        <v>336</v>
      </c>
      <c r="P7">
        <f t="shared" si="4"/>
        <v>3.560284122883826</v>
      </c>
      <c r="Q7">
        <f t="shared" si="5"/>
        <v>0.73808312288382583</v>
      </c>
      <c r="R7" t="s">
        <v>337</v>
      </c>
      <c r="S7" t="s">
        <v>338</v>
      </c>
      <c r="T7">
        <f t="shared" si="6"/>
        <v>35.243358967371073</v>
      </c>
      <c r="U7">
        <f t="shared" si="7"/>
        <v>0.4417875</v>
      </c>
      <c r="V7" t="s">
        <v>169</v>
      </c>
      <c r="W7" t="s">
        <v>339</v>
      </c>
      <c r="X7" t="s">
        <v>171</v>
      </c>
      <c r="Y7" t="s">
        <v>171</v>
      </c>
      <c r="Z7" t="s">
        <v>171</v>
      </c>
      <c r="AA7" t="s">
        <v>340</v>
      </c>
      <c r="AB7" t="s">
        <v>341</v>
      </c>
      <c r="AC7" t="s">
        <v>342</v>
      </c>
      <c r="AD7" t="s">
        <v>175</v>
      </c>
      <c r="AE7" t="s">
        <v>176</v>
      </c>
      <c r="AF7">
        <f t="shared" si="8"/>
        <v>37.581155639999999</v>
      </c>
      <c r="AG7" t="s">
        <v>177</v>
      </c>
      <c r="AH7" t="s">
        <v>343</v>
      </c>
      <c r="AI7" t="s">
        <v>344</v>
      </c>
      <c r="AJ7" t="s">
        <v>345</v>
      </c>
      <c r="AK7" t="s">
        <v>346</v>
      </c>
      <c r="AL7">
        <f t="shared" si="9"/>
        <v>26.91</v>
      </c>
      <c r="AM7" t="s">
        <v>253</v>
      </c>
      <c r="AN7" t="s">
        <v>304</v>
      </c>
      <c r="AO7" t="s">
        <v>254</v>
      </c>
      <c r="AP7" t="s">
        <v>347</v>
      </c>
      <c r="AQ7" t="s">
        <v>186</v>
      </c>
      <c r="AR7" t="s">
        <v>348</v>
      </c>
      <c r="AS7" t="s">
        <v>349</v>
      </c>
      <c r="AT7" t="s">
        <v>350</v>
      </c>
      <c r="AU7" t="s">
        <v>351</v>
      </c>
      <c r="AV7" t="s">
        <v>352</v>
      </c>
      <c r="AW7" t="s">
        <v>353</v>
      </c>
      <c r="AX7" t="s">
        <v>354</v>
      </c>
      <c r="AY7" t="s">
        <v>355</v>
      </c>
      <c r="AZ7" t="s">
        <v>265</v>
      </c>
      <c r="BA7" t="s">
        <v>266</v>
      </c>
      <c r="BB7" t="s">
        <v>267</v>
      </c>
      <c r="BC7" t="s">
        <v>356</v>
      </c>
      <c r="BD7" t="s">
        <v>269</v>
      </c>
      <c r="BE7" t="s">
        <v>357</v>
      </c>
      <c r="BF7" t="s">
        <v>358</v>
      </c>
      <c r="BG7" t="s">
        <v>359</v>
      </c>
      <c r="BH7" t="s">
        <v>360</v>
      </c>
      <c r="BI7" t="s">
        <v>361</v>
      </c>
      <c r="BJ7" t="s">
        <v>197</v>
      </c>
      <c r="BK7" t="s">
        <v>161</v>
      </c>
      <c r="BL7" t="s">
        <v>198</v>
      </c>
      <c r="BM7" t="s">
        <v>159</v>
      </c>
      <c r="BN7" t="s">
        <v>362</v>
      </c>
      <c r="BO7" t="s">
        <v>199</v>
      </c>
      <c r="BP7" t="s">
        <v>363</v>
      </c>
      <c r="BQ7" t="s">
        <v>364</v>
      </c>
      <c r="BR7" t="s">
        <v>365</v>
      </c>
      <c r="BS7" t="s">
        <v>366</v>
      </c>
      <c r="BT7" t="s">
        <v>159</v>
      </c>
      <c r="BU7" t="s">
        <v>205</v>
      </c>
      <c r="BV7" t="s">
        <v>199</v>
      </c>
      <c r="BW7" t="s">
        <v>206</v>
      </c>
      <c r="BX7" t="s">
        <v>207</v>
      </c>
      <c r="BY7" t="s">
        <v>171</v>
      </c>
      <c r="BZ7" t="s">
        <v>208</v>
      </c>
      <c r="CA7" t="s">
        <v>171</v>
      </c>
      <c r="CB7" t="s">
        <v>171</v>
      </c>
      <c r="CC7" t="s">
        <v>209</v>
      </c>
      <c r="CD7" t="s">
        <v>210</v>
      </c>
      <c r="CE7" t="s">
        <v>196</v>
      </c>
      <c r="CF7" t="s">
        <v>211</v>
      </c>
      <c r="CG7" t="s">
        <v>212</v>
      </c>
      <c r="CH7" t="s">
        <v>213</v>
      </c>
      <c r="CI7" t="s">
        <v>177</v>
      </c>
      <c r="CJ7" t="s">
        <v>206</v>
      </c>
      <c r="CK7" t="s">
        <v>214</v>
      </c>
      <c r="CL7" t="s">
        <v>214</v>
      </c>
      <c r="CM7" t="s">
        <v>214</v>
      </c>
      <c r="CN7" t="s">
        <v>171</v>
      </c>
      <c r="CO7" t="s">
        <v>215</v>
      </c>
      <c r="CP7" t="s">
        <v>171</v>
      </c>
      <c r="CQ7" t="s">
        <v>171</v>
      </c>
      <c r="CR7" t="s">
        <v>171</v>
      </c>
      <c r="CS7" t="s">
        <v>171</v>
      </c>
      <c r="CT7" t="s">
        <v>367</v>
      </c>
      <c r="CU7" t="s">
        <v>368</v>
      </c>
      <c r="CV7" t="s">
        <v>369</v>
      </c>
      <c r="CW7" t="s">
        <v>370</v>
      </c>
      <c r="CX7" t="s">
        <v>371</v>
      </c>
      <c r="CY7" t="s">
        <v>372</v>
      </c>
      <c r="CZ7" t="s">
        <v>373</v>
      </c>
      <c r="DA7" t="s">
        <v>374</v>
      </c>
      <c r="DB7" t="s">
        <v>340</v>
      </c>
      <c r="DC7" t="s">
        <v>375</v>
      </c>
      <c r="DD7" t="s">
        <v>225</v>
      </c>
      <c r="DE7" t="s">
        <v>226</v>
      </c>
      <c r="DF7" t="s">
        <v>177</v>
      </c>
      <c r="DG7" t="s">
        <v>227</v>
      </c>
      <c r="DH7" t="s">
        <v>228</v>
      </c>
      <c r="DI7" t="s">
        <v>177</v>
      </c>
      <c r="DJ7" t="s">
        <v>229</v>
      </c>
      <c r="DK7" t="s">
        <v>230</v>
      </c>
      <c r="DL7" t="s">
        <v>231</v>
      </c>
      <c r="DM7" t="s">
        <v>171</v>
      </c>
      <c r="DN7" t="s">
        <v>339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ht="17.25" customHeight="1" x14ac:dyDescent="0.45">
      <c r="A8" t="s">
        <v>360</v>
      </c>
      <c r="B8" t="s">
        <v>376</v>
      </c>
      <c r="C8" t="s">
        <v>161</v>
      </c>
      <c r="D8" t="s">
        <v>162</v>
      </c>
      <c r="E8" t="s">
        <v>163</v>
      </c>
      <c r="I8" t="s">
        <v>377</v>
      </c>
      <c r="J8">
        <f t="shared" si="0"/>
        <v>0.34375628658205998</v>
      </c>
      <c r="K8">
        <f t="shared" si="1"/>
        <v>2.9042299199999997</v>
      </c>
      <c r="L8">
        <f t="shared" si="2"/>
        <v>0.30737424027742405</v>
      </c>
      <c r="M8">
        <f t="shared" si="3"/>
        <v>2.2978224123609818</v>
      </c>
      <c r="N8" t="s">
        <v>378</v>
      </c>
      <c r="O8" t="s">
        <v>379</v>
      </c>
      <c r="P8">
        <f t="shared" si="4"/>
        <v>3.5665663008194768</v>
      </c>
      <c r="Q8">
        <f t="shared" si="5"/>
        <v>0.73106630081947666</v>
      </c>
      <c r="R8" t="s">
        <v>380</v>
      </c>
      <c r="S8" t="s">
        <v>381</v>
      </c>
      <c r="T8">
        <f t="shared" si="6"/>
        <v>35.309041687154505</v>
      </c>
      <c r="U8">
        <f t="shared" si="7"/>
        <v>0.4417875</v>
      </c>
      <c r="V8" t="s">
        <v>169</v>
      </c>
      <c r="W8" t="s">
        <v>382</v>
      </c>
      <c r="X8" t="s">
        <v>171</v>
      </c>
      <c r="Y8" t="s">
        <v>171</v>
      </c>
      <c r="Z8" t="s">
        <v>171</v>
      </c>
      <c r="AA8" t="s">
        <v>383</v>
      </c>
      <c r="AB8" t="s">
        <v>384</v>
      </c>
      <c r="AC8" t="s">
        <v>385</v>
      </c>
      <c r="AD8" t="s">
        <v>175</v>
      </c>
      <c r="AE8" t="s">
        <v>176</v>
      </c>
      <c r="AF8">
        <f t="shared" si="8"/>
        <v>34.359990419999995</v>
      </c>
      <c r="AG8" t="s">
        <v>177</v>
      </c>
      <c r="AH8" t="s">
        <v>386</v>
      </c>
      <c r="AI8" t="s">
        <v>387</v>
      </c>
      <c r="AJ8" t="s">
        <v>388</v>
      </c>
      <c r="AK8" t="s">
        <v>389</v>
      </c>
      <c r="AL8">
        <f t="shared" si="9"/>
        <v>26.94</v>
      </c>
      <c r="AM8" t="s">
        <v>390</v>
      </c>
      <c r="AN8" t="s">
        <v>391</v>
      </c>
      <c r="AO8" t="s">
        <v>392</v>
      </c>
      <c r="AP8" t="s">
        <v>393</v>
      </c>
      <c r="AQ8" t="s">
        <v>394</v>
      </c>
      <c r="AR8" t="s">
        <v>395</v>
      </c>
      <c r="AS8" t="s">
        <v>396</v>
      </c>
      <c r="AT8" t="s">
        <v>397</v>
      </c>
      <c r="AU8" t="s">
        <v>398</v>
      </c>
      <c r="AV8" t="s">
        <v>399</v>
      </c>
      <c r="AW8" t="s">
        <v>400</v>
      </c>
      <c r="AX8" t="s">
        <v>401</v>
      </c>
      <c r="AY8" t="s">
        <v>402</v>
      </c>
      <c r="AZ8" t="s">
        <v>265</v>
      </c>
      <c r="BA8" t="s">
        <v>403</v>
      </c>
      <c r="BB8" t="s">
        <v>404</v>
      </c>
      <c r="BC8" t="s">
        <v>405</v>
      </c>
      <c r="BD8" t="s">
        <v>269</v>
      </c>
      <c r="BE8" t="s">
        <v>406</v>
      </c>
      <c r="BF8" t="s">
        <v>407</v>
      </c>
      <c r="BG8" t="s">
        <v>408</v>
      </c>
      <c r="BH8" t="s">
        <v>360</v>
      </c>
      <c r="BI8" t="s">
        <v>409</v>
      </c>
      <c r="BJ8" t="s">
        <v>197</v>
      </c>
      <c r="BK8" t="s">
        <v>161</v>
      </c>
      <c r="BL8" t="s">
        <v>198</v>
      </c>
      <c r="BM8" t="s">
        <v>159</v>
      </c>
      <c r="BN8" t="s">
        <v>410</v>
      </c>
      <c r="BO8" t="s">
        <v>411</v>
      </c>
      <c r="BP8" t="s">
        <v>201</v>
      </c>
      <c r="BQ8" t="s">
        <v>412</v>
      </c>
      <c r="BR8" t="s">
        <v>413</v>
      </c>
      <c r="BS8" t="s">
        <v>414</v>
      </c>
      <c r="BT8" t="s">
        <v>159</v>
      </c>
      <c r="BU8" t="s">
        <v>205</v>
      </c>
      <c r="BV8" t="s">
        <v>199</v>
      </c>
      <c r="BW8" t="s">
        <v>206</v>
      </c>
      <c r="BX8" t="s">
        <v>207</v>
      </c>
      <c r="BY8" t="s">
        <v>171</v>
      </c>
      <c r="BZ8" t="s">
        <v>208</v>
      </c>
      <c r="CA8" t="s">
        <v>171</v>
      </c>
      <c r="CB8" t="s">
        <v>171</v>
      </c>
      <c r="CC8" t="s">
        <v>209</v>
      </c>
      <c r="CD8" t="s">
        <v>210</v>
      </c>
      <c r="CE8" t="s">
        <v>196</v>
      </c>
      <c r="CF8" t="s">
        <v>211</v>
      </c>
      <c r="CG8" t="s">
        <v>212</v>
      </c>
      <c r="CH8" t="s">
        <v>213</v>
      </c>
      <c r="CI8" t="s">
        <v>177</v>
      </c>
      <c r="CJ8" t="s">
        <v>206</v>
      </c>
      <c r="CK8" t="s">
        <v>214</v>
      </c>
      <c r="CL8" t="s">
        <v>214</v>
      </c>
      <c r="CM8" t="s">
        <v>214</v>
      </c>
      <c r="CN8" t="s">
        <v>171</v>
      </c>
      <c r="CO8" t="s">
        <v>215</v>
      </c>
      <c r="CP8" t="s">
        <v>171</v>
      </c>
      <c r="CQ8" t="s">
        <v>171</v>
      </c>
      <c r="CR8" t="s">
        <v>171</v>
      </c>
      <c r="CS8" t="s">
        <v>171</v>
      </c>
      <c r="CT8" t="s">
        <v>415</v>
      </c>
      <c r="CU8" t="s">
        <v>416</v>
      </c>
      <c r="CV8" t="s">
        <v>417</v>
      </c>
      <c r="CW8" t="s">
        <v>418</v>
      </c>
      <c r="CX8" t="s">
        <v>419</v>
      </c>
      <c r="CY8" t="s">
        <v>420</v>
      </c>
      <c r="CZ8" t="s">
        <v>421</v>
      </c>
      <c r="DA8" t="s">
        <v>422</v>
      </c>
      <c r="DB8" t="s">
        <v>383</v>
      </c>
      <c r="DC8" t="s">
        <v>224</v>
      </c>
      <c r="DD8" t="s">
        <v>225</v>
      </c>
      <c r="DE8" t="s">
        <v>226</v>
      </c>
      <c r="DF8" t="s">
        <v>177</v>
      </c>
      <c r="DG8" t="s">
        <v>227</v>
      </c>
      <c r="DH8" t="s">
        <v>228</v>
      </c>
      <c r="DI8" t="s">
        <v>177</v>
      </c>
      <c r="DJ8" t="s">
        <v>229</v>
      </c>
      <c r="DK8" t="s">
        <v>230</v>
      </c>
      <c r="DL8" t="s">
        <v>231</v>
      </c>
      <c r="DM8" t="s">
        <v>171</v>
      </c>
      <c r="DN8" t="s">
        <v>382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ht="17.25" customHeight="1" x14ac:dyDescent="0.45">
      <c r="A9" t="s">
        <v>273</v>
      </c>
      <c r="B9" t="s">
        <v>423</v>
      </c>
      <c r="C9" t="s">
        <v>161</v>
      </c>
      <c r="D9" t="s">
        <v>162</v>
      </c>
      <c r="E9" t="s">
        <v>163</v>
      </c>
      <c r="I9" t="s">
        <v>424</v>
      </c>
      <c r="J9">
        <f t="shared" si="0"/>
        <v>0.27283396945939753</v>
      </c>
      <c r="K9">
        <f t="shared" si="1"/>
        <v>2.9058327199999998</v>
      </c>
      <c r="L9">
        <f t="shared" si="2"/>
        <v>0.24941585672118166</v>
      </c>
      <c r="M9">
        <f t="shared" si="3"/>
        <v>1.9684818952813605</v>
      </c>
      <c r="N9" t="s">
        <v>425</v>
      </c>
      <c r="O9" t="s">
        <v>426</v>
      </c>
      <c r="P9">
        <f t="shared" si="4"/>
        <v>3.5960112529152788</v>
      </c>
      <c r="Q9">
        <f t="shared" si="5"/>
        <v>0.77176825291527873</v>
      </c>
      <c r="R9" t="s">
        <v>427</v>
      </c>
      <c r="S9" t="s">
        <v>428</v>
      </c>
      <c r="T9">
        <f t="shared" si="6"/>
        <v>35.600547004408263</v>
      </c>
      <c r="U9">
        <f t="shared" si="7"/>
        <v>0.4417875</v>
      </c>
      <c r="V9" t="s">
        <v>169</v>
      </c>
      <c r="W9" t="s">
        <v>429</v>
      </c>
      <c r="X9" t="s">
        <v>171</v>
      </c>
      <c r="Y9" t="s">
        <v>171</v>
      </c>
      <c r="Z9" t="s">
        <v>171</v>
      </c>
      <c r="AA9" t="s">
        <v>430</v>
      </c>
      <c r="AB9" t="s">
        <v>431</v>
      </c>
      <c r="AC9" t="s">
        <v>432</v>
      </c>
      <c r="AD9" t="s">
        <v>175</v>
      </c>
      <c r="AE9" t="s">
        <v>176</v>
      </c>
      <c r="AF9">
        <f t="shared" si="8"/>
        <v>36.623525399999998</v>
      </c>
      <c r="AG9" t="s">
        <v>177</v>
      </c>
      <c r="AH9" t="s">
        <v>433</v>
      </c>
      <c r="AI9" t="s">
        <v>434</v>
      </c>
      <c r="AJ9" t="s">
        <v>435</v>
      </c>
      <c r="AK9" t="s">
        <v>436</v>
      </c>
      <c r="AL9">
        <f t="shared" si="9"/>
        <v>27.08</v>
      </c>
      <c r="AM9" t="s">
        <v>390</v>
      </c>
      <c r="AN9" t="s">
        <v>437</v>
      </c>
      <c r="AO9" t="s">
        <v>438</v>
      </c>
      <c r="AP9" t="s">
        <v>439</v>
      </c>
      <c r="AQ9" t="s">
        <v>440</v>
      </c>
      <c r="AR9" t="s">
        <v>308</v>
      </c>
      <c r="AS9" t="s">
        <v>441</v>
      </c>
      <c r="AT9" t="s">
        <v>442</v>
      </c>
      <c r="AU9" t="s">
        <v>443</v>
      </c>
      <c r="AV9" t="s">
        <v>444</v>
      </c>
      <c r="AW9" t="s">
        <v>445</v>
      </c>
      <c r="AX9" t="s">
        <v>446</v>
      </c>
      <c r="AY9" t="s">
        <v>447</v>
      </c>
      <c r="AZ9" t="s">
        <v>265</v>
      </c>
      <c r="BA9" t="s">
        <v>403</v>
      </c>
      <c r="BB9" t="s">
        <v>404</v>
      </c>
      <c r="BC9" t="s">
        <v>448</v>
      </c>
      <c r="BD9" t="s">
        <v>269</v>
      </c>
      <c r="BE9" t="s">
        <v>449</v>
      </c>
      <c r="BF9" t="s">
        <v>358</v>
      </c>
      <c r="BG9" t="s">
        <v>450</v>
      </c>
      <c r="BH9" t="s">
        <v>319</v>
      </c>
      <c r="BI9" t="s">
        <v>451</v>
      </c>
      <c r="BJ9" t="s">
        <v>197</v>
      </c>
      <c r="BK9" t="s">
        <v>161</v>
      </c>
      <c r="BL9" t="s">
        <v>198</v>
      </c>
      <c r="BM9" t="s">
        <v>159</v>
      </c>
      <c r="BN9" t="s">
        <v>200</v>
      </c>
      <c r="BO9" t="s">
        <v>200</v>
      </c>
      <c r="BP9" t="s">
        <v>275</v>
      </c>
      <c r="BQ9" t="s">
        <v>452</v>
      </c>
      <c r="BR9" t="s">
        <v>453</v>
      </c>
      <c r="BS9" t="s">
        <v>454</v>
      </c>
      <c r="BT9" t="s">
        <v>159</v>
      </c>
      <c r="BU9" t="s">
        <v>205</v>
      </c>
      <c r="BV9" t="s">
        <v>199</v>
      </c>
      <c r="BW9" t="s">
        <v>206</v>
      </c>
      <c r="BX9" t="s">
        <v>207</v>
      </c>
      <c r="BY9" t="s">
        <v>171</v>
      </c>
      <c r="BZ9" t="s">
        <v>208</v>
      </c>
      <c r="CA9" t="s">
        <v>171</v>
      </c>
      <c r="CB9" t="s">
        <v>171</v>
      </c>
      <c r="CC9" t="s">
        <v>209</v>
      </c>
      <c r="CD9" t="s">
        <v>210</v>
      </c>
      <c r="CE9" t="s">
        <v>196</v>
      </c>
      <c r="CF9" t="s">
        <v>211</v>
      </c>
      <c r="CG9" t="s">
        <v>212</v>
      </c>
      <c r="CH9" t="s">
        <v>213</v>
      </c>
      <c r="CI9" t="s">
        <v>177</v>
      </c>
      <c r="CJ9" t="s">
        <v>206</v>
      </c>
      <c r="CK9" t="s">
        <v>214</v>
      </c>
      <c r="CL9" t="s">
        <v>214</v>
      </c>
      <c r="CM9" t="s">
        <v>214</v>
      </c>
      <c r="CN9" t="s">
        <v>171</v>
      </c>
      <c r="CO9" t="s">
        <v>215</v>
      </c>
      <c r="CP9" t="s">
        <v>171</v>
      </c>
      <c r="CQ9" t="s">
        <v>171</v>
      </c>
      <c r="CR9" t="s">
        <v>171</v>
      </c>
      <c r="CS9" t="s">
        <v>171</v>
      </c>
      <c r="CT9" t="s">
        <v>455</v>
      </c>
      <c r="CU9" t="s">
        <v>456</v>
      </c>
      <c r="CV9" t="s">
        <v>457</v>
      </c>
      <c r="CW9" t="s">
        <v>458</v>
      </c>
      <c r="CX9" t="s">
        <v>459</v>
      </c>
      <c r="CY9" t="s">
        <v>460</v>
      </c>
      <c r="CZ9" t="s">
        <v>461</v>
      </c>
      <c r="DA9" t="s">
        <v>462</v>
      </c>
      <c r="DB9" t="s">
        <v>430</v>
      </c>
      <c r="DC9" t="s">
        <v>463</v>
      </c>
      <c r="DD9" t="s">
        <v>225</v>
      </c>
      <c r="DE9" t="s">
        <v>226</v>
      </c>
      <c r="DF9" t="s">
        <v>177</v>
      </c>
      <c r="DG9" t="s">
        <v>227</v>
      </c>
      <c r="DH9" t="s">
        <v>228</v>
      </c>
      <c r="DI9" t="s">
        <v>177</v>
      </c>
      <c r="DJ9" t="s">
        <v>229</v>
      </c>
      <c r="DK9" t="s">
        <v>230</v>
      </c>
      <c r="DL9" t="s">
        <v>231</v>
      </c>
      <c r="DM9" t="s">
        <v>171</v>
      </c>
      <c r="DN9" t="s">
        <v>429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ht="17.25" customHeight="1" x14ac:dyDescent="0.45">
      <c r="A10" t="s">
        <v>319</v>
      </c>
      <c r="B10" t="s">
        <v>464</v>
      </c>
      <c r="C10" t="s">
        <v>161</v>
      </c>
      <c r="D10" t="s">
        <v>162</v>
      </c>
      <c r="E10" t="s">
        <v>163</v>
      </c>
      <c r="I10" t="s">
        <v>465</v>
      </c>
      <c r="J10">
        <f t="shared" si="0"/>
        <v>0.35200792886821891</v>
      </c>
      <c r="K10">
        <f t="shared" si="1"/>
        <v>2.9058327199999998</v>
      </c>
      <c r="L10">
        <f t="shared" si="2"/>
        <v>0.31397366159086154</v>
      </c>
      <c r="M10">
        <f t="shared" si="3"/>
        <v>2.3297191159309381</v>
      </c>
      <c r="N10" t="s">
        <v>466</v>
      </c>
      <c r="O10" t="s">
        <v>467</v>
      </c>
      <c r="P10">
        <f t="shared" si="4"/>
        <v>3.5939010276421017</v>
      </c>
      <c r="Q10">
        <f t="shared" si="5"/>
        <v>0.72561802764210181</v>
      </c>
      <c r="R10" t="s">
        <v>468</v>
      </c>
      <c r="S10" t="s">
        <v>469</v>
      </c>
      <c r="T10">
        <f t="shared" si="6"/>
        <v>35.576133712552981</v>
      </c>
      <c r="U10">
        <f t="shared" si="7"/>
        <v>0.4417875</v>
      </c>
      <c r="V10" t="s">
        <v>169</v>
      </c>
      <c r="W10" t="s">
        <v>470</v>
      </c>
      <c r="X10" t="s">
        <v>171</v>
      </c>
      <c r="Y10" t="s">
        <v>171</v>
      </c>
      <c r="Z10" t="s">
        <v>171</v>
      </c>
      <c r="AA10" t="s">
        <v>471</v>
      </c>
      <c r="AB10" t="s">
        <v>472</v>
      </c>
      <c r="AC10" t="s">
        <v>473</v>
      </c>
      <c r="AD10" t="s">
        <v>175</v>
      </c>
      <c r="AE10" t="s">
        <v>176</v>
      </c>
      <c r="AF10">
        <f t="shared" si="8"/>
        <v>36.378069840000002</v>
      </c>
      <c r="AG10" t="s">
        <v>177</v>
      </c>
      <c r="AH10" t="s">
        <v>474</v>
      </c>
      <c r="AI10" t="s">
        <v>475</v>
      </c>
      <c r="AJ10" t="s">
        <v>476</v>
      </c>
      <c r="AK10" t="s">
        <v>477</v>
      </c>
      <c r="AL10">
        <f t="shared" si="9"/>
        <v>27.07</v>
      </c>
      <c r="AM10" t="s">
        <v>253</v>
      </c>
      <c r="AN10" t="s">
        <v>437</v>
      </c>
      <c r="AO10" t="s">
        <v>478</v>
      </c>
      <c r="AP10" t="s">
        <v>479</v>
      </c>
      <c r="AQ10" t="s">
        <v>480</v>
      </c>
      <c r="AR10" t="s">
        <v>395</v>
      </c>
      <c r="AS10" t="s">
        <v>349</v>
      </c>
      <c r="AT10" t="s">
        <v>159</v>
      </c>
      <c r="AU10" t="s">
        <v>190</v>
      </c>
      <c r="AV10" t="s">
        <v>481</v>
      </c>
      <c r="AW10" t="s">
        <v>482</v>
      </c>
      <c r="AX10" t="s">
        <v>354</v>
      </c>
      <c r="AY10" t="s">
        <v>483</v>
      </c>
      <c r="AZ10" t="s">
        <v>265</v>
      </c>
      <c r="BA10" t="s">
        <v>484</v>
      </c>
      <c r="BB10" t="s">
        <v>485</v>
      </c>
      <c r="BC10" t="s">
        <v>486</v>
      </c>
      <c r="BD10" t="s">
        <v>269</v>
      </c>
      <c r="BE10" t="s">
        <v>487</v>
      </c>
      <c r="BF10" t="s">
        <v>358</v>
      </c>
      <c r="BG10" t="s">
        <v>488</v>
      </c>
      <c r="BH10" t="s">
        <v>319</v>
      </c>
      <c r="BI10" t="s">
        <v>489</v>
      </c>
      <c r="BJ10" t="s">
        <v>197</v>
      </c>
      <c r="BK10" t="s">
        <v>161</v>
      </c>
      <c r="BL10" t="s">
        <v>198</v>
      </c>
      <c r="BM10" t="s">
        <v>159</v>
      </c>
      <c r="BN10" t="s">
        <v>410</v>
      </c>
      <c r="BO10" t="s">
        <v>199</v>
      </c>
      <c r="BP10" t="s">
        <v>490</v>
      </c>
      <c r="BQ10" t="s">
        <v>491</v>
      </c>
      <c r="BR10" t="s">
        <v>492</v>
      </c>
      <c r="BS10" t="s">
        <v>493</v>
      </c>
      <c r="BT10" t="s">
        <v>159</v>
      </c>
      <c r="BU10" t="s">
        <v>205</v>
      </c>
      <c r="BV10" t="s">
        <v>199</v>
      </c>
      <c r="BW10" t="s">
        <v>206</v>
      </c>
      <c r="BX10" t="s">
        <v>207</v>
      </c>
      <c r="BY10" t="s">
        <v>171</v>
      </c>
      <c r="BZ10" t="s">
        <v>208</v>
      </c>
      <c r="CA10" t="s">
        <v>171</v>
      </c>
      <c r="CB10" t="s">
        <v>171</v>
      </c>
      <c r="CC10" t="s">
        <v>209</v>
      </c>
      <c r="CD10" t="s">
        <v>210</v>
      </c>
      <c r="CE10" t="s">
        <v>196</v>
      </c>
      <c r="CF10" t="s">
        <v>211</v>
      </c>
      <c r="CG10" t="s">
        <v>212</v>
      </c>
      <c r="CH10" t="s">
        <v>213</v>
      </c>
      <c r="CI10" t="s">
        <v>177</v>
      </c>
      <c r="CJ10" t="s">
        <v>206</v>
      </c>
      <c r="CK10" t="s">
        <v>214</v>
      </c>
      <c r="CL10" t="s">
        <v>214</v>
      </c>
      <c r="CM10" t="s">
        <v>214</v>
      </c>
      <c r="CN10" t="s">
        <v>171</v>
      </c>
      <c r="CO10" t="s">
        <v>215</v>
      </c>
      <c r="CP10" t="s">
        <v>171</v>
      </c>
      <c r="CQ10" t="s">
        <v>171</v>
      </c>
      <c r="CR10" t="s">
        <v>171</v>
      </c>
      <c r="CS10" t="s">
        <v>171</v>
      </c>
      <c r="CT10" t="s">
        <v>494</v>
      </c>
      <c r="CU10" t="s">
        <v>495</v>
      </c>
      <c r="CV10" t="s">
        <v>496</v>
      </c>
      <c r="CW10" t="s">
        <v>497</v>
      </c>
      <c r="CX10" t="s">
        <v>498</v>
      </c>
      <c r="CY10" t="s">
        <v>499</v>
      </c>
      <c r="CZ10" t="s">
        <v>500</v>
      </c>
      <c r="DA10" t="s">
        <v>501</v>
      </c>
      <c r="DB10" t="s">
        <v>471</v>
      </c>
      <c r="DC10" t="s">
        <v>502</v>
      </c>
      <c r="DD10" t="s">
        <v>225</v>
      </c>
      <c r="DE10" t="s">
        <v>226</v>
      </c>
      <c r="DF10" t="s">
        <v>177</v>
      </c>
      <c r="DG10" t="s">
        <v>227</v>
      </c>
      <c r="DH10" t="s">
        <v>228</v>
      </c>
      <c r="DI10" t="s">
        <v>177</v>
      </c>
      <c r="DJ10" t="s">
        <v>229</v>
      </c>
      <c r="DK10" t="s">
        <v>230</v>
      </c>
      <c r="DL10" t="s">
        <v>231</v>
      </c>
      <c r="DM10" t="s">
        <v>171</v>
      </c>
      <c r="DN10" t="s">
        <v>470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ht="17.25" customHeight="1" x14ac:dyDescent="0.45">
      <c r="A11" t="s">
        <v>503</v>
      </c>
      <c r="B11" t="s">
        <v>504</v>
      </c>
      <c r="C11" t="s">
        <v>161</v>
      </c>
      <c r="D11" t="s">
        <v>162</v>
      </c>
      <c r="E11" t="s">
        <v>163</v>
      </c>
      <c r="I11" t="s">
        <v>505</v>
      </c>
      <c r="J11">
        <f t="shared" si="0"/>
        <v>0.38759431712511522</v>
      </c>
      <c r="K11">
        <f t="shared" si="1"/>
        <v>2.9042299199999997</v>
      </c>
      <c r="L11">
        <f t="shared" si="2"/>
        <v>0.3419572041306238</v>
      </c>
      <c r="M11">
        <f t="shared" si="3"/>
        <v>2.4563629036412147</v>
      </c>
      <c r="N11" t="s">
        <v>506</v>
      </c>
      <c r="O11" t="s">
        <v>507</v>
      </c>
      <c r="P11">
        <f t="shared" si="4"/>
        <v>3.5686625094010407</v>
      </c>
      <c r="Q11">
        <f t="shared" si="5"/>
        <v>0.70263950940104047</v>
      </c>
      <c r="R11" t="s">
        <v>508</v>
      </c>
      <c r="S11" t="s">
        <v>509</v>
      </c>
      <c r="T11">
        <f t="shared" si="6"/>
        <v>35.326296865977433</v>
      </c>
      <c r="U11">
        <f t="shared" si="7"/>
        <v>0.4417875</v>
      </c>
      <c r="V11" t="s">
        <v>169</v>
      </c>
      <c r="W11" t="s">
        <v>510</v>
      </c>
      <c r="X11" t="s">
        <v>171</v>
      </c>
      <c r="Y11" t="s">
        <v>171</v>
      </c>
      <c r="Z11" t="s">
        <v>171</v>
      </c>
      <c r="AA11" t="s">
        <v>511</v>
      </c>
      <c r="AB11" t="s">
        <v>512</v>
      </c>
      <c r="AC11" t="s">
        <v>513</v>
      </c>
      <c r="AD11" t="s">
        <v>175</v>
      </c>
      <c r="AE11" t="s">
        <v>176</v>
      </c>
      <c r="AF11">
        <f t="shared" si="8"/>
        <v>20.715601199999998</v>
      </c>
      <c r="AG11" t="s">
        <v>177</v>
      </c>
      <c r="AH11" t="s">
        <v>514</v>
      </c>
      <c r="AI11" t="s">
        <v>515</v>
      </c>
      <c r="AJ11" t="s">
        <v>516</v>
      </c>
      <c r="AK11" t="s">
        <v>181</v>
      </c>
      <c r="AL11">
        <f t="shared" si="9"/>
        <v>26.95</v>
      </c>
      <c r="AM11" t="s">
        <v>253</v>
      </c>
      <c r="AN11" t="s">
        <v>391</v>
      </c>
      <c r="AO11" t="s">
        <v>517</v>
      </c>
      <c r="AP11" t="s">
        <v>518</v>
      </c>
      <c r="AQ11" t="s">
        <v>519</v>
      </c>
      <c r="AR11" t="s">
        <v>520</v>
      </c>
      <c r="AS11" t="s">
        <v>521</v>
      </c>
      <c r="AT11" t="s">
        <v>522</v>
      </c>
      <c r="AU11" t="s">
        <v>523</v>
      </c>
      <c r="AV11" t="s">
        <v>524</v>
      </c>
      <c r="AW11" t="s">
        <v>525</v>
      </c>
      <c r="AX11" t="s">
        <v>526</v>
      </c>
      <c r="AY11" t="s">
        <v>527</v>
      </c>
      <c r="AZ11" t="s">
        <v>265</v>
      </c>
      <c r="BA11" t="s">
        <v>484</v>
      </c>
      <c r="BB11" t="s">
        <v>485</v>
      </c>
      <c r="BC11" t="s">
        <v>528</v>
      </c>
      <c r="BD11" t="s">
        <v>269</v>
      </c>
      <c r="BE11" t="s">
        <v>529</v>
      </c>
      <c r="BF11" t="s">
        <v>530</v>
      </c>
      <c r="BG11" t="s">
        <v>531</v>
      </c>
      <c r="BH11" t="s">
        <v>503</v>
      </c>
      <c r="BI11" t="s">
        <v>532</v>
      </c>
      <c r="BJ11" t="s">
        <v>197</v>
      </c>
      <c r="BK11" t="s">
        <v>161</v>
      </c>
      <c r="BL11" t="s">
        <v>198</v>
      </c>
      <c r="BM11" t="s">
        <v>159</v>
      </c>
      <c r="BN11" t="s">
        <v>363</v>
      </c>
      <c r="BO11" t="s">
        <v>199</v>
      </c>
      <c r="BP11" t="s">
        <v>275</v>
      </c>
      <c r="BQ11" t="s">
        <v>533</v>
      </c>
      <c r="BR11" t="s">
        <v>534</v>
      </c>
      <c r="BS11" t="s">
        <v>535</v>
      </c>
      <c r="BT11" t="s">
        <v>159</v>
      </c>
      <c r="BU11" t="s">
        <v>205</v>
      </c>
      <c r="BV11" t="s">
        <v>199</v>
      </c>
      <c r="BW11" t="s">
        <v>206</v>
      </c>
      <c r="BX11" t="s">
        <v>207</v>
      </c>
      <c r="BY11" t="s">
        <v>171</v>
      </c>
      <c r="BZ11" t="s">
        <v>208</v>
      </c>
      <c r="CA11" t="s">
        <v>171</v>
      </c>
      <c r="CB11" t="s">
        <v>171</v>
      </c>
      <c r="CC11" t="s">
        <v>209</v>
      </c>
      <c r="CD11" t="s">
        <v>210</v>
      </c>
      <c r="CE11" t="s">
        <v>196</v>
      </c>
      <c r="CF11" t="s">
        <v>211</v>
      </c>
      <c r="CG11" t="s">
        <v>212</v>
      </c>
      <c r="CH11" t="s">
        <v>213</v>
      </c>
      <c r="CI11" t="s">
        <v>177</v>
      </c>
      <c r="CJ11" t="s">
        <v>206</v>
      </c>
      <c r="CK11" t="s">
        <v>214</v>
      </c>
      <c r="CL11" t="s">
        <v>214</v>
      </c>
      <c r="CM11" t="s">
        <v>214</v>
      </c>
      <c r="CN11" t="s">
        <v>171</v>
      </c>
      <c r="CO11" t="s">
        <v>215</v>
      </c>
      <c r="CP11" t="s">
        <v>171</v>
      </c>
      <c r="CQ11" t="s">
        <v>171</v>
      </c>
      <c r="CR11" t="s">
        <v>171</v>
      </c>
      <c r="CS11" t="s">
        <v>171</v>
      </c>
      <c r="CT11" t="s">
        <v>536</v>
      </c>
      <c r="CU11" t="s">
        <v>537</v>
      </c>
      <c r="CV11" t="s">
        <v>538</v>
      </c>
      <c r="CW11" t="s">
        <v>539</v>
      </c>
      <c r="CX11" t="s">
        <v>540</v>
      </c>
      <c r="CY11" t="s">
        <v>541</v>
      </c>
      <c r="CZ11" t="s">
        <v>542</v>
      </c>
      <c r="DA11" t="s">
        <v>543</v>
      </c>
      <c r="DB11" t="s">
        <v>511</v>
      </c>
      <c r="DC11" t="s">
        <v>544</v>
      </c>
      <c r="DD11" t="s">
        <v>225</v>
      </c>
      <c r="DE11" t="s">
        <v>226</v>
      </c>
      <c r="DF11" t="s">
        <v>177</v>
      </c>
      <c r="DG11" t="s">
        <v>227</v>
      </c>
      <c r="DH11" t="s">
        <v>228</v>
      </c>
      <c r="DI11" t="s">
        <v>177</v>
      </c>
      <c r="DJ11" t="s">
        <v>229</v>
      </c>
      <c r="DK11" t="s">
        <v>230</v>
      </c>
      <c r="DL11" t="s">
        <v>231</v>
      </c>
      <c r="DM11" t="s">
        <v>171</v>
      </c>
      <c r="DN11" t="s">
        <v>510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ht="17.25" customHeight="1" x14ac:dyDescent="0.45">
      <c r="A12" t="s">
        <v>545</v>
      </c>
      <c r="B12" t="s">
        <v>546</v>
      </c>
      <c r="C12" t="s">
        <v>161</v>
      </c>
      <c r="D12" t="s">
        <v>162</v>
      </c>
      <c r="E12" t="s">
        <v>163</v>
      </c>
      <c r="I12" t="s">
        <v>547</v>
      </c>
      <c r="J12">
        <f t="shared" si="0"/>
        <v>0.29584448206174413</v>
      </c>
      <c r="K12">
        <f t="shared" si="1"/>
        <v>2.9058327199999998</v>
      </c>
      <c r="L12">
        <f t="shared" si="2"/>
        <v>0.26850757329716912</v>
      </c>
      <c r="M12">
        <f t="shared" si="3"/>
        <v>2.0614075717353941</v>
      </c>
      <c r="N12" t="s">
        <v>548</v>
      </c>
      <c r="O12" t="s">
        <v>549</v>
      </c>
      <c r="P12">
        <f t="shared" si="4"/>
        <v>3.6235427660436321</v>
      </c>
      <c r="Q12">
        <f t="shared" si="5"/>
        <v>0.75057876604363205</v>
      </c>
      <c r="R12" t="s">
        <v>550</v>
      </c>
      <c r="S12" t="s">
        <v>551</v>
      </c>
      <c r="T12">
        <f t="shared" si="6"/>
        <v>35.869558167131579</v>
      </c>
      <c r="U12">
        <f t="shared" si="7"/>
        <v>0.4417875</v>
      </c>
      <c r="V12" t="s">
        <v>169</v>
      </c>
      <c r="W12" t="s">
        <v>552</v>
      </c>
      <c r="X12" t="s">
        <v>171</v>
      </c>
      <c r="Y12" t="s">
        <v>171</v>
      </c>
      <c r="Z12" t="s">
        <v>171</v>
      </c>
      <c r="AA12" t="s">
        <v>553</v>
      </c>
      <c r="AB12" t="s">
        <v>554</v>
      </c>
      <c r="AC12" t="s">
        <v>555</v>
      </c>
      <c r="AD12" t="s">
        <v>175</v>
      </c>
      <c r="AE12" t="s">
        <v>176</v>
      </c>
      <c r="AF12">
        <f t="shared" si="8"/>
        <v>36.805692000000001</v>
      </c>
      <c r="AG12" t="s">
        <v>177</v>
      </c>
      <c r="AH12" t="s">
        <v>556</v>
      </c>
      <c r="AI12" t="s">
        <v>557</v>
      </c>
      <c r="AJ12" t="s">
        <v>558</v>
      </c>
      <c r="AK12" t="s">
        <v>559</v>
      </c>
      <c r="AL12">
        <f t="shared" si="9"/>
        <v>27.21</v>
      </c>
      <c r="AM12" t="s">
        <v>253</v>
      </c>
      <c r="AN12" t="s">
        <v>437</v>
      </c>
      <c r="AO12" t="s">
        <v>560</v>
      </c>
      <c r="AP12" t="s">
        <v>518</v>
      </c>
      <c r="AQ12" t="s">
        <v>440</v>
      </c>
      <c r="AR12" t="s">
        <v>561</v>
      </c>
      <c r="AS12" t="s">
        <v>188</v>
      </c>
      <c r="AT12" t="s">
        <v>350</v>
      </c>
      <c r="AU12" t="s">
        <v>562</v>
      </c>
      <c r="AV12" t="s">
        <v>563</v>
      </c>
      <c r="AW12" t="s">
        <v>564</v>
      </c>
      <c r="AX12" t="s">
        <v>565</v>
      </c>
      <c r="AY12" t="s">
        <v>566</v>
      </c>
      <c r="AZ12" t="s">
        <v>265</v>
      </c>
      <c r="BA12" t="s">
        <v>567</v>
      </c>
      <c r="BB12" t="s">
        <v>568</v>
      </c>
      <c r="BC12" t="s">
        <v>569</v>
      </c>
      <c r="BD12" t="s">
        <v>269</v>
      </c>
      <c r="BE12" t="s">
        <v>357</v>
      </c>
      <c r="BF12" t="s">
        <v>570</v>
      </c>
      <c r="BG12" t="s">
        <v>571</v>
      </c>
      <c r="BH12" t="s">
        <v>503</v>
      </c>
      <c r="BI12" t="s">
        <v>532</v>
      </c>
      <c r="BJ12" t="s">
        <v>197</v>
      </c>
      <c r="BK12" t="s">
        <v>161</v>
      </c>
      <c r="BL12" t="s">
        <v>198</v>
      </c>
      <c r="BM12" t="s">
        <v>159</v>
      </c>
      <c r="BN12" t="s">
        <v>490</v>
      </c>
      <c r="BO12" t="s">
        <v>200</v>
      </c>
      <c r="BP12" t="s">
        <v>572</v>
      </c>
      <c r="BQ12" t="s">
        <v>573</v>
      </c>
      <c r="BR12" t="s">
        <v>574</v>
      </c>
      <c r="BS12" t="s">
        <v>575</v>
      </c>
      <c r="BT12" t="s">
        <v>159</v>
      </c>
      <c r="BU12" t="s">
        <v>205</v>
      </c>
      <c r="BV12" t="s">
        <v>199</v>
      </c>
      <c r="BW12" t="s">
        <v>206</v>
      </c>
      <c r="BX12" t="s">
        <v>207</v>
      </c>
      <c r="BY12" t="s">
        <v>171</v>
      </c>
      <c r="BZ12" t="s">
        <v>208</v>
      </c>
      <c r="CA12" t="s">
        <v>171</v>
      </c>
      <c r="CB12" t="s">
        <v>171</v>
      </c>
      <c r="CC12" t="s">
        <v>209</v>
      </c>
      <c r="CD12" t="s">
        <v>210</v>
      </c>
      <c r="CE12" t="s">
        <v>196</v>
      </c>
      <c r="CF12" t="s">
        <v>211</v>
      </c>
      <c r="CG12" t="s">
        <v>212</v>
      </c>
      <c r="CH12" t="s">
        <v>213</v>
      </c>
      <c r="CI12" t="s">
        <v>177</v>
      </c>
      <c r="CJ12" t="s">
        <v>206</v>
      </c>
      <c r="CK12" t="s">
        <v>214</v>
      </c>
      <c r="CL12" t="s">
        <v>214</v>
      </c>
      <c r="CM12" t="s">
        <v>214</v>
      </c>
      <c r="CN12" t="s">
        <v>171</v>
      </c>
      <c r="CO12" t="s">
        <v>215</v>
      </c>
      <c r="CP12" t="s">
        <v>171</v>
      </c>
      <c r="CQ12" t="s">
        <v>171</v>
      </c>
      <c r="CR12" t="s">
        <v>171</v>
      </c>
      <c r="CS12" t="s">
        <v>171</v>
      </c>
      <c r="CT12" t="s">
        <v>576</v>
      </c>
      <c r="CU12" t="s">
        <v>577</v>
      </c>
      <c r="CV12" t="s">
        <v>578</v>
      </c>
      <c r="CW12" t="s">
        <v>579</v>
      </c>
      <c r="CX12" t="s">
        <v>580</v>
      </c>
      <c r="CY12" t="s">
        <v>581</v>
      </c>
      <c r="CZ12" t="s">
        <v>582</v>
      </c>
      <c r="DA12" t="s">
        <v>583</v>
      </c>
      <c r="DB12" t="s">
        <v>553</v>
      </c>
      <c r="DC12" t="s">
        <v>224</v>
      </c>
      <c r="DD12" t="s">
        <v>225</v>
      </c>
      <c r="DE12" t="s">
        <v>226</v>
      </c>
      <c r="DF12" t="s">
        <v>177</v>
      </c>
      <c r="DG12" t="s">
        <v>227</v>
      </c>
      <c r="DH12" t="s">
        <v>228</v>
      </c>
      <c r="DI12" t="s">
        <v>177</v>
      </c>
      <c r="DJ12" t="s">
        <v>229</v>
      </c>
      <c r="DK12" t="s">
        <v>230</v>
      </c>
      <c r="DL12" t="s">
        <v>231</v>
      </c>
      <c r="DM12" t="s">
        <v>171</v>
      </c>
      <c r="DN12" t="s">
        <v>552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ht="17.25" customHeight="1" x14ac:dyDescent="0.45">
      <c r="A13" t="s">
        <v>584</v>
      </c>
      <c r="B13" t="s">
        <v>585</v>
      </c>
      <c r="C13" t="s">
        <v>161</v>
      </c>
      <c r="D13" t="s">
        <v>162</v>
      </c>
      <c r="E13" t="s">
        <v>163</v>
      </c>
      <c r="I13" t="s">
        <v>586</v>
      </c>
      <c r="J13">
        <f t="shared" si="0"/>
        <v>0.10941466727485197</v>
      </c>
      <c r="K13">
        <f t="shared" si="1"/>
        <v>2.9074300800000006</v>
      </c>
      <c r="L13">
        <f t="shared" si="2"/>
        <v>0.10544642547994999</v>
      </c>
      <c r="M13">
        <f t="shared" si="3"/>
        <v>0.95747626186906887</v>
      </c>
      <c r="N13" t="s">
        <v>587</v>
      </c>
      <c r="O13" t="s">
        <v>588</v>
      </c>
      <c r="P13">
        <f t="shared" si="4"/>
        <v>3.7180962684962617</v>
      </c>
      <c r="Q13">
        <f t="shared" si="5"/>
        <v>0.88732026849626155</v>
      </c>
      <c r="R13" t="s">
        <v>589</v>
      </c>
      <c r="S13" t="s">
        <v>590</v>
      </c>
      <c r="T13">
        <f t="shared" si="6"/>
        <v>36.809189867302855</v>
      </c>
      <c r="U13">
        <f t="shared" si="7"/>
        <v>0.4417875</v>
      </c>
      <c r="V13" t="s">
        <v>169</v>
      </c>
      <c r="W13" t="s">
        <v>591</v>
      </c>
      <c r="X13" t="s">
        <v>171</v>
      </c>
      <c r="Y13" t="s">
        <v>171</v>
      </c>
      <c r="Z13" t="s">
        <v>171</v>
      </c>
      <c r="AA13" t="s">
        <v>592</v>
      </c>
      <c r="AB13" t="s">
        <v>593</v>
      </c>
      <c r="AC13" t="s">
        <v>594</v>
      </c>
      <c r="AD13" t="s">
        <v>175</v>
      </c>
      <c r="AE13" t="s">
        <v>176</v>
      </c>
      <c r="AF13">
        <f t="shared" si="8"/>
        <v>32.550947520000001</v>
      </c>
      <c r="AG13" t="s">
        <v>177</v>
      </c>
      <c r="AH13" t="s">
        <v>595</v>
      </c>
      <c r="AI13" t="s">
        <v>596</v>
      </c>
      <c r="AJ13" t="s">
        <v>597</v>
      </c>
      <c r="AK13" t="s">
        <v>598</v>
      </c>
      <c r="AL13">
        <f t="shared" si="9"/>
        <v>27.65</v>
      </c>
      <c r="AM13" t="s">
        <v>390</v>
      </c>
      <c r="AN13" t="s">
        <v>599</v>
      </c>
      <c r="AO13" t="s">
        <v>600</v>
      </c>
      <c r="AP13" t="s">
        <v>601</v>
      </c>
      <c r="AQ13" t="s">
        <v>307</v>
      </c>
      <c r="AR13" t="s">
        <v>520</v>
      </c>
      <c r="AS13" t="s">
        <v>602</v>
      </c>
      <c r="AT13" t="s">
        <v>603</v>
      </c>
      <c r="AU13" t="s">
        <v>604</v>
      </c>
      <c r="AV13" t="s">
        <v>605</v>
      </c>
      <c r="AW13" t="s">
        <v>606</v>
      </c>
      <c r="AX13" t="s">
        <v>607</v>
      </c>
      <c r="AY13" t="s">
        <v>608</v>
      </c>
      <c r="AZ13" t="s">
        <v>265</v>
      </c>
      <c r="BA13" t="s">
        <v>567</v>
      </c>
      <c r="BB13" t="s">
        <v>568</v>
      </c>
      <c r="BC13" t="s">
        <v>609</v>
      </c>
      <c r="BD13" t="s">
        <v>269</v>
      </c>
      <c r="BE13" t="s">
        <v>610</v>
      </c>
      <c r="BF13" t="s">
        <v>611</v>
      </c>
      <c r="BG13" t="s">
        <v>612</v>
      </c>
      <c r="BH13" t="s">
        <v>503</v>
      </c>
      <c r="BI13" t="s">
        <v>613</v>
      </c>
      <c r="BJ13" t="s">
        <v>197</v>
      </c>
      <c r="BK13" t="s">
        <v>161</v>
      </c>
      <c r="BL13" t="s">
        <v>198</v>
      </c>
      <c r="BM13" t="s">
        <v>159</v>
      </c>
      <c r="BN13" t="s">
        <v>199</v>
      </c>
      <c r="BO13" t="s">
        <v>200</v>
      </c>
      <c r="BP13" t="s">
        <v>199</v>
      </c>
      <c r="BQ13" t="s">
        <v>614</v>
      </c>
      <c r="BR13" t="s">
        <v>615</v>
      </c>
      <c r="BS13" t="s">
        <v>616</v>
      </c>
      <c r="BT13" t="s">
        <v>159</v>
      </c>
      <c r="BU13" t="s">
        <v>205</v>
      </c>
      <c r="BV13" t="s">
        <v>199</v>
      </c>
      <c r="BW13" t="s">
        <v>206</v>
      </c>
      <c r="BX13" t="s">
        <v>207</v>
      </c>
      <c r="BY13" t="s">
        <v>171</v>
      </c>
      <c r="BZ13" t="s">
        <v>208</v>
      </c>
      <c r="CA13" t="s">
        <v>171</v>
      </c>
      <c r="CB13" t="s">
        <v>171</v>
      </c>
      <c r="CC13" t="s">
        <v>209</v>
      </c>
      <c r="CD13" t="s">
        <v>210</v>
      </c>
      <c r="CE13" t="s">
        <v>196</v>
      </c>
      <c r="CF13" t="s">
        <v>211</v>
      </c>
      <c r="CG13" t="s">
        <v>212</v>
      </c>
      <c r="CH13" t="s">
        <v>213</v>
      </c>
      <c r="CI13" t="s">
        <v>177</v>
      </c>
      <c r="CJ13" t="s">
        <v>206</v>
      </c>
      <c r="CK13" t="s">
        <v>214</v>
      </c>
      <c r="CL13" t="s">
        <v>214</v>
      </c>
      <c r="CM13" t="s">
        <v>214</v>
      </c>
      <c r="CN13" t="s">
        <v>171</v>
      </c>
      <c r="CO13" t="s">
        <v>215</v>
      </c>
      <c r="CP13" t="s">
        <v>171</v>
      </c>
      <c r="CQ13" t="s">
        <v>171</v>
      </c>
      <c r="CR13" t="s">
        <v>171</v>
      </c>
      <c r="CS13" t="s">
        <v>171</v>
      </c>
      <c r="CT13" t="s">
        <v>617</v>
      </c>
      <c r="CU13" t="s">
        <v>618</v>
      </c>
      <c r="CV13" t="s">
        <v>619</v>
      </c>
      <c r="CW13" t="s">
        <v>620</v>
      </c>
      <c r="CX13" t="s">
        <v>621</v>
      </c>
      <c r="CY13" t="s">
        <v>622</v>
      </c>
      <c r="CZ13" t="s">
        <v>623</v>
      </c>
      <c r="DA13" t="s">
        <v>624</v>
      </c>
      <c r="DB13" t="s">
        <v>592</v>
      </c>
      <c r="DC13" t="s">
        <v>625</v>
      </c>
      <c r="DD13" t="s">
        <v>225</v>
      </c>
      <c r="DE13" t="s">
        <v>226</v>
      </c>
      <c r="DF13" t="s">
        <v>177</v>
      </c>
      <c r="DG13" t="s">
        <v>227</v>
      </c>
      <c r="DH13" t="s">
        <v>228</v>
      </c>
      <c r="DI13" t="s">
        <v>177</v>
      </c>
      <c r="DJ13" t="s">
        <v>229</v>
      </c>
      <c r="DK13" t="s">
        <v>230</v>
      </c>
      <c r="DL13" t="s">
        <v>231</v>
      </c>
      <c r="DM13" t="s">
        <v>171</v>
      </c>
      <c r="DN13" t="s">
        <v>591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ht="17.25" customHeight="1" x14ac:dyDescent="0.45">
      <c r="A14" t="s">
        <v>626</v>
      </c>
      <c r="B14" t="s">
        <v>627</v>
      </c>
      <c r="C14" t="s">
        <v>161</v>
      </c>
      <c r="D14" t="s">
        <v>162</v>
      </c>
      <c r="E14" t="s">
        <v>163</v>
      </c>
      <c r="I14" t="s">
        <v>628</v>
      </c>
      <c r="J14">
        <f t="shared" si="0"/>
        <v>0.1745473211128484</v>
      </c>
      <c r="K14">
        <f t="shared" si="1"/>
        <v>2.9050319999999994</v>
      </c>
      <c r="L14">
        <f t="shared" si="2"/>
        <v>0.16465416229768198</v>
      </c>
      <c r="M14">
        <f t="shared" si="3"/>
        <v>1.4093010686506886</v>
      </c>
      <c r="N14" t="s">
        <v>629</v>
      </c>
      <c r="O14" t="s">
        <v>630</v>
      </c>
      <c r="P14">
        <f t="shared" si="4"/>
        <v>3.668405458679199</v>
      </c>
      <c r="Q14">
        <f t="shared" si="5"/>
        <v>0.83690645867919899</v>
      </c>
      <c r="R14" t="s">
        <v>631</v>
      </c>
      <c r="S14" t="s">
        <v>632</v>
      </c>
      <c r="T14">
        <f t="shared" si="6"/>
        <v>36.313655302704404</v>
      </c>
      <c r="U14">
        <f t="shared" si="7"/>
        <v>0.4417875</v>
      </c>
      <c r="V14" t="s">
        <v>169</v>
      </c>
      <c r="W14" t="s">
        <v>633</v>
      </c>
      <c r="X14" t="s">
        <v>171</v>
      </c>
      <c r="Y14" t="s">
        <v>171</v>
      </c>
      <c r="Z14" t="s">
        <v>171</v>
      </c>
      <c r="AA14" t="s">
        <v>634</v>
      </c>
      <c r="AB14" t="s">
        <v>635</v>
      </c>
      <c r="AC14" t="s">
        <v>636</v>
      </c>
      <c r="AD14" t="s">
        <v>175</v>
      </c>
      <c r="AE14" t="s">
        <v>176</v>
      </c>
      <c r="AF14">
        <f t="shared" si="8"/>
        <v>32.252095680000004</v>
      </c>
      <c r="AG14" t="s">
        <v>177</v>
      </c>
      <c r="AH14" t="s">
        <v>637</v>
      </c>
      <c r="AI14" t="s">
        <v>638</v>
      </c>
      <c r="AJ14" t="s">
        <v>639</v>
      </c>
      <c r="AK14" t="s">
        <v>640</v>
      </c>
      <c r="AL14">
        <f t="shared" si="9"/>
        <v>27.42</v>
      </c>
      <c r="AM14" t="s">
        <v>253</v>
      </c>
      <c r="AN14" t="s">
        <v>183</v>
      </c>
      <c r="AO14" t="s">
        <v>641</v>
      </c>
      <c r="AP14" t="s">
        <v>642</v>
      </c>
      <c r="AQ14" t="s">
        <v>643</v>
      </c>
      <c r="AR14" t="s">
        <v>561</v>
      </c>
      <c r="AS14" t="s">
        <v>349</v>
      </c>
      <c r="AT14" t="s">
        <v>644</v>
      </c>
      <c r="AU14" t="s">
        <v>645</v>
      </c>
      <c r="AV14" t="s">
        <v>646</v>
      </c>
      <c r="AW14" t="s">
        <v>647</v>
      </c>
      <c r="AX14" t="s">
        <v>648</v>
      </c>
      <c r="AY14" t="s">
        <v>649</v>
      </c>
      <c r="AZ14" t="s">
        <v>265</v>
      </c>
      <c r="BA14" t="s">
        <v>567</v>
      </c>
      <c r="BB14" t="s">
        <v>568</v>
      </c>
      <c r="BC14" t="s">
        <v>650</v>
      </c>
      <c r="BD14" t="s">
        <v>269</v>
      </c>
      <c r="BE14" t="s">
        <v>610</v>
      </c>
      <c r="BF14" t="s">
        <v>651</v>
      </c>
      <c r="BG14" t="s">
        <v>652</v>
      </c>
      <c r="BH14" t="s">
        <v>545</v>
      </c>
      <c r="BI14" t="s">
        <v>653</v>
      </c>
      <c r="BJ14" t="s">
        <v>197</v>
      </c>
      <c r="BK14" t="s">
        <v>161</v>
      </c>
      <c r="BL14" t="s">
        <v>198</v>
      </c>
      <c r="BM14" t="s">
        <v>159</v>
      </c>
      <c r="BN14" t="s">
        <v>411</v>
      </c>
      <c r="BO14" t="s">
        <v>200</v>
      </c>
      <c r="BP14" t="s">
        <v>654</v>
      </c>
      <c r="BQ14" t="s">
        <v>655</v>
      </c>
      <c r="BR14" t="s">
        <v>656</v>
      </c>
      <c r="BS14" t="s">
        <v>490</v>
      </c>
      <c r="BT14" t="s">
        <v>159</v>
      </c>
      <c r="BU14" t="s">
        <v>205</v>
      </c>
      <c r="BV14" t="s">
        <v>199</v>
      </c>
      <c r="BW14" t="s">
        <v>206</v>
      </c>
      <c r="BX14" t="s">
        <v>207</v>
      </c>
      <c r="BY14" t="s">
        <v>171</v>
      </c>
      <c r="BZ14" t="s">
        <v>208</v>
      </c>
      <c r="CA14" t="s">
        <v>171</v>
      </c>
      <c r="CB14" t="s">
        <v>171</v>
      </c>
      <c r="CC14" t="s">
        <v>209</v>
      </c>
      <c r="CD14" t="s">
        <v>210</v>
      </c>
      <c r="CE14" t="s">
        <v>196</v>
      </c>
      <c r="CF14" t="s">
        <v>211</v>
      </c>
      <c r="CG14" t="s">
        <v>212</v>
      </c>
      <c r="CH14" t="s">
        <v>213</v>
      </c>
      <c r="CI14" t="s">
        <v>177</v>
      </c>
      <c r="CJ14" t="s">
        <v>206</v>
      </c>
      <c r="CK14" t="s">
        <v>214</v>
      </c>
      <c r="CL14" t="s">
        <v>214</v>
      </c>
      <c r="CM14" t="s">
        <v>214</v>
      </c>
      <c r="CN14" t="s">
        <v>171</v>
      </c>
      <c r="CO14" t="s">
        <v>215</v>
      </c>
      <c r="CP14" t="s">
        <v>171</v>
      </c>
      <c r="CQ14" t="s">
        <v>171</v>
      </c>
      <c r="CR14" t="s">
        <v>171</v>
      </c>
      <c r="CS14" t="s">
        <v>171</v>
      </c>
      <c r="CT14" t="s">
        <v>657</v>
      </c>
      <c r="CU14" t="s">
        <v>658</v>
      </c>
      <c r="CV14" t="s">
        <v>659</v>
      </c>
      <c r="CW14" t="s">
        <v>660</v>
      </c>
      <c r="CX14" t="s">
        <v>661</v>
      </c>
      <c r="CY14" t="s">
        <v>662</v>
      </c>
      <c r="CZ14" t="s">
        <v>663</v>
      </c>
      <c r="DA14" t="s">
        <v>664</v>
      </c>
      <c r="DB14" t="s">
        <v>634</v>
      </c>
      <c r="DC14" t="s">
        <v>502</v>
      </c>
      <c r="DD14" t="s">
        <v>225</v>
      </c>
      <c r="DE14" t="s">
        <v>226</v>
      </c>
      <c r="DF14" t="s">
        <v>177</v>
      </c>
      <c r="DG14" t="s">
        <v>227</v>
      </c>
      <c r="DH14" t="s">
        <v>228</v>
      </c>
      <c r="DI14" t="s">
        <v>177</v>
      </c>
      <c r="DJ14" t="s">
        <v>229</v>
      </c>
      <c r="DK14" t="s">
        <v>230</v>
      </c>
      <c r="DL14" t="s">
        <v>231</v>
      </c>
      <c r="DM14" t="s">
        <v>171</v>
      </c>
      <c r="DN14" t="s">
        <v>633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ht="17.25" customHeight="1" x14ac:dyDescent="0.45">
      <c r="A15" t="s">
        <v>665</v>
      </c>
      <c r="B15" t="s">
        <v>666</v>
      </c>
      <c r="C15" t="s">
        <v>161</v>
      </c>
      <c r="D15" t="s">
        <v>162</v>
      </c>
      <c r="E15" t="s">
        <v>163</v>
      </c>
      <c r="I15" t="s">
        <v>667</v>
      </c>
      <c r="J15">
        <f t="shared" si="0"/>
        <v>0.1798177500065706</v>
      </c>
      <c r="K15">
        <f t="shared" si="1"/>
        <v>2.9050319999999994</v>
      </c>
      <c r="L15">
        <f t="shared" si="2"/>
        <v>0.16933606505016174</v>
      </c>
      <c r="M15">
        <f t="shared" si="3"/>
        <v>1.4310792878571608</v>
      </c>
      <c r="N15" t="s">
        <v>668</v>
      </c>
      <c r="O15" t="s">
        <v>669</v>
      </c>
      <c r="P15">
        <f t="shared" si="4"/>
        <v>3.6641120382445984</v>
      </c>
      <c r="Q15">
        <f t="shared" si="5"/>
        <v>0.82605303824459853</v>
      </c>
      <c r="R15" t="s">
        <v>670</v>
      </c>
      <c r="S15" t="s">
        <v>671</v>
      </c>
      <c r="T15">
        <f t="shared" si="6"/>
        <v>36.274745453366975</v>
      </c>
      <c r="U15">
        <f t="shared" si="7"/>
        <v>0.4417875</v>
      </c>
      <c r="V15" t="s">
        <v>169</v>
      </c>
      <c r="W15" t="s">
        <v>672</v>
      </c>
      <c r="X15" t="s">
        <v>171</v>
      </c>
      <c r="Y15" t="s">
        <v>171</v>
      </c>
      <c r="Z15" t="s">
        <v>171</v>
      </c>
      <c r="AA15" t="s">
        <v>673</v>
      </c>
      <c r="AB15" t="s">
        <v>674</v>
      </c>
      <c r="AC15" t="s">
        <v>675</v>
      </c>
      <c r="AD15" t="s">
        <v>175</v>
      </c>
      <c r="AE15" t="s">
        <v>176</v>
      </c>
      <c r="AF15">
        <f t="shared" si="8"/>
        <v>37.337838720000001</v>
      </c>
      <c r="AG15" t="s">
        <v>177</v>
      </c>
      <c r="AH15" t="s">
        <v>637</v>
      </c>
      <c r="AI15" t="s">
        <v>676</v>
      </c>
      <c r="AJ15" t="s">
        <v>677</v>
      </c>
      <c r="AK15" t="s">
        <v>678</v>
      </c>
      <c r="AL15">
        <f t="shared" si="9"/>
        <v>27.4</v>
      </c>
      <c r="AM15" t="s">
        <v>390</v>
      </c>
      <c r="AN15" t="s">
        <v>183</v>
      </c>
      <c r="AO15" t="s">
        <v>679</v>
      </c>
      <c r="AP15" t="s">
        <v>680</v>
      </c>
      <c r="AQ15" t="s">
        <v>681</v>
      </c>
      <c r="AR15" t="s">
        <v>682</v>
      </c>
      <c r="AS15" t="s">
        <v>683</v>
      </c>
      <c r="AT15" t="s">
        <v>273</v>
      </c>
      <c r="AU15" t="s">
        <v>684</v>
      </c>
      <c r="AV15" t="s">
        <v>685</v>
      </c>
      <c r="AW15" t="s">
        <v>686</v>
      </c>
      <c r="AX15" t="s">
        <v>687</v>
      </c>
      <c r="AY15" t="s">
        <v>688</v>
      </c>
      <c r="AZ15" t="s">
        <v>265</v>
      </c>
      <c r="BA15" t="s">
        <v>689</v>
      </c>
      <c r="BB15" t="s">
        <v>690</v>
      </c>
      <c r="BC15" t="s">
        <v>691</v>
      </c>
      <c r="BD15" t="s">
        <v>269</v>
      </c>
      <c r="BE15" t="s">
        <v>692</v>
      </c>
      <c r="BF15" t="s">
        <v>693</v>
      </c>
      <c r="BG15" t="s">
        <v>694</v>
      </c>
      <c r="BH15" t="s">
        <v>503</v>
      </c>
      <c r="BI15" t="s">
        <v>695</v>
      </c>
      <c r="BJ15" t="s">
        <v>197</v>
      </c>
      <c r="BK15" t="s">
        <v>161</v>
      </c>
      <c r="BL15" t="s">
        <v>198</v>
      </c>
      <c r="BM15" t="s">
        <v>159</v>
      </c>
      <c r="BN15" t="s">
        <v>411</v>
      </c>
      <c r="BO15" t="s">
        <v>200</v>
      </c>
      <c r="BP15" t="s">
        <v>321</v>
      </c>
      <c r="BQ15" t="s">
        <v>696</v>
      </c>
      <c r="BR15" t="s">
        <v>697</v>
      </c>
      <c r="BS15" t="s">
        <v>698</v>
      </c>
      <c r="BT15" t="s">
        <v>159</v>
      </c>
      <c r="BU15" t="s">
        <v>205</v>
      </c>
      <c r="BV15" t="s">
        <v>199</v>
      </c>
      <c r="BW15" t="s">
        <v>206</v>
      </c>
      <c r="BX15" t="s">
        <v>207</v>
      </c>
      <c r="BY15" t="s">
        <v>171</v>
      </c>
      <c r="BZ15" t="s">
        <v>208</v>
      </c>
      <c r="CA15" t="s">
        <v>171</v>
      </c>
      <c r="CB15" t="s">
        <v>171</v>
      </c>
      <c r="CC15" t="s">
        <v>209</v>
      </c>
      <c r="CD15" t="s">
        <v>210</v>
      </c>
      <c r="CE15" t="s">
        <v>196</v>
      </c>
      <c r="CF15" t="s">
        <v>211</v>
      </c>
      <c r="CG15" t="s">
        <v>212</v>
      </c>
      <c r="CH15" t="s">
        <v>213</v>
      </c>
      <c r="CI15" t="s">
        <v>177</v>
      </c>
      <c r="CJ15" t="s">
        <v>206</v>
      </c>
      <c r="CK15" t="s">
        <v>214</v>
      </c>
      <c r="CL15" t="s">
        <v>214</v>
      </c>
      <c r="CM15" t="s">
        <v>214</v>
      </c>
      <c r="CN15" t="s">
        <v>171</v>
      </c>
      <c r="CO15" t="s">
        <v>215</v>
      </c>
      <c r="CP15" t="s">
        <v>171</v>
      </c>
      <c r="CQ15" t="s">
        <v>171</v>
      </c>
      <c r="CR15" t="s">
        <v>171</v>
      </c>
      <c r="CS15" t="s">
        <v>171</v>
      </c>
      <c r="CT15" t="s">
        <v>699</v>
      </c>
      <c r="CU15" t="s">
        <v>700</v>
      </c>
      <c r="CV15" t="s">
        <v>701</v>
      </c>
      <c r="CW15" t="s">
        <v>702</v>
      </c>
      <c r="CX15" t="s">
        <v>703</v>
      </c>
      <c r="CY15" t="s">
        <v>704</v>
      </c>
      <c r="CZ15" t="s">
        <v>705</v>
      </c>
      <c r="DA15" t="s">
        <v>706</v>
      </c>
      <c r="DB15" t="s">
        <v>673</v>
      </c>
      <c r="DC15" t="s">
        <v>502</v>
      </c>
      <c r="DD15" t="s">
        <v>225</v>
      </c>
      <c r="DE15" t="s">
        <v>226</v>
      </c>
      <c r="DF15" t="s">
        <v>177</v>
      </c>
      <c r="DG15" t="s">
        <v>227</v>
      </c>
      <c r="DH15" t="s">
        <v>228</v>
      </c>
      <c r="DI15" t="s">
        <v>177</v>
      </c>
      <c r="DJ15" t="s">
        <v>229</v>
      </c>
      <c r="DK15" t="s">
        <v>230</v>
      </c>
      <c r="DL15" t="s">
        <v>231</v>
      </c>
      <c r="DM15" t="s">
        <v>171</v>
      </c>
      <c r="DN15" t="s">
        <v>672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ht="17.25" customHeight="1" x14ac:dyDescent="0.45">
      <c r="A16" t="s">
        <v>707</v>
      </c>
      <c r="B16" t="s">
        <v>708</v>
      </c>
      <c r="C16" t="s">
        <v>161</v>
      </c>
      <c r="D16" t="s">
        <v>162</v>
      </c>
      <c r="E16" t="s">
        <v>163</v>
      </c>
      <c r="I16" t="s">
        <v>709</v>
      </c>
      <c r="J16">
        <f t="shared" si="0"/>
        <v>0.13245390648251379</v>
      </c>
      <c r="K16">
        <f t="shared" si="1"/>
        <v>2.9050319999999994</v>
      </c>
      <c r="L16">
        <f t="shared" si="2"/>
        <v>0.12667806492057057</v>
      </c>
      <c r="M16">
        <f t="shared" si="3"/>
        <v>1.1073241755268031</v>
      </c>
      <c r="N16" t="s">
        <v>710</v>
      </c>
      <c r="O16" t="s">
        <v>711</v>
      </c>
      <c r="P16">
        <f t="shared" si="4"/>
        <v>3.7180962684962617</v>
      </c>
      <c r="Q16">
        <f t="shared" si="5"/>
        <v>0.8543302684962617</v>
      </c>
      <c r="R16" t="s">
        <v>712</v>
      </c>
      <c r="S16" t="s">
        <v>713</v>
      </c>
      <c r="T16">
        <f t="shared" si="6"/>
        <v>36.80554611459376</v>
      </c>
      <c r="U16">
        <f t="shared" si="7"/>
        <v>0.4417875</v>
      </c>
      <c r="V16" t="s">
        <v>169</v>
      </c>
      <c r="W16" t="s">
        <v>714</v>
      </c>
      <c r="X16" t="s">
        <v>171</v>
      </c>
      <c r="Y16" t="s">
        <v>171</v>
      </c>
      <c r="Z16" t="s">
        <v>171</v>
      </c>
      <c r="AA16" t="s">
        <v>715</v>
      </c>
      <c r="AB16" t="s">
        <v>716</v>
      </c>
      <c r="AC16" t="s">
        <v>717</v>
      </c>
      <c r="AD16" t="s">
        <v>175</v>
      </c>
      <c r="AE16" t="s">
        <v>176</v>
      </c>
      <c r="AF16">
        <f t="shared" si="8"/>
        <v>38.078389440000002</v>
      </c>
      <c r="AG16" t="s">
        <v>177</v>
      </c>
      <c r="AH16" t="s">
        <v>718</v>
      </c>
      <c r="AI16" t="s">
        <v>719</v>
      </c>
      <c r="AJ16" t="s">
        <v>720</v>
      </c>
      <c r="AK16" t="s">
        <v>598</v>
      </c>
      <c r="AL16">
        <f t="shared" si="9"/>
        <v>27.65</v>
      </c>
      <c r="AM16" t="s">
        <v>253</v>
      </c>
      <c r="AN16" t="s">
        <v>183</v>
      </c>
      <c r="AO16" t="s">
        <v>721</v>
      </c>
      <c r="AP16" t="s">
        <v>722</v>
      </c>
      <c r="AQ16" t="s">
        <v>723</v>
      </c>
      <c r="AR16" t="s">
        <v>682</v>
      </c>
      <c r="AS16" t="s">
        <v>188</v>
      </c>
      <c r="AT16" t="s">
        <v>724</v>
      </c>
      <c r="AU16" t="s">
        <v>725</v>
      </c>
      <c r="AV16" t="s">
        <v>726</v>
      </c>
      <c r="AW16" t="s">
        <v>727</v>
      </c>
      <c r="AX16" t="s">
        <v>728</v>
      </c>
      <c r="AY16" t="s">
        <v>729</v>
      </c>
      <c r="AZ16" t="s">
        <v>265</v>
      </c>
      <c r="BA16" t="s">
        <v>689</v>
      </c>
      <c r="BB16" t="s">
        <v>690</v>
      </c>
      <c r="BC16" t="s">
        <v>730</v>
      </c>
      <c r="BD16" t="s">
        <v>269</v>
      </c>
      <c r="BE16" t="s">
        <v>731</v>
      </c>
      <c r="BF16" t="s">
        <v>732</v>
      </c>
      <c r="BG16" t="s">
        <v>694</v>
      </c>
      <c r="BH16" t="s">
        <v>503</v>
      </c>
      <c r="BI16" t="s">
        <v>613</v>
      </c>
      <c r="BJ16" t="s">
        <v>197</v>
      </c>
      <c r="BK16" t="s">
        <v>161</v>
      </c>
      <c r="BL16" t="s">
        <v>198</v>
      </c>
      <c r="BM16" t="s">
        <v>159</v>
      </c>
      <c r="BN16" t="s">
        <v>321</v>
      </c>
      <c r="BO16" t="s">
        <v>199</v>
      </c>
      <c r="BP16" t="s">
        <v>490</v>
      </c>
      <c r="BQ16" t="s">
        <v>733</v>
      </c>
      <c r="BR16" t="s">
        <v>734</v>
      </c>
      <c r="BS16" t="s">
        <v>735</v>
      </c>
      <c r="BT16" t="s">
        <v>159</v>
      </c>
      <c r="BU16" t="s">
        <v>205</v>
      </c>
      <c r="BV16" t="s">
        <v>199</v>
      </c>
      <c r="BW16" t="s">
        <v>206</v>
      </c>
      <c r="BX16" t="s">
        <v>207</v>
      </c>
      <c r="BY16" t="s">
        <v>171</v>
      </c>
      <c r="BZ16" t="s">
        <v>208</v>
      </c>
      <c r="CA16" t="s">
        <v>171</v>
      </c>
      <c r="CB16" t="s">
        <v>171</v>
      </c>
      <c r="CC16" t="s">
        <v>209</v>
      </c>
      <c r="CD16" t="s">
        <v>210</v>
      </c>
      <c r="CE16" t="s">
        <v>196</v>
      </c>
      <c r="CF16" t="s">
        <v>211</v>
      </c>
      <c r="CG16" t="s">
        <v>212</v>
      </c>
      <c r="CH16" t="s">
        <v>213</v>
      </c>
      <c r="CI16" t="s">
        <v>177</v>
      </c>
      <c r="CJ16" t="s">
        <v>206</v>
      </c>
      <c r="CK16" t="s">
        <v>214</v>
      </c>
      <c r="CL16" t="s">
        <v>214</v>
      </c>
      <c r="CM16" t="s">
        <v>214</v>
      </c>
      <c r="CN16" t="s">
        <v>171</v>
      </c>
      <c r="CO16" t="s">
        <v>215</v>
      </c>
      <c r="CP16" t="s">
        <v>171</v>
      </c>
      <c r="CQ16" t="s">
        <v>171</v>
      </c>
      <c r="CR16" t="s">
        <v>171</v>
      </c>
      <c r="CS16" t="s">
        <v>171</v>
      </c>
      <c r="CT16" t="s">
        <v>736</v>
      </c>
      <c r="CU16" t="s">
        <v>737</v>
      </c>
      <c r="CV16" t="s">
        <v>738</v>
      </c>
      <c r="CW16" t="s">
        <v>739</v>
      </c>
      <c r="CX16" t="s">
        <v>740</v>
      </c>
      <c r="CY16" t="s">
        <v>741</v>
      </c>
      <c r="CZ16" t="s">
        <v>742</v>
      </c>
      <c r="DA16" t="s">
        <v>743</v>
      </c>
      <c r="DB16" t="s">
        <v>715</v>
      </c>
      <c r="DC16" t="s">
        <v>744</v>
      </c>
      <c r="DD16" t="s">
        <v>225</v>
      </c>
      <c r="DE16" t="s">
        <v>226</v>
      </c>
      <c r="DF16" t="s">
        <v>177</v>
      </c>
      <c r="DG16" t="s">
        <v>227</v>
      </c>
      <c r="DH16" t="s">
        <v>228</v>
      </c>
      <c r="DI16" t="s">
        <v>177</v>
      </c>
      <c r="DJ16" t="s">
        <v>229</v>
      </c>
      <c r="DK16" t="s">
        <v>230</v>
      </c>
      <c r="DL16" t="s">
        <v>231</v>
      </c>
      <c r="DM16" t="s">
        <v>171</v>
      </c>
      <c r="DN16" t="s">
        <v>714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ht="17.25" customHeight="1" x14ac:dyDescent="0.45">
      <c r="A17" t="s">
        <v>745</v>
      </c>
      <c r="B17" t="s">
        <v>746</v>
      </c>
      <c r="C17" t="s">
        <v>161</v>
      </c>
      <c r="D17" t="s">
        <v>162</v>
      </c>
      <c r="E17" t="s">
        <v>163</v>
      </c>
      <c r="I17" t="s">
        <v>747</v>
      </c>
      <c r="J17">
        <f t="shared" si="0"/>
        <v>9.376559720538323E-2</v>
      </c>
      <c r="K17">
        <f t="shared" si="1"/>
        <v>2.9050319999999994</v>
      </c>
      <c r="L17">
        <f t="shared" si="2"/>
        <v>9.0833759715758869E-2</v>
      </c>
      <c r="M17">
        <f t="shared" si="3"/>
        <v>0.83035898058587243</v>
      </c>
      <c r="N17" t="s">
        <v>748</v>
      </c>
      <c r="O17" t="s">
        <v>749</v>
      </c>
      <c r="P17">
        <f t="shared" si="4"/>
        <v>3.7420683511202926</v>
      </c>
      <c r="Q17">
        <f t="shared" si="5"/>
        <v>0.89345735112029256</v>
      </c>
      <c r="R17" t="s">
        <v>750</v>
      </c>
      <c r="S17" t="s">
        <v>751</v>
      </c>
      <c r="T17">
        <f t="shared" si="6"/>
        <v>37.042846477136138</v>
      </c>
      <c r="U17">
        <f t="shared" si="7"/>
        <v>0.4417875</v>
      </c>
      <c r="V17" t="s">
        <v>169</v>
      </c>
      <c r="W17" t="s">
        <v>752</v>
      </c>
      <c r="X17" t="s">
        <v>171</v>
      </c>
      <c r="Y17" t="s">
        <v>171</v>
      </c>
      <c r="Z17" t="s">
        <v>171</v>
      </c>
      <c r="AA17" t="s">
        <v>753</v>
      </c>
      <c r="AB17" t="s">
        <v>754</v>
      </c>
      <c r="AC17" t="s">
        <v>755</v>
      </c>
      <c r="AD17" t="s">
        <v>175</v>
      </c>
      <c r="AE17" t="s">
        <v>176</v>
      </c>
      <c r="AF17">
        <f t="shared" si="8"/>
        <v>31.15549626</v>
      </c>
      <c r="AG17" t="s">
        <v>177</v>
      </c>
      <c r="AH17" t="s">
        <v>756</v>
      </c>
      <c r="AI17" t="s">
        <v>757</v>
      </c>
      <c r="AJ17" t="s">
        <v>758</v>
      </c>
      <c r="AK17" t="s">
        <v>759</v>
      </c>
      <c r="AL17">
        <f t="shared" si="9"/>
        <v>27.76</v>
      </c>
      <c r="AM17" t="s">
        <v>253</v>
      </c>
      <c r="AN17" t="s">
        <v>183</v>
      </c>
      <c r="AO17" t="s">
        <v>305</v>
      </c>
      <c r="AP17" t="s">
        <v>760</v>
      </c>
      <c r="AQ17" t="s">
        <v>643</v>
      </c>
      <c r="AR17" t="s">
        <v>682</v>
      </c>
      <c r="AS17" t="s">
        <v>761</v>
      </c>
      <c r="AT17" t="s">
        <v>762</v>
      </c>
      <c r="AU17" t="s">
        <v>307</v>
      </c>
      <c r="AV17" t="s">
        <v>763</v>
      </c>
      <c r="AW17" t="s">
        <v>764</v>
      </c>
      <c r="AX17" t="s">
        <v>765</v>
      </c>
      <c r="AY17" t="s">
        <v>766</v>
      </c>
      <c r="AZ17" t="s">
        <v>265</v>
      </c>
      <c r="BA17" t="s">
        <v>689</v>
      </c>
      <c r="BB17" t="s">
        <v>690</v>
      </c>
      <c r="BC17" t="s">
        <v>767</v>
      </c>
      <c r="BD17" t="s">
        <v>269</v>
      </c>
      <c r="BE17" t="s">
        <v>768</v>
      </c>
      <c r="BF17" t="s">
        <v>769</v>
      </c>
      <c r="BG17" t="s">
        <v>770</v>
      </c>
      <c r="BH17" t="s">
        <v>503</v>
      </c>
      <c r="BI17" t="s">
        <v>613</v>
      </c>
      <c r="BJ17" t="s">
        <v>197</v>
      </c>
      <c r="BK17" t="s">
        <v>161</v>
      </c>
      <c r="BL17" t="s">
        <v>198</v>
      </c>
      <c r="BM17" t="s">
        <v>159</v>
      </c>
      <c r="BN17" t="s">
        <v>771</v>
      </c>
      <c r="BO17" t="s">
        <v>362</v>
      </c>
      <c r="BP17" t="s">
        <v>201</v>
      </c>
      <c r="BQ17" t="s">
        <v>771</v>
      </c>
      <c r="BR17" t="s">
        <v>772</v>
      </c>
      <c r="BS17" t="s">
        <v>773</v>
      </c>
      <c r="BT17" t="s">
        <v>159</v>
      </c>
      <c r="BU17" t="s">
        <v>205</v>
      </c>
      <c r="BV17" t="s">
        <v>199</v>
      </c>
      <c r="BW17" t="s">
        <v>206</v>
      </c>
      <c r="BX17" t="s">
        <v>207</v>
      </c>
      <c r="BY17" t="s">
        <v>171</v>
      </c>
      <c r="BZ17" t="s">
        <v>208</v>
      </c>
      <c r="CA17" t="s">
        <v>171</v>
      </c>
      <c r="CB17" t="s">
        <v>171</v>
      </c>
      <c r="CC17" t="s">
        <v>209</v>
      </c>
      <c r="CD17" t="s">
        <v>210</v>
      </c>
      <c r="CE17" t="s">
        <v>196</v>
      </c>
      <c r="CF17" t="s">
        <v>211</v>
      </c>
      <c r="CG17" t="s">
        <v>212</v>
      </c>
      <c r="CH17" t="s">
        <v>213</v>
      </c>
      <c r="CI17" t="s">
        <v>177</v>
      </c>
      <c r="CJ17" t="s">
        <v>206</v>
      </c>
      <c r="CK17" t="s">
        <v>214</v>
      </c>
      <c r="CL17" t="s">
        <v>214</v>
      </c>
      <c r="CM17" t="s">
        <v>214</v>
      </c>
      <c r="CN17" t="s">
        <v>171</v>
      </c>
      <c r="CO17" t="s">
        <v>215</v>
      </c>
      <c r="CP17" t="s">
        <v>171</v>
      </c>
      <c r="CQ17" t="s">
        <v>171</v>
      </c>
      <c r="CR17" t="s">
        <v>171</v>
      </c>
      <c r="CS17" t="s">
        <v>171</v>
      </c>
      <c r="CT17" t="s">
        <v>774</v>
      </c>
      <c r="CU17" t="s">
        <v>775</v>
      </c>
      <c r="CV17" t="s">
        <v>776</v>
      </c>
      <c r="CW17" t="s">
        <v>777</v>
      </c>
      <c r="CX17" t="s">
        <v>778</v>
      </c>
      <c r="CY17" t="s">
        <v>779</v>
      </c>
      <c r="CZ17" t="s">
        <v>780</v>
      </c>
      <c r="DA17" t="s">
        <v>781</v>
      </c>
      <c r="DB17" t="s">
        <v>753</v>
      </c>
      <c r="DC17" t="s">
        <v>288</v>
      </c>
      <c r="DD17" t="s">
        <v>225</v>
      </c>
      <c r="DE17" t="s">
        <v>226</v>
      </c>
      <c r="DF17" t="s">
        <v>177</v>
      </c>
      <c r="DG17" t="s">
        <v>227</v>
      </c>
      <c r="DH17" t="s">
        <v>228</v>
      </c>
      <c r="DI17" t="s">
        <v>177</v>
      </c>
      <c r="DJ17" t="s">
        <v>229</v>
      </c>
      <c r="DK17" t="s">
        <v>230</v>
      </c>
      <c r="DL17" t="s">
        <v>231</v>
      </c>
      <c r="DM17" t="s">
        <v>171</v>
      </c>
      <c r="DN17" t="s">
        <v>752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ht="17.25" customHeight="1" x14ac:dyDescent="0.45">
      <c r="A18" t="s">
        <v>782</v>
      </c>
      <c r="B18" t="s">
        <v>783</v>
      </c>
      <c r="C18" t="s">
        <v>161</v>
      </c>
      <c r="D18" t="s">
        <v>162</v>
      </c>
      <c r="E18" t="s">
        <v>163</v>
      </c>
      <c r="I18" t="s">
        <v>784</v>
      </c>
      <c r="J18">
        <f t="shared" si="0"/>
        <v>0.17701391322198007</v>
      </c>
      <c r="K18">
        <f t="shared" si="1"/>
        <v>2.9050319999999994</v>
      </c>
      <c r="L18">
        <f t="shared" si="2"/>
        <v>0.16684731403546693</v>
      </c>
      <c r="M18">
        <f t="shared" si="3"/>
        <v>1.3941998036297889</v>
      </c>
      <c r="N18" t="s">
        <v>785</v>
      </c>
      <c r="O18" t="s">
        <v>786</v>
      </c>
      <c r="P18">
        <f t="shared" si="4"/>
        <v>3.6942583008687162</v>
      </c>
      <c r="Q18">
        <f t="shared" si="5"/>
        <v>0.81658230086871608</v>
      </c>
      <c r="R18" t="s">
        <v>787</v>
      </c>
      <c r="S18" t="s">
        <v>788</v>
      </c>
      <c r="T18">
        <f t="shared" si="6"/>
        <v>36.573193751794044</v>
      </c>
      <c r="U18">
        <f t="shared" si="7"/>
        <v>0.4417875</v>
      </c>
      <c r="V18" t="s">
        <v>169</v>
      </c>
      <c r="W18" t="s">
        <v>789</v>
      </c>
      <c r="X18" t="s">
        <v>171</v>
      </c>
      <c r="Y18" t="s">
        <v>171</v>
      </c>
      <c r="Z18" t="s">
        <v>171</v>
      </c>
      <c r="AA18" t="s">
        <v>790</v>
      </c>
      <c r="AB18" t="s">
        <v>791</v>
      </c>
      <c r="AC18" t="s">
        <v>792</v>
      </c>
      <c r="AD18" t="s">
        <v>175</v>
      </c>
      <c r="AE18" t="s">
        <v>176</v>
      </c>
      <c r="AF18">
        <f t="shared" si="8"/>
        <v>34.577542440000002</v>
      </c>
      <c r="AG18" t="s">
        <v>177</v>
      </c>
      <c r="AH18" t="s">
        <v>434</v>
      </c>
      <c r="AI18" t="s">
        <v>793</v>
      </c>
      <c r="AJ18" t="s">
        <v>794</v>
      </c>
      <c r="AK18" t="s">
        <v>795</v>
      </c>
      <c r="AL18">
        <f t="shared" si="9"/>
        <v>27.54</v>
      </c>
      <c r="AM18" t="s">
        <v>390</v>
      </c>
      <c r="AN18" t="s">
        <v>183</v>
      </c>
      <c r="AO18" t="s">
        <v>796</v>
      </c>
      <c r="AP18" t="s">
        <v>797</v>
      </c>
      <c r="AQ18" t="s">
        <v>480</v>
      </c>
      <c r="AR18" t="s">
        <v>798</v>
      </c>
      <c r="AS18" t="s">
        <v>762</v>
      </c>
      <c r="AT18" t="s">
        <v>799</v>
      </c>
      <c r="AU18" t="s">
        <v>800</v>
      </c>
      <c r="AV18" t="s">
        <v>801</v>
      </c>
      <c r="AW18" t="s">
        <v>802</v>
      </c>
      <c r="AX18" t="s">
        <v>803</v>
      </c>
      <c r="AY18" t="s">
        <v>804</v>
      </c>
      <c r="AZ18" t="s">
        <v>265</v>
      </c>
      <c r="BA18" t="s">
        <v>805</v>
      </c>
      <c r="BB18" t="s">
        <v>806</v>
      </c>
      <c r="BC18" t="s">
        <v>807</v>
      </c>
      <c r="BD18" t="s">
        <v>269</v>
      </c>
      <c r="BE18" t="s">
        <v>808</v>
      </c>
      <c r="BF18" t="s">
        <v>809</v>
      </c>
      <c r="BG18" t="s">
        <v>810</v>
      </c>
      <c r="BH18" t="s">
        <v>319</v>
      </c>
      <c r="BI18" t="s">
        <v>811</v>
      </c>
      <c r="BJ18" t="s">
        <v>197</v>
      </c>
      <c r="BK18" t="s">
        <v>161</v>
      </c>
      <c r="BL18" t="s">
        <v>198</v>
      </c>
      <c r="BM18" t="s">
        <v>159</v>
      </c>
      <c r="BN18" t="s">
        <v>411</v>
      </c>
      <c r="BO18" t="s">
        <v>199</v>
      </c>
      <c r="BP18" t="s">
        <v>199</v>
      </c>
      <c r="BQ18" t="s">
        <v>812</v>
      </c>
      <c r="BR18" t="s">
        <v>813</v>
      </c>
      <c r="BS18" t="s">
        <v>814</v>
      </c>
      <c r="BT18" t="s">
        <v>159</v>
      </c>
      <c r="BU18" t="s">
        <v>205</v>
      </c>
      <c r="BV18" t="s">
        <v>199</v>
      </c>
      <c r="BW18" t="s">
        <v>206</v>
      </c>
      <c r="BX18" t="s">
        <v>207</v>
      </c>
      <c r="BY18" t="s">
        <v>171</v>
      </c>
      <c r="BZ18" t="s">
        <v>208</v>
      </c>
      <c r="CA18" t="s">
        <v>171</v>
      </c>
      <c r="CB18" t="s">
        <v>171</v>
      </c>
      <c r="CC18" t="s">
        <v>209</v>
      </c>
      <c r="CD18" t="s">
        <v>210</v>
      </c>
      <c r="CE18" t="s">
        <v>196</v>
      </c>
      <c r="CF18" t="s">
        <v>211</v>
      </c>
      <c r="CG18" t="s">
        <v>212</v>
      </c>
      <c r="CH18" t="s">
        <v>213</v>
      </c>
      <c r="CI18" t="s">
        <v>177</v>
      </c>
      <c r="CJ18" t="s">
        <v>206</v>
      </c>
      <c r="CK18" t="s">
        <v>214</v>
      </c>
      <c r="CL18" t="s">
        <v>214</v>
      </c>
      <c r="CM18" t="s">
        <v>214</v>
      </c>
      <c r="CN18" t="s">
        <v>171</v>
      </c>
      <c r="CO18" t="s">
        <v>215</v>
      </c>
      <c r="CP18" t="s">
        <v>171</v>
      </c>
      <c r="CQ18" t="s">
        <v>171</v>
      </c>
      <c r="CR18" t="s">
        <v>171</v>
      </c>
      <c r="CS18" t="s">
        <v>171</v>
      </c>
      <c r="CT18" t="s">
        <v>815</v>
      </c>
      <c r="CU18" t="s">
        <v>816</v>
      </c>
      <c r="CV18" t="s">
        <v>817</v>
      </c>
      <c r="CW18" t="s">
        <v>818</v>
      </c>
      <c r="CX18" t="s">
        <v>819</v>
      </c>
      <c r="CY18" t="s">
        <v>820</v>
      </c>
      <c r="CZ18" t="s">
        <v>821</v>
      </c>
      <c r="DA18" t="s">
        <v>822</v>
      </c>
      <c r="DB18" t="s">
        <v>790</v>
      </c>
      <c r="DC18" t="s">
        <v>823</v>
      </c>
      <c r="DD18" t="s">
        <v>225</v>
      </c>
      <c r="DE18" t="s">
        <v>226</v>
      </c>
      <c r="DF18" t="s">
        <v>177</v>
      </c>
      <c r="DG18" t="s">
        <v>227</v>
      </c>
      <c r="DH18" t="s">
        <v>228</v>
      </c>
      <c r="DI18" t="s">
        <v>177</v>
      </c>
      <c r="DJ18" t="s">
        <v>229</v>
      </c>
      <c r="DK18" t="s">
        <v>230</v>
      </c>
      <c r="DL18" t="s">
        <v>231</v>
      </c>
      <c r="DM18" t="s">
        <v>171</v>
      </c>
      <c r="DN18" t="s">
        <v>789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ht="17.25" customHeight="1" x14ac:dyDescent="0.45">
      <c r="A19" t="s">
        <v>824</v>
      </c>
      <c r="B19" t="s">
        <v>825</v>
      </c>
      <c r="C19" t="s">
        <v>161</v>
      </c>
      <c r="D19" t="s">
        <v>162</v>
      </c>
      <c r="E19" t="s">
        <v>163</v>
      </c>
      <c r="I19" t="s">
        <v>826</v>
      </c>
      <c r="J19">
        <f t="shared" si="0"/>
        <v>0.14002856986602116</v>
      </c>
      <c r="K19">
        <f t="shared" si="1"/>
        <v>2.9058327199999998</v>
      </c>
      <c r="L19">
        <f t="shared" si="2"/>
        <v>0.13359098177100134</v>
      </c>
      <c r="M19">
        <f t="shared" si="3"/>
        <v>1.16877248825237</v>
      </c>
      <c r="N19" t="s">
        <v>827</v>
      </c>
      <c r="O19" t="s">
        <v>828</v>
      </c>
      <c r="P19">
        <f t="shared" si="4"/>
        <v>3.7486295515259349</v>
      </c>
      <c r="Q19">
        <f t="shared" si="5"/>
        <v>0.85460255152593501</v>
      </c>
      <c r="R19" t="s">
        <v>829</v>
      </c>
      <c r="S19" t="s">
        <v>830</v>
      </c>
      <c r="T19">
        <f t="shared" si="6"/>
        <v>37.11146967157643</v>
      </c>
      <c r="U19">
        <f t="shared" si="7"/>
        <v>0.4417875</v>
      </c>
      <c r="V19" t="s">
        <v>169</v>
      </c>
      <c r="W19" t="s">
        <v>831</v>
      </c>
      <c r="X19" t="s">
        <v>171</v>
      </c>
      <c r="Y19" t="s">
        <v>171</v>
      </c>
      <c r="Z19" t="s">
        <v>171</v>
      </c>
      <c r="AA19" t="s">
        <v>832</v>
      </c>
      <c r="AB19" t="s">
        <v>833</v>
      </c>
      <c r="AC19" t="s">
        <v>834</v>
      </c>
      <c r="AD19" t="s">
        <v>175</v>
      </c>
      <c r="AE19" t="s">
        <v>176</v>
      </c>
      <c r="AF19">
        <f t="shared" si="8"/>
        <v>35.097262200000003</v>
      </c>
      <c r="AG19" t="s">
        <v>177</v>
      </c>
      <c r="AH19" t="s">
        <v>835</v>
      </c>
      <c r="AI19" t="s">
        <v>836</v>
      </c>
      <c r="AJ19" t="s">
        <v>837</v>
      </c>
      <c r="AK19" t="s">
        <v>838</v>
      </c>
      <c r="AL19">
        <f t="shared" si="9"/>
        <v>27.79</v>
      </c>
      <c r="AM19" t="s">
        <v>390</v>
      </c>
      <c r="AN19" t="s">
        <v>437</v>
      </c>
      <c r="AO19" t="s">
        <v>839</v>
      </c>
      <c r="AP19" t="s">
        <v>680</v>
      </c>
      <c r="AQ19" t="s">
        <v>440</v>
      </c>
      <c r="AR19" t="s">
        <v>840</v>
      </c>
      <c r="AS19" t="s">
        <v>349</v>
      </c>
      <c r="AT19" t="s">
        <v>841</v>
      </c>
      <c r="AU19" t="s">
        <v>842</v>
      </c>
      <c r="AV19" t="s">
        <v>843</v>
      </c>
      <c r="AW19" t="s">
        <v>844</v>
      </c>
      <c r="AX19" t="s">
        <v>845</v>
      </c>
      <c r="AY19" t="s">
        <v>846</v>
      </c>
      <c r="AZ19" t="s">
        <v>265</v>
      </c>
      <c r="BA19" t="s">
        <v>805</v>
      </c>
      <c r="BB19" t="s">
        <v>806</v>
      </c>
      <c r="BC19" t="s">
        <v>847</v>
      </c>
      <c r="BD19" t="s">
        <v>269</v>
      </c>
      <c r="BE19" t="s">
        <v>848</v>
      </c>
      <c r="BF19" t="s">
        <v>849</v>
      </c>
      <c r="BG19" t="s">
        <v>850</v>
      </c>
      <c r="BH19" t="s">
        <v>545</v>
      </c>
      <c r="BI19" t="s">
        <v>653</v>
      </c>
      <c r="BJ19" t="s">
        <v>197</v>
      </c>
      <c r="BK19" t="s">
        <v>161</v>
      </c>
      <c r="BL19" t="s">
        <v>198</v>
      </c>
      <c r="BM19" t="s">
        <v>159</v>
      </c>
      <c r="BN19" t="s">
        <v>321</v>
      </c>
      <c r="BO19" t="s">
        <v>199</v>
      </c>
      <c r="BP19" t="s">
        <v>410</v>
      </c>
      <c r="BQ19" t="s">
        <v>851</v>
      </c>
      <c r="BR19" t="s">
        <v>696</v>
      </c>
      <c r="BS19" t="s">
        <v>852</v>
      </c>
      <c r="BT19" t="s">
        <v>159</v>
      </c>
      <c r="BU19" t="s">
        <v>205</v>
      </c>
      <c r="BV19" t="s">
        <v>199</v>
      </c>
      <c r="BW19" t="s">
        <v>206</v>
      </c>
      <c r="BX19" t="s">
        <v>207</v>
      </c>
      <c r="BY19" t="s">
        <v>171</v>
      </c>
      <c r="BZ19" t="s">
        <v>208</v>
      </c>
      <c r="CA19" t="s">
        <v>171</v>
      </c>
      <c r="CB19" t="s">
        <v>171</v>
      </c>
      <c r="CC19" t="s">
        <v>209</v>
      </c>
      <c r="CD19" t="s">
        <v>210</v>
      </c>
      <c r="CE19" t="s">
        <v>196</v>
      </c>
      <c r="CF19" t="s">
        <v>211</v>
      </c>
      <c r="CG19" t="s">
        <v>212</v>
      </c>
      <c r="CH19" t="s">
        <v>213</v>
      </c>
      <c r="CI19" t="s">
        <v>177</v>
      </c>
      <c r="CJ19" t="s">
        <v>206</v>
      </c>
      <c r="CK19" t="s">
        <v>214</v>
      </c>
      <c r="CL19" t="s">
        <v>214</v>
      </c>
      <c r="CM19" t="s">
        <v>214</v>
      </c>
      <c r="CN19" t="s">
        <v>171</v>
      </c>
      <c r="CO19" t="s">
        <v>215</v>
      </c>
      <c r="CP19" t="s">
        <v>171</v>
      </c>
      <c r="CQ19" t="s">
        <v>171</v>
      </c>
      <c r="CR19" t="s">
        <v>171</v>
      </c>
      <c r="CS19" t="s">
        <v>171</v>
      </c>
      <c r="CT19" t="s">
        <v>853</v>
      </c>
      <c r="CU19" t="s">
        <v>854</v>
      </c>
      <c r="CV19" t="s">
        <v>855</v>
      </c>
      <c r="CW19" t="s">
        <v>856</v>
      </c>
      <c r="CX19" t="s">
        <v>857</v>
      </c>
      <c r="CY19" t="s">
        <v>858</v>
      </c>
      <c r="CZ19" t="s">
        <v>859</v>
      </c>
      <c r="DA19" t="s">
        <v>860</v>
      </c>
      <c r="DB19" t="s">
        <v>832</v>
      </c>
      <c r="DC19" t="s">
        <v>861</v>
      </c>
      <c r="DD19" t="s">
        <v>225</v>
      </c>
      <c r="DE19" t="s">
        <v>226</v>
      </c>
      <c r="DF19" t="s">
        <v>177</v>
      </c>
      <c r="DG19" t="s">
        <v>227</v>
      </c>
      <c r="DH19" t="s">
        <v>228</v>
      </c>
      <c r="DI19" t="s">
        <v>177</v>
      </c>
      <c r="DJ19" t="s">
        <v>229</v>
      </c>
      <c r="DK19" t="s">
        <v>230</v>
      </c>
      <c r="DL19" t="s">
        <v>231</v>
      </c>
      <c r="DM19" t="s">
        <v>171</v>
      </c>
      <c r="DN19" t="s">
        <v>831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ht="17.25" customHeight="1" x14ac:dyDescent="0.45">
      <c r="A20" t="s">
        <v>862</v>
      </c>
      <c r="B20" t="s">
        <v>863</v>
      </c>
      <c r="C20" t="s">
        <v>161</v>
      </c>
      <c r="D20" t="s">
        <v>162</v>
      </c>
      <c r="E20" t="s">
        <v>163</v>
      </c>
      <c r="I20" t="s">
        <v>864</v>
      </c>
      <c r="J20">
        <f t="shared" si="0"/>
        <v>0.10374299394525835</v>
      </c>
      <c r="K20">
        <f t="shared" si="1"/>
        <v>2.9066320800000001</v>
      </c>
      <c r="L20">
        <f t="shared" si="2"/>
        <v>0.10016782190577526</v>
      </c>
      <c r="M20">
        <f t="shared" si="3"/>
        <v>0.91800960925124986</v>
      </c>
      <c r="N20" t="s">
        <v>865</v>
      </c>
      <c r="O20" t="s">
        <v>866</v>
      </c>
      <c r="P20">
        <f t="shared" si="4"/>
        <v>3.7793813902568862</v>
      </c>
      <c r="Q20">
        <f t="shared" si="5"/>
        <v>0.8953563902568864</v>
      </c>
      <c r="R20" t="s">
        <v>867</v>
      </c>
      <c r="S20" t="s">
        <v>868</v>
      </c>
      <c r="T20">
        <f t="shared" si="6"/>
        <v>37.412209367025206</v>
      </c>
      <c r="U20">
        <f t="shared" si="7"/>
        <v>0.4417875</v>
      </c>
      <c r="V20" t="s">
        <v>169</v>
      </c>
      <c r="W20" t="s">
        <v>869</v>
      </c>
      <c r="X20" t="s">
        <v>171</v>
      </c>
      <c r="Y20" t="s">
        <v>171</v>
      </c>
      <c r="Z20" t="s">
        <v>171</v>
      </c>
      <c r="AA20" t="s">
        <v>870</v>
      </c>
      <c r="AB20" t="s">
        <v>871</v>
      </c>
      <c r="AC20" t="s">
        <v>872</v>
      </c>
      <c r="AD20" t="s">
        <v>175</v>
      </c>
      <c r="AE20" t="s">
        <v>176</v>
      </c>
      <c r="AF20">
        <f t="shared" si="8"/>
        <v>35.353402559999999</v>
      </c>
      <c r="AG20" t="s">
        <v>177</v>
      </c>
      <c r="AH20" t="s">
        <v>873</v>
      </c>
      <c r="AI20" t="s">
        <v>874</v>
      </c>
      <c r="AJ20" t="s">
        <v>875</v>
      </c>
      <c r="AK20" t="s">
        <v>876</v>
      </c>
      <c r="AL20">
        <f t="shared" si="9"/>
        <v>27.93</v>
      </c>
      <c r="AM20" t="s">
        <v>253</v>
      </c>
      <c r="AN20" t="s">
        <v>304</v>
      </c>
      <c r="AO20" t="s">
        <v>184</v>
      </c>
      <c r="AP20" t="s">
        <v>255</v>
      </c>
      <c r="AQ20" t="s">
        <v>877</v>
      </c>
      <c r="AR20" t="s">
        <v>878</v>
      </c>
      <c r="AS20" t="s">
        <v>879</v>
      </c>
      <c r="AT20" t="s">
        <v>442</v>
      </c>
      <c r="AU20" t="s">
        <v>880</v>
      </c>
      <c r="AV20" t="s">
        <v>881</v>
      </c>
      <c r="AW20" t="s">
        <v>882</v>
      </c>
      <c r="AX20" t="s">
        <v>883</v>
      </c>
      <c r="AY20" t="s">
        <v>884</v>
      </c>
      <c r="AZ20" t="s">
        <v>265</v>
      </c>
      <c r="BA20" t="s">
        <v>885</v>
      </c>
      <c r="BB20" t="s">
        <v>886</v>
      </c>
      <c r="BC20" t="s">
        <v>887</v>
      </c>
      <c r="BD20" t="s">
        <v>269</v>
      </c>
      <c r="BE20" t="s">
        <v>888</v>
      </c>
      <c r="BF20" t="s">
        <v>809</v>
      </c>
      <c r="BG20" t="s">
        <v>889</v>
      </c>
      <c r="BH20" t="s">
        <v>503</v>
      </c>
      <c r="BI20" t="s">
        <v>890</v>
      </c>
      <c r="BJ20" t="s">
        <v>197</v>
      </c>
      <c r="BK20" t="s">
        <v>161</v>
      </c>
      <c r="BL20" t="s">
        <v>198</v>
      </c>
      <c r="BM20" t="s">
        <v>159</v>
      </c>
      <c r="BN20" t="s">
        <v>771</v>
      </c>
      <c r="BO20" t="s">
        <v>362</v>
      </c>
      <c r="BP20" t="s">
        <v>411</v>
      </c>
      <c r="BQ20" t="s">
        <v>203</v>
      </c>
      <c r="BR20" t="s">
        <v>891</v>
      </c>
      <c r="BS20" t="s">
        <v>892</v>
      </c>
      <c r="BT20" t="s">
        <v>159</v>
      </c>
      <c r="BU20" t="s">
        <v>205</v>
      </c>
      <c r="BV20" t="s">
        <v>199</v>
      </c>
      <c r="BW20" t="s">
        <v>206</v>
      </c>
      <c r="BX20" t="s">
        <v>207</v>
      </c>
      <c r="BY20" t="s">
        <v>171</v>
      </c>
      <c r="BZ20" t="s">
        <v>208</v>
      </c>
      <c r="CA20" t="s">
        <v>171</v>
      </c>
      <c r="CB20" t="s">
        <v>171</v>
      </c>
      <c r="CC20" t="s">
        <v>209</v>
      </c>
      <c r="CD20" t="s">
        <v>210</v>
      </c>
      <c r="CE20" t="s">
        <v>196</v>
      </c>
      <c r="CF20" t="s">
        <v>211</v>
      </c>
      <c r="CG20" t="s">
        <v>212</v>
      </c>
      <c r="CH20" t="s">
        <v>213</v>
      </c>
      <c r="CI20" t="s">
        <v>177</v>
      </c>
      <c r="CJ20" t="s">
        <v>206</v>
      </c>
      <c r="CK20" t="s">
        <v>214</v>
      </c>
      <c r="CL20" t="s">
        <v>214</v>
      </c>
      <c r="CM20" t="s">
        <v>214</v>
      </c>
      <c r="CN20" t="s">
        <v>171</v>
      </c>
      <c r="CO20" t="s">
        <v>215</v>
      </c>
      <c r="CP20" t="s">
        <v>171</v>
      </c>
      <c r="CQ20" t="s">
        <v>171</v>
      </c>
      <c r="CR20" t="s">
        <v>171</v>
      </c>
      <c r="CS20" t="s">
        <v>171</v>
      </c>
      <c r="CT20" t="s">
        <v>893</v>
      </c>
      <c r="CU20" t="s">
        <v>894</v>
      </c>
      <c r="CV20" t="s">
        <v>895</v>
      </c>
      <c r="CW20" t="s">
        <v>896</v>
      </c>
      <c r="CX20" t="s">
        <v>897</v>
      </c>
      <c r="CY20" t="s">
        <v>898</v>
      </c>
      <c r="CZ20" t="s">
        <v>899</v>
      </c>
      <c r="DA20" t="s">
        <v>900</v>
      </c>
      <c r="DB20" t="s">
        <v>870</v>
      </c>
      <c r="DC20" t="s">
        <v>288</v>
      </c>
      <c r="DD20" t="s">
        <v>225</v>
      </c>
      <c r="DE20" t="s">
        <v>226</v>
      </c>
      <c r="DF20" t="s">
        <v>177</v>
      </c>
      <c r="DG20" t="s">
        <v>227</v>
      </c>
      <c r="DH20" t="s">
        <v>228</v>
      </c>
      <c r="DI20" t="s">
        <v>177</v>
      </c>
      <c r="DJ20" t="s">
        <v>229</v>
      </c>
      <c r="DK20" t="s">
        <v>230</v>
      </c>
      <c r="DL20" t="s">
        <v>231</v>
      </c>
      <c r="DM20" t="s">
        <v>171</v>
      </c>
      <c r="DN20" t="s">
        <v>869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ht="17.25" customHeight="1" x14ac:dyDescent="0.45">
      <c r="A21" t="s">
        <v>901</v>
      </c>
      <c r="B21" t="s">
        <v>902</v>
      </c>
      <c r="C21" t="s">
        <v>161</v>
      </c>
      <c r="D21" t="s">
        <v>162</v>
      </c>
      <c r="E21" t="s">
        <v>163</v>
      </c>
      <c r="I21" t="s">
        <v>903</v>
      </c>
      <c r="J21">
        <f t="shared" si="0"/>
        <v>0.18819526338122822</v>
      </c>
      <c r="K21">
        <f t="shared" si="1"/>
        <v>2.9034264800000003</v>
      </c>
      <c r="L21">
        <f t="shared" si="2"/>
        <v>0.17673931562987275</v>
      </c>
      <c r="M21">
        <f t="shared" si="3"/>
        <v>1.5433801494281192</v>
      </c>
      <c r="N21" t="s">
        <v>904</v>
      </c>
      <c r="O21" t="s">
        <v>905</v>
      </c>
      <c r="P21">
        <f t="shared" si="4"/>
        <v>3.7486295515259349</v>
      </c>
      <c r="Q21">
        <f t="shared" si="5"/>
        <v>0.85309955152593497</v>
      </c>
      <c r="R21" t="s">
        <v>906</v>
      </c>
      <c r="S21" t="s">
        <v>907</v>
      </c>
      <c r="T21">
        <f t="shared" si="6"/>
        <v>37.107795996099142</v>
      </c>
      <c r="U21">
        <f t="shared" si="7"/>
        <v>0.4417875</v>
      </c>
      <c r="V21" t="s">
        <v>169</v>
      </c>
      <c r="W21" t="s">
        <v>908</v>
      </c>
      <c r="X21" t="s">
        <v>171</v>
      </c>
      <c r="Y21" t="s">
        <v>171</v>
      </c>
      <c r="Z21" t="s">
        <v>171</v>
      </c>
      <c r="AA21" t="s">
        <v>909</v>
      </c>
      <c r="AB21" t="s">
        <v>910</v>
      </c>
      <c r="AC21" t="s">
        <v>911</v>
      </c>
      <c r="AD21" t="s">
        <v>175</v>
      </c>
      <c r="AE21" t="s">
        <v>176</v>
      </c>
      <c r="AF21">
        <f t="shared" si="8"/>
        <v>36.777899759999997</v>
      </c>
      <c r="AG21" t="s">
        <v>177</v>
      </c>
      <c r="AH21" t="s">
        <v>912</v>
      </c>
      <c r="AI21" t="s">
        <v>913</v>
      </c>
      <c r="AJ21" t="s">
        <v>914</v>
      </c>
      <c r="AK21" t="s">
        <v>838</v>
      </c>
      <c r="AL21">
        <f t="shared" si="9"/>
        <v>27.79</v>
      </c>
      <c r="AM21" t="s">
        <v>253</v>
      </c>
      <c r="AN21" t="s">
        <v>915</v>
      </c>
      <c r="AO21" t="s">
        <v>184</v>
      </c>
      <c r="AP21" t="s">
        <v>601</v>
      </c>
      <c r="AQ21" t="s">
        <v>681</v>
      </c>
      <c r="AR21" t="s">
        <v>916</v>
      </c>
      <c r="AS21" t="s">
        <v>917</v>
      </c>
      <c r="AT21" t="s">
        <v>918</v>
      </c>
      <c r="AU21" t="s">
        <v>919</v>
      </c>
      <c r="AV21" t="s">
        <v>920</v>
      </c>
      <c r="AW21" t="s">
        <v>763</v>
      </c>
      <c r="AX21" t="s">
        <v>921</v>
      </c>
      <c r="AY21" t="s">
        <v>922</v>
      </c>
      <c r="AZ21" t="s">
        <v>265</v>
      </c>
      <c r="BA21" t="s">
        <v>885</v>
      </c>
      <c r="BB21" t="s">
        <v>886</v>
      </c>
      <c r="BC21" t="s">
        <v>923</v>
      </c>
      <c r="BD21" t="s">
        <v>269</v>
      </c>
      <c r="BE21" t="s">
        <v>692</v>
      </c>
      <c r="BF21" t="s">
        <v>924</v>
      </c>
      <c r="BG21" t="s">
        <v>925</v>
      </c>
      <c r="BH21" t="s">
        <v>503</v>
      </c>
      <c r="BI21" t="s">
        <v>926</v>
      </c>
      <c r="BJ21" t="s">
        <v>197</v>
      </c>
      <c r="BK21" t="s">
        <v>161</v>
      </c>
      <c r="BL21" t="s">
        <v>198</v>
      </c>
      <c r="BM21" t="s">
        <v>159</v>
      </c>
      <c r="BN21" t="s">
        <v>199</v>
      </c>
      <c r="BO21" t="s">
        <v>362</v>
      </c>
      <c r="BP21" t="s">
        <v>927</v>
      </c>
      <c r="BQ21" t="s">
        <v>928</v>
      </c>
      <c r="BR21" t="s">
        <v>929</v>
      </c>
      <c r="BS21" t="s">
        <v>930</v>
      </c>
      <c r="BT21" t="s">
        <v>159</v>
      </c>
      <c r="BU21" t="s">
        <v>205</v>
      </c>
      <c r="BV21" t="s">
        <v>199</v>
      </c>
      <c r="BW21" t="s">
        <v>206</v>
      </c>
      <c r="BX21" t="s">
        <v>207</v>
      </c>
      <c r="BY21" t="s">
        <v>171</v>
      </c>
      <c r="BZ21" t="s">
        <v>208</v>
      </c>
      <c r="CA21" t="s">
        <v>171</v>
      </c>
      <c r="CB21" t="s">
        <v>171</v>
      </c>
      <c r="CC21" t="s">
        <v>209</v>
      </c>
      <c r="CD21" t="s">
        <v>210</v>
      </c>
      <c r="CE21" t="s">
        <v>196</v>
      </c>
      <c r="CF21" t="s">
        <v>211</v>
      </c>
      <c r="CG21" t="s">
        <v>212</v>
      </c>
      <c r="CH21" t="s">
        <v>213</v>
      </c>
      <c r="CI21" t="s">
        <v>177</v>
      </c>
      <c r="CJ21" t="s">
        <v>206</v>
      </c>
      <c r="CK21" t="s">
        <v>214</v>
      </c>
      <c r="CL21" t="s">
        <v>214</v>
      </c>
      <c r="CM21" t="s">
        <v>214</v>
      </c>
      <c r="CN21" t="s">
        <v>171</v>
      </c>
      <c r="CO21" t="s">
        <v>215</v>
      </c>
      <c r="CP21" t="s">
        <v>171</v>
      </c>
      <c r="CQ21" t="s">
        <v>171</v>
      </c>
      <c r="CR21" t="s">
        <v>171</v>
      </c>
      <c r="CS21" t="s">
        <v>171</v>
      </c>
      <c r="CT21" t="s">
        <v>931</v>
      </c>
      <c r="CU21" t="s">
        <v>932</v>
      </c>
      <c r="CV21" t="s">
        <v>933</v>
      </c>
      <c r="CW21" t="s">
        <v>934</v>
      </c>
      <c r="CX21" t="s">
        <v>935</v>
      </c>
      <c r="CY21" t="s">
        <v>936</v>
      </c>
      <c r="CZ21" t="s">
        <v>937</v>
      </c>
      <c r="DA21" t="s">
        <v>938</v>
      </c>
      <c r="DB21" t="s">
        <v>909</v>
      </c>
      <c r="DC21" t="s">
        <v>939</v>
      </c>
      <c r="DD21" t="s">
        <v>225</v>
      </c>
      <c r="DE21" t="s">
        <v>226</v>
      </c>
      <c r="DF21" t="s">
        <v>177</v>
      </c>
      <c r="DG21" t="s">
        <v>227</v>
      </c>
      <c r="DH21" t="s">
        <v>228</v>
      </c>
      <c r="DI21" t="s">
        <v>177</v>
      </c>
      <c r="DJ21" t="s">
        <v>229</v>
      </c>
      <c r="DK21" t="s">
        <v>230</v>
      </c>
      <c r="DL21" t="s">
        <v>231</v>
      </c>
      <c r="DM21" t="s">
        <v>171</v>
      </c>
      <c r="DN21" t="s">
        <v>908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0.33</v>
      </c>
      <c r="K2">
        <v>2.91</v>
      </c>
      <c r="L2">
        <v>0.3</v>
      </c>
      <c r="M2">
        <v>2.59</v>
      </c>
      <c r="N2">
        <v>2.72</v>
      </c>
      <c r="O2">
        <v>2.65</v>
      </c>
      <c r="P2">
        <v>3.57</v>
      </c>
      <c r="Q2">
        <v>0.85</v>
      </c>
      <c r="R2">
        <v>26.18</v>
      </c>
      <c r="S2">
        <v>26.9</v>
      </c>
      <c r="T2">
        <v>35.32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123.63</v>
      </c>
      <c r="AB2">
        <v>510.73</v>
      </c>
      <c r="AC2">
        <v>0.76</v>
      </c>
      <c r="AD2">
        <v>0.5</v>
      </c>
      <c r="AE2">
        <v>0.84</v>
      </c>
      <c r="AF2">
        <v>36.29</v>
      </c>
      <c r="AG2">
        <v>1</v>
      </c>
      <c r="AH2">
        <v>73.41</v>
      </c>
      <c r="AI2">
        <v>71.459999999999994</v>
      </c>
      <c r="AJ2">
        <v>27.57</v>
      </c>
      <c r="AK2">
        <v>26.95</v>
      </c>
      <c r="AL2">
        <v>26.95</v>
      </c>
      <c r="AM2">
        <v>101.03</v>
      </c>
      <c r="AN2">
        <v>156</v>
      </c>
      <c r="AO2">
        <v>154.30000000000001</v>
      </c>
      <c r="AP2">
        <v>1.1000000000000001</v>
      </c>
      <c r="AQ2">
        <v>114</v>
      </c>
      <c r="AR2">
        <v>3.97</v>
      </c>
      <c r="AS2">
        <v>-16</v>
      </c>
      <c r="AT2">
        <v>-8</v>
      </c>
      <c r="AU2">
        <v>175</v>
      </c>
      <c r="AX2">
        <v>17.84</v>
      </c>
      <c r="AY2">
        <v>-32.020000000000003</v>
      </c>
      <c r="BC2" t="s">
        <v>193</v>
      </c>
      <c r="BD2" t="s">
        <v>194</v>
      </c>
      <c r="BH2">
        <v>0</v>
      </c>
      <c r="BJ2" t="s">
        <v>197</v>
      </c>
      <c r="BK2" t="s">
        <v>161</v>
      </c>
      <c r="BL2">
        <v>-1.97</v>
      </c>
      <c r="BM2" t="s">
        <v>159</v>
      </c>
      <c r="BN2">
        <v>0</v>
      </c>
      <c r="BO2">
        <v>0</v>
      </c>
      <c r="BP2">
        <v>0</v>
      </c>
      <c r="BQ2">
        <v>-0.14000000000000001</v>
      </c>
      <c r="BR2">
        <v>-0.2</v>
      </c>
      <c r="BS2">
        <v>-0.41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210</v>
      </c>
      <c r="CE2" t="s">
        <v>196</v>
      </c>
      <c r="CF2" t="s">
        <v>211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2.5299999999999998</v>
      </c>
      <c r="CU2">
        <v>2.48</v>
      </c>
      <c r="CV2">
        <v>1.67</v>
      </c>
      <c r="CW2">
        <v>0.94</v>
      </c>
      <c r="CX2">
        <v>0.25</v>
      </c>
      <c r="CY2">
        <v>-0.01</v>
      </c>
      <c r="CZ2">
        <v>0.17</v>
      </c>
      <c r="DA2">
        <v>0.21</v>
      </c>
      <c r="DB2">
        <v>123.63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232</v>
      </c>
      <c r="DP2" t="s">
        <v>233</v>
      </c>
      <c r="DQ2" t="s">
        <v>234</v>
      </c>
      <c r="DR2" t="s">
        <v>235</v>
      </c>
      <c r="DS2" t="s">
        <v>236</v>
      </c>
      <c r="DT2" t="s">
        <v>237</v>
      </c>
    </row>
    <row r="3" spans="1:124" x14ac:dyDescent="0.45">
      <c r="A3" t="s">
        <v>238</v>
      </c>
      <c r="B3" t="s">
        <v>239</v>
      </c>
      <c r="C3" t="s">
        <v>161</v>
      </c>
      <c r="D3" t="s">
        <v>162</v>
      </c>
      <c r="E3" t="s">
        <v>163</v>
      </c>
      <c r="I3" t="s">
        <v>240</v>
      </c>
      <c r="J3">
        <v>0.42</v>
      </c>
      <c r="K3">
        <v>2.91</v>
      </c>
      <c r="L3">
        <v>0.36</v>
      </c>
      <c r="M3">
        <v>2.7</v>
      </c>
      <c r="N3">
        <v>2.8</v>
      </c>
      <c r="O3">
        <v>2.73</v>
      </c>
      <c r="P3">
        <v>3.53</v>
      </c>
      <c r="Q3">
        <v>0.72</v>
      </c>
      <c r="R3">
        <v>27.01</v>
      </c>
      <c r="S3">
        <v>27.75</v>
      </c>
      <c r="T3">
        <v>34.909999999999997</v>
      </c>
      <c r="U3">
        <v>0.44</v>
      </c>
      <c r="V3">
        <v>7.5</v>
      </c>
      <c r="W3" t="s">
        <v>245</v>
      </c>
      <c r="X3">
        <v>0</v>
      </c>
      <c r="Y3">
        <v>0</v>
      </c>
      <c r="Z3">
        <v>0</v>
      </c>
      <c r="AA3">
        <v>111.64</v>
      </c>
      <c r="AB3">
        <v>516.69000000000005</v>
      </c>
      <c r="AC3">
        <v>0.78</v>
      </c>
      <c r="AD3">
        <v>0.5</v>
      </c>
      <c r="AE3">
        <v>0.84</v>
      </c>
      <c r="AF3">
        <v>34.9</v>
      </c>
      <c r="AG3">
        <v>1</v>
      </c>
      <c r="AH3">
        <v>75.27</v>
      </c>
      <c r="AI3">
        <v>73.25</v>
      </c>
      <c r="AJ3">
        <v>27.68</v>
      </c>
      <c r="AK3">
        <v>26.75</v>
      </c>
      <c r="AL3">
        <v>26.75</v>
      </c>
      <c r="AM3">
        <v>101.02</v>
      </c>
      <c r="AN3">
        <v>156</v>
      </c>
      <c r="AO3">
        <v>154.1</v>
      </c>
      <c r="AP3">
        <v>1.2</v>
      </c>
      <c r="AQ3">
        <v>106</v>
      </c>
      <c r="AR3">
        <v>3.97</v>
      </c>
      <c r="AS3">
        <v>-28</v>
      </c>
      <c r="AT3">
        <v>-10</v>
      </c>
      <c r="AU3">
        <v>198</v>
      </c>
      <c r="AV3">
        <v>62.22</v>
      </c>
      <c r="AW3">
        <v>46.6</v>
      </c>
      <c r="AX3">
        <v>29.6</v>
      </c>
      <c r="AY3">
        <v>-2.59</v>
      </c>
      <c r="AZ3">
        <v>12.18</v>
      </c>
      <c r="BA3">
        <v>95.08</v>
      </c>
      <c r="BB3">
        <v>62.03</v>
      </c>
      <c r="BC3" t="s">
        <v>268</v>
      </c>
      <c r="BD3" t="s">
        <v>269</v>
      </c>
      <c r="BE3">
        <v>35.85</v>
      </c>
      <c r="BF3">
        <v>127.13</v>
      </c>
      <c r="BG3">
        <v>28.4</v>
      </c>
      <c r="BH3">
        <v>6</v>
      </c>
      <c r="BI3">
        <v>2.67</v>
      </c>
      <c r="BJ3" t="s">
        <v>197</v>
      </c>
      <c r="BK3" t="s">
        <v>161</v>
      </c>
      <c r="BL3">
        <v>-1.97</v>
      </c>
      <c r="BM3" t="s">
        <v>159</v>
      </c>
      <c r="BN3">
        <v>-0.01</v>
      </c>
      <c r="BO3">
        <v>0</v>
      </c>
      <c r="BP3">
        <v>-0.01</v>
      </c>
      <c r="BQ3">
        <v>-0.16</v>
      </c>
      <c r="BR3">
        <v>-0.11</v>
      </c>
      <c r="BS3">
        <v>-0.27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210</v>
      </c>
      <c r="CE3" t="s">
        <v>196</v>
      </c>
      <c r="CF3" t="s">
        <v>211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2.54</v>
      </c>
      <c r="CU3">
        <v>2.48</v>
      </c>
      <c r="CV3">
        <v>1.67</v>
      </c>
      <c r="CW3">
        <v>0.94</v>
      </c>
      <c r="CX3">
        <v>0.25</v>
      </c>
      <c r="CY3">
        <v>-0.01</v>
      </c>
      <c r="CZ3">
        <v>0.17</v>
      </c>
      <c r="DA3">
        <v>0.2</v>
      </c>
      <c r="DB3">
        <v>111.64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245</v>
      </c>
      <c r="DO3" t="s">
        <v>232</v>
      </c>
      <c r="DP3" t="s">
        <v>233</v>
      </c>
      <c r="DQ3" t="s">
        <v>234</v>
      </c>
      <c r="DR3" t="s">
        <v>235</v>
      </c>
      <c r="DS3" t="s">
        <v>236</v>
      </c>
      <c r="DT3" t="s">
        <v>237</v>
      </c>
    </row>
    <row r="4" spans="1:124" x14ac:dyDescent="0.45">
      <c r="A4" t="s">
        <v>289</v>
      </c>
      <c r="B4" t="s">
        <v>290</v>
      </c>
      <c r="C4" t="s">
        <v>161</v>
      </c>
      <c r="D4" t="s">
        <v>162</v>
      </c>
      <c r="E4" t="s">
        <v>163</v>
      </c>
      <c r="I4" t="s">
        <v>291</v>
      </c>
      <c r="J4">
        <v>0.27</v>
      </c>
      <c r="K4">
        <v>2.91</v>
      </c>
      <c r="L4">
        <v>0.25</v>
      </c>
      <c r="M4">
        <v>2</v>
      </c>
      <c r="N4">
        <v>2.81</v>
      </c>
      <c r="O4">
        <v>2.75</v>
      </c>
      <c r="P4">
        <v>3.59</v>
      </c>
      <c r="Q4">
        <v>0.78</v>
      </c>
      <c r="R4">
        <v>27.25</v>
      </c>
      <c r="S4">
        <v>27.8</v>
      </c>
      <c r="T4">
        <v>35.51</v>
      </c>
      <c r="U4">
        <v>0.44</v>
      </c>
      <c r="V4">
        <v>7.5</v>
      </c>
      <c r="W4" t="s">
        <v>296</v>
      </c>
      <c r="X4">
        <v>0</v>
      </c>
      <c r="Y4">
        <v>0</v>
      </c>
      <c r="Z4">
        <v>0</v>
      </c>
      <c r="AA4">
        <v>107.33</v>
      </c>
      <c r="AB4">
        <v>500.67</v>
      </c>
      <c r="AC4">
        <v>0.79</v>
      </c>
      <c r="AD4">
        <v>0.5</v>
      </c>
      <c r="AE4">
        <v>0.84</v>
      </c>
      <c r="AF4">
        <v>34.32</v>
      </c>
      <c r="AG4">
        <v>1</v>
      </c>
      <c r="AH4">
        <v>75.040000000000006</v>
      </c>
      <c r="AI4">
        <v>73.55</v>
      </c>
      <c r="AJ4">
        <v>27.77</v>
      </c>
      <c r="AK4">
        <v>27.04</v>
      </c>
      <c r="AL4">
        <v>27.04</v>
      </c>
      <c r="AM4">
        <v>101.02</v>
      </c>
      <c r="AN4">
        <v>156.19999999999999</v>
      </c>
      <c r="AO4">
        <v>153.5</v>
      </c>
      <c r="AP4">
        <v>1.7</v>
      </c>
      <c r="AQ4">
        <v>104</v>
      </c>
      <c r="AR4">
        <v>3.97</v>
      </c>
      <c r="AS4">
        <v>-16</v>
      </c>
      <c r="AT4">
        <v>4</v>
      </c>
      <c r="AU4">
        <v>170</v>
      </c>
      <c r="AV4">
        <v>63.03</v>
      </c>
      <c r="AW4">
        <v>45.35</v>
      </c>
      <c r="AX4">
        <v>16.48</v>
      </c>
      <c r="AY4">
        <v>4.24</v>
      </c>
      <c r="AZ4">
        <v>12.18</v>
      </c>
      <c r="BA4">
        <v>95.08</v>
      </c>
      <c r="BB4">
        <v>62.03</v>
      </c>
      <c r="BC4" t="s">
        <v>315</v>
      </c>
      <c r="BD4" t="s">
        <v>269</v>
      </c>
      <c r="BE4">
        <v>35.85</v>
      </c>
      <c r="BF4">
        <v>127.13</v>
      </c>
      <c r="BG4">
        <v>38.9</v>
      </c>
      <c r="BH4">
        <v>7</v>
      </c>
      <c r="BI4">
        <v>2.62</v>
      </c>
      <c r="BJ4" t="s">
        <v>197</v>
      </c>
      <c r="BK4" t="s">
        <v>161</v>
      </c>
      <c r="BL4">
        <v>-1.97</v>
      </c>
      <c r="BM4" t="s">
        <v>159</v>
      </c>
      <c r="BN4">
        <v>0</v>
      </c>
      <c r="BO4">
        <v>0</v>
      </c>
      <c r="BP4">
        <v>-0.01</v>
      </c>
      <c r="BQ4">
        <v>-0.02</v>
      </c>
      <c r="BR4">
        <v>-0.04</v>
      </c>
      <c r="BS4">
        <v>-0.12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210</v>
      </c>
      <c r="CE4" t="s">
        <v>196</v>
      </c>
      <c r="CF4" t="s">
        <v>211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2.54</v>
      </c>
      <c r="CU4">
        <v>2.48</v>
      </c>
      <c r="CV4">
        <v>1.67</v>
      </c>
      <c r="CW4">
        <v>0.94</v>
      </c>
      <c r="CX4">
        <v>0.24</v>
      </c>
      <c r="CY4">
        <v>-0.01</v>
      </c>
      <c r="CZ4">
        <v>0.18</v>
      </c>
      <c r="DA4">
        <v>0.2</v>
      </c>
      <c r="DB4">
        <v>107.33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296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45">
      <c r="A5" t="s">
        <v>309</v>
      </c>
      <c r="B5" t="s">
        <v>333</v>
      </c>
      <c r="C5" t="s">
        <v>161</v>
      </c>
      <c r="D5" t="s">
        <v>162</v>
      </c>
      <c r="E5" t="s">
        <v>163</v>
      </c>
      <c r="I5" t="s">
        <v>334</v>
      </c>
      <c r="J5">
        <v>0.35</v>
      </c>
      <c r="K5">
        <v>2.91</v>
      </c>
      <c r="L5">
        <v>0.31</v>
      </c>
      <c r="M5">
        <v>2.37</v>
      </c>
      <c r="N5">
        <v>2.82</v>
      </c>
      <c r="O5">
        <v>2.76</v>
      </c>
      <c r="P5">
        <v>3.56</v>
      </c>
      <c r="Q5">
        <v>0.74</v>
      </c>
      <c r="R5">
        <v>27.29</v>
      </c>
      <c r="S5">
        <v>27.94</v>
      </c>
      <c r="T5">
        <v>35.24</v>
      </c>
      <c r="U5">
        <v>0.44</v>
      </c>
      <c r="V5">
        <v>7.5</v>
      </c>
      <c r="W5" t="s">
        <v>339</v>
      </c>
      <c r="X5">
        <v>0</v>
      </c>
      <c r="Y5">
        <v>0</v>
      </c>
      <c r="Z5">
        <v>0</v>
      </c>
      <c r="AA5">
        <v>114.6</v>
      </c>
      <c r="AB5">
        <v>532.78</v>
      </c>
      <c r="AC5">
        <v>0.78</v>
      </c>
      <c r="AD5">
        <v>0.5</v>
      </c>
      <c r="AE5">
        <v>0.84</v>
      </c>
      <c r="AF5">
        <v>37.58</v>
      </c>
      <c r="AG5">
        <v>1</v>
      </c>
      <c r="AH5">
        <v>75.11</v>
      </c>
      <c r="AI5">
        <v>73.36</v>
      </c>
      <c r="AJ5">
        <v>27.83</v>
      </c>
      <c r="AK5">
        <v>26.91</v>
      </c>
      <c r="AL5">
        <v>26.91</v>
      </c>
      <c r="AM5">
        <v>101.02</v>
      </c>
      <c r="AN5">
        <v>156.19999999999999</v>
      </c>
      <c r="AO5">
        <v>154.1</v>
      </c>
      <c r="AP5">
        <v>1.3</v>
      </c>
      <c r="AQ5">
        <v>114</v>
      </c>
      <c r="AR5">
        <v>3.97</v>
      </c>
      <c r="AS5">
        <v>-14</v>
      </c>
      <c r="AT5">
        <v>-1</v>
      </c>
      <c r="AU5">
        <v>88</v>
      </c>
      <c r="AV5">
        <v>48.31</v>
      </c>
      <c r="AW5">
        <v>66.510000000000005</v>
      </c>
      <c r="AX5">
        <v>14.03</v>
      </c>
      <c r="AY5">
        <v>-96.13</v>
      </c>
      <c r="AZ5">
        <v>12.18</v>
      </c>
      <c r="BA5">
        <v>95.08</v>
      </c>
      <c r="BB5">
        <v>62.03</v>
      </c>
      <c r="BC5" t="s">
        <v>356</v>
      </c>
      <c r="BD5" t="s">
        <v>269</v>
      </c>
      <c r="BE5">
        <v>35.85</v>
      </c>
      <c r="BF5">
        <v>127.13</v>
      </c>
      <c r="BG5">
        <v>41.3</v>
      </c>
      <c r="BH5">
        <v>5</v>
      </c>
      <c r="BI5">
        <v>2.71</v>
      </c>
      <c r="BJ5" t="s">
        <v>197</v>
      </c>
      <c r="BK5" t="s">
        <v>161</v>
      </c>
      <c r="BL5">
        <v>-1.97</v>
      </c>
      <c r="BM5" t="s">
        <v>159</v>
      </c>
      <c r="BN5">
        <v>0</v>
      </c>
      <c r="BO5">
        <v>0</v>
      </c>
      <c r="BP5">
        <v>0.01</v>
      </c>
      <c r="BQ5">
        <v>-0.14000000000000001</v>
      </c>
      <c r="BR5">
        <v>-0.22</v>
      </c>
      <c r="BS5">
        <v>-0.28000000000000003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210</v>
      </c>
      <c r="CE5" t="s">
        <v>196</v>
      </c>
      <c r="CF5" t="s">
        <v>211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2.54</v>
      </c>
      <c r="CU5">
        <v>2.48</v>
      </c>
      <c r="CV5">
        <v>1.67</v>
      </c>
      <c r="CW5">
        <v>0.94</v>
      </c>
      <c r="CX5">
        <v>0.24</v>
      </c>
      <c r="CY5">
        <v>-0.01</v>
      </c>
      <c r="CZ5">
        <v>0.18</v>
      </c>
      <c r="DA5">
        <v>0.21</v>
      </c>
      <c r="DB5">
        <v>114.6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339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45">
      <c r="A6" t="s">
        <v>360</v>
      </c>
      <c r="B6" t="s">
        <v>376</v>
      </c>
      <c r="C6" t="s">
        <v>161</v>
      </c>
      <c r="D6" t="s">
        <v>162</v>
      </c>
      <c r="E6" t="s">
        <v>163</v>
      </c>
      <c r="I6" t="s">
        <v>377</v>
      </c>
      <c r="J6">
        <v>0.34</v>
      </c>
      <c r="K6">
        <v>2.9</v>
      </c>
      <c r="L6">
        <v>0.31</v>
      </c>
      <c r="M6">
        <v>2.2999999999999998</v>
      </c>
      <c r="N6">
        <v>2.84</v>
      </c>
      <c r="O6">
        <v>2.77</v>
      </c>
      <c r="P6">
        <v>3.57</v>
      </c>
      <c r="Q6">
        <v>0.73</v>
      </c>
      <c r="R6">
        <v>27.44</v>
      </c>
      <c r="S6">
        <v>28.07</v>
      </c>
      <c r="T6">
        <v>35.31</v>
      </c>
      <c r="U6">
        <v>0.44</v>
      </c>
      <c r="V6">
        <v>7.5</v>
      </c>
      <c r="W6" t="s">
        <v>382</v>
      </c>
      <c r="X6">
        <v>0</v>
      </c>
      <c r="Y6">
        <v>0</v>
      </c>
      <c r="Z6">
        <v>0</v>
      </c>
      <c r="AA6">
        <v>101.65</v>
      </c>
      <c r="AB6">
        <v>494.07</v>
      </c>
      <c r="AC6">
        <v>0.79</v>
      </c>
      <c r="AD6">
        <v>0.5</v>
      </c>
      <c r="AE6">
        <v>0.84</v>
      </c>
      <c r="AF6">
        <v>34.36</v>
      </c>
      <c r="AG6">
        <v>1</v>
      </c>
      <c r="AH6">
        <v>75.16</v>
      </c>
      <c r="AI6">
        <v>73.459999999999994</v>
      </c>
      <c r="AJ6">
        <v>27.9</v>
      </c>
      <c r="AK6">
        <v>26.94</v>
      </c>
      <c r="AL6">
        <v>26.94</v>
      </c>
      <c r="AM6">
        <v>101.01</v>
      </c>
      <c r="AN6">
        <v>155.9</v>
      </c>
      <c r="AO6">
        <v>136.80000000000001</v>
      </c>
      <c r="AP6">
        <v>12.2</v>
      </c>
      <c r="AQ6">
        <v>103</v>
      </c>
      <c r="AR6">
        <v>3.97</v>
      </c>
      <c r="AS6">
        <v>-31</v>
      </c>
      <c r="AT6">
        <v>-23</v>
      </c>
      <c r="AU6">
        <v>136</v>
      </c>
      <c r="AV6">
        <v>23.94</v>
      </c>
      <c r="AW6">
        <v>91.4</v>
      </c>
      <c r="AX6">
        <v>37.909999999999997</v>
      </c>
      <c r="AY6">
        <v>-83.49</v>
      </c>
      <c r="AZ6">
        <v>12.18</v>
      </c>
      <c r="BA6">
        <v>95.24</v>
      </c>
      <c r="BB6">
        <v>61.83</v>
      </c>
      <c r="BC6" t="s">
        <v>405</v>
      </c>
      <c r="BD6" t="s">
        <v>269</v>
      </c>
      <c r="BE6">
        <v>35.85</v>
      </c>
      <c r="BF6">
        <v>127.13</v>
      </c>
      <c r="BG6">
        <v>43.8</v>
      </c>
      <c r="BH6">
        <v>5</v>
      </c>
      <c r="BI6">
        <v>10.14</v>
      </c>
      <c r="BJ6" t="s">
        <v>197</v>
      </c>
      <c r="BK6" t="s">
        <v>161</v>
      </c>
      <c r="BL6">
        <v>-1.97</v>
      </c>
      <c r="BM6" t="s">
        <v>159</v>
      </c>
      <c r="BN6">
        <v>0</v>
      </c>
      <c r="BO6">
        <v>0</v>
      </c>
      <c r="BP6">
        <v>0</v>
      </c>
      <c r="BQ6">
        <v>0.06</v>
      </c>
      <c r="BR6">
        <v>-0.05</v>
      </c>
      <c r="BS6">
        <v>-0.2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210</v>
      </c>
      <c r="CE6" t="s">
        <v>196</v>
      </c>
      <c r="CF6" t="s">
        <v>211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2.54</v>
      </c>
      <c r="CU6">
        <v>2.48</v>
      </c>
      <c r="CV6">
        <v>1.67</v>
      </c>
      <c r="CW6">
        <v>0.9</v>
      </c>
      <c r="CX6">
        <v>0.24</v>
      </c>
      <c r="CY6">
        <v>-0.01</v>
      </c>
      <c r="CZ6">
        <v>0.18</v>
      </c>
      <c r="DA6">
        <v>0.2</v>
      </c>
      <c r="DB6">
        <v>101.65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382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45">
      <c r="A7" t="s">
        <v>273</v>
      </c>
      <c r="B7" t="s">
        <v>423</v>
      </c>
      <c r="C7" t="s">
        <v>161</v>
      </c>
      <c r="D7" t="s">
        <v>162</v>
      </c>
      <c r="E7" t="s">
        <v>163</v>
      </c>
      <c r="I7" t="s">
        <v>424</v>
      </c>
      <c r="J7">
        <v>0.27</v>
      </c>
      <c r="K7">
        <v>2.91</v>
      </c>
      <c r="L7">
        <v>0.25</v>
      </c>
      <c r="M7">
        <v>1.97</v>
      </c>
      <c r="N7">
        <v>2.82</v>
      </c>
      <c r="O7">
        <v>2.77</v>
      </c>
      <c r="P7">
        <v>3.6</v>
      </c>
      <c r="Q7">
        <v>0.77</v>
      </c>
      <c r="R7">
        <v>27.42</v>
      </c>
      <c r="S7">
        <v>27.96</v>
      </c>
      <c r="T7">
        <v>35.6</v>
      </c>
      <c r="U7">
        <v>0.44</v>
      </c>
      <c r="V7">
        <v>7.5</v>
      </c>
      <c r="W7" t="s">
        <v>429</v>
      </c>
      <c r="X7">
        <v>0</v>
      </c>
      <c r="Y7">
        <v>0</v>
      </c>
      <c r="Z7">
        <v>0</v>
      </c>
      <c r="AA7">
        <v>101.43</v>
      </c>
      <c r="AB7">
        <v>489.31</v>
      </c>
      <c r="AC7">
        <v>0.79</v>
      </c>
      <c r="AD7">
        <v>0.5</v>
      </c>
      <c r="AE7">
        <v>0.84</v>
      </c>
      <c r="AF7">
        <v>36.619999999999997</v>
      </c>
      <c r="AG7">
        <v>1</v>
      </c>
      <c r="AH7">
        <v>74.650000000000006</v>
      </c>
      <c r="AI7">
        <v>73.209999999999994</v>
      </c>
      <c r="AJ7">
        <v>27.95</v>
      </c>
      <c r="AK7">
        <v>27.08</v>
      </c>
      <c r="AL7">
        <v>27.08</v>
      </c>
      <c r="AM7">
        <v>101.01</v>
      </c>
      <c r="AN7">
        <v>156.1</v>
      </c>
      <c r="AO7">
        <v>153</v>
      </c>
      <c r="AP7">
        <v>2</v>
      </c>
      <c r="AQ7">
        <v>110</v>
      </c>
      <c r="AR7">
        <v>3.97</v>
      </c>
      <c r="AS7">
        <v>-13</v>
      </c>
      <c r="AT7">
        <v>-2</v>
      </c>
      <c r="AU7">
        <v>145</v>
      </c>
      <c r="AV7">
        <v>52.32</v>
      </c>
      <c r="AW7">
        <v>61.13</v>
      </c>
      <c r="AX7">
        <v>13.15</v>
      </c>
      <c r="AY7">
        <v>-43.82</v>
      </c>
      <c r="AZ7">
        <v>12.18</v>
      </c>
      <c r="BA7">
        <v>95.24</v>
      </c>
      <c r="BB7">
        <v>61.83</v>
      </c>
      <c r="BC7" t="s">
        <v>448</v>
      </c>
      <c r="BD7" t="s">
        <v>269</v>
      </c>
      <c r="BE7">
        <v>35.85</v>
      </c>
      <c r="BF7">
        <v>127.13</v>
      </c>
      <c r="BG7">
        <v>41.7</v>
      </c>
      <c r="BH7">
        <v>7</v>
      </c>
      <c r="BI7">
        <v>2.57</v>
      </c>
      <c r="BJ7" t="s">
        <v>197</v>
      </c>
      <c r="BK7" t="s">
        <v>161</v>
      </c>
      <c r="BL7">
        <v>-1.97</v>
      </c>
      <c r="BM7" t="s">
        <v>159</v>
      </c>
      <c r="BN7">
        <v>0</v>
      </c>
      <c r="BO7">
        <v>0</v>
      </c>
      <c r="BP7">
        <v>-0.01</v>
      </c>
      <c r="BQ7">
        <v>0.13</v>
      </c>
      <c r="BR7">
        <v>0.1</v>
      </c>
      <c r="BS7">
        <v>0.3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210</v>
      </c>
      <c r="CE7" t="s">
        <v>196</v>
      </c>
      <c r="CF7" t="s">
        <v>211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2.54</v>
      </c>
      <c r="CU7">
        <v>2.48</v>
      </c>
      <c r="CV7">
        <v>1.67</v>
      </c>
      <c r="CW7">
        <v>0.94</v>
      </c>
      <c r="CX7">
        <v>0.24</v>
      </c>
      <c r="CY7">
        <v>-0.01</v>
      </c>
      <c r="CZ7">
        <v>0.19</v>
      </c>
      <c r="DA7">
        <v>0.2</v>
      </c>
      <c r="DB7">
        <v>101.43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429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45">
      <c r="A8" t="s">
        <v>319</v>
      </c>
      <c r="B8" t="s">
        <v>464</v>
      </c>
      <c r="C8" t="s">
        <v>161</v>
      </c>
      <c r="D8" t="s">
        <v>162</v>
      </c>
      <c r="E8" t="s">
        <v>163</v>
      </c>
      <c r="I8" t="s">
        <v>465</v>
      </c>
      <c r="J8">
        <v>0.35</v>
      </c>
      <c r="K8">
        <v>2.91</v>
      </c>
      <c r="L8">
        <v>0.31</v>
      </c>
      <c r="M8">
        <v>2.33</v>
      </c>
      <c r="N8">
        <v>2.87</v>
      </c>
      <c r="O8">
        <v>2.8</v>
      </c>
      <c r="P8">
        <v>3.59</v>
      </c>
      <c r="Q8">
        <v>0.73</v>
      </c>
      <c r="R8">
        <v>27.75</v>
      </c>
      <c r="S8">
        <v>28.39</v>
      </c>
      <c r="T8">
        <v>35.58</v>
      </c>
      <c r="U8">
        <v>0.44</v>
      </c>
      <c r="V8">
        <v>7.5</v>
      </c>
      <c r="W8" t="s">
        <v>470</v>
      </c>
      <c r="X8">
        <v>0</v>
      </c>
      <c r="Y8">
        <v>0</v>
      </c>
      <c r="Z8">
        <v>0</v>
      </c>
      <c r="AA8">
        <v>104.71</v>
      </c>
      <c r="AB8">
        <v>509.85</v>
      </c>
      <c r="AC8">
        <v>0.79</v>
      </c>
      <c r="AD8">
        <v>0.5</v>
      </c>
      <c r="AE8">
        <v>0.84</v>
      </c>
      <c r="AF8">
        <v>36.380000000000003</v>
      </c>
      <c r="AG8">
        <v>1</v>
      </c>
      <c r="AH8">
        <v>75.349999999999994</v>
      </c>
      <c r="AI8">
        <v>73.650000000000006</v>
      </c>
      <c r="AJ8">
        <v>28.05</v>
      </c>
      <c r="AK8">
        <v>27.07</v>
      </c>
      <c r="AL8">
        <v>27.07</v>
      </c>
      <c r="AM8">
        <v>101.02</v>
      </c>
      <c r="AN8">
        <v>156.1</v>
      </c>
      <c r="AO8">
        <v>143.19999999999999</v>
      </c>
      <c r="AP8">
        <v>8.3000000000000007</v>
      </c>
      <c r="AQ8">
        <v>109</v>
      </c>
      <c r="AR8">
        <v>3.97</v>
      </c>
      <c r="AS8">
        <v>-14</v>
      </c>
      <c r="AT8">
        <v>1</v>
      </c>
      <c r="AU8">
        <v>175</v>
      </c>
      <c r="AV8">
        <v>61.03</v>
      </c>
      <c r="AW8">
        <v>48.43</v>
      </c>
      <c r="AX8">
        <v>14.03</v>
      </c>
      <c r="AY8">
        <v>-0.87</v>
      </c>
      <c r="AZ8">
        <v>12.18</v>
      </c>
      <c r="BA8">
        <v>95.4</v>
      </c>
      <c r="BB8">
        <v>61.63</v>
      </c>
      <c r="BC8" t="s">
        <v>486</v>
      </c>
      <c r="BD8" t="s">
        <v>269</v>
      </c>
      <c r="BE8">
        <v>35.85</v>
      </c>
      <c r="BF8">
        <v>127.13</v>
      </c>
      <c r="BG8">
        <v>41.8</v>
      </c>
      <c r="BH8">
        <v>7</v>
      </c>
      <c r="BI8">
        <v>2.54</v>
      </c>
      <c r="BJ8" t="s">
        <v>197</v>
      </c>
      <c r="BK8" t="s">
        <v>161</v>
      </c>
      <c r="BL8">
        <v>-1.97</v>
      </c>
      <c r="BM8" t="s">
        <v>159</v>
      </c>
      <c r="BN8">
        <v>0</v>
      </c>
      <c r="BO8">
        <v>0</v>
      </c>
      <c r="BP8">
        <v>0</v>
      </c>
      <c r="BQ8">
        <v>0.08</v>
      </c>
      <c r="BR8">
        <v>-0.09</v>
      </c>
      <c r="BS8">
        <v>-0.09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210</v>
      </c>
      <c r="CE8" t="s">
        <v>196</v>
      </c>
      <c r="CF8" t="s">
        <v>211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2.54</v>
      </c>
      <c r="CU8">
        <v>2.48</v>
      </c>
      <c r="CV8">
        <v>1.67</v>
      </c>
      <c r="CW8">
        <v>0.91</v>
      </c>
      <c r="CX8">
        <v>0.24</v>
      </c>
      <c r="CY8">
        <v>-0.01</v>
      </c>
      <c r="CZ8">
        <v>0.19</v>
      </c>
      <c r="DA8">
        <v>0.2</v>
      </c>
      <c r="DB8">
        <v>104.71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470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45">
      <c r="A9" t="s">
        <v>503</v>
      </c>
      <c r="B9" t="s">
        <v>504</v>
      </c>
      <c r="C9" t="s">
        <v>161</v>
      </c>
      <c r="D9" t="s">
        <v>162</v>
      </c>
      <c r="E9" t="s">
        <v>163</v>
      </c>
      <c r="I9" t="s">
        <v>505</v>
      </c>
      <c r="J9">
        <v>0.39</v>
      </c>
      <c r="K9">
        <v>2.9</v>
      </c>
      <c r="L9">
        <v>0.34</v>
      </c>
      <c r="M9">
        <v>2.46</v>
      </c>
      <c r="N9">
        <v>2.87</v>
      </c>
      <c r="O9">
        <v>2.8</v>
      </c>
      <c r="P9">
        <v>3.57</v>
      </c>
      <c r="Q9">
        <v>0.7</v>
      </c>
      <c r="R9">
        <v>27.7</v>
      </c>
      <c r="S9">
        <v>28.37</v>
      </c>
      <c r="T9">
        <v>35.33</v>
      </c>
      <c r="U9">
        <v>0.44</v>
      </c>
      <c r="V9">
        <v>7.5</v>
      </c>
      <c r="W9" t="s">
        <v>510</v>
      </c>
      <c r="X9">
        <v>0</v>
      </c>
      <c r="Y9">
        <v>0</v>
      </c>
      <c r="Z9">
        <v>0</v>
      </c>
      <c r="AA9">
        <v>103.1</v>
      </c>
      <c r="AB9">
        <v>504.22</v>
      </c>
      <c r="AC9">
        <v>0.8</v>
      </c>
      <c r="AD9">
        <v>0.5</v>
      </c>
      <c r="AE9">
        <v>0.84</v>
      </c>
      <c r="AF9">
        <v>20.72</v>
      </c>
      <c r="AG9">
        <v>1</v>
      </c>
      <c r="AH9">
        <v>74.959999999999994</v>
      </c>
      <c r="AI9">
        <v>73.17</v>
      </c>
      <c r="AJ9">
        <v>28.13</v>
      </c>
      <c r="AK9">
        <v>26.95</v>
      </c>
      <c r="AL9">
        <v>26.95</v>
      </c>
      <c r="AM9">
        <v>101.02</v>
      </c>
      <c r="AN9">
        <v>155.9</v>
      </c>
      <c r="AO9">
        <v>151.80000000000001</v>
      </c>
      <c r="AP9">
        <v>2.6</v>
      </c>
      <c r="AQ9">
        <v>62</v>
      </c>
      <c r="AR9">
        <v>3.96</v>
      </c>
      <c r="AS9">
        <v>-29</v>
      </c>
      <c r="AT9">
        <v>-70</v>
      </c>
      <c r="AU9">
        <v>99</v>
      </c>
      <c r="AV9">
        <v>70.14</v>
      </c>
      <c r="AW9">
        <v>33.97</v>
      </c>
      <c r="AX9">
        <v>72.59</v>
      </c>
      <c r="AY9">
        <v>-160.99</v>
      </c>
      <c r="AZ9">
        <v>12.18</v>
      </c>
      <c r="BA9">
        <v>95.4</v>
      </c>
      <c r="BB9">
        <v>61.63</v>
      </c>
      <c r="BC9" t="s">
        <v>528</v>
      </c>
      <c r="BD9" t="s">
        <v>269</v>
      </c>
      <c r="BE9">
        <v>35.85</v>
      </c>
      <c r="BF9">
        <v>127.13</v>
      </c>
      <c r="BG9">
        <v>41.9</v>
      </c>
      <c r="BH9">
        <v>8</v>
      </c>
      <c r="BI9">
        <v>1.49</v>
      </c>
      <c r="BJ9" t="s">
        <v>197</v>
      </c>
      <c r="BK9" t="s">
        <v>161</v>
      </c>
      <c r="BL9">
        <v>-1.97</v>
      </c>
      <c r="BM9" t="s">
        <v>159</v>
      </c>
      <c r="BN9">
        <v>0.01</v>
      </c>
      <c r="BO9">
        <v>0</v>
      </c>
      <c r="BP9">
        <v>-0.01</v>
      </c>
      <c r="BQ9">
        <v>-0.09</v>
      </c>
      <c r="BR9">
        <v>-0.22</v>
      </c>
      <c r="BS9">
        <v>-0.28999999999999998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210</v>
      </c>
      <c r="CE9" t="s">
        <v>196</v>
      </c>
      <c r="CF9" t="s">
        <v>211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2.54</v>
      </c>
      <c r="CU9">
        <v>2.48</v>
      </c>
      <c r="CV9">
        <v>1.67</v>
      </c>
      <c r="CW9">
        <v>0.93</v>
      </c>
      <c r="CX9">
        <v>0.24</v>
      </c>
      <c r="CY9">
        <v>-0.01</v>
      </c>
      <c r="CZ9">
        <v>0.19</v>
      </c>
      <c r="DA9">
        <v>0.16</v>
      </c>
      <c r="DB9">
        <v>103.1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510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45">
      <c r="A10" t="s">
        <v>545</v>
      </c>
      <c r="B10" t="s">
        <v>546</v>
      </c>
      <c r="C10" t="s">
        <v>161</v>
      </c>
      <c r="D10" t="s">
        <v>162</v>
      </c>
      <c r="E10" t="s">
        <v>163</v>
      </c>
      <c r="I10" t="s">
        <v>547</v>
      </c>
      <c r="J10">
        <v>0.3</v>
      </c>
      <c r="K10">
        <v>2.91</v>
      </c>
      <c r="L10">
        <v>0.27</v>
      </c>
      <c r="M10">
        <v>2.06</v>
      </c>
      <c r="N10">
        <v>2.87</v>
      </c>
      <c r="O10">
        <v>2.82</v>
      </c>
      <c r="P10">
        <v>3.62</v>
      </c>
      <c r="Q10">
        <v>0.75</v>
      </c>
      <c r="R10">
        <v>27.87</v>
      </c>
      <c r="S10">
        <v>28.44</v>
      </c>
      <c r="T10">
        <v>35.869999999999997</v>
      </c>
      <c r="U10">
        <v>0.44</v>
      </c>
      <c r="V10">
        <v>7.5</v>
      </c>
      <c r="W10" t="s">
        <v>552</v>
      </c>
      <c r="X10">
        <v>0</v>
      </c>
      <c r="Y10">
        <v>0</v>
      </c>
      <c r="Z10">
        <v>0</v>
      </c>
      <c r="AA10">
        <v>99.82</v>
      </c>
      <c r="AB10">
        <v>490.92</v>
      </c>
      <c r="AC10">
        <v>0.8</v>
      </c>
      <c r="AD10">
        <v>0.5</v>
      </c>
      <c r="AE10">
        <v>0.84</v>
      </c>
      <c r="AF10">
        <v>36.81</v>
      </c>
      <c r="AG10">
        <v>1</v>
      </c>
      <c r="AH10">
        <v>74.78</v>
      </c>
      <c r="AI10">
        <v>73.290000000000006</v>
      </c>
      <c r="AJ10">
        <v>28.21</v>
      </c>
      <c r="AK10">
        <v>27.21</v>
      </c>
      <c r="AL10">
        <v>27.21</v>
      </c>
      <c r="AM10">
        <v>101.02</v>
      </c>
      <c r="AN10">
        <v>156.1</v>
      </c>
      <c r="AO10">
        <v>152</v>
      </c>
      <c r="AP10">
        <v>2.6</v>
      </c>
      <c r="AQ10">
        <v>110</v>
      </c>
      <c r="AR10">
        <v>3.96</v>
      </c>
      <c r="AS10">
        <v>-16</v>
      </c>
      <c r="AT10">
        <v>-1</v>
      </c>
      <c r="AU10">
        <v>124</v>
      </c>
      <c r="AV10">
        <v>47.17</v>
      </c>
      <c r="AW10">
        <v>67.98</v>
      </c>
      <c r="AX10">
        <v>16.03</v>
      </c>
      <c r="AY10">
        <v>-59.62</v>
      </c>
      <c r="AZ10">
        <v>12.18</v>
      </c>
      <c r="BA10">
        <v>95.55</v>
      </c>
      <c r="BB10">
        <v>61.42</v>
      </c>
      <c r="BC10" t="s">
        <v>569</v>
      </c>
      <c r="BD10" t="s">
        <v>269</v>
      </c>
      <c r="BE10">
        <v>35.85</v>
      </c>
      <c r="BF10">
        <v>127.13</v>
      </c>
      <c r="BG10">
        <v>42.1</v>
      </c>
      <c r="BH10">
        <v>8</v>
      </c>
      <c r="BI10">
        <v>1.49</v>
      </c>
      <c r="BJ10" t="s">
        <v>197</v>
      </c>
      <c r="BK10" t="s">
        <v>161</v>
      </c>
      <c r="BL10">
        <v>-1.97</v>
      </c>
      <c r="BM10" t="s">
        <v>159</v>
      </c>
      <c r="BN10">
        <v>0</v>
      </c>
      <c r="BO10">
        <v>0</v>
      </c>
      <c r="BP10">
        <v>0</v>
      </c>
      <c r="BQ10">
        <v>0.06</v>
      </c>
      <c r="BR10">
        <v>0.06</v>
      </c>
      <c r="BS10">
        <v>0.13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210</v>
      </c>
      <c r="CE10" t="s">
        <v>196</v>
      </c>
      <c r="CF10" t="s">
        <v>211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2.54</v>
      </c>
      <c r="CU10">
        <v>2.48</v>
      </c>
      <c r="CV10">
        <v>1.67</v>
      </c>
      <c r="CW10">
        <v>0.93</v>
      </c>
      <c r="CX10">
        <v>0.24</v>
      </c>
      <c r="CY10">
        <v>-0.01</v>
      </c>
      <c r="CZ10">
        <v>0.2</v>
      </c>
      <c r="DA10">
        <v>0.2</v>
      </c>
      <c r="DB10">
        <v>99.82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552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45">
      <c r="A11" t="s">
        <v>584</v>
      </c>
      <c r="B11" t="s">
        <v>585</v>
      </c>
      <c r="C11" t="s">
        <v>161</v>
      </c>
      <c r="D11" t="s">
        <v>162</v>
      </c>
      <c r="E11" t="s">
        <v>163</v>
      </c>
      <c r="I11" t="s">
        <v>586</v>
      </c>
      <c r="J11">
        <v>0.11</v>
      </c>
      <c r="K11">
        <v>2.91</v>
      </c>
      <c r="L11">
        <v>0.11</v>
      </c>
      <c r="M11">
        <v>0.96</v>
      </c>
      <c r="N11">
        <v>2.83</v>
      </c>
      <c r="O11">
        <v>2.8</v>
      </c>
      <c r="P11">
        <v>3.72</v>
      </c>
      <c r="Q11">
        <v>0.89</v>
      </c>
      <c r="R11">
        <v>27.76</v>
      </c>
      <c r="S11">
        <v>28.02</v>
      </c>
      <c r="T11">
        <v>36.81</v>
      </c>
      <c r="U11">
        <v>0.44</v>
      </c>
      <c r="V11">
        <v>7.5</v>
      </c>
      <c r="W11" t="s">
        <v>591</v>
      </c>
      <c r="X11">
        <v>0</v>
      </c>
      <c r="Y11">
        <v>0</v>
      </c>
      <c r="Z11">
        <v>0</v>
      </c>
      <c r="AA11">
        <v>136.81</v>
      </c>
      <c r="AB11">
        <v>536.96</v>
      </c>
      <c r="AC11">
        <v>0.75</v>
      </c>
      <c r="AD11">
        <v>0.5</v>
      </c>
      <c r="AE11">
        <v>0.84</v>
      </c>
      <c r="AF11">
        <v>32.549999999999997</v>
      </c>
      <c r="AG11">
        <v>1</v>
      </c>
      <c r="AH11">
        <v>73.3</v>
      </c>
      <c r="AI11">
        <v>72.61</v>
      </c>
      <c r="AJ11">
        <v>28.3</v>
      </c>
      <c r="AK11">
        <v>27.65</v>
      </c>
      <c r="AL11">
        <v>27.65</v>
      </c>
      <c r="AM11">
        <v>101.01</v>
      </c>
      <c r="AN11">
        <v>156.30000000000001</v>
      </c>
      <c r="AO11">
        <v>154.80000000000001</v>
      </c>
      <c r="AP11">
        <v>1</v>
      </c>
      <c r="AQ11">
        <v>104</v>
      </c>
      <c r="AR11">
        <v>3.96</v>
      </c>
      <c r="AS11">
        <v>-25</v>
      </c>
      <c r="AT11">
        <v>-4</v>
      </c>
      <c r="AU11">
        <v>95</v>
      </c>
      <c r="AV11">
        <v>36.67</v>
      </c>
      <c r="AW11">
        <v>80.209999999999994</v>
      </c>
      <c r="AX11">
        <v>25.3</v>
      </c>
      <c r="AY11">
        <v>-94.4</v>
      </c>
      <c r="AZ11">
        <v>12.18</v>
      </c>
      <c r="BA11">
        <v>95.55</v>
      </c>
      <c r="BB11">
        <v>61.42</v>
      </c>
      <c r="BC11" t="s">
        <v>609</v>
      </c>
      <c r="BD11" t="s">
        <v>269</v>
      </c>
      <c r="BE11">
        <v>35.85</v>
      </c>
      <c r="BF11">
        <v>127.13</v>
      </c>
      <c r="BG11">
        <v>44.6</v>
      </c>
      <c r="BH11">
        <v>8</v>
      </c>
      <c r="BI11">
        <v>1.48</v>
      </c>
      <c r="BJ11" t="s">
        <v>197</v>
      </c>
      <c r="BK11" t="s">
        <v>161</v>
      </c>
      <c r="BL11">
        <v>-1.97</v>
      </c>
      <c r="BM11" t="s">
        <v>159</v>
      </c>
      <c r="BN11">
        <v>0</v>
      </c>
      <c r="BO11">
        <v>0</v>
      </c>
      <c r="BP11">
        <v>0</v>
      </c>
      <c r="BQ11">
        <v>-0.18</v>
      </c>
      <c r="BR11">
        <v>-0.48</v>
      </c>
      <c r="BS11">
        <v>-0.94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210</v>
      </c>
      <c r="CE11" t="s">
        <v>196</v>
      </c>
      <c r="CF11" t="s">
        <v>211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2.54</v>
      </c>
      <c r="CU11">
        <v>2.4700000000000002</v>
      </c>
      <c r="CV11">
        <v>1.67</v>
      </c>
      <c r="CW11">
        <v>0.94</v>
      </c>
      <c r="CX11">
        <v>0.24</v>
      </c>
      <c r="CY11">
        <v>-0.01</v>
      </c>
      <c r="CZ11">
        <v>0.2</v>
      </c>
      <c r="DA11">
        <v>0.2</v>
      </c>
      <c r="DB11">
        <v>136.81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591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45">
      <c r="A12" t="s">
        <v>626</v>
      </c>
      <c r="B12" t="s">
        <v>627</v>
      </c>
      <c r="C12" t="s">
        <v>161</v>
      </c>
      <c r="D12" t="s">
        <v>162</v>
      </c>
      <c r="E12" t="s">
        <v>163</v>
      </c>
      <c r="I12" t="s">
        <v>628</v>
      </c>
      <c r="J12">
        <v>0.17</v>
      </c>
      <c r="K12">
        <v>2.91</v>
      </c>
      <c r="L12">
        <v>0.16</v>
      </c>
      <c r="M12">
        <v>1.41</v>
      </c>
      <c r="N12">
        <v>2.83</v>
      </c>
      <c r="O12">
        <v>2.79</v>
      </c>
      <c r="P12">
        <v>3.67</v>
      </c>
      <c r="Q12">
        <v>0.84</v>
      </c>
      <c r="R12">
        <v>27.64</v>
      </c>
      <c r="S12">
        <v>28.03</v>
      </c>
      <c r="T12">
        <v>36.31</v>
      </c>
      <c r="U12">
        <v>0.44</v>
      </c>
      <c r="V12">
        <v>7.5</v>
      </c>
      <c r="W12" t="s">
        <v>633</v>
      </c>
      <c r="X12">
        <v>0</v>
      </c>
      <c r="Y12">
        <v>0</v>
      </c>
      <c r="Z12">
        <v>0</v>
      </c>
      <c r="AA12">
        <v>126.13</v>
      </c>
      <c r="AB12">
        <v>526.20000000000005</v>
      </c>
      <c r="AC12">
        <v>0.76</v>
      </c>
      <c r="AD12">
        <v>0.5</v>
      </c>
      <c r="AE12">
        <v>0.84</v>
      </c>
      <c r="AF12">
        <v>32.25</v>
      </c>
      <c r="AG12">
        <v>1</v>
      </c>
      <c r="AH12">
        <v>73.12</v>
      </c>
      <c r="AI12">
        <v>72.099999999999994</v>
      </c>
      <c r="AJ12">
        <v>28.35</v>
      </c>
      <c r="AK12">
        <v>27.42</v>
      </c>
      <c r="AL12">
        <v>27.42</v>
      </c>
      <c r="AM12">
        <v>101.02</v>
      </c>
      <c r="AN12">
        <v>156</v>
      </c>
      <c r="AO12">
        <v>150.6</v>
      </c>
      <c r="AP12">
        <v>3.4</v>
      </c>
      <c r="AQ12">
        <v>101</v>
      </c>
      <c r="AR12">
        <v>3.96</v>
      </c>
      <c r="AS12">
        <v>-14</v>
      </c>
      <c r="AT12">
        <v>31</v>
      </c>
      <c r="AU12">
        <v>128</v>
      </c>
      <c r="AV12">
        <v>72.010000000000005</v>
      </c>
      <c r="AW12">
        <v>30.88</v>
      </c>
      <c r="AX12">
        <v>33.729999999999997</v>
      </c>
      <c r="AY12">
        <v>16.07</v>
      </c>
      <c r="AZ12">
        <v>12.18</v>
      </c>
      <c r="BA12">
        <v>95.55</v>
      </c>
      <c r="BB12">
        <v>61.42</v>
      </c>
      <c r="BC12" t="s">
        <v>650</v>
      </c>
      <c r="BD12" t="s">
        <v>269</v>
      </c>
      <c r="BE12">
        <v>35.85</v>
      </c>
      <c r="BF12">
        <v>127.13</v>
      </c>
      <c r="BG12">
        <v>45.6</v>
      </c>
      <c r="BH12">
        <v>9</v>
      </c>
      <c r="BI12">
        <v>1.04</v>
      </c>
      <c r="BJ12" t="s">
        <v>197</v>
      </c>
      <c r="BK12" t="s">
        <v>161</v>
      </c>
      <c r="BL12">
        <v>-1.97</v>
      </c>
      <c r="BM12" t="s">
        <v>159</v>
      </c>
      <c r="BN12">
        <v>0</v>
      </c>
      <c r="BO12">
        <v>0</v>
      </c>
      <c r="BP12">
        <v>0.01</v>
      </c>
      <c r="BQ12">
        <v>0.06</v>
      </c>
      <c r="BR12">
        <v>-0.03</v>
      </c>
      <c r="BS12">
        <v>0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210</v>
      </c>
      <c r="CE12" t="s">
        <v>196</v>
      </c>
      <c r="CF12" t="s">
        <v>211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2.5299999999999998</v>
      </c>
      <c r="CU12">
        <v>2.4700000000000002</v>
      </c>
      <c r="CV12">
        <v>1.67</v>
      </c>
      <c r="CW12">
        <v>0.93</v>
      </c>
      <c r="CX12">
        <v>0.24</v>
      </c>
      <c r="CY12">
        <v>-0.01</v>
      </c>
      <c r="CZ12">
        <v>0.2</v>
      </c>
      <c r="DA12">
        <v>0.2</v>
      </c>
      <c r="DB12">
        <v>126.13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633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45">
      <c r="A13" t="s">
        <v>665</v>
      </c>
      <c r="B13" t="s">
        <v>666</v>
      </c>
      <c r="C13" t="s">
        <v>161</v>
      </c>
      <c r="D13" t="s">
        <v>162</v>
      </c>
      <c r="E13" t="s">
        <v>163</v>
      </c>
      <c r="I13" t="s">
        <v>667</v>
      </c>
      <c r="J13">
        <v>0.18</v>
      </c>
      <c r="K13">
        <v>2.91</v>
      </c>
      <c r="L13">
        <v>0.17</v>
      </c>
      <c r="M13">
        <v>1.43</v>
      </c>
      <c r="N13">
        <v>2.84</v>
      </c>
      <c r="O13">
        <v>2.8</v>
      </c>
      <c r="P13">
        <v>3.66</v>
      </c>
      <c r="Q13">
        <v>0.83</v>
      </c>
      <c r="R13">
        <v>27.7</v>
      </c>
      <c r="S13">
        <v>28.1</v>
      </c>
      <c r="T13">
        <v>36.270000000000003</v>
      </c>
      <c r="U13">
        <v>0.44</v>
      </c>
      <c r="V13">
        <v>7.5</v>
      </c>
      <c r="W13" t="s">
        <v>672</v>
      </c>
      <c r="X13">
        <v>0</v>
      </c>
      <c r="Y13">
        <v>0</v>
      </c>
      <c r="Z13">
        <v>0</v>
      </c>
      <c r="AA13">
        <v>123.6</v>
      </c>
      <c r="AB13">
        <v>529.08000000000004</v>
      </c>
      <c r="AC13">
        <v>0.77</v>
      </c>
      <c r="AD13">
        <v>0.5</v>
      </c>
      <c r="AE13">
        <v>0.84</v>
      </c>
      <c r="AF13">
        <v>37.340000000000003</v>
      </c>
      <c r="AG13">
        <v>1</v>
      </c>
      <c r="AH13">
        <v>73.12</v>
      </c>
      <c r="AI13">
        <v>72.09</v>
      </c>
      <c r="AJ13">
        <v>28.39</v>
      </c>
      <c r="AK13">
        <v>27.4</v>
      </c>
      <c r="AL13">
        <v>27.4</v>
      </c>
      <c r="AM13">
        <v>101.01</v>
      </c>
      <c r="AN13">
        <v>156</v>
      </c>
      <c r="AO13">
        <v>151.30000000000001</v>
      </c>
      <c r="AP13">
        <v>3</v>
      </c>
      <c r="AQ13">
        <v>116</v>
      </c>
      <c r="AR13">
        <v>3.96</v>
      </c>
      <c r="AS13">
        <v>-12</v>
      </c>
      <c r="AT13">
        <v>6</v>
      </c>
      <c r="AU13">
        <v>138</v>
      </c>
      <c r="AV13">
        <v>57.27</v>
      </c>
      <c r="AW13">
        <v>54.07</v>
      </c>
      <c r="AX13">
        <v>13.4</v>
      </c>
      <c r="AY13">
        <v>-15.18</v>
      </c>
      <c r="AZ13">
        <v>12.18</v>
      </c>
      <c r="BA13">
        <v>95.71</v>
      </c>
      <c r="BB13">
        <v>61.22</v>
      </c>
      <c r="BC13" t="s">
        <v>691</v>
      </c>
      <c r="BD13" t="s">
        <v>269</v>
      </c>
      <c r="BE13">
        <v>35.85</v>
      </c>
      <c r="BF13">
        <v>127.13</v>
      </c>
      <c r="BG13">
        <v>45.7</v>
      </c>
      <c r="BH13">
        <v>8</v>
      </c>
      <c r="BI13">
        <v>1.0900000000000001</v>
      </c>
      <c r="BJ13" t="s">
        <v>197</v>
      </c>
      <c r="BK13" t="s">
        <v>161</v>
      </c>
      <c r="BL13">
        <v>-1.97</v>
      </c>
      <c r="BM13" t="s">
        <v>159</v>
      </c>
      <c r="BN13">
        <v>0</v>
      </c>
      <c r="BO13">
        <v>0</v>
      </c>
      <c r="BP13">
        <v>0</v>
      </c>
      <c r="BQ13">
        <v>-0.05</v>
      </c>
      <c r="BR13">
        <v>0.04</v>
      </c>
      <c r="BS13">
        <v>-0.1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210</v>
      </c>
      <c r="CE13" t="s">
        <v>196</v>
      </c>
      <c r="CF13" t="s">
        <v>211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2.5299999999999998</v>
      </c>
      <c r="CU13">
        <v>2.4700000000000002</v>
      </c>
      <c r="CV13">
        <v>1.67</v>
      </c>
      <c r="CW13">
        <v>0.93</v>
      </c>
      <c r="CX13">
        <v>0.24</v>
      </c>
      <c r="CY13">
        <v>-0.01</v>
      </c>
      <c r="CZ13">
        <v>0.21</v>
      </c>
      <c r="DA13">
        <v>0.21</v>
      </c>
      <c r="DB13">
        <v>123.6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672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45">
      <c r="A14" t="s">
        <v>707</v>
      </c>
      <c r="B14" t="s">
        <v>708</v>
      </c>
      <c r="C14" t="s">
        <v>161</v>
      </c>
      <c r="D14" t="s">
        <v>162</v>
      </c>
      <c r="E14" t="s">
        <v>163</v>
      </c>
      <c r="I14" t="s">
        <v>709</v>
      </c>
      <c r="J14">
        <v>0.13</v>
      </c>
      <c r="K14">
        <v>2.91</v>
      </c>
      <c r="L14">
        <v>0.13</v>
      </c>
      <c r="M14">
        <v>1.1100000000000001</v>
      </c>
      <c r="N14">
        <v>2.86</v>
      </c>
      <c r="O14">
        <v>2.83</v>
      </c>
      <c r="P14">
        <v>3.72</v>
      </c>
      <c r="Q14">
        <v>0.85</v>
      </c>
      <c r="R14">
        <v>28.04</v>
      </c>
      <c r="S14">
        <v>28.35</v>
      </c>
      <c r="T14">
        <v>36.81</v>
      </c>
      <c r="U14">
        <v>0.44</v>
      </c>
      <c r="V14">
        <v>7.5</v>
      </c>
      <c r="W14" t="s">
        <v>714</v>
      </c>
      <c r="X14">
        <v>0</v>
      </c>
      <c r="Y14">
        <v>0</v>
      </c>
      <c r="Z14">
        <v>0</v>
      </c>
      <c r="AA14">
        <v>109.07</v>
      </c>
      <c r="AB14">
        <v>484.54</v>
      </c>
      <c r="AC14">
        <v>0.77</v>
      </c>
      <c r="AD14">
        <v>0.5</v>
      </c>
      <c r="AE14">
        <v>0.84</v>
      </c>
      <c r="AF14">
        <v>38.08</v>
      </c>
      <c r="AG14">
        <v>1</v>
      </c>
      <c r="AH14">
        <v>73.42</v>
      </c>
      <c r="AI14">
        <v>72.63</v>
      </c>
      <c r="AJ14">
        <v>28.47</v>
      </c>
      <c r="AK14">
        <v>27.65</v>
      </c>
      <c r="AL14">
        <v>27.65</v>
      </c>
      <c r="AM14">
        <v>101.02</v>
      </c>
      <c r="AN14">
        <v>156</v>
      </c>
      <c r="AO14">
        <v>141.1</v>
      </c>
      <c r="AP14">
        <v>9.5</v>
      </c>
      <c r="AQ14">
        <v>117</v>
      </c>
      <c r="AR14">
        <v>3.96</v>
      </c>
      <c r="AS14">
        <v>-16</v>
      </c>
      <c r="AT14">
        <v>-6</v>
      </c>
      <c r="AU14">
        <v>168</v>
      </c>
      <c r="AV14">
        <v>51.64</v>
      </c>
      <c r="AW14">
        <v>62.06</v>
      </c>
      <c r="AX14">
        <v>17.059999999999999</v>
      </c>
      <c r="AY14">
        <v>-32.869999999999997</v>
      </c>
      <c r="AZ14">
        <v>12.18</v>
      </c>
      <c r="BA14">
        <v>95.71</v>
      </c>
      <c r="BB14">
        <v>61.22</v>
      </c>
      <c r="BC14" t="s">
        <v>730</v>
      </c>
      <c r="BD14" t="s">
        <v>269</v>
      </c>
      <c r="BE14">
        <v>35.85</v>
      </c>
      <c r="BF14">
        <v>127.13</v>
      </c>
      <c r="BG14">
        <v>45.7</v>
      </c>
      <c r="BH14">
        <v>8</v>
      </c>
      <c r="BI14">
        <v>1.48</v>
      </c>
      <c r="BJ14" t="s">
        <v>197</v>
      </c>
      <c r="BK14" t="s">
        <v>161</v>
      </c>
      <c r="BL14">
        <v>-1.97</v>
      </c>
      <c r="BM14" t="s">
        <v>159</v>
      </c>
      <c r="BN14">
        <v>0</v>
      </c>
      <c r="BO14">
        <v>0</v>
      </c>
      <c r="BP14">
        <v>0</v>
      </c>
      <c r="BQ14">
        <v>0.06</v>
      </c>
      <c r="BR14">
        <v>-0.02</v>
      </c>
      <c r="BS14">
        <v>-0.33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210</v>
      </c>
      <c r="CE14" t="s">
        <v>196</v>
      </c>
      <c r="CF14" t="s">
        <v>211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2.54</v>
      </c>
      <c r="CU14">
        <v>2.4700000000000002</v>
      </c>
      <c r="CV14">
        <v>1.67</v>
      </c>
      <c r="CW14">
        <v>0.91</v>
      </c>
      <c r="CX14">
        <v>0.24</v>
      </c>
      <c r="CY14">
        <v>-0.01</v>
      </c>
      <c r="CZ14">
        <v>0.21</v>
      </c>
      <c r="DA14">
        <v>0.21</v>
      </c>
      <c r="DB14">
        <v>109.07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714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45">
      <c r="A15" t="s">
        <v>745</v>
      </c>
      <c r="B15" t="s">
        <v>746</v>
      </c>
      <c r="C15" t="s">
        <v>161</v>
      </c>
      <c r="D15" t="s">
        <v>162</v>
      </c>
      <c r="E15" t="s">
        <v>163</v>
      </c>
      <c r="I15" t="s">
        <v>747</v>
      </c>
      <c r="J15">
        <v>0.09</v>
      </c>
      <c r="K15">
        <v>2.91</v>
      </c>
      <c r="L15">
        <v>0.09</v>
      </c>
      <c r="M15">
        <v>0.83</v>
      </c>
      <c r="N15">
        <v>2.85</v>
      </c>
      <c r="O15">
        <v>2.83</v>
      </c>
      <c r="P15">
        <v>3.74</v>
      </c>
      <c r="Q15">
        <v>0.89</v>
      </c>
      <c r="R15">
        <v>27.97</v>
      </c>
      <c r="S15">
        <v>28.2</v>
      </c>
      <c r="T15">
        <v>37.04</v>
      </c>
      <c r="U15">
        <v>0.44</v>
      </c>
      <c r="V15">
        <v>7.5</v>
      </c>
      <c r="W15" t="s">
        <v>752</v>
      </c>
      <c r="X15">
        <v>0</v>
      </c>
      <c r="Y15">
        <v>0</v>
      </c>
      <c r="Z15">
        <v>0</v>
      </c>
      <c r="AA15">
        <v>135.74</v>
      </c>
      <c r="AB15">
        <v>511.19</v>
      </c>
      <c r="AC15">
        <v>0.73</v>
      </c>
      <c r="AD15">
        <v>0.5</v>
      </c>
      <c r="AE15">
        <v>0.84</v>
      </c>
      <c r="AF15">
        <v>31.16</v>
      </c>
      <c r="AG15">
        <v>1</v>
      </c>
      <c r="AH15">
        <v>72.88</v>
      </c>
      <c r="AI15">
        <v>72.290000000000006</v>
      </c>
      <c r="AJ15">
        <v>28.51</v>
      </c>
      <c r="AK15">
        <v>27.76</v>
      </c>
      <c r="AL15">
        <v>27.76</v>
      </c>
      <c r="AM15">
        <v>101.02</v>
      </c>
      <c r="AN15">
        <v>156</v>
      </c>
      <c r="AO15">
        <v>153.5</v>
      </c>
      <c r="AP15">
        <v>1.6</v>
      </c>
      <c r="AQ15">
        <v>101</v>
      </c>
      <c r="AR15">
        <v>3.96</v>
      </c>
      <c r="AS15">
        <v>-37</v>
      </c>
      <c r="AT15">
        <v>-19</v>
      </c>
      <c r="AU15">
        <v>104</v>
      </c>
      <c r="AV15">
        <v>26.08</v>
      </c>
      <c r="AW15">
        <v>89.82</v>
      </c>
      <c r="AX15">
        <v>40.96</v>
      </c>
      <c r="AY15">
        <v>-105.78</v>
      </c>
      <c r="AZ15">
        <v>12.18</v>
      </c>
      <c r="BA15">
        <v>95.71</v>
      </c>
      <c r="BB15">
        <v>61.22</v>
      </c>
      <c r="BC15" t="s">
        <v>767</v>
      </c>
      <c r="BD15" t="s">
        <v>269</v>
      </c>
      <c r="BE15">
        <v>35.85</v>
      </c>
      <c r="BF15">
        <v>127.13</v>
      </c>
      <c r="BG15">
        <v>45.9</v>
      </c>
      <c r="BH15">
        <v>8</v>
      </c>
      <c r="BI15">
        <v>1.48</v>
      </c>
      <c r="BJ15" t="s">
        <v>197</v>
      </c>
      <c r="BK15" t="s">
        <v>161</v>
      </c>
      <c r="BL15">
        <v>-1.97</v>
      </c>
      <c r="BM15" t="s">
        <v>159</v>
      </c>
      <c r="BN15">
        <v>0</v>
      </c>
      <c r="BO15">
        <v>0</v>
      </c>
      <c r="BP15">
        <v>0</v>
      </c>
      <c r="BQ15">
        <v>0</v>
      </c>
      <c r="BR15">
        <v>-0.32</v>
      </c>
      <c r="BS15">
        <v>-0.51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210</v>
      </c>
      <c r="CE15" t="s">
        <v>196</v>
      </c>
      <c r="CF15" t="s">
        <v>211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2.54</v>
      </c>
      <c r="CU15">
        <v>2.4700000000000002</v>
      </c>
      <c r="CV15">
        <v>1.67</v>
      </c>
      <c r="CW15">
        <v>0.94</v>
      </c>
      <c r="CX15">
        <v>0.24</v>
      </c>
      <c r="CY15">
        <v>-0.01</v>
      </c>
      <c r="CZ15">
        <v>0.21</v>
      </c>
      <c r="DA15">
        <v>0.2</v>
      </c>
      <c r="DB15">
        <v>135.74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752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45">
      <c r="A16" t="s">
        <v>782</v>
      </c>
      <c r="B16" t="s">
        <v>783</v>
      </c>
      <c r="C16" t="s">
        <v>161</v>
      </c>
      <c r="D16" t="s">
        <v>162</v>
      </c>
      <c r="E16" t="s">
        <v>163</v>
      </c>
      <c r="I16" t="s">
        <v>784</v>
      </c>
      <c r="J16">
        <v>0.18</v>
      </c>
      <c r="K16">
        <v>2.91</v>
      </c>
      <c r="L16">
        <v>0.17</v>
      </c>
      <c r="M16">
        <v>1.39</v>
      </c>
      <c r="N16">
        <v>2.88</v>
      </c>
      <c r="O16">
        <v>2.84</v>
      </c>
      <c r="P16">
        <v>3.69</v>
      </c>
      <c r="Q16">
        <v>0.82</v>
      </c>
      <c r="R16">
        <v>28.11</v>
      </c>
      <c r="S16">
        <v>28.49</v>
      </c>
      <c r="T16">
        <v>36.57</v>
      </c>
      <c r="U16">
        <v>0.44</v>
      </c>
      <c r="V16">
        <v>7.5</v>
      </c>
      <c r="W16" t="s">
        <v>789</v>
      </c>
      <c r="X16">
        <v>0</v>
      </c>
      <c r="Y16">
        <v>0</v>
      </c>
      <c r="Z16">
        <v>0</v>
      </c>
      <c r="AA16">
        <v>125.32</v>
      </c>
      <c r="AB16">
        <v>512.15</v>
      </c>
      <c r="AC16">
        <v>0.76</v>
      </c>
      <c r="AD16">
        <v>0.5</v>
      </c>
      <c r="AE16">
        <v>0.84</v>
      </c>
      <c r="AF16">
        <v>34.58</v>
      </c>
      <c r="AG16">
        <v>1</v>
      </c>
      <c r="AH16">
        <v>73.209999999999994</v>
      </c>
      <c r="AI16">
        <v>72.22</v>
      </c>
      <c r="AJ16">
        <v>28.61</v>
      </c>
      <c r="AK16">
        <v>27.54</v>
      </c>
      <c r="AL16">
        <v>27.54</v>
      </c>
      <c r="AM16">
        <v>101.01</v>
      </c>
      <c r="AN16">
        <v>156</v>
      </c>
      <c r="AO16">
        <v>147.80000000000001</v>
      </c>
      <c r="AP16">
        <v>5.2</v>
      </c>
      <c r="AQ16">
        <v>109</v>
      </c>
      <c r="AR16">
        <v>3.96</v>
      </c>
      <c r="AS16">
        <v>-19</v>
      </c>
      <c r="AT16">
        <v>-11</v>
      </c>
      <c r="AU16">
        <v>292</v>
      </c>
      <c r="AV16">
        <v>82.26</v>
      </c>
      <c r="AW16">
        <v>13.47</v>
      </c>
      <c r="AX16">
        <v>21.85</v>
      </c>
      <c r="AY16">
        <v>81.16</v>
      </c>
      <c r="AZ16">
        <v>12.18</v>
      </c>
      <c r="BA16">
        <v>95.87</v>
      </c>
      <c r="BB16">
        <v>61.02</v>
      </c>
      <c r="BC16" t="s">
        <v>807</v>
      </c>
      <c r="BD16" t="s">
        <v>269</v>
      </c>
      <c r="BE16">
        <v>35.85</v>
      </c>
      <c r="BF16">
        <v>127.13</v>
      </c>
      <c r="BG16">
        <v>45.3</v>
      </c>
      <c r="BH16">
        <v>7</v>
      </c>
      <c r="BI16">
        <v>1.37</v>
      </c>
      <c r="BJ16" t="s">
        <v>197</v>
      </c>
      <c r="BK16" t="s">
        <v>161</v>
      </c>
      <c r="BL16">
        <v>-1.97</v>
      </c>
      <c r="BM16" t="s">
        <v>159</v>
      </c>
      <c r="BN16">
        <v>0</v>
      </c>
      <c r="BO16">
        <v>0</v>
      </c>
      <c r="BP16">
        <v>0</v>
      </c>
      <c r="BQ16">
        <v>-0.18</v>
      </c>
      <c r="BR16">
        <v>-0.31</v>
      </c>
      <c r="BS16">
        <v>-0.52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210</v>
      </c>
      <c r="CE16" t="s">
        <v>196</v>
      </c>
      <c r="CF16" t="s">
        <v>211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2.5299999999999998</v>
      </c>
      <c r="CU16">
        <v>2.4700000000000002</v>
      </c>
      <c r="CV16">
        <v>1.67</v>
      </c>
      <c r="CW16">
        <v>0.92</v>
      </c>
      <c r="CX16">
        <v>0.24</v>
      </c>
      <c r="CY16">
        <v>-0.01</v>
      </c>
      <c r="CZ16">
        <v>0.22</v>
      </c>
      <c r="DA16">
        <v>0.2</v>
      </c>
      <c r="DB16">
        <v>125.32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789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45">
      <c r="A17" t="s">
        <v>824</v>
      </c>
      <c r="B17" t="s">
        <v>825</v>
      </c>
      <c r="C17" t="s">
        <v>161</v>
      </c>
      <c r="D17" t="s">
        <v>162</v>
      </c>
      <c r="E17" t="s">
        <v>163</v>
      </c>
      <c r="I17" t="s">
        <v>826</v>
      </c>
      <c r="J17">
        <v>0.14000000000000001</v>
      </c>
      <c r="K17">
        <v>2.91</v>
      </c>
      <c r="L17">
        <v>0.13</v>
      </c>
      <c r="M17">
        <v>1.17</v>
      </c>
      <c r="N17">
        <v>2.89</v>
      </c>
      <c r="O17">
        <v>2.86</v>
      </c>
      <c r="P17">
        <v>3.75</v>
      </c>
      <c r="Q17">
        <v>0.85</v>
      </c>
      <c r="R17">
        <v>28.33</v>
      </c>
      <c r="S17">
        <v>28.65</v>
      </c>
      <c r="T17">
        <v>37.11</v>
      </c>
      <c r="U17">
        <v>0.44</v>
      </c>
      <c r="V17">
        <v>7.5</v>
      </c>
      <c r="W17" t="s">
        <v>831</v>
      </c>
      <c r="X17">
        <v>0</v>
      </c>
      <c r="Y17">
        <v>0</v>
      </c>
      <c r="Z17">
        <v>0</v>
      </c>
      <c r="AA17">
        <v>128.13</v>
      </c>
      <c r="AB17">
        <v>533.15</v>
      </c>
      <c r="AC17">
        <v>0.76</v>
      </c>
      <c r="AD17">
        <v>0.5</v>
      </c>
      <c r="AE17">
        <v>0.84</v>
      </c>
      <c r="AF17">
        <v>35.1</v>
      </c>
      <c r="AG17">
        <v>1</v>
      </c>
      <c r="AH17">
        <v>73.38</v>
      </c>
      <c r="AI17">
        <v>72.55</v>
      </c>
      <c r="AJ17">
        <v>28.66</v>
      </c>
      <c r="AK17">
        <v>27.79</v>
      </c>
      <c r="AL17">
        <v>27.79</v>
      </c>
      <c r="AM17">
        <v>101.01</v>
      </c>
      <c r="AN17">
        <v>156.1</v>
      </c>
      <c r="AO17">
        <v>151.5</v>
      </c>
      <c r="AP17">
        <v>3</v>
      </c>
      <c r="AQ17">
        <v>110</v>
      </c>
      <c r="AR17">
        <v>3.96</v>
      </c>
      <c r="AS17">
        <v>-14</v>
      </c>
      <c r="AT17">
        <v>-9</v>
      </c>
      <c r="AU17">
        <v>331</v>
      </c>
      <c r="AV17">
        <v>76.55</v>
      </c>
      <c r="AW17">
        <v>23.25</v>
      </c>
      <c r="AX17">
        <v>16.59</v>
      </c>
      <c r="AY17">
        <v>117.79</v>
      </c>
      <c r="AZ17">
        <v>12.18</v>
      </c>
      <c r="BA17">
        <v>95.87</v>
      </c>
      <c r="BB17">
        <v>61.02</v>
      </c>
      <c r="BC17" t="s">
        <v>847</v>
      </c>
      <c r="BD17" t="s">
        <v>269</v>
      </c>
      <c r="BE17">
        <v>35.85</v>
      </c>
      <c r="BF17">
        <v>127.13</v>
      </c>
      <c r="BG17">
        <v>45</v>
      </c>
      <c r="BH17">
        <v>9</v>
      </c>
      <c r="BI17">
        <v>1.04</v>
      </c>
      <c r="BJ17" t="s">
        <v>197</v>
      </c>
      <c r="BK17" t="s">
        <v>161</v>
      </c>
      <c r="BL17">
        <v>-1.97</v>
      </c>
      <c r="BM17" t="s">
        <v>159</v>
      </c>
      <c r="BN17">
        <v>0</v>
      </c>
      <c r="BO17">
        <v>0</v>
      </c>
      <c r="BP17">
        <v>0</v>
      </c>
      <c r="BQ17">
        <v>0.09</v>
      </c>
      <c r="BR17">
        <v>-0.05</v>
      </c>
      <c r="BS17">
        <v>-0.06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210</v>
      </c>
      <c r="CE17" t="s">
        <v>196</v>
      </c>
      <c r="CF17" t="s">
        <v>211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2.54</v>
      </c>
      <c r="CU17">
        <v>2.4700000000000002</v>
      </c>
      <c r="CV17">
        <v>1.67</v>
      </c>
      <c r="CW17">
        <v>0.93</v>
      </c>
      <c r="CX17">
        <v>0.24</v>
      </c>
      <c r="CY17">
        <v>-0.01</v>
      </c>
      <c r="CZ17">
        <v>0.22</v>
      </c>
      <c r="DA17">
        <v>0.2</v>
      </c>
      <c r="DB17">
        <v>128.13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831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45">
      <c r="A18" t="s">
        <v>862</v>
      </c>
      <c r="B18" t="s">
        <v>863</v>
      </c>
      <c r="C18" t="s">
        <v>161</v>
      </c>
      <c r="D18" t="s">
        <v>162</v>
      </c>
      <c r="E18" t="s">
        <v>163</v>
      </c>
      <c r="I18" t="s">
        <v>864</v>
      </c>
      <c r="J18">
        <v>0.1</v>
      </c>
      <c r="K18">
        <v>2.91</v>
      </c>
      <c r="L18">
        <v>0.1</v>
      </c>
      <c r="M18">
        <v>0.92</v>
      </c>
      <c r="N18">
        <v>2.88</v>
      </c>
      <c r="O18">
        <v>2.86</v>
      </c>
      <c r="P18">
        <v>3.78</v>
      </c>
      <c r="Q18">
        <v>0.9</v>
      </c>
      <c r="R18">
        <v>28.3</v>
      </c>
      <c r="S18">
        <v>28.55</v>
      </c>
      <c r="T18">
        <v>37.409999999999997</v>
      </c>
      <c r="U18">
        <v>0.44</v>
      </c>
      <c r="V18">
        <v>7.5</v>
      </c>
      <c r="W18" t="s">
        <v>869</v>
      </c>
      <c r="X18">
        <v>0</v>
      </c>
      <c r="Y18">
        <v>0</v>
      </c>
      <c r="Z18">
        <v>0</v>
      </c>
      <c r="AA18">
        <v>113.62</v>
      </c>
      <c r="AB18">
        <v>515.04</v>
      </c>
      <c r="AC18">
        <v>0.78</v>
      </c>
      <c r="AD18">
        <v>0.5</v>
      </c>
      <c r="AE18">
        <v>0.84</v>
      </c>
      <c r="AF18">
        <v>35.35</v>
      </c>
      <c r="AG18">
        <v>1</v>
      </c>
      <c r="AH18">
        <v>72.92</v>
      </c>
      <c r="AI18">
        <v>72.28</v>
      </c>
      <c r="AJ18">
        <v>28.71</v>
      </c>
      <c r="AK18">
        <v>27.93</v>
      </c>
      <c r="AL18">
        <v>27.93</v>
      </c>
      <c r="AM18">
        <v>101.02</v>
      </c>
      <c r="AN18">
        <v>156.19999999999999</v>
      </c>
      <c r="AO18">
        <v>154.30000000000001</v>
      </c>
      <c r="AP18">
        <v>1.2</v>
      </c>
      <c r="AQ18">
        <v>108</v>
      </c>
      <c r="AR18">
        <v>3.96</v>
      </c>
      <c r="AS18">
        <v>-22</v>
      </c>
      <c r="AT18">
        <v>-2</v>
      </c>
      <c r="AU18">
        <v>324</v>
      </c>
      <c r="AV18">
        <v>77.86</v>
      </c>
      <c r="AW18">
        <v>21.03</v>
      </c>
      <c r="AX18">
        <v>22.09</v>
      </c>
      <c r="AY18">
        <v>138.66999999999999</v>
      </c>
      <c r="AZ18">
        <v>12.18</v>
      </c>
      <c r="BA18">
        <v>96.03</v>
      </c>
      <c r="BB18">
        <v>60.82</v>
      </c>
      <c r="BC18" t="s">
        <v>887</v>
      </c>
      <c r="BD18" t="s">
        <v>269</v>
      </c>
      <c r="BE18">
        <v>35.85</v>
      </c>
      <c r="BF18">
        <v>127.13</v>
      </c>
      <c r="BG18">
        <v>44.5</v>
      </c>
      <c r="BH18">
        <v>8</v>
      </c>
      <c r="BI18">
        <v>1.1599999999999999</v>
      </c>
      <c r="BJ18" t="s">
        <v>197</v>
      </c>
      <c r="BK18" t="s">
        <v>161</v>
      </c>
      <c r="BL18">
        <v>-1.97</v>
      </c>
      <c r="BM18" t="s">
        <v>159</v>
      </c>
      <c r="BN18">
        <v>0</v>
      </c>
      <c r="BO18">
        <v>0</v>
      </c>
      <c r="BP18">
        <v>0</v>
      </c>
      <c r="BQ18">
        <v>-0.2</v>
      </c>
      <c r="BR18">
        <v>-0.3</v>
      </c>
      <c r="BS18">
        <v>-0.54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210</v>
      </c>
      <c r="CE18" t="s">
        <v>196</v>
      </c>
      <c r="CF18" t="s">
        <v>211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2.54</v>
      </c>
      <c r="CU18">
        <v>2.4700000000000002</v>
      </c>
      <c r="CV18">
        <v>1.67</v>
      </c>
      <c r="CW18">
        <v>0.94</v>
      </c>
      <c r="CX18">
        <v>0.24</v>
      </c>
      <c r="CY18">
        <v>-0.01</v>
      </c>
      <c r="CZ18">
        <v>0.22</v>
      </c>
      <c r="DA18">
        <v>0.2</v>
      </c>
      <c r="DB18">
        <v>113.62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869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45">
      <c r="A19" t="s">
        <v>901</v>
      </c>
      <c r="B19" t="s">
        <v>902</v>
      </c>
      <c r="C19" t="s">
        <v>161</v>
      </c>
      <c r="D19" t="s">
        <v>162</v>
      </c>
      <c r="E19" t="s">
        <v>163</v>
      </c>
      <c r="I19" t="s">
        <v>903</v>
      </c>
      <c r="J19">
        <v>0.19</v>
      </c>
      <c r="K19">
        <v>2.9</v>
      </c>
      <c r="L19">
        <v>0.18</v>
      </c>
      <c r="M19">
        <v>1.54</v>
      </c>
      <c r="N19">
        <v>2.9</v>
      </c>
      <c r="O19">
        <v>2.85</v>
      </c>
      <c r="P19">
        <v>3.75</v>
      </c>
      <c r="Q19">
        <v>0.85</v>
      </c>
      <c r="R19">
        <v>28.24</v>
      </c>
      <c r="S19">
        <v>28.66</v>
      </c>
      <c r="T19">
        <v>37.11</v>
      </c>
      <c r="U19">
        <v>0.44</v>
      </c>
      <c r="V19">
        <v>7.5</v>
      </c>
      <c r="W19" t="s">
        <v>908</v>
      </c>
      <c r="X19">
        <v>0</v>
      </c>
      <c r="Y19">
        <v>0</v>
      </c>
      <c r="Z19">
        <v>0</v>
      </c>
      <c r="AA19">
        <v>128.41</v>
      </c>
      <c r="AB19">
        <v>523.89</v>
      </c>
      <c r="AC19">
        <v>0.75</v>
      </c>
      <c r="AD19">
        <v>0.5</v>
      </c>
      <c r="AE19">
        <v>0.84</v>
      </c>
      <c r="AF19">
        <v>36.78</v>
      </c>
      <c r="AG19">
        <v>1</v>
      </c>
      <c r="AH19">
        <v>73</v>
      </c>
      <c r="AI19">
        <v>71.91</v>
      </c>
      <c r="AJ19">
        <v>28.76</v>
      </c>
      <c r="AK19">
        <v>27.79</v>
      </c>
      <c r="AL19">
        <v>27.79</v>
      </c>
      <c r="AM19">
        <v>101.02</v>
      </c>
      <c r="AN19">
        <v>155.80000000000001</v>
      </c>
      <c r="AO19">
        <v>154.30000000000001</v>
      </c>
      <c r="AP19">
        <v>1</v>
      </c>
      <c r="AQ19">
        <v>116</v>
      </c>
      <c r="AR19">
        <v>3.96</v>
      </c>
      <c r="AS19">
        <v>-15</v>
      </c>
      <c r="AT19">
        <v>-3</v>
      </c>
      <c r="AU19">
        <v>312</v>
      </c>
      <c r="AV19">
        <v>74.88</v>
      </c>
      <c r="AW19">
        <v>26.08</v>
      </c>
      <c r="AX19">
        <v>15.29</v>
      </c>
      <c r="AY19">
        <v>120.55</v>
      </c>
      <c r="AZ19">
        <v>12.18</v>
      </c>
      <c r="BA19">
        <v>96.03</v>
      </c>
      <c r="BB19">
        <v>60.82</v>
      </c>
      <c r="BC19" t="s">
        <v>923</v>
      </c>
      <c r="BD19" t="s">
        <v>269</v>
      </c>
      <c r="BE19">
        <v>35.85</v>
      </c>
      <c r="BF19">
        <v>127.13</v>
      </c>
      <c r="BG19">
        <v>44.8</v>
      </c>
      <c r="BH19">
        <v>8</v>
      </c>
      <c r="BI19">
        <v>1.46</v>
      </c>
      <c r="BJ19" t="s">
        <v>197</v>
      </c>
      <c r="BK19" t="s">
        <v>161</v>
      </c>
      <c r="BL19">
        <v>-1.97</v>
      </c>
      <c r="BM19" t="s">
        <v>159</v>
      </c>
      <c r="BN19">
        <v>0</v>
      </c>
      <c r="BO19">
        <v>0</v>
      </c>
      <c r="BP19">
        <v>0.01</v>
      </c>
      <c r="BQ19">
        <v>-0.06</v>
      </c>
      <c r="BR19">
        <v>-0.1</v>
      </c>
      <c r="BS19">
        <v>-0.35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210</v>
      </c>
      <c r="CE19" t="s">
        <v>196</v>
      </c>
      <c r="CF19" t="s">
        <v>211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2.5299999999999998</v>
      </c>
      <c r="CU19">
        <v>2.4700000000000002</v>
      </c>
      <c r="CV19">
        <v>1.67</v>
      </c>
      <c r="CW19">
        <v>0.94</v>
      </c>
      <c r="CX19">
        <v>0.23</v>
      </c>
      <c r="CY19">
        <v>-0.01</v>
      </c>
      <c r="CZ19">
        <v>0.22</v>
      </c>
      <c r="DA19">
        <v>0.21</v>
      </c>
      <c r="DB19">
        <v>128.41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908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opLeftCell="A2" workbookViewId="0">
      <selection activeCell="A2" sqref="A2:J19"/>
    </sheetView>
  </sheetViews>
  <sheetFormatPr defaultRowHeight="19.2" x14ac:dyDescent="0.45"/>
  <sheetData>
    <row r="1" spans="1:10" x14ac:dyDescent="0.45">
      <c r="A1" t="s">
        <v>15</v>
      </c>
      <c r="B1" t="s">
        <v>23</v>
      </c>
      <c r="C1" s="14" t="s">
        <v>946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0.33</v>
      </c>
      <c r="C2">
        <v>0.28614062704009968</v>
      </c>
      <c r="D2">
        <v>0.85</v>
      </c>
      <c r="E2">
        <v>123.63</v>
      </c>
      <c r="F2">
        <v>510.73</v>
      </c>
      <c r="G2">
        <v>0.76</v>
      </c>
      <c r="H2">
        <v>36.29</v>
      </c>
      <c r="I2">
        <v>114</v>
      </c>
      <c r="J2">
        <v>26.95</v>
      </c>
    </row>
    <row r="3" spans="1:10" x14ac:dyDescent="0.45">
      <c r="A3" t="s">
        <v>239</v>
      </c>
      <c r="B3">
        <v>0.42</v>
      </c>
      <c r="C3">
        <v>0.34456729032494843</v>
      </c>
      <c r="D3">
        <v>0.72</v>
      </c>
      <c r="E3">
        <v>111.64</v>
      </c>
      <c r="F3">
        <v>516.69000000000005</v>
      </c>
      <c r="G3">
        <v>0.78</v>
      </c>
      <c r="H3">
        <v>34.9</v>
      </c>
      <c r="I3">
        <v>106</v>
      </c>
      <c r="J3">
        <v>26.75</v>
      </c>
    </row>
    <row r="4" spans="1:10" x14ac:dyDescent="0.45">
      <c r="A4" t="s">
        <v>290</v>
      </c>
      <c r="B4">
        <v>0.27</v>
      </c>
      <c r="C4">
        <v>0.24430093234546479</v>
      </c>
      <c r="D4">
        <v>0.78</v>
      </c>
      <c r="E4">
        <v>107.33</v>
      </c>
      <c r="F4">
        <v>500.67</v>
      </c>
      <c r="G4">
        <v>0.79</v>
      </c>
      <c r="H4">
        <v>34.32</v>
      </c>
      <c r="I4">
        <v>104</v>
      </c>
      <c r="J4">
        <v>27.04</v>
      </c>
    </row>
    <row r="5" spans="1:10" x14ac:dyDescent="0.45">
      <c r="A5" t="s">
        <v>333</v>
      </c>
      <c r="B5">
        <v>0.35</v>
      </c>
      <c r="C5">
        <v>0.29892344981768149</v>
      </c>
      <c r="D5">
        <v>0.74</v>
      </c>
      <c r="E5">
        <v>114.6</v>
      </c>
      <c r="F5">
        <v>532.78</v>
      </c>
      <c r="G5">
        <v>0.78</v>
      </c>
      <c r="H5">
        <v>37.58</v>
      </c>
      <c r="I5">
        <v>114</v>
      </c>
      <c r="J5">
        <v>26.91</v>
      </c>
    </row>
    <row r="6" spans="1:10" x14ac:dyDescent="0.45">
      <c r="A6" t="s">
        <v>376</v>
      </c>
      <c r="B6">
        <v>0.34</v>
      </c>
      <c r="C6">
        <v>0.29405409828514778</v>
      </c>
      <c r="D6">
        <v>0.73</v>
      </c>
      <c r="E6">
        <v>101.65</v>
      </c>
      <c r="F6">
        <v>494.07</v>
      </c>
      <c r="G6">
        <v>0.79</v>
      </c>
      <c r="H6">
        <v>34.36</v>
      </c>
      <c r="I6">
        <v>103</v>
      </c>
      <c r="J6">
        <v>26.94</v>
      </c>
    </row>
    <row r="7" spans="1:10" x14ac:dyDescent="0.45">
      <c r="A7" t="s">
        <v>423</v>
      </c>
      <c r="B7">
        <v>0.27</v>
      </c>
      <c r="C7">
        <v>0.24058692544482899</v>
      </c>
      <c r="D7">
        <v>0.77</v>
      </c>
      <c r="E7">
        <v>101.43</v>
      </c>
      <c r="F7">
        <v>489.31</v>
      </c>
      <c r="G7">
        <v>0.79</v>
      </c>
      <c r="H7">
        <v>36.619999999999997</v>
      </c>
      <c r="I7">
        <v>110</v>
      </c>
      <c r="J7">
        <v>27.08</v>
      </c>
    </row>
    <row r="8" spans="1:10" x14ac:dyDescent="0.45">
      <c r="A8" t="s">
        <v>464</v>
      </c>
      <c r="B8">
        <v>0.35</v>
      </c>
      <c r="C8">
        <v>0.29828800053096421</v>
      </c>
      <c r="D8">
        <v>0.73</v>
      </c>
      <c r="E8">
        <v>104.71</v>
      </c>
      <c r="F8">
        <v>509.85</v>
      </c>
      <c r="G8">
        <v>0.79</v>
      </c>
      <c r="H8">
        <v>36.380000000000003</v>
      </c>
      <c r="I8">
        <v>109</v>
      </c>
      <c r="J8">
        <v>27.07</v>
      </c>
    </row>
    <row r="9" spans="1:10" x14ac:dyDescent="0.45">
      <c r="A9" t="s">
        <v>504</v>
      </c>
      <c r="B9">
        <v>0.39</v>
      </c>
      <c r="C9">
        <v>0.32352716533014741</v>
      </c>
      <c r="D9">
        <v>0.7</v>
      </c>
      <c r="E9">
        <v>103.1</v>
      </c>
      <c r="F9">
        <v>504.22</v>
      </c>
      <c r="G9">
        <v>0.8</v>
      </c>
      <c r="H9">
        <v>20.72</v>
      </c>
      <c r="I9">
        <v>62</v>
      </c>
      <c r="J9">
        <v>26.95</v>
      </c>
    </row>
    <row r="10" spans="1:10" x14ac:dyDescent="0.45">
      <c r="A10" t="s">
        <v>546</v>
      </c>
      <c r="B10">
        <v>0.3</v>
      </c>
      <c r="C10">
        <v>0.25805916437416809</v>
      </c>
      <c r="D10">
        <v>0.75</v>
      </c>
      <c r="E10">
        <v>99.82</v>
      </c>
      <c r="F10">
        <v>490.92</v>
      </c>
      <c r="G10">
        <v>0.8</v>
      </c>
      <c r="H10">
        <v>36.81</v>
      </c>
      <c r="I10">
        <v>110</v>
      </c>
      <c r="J10">
        <v>27.21</v>
      </c>
    </row>
    <row r="11" spans="1:10" x14ac:dyDescent="0.45">
      <c r="A11" t="s">
        <v>585</v>
      </c>
      <c r="B11">
        <v>0.11</v>
      </c>
      <c r="C11">
        <v>0.10618673925002781</v>
      </c>
      <c r="D11">
        <v>0.89</v>
      </c>
      <c r="E11">
        <v>136.81</v>
      </c>
      <c r="F11">
        <v>536.96</v>
      </c>
      <c r="G11">
        <v>0.75</v>
      </c>
      <c r="H11">
        <v>32.549999999999997</v>
      </c>
      <c r="I11">
        <v>104</v>
      </c>
      <c r="J11">
        <v>27.65</v>
      </c>
    </row>
    <row r="12" spans="1:10" x14ac:dyDescent="0.45">
      <c r="A12" t="s">
        <v>627</v>
      </c>
      <c r="B12">
        <v>0.17</v>
      </c>
      <c r="C12">
        <v>0.16411308141424291</v>
      </c>
      <c r="D12">
        <v>0.84</v>
      </c>
      <c r="E12">
        <v>126.13</v>
      </c>
      <c r="F12">
        <v>526.20000000000005</v>
      </c>
      <c r="G12">
        <v>0.76</v>
      </c>
      <c r="H12">
        <v>32.25</v>
      </c>
      <c r="I12">
        <v>101</v>
      </c>
      <c r="J12">
        <v>27.42</v>
      </c>
    </row>
    <row r="13" spans="1:10" x14ac:dyDescent="0.45">
      <c r="A13" t="s">
        <v>666</v>
      </c>
      <c r="B13">
        <v>0.18</v>
      </c>
      <c r="C13">
        <v>0.16809733408413691</v>
      </c>
      <c r="D13">
        <v>0.83</v>
      </c>
      <c r="E13">
        <v>123.6</v>
      </c>
      <c r="F13">
        <v>529.08000000000004</v>
      </c>
      <c r="G13">
        <v>0.77</v>
      </c>
      <c r="H13">
        <v>37.340000000000003</v>
      </c>
      <c r="I13">
        <v>116</v>
      </c>
      <c r="J13">
        <v>27.4</v>
      </c>
    </row>
    <row r="14" spans="1:10" x14ac:dyDescent="0.45">
      <c r="A14" t="s">
        <v>708</v>
      </c>
      <c r="B14">
        <v>0.13</v>
      </c>
      <c r="C14">
        <v>0.12650978561835899</v>
      </c>
      <c r="D14">
        <v>0.85</v>
      </c>
      <c r="E14">
        <v>109.07</v>
      </c>
      <c r="F14">
        <v>484.54</v>
      </c>
      <c r="G14">
        <v>0.77</v>
      </c>
      <c r="H14">
        <v>38.08</v>
      </c>
      <c r="I14">
        <v>117</v>
      </c>
      <c r="J14">
        <v>27.65</v>
      </c>
    </row>
    <row r="15" spans="1:10" x14ac:dyDescent="0.45">
      <c r="A15" t="s">
        <v>746</v>
      </c>
      <c r="B15">
        <v>0.09</v>
      </c>
      <c r="C15">
        <v>9.1513569141231016E-2</v>
      </c>
      <c r="D15">
        <v>0.89</v>
      </c>
      <c r="E15">
        <v>135.74</v>
      </c>
      <c r="F15">
        <v>511.19</v>
      </c>
      <c r="G15">
        <v>0.73</v>
      </c>
      <c r="H15">
        <v>31.16</v>
      </c>
      <c r="I15">
        <v>101</v>
      </c>
      <c r="J15">
        <v>27.76</v>
      </c>
    </row>
    <row r="16" spans="1:10" x14ac:dyDescent="0.45">
      <c r="A16" t="s">
        <v>783</v>
      </c>
      <c r="B16">
        <v>0.18</v>
      </c>
      <c r="C16">
        <v>0.16563629586511269</v>
      </c>
      <c r="D16">
        <v>0.82</v>
      </c>
      <c r="E16">
        <v>125.32</v>
      </c>
      <c r="F16">
        <v>512.15</v>
      </c>
      <c r="G16">
        <v>0.76</v>
      </c>
      <c r="H16">
        <v>34.58</v>
      </c>
      <c r="I16">
        <v>109</v>
      </c>
      <c r="J16">
        <v>27.54</v>
      </c>
    </row>
    <row r="17" spans="1:10" x14ac:dyDescent="0.45">
      <c r="A17" t="s">
        <v>825</v>
      </c>
      <c r="B17">
        <v>0.14000000000000001</v>
      </c>
      <c r="C17">
        <v>0.13410130628104899</v>
      </c>
      <c r="D17">
        <v>0.85</v>
      </c>
      <c r="E17">
        <v>128.13</v>
      </c>
      <c r="F17">
        <v>533.15</v>
      </c>
      <c r="G17">
        <v>0.76</v>
      </c>
      <c r="H17">
        <v>35.1</v>
      </c>
      <c r="I17">
        <v>110</v>
      </c>
      <c r="J17">
        <v>27.79</v>
      </c>
    </row>
    <row r="18" spans="1:10" x14ac:dyDescent="0.45">
      <c r="A18" t="s">
        <v>863</v>
      </c>
      <c r="B18">
        <v>0.1</v>
      </c>
      <c r="C18">
        <v>0.1000313908739151</v>
      </c>
      <c r="D18">
        <v>0.9</v>
      </c>
      <c r="E18">
        <v>113.62</v>
      </c>
      <c r="F18">
        <v>515.04</v>
      </c>
      <c r="G18">
        <v>0.78</v>
      </c>
      <c r="H18">
        <v>35.35</v>
      </c>
      <c r="I18">
        <v>108</v>
      </c>
      <c r="J18">
        <v>27.93</v>
      </c>
    </row>
    <row r="19" spans="1:10" x14ac:dyDescent="0.45">
      <c r="A19" t="s">
        <v>902</v>
      </c>
      <c r="B19">
        <v>0.19</v>
      </c>
      <c r="C19">
        <v>0.17514478127844971</v>
      </c>
      <c r="D19">
        <v>0.85</v>
      </c>
      <c r="E19">
        <v>128.41</v>
      </c>
      <c r="F19">
        <v>523.89</v>
      </c>
      <c r="G19">
        <v>0.75</v>
      </c>
      <c r="H19">
        <v>36.78</v>
      </c>
      <c r="I19">
        <v>116</v>
      </c>
      <c r="J19">
        <v>27.79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1738-542F-443D-86B3-F6905A5913E8}">
  <dimension ref="A1:U19"/>
  <sheetViews>
    <sheetView tabSelected="1" workbookViewId="0">
      <selection activeCell="E1" activeCellId="1" sqref="B1:B1048576 E1:E1048576"/>
    </sheetView>
  </sheetViews>
  <sheetFormatPr defaultRowHeight="19.2" x14ac:dyDescent="0.45"/>
  <sheetData>
    <row r="1" spans="1:21" ht="19.8" thickBot="1" x14ac:dyDescent="0.5">
      <c r="A1" s="1" t="s">
        <v>940</v>
      </c>
      <c r="B1" s="2" t="s">
        <v>941</v>
      </c>
      <c r="C1" s="2" t="s">
        <v>15</v>
      </c>
      <c r="D1" s="2" t="s">
        <v>23</v>
      </c>
      <c r="E1" s="2" t="s">
        <v>942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943</v>
      </c>
      <c r="N1" s="4" t="s">
        <v>942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944</v>
      </c>
      <c r="B2">
        <v>1</v>
      </c>
      <c r="C2" t="s">
        <v>160</v>
      </c>
      <c r="D2">
        <v>0.33</v>
      </c>
      <c r="E2">
        <v>0.28614062704009968</v>
      </c>
      <c r="F2">
        <v>0.85</v>
      </c>
      <c r="G2">
        <v>123.63</v>
      </c>
      <c r="H2">
        <v>510.73</v>
      </c>
      <c r="I2">
        <v>0.76</v>
      </c>
      <c r="J2">
        <v>36.29</v>
      </c>
      <c r="K2">
        <v>114</v>
      </c>
      <c r="L2" s="6">
        <v>26.95</v>
      </c>
      <c r="M2" s="7">
        <f>AVERAGE(D2:D10)</f>
        <v>0.33555555555555555</v>
      </c>
      <c r="N2" s="7">
        <f t="shared" ref="N2:U2" si="0">AVERAGE(E2:E10)</f>
        <v>0.28760529483260566</v>
      </c>
      <c r="O2" s="7">
        <f t="shared" si="0"/>
        <v>0.75222222222222224</v>
      </c>
      <c r="P2" s="7">
        <f t="shared" si="0"/>
        <v>107.54555555555557</v>
      </c>
      <c r="Q2" s="7">
        <f t="shared" si="0"/>
        <v>505.4711111111111</v>
      </c>
      <c r="R2" s="7">
        <f t="shared" si="0"/>
        <v>0.78666666666666663</v>
      </c>
      <c r="S2" s="7">
        <f t="shared" si="0"/>
        <v>34.22</v>
      </c>
      <c r="T2" s="7">
        <f t="shared" si="0"/>
        <v>103.55555555555556</v>
      </c>
      <c r="U2" s="7">
        <f t="shared" si="0"/>
        <v>26.988888888888891</v>
      </c>
    </row>
    <row r="3" spans="1:21" x14ac:dyDescent="0.45">
      <c r="A3" s="5" t="s">
        <v>944</v>
      </c>
      <c r="B3">
        <v>1</v>
      </c>
      <c r="C3" t="s">
        <v>239</v>
      </c>
      <c r="D3">
        <v>0.42</v>
      </c>
      <c r="E3">
        <v>0.34456729032494843</v>
      </c>
      <c r="F3">
        <v>0.72</v>
      </c>
      <c r="G3">
        <v>111.64</v>
      </c>
      <c r="H3">
        <v>516.69000000000005</v>
      </c>
      <c r="I3">
        <v>0.78</v>
      </c>
      <c r="J3">
        <v>34.9</v>
      </c>
      <c r="K3">
        <v>106</v>
      </c>
      <c r="L3" s="6">
        <v>26.75</v>
      </c>
      <c r="M3" s="7">
        <f t="shared" ref="M3:U3" si="1">AVERAGE(D11:D19)</f>
        <v>0.14333333333333334</v>
      </c>
      <c r="N3" s="7">
        <f t="shared" si="1"/>
        <v>0.13681492042294713</v>
      </c>
      <c r="O3" s="7">
        <f t="shared" si="1"/>
        <v>0.85777777777777775</v>
      </c>
      <c r="P3" s="7">
        <f t="shared" si="1"/>
        <v>125.20333333333332</v>
      </c>
      <c r="Q3" s="7">
        <f t="shared" si="1"/>
        <v>519.13333333333344</v>
      </c>
      <c r="R3" s="7">
        <f t="shared" si="1"/>
        <v>0.75888888888888895</v>
      </c>
      <c r="S3" s="7">
        <f t="shared" si="1"/>
        <v>34.798888888888882</v>
      </c>
      <c r="T3" s="7">
        <f t="shared" si="1"/>
        <v>109.11111111111111</v>
      </c>
      <c r="U3" s="7">
        <f t="shared" si="1"/>
        <v>27.658888888888885</v>
      </c>
    </row>
    <row r="4" spans="1:21" x14ac:dyDescent="0.45">
      <c r="A4" s="5" t="s">
        <v>944</v>
      </c>
      <c r="B4">
        <v>1</v>
      </c>
      <c r="C4" t="s">
        <v>290</v>
      </c>
      <c r="D4">
        <v>0.27</v>
      </c>
      <c r="E4">
        <v>0.24430093234546479</v>
      </c>
      <c r="F4">
        <v>0.78</v>
      </c>
      <c r="G4">
        <v>107.33</v>
      </c>
      <c r="H4">
        <v>500.67</v>
      </c>
      <c r="I4">
        <v>0.79</v>
      </c>
      <c r="J4">
        <v>34.32</v>
      </c>
      <c r="K4">
        <v>104</v>
      </c>
      <c r="L4" s="6">
        <v>27.04</v>
      </c>
    </row>
    <row r="5" spans="1:21" x14ac:dyDescent="0.45">
      <c r="A5" s="5" t="s">
        <v>944</v>
      </c>
      <c r="B5">
        <v>1</v>
      </c>
      <c r="C5" t="s">
        <v>333</v>
      </c>
      <c r="D5">
        <v>0.35</v>
      </c>
      <c r="E5">
        <v>0.29892344981768149</v>
      </c>
      <c r="F5">
        <v>0.74</v>
      </c>
      <c r="G5">
        <v>114.6</v>
      </c>
      <c r="H5">
        <v>532.78</v>
      </c>
      <c r="I5">
        <v>0.78</v>
      </c>
      <c r="J5">
        <v>37.58</v>
      </c>
      <c r="K5">
        <v>114</v>
      </c>
      <c r="L5" s="6">
        <v>26.91</v>
      </c>
    </row>
    <row r="6" spans="1:21" x14ac:dyDescent="0.45">
      <c r="A6" s="5" t="s">
        <v>944</v>
      </c>
      <c r="B6">
        <v>1</v>
      </c>
      <c r="C6" t="s">
        <v>376</v>
      </c>
      <c r="D6">
        <v>0.34</v>
      </c>
      <c r="E6">
        <v>0.29405409828514778</v>
      </c>
      <c r="F6">
        <v>0.73</v>
      </c>
      <c r="G6">
        <v>101.65</v>
      </c>
      <c r="H6">
        <v>494.07</v>
      </c>
      <c r="I6">
        <v>0.79</v>
      </c>
      <c r="J6">
        <v>34.36</v>
      </c>
      <c r="K6">
        <v>103</v>
      </c>
      <c r="L6" s="6">
        <v>26.94</v>
      </c>
    </row>
    <row r="7" spans="1:21" x14ac:dyDescent="0.45">
      <c r="A7" s="5" t="s">
        <v>944</v>
      </c>
      <c r="B7">
        <v>1</v>
      </c>
      <c r="C7" t="s">
        <v>423</v>
      </c>
      <c r="D7">
        <v>0.27</v>
      </c>
      <c r="E7">
        <v>0.24058692544482899</v>
      </c>
      <c r="F7">
        <v>0.77</v>
      </c>
      <c r="G7">
        <v>101.43</v>
      </c>
      <c r="H7">
        <v>489.31</v>
      </c>
      <c r="I7">
        <v>0.79</v>
      </c>
      <c r="J7">
        <v>36.619999999999997</v>
      </c>
      <c r="K7">
        <v>110</v>
      </c>
      <c r="L7" s="6">
        <v>27.08</v>
      </c>
    </row>
    <row r="8" spans="1:21" x14ac:dyDescent="0.45">
      <c r="A8" s="5" t="s">
        <v>944</v>
      </c>
      <c r="B8">
        <v>1</v>
      </c>
      <c r="C8" t="s">
        <v>464</v>
      </c>
      <c r="D8">
        <v>0.35</v>
      </c>
      <c r="E8">
        <v>0.29828800053096421</v>
      </c>
      <c r="F8">
        <v>0.73</v>
      </c>
      <c r="G8">
        <v>104.71</v>
      </c>
      <c r="H8">
        <v>509.85</v>
      </c>
      <c r="I8">
        <v>0.79</v>
      </c>
      <c r="J8">
        <v>36.380000000000003</v>
      </c>
      <c r="K8">
        <v>109</v>
      </c>
      <c r="L8" s="6">
        <v>27.07</v>
      </c>
    </row>
    <row r="9" spans="1:21" x14ac:dyDescent="0.45">
      <c r="A9" s="5" t="s">
        <v>944</v>
      </c>
      <c r="B9">
        <v>1</v>
      </c>
      <c r="C9" t="s">
        <v>504</v>
      </c>
      <c r="D9">
        <v>0.39</v>
      </c>
      <c r="E9">
        <v>0.32352716533014741</v>
      </c>
      <c r="F9">
        <v>0.7</v>
      </c>
      <c r="G9">
        <v>103.1</v>
      </c>
      <c r="H9">
        <v>504.22</v>
      </c>
      <c r="I9">
        <v>0.8</v>
      </c>
      <c r="J9">
        <v>20.72</v>
      </c>
      <c r="K9">
        <v>62</v>
      </c>
      <c r="L9" s="6">
        <v>26.95</v>
      </c>
    </row>
    <row r="10" spans="1:21" x14ac:dyDescent="0.45">
      <c r="A10" s="8" t="s">
        <v>944</v>
      </c>
      <c r="B10" s="9">
        <v>1</v>
      </c>
      <c r="C10" s="9" t="s">
        <v>546</v>
      </c>
      <c r="D10" s="9">
        <v>0.3</v>
      </c>
      <c r="E10" s="9">
        <v>0.25805916437416809</v>
      </c>
      <c r="F10" s="9">
        <v>0.75</v>
      </c>
      <c r="G10" s="9">
        <v>99.82</v>
      </c>
      <c r="H10" s="9">
        <v>490.92</v>
      </c>
      <c r="I10" s="9">
        <v>0.8</v>
      </c>
      <c r="J10" s="9">
        <v>36.81</v>
      </c>
      <c r="K10" s="9">
        <v>110</v>
      </c>
      <c r="L10" s="10">
        <v>27.21</v>
      </c>
    </row>
    <row r="11" spans="1:21" x14ac:dyDescent="0.45">
      <c r="A11" s="5" t="s">
        <v>945</v>
      </c>
      <c r="B11">
        <v>2</v>
      </c>
      <c r="C11" t="s">
        <v>585</v>
      </c>
      <c r="D11">
        <v>0.11</v>
      </c>
      <c r="E11">
        <v>0.10618673925002781</v>
      </c>
      <c r="F11">
        <v>0.89</v>
      </c>
      <c r="G11">
        <v>136.81</v>
      </c>
      <c r="H11">
        <v>536.96</v>
      </c>
      <c r="I11">
        <v>0.75</v>
      </c>
      <c r="J11">
        <v>32.549999999999997</v>
      </c>
      <c r="K11">
        <v>104</v>
      </c>
      <c r="L11" s="6">
        <v>27.65</v>
      </c>
    </row>
    <row r="12" spans="1:21" x14ac:dyDescent="0.45">
      <c r="A12" s="5" t="s">
        <v>945</v>
      </c>
      <c r="B12">
        <v>2</v>
      </c>
      <c r="C12" t="s">
        <v>627</v>
      </c>
      <c r="D12">
        <v>0.17</v>
      </c>
      <c r="E12">
        <v>0.16411308141424291</v>
      </c>
      <c r="F12">
        <v>0.84</v>
      </c>
      <c r="G12">
        <v>126.13</v>
      </c>
      <c r="H12">
        <v>526.20000000000005</v>
      </c>
      <c r="I12">
        <v>0.76</v>
      </c>
      <c r="J12">
        <v>32.25</v>
      </c>
      <c r="K12">
        <v>101</v>
      </c>
      <c r="L12" s="6">
        <v>27.42</v>
      </c>
    </row>
    <row r="13" spans="1:21" x14ac:dyDescent="0.45">
      <c r="A13" s="5" t="s">
        <v>945</v>
      </c>
      <c r="B13">
        <v>2</v>
      </c>
      <c r="C13" t="s">
        <v>666</v>
      </c>
      <c r="D13">
        <v>0.18</v>
      </c>
      <c r="E13">
        <v>0.16809733408413691</v>
      </c>
      <c r="F13">
        <v>0.83</v>
      </c>
      <c r="G13">
        <v>123.6</v>
      </c>
      <c r="H13">
        <v>529.08000000000004</v>
      </c>
      <c r="I13">
        <v>0.77</v>
      </c>
      <c r="J13">
        <v>37.340000000000003</v>
      </c>
      <c r="K13">
        <v>116</v>
      </c>
      <c r="L13" s="6">
        <v>27.4</v>
      </c>
    </row>
    <row r="14" spans="1:21" x14ac:dyDescent="0.45">
      <c r="A14" s="5" t="s">
        <v>945</v>
      </c>
      <c r="B14">
        <v>2</v>
      </c>
      <c r="C14" t="s">
        <v>708</v>
      </c>
      <c r="D14">
        <v>0.13</v>
      </c>
      <c r="E14">
        <v>0.12650978561835899</v>
      </c>
      <c r="F14">
        <v>0.85</v>
      </c>
      <c r="G14">
        <v>109.07</v>
      </c>
      <c r="H14">
        <v>484.54</v>
      </c>
      <c r="I14">
        <v>0.77</v>
      </c>
      <c r="J14">
        <v>38.08</v>
      </c>
      <c r="K14">
        <v>117</v>
      </c>
      <c r="L14" s="6">
        <v>27.65</v>
      </c>
    </row>
    <row r="15" spans="1:21" x14ac:dyDescent="0.45">
      <c r="A15" s="5" t="s">
        <v>945</v>
      </c>
      <c r="B15">
        <v>2</v>
      </c>
      <c r="C15" t="s">
        <v>746</v>
      </c>
      <c r="D15">
        <v>0.09</v>
      </c>
      <c r="E15">
        <v>9.1513569141231016E-2</v>
      </c>
      <c r="F15">
        <v>0.89</v>
      </c>
      <c r="G15">
        <v>135.74</v>
      </c>
      <c r="H15">
        <v>511.19</v>
      </c>
      <c r="I15">
        <v>0.73</v>
      </c>
      <c r="J15">
        <v>31.16</v>
      </c>
      <c r="K15">
        <v>101</v>
      </c>
      <c r="L15" s="6">
        <v>27.76</v>
      </c>
    </row>
    <row r="16" spans="1:21" x14ac:dyDescent="0.45">
      <c r="A16" s="5" t="s">
        <v>945</v>
      </c>
      <c r="B16">
        <v>2</v>
      </c>
      <c r="C16" t="s">
        <v>783</v>
      </c>
      <c r="D16">
        <v>0.18</v>
      </c>
      <c r="E16">
        <v>0.16563629586511269</v>
      </c>
      <c r="F16">
        <v>0.82</v>
      </c>
      <c r="G16">
        <v>125.32</v>
      </c>
      <c r="H16">
        <v>512.15</v>
      </c>
      <c r="I16">
        <v>0.76</v>
      </c>
      <c r="J16">
        <v>34.58</v>
      </c>
      <c r="K16">
        <v>109</v>
      </c>
      <c r="L16" s="6">
        <v>27.54</v>
      </c>
    </row>
    <row r="17" spans="1:12" x14ac:dyDescent="0.45">
      <c r="A17" s="5" t="s">
        <v>945</v>
      </c>
      <c r="B17">
        <v>2</v>
      </c>
      <c r="C17" t="s">
        <v>825</v>
      </c>
      <c r="D17">
        <v>0.14000000000000001</v>
      </c>
      <c r="E17">
        <v>0.13410130628104899</v>
      </c>
      <c r="F17">
        <v>0.85</v>
      </c>
      <c r="G17">
        <v>128.13</v>
      </c>
      <c r="H17">
        <v>533.15</v>
      </c>
      <c r="I17">
        <v>0.76</v>
      </c>
      <c r="J17">
        <v>35.1</v>
      </c>
      <c r="K17">
        <v>110</v>
      </c>
      <c r="L17" s="6">
        <v>27.79</v>
      </c>
    </row>
    <row r="18" spans="1:12" x14ac:dyDescent="0.45">
      <c r="A18" s="5" t="s">
        <v>945</v>
      </c>
      <c r="B18">
        <v>2</v>
      </c>
      <c r="C18" t="s">
        <v>863</v>
      </c>
      <c r="D18">
        <v>0.1</v>
      </c>
      <c r="E18">
        <v>0.1000313908739151</v>
      </c>
      <c r="F18">
        <v>0.9</v>
      </c>
      <c r="G18">
        <v>113.62</v>
      </c>
      <c r="H18">
        <v>515.04</v>
      </c>
      <c r="I18">
        <v>0.78</v>
      </c>
      <c r="J18">
        <v>35.35</v>
      </c>
      <c r="K18">
        <v>108</v>
      </c>
      <c r="L18" s="6">
        <v>27.93</v>
      </c>
    </row>
    <row r="19" spans="1:12" ht="19.8" thickBot="1" x14ac:dyDescent="0.5">
      <c r="A19" s="11" t="s">
        <v>945</v>
      </c>
      <c r="B19" s="12">
        <v>2</v>
      </c>
      <c r="C19" s="12" t="s">
        <v>902</v>
      </c>
      <c r="D19" s="12">
        <v>0.19</v>
      </c>
      <c r="E19" s="12">
        <v>0.17514478127844971</v>
      </c>
      <c r="F19" s="12">
        <v>0.85</v>
      </c>
      <c r="G19" s="12">
        <v>128.41</v>
      </c>
      <c r="H19" s="12">
        <v>523.89</v>
      </c>
      <c r="I19" s="12">
        <v>0.75</v>
      </c>
      <c r="J19" s="12">
        <v>36.78</v>
      </c>
      <c r="K19" s="12">
        <v>116</v>
      </c>
      <c r="L19" s="13">
        <v>27.79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2026-08-21T01:38:14Z</dcterms:created>
  <dcterms:modified xsi:type="dcterms:W3CDTF">2026-10-26T04:31:19Z</dcterms:modified>
</cp:coreProperties>
</file>