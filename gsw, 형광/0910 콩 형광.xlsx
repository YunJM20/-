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2402\Desktop\센서측정\2026년\9월\형광\비가림\"/>
    </mc:Choice>
  </mc:AlternateContent>
  <xr:revisionPtr revIDLastSave="0" documentId="13_ncr:1_{4931B152-AD3E-4C9C-97FF-2730288188C1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dark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0" i="1" l="1"/>
  <c r="P70" i="1" s="1"/>
  <c r="AF70" i="1"/>
  <c r="U70" i="1"/>
  <c r="M70" i="1" s="1"/>
  <c r="K70" i="1"/>
  <c r="AL69" i="1"/>
  <c r="AF69" i="1"/>
  <c r="U69" i="1"/>
  <c r="P69" i="1"/>
  <c r="T69" i="1" s="1"/>
  <c r="M69" i="1"/>
  <c r="K69" i="1"/>
  <c r="AL68" i="1"/>
  <c r="AF68" i="1"/>
  <c r="U68" i="1"/>
  <c r="T68" i="1"/>
  <c r="Q68" i="1"/>
  <c r="P68" i="1"/>
  <c r="M68" i="1"/>
  <c r="L68" i="1" s="1"/>
  <c r="J68" i="1" s="1"/>
  <c r="K68" i="1"/>
  <c r="AL67" i="1"/>
  <c r="AF67" i="1"/>
  <c r="U67" i="1"/>
  <c r="M67" i="1" s="1"/>
  <c r="L67" i="1" s="1"/>
  <c r="J67" i="1" s="1"/>
  <c r="T67" i="1"/>
  <c r="Q67" i="1"/>
  <c r="P67" i="1"/>
  <c r="K67" i="1"/>
  <c r="AL66" i="1"/>
  <c r="P66" i="1" s="1"/>
  <c r="AF66" i="1"/>
  <c r="U66" i="1"/>
  <c r="M66" i="1" s="1"/>
  <c r="K66" i="1"/>
  <c r="AL65" i="1"/>
  <c r="AF65" i="1"/>
  <c r="U65" i="1"/>
  <c r="P65" i="1"/>
  <c r="T65" i="1" s="1"/>
  <c r="M65" i="1"/>
  <c r="K65" i="1"/>
  <c r="AL64" i="1"/>
  <c r="P64" i="1" s="1"/>
  <c r="AF64" i="1"/>
  <c r="U64" i="1"/>
  <c r="M64" i="1"/>
  <c r="K64" i="1"/>
  <c r="AL63" i="1"/>
  <c r="P63" i="1" s="1"/>
  <c r="AF63" i="1"/>
  <c r="U63" i="1"/>
  <c r="M63" i="1" s="1"/>
  <c r="K63" i="1"/>
  <c r="AL62" i="1"/>
  <c r="P62" i="1" s="1"/>
  <c r="AF62" i="1"/>
  <c r="U62" i="1"/>
  <c r="M62" i="1" s="1"/>
  <c r="K62" i="1"/>
  <c r="AL61" i="1"/>
  <c r="AF61" i="1"/>
  <c r="U61" i="1"/>
  <c r="P61" i="1"/>
  <c r="T61" i="1" s="1"/>
  <c r="M61" i="1"/>
  <c r="L61" i="1" s="1"/>
  <c r="J61" i="1" s="1"/>
  <c r="K61" i="1"/>
  <c r="AL60" i="1"/>
  <c r="P60" i="1" s="1"/>
  <c r="AF60" i="1"/>
  <c r="U60" i="1"/>
  <c r="M60" i="1"/>
  <c r="K60" i="1"/>
  <c r="AL59" i="1"/>
  <c r="P59" i="1" s="1"/>
  <c r="AF59" i="1"/>
  <c r="U59" i="1"/>
  <c r="M59" i="1" s="1"/>
  <c r="K59" i="1"/>
  <c r="AL58" i="1"/>
  <c r="P58" i="1" s="1"/>
  <c r="AF58" i="1"/>
  <c r="U58" i="1"/>
  <c r="M58" i="1" s="1"/>
  <c r="K58" i="1"/>
  <c r="AL57" i="1"/>
  <c r="AF57" i="1"/>
  <c r="U57" i="1"/>
  <c r="P57" i="1"/>
  <c r="T57" i="1" s="1"/>
  <c r="M57" i="1"/>
  <c r="L57" i="1" s="1"/>
  <c r="J57" i="1" s="1"/>
  <c r="K57" i="1"/>
  <c r="AL56" i="1"/>
  <c r="P56" i="1" s="1"/>
  <c r="AF56" i="1"/>
  <c r="U56" i="1"/>
  <c r="M56" i="1"/>
  <c r="K56" i="1"/>
  <c r="AL55" i="1"/>
  <c r="P55" i="1" s="1"/>
  <c r="AF55" i="1"/>
  <c r="U55" i="1"/>
  <c r="M55" i="1" s="1"/>
  <c r="K55" i="1"/>
  <c r="AL54" i="1"/>
  <c r="P54" i="1" s="1"/>
  <c r="AF54" i="1"/>
  <c r="U54" i="1"/>
  <c r="M54" i="1" s="1"/>
  <c r="K54" i="1"/>
  <c r="AL53" i="1"/>
  <c r="AF53" i="1"/>
  <c r="U53" i="1"/>
  <c r="P53" i="1"/>
  <c r="T53" i="1" s="1"/>
  <c r="M53" i="1"/>
  <c r="L53" i="1" s="1"/>
  <c r="J53" i="1" s="1"/>
  <c r="K53" i="1"/>
  <c r="AL52" i="1"/>
  <c r="P52" i="1" s="1"/>
  <c r="AF52" i="1"/>
  <c r="U52" i="1"/>
  <c r="M52" i="1"/>
  <c r="K52" i="1"/>
  <c r="AL51" i="1"/>
  <c r="P51" i="1" s="1"/>
  <c r="AF51" i="1"/>
  <c r="U51" i="1"/>
  <c r="M51" i="1" s="1"/>
  <c r="K51" i="1"/>
  <c r="AL50" i="1"/>
  <c r="P50" i="1" s="1"/>
  <c r="AF50" i="1"/>
  <c r="U50" i="1"/>
  <c r="M50" i="1" s="1"/>
  <c r="K50" i="1"/>
  <c r="AL49" i="1"/>
  <c r="AF49" i="1"/>
  <c r="U49" i="1"/>
  <c r="P49" i="1"/>
  <c r="M49" i="1"/>
  <c r="K49" i="1"/>
  <c r="AL48" i="1"/>
  <c r="P48" i="1" s="1"/>
  <c r="Q48" i="1" s="1"/>
  <c r="AF48" i="1"/>
  <c r="U48" i="1"/>
  <c r="M48" i="1"/>
  <c r="K48" i="1"/>
  <c r="AL47" i="1"/>
  <c r="P47" i="1" s="1"/>
  <c r="AF47" i="1"/>
  <c r="U47" i="1"/>
  <c r="M47" i="1" s="1"/>
  <c r="K47" i="1"/>
  <c r="AL46" i="1"/>
  <c r="P46" i="1" s="1"/>
  <c r="AF46" i="1"/>
  <c r="U46" i="1"/>
  <c r="M46" i="1" s="1"/>
  <c r="K46" i="1"/>
  <c r="AL45" i="1"/>
  <c r="AF45" i="1"/>
  <c r="U45" i="1"/>
  <c r="P45" i="1"/>
  <c r="M45" i="1"/>
  <c r="K45" i="1"/>
  <c r="AL44" i="1"/>
  <c r="P44" i="1" s="1"/>
  <c r="Q44" i="1" s="1"/>
  <c r="AF44" i="1"/>
  <c r="U44" i="1"/>
  <c r="M44" i="1"/>
  <c r="K44" i="1"/>
  <c r="AL43" i="1"/>
  <c r="P43" i="1" s="1"/>
  <c r="AF43" i="1"/>
  <c r="U43" i="1"/>
  <c r="M43" i="1" s="1"/>
  <c r="K43" i="1"/>
  <c r="AL42" i="1"/>
  <c r="P42" i="1" s="1"/>
  <c r="AF42" i="1"/>
  <c r="U42" i="1"/>
  <c r="M42" i="1" s="1"/>
  <c r="K42" i="1"/>
  <c r="AL41" i="1"/>
  <c r="AF41" i="1"/>
  <c r="U41" i="1"/>
  <c r="P41" i="1"/>
  <c r="M41" i="1"/>
  <c r="K41" i="1"/>
  <c r="AL40" i="1"/>
  <c r="P40" i="1" s="1"/>
  <c r="Q40" i="1" s="1"/>
  <c r="AF40" i="1"/>
  <c r="U40" i="1"/>
  <c r="T40" i="1"/>
  <c r="M40" i="1"/>
  <c r="L40" i="1" s="1"/>
  <c r="J40" i="1" s="1"/>
  <c r="K40" i="1"/>
  <c r="AL39" i="1"/>
  <c r="P39" i="1" s="1"/>
  <c r="AF39" i="1"/>
  <c r="U39" i="1"/>
  <c r="M39" i="1" s="1"/>
  <c r="K39" i="1"/>
  <c r="AL38" i="1"/>
  <c r="P38" i="1" s="1"/>
  <c r="AF38" i="1"/>
  <c r="U38" i="1"/>
  <c r="M38" i="1" s="1"/>
  <c r="K38" i="1"/>
  <c r="AL37" i="1"/>
  <c r="AF37" i="1"/>
  <c r="U37" i="1"/>
  <c r="P37" i="1"/>
  <c r="M37" i="1"/>
  <c r="K37" i="1"/>
  <c r="AL36" i="1"/>
  <c r="P36" i="1" s="1"/>
  <c r="Q36" i="1" s="1"/>
  <c r="AF36" i="1"/>
  <c r="U36" i="1"/>
  <c r="T36" i="1"/>
  <c r="M36" i="1"/>
  <c r="K36" i="1"/>
  <c r="AL35" i="1"/>
  <c r="P35" i="1" s="1"/>
  <c r="AF35" i="1"/>
  <c r="U35" i="1"/>
  <c r="M35" i="1" s="1"/>
  <c r="K35" i="1"/>
  <c r="AL34" i="1"/>
  <c r="P34" i="1" s="1"/>
  <c r="AF34" i="1"/>
  <c r="U34" i="1"/>
  <c r="M34" i="1" s="1"/>
  <c r="K34" i="1"/>
  <c r="AL33" i="1"/>
  <c r="AF33" i="1"/>
  <c r="U33" i="1"/>
  <c r="P33" i="1"/>
  <c r="M33" i="1"/>
  <c r="K33" i="1"/>
  <c r="AL32" i="1"/>
  <c r="P32" i="1" s="1"/>
  <c r="Q32" i="1" s="1"/>
  <c r="AF32" i="1"/>
  <c r="U32" i="1"/>
  <c r="M32" i="1"/>
  <c r="K32" i="1"/>
  <c r="AL31" i="1"/>
  <c r="P31" i="1" s="1"/>
  <c r="AF31" i="1"/>
  <c r="U31" i="1"/>
  <c r="M31" i="1" s="1"/>
  <c r="K31" i="1"/>
  <c r="AL30" i="1"/>
  <c r="P30" i="1" s="1"/>
  <c r="AF30" i="1"/>
  <c r="U30" i="1"/>
  <c r="M30" i="1" s="1"/>
  <c r="K30" i="1"/>
  <c r="AL29" i="1"/>
  <c r="AF29" i="1"/>
  <c r="U29" i="1"/>
  <c r="P29" i="1"/>
  <c r="M29" i="1"/>
  <c r="K29" i="1"/>
  <c r="AL28" i="1"/>
  <c r="P28" i="1" s="1"/>
  <c r="Q28" i="1" s="1"/>
  <c r="AF28" i="1"/>
  <c r="U28" i="1"/>
  <c r="M28" i="1"/>
  <c r="K28" i="1"/>
  <c r="AL27" i="1"/>
  <c r="P27" i="1" s="1"/>
  <c r="AF27" i="1"/>
  <c r="U27" i="1"/>
  <c r="M27" i="1" s="1"/>
  <c r="K27" i="1"/>
  <c r="AL26" i="1"/>
  <c r="P26" i="1" s="1"/>
  <c r="AF26" i="1"/>
  <c r="U26" i="1"/>
  <c r="M26" i="1" s="1"/>
  <c r="K26" i="1"/>
  <c r="AL25" i="1"/>
  <c r="AF25" i="1"/>
  <c r="U25" i="1"/>
  <c r="P25" i="1"/>
  <c r="M25" i="1"/>
  <c r="K25" i="1"/>
  <c r="AL24" i="1"/>
  <c r="P24" i="1" s="1"/>
  <c r="Q24" i="1" s="1"/>
  <c r="AF24" i="1"/>
  <c r="U24" i="1"/>
  <c r="T24" i="1"/>
  <c r="M24" i="1"/>
  <c r="L24" i="1" s="1"/>
  <c r="J24" i="1" s="1"/>
  <c r="K24" i="1"/>
  <c r="AL23" i="1"/>
  <c r="P23" i="1" s="1"/>
  <c r="AF23" i="1"/>
  <c r="U23" i="1"/>
  <c r="M23" i="1" s="1"/>
  <c r="K23" i="1"/>
  <c r="AL22" i="1"/>
  <c r="P22" i="1" s="1"/>
  <c r="AF22" i="1"/>
  <c r="U22" i="1"/>
  <c r="M22" i="1" s="1"/>
  <c r="K22" i="1"/>
  <c r="AL21" i="1"/>
  <c r="AF21" i="1"/>
  <c r="U21" i="1"/>
  <c r="P21" i="1"/>
  <c r="M21" i="1"/>
  <c r="K21" i="1"/>
  <c r="AL20" i="1"/>
  <c r="P20" i="1" s="1"/>
  <c r="AF20" i="1"/>
  <c r="U20" i="1"/>
  <c r="T20" i="1"/>
  <c r="Q20" i="1"/>
  <c r="M20" i="1"/>
  <c r="L20" i="1" s="1"/>
  <c r="J20" i="1" s="1"/>
  <c r="K20" i="1"/>
  <c r="AL19" i="1"/>
  <c r="P19" i="1" s="1"/>
  <c r="AF19" i="1"/>
  <c r="U19" i="1"/>
  <c r="M19" i="1" s="1"/>
  <c r="K19" i="1"/>
  <c r="AL18" i="1"/>
  <c r="P18" i="1" s="1"/>
  <c r="AF18" i="1"/>
  <c r="U18" i="1"/>
  <c r="M18" i="1" s="1"/>
  <c r="K18" i="1"/>
  <c r="AL17" i="1"/>
  <c r="AF17" i="1"/>
  <c r="U17" i="1"/>
  <c r="P17" i="1"/>
  <c r="M17" i="1"/>
  <c r="K17" i="1"/>
  <c r="AL16" i="1"/>
  <c r="P16" i="1" s="1"/>
  <c r="AF16" i="1"/>
  <c r="U16" i="1"/>
  <c r="T16" i="1"/>
  <c r="Q16" i="1"/>
  <c r="M16" i="1"/>
  <c r="L16" i="1" s="1"/>
  <c r="J16" i="1" s="1"/>
  <c r="K16" i="1"/>
  <c r="AL15" i="1"/>
  <c r="P15" i="1" s="1"/>
  <c r="AF15" i="1"/>
  <c r="U15" i="1"/>
  <c r="M15" i="1" s="1"/>
  <c r="K15" i="1"/>
  <c r="AL14" i="1"/>
  <c r="P14" i="1" s="1"/>
  <c r="AF14" i="1"/>
  <c r="U14" i="1"/>
  <c r="M14" i="1" s="1"/>
  <c r="K14" i="1"/>
  <c r="AL13" i="1"/>
  <c r="AF13" i="1"/>
  <c r="U13" i="1"/>
  <c r="P13" i="1"/>
  <c r="M13" i="1"/>
  <c r="K13" i="1"/>
  <c r="AL12" i="1"/>
  <c r="P12" i="1" s="1"/>
  <c r="T12" i="1" s="1"/>
  <c r="AF12" i="1"/>
  <c r="U12" i="1"/>
  <c r="M12" i="1"/>
  <c r="K12" i="1"/>
  <c r="AL11" i="1"/>
  <c r="P11" i="1" s="1"/>
  <c r="AF11" i="1"/>
  <c r="U11" i="1"/>
  <c r="M11" i="1" s="1"/>
  <c r="K11" i="1"/>
  <c r="AL10" i="1"/>
  <c r="P10" i="1" s="1"/>
  <c r="AF10" i="1"/>
  <c r="U10" i="1"/>
  <c r="M10" i="1" s="1"/>
  <c r="K10" i="1"/>
  <c r="AL9" i="1"/>
  <c r="AF9" i="1"/>
  <c r="U9" i="1"/>
  <c r="P9" i="1"/>
  <c r="M9" i="1"/>
  <c r="K9" i="1"/>
  <c r="AL8" i="1"/>
  <c r="P8" i="1" s="1"/>
  <c r="T8" i="1" s="1"/>
  <c r="AF8" i="1"/>
  <c r="U8" i="1"/>
  <c r="M8" i="1"/>
  <c r="K8" i="1"/>
  <c r="AL7" i="1"/>
  <c r="P7" i="1" s="1"/>
  <c r="AF7" i="1"/>
  <c r="U7" i="1"/>
  <c r="M7" i="1" s="1"/>
  <c r="K7" i="1"/>
  <c r="AL6" i="1"/>
  <c r="P6" i="1" s="1"/>
  <c r="AF6" i="1"/>
  <c r="U6" i="1"/>
  <c r="M6" i="1" s="1"/>
  <c r="K6" i="1"/>
  <c r="AL5" i="1"/>
  <c r="AF5" i="1"/>
  <c r="U5" i="1"/>
  <c r="P5" i="1"/>
  <c r="M5" i="1"/>
  <c r="K5" i="1"/>
  <c r="AL4" i="1"/>
  <c r="P4" i="1" s="1"/>
  <c r="T4" i="1" s="1"/>
  <c r="AF4" i="1"/>
  <c r="U4" i="1"/>
  <c r="M4" i="1"/>
  <c r="K4" i="1"/>
  <c r="L18" i="1" l="1"/>
  <c r="J18" i="1" s="1"/>
  <c r="L30" i="1"/>
  <c r="J30" i="1" s="1"/>
  <c r="T7" i="1"/>
  <c r="Q7" i="1"/>
  <c r="T17" i="1"/>
  <c r="L17" i="1" s="1"/>
  <c r="J17" i="1" s="1"/>
  <c r="Q17" i="1"/>
  <c r="T18" i="1"/>
  <c r="Q18" i="1"/>
  <c r="T31" i="1"/>
  <c r="Q31" i="1"/>
  <c r="L36" i="1"/>
  <c r="J36" i="1" s="1"/>
  <c r="L43" i="1"/>
  <c r="J43" i="1" s="1"/>
  <c r="T47" i="1"/>
  <c r="Q47" i="1"/>
  <c r="T50" i="1"/>
  <c r="Q50" i="1"/>
  <c r="T55" i="1"/>
  <c r="L55" i="1" s="1"/>
  <c r="J55" i="1" s="1"/>
  <c r="Q55" i="1"/>
  <c r="L12" i="1"/>
  <c r="J12" i="1" s="1"/>
  <c r="T13" i="1"/>
  <c r="L13" i="1" s="1"/>
  <c r="J13" i="1" s="1"/>
  <c r="Q13" i="1"/>
  <c r="T14" i="1"/>
  <c r="L14" i="1" s="1"/>
  <c r="J14" i="1" s="1"/>
  <c r="Q14" i="1"/>
  <c r="T33" i="1"/>
  <c r="L33" i="1" s="1"/>
  <c r="J33" i="1" s="1"/>
  <c r="Q33" i="1"/>
  <c r="T34" i="1"/>
  <c r="L34" i="1" s="1"/>
  <c r="J34" i="1" s="1"/>
  <c r="Q34" i="1"/>
  <c r="T49" i="1"/>
  <c r="L49" i="1" s="1"/>
  <c r="J49" i="1" s="1"/>
  <c r="Q49" i="1"/>
  <c r="Q52" i="1"/>
  <c r="T52" i="1"/>
  <c r="L52" i="1" s="1"/>
  <c r="J52" i="1" s="1"/>
  <c r="L54" i="1"/>
  <c r="J54" i="1" s="1"/>
  <c r="T62" i="1"/>
  <c r="L62" i="1" s="1"/>
  <c r="J62" i="1" s="1"/>
  <c r="Q62" i="1"/>
  <c r="L31" i="1"/>
  <c r="J31" i="1" s="1"/>
  <c r="L47" i="1"/>
  <c r="J47" i="1" s="1"/>
  <c r="T58" i="1"/>
  <c r="Q58" i="1"/>
  <c r="T22" i="1"/>
  <c r="L22" i="1" s="1"/>
  <c r="J22" i="1" s="1"/>
  <c r="Q22" i="1"/>
  <c r="T38" i="1"/>
  <c r="L38" i="1" s="1"/>
  <c r="J38" i="1" s="1"/>
  <c r="Q38" i="1"/>
  <c r="Q60" i="1"/>
  <c r="T60" i="1"/>
  <c r="L60" i="1" s="1"/>
  <c r="J60" i="1" s="1"/>
  <c r="L5" i="1"/>
  <c r="J5" i="1" s="1"/>
  <c r="L8" i="1"/>
  <c r="J8" i="1" s="1"/>
  <c r="T9" i="1"/>
  <c r="L9" i="1" s="1"/>
  <c r="J9" i="1" s="1"/>
  <c r="Q9" i="1"/>
  <c r="T10" i="1"/>
  <c r="L10" i="1" s="1"/>
  <c r="J10" i="1" s="1"/>
  <c r="Q10" i="1"/>
  <c r="Q12" i="1"/>
  <c r="L23" i="1"/>
  <c r="J23" i="1" s="1"/>
  <c r="T27" i="1"/>
  <c r="L27" i="1" s="1"/>
  <c r="J27" i="1" s="1"/>
  <c r="Q27" i="1"/>
  <c r="T43" i="1"/>
  <c r="Q43" i="1"/>
  <c r="T59" i="1"/>
  <c r="L59" i="1" s="1"/>
  <c r="J59" i="1" s="1"/>
  <c r="Q59" i="1"/>
  <c r="Q64" i="1"/>
  <c r="T64" i="1"/>
  <c r="L64" i="1" s="1"/>
  <c r="J64" i="1" s="1"/>
  <c r="L66" i="1"/>
  <c r="J66" i="1" s="1"/>
  <c r="T15" i="1"/>
  <c r="L15" i="1" s="1"/>
  <c r="J15" i="1" s="1"/>
  <c r="Q15" i="1"/>
  <c r="T5" i="1"/>
  <c r="Q5" i="1"/>
  <c r="T6" i="1"/>
  <c r="L6" i="1" s="1"/>
  <c r="J6" i="1" s="1"/>
  <c r="Q6" i="1"/>
  <c r="Q8" i="1"/>
  <c r="T29" i="1"/>
  <c r="L29" i="1" s="1"/>
  <c r="J29" i="1" s="1"/>
  <c r="Q29" i="1"/>
  <c r="T30" i="1"/>
  <c r="Q30" i="1"/>
  <c r="T32" i="1"/>
  <c r="L32" i="1" s="1"/>
  <c r="J32" i="1" s="1"/>
  <c r="T45" i="1"/>
  <c r="L45" i="1" s="1"/>
  <c r="J45" i="1" s="1"/>
  <c r="Q45" i="1"/>
  <c r="T46" i="1"/>
  <c r="L46" i="1" s="1"/>
  <c r="J46" i="1" s="1"/>
  <c r="Q46" i="1"/>
  <c r="T48" i="1"/>
  <c r="L48" i="1" s="1"/>
  <c r="J48" i="1" s="1"/>
  <c r="T54" i="1"/>
  <c r="Q54" i="1"/>
  <c r="T35" i="1"/>
  <c r="Q35" i="1"/>
  <c r="T21" i="1"/>
  <c r="L21" i="1" s="1"/>
  <c r="J21" i="1" s="1"/>
  <c r="Q21" i="1"/>
  <c r="Q4" i="1"/>
  <c r="T23" i="1"/>
  <c r="Q23" i="1"/>
  <c r="L28" i="1"/>
  <c r="J28" i="1" s="1"/>
  <c r="L35" i="1"/>
  <c r="J35" i="1" s="1"/>
  <c r="T39" i="1"/>
  <c r="L39" i="1" s="1"/>
  <c r="J39" i="1" s="1"/>
  <c r="Q39" i="1"/>
  <c r="T51" i="1"/>
  <c r="L51" i="1" s="1"/>
  <c r="J51" i="1" s="1"/>
  <c r="Q51" i="1"/>
  <c r="Q56" i="1"/>
  <c r="T56" i="1"/>
  <c r="L56" i="1" s="1"/>
  <c r="J56" i="1" s="1"/>
  <c r="L58" i="1"/>
  <c r="J58" i="1" s="1"/>
  <c r="L65" i="1"/>
  <c r="J65" i="1" s="1"/>
  <c r="T66" i="1"/>
  <c r="Q66" i="1"/>
  <c r="L7" i="1"/>
  <c r="J7" i="1" s="1"/>
  <c r="L50" i="1"/>
  <c r="J50" i="1" s="1"/>
  <c r="T11" i="1"/>
  <c r="L11" i="1" s="1"/>
  <c r="J11" i="1" s="1"/>
  <c r="Q11" i="1"/>
  <c r="T37" i="1"/>
  <c r="L37" i="1" s="1"/>
  <c r="J37" i="1" s="1"/>
  <c r="Q37" i="1"/>
  <c r="L4" i="1"/>
  <c r="J4" i="1" s="1"/>
  <c r="T19" i="1"/>
  <c r="L19" i="1" s="1"/>
  <c r="J19" i="1" s="1"/>
  <c r="Q19" i="1"/>
  <c r="T25" i="1"/>
  <c r="L25" i="1" s="1"/>
  <c r="J25" i="1" s="1"/>
  <c r="Q25" i="1"/>
  <c r="T26" i="1"/>
  <c r="L26" i="1" s="1"/>
  <c r="J26" i="1" s="1"/>
  <c r="Q26" i="1"/>
  <c r="T28" i="1"/>
  <c r="T41" i="1"/>
  <c r="L41" i="1" s="1"/>
  <c r="J41" i="1" s="1"/>
  <c r="Q41" i="1"/>
  <c r="T42" i="1"/>
  <c r="L42" i="1" s="1"/>
  <c r="J42" i="1" s="1"/>
  <c r="Q42" i="1"/>
  <c r="T44" i="1"/>
  <c r="L44" i="1" s="1"/>
  <c r="J44" i="1" s="1"/>
  <c r="T63" i="1"/>
  <c r="L63" i="1" s="1"/>
  <c r="J63" i="1" s="1"/>
  <c r="Q63" i="1"/>
  <c r="L69" i="1"/>
  <c r="J69" i="1" s="1"/>
  <c r="T70" i="1"/>
  <c r="L70" i="1" s="1"/>
  <c r="J70" i="1" s="1"/>
  <c r="Q70" i="1"/>
  <c r="Q53" i="1"/>
  <c r="Q57" i="1"/>
  <c r="Q61" i="1"/>
  <c r="Q65" i="1"/>
  <c r="Q69" i="1"/>
</calcChain>
</file>

<file path=xl/sharedStrings.xml><?xml version="1.0" encoding="utf-8"?>
<sst xmlns="http://schemas.openxmlformats.org/spreadsheetml/2006/main" count="13695" uniqueCount="1913">
  <si>
    <t>SYS</t>
  </si>
  <si>
    <t>USERDEF</t>
  </si>
  <si>
    <t>PORO</t>
  </si>
  <si>
    <t>FLUORO</t>
  </si>
  <si>
    <t>SENSOR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</si>
  <si>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</si>
  <si>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</si>
  <si>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</si>
  <si>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</si>
  <si>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</si>
  <si>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</si>
  <si>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</si>
  <si>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</si>
  <si>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</si>
  <si>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</si>
  <si>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</si>
  <si>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</si>
  <si>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</si>
  <si>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Observation</t>
  </si>
  <si>
    <t/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</si>
  <si>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</si>
  <si>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</si>
  <si>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</si>
  <si>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</si>
  <si>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</si>
  <si>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</si>
  <si>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</si>
  <si>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</si>
  <si>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</si>
  <si>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</si>
  <si>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</si>
  <si>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</si>
  <si>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</si>
  <si>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</si>
  <si>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</si>
  <si>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</si>
  <si>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</si>
  <si>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</si>
  <si>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</si>
  <si>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</si>
  <si>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</si>
  <si>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</si>
  <si>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</si>
  <si>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</si>
  <si>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</si>
  <si>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</si>
  <si>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</si>
  <si>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</si>
  <si>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</si>
  <si>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</si>
  <si>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</si>
  <si>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</si>
  <si>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</si>
  <si>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</si>
  <si>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</si>
  <si>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</si>
  <si>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</si>
  <si>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</si>
  <si>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</si>
  <si>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</si>
  <si>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</si>
  <si>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</si>
  <si>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</si>
  <si>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</si>
  <si>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</si>
  <si>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</si>
  <si>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</si>
  <si>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</si>
  <si>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</si>
  <si>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</si>
  <si>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</si>
  <si>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</si>
  <si>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</si>
  <si>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</si>
  <si>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</si>
  <si>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</si>
  <si>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</si>
  <si>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</si>
  <si>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</si>
  <si>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</si>
  <si>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</si>
  <si>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</si>
  <si>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</si>
  <si>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</si>
  <si>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</si>
  <si>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</si>
  <si>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</si>
  <si>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</si>
  <si>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</si>
  <si>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</si>
  <si>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</si>
  <si>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</si>
  <si>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</si>
  <si>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</si>
  <si>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</si>
  <si>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</si>
  <si>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</si>
  <si>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</si>
  <si>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</si>
  <si>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</si>
  <si>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</si>
  <si>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</si>
  <si>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</si>
  <si>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</si>
  <si>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</si>
  <si>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</si>
  <si>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</si>
  <si>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</si>
  <si>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</si>
  <si>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</si>
  <si>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</si>
  <si>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</si>
  <si>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</si>
  <si>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</si>
  <si>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</si>
  <si>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</si>
  <si>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</si>
  <si>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</si>
  <si>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</si>
  <si>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</si>
  <si>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</si>
  <si>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</si>
  <si>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</si>
  <si>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</si>
  <si>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</si>
  <si>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</si>
  <si>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</si>
  <si>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</si>
  <si>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</si>
  <si>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</si>
  <si>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</si>
  <si>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(umol+1m-2s-1)s-1</t>
  </si>
  <si>
    <t>s</t>
  </si>
  <si>
    <t>Hz</t>
  </si>
  <si>
    <t>s-1</t>
  </si>
  <si>
    <t>ms</t>
  </si>
  <si>
    <t>A</t>
  </si>
  <si>
    <t>1</t>
  </si>
  <si>
    <t>20:18:33</t>
  </si>
  <si>
    <t>2026-09-10</t>
  </si>
  <si>
    <t>Moon</t>
  </si>
  <si>
    <t>001</t>
  </si>
  <si>
    <t>1.218468</t>
  </si>
  <si>
    <t>1.201184</t>
  </si>
  <si>
    <t>11.823728</t>
  </si>
  <si>
    <t>11.993860</t>
  </si>
  <si>
    <t>7.500000</t>
  </si>
  <si>
    <t>PSF-01106_20260910201833_ac7</t>
  </si>
  <si>
    <t>132.366653</t>
  </si>
  <si>
    <t>696.666260</t>
  </si>
  <si>
    <t>0.810000</t>
  </si>
  <si>
    <t>0.000000</t>
  </si>
  <si>
    <t>0.5</t>
  </si>
  <si>
    <t>0.84</t>
  </si>
  <si>
    <t>1.000000</t>
  </si>
  <si>
    <t>42.02</t>
  </si>
  <si>
    <t>41.43</t>
  </si>
  <si>
    <t>23.46</t>
  </si>
  <si>
    <t>20.94</t>
  </si>
  <si>
    <t>101.59</t>
  </si>
  <si>
    <t>156.0</t>
  </si>
  <si>
    <t>156.5</t>
  </si>
  <si>
    <t>-0.3</t>
  </si>
  <si>
    <t>-0</t>
  </si>
  <si>
    <t>4.117</t>
  </si>
  <si>
    <t>20:18:19</t>
  </si>
  <si>
    <t>-1.19</t>
  </si>
  <si>
    <t>-0.013</t>
  </si>
  <si>
    <t>-0.054</t>
  </si>
  <si>
    <t>-9999.000</t>
  </si>
  <si>
    <t>-0.151</t>
  </si>
  <si>
    <t>-0.251</t>
  </si>
  <si>
    <t>150</t>
  </si>
  <si>
    <t>-9999.000000</t>
  </si>
  <si>
    <t>0.058905</t>
  </si>
  <si>
    <t>0.029230</t>
  </si>
  <si>
    <t>-0.000068</t>
  </si>
  <si>
    <t>standard</t>
  </si>
  <si>
    <t>rectangular</t>
  </si>
  <si>
    <t>6000</t>
  </si>
  <si>
    <t>5</t>
  </si>
  <si>
    <t>2.000000</t>
  </si>
  <si>
    <t>55537</t>
  </si>
  <si>
    <t>-9999</t>
  </si>
  <si>
    <t>2.492851</t>
  </si>
  <si>
    <t>2.434624</t>
  </si>
  <si>
    <t>1.670165</t>
  </si>
  <si>
    <t>0.945453</t>
  </si>
  <si>
    <t>0.290001</t>
  </si>
  <si>
    <t>-0.027709</t>
  </si>
  <si>
    <t>0.097373</t>
  </si>
  <si>
    <t>0.107044</t>
  </si>
  <si>
    <t>0.000214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</si>
  <si>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</si>
  <si>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</si>
  <si>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</si>
  <si>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</si>
  <si>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</si>
  <si>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</si>
  <si>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</si>
  <si>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</si>
  <si>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</si>
  <si>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</si>
  <si>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</si>
  <si>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</si>
  <si>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2025-07-19T10:24:14.301Z</t>
  </si>
  <si>
    <t>2</t>
  </si>
  <si>
    <t>20:19:04</t>
  </si>
  <si>
    <t>002</t>
  </si>
  <si>
    <t>1.356565</t>
  </si>
  <si>
    <t>1.323737</t>
  </si>
  <si>
    <t>13.028359</t>
  </si>
  <si>
    <t>13.351462</t>
  </si>
  <si>
    <t>PSF-01106_20260910201904_456</t>
  </si>
  <si>
    <t>112.882736</t>
  </si>
  <si>
    <t>630.174622</t>
  </si>
  <si>
    <t>0.820871</t>
  </si>
  <si>
    <t>46.85</t>
  </si>
  <si>
    <t>45.72</t>
  </si>
  <si>
    <t>23.44</t>
  </si>
  <si>
    <t>21.51</t>
  </si>
  <si>
    <t>101.60</t>
  </si>
  <si>
    <t>155.8</t>
  </si>
  <si>
    <t>-0.1</t>
  </si>
  <si>
    <t>4.116</t>
  </si>
  <si>
    <t>-0.015</t>
  </si>
  <si>
    <t>-0.081</t>
  </si>
  <si>
    <t>-0.008</t>
  </si>
  <si>
    <t>0.685</t>
  </si>
  <si>
    <t>2.499100</t>
  </si>
  <si>
    <t>2.441016</t>
  </si>
  <si>
    <t>1.668625</t>
  </si>
  <si>
    <t>0.944104</t>
  </si>
  <si>
    <t>0.290292</t>
  </si>
  <si>
    <t>-0.020993</t>
  </si>
  <si>
    <t>0.102976</t>
  </si>
  <si>
    <t>0.107046</t>
  </si>
  <si>
    <t>0.000219</t>
  </si>
  <si>
    <t>3</t>
  </si>
  <si>
    <t>20:19:25</t>
  </si>
  <si>
    <t>003</t>
  </si>
  <si>
    <t>1.309534</t>
  </si>
  <si>
    <t>1.287072</t>
  </si>
  <si>
    <t>12.666843</t>
  </si>
  <si>
    <t>12.887909</t>
  </si>
  <si>
    <t>PSF-01106_20260910201925_d7e</t>
  </si>
  <si>
    <t>105.846405</t>
  </si>
  <si>
    <t>595.746521</t>
  </si>
  <si>
    <t>0.822330</t>
  </si>
  <si>
    <t>45.29</t>
  </si>
  <si>
    <t>44.51</t>
  </si>
  <si>
    <t>23.42</t>
  </si>
  <si>
    <t>21.03</t>
  </si>
  <si>
    <t>101.61</t>
  </si>
  <si>
    <t>150.4</t>
  </si>
  <si>
    <t>3.6</t>
  </si>
  <si>
    <t>4.112</t>
  </si>
  <si>
    <t>-0.072</t>
  </si>
  <si>
    <t>-0.166</t>
  </si>
  <si>
    <t>2.497358</t>
  </si>
  <si>
    <t>2.438963</t>
  </si>
  <si>
    <t>1.670163</t>
  </si>
  <si>
    <t>0.929664</t>
  </si>
  <si>
    <t>0.290543</t>
  </si>
  <si>
    <t>-0.026198</t>
  </si>
  <si>
    <t>0.106351</t>
  </si>
  <si>
    <t>0.107038</t>
  </si>
  <si>
    <t>0.000218</t>
  </si>
  <si>
    <t>4</t>
  </si>
  <si>
    <t>20:21:20</t>
  </si>
  <si>
    <t>004</t>
  </si>
  <si>
    <t>1.458891</t>
  </si>
  <si>
    <t>1.379264</t>
  </si>
  <si>
    <t>13.572396</t>
  </si>
  <si>
    <t>14.355952</t>
  </si>
  <si>
    <t>PSF-01106_20260910202120_e6b</t>
  </si>
  <si>
    <t>106.546997</t>
  </si>
  <si>
    <t>606.966370</t>
  </si>
  <si>
    <t>0.824460</t>
  </si>
  <si>
    <t>50.63</t>
  </si>
  <si>
    <t>47.86</t>
  </si>
  <si>
    <t>23.36</t>
  </si>
  <si>
    <t>20.50</t>
  </si>
  <si>
    <t>101.62</t>
  </si>
  <si>
    <t>155.9</t>
  </si>
  <si>
    <t>150.9</t>
  </si>
  <si>
    <t>3.2</t>
  </si>
  <si>
    <t>4.109</t>
  </si>
  <si>
    <t>-0.056</t>
  </si>
  <si>
    <t>-0.174</t>
  </si>
  <si>
    <t>-0.141</t>
  </si>
  <si>
    <t>-0.204</t>
  </si>
  <si>
    <t>2.502194</t>
  </si>
  <si>
    <t>2.445943</t>
  </si>
  <si>
    <t>1.669069</t>
  </si>
  <si>
    <t>0.930926</t>
  </si>
  <si>
    <t>0.291202</t>
  </si>
  <si>
    <t>-0.031517</t>
  </si>
  <si>
    <t>0.123616</t>
  </si>
  <si>
    <t>0.107040</t>
  </si>
  <si>
    <t>20:22:00</t>
  </si>
  <si>
    <t>005</t>
  </si>
  <si>
    <t>1.411505</t>
  </si>
  <si>
    <t>1.396110</t>
  </si>
  <si>
    <t>13.738672</t>
  </si>
  <si>
    <t>13.890165</t>
  </si>
  <si>
    <t>PSF-01106_20260910202200_9c1</t>
  </si>
  <si>
    <t>124.677299</t>
  </si>
  <si>
    <t>671.494934</t>
  </si>
  <si>
    <t>0.814329</t>
  </si>
  <si>
    <t>49.05</t>
  </si>
  <si>
    <t>48.51</t>
  </si>
  <si>
    <t>23.34</t>
  </si>
  <si>
    <t>22.15</t>
  </si>
  <si>
    <t>153.4</t>
  </si>
  <si>
    <t>1.6</t>
  </si>
  <si>
    <t>4.108</t>
  </si>
  <si>
    <t>-0.004</t>
  </si>
  <si>
    <t>-0.016</t>
  </si>
  <si>
    <t>0.021</t>
  </si>
  <si>
    <t>0.186</t>
  </si>
  <si>
    <t>2.503122</t>
  </si>
  <si>
    <t>2.443893</t>
  </si>
  <si>
    <t>1.668994</t>
  </si>
  <si>
    <t>0.937346</t>
  </si>
  <si>
    <t>0.291447</t>
  </si>
  <si>
    <t>-0.012619</t>
  </si>
  <si>
    <t>0.129200</t>
  </si>
  <si>
    <t>0.107036</t>
  </si>
  <si>
    <t>0.000225</t>
  </si>
  <si>
    <t>6</t>
  </si>
  <si>
    <t>20:22:24</t>
  </si>
  <si>
    <t>006</t>
  </si>
  <si>
    <t>1.417826</t>
  </si>
  <si>
    <t>1.387137</t>
  </si>
  <si>
    <t>13.649665</t>
  </si>
  <si>
    <t>13.951649</t>
  </si>
  <si>
    <t>PSF-01106_20260910202224_c96</t>
  </si>
  <si>
    <t>109.262825</t>
  </si>
  <si>
    <t>621.646667</t>
  </si>
  <si>
    <t>0.824236</t>
  </si>
  <si>
    <t>49.29</t>
  </si>
  <si>
    <t>48.22</t>
  </si>
  <si>
    <t>23.33</t>
  </si>
  <si>
    <t>20.72</t>
  </si>
  <si>
    <t>156.1</t>
  </si>
  <si>
    <t>131.9</t>
  </si>
  <si>
    <t>15.5</t>
  </si>
  <si>
    <t>-0.009</t>
  </si>
  <si>
    <t>-0.032</t>
  </si>
  <si>
    <t>0.134</t>
  </si>
  <si>
    <t>-0.014</t>
  </si>
  <si>
    <t>2.502710</t>
  </si>
  <si>
    <t>2.444210</t>
  </si>
  <si>
    <t>1.671179</t>
  </si>
  <si>
    <t>0.883275</t>
  </si>
  <si>
    <t>0.291537</t>
  </si>
  <si>
    <t>-0.028716</t>
  </si>
  <si>
    <t>0.132562</t>
  </si>
  <si>
    <t>0.000216</t>
  </si>
  <si>
    <t>7</t>
  </si>
  <si>
    <t>20:22:49</t>
  </si>
  <si>
    <t>007</t>
  </si>
  <si>
    <t>1.437456</t>
  </si>
  <si>
    <t>1.420165</t>
  </si>
  <si>
    <t>13.974222</t>
  </si>
  <si>
    <t>14.144361</t>
  </si>
  <si>
    <t>PSF-01106_20260910202249_0f9</t>
  </si>
  <si>
    <t>127.013687</t>
  </si>
  <si>
    <t>639.356018</t>
  </si>
  <si>
    <t>0.801341</t>
  </si>
  <si>
    <t>50.00</t>
  </si>
  <si>
    <t>49.39</t>
  </si>
  <si>
    <t>23.32</t>
  </si>
  <si>
    <t>21.48</t>
  </si>
  <si>
    <t>101.63</t>
  </si>
  <si>
    <t>4.107</t>
  </si>
  <si>
    <t>-0.041</t>
  </si>
  <si>
    <t>-0.318</t>
  </si>
  <si>
    <t>2.504386</t>
  </si>
  <si>
    <t>2.445131</t>
  </si>
  <si>
    <t>1.668408</t>
  </si>
  <si>
    <t>0.943796</t>
  </si>
  <si>
    <t>0.291637</t>
  </si>
  <si>
    <t>-0.020035</t>
  </si>
  <si>
    <t>0.135828</t>
  </si>
  <si>
    <t>0.107032</t>
  </si>
  <si>
    <t>8</t>
  </si>
  <si>
    <t>20:23:22</t>
  </si>
  <si>
    <t>008</t>
  </si>
  <si>
    <t>1.412829</t>
  </si>
  <si>
    <t>1.397521</t>
  </si>
  <si>
    <t>13.750725</t>
  </si>
  <si>
    <t>13.901353</t>
  </si>
  <si>
    <t>PSF-01106_20260910202322_ffa</t>
  </si>
  <si>
    <t>122.212532</t>
  </si>
  <si>
    <t>597.286804</t>
  </si>
  <si>
    <t>0.795387</t>
  </si>
  <si>
    <t>49.13</t>
  </si>
  <si>
    <t>48.60</t>
  </si>
  <si>
    <t>21.79</t>
  </si>
  <si>
    <t>156.2</t>
  </si>
  <si>
    <t>151.8</t>
  </si>
  <si>
    <t>2.8</t>
  </si>
  <si>
    <t>4.106</t>
  </si>
  <si>
    <t>-0.077</t>
  </si>
  <si>
    <t>0.210</t>
  </si>
  <si>
    <t>-0.035</t>
  </si>
  <si>
    <t>2.503248</t>
  </si>
  <si>
    <t>2.444005</t>
  </si>
  <si>
    <t>1.671817</t>
  </si>
  <si>
    <t>0.933330</t>
  </si>
  <si>
    <t>0.291596</t>
  </si>
  <si>
    <t>-0.016569</t>
  </si>
  <si>
    <t>0.140290</t>
  </si>
  <si>
    <t>0.107035</t>
  </si>
  <si>
    <t>0.000222</t>
  </si>
  <si>
    <t>9</t>
  </si>
  <si>
    <t>20:23:34</t>
  </si>
  <si>
    <t>009</t>
  </si>
  <si>
    <t>1.430462</t>
  </si>
  <si>
    <t>1.411533</t>
  </si>
  <si>
    <t>13.888428</t>
  </si>
  <si>
    <t>14.074679</t>
  </si>
  <si>
    <t>PSF-01106_20260910202334_889</t>
  </si>
  <si>
    <t>108.074066</t>
  </si>
  <si>
    <t>608.898987</t>
  </si>
  <si>
    <t>0.822509</t>
  </si>
  <si>
    <t>49.74</t>
  </si>
  <si>
    <t>49.08</t>
  </si>
  <si>
    <t>21.00</t>
  </si>
  <si>
    <t>145.8</t>
  </si>
  <si>
    <t>6.5</t>
  </si>
  <si>
    <t>4.104</t>
  </si>
  <si>
    <t>-0.078</t>
  </si>
  <si>
    <t>-0.062</t>
  </si>
  <si>
    <t>0.168</t>
  </si>
  <si>
    <t>2.503943</t>
  </si>
  <si>
    <t>2.444802</t>
  </si>
  <si>
    <t>1.669607</t>
  </si>
  <si>
    <t>0.917872</t>
  </si>
  <si>
    <t>0.291597</t>
  </si>
  <si>
    <t>-0.025509</t>
  </si>
  <si>
    <t>0.141861</t>
  </si>
  <si>
    <t>0.107039</t>
  </si>
  <si>
    <t>0.000217</t>
  </si>
  <si>
    <t>10</t>
  </si>
  <si>
    <t>20:24:25</t>
  </si>
  <si>
    <t>010</t>
  </si>
  <si>
    <t>1.451386</t>
  </si>
  <si>
    <t>1.433830</t>
  </si>
  <si>
    <t>14.106569</t>
  </si>
  <si>
    <t>14.279291</t>
  </si>
  <si>
    <t>PSF-01106_20260910202425_efd</t>
  </si>
  <si>
    <t>123.206375</t>
  </si>
  <si>
    <t>684.565552</t>
  </si>
  <si>
    <t>0.820023</t>
  </si>
  <si>
    <t>50.43</t>
  </si>
  <si>
    <t>49.82</t>
  </si>
  <si>
    <t>21.90</t>
  </si>
  <si>
    <t>101.64</t>
  </si>
  <si>
    <t>0.1</t>
  </si>
  <si>
    <t>4.087</t>
  </si>
  <si>
    <t>-0.007</t>
  </si>
  <si>
    <t>-0.021</t>
  </si>
  <si>
    <t>-0.291</t>
  </si>
  <si>
    <t>-0.500</t>
  </si>
  <si>
    <t>2.504993</t>
  </si>
  <si>
    <t>2.445695</t>
  </si>
  <si>
    <t>1.669665</t>
  </si>
  <si>
    <t>0.943691</t>
  </si>
  <si>
    <t>0.291454</t>
  </si>
  <si>
    <t>-0.015429</t>
  </si>
  <si>
    <t>0.148595</t>
  </si>
  <si>
    <t>0.107034</t>
  </si>
  <si>
    <t>0.000226</t>
  </si>
  <si>
    <t>11</t>
  </si>
  <si>
    <t>20:24:54</t>
  </si>
  <si>
    <t>011</t>
  </si>
  <si>
    <t>1.426570</t>
  </si>
  <si>
    <t>1.415340</t>
  </si>
  <si>
    <t>13.924485</t>
  </si>
  <si>
    <t>14.034965</t>
  </si>
  <si>
    <t>PSF-01106_20260910202454_547</t>
  </si>
  <si>
    <t>124.198792</t>
  </si>
  <si>
    <t>691.189880</t>
  </si>
  <si>
    <t>0.820312</t>
  </si>
  <si>
    <t>49.54</t>
  </si>
  <si>
    <t>49.15</t>
  </si>
  <si>
    <t>23.35</t>
  </si>
  <si>
    <t>154.8</t>
  </si>
  <si>
    <t>0.6</t>
  </si>
  <si>
    <t>4.102</t>
  </si>
  <si>
    <t>-0.001</t>
  </si>
  <si>
    <t>-0.003</t>
  </si>
  <si>
    <t>0.087</t>
  </si>
  <si>
    <t>-0.150</t>
  </si>
  <si>
    <t>6.142</t>
  </si>
  <si>
    <t>2.504040</t>
  </si>
  <si>
    <t>2.444541</t>
  </si>
  <si>
    <t>1.668355</t>
  </si>
  <si>
    <t>0.940963</t>
  </si>
  <si>
    <t>0.291353</t>
  </si>
  <si>
    <t>-0.015491</t>
  </si>
  <si>
    <t>0.152449</t>
  </si>
  <si>
    <t>12</t>
  </si>
  <si>
    <t>20:25:10</t>
  </si>
  <si>
    <t>012</t>
  </si>
  <si>
    <t>1.436602</t>
  </si>
  <si>
    <t>1.419671</t>
  </si>
  <si>
    <t>13.966715</t>
  </si>
  <si>
    <t>14.133275</t>
  </si>
  <si>
    <t>PSF-01106_20260910202510_94d</t>
  </si>
  <si>
    <t>116.701843</t>
  </si>
  <si>
    <t>664.831665</t>
  </si>
  <si>
    <t>0.824464</t>
  </si>
  <si>
    <t>49.88</t>
  </si>
  <si>
    <t>21.53</t>
  </si>
  <si>
    <t>101.65</t>
  </si>
  <si>
    <t>143.7</t>
  </si>
  <si>
    <t>7.9</t>
  </si>
  <si>
    <t>0.274</t>
  </si>
  <si>
    <t>0.433</t>
  </si>
  <si>
    <t>2.504230</t>
  </si>
  <si>
    <t>2.444971</t>
  </si>
  <si>
    <t>1.669267</t>
  </si>
  <si>
    <t>0.912512</t>
  </si>
  <si>
    <t>0.291289</t>
  </si>
  <si>
    <t>-0.019778</t>
  </si>
  <si>
    <t>0.154420</t>
  </si>
  <si>
    <t>0.000220</t>
  </si>
  <si>
    <t>13</t>
  </si>
  <si>
    <t>20:25:36</t>
  </si>
  <si>
    <t>013</t>
  </si>
  <si>
    <t>1.468237</t>
  </si>
  <si>
    <t>1.453124</t>
  </si>
  <si>
    <t>14.295999</t>
  </si>
  <si>
    <t>14.444686</t>
  </si>
  <si>
    <t>PSF-01106_20260910202536_c72</t>
  </si>
  <si>
    <t>122.495773</t>
  </si>
  <si>
    <t>665.227539</t>
  </si>
  <si>
    <t>0.815859</t>
  </si>
  <si>
    <t>50.96</t>
  </si>
  <si>
    <t>50.44</t>
  </si>
  <si>
    <t>21.75</t>
  </si>
  <si>
    <t>151.9</t>
  </si>
  <si>
    <t>2.6</t>
  </si>
  <si>
    <t>4.077</t>
  </si>
  <si>
    <t>-0.011</t>
  </si>
  <si>
    <t>-0.046</t>
  </si>
  <si>
    <t>-0.339</t>
  </si>
  <si>
    <t>-0.738</t>
  </si>
  <si>
    <t>2.505866</t>
  </si>
  <si>
    <t>2.446380</t>
  </si>
  <si>
    <t>1.668938</t>
  </si>
  <si>
    <t>0.933384</t>
  </si>
  <si>
    <t>0.291250</t>
  </si>
  <si>
    <t>-0.017321</t>
  </si>
  <si>
    <t>0.157667</t>
  </si>
  <si>
    <t>0.107037</t>
  </si>
  <si>
    <t>0.000224</t>
  </si>
  <si>
    <t>14</t>
  </si>
  <si>
    <t>20:25:50</t>
  </si>
  <si>
    <t>014</t>
  </si>
  <si>
    <t>1.471145</t>
  </si>
  <si>
    <t>1.453391</t>
  </si>
  <si>
    <t>14.298307</t>
  </si>
  <si>
    <t>14.472971</t>
  </si>
  <si>
    <t>PSF-01106_20260910202550_8b0</t>
  </si>
  <si>
    <t>110.328552</t>
  </si>
  <si>
    <t>609.855286</t>
  </si>
  <si>
    <t>0.819091</t>
  </si>
  <si>
    <t>51.05</t>
  </si>
  <si>
    <t>21.98</t>
  </si>
  <si>
    <t>153.2</t>
  </si>
  <si>
    <t>1.7</t>
  </si>
  <si>
    <t>4.099</t>
  </si>
  <si>
    <t>-0.055</t>
  </si>
  <si>
    <t>0.025</t>
  </si>
  <si>
    <t>0.227</t>
  </si>
  <si>
    <t>2.505862</t>
  </si>
  <si>
    <t>2.446494</t>
  </si>
  <si>
    <t>1.669279</t>
  </si>
  <si>
    <t>0.936921</t>
  </si>
  <si>
    <t>0.291203</t>
  </si>
  <si>
    <t>-0.014766</t>
  </si>
  <si>
    <t>0.159509</t>
  </si>
  <si>
    <t>15</t>
  </si>
  <si>
    <t>20:27:12</t>
  </si>
  <si>
    <t>015</t>
  </si>
  <si>
    <t>1.498091</t>
  </si>
  <si>
    <t>1.445205</t>
  </si>
  <si>
    <t>14.219040</t>
  </si>
  <si>
    <t>14.739371</t>
  </si>
  <si>
    <t>PSF-01106_20260910202712_a9f</t>
  </si>
  <si>
    <t>118.315819</t>
  </si>
  <si>
    <t>585.090637</t>
  </si>
  <si>
    <t>0.797782</t>
  </si>
  <si>
    <t>51.83</t>
  </si>
  <si>
    <t>23.41</t>
  </si>
  <si>
    <t>21.07</t>
  </si>
  <si>
    <t>156.3</t>
  </si>
  <si>
    <t>4.097</t>
  </si>
  <si>
    <t>-0.025</t>
  </si>
  <si>
    <t>0.030</t>
  </si>
  <si>
    <t>2.505237</t>
  </si>
  <si>
    <t>2.447494</t>
  </si>
  <si>
    <t>1.669347</t>
  </si>
  <si>
    <t>0.944935</t>
  </si>
  <si>
    <t>0.290631</t>
  </si>
  <si>
    <t>-0.025610</t>
  </si>
  <si>
    <t>0.169989</t>
  </si>
  <si>
    <t>20:30:19</t>
  </si>
  <si>
    <t>1.420512</t>
  </si>
  <si>
    <t>1.399348</t>
  </si>
  <si>
    <t>13.765901</t>
  </si>
  <si>
    <t>13.974091</t>
  </si>
  <si>
    <t>PSF-01106_20260910203019_470</t>
  </si>
  <si>
    <t>132.397049</t>
  </si>
  <si>
    <t>637.836792</t>
  </si>
  <si>
    <t>0.792428</t>
  </si>
  <si>
    <t>49.37</t>
  </si>
  <si>
    <t>48.64</t>
  </si>
  <si>
    <t>21.14</t>
  </si>
  <si>
    <t>156.6</t>
  </si>
  <si>
    <t>-0.4</t>
  </si>
  <si>
    <t>20:29:50</t>
  </si>
  <si>
    <t>-1.52</t>
  </si>
  <si>
    <t>-0.028</t>
  </si>
  <si>
    <t>-0.128</t>
  </si>
  <si>
    <t>0.054</t>
  </si>
  <si>
    <t>0.183</t>
  </si>
  <si>
    <t>2.503301</t>
  </si>
  <si>
    <t>2.444736</t>
  </si>
  <si>
    <t>1.669261</t>
  </si>
  <si>
    <t>0.945494</t>
  </si>
  <si>
    <t>0.291496</t>
  </si>
  <si>
    <t>-0.024048</t>
  </si>
  <si>
    <t>0.249373</t>
  </si>
  <si>
    <t>20:31:40</t>
  </si>
  <si>
    <t>1.467910</t>
  </si>
  <si>
    <t>1.454533</t>
  </si>
  <si>
    <t>14.310035</t>
  </si>
  <si>
    <t>14.441647</t>
  </si>
  <si>
    <t>PSF-01106_20260910203140_9f5</t>
  </si>
  <si>
    <t>119.681953</t>
  </si>
  <si>
    <t>670.002197</t>
  </si>
  <si>
    <t>0.821371</t>
  </si>
  <si>
    <t>51.07</t>
  </si>
  <si>
    <t>50.60</t>
  </si>
  <si>
    <t>21.41</t>
  </si>
  <si>
    <t>151.1</t>
  </si>
  <si>
    <t>4.093</t>
  </si>
  <si>
    <t>-0.050</t>
  </si>
  <si>
    <t>0.180</t>
  </si>
  <si>
    <t>0.188</t>
  </si>
  <si>
    <t>2.506102</t>
  </si>
  <si>
    <t>2.446935</t>
  </si>
  <si>
    <t>1.670059</t>
  </si>
  <si>
    <t>0.931358</t>
  </si>
  <si>
    <t>0.291678</t>
  </si>
  <si>
    <t>-0.020783</t>
  </si>
  <si>
    <t>0.260488</t>
  </si>
  <si>
    <t>20:32:18</t>
  </si>
  <si>
    <t>1.496452</t>
  </si>
  <si>
    <t>1.491648</t>
  </si>
  <si>
    <t>14.674755</t>
  </si>
  <si>
    <t>14.722013</t>
  </si>
  <si>
    <t>PSF-01106_20260910203218_23a</t>
  </si>
  <si>
    <t>131.654984</t>
  </si>
  <si>
    <t>693.947571</t>
  </si>
  <si>
    <t>0.810281</t>
  </si>
  <si>
    <t>52.06</t>
  </si>
  <si>
    <t>51.90</t>
  </si>
  <si>
    <t>21.70</t>
  </si>
  <si>
    <t>155.1</t>
  </si>
  <si>
    <t>4.092</t>
  </si>
  <si>
    <t>-0.033</t>
  </si>
  <si>
    <t>-0.118</t>
  </si>
  <si>
    <t>2.507937</t>
  </si>
  <si>
    <t>2.448222</t>
  </si>
  <si>
    <t>1.669319</t>
  </si>
  <si>
    <t>0.941692</t>
  </si>
  <si>
    <t>0.291695</t>
  </si>
  <si>
    <t>-0.017509</t>
  </si>
  <si>
    <t>0.265177</t>
  </si>
  <si>
    <t>20:32:44</t>
  </si>
  <si>
    <t>1.523973</t>
  </si>
  <si>
    <t>1.508720</t>
  </si>
  <si>
    <t>14.842409</t>
  </si>
  <si>
    <t>14.992462</t>
  </si>
  <si>
    <t>PSF-01106_20260910203244_819</t>
  </si>
  <si>
    <t>113.373398</t>
  </si>
  <si>
    <t>655.995728</t>
  </si>
  <si>
    <t>0.827174</t>
  </si>
  <si>
    <t>53.02</t>
  </si>
  <si>
    <t>52.49</t>
  </si>
  <si>
    <t>149.4</t>
  </si>
  <si>
    <t>4.2</t>
  </si>
  <si>
    <t>4.091</t>
  </si>
  <si>
    <t>-0.038</t>
  </si>
  <si>
    <t>0.039</t>
  </si>
  <si>
    <t>-0.127</t>
  </si>
  <si>
    <t>2.508779</t>
  </si>
  <si>
    <t>2.449457</t>
  </si>
  <si>
    <t>1.668882</t>
  </si>
  <si>
    <t>0.927063</t>
  </si>
  <si>
    <t>0.291701</t>
  </si>
  <si>
    <t>-0.016952</t>
  </si>
  <si>
    <t>0.268387</t>
  </si>
  <si>
    <t>0.000229</t>
  </si>
  <si>
    <t>20:33:25</t>
  </si>
  <si>
    <t>1.709748</t>
  </si>
  <si>
    <t>1.536896</t>
  </si>
  <si>
    <t>15.119229</t>
  </si>
  <si>
    <t>16.819658</t>
  </si>
  <si>
    <t>PSF-01106_20260910203325_5bf</t>
  </si>
  <si>
    <t>126.446487</t>
  </si>
  <si>
    <t>722.988708</t>
  </si>
  <si>
    <t>0.825106</t>
  </si>
  <si>
    <t>59.46</t>
  </si>
  <si>
    <t>53.45</t>
  </si>
  <si>
    <t>19.51</t>
  </si>
  <si>
    <t>156.8</t>
  </si>
  <si>
    <t>-0.090</t>
  </si>
  <si>
    <t>-0.154</t>
  </si>
  <si>
    <t>0.223</t>
  </si>
  <si>
    <t>2.510123</t>
  </si>
  <si>
    <t>2.457668</t>
  </si>
  <si>
    <t>1.671409</t>
  </si>
  <si>
    <t>0.946205</t>
  </si>
  <si>
    <t>0.291610</t>
  </si>
  <si>
    <t>-0.042164</t>
  </si>
  <si>
    <t>0.273363</t>
  </si>
  <si>
    <t>20:33:57</t>
  </si>
  <si>
    <t>1.601367</t>
  </si>
  <si>
    <t>1.568513</t>
  </si>
  <si>
    <t>15.429157</t>
  </si>
  <si>
    <t>15.752343</t>
  </si>
  <si>
    <t>PSF-01106_20260910203357_3de</t>
  </si>
  <si>
    <t>125.302437</t>
  </si>
  <si>
    <t>644.368896</t>
  </si>
  <si>
    <t>0.805542</t>
  </si>
  <si>
    <t>55.69</t>
  </si>
  <si>
    <t>54.55</t>
  </si>
  <si>
    <t>21.09</t>
  </si>
  <si>
    <t>101.66</t>
  </si>
  <si>
    <t>149.8</t>
  </si>
  <si>
    <t>3.9</t>
  </si>
  <si>
    <t>-0.012</t>
  </si>
  <si>
    <t>-0.401</t>
  </si>
  <si>
    <t>-0.187</t>
  </si>
  <si>
    <t>2.511674</t>
  </si>
  <si>
    <t>2.452878</t>
  </si>
  <si>
    <t>1.669171</t>
  </si>
  <si>
    <t>0.928100</t>
  </si>
  <si>
    <t>0.291624</t>
  </si>
  <si>
    <t>-0.024404</t>
  </si>
  <si>
    <t>0.277101</t>
  </si>
  <si>
    <t>20:34:12</t>
  </si>
  <si>
    <t>1.597663</t>
  </si>
  <si>
    <t>1.547724</t>
  </si>
  <si>
    <t>15.224665</t>
  </si>
  <si>
    <t>15.715900</t>
  </si>
  <si>
    <t>PSF-01106_20260910203412_d2f</t>
  </si>
  <si>
    <t>131.080276</t>
  </si>
  <si>
    <t>717.344666</t>
  </si>
  <si>
    <t>0.817270</t>
  </si>
  <si>
    <t>55.57</t>
  </si>
  <si>
    <t>53.83</t>
  </si>
  <si>
    <t>20.45</t>
  </si>
  <si>
    <t>-0.122</t>
  </si>
  <si>
    <t>-0.509</t>
  </si>
  <si>
    <t>-0.211</t>
  </si>
  <si>
    <t>2.510663</t>
  </si>
  <si>
    <t>2.452717</t>
  </si>
  <si>
    <t>1.670353</t>
  </si>
  <si>
    <t>0.943673</t>
  </si>
  <si>
    <t>0.291634</t>
  </si>
  <si>
    <t>-0.031605</t>
  </si>
  <si>
    <t>0.278699</t>
  </si>
  <si>
    <t>20:34:36</t>
  </si>
  <si>
    <t>1.603590</t>
  </si>
  <si>
    <t>1.559314</t>
  </si>
  <si>
    <t>15.338750</t>
  </si>
  <si>
    <t>15.774278</t>
  </si>
  <si>
    <t>PSF-01106_20260910203436_db6</t>
  </si>
  <si>
    <t>125.843880</t>
  </si>
  <si>
    <t>589.630371</t>
  </si>
  <si>
    <t>0.786572</t>
  </si>
  <si>
    <t>55.79</t>
  </si>
  <si>
    <t>54.25</t>
  </si>
  <si>
    <t>21.04</t>
  </si>
  <si>
    <t>152.8</t>
  </si>
  <si>
    <t>2.1</t>
  </si>
  <si>
    <t>4.090</t>
  </si>
  <si>
    <t>-0.767</t>
  </si>
  <si>
    <t>-0.298</t>
  </si>
  <si>
    <t>5.252</t>
  </si>
  <si>
    <t>2.511247</t>
  </si>
  <si>
    <t>2.452997</t>
  </si>
  <si>
    <t>1.670281</t>
  </si>
  <si>
    <t>0.935839</t>
  </si>
  <si>
    <t>-0.024913</t>
  </si>
  <si>
    <t>0.281523</t>
  </si>
  <si>
    <t>20:34:53</t>
  </si>
  <si>
    <t>1.580210</t>
  </si>
  <si>
    <t>1.544706</t>
  </si>
  <si>
    <t>15.193892</t>
  </si>
  <si>
    <t>15.543116</t>
  </si>
  <si>
    <t>PSF-01106_20260910203453_9bf</t>
  </si>
  <si>
    <t>129.564636</t>
  </si>
  <si>
    <t>671.993835</t>
  </si>
  <si>
    <t>0.807194</t>
  </si>
  <si>
    <t>54.97</t>
  </si>
  <si>
    <t>53.74</t>
  </si>
  <si>
    <t>21.16</t>
  </si>
  <si>
    <t>101.67</t>
  </si>
  <si>
    <t>139.5</t>
  </si>
  <si>
    <t>10.5</t>
  </si>
  <si>
    <t>4.088</t>
  </si>
  <si>
    <t>-0.018</t>
  </si>
  <si>
    <t>-0.058</t>
  </si>
  <si>
    <t>-0.353</t>
  </si>
  <si>
    <t>-0.771</t>
  </si>
  <si>
    <t>2.510536</t>
  </si>
  <si>
    <t>2.451960</t>
  </si>
  <si>
    <t>1.669315</t>
  </si>
  <si>
    <t>0.902110</t>
  </si>
  <si>
    <t>0.291685</t>
  </si>
  <si>
    <t>-0.023545</t>
  </si>
  <si>
    <t>0.283393</t>
  </si>
  <si>
    <t>0.107041</t>
  </si>
  <si>
    <t>0.000227</t>
  </si>
  <si>
    <t>20:35:23</t>
  </si>
  <si>
    <t>1.627028</t>
  </si>
  <si>
    <t>1.580141</t>
  </si>
  <si>
    <t>15.541819</t>
  </si>
  <si>
    <t>16.002989</t>
  </si>
  <si>
    <t>PSF-01106_20260910203523_a27</t>
  </si>
  <si>
    <t>130.535599</t>
  </si>
  <si>
    <t>647.581482</t>
  </si>
  <si>
    <t>0.798426</t>
  </si>
  <si>
    <t>56.57</t>
  </si>
  <si>
    <t>54.94</t>
  </si>
  <si>
    <t>20.76</t>
  </si>
  <si>
    <t>150.7</t>
  </si>
  <si>
    <t>3.4</t>
  </si>
  <si>
    <t>-0.034</t>
  </si>
  <si>
    <t>-0.095</t>
  </si>
  <si>
    <t>0.172</t>
  </si>
  <si>
    <t>-0.161</t>
  </si>
  <si>
    <t>2.512225</t>
  </si>
  <si>
    <t>2.454002</t>
  </si>
  <si>
    <t>1.669420</t>
  </si>
  <si>
    <t>0.930385</t>
  </si>
  <si>
    <t>0.291585</t>
  </si>
  <si>
    <t>-0.028146</t>
  </si>
  <si>
    <t>0.286895</t>
  </si>
  <si>
    <t>20:38:26</t>
  </si>
  <si>
    <t>1.437190</t>
  </si>
  <si>
    <t>1.434111</t>
  </si>
  <si>
    <t>14.104403</t>
  </si>
  <si>
    <t>14.134688</t>
  </si>
  <si>
    <t>PSF-01106_20260910203826_528</t>
  </si>
  <si>
    <t>82.885979</t>
  </si>
  <si>
    <t>570.392517</t>
  </si>
  <si>
    <t>0.854686</t>
  </si>
  <si>
    <t>50.52</t>
  </si>
  <si>
    <t>50.41</t>
  </si>
  <si>
    <t>23.15</t>
  </si>
  <si>
    <t>21.60</t>
  </si>
  <si>
    <t>101.68</t>
  </si>
  <si>
    <t>140.8</t>
  </si>
  <si>
    <t>9.8</t>
  </si>
  <si>
    <t>4.066</t>
  </si>
  <si>
    <t>20:38:13</t>
  </si>
  <si>
    <t>-1.67</t>
  </si>
  <si>
    <t>-0.026</t>
  </si>
  <si>
    <t>0.116</t>
  </si>
  <si>
    <t>2.505864</t>
  </si>
  <si>
    <t>2.446456</t>
  </si>
  <si>
    <t>1.670026</t>
  </si>
  <si>
    <t>0.905223</t>
  </si>
  <si>
    <t>0.293684</t>
  </si>
  <si>
    <t>-0.016689</t>
  </si>
  <si>
    <t>0.243310</t>
  </si>
  <si>
    <t>0.107045</t>
  </si>
  <si>
    <t>20:39:07</t>
  </si>
  <si>
    <t>1.530256</t>
  </si>
  <si>
    <t>1.532176</t>
  </si>
  <si>
    <t>15.066607</t>
  </si>
  <si>
    <t>15.047728</t>
  </si>
  <si>
    <t>PSF-01106_20260910203907_096</t>
  </si>
  <si>
    <t>104.494217</t>
  </si>
  <si>
    <t>609.275208</t>
  </si>
  <si>
    <t>0.828494</t>
  </si>
  <si>
    <t>53.70</t>
  </si>
  <si>
    <t>53.76</t>
  </si>
  <si>
    <t>23.18</t>
  </si>
  <si>
    <t>21.96</t>
  </si>
  <si>
    <t>101.69</t>
  </si>
  <si>
    <t>151.4</t>
  </si>
  <si>
    <t>3.0</t>
  </si>
  <si>
    <t>4.063</t>
  </si>
  <si>
    <t>-0.005</t>
  </si>
  <si>
    <t>-0.029</t>
  </si>
  <si>
    <t>-0.695</t>
  </si>
  <si>
    <t>2.510597</t>
  </si>
  <si>
    <t>2.450545</t>
  </si>
  <si>
    <t>1.671038</t>
  </si>
  <si>
    <t>0.932098</t>
  </si>
  <si>
    <t>0.293346</t>
  </si>
  <si>
    <t>-0.012908</t>
  </si>
  <si>
    <t>0.249837</t>
  </si>
  <si>
    <t>20:39:19</t>
  </si>
  <si>
    <t>1.528607</t>
  </si>
  <si>
    <t>1.523662</t>
  </si>
  <si>
    <t>14.982332</t>
  </si>
  <si>
    <t>15.030955</t>
  </si>
  <si>
    <t>PSF-01106_20260910203919_b30</t>
  </si>
  <si>
    <t>98.167778</t>
  </si>
  <si>
    <t>590.874573</t>
  </si>
  <si>
    <t>0.833860</t>
  </si>
  <si>
    <t>53.61</t>
  </si>
  <si>
    <t>53.43</t>
  </si>
  <si>
    <t>23.19</t>
  </si>
  <si>
    <t>21.73</t>
  </si>
  <si>
    <t>101.70</t>
  </si>
  <si>
    <t>153.1</t>
  </si>
  <si>
    <t>2.0</t>
  </si>
  <si>
    <t>4.086</t>
  </si>
  <si>
    <t>-0.045</t>
  </si>
  <si>
    <t>-0.229</t>
  </si>
  <si>
    <t>2.510128</t>
  </si>
  <si>
    <t>2.450427</t>
  </si>
  <si>
    <t>1.671842</t>
  </si>
  <si>
    <t>0.936606</t>
  </si>
  <si>
    <t>0.293228</t>
  </si>
  <si>
    <t>-0.015646</t>
  </si>
  <si>
    <t>0.251614</t>
  </si>
  <si>
    <t>20:39:30</t>
  </si>
  <si>
    <t>1.546326</t>
  </si>
  <si>
    <t>1.545519</t>
  </si>
  <si>
    <t>15.197631</t>
  </si>
  <si>
    <t>15.205563</t>
  </si>
  <si>
    <t>PSF-01106_20260910203930_e72</t>
  </si>
  <si>
    <t>86.462975</t>
  </si>
  <si>
    <t>538.921570</t>
  </si>
  <si>
    <t>0.839563</t>
  </si>
  <si>
    <t>54.20</t>
  </si>
  <si>
    <t>54.17</t>
  </si>
  <si>
    <t>142.4</t>
  </si>
  <si>
    <t>8.7</t>
  </si>
  <si>
    <t>-0.006</t>
  </si>
  <si>
    <t>-0.195</t>
  </si>
  <si>
    <t>-0.210</t>
  </si>
  <si>
    <t>2.511167</t>
  </si>
  <si>
    <t>2.451188</t>
  </si>
  <si>
    <t>1.669863</t>
  </si>
  <si>
    <t>0.909379</t>
  </si>
  <si>
    <t>0.293131</t>
  </si>
  <si>
    <t>-0.013773</t>
  </si>
  <si>
    <t>0.253203</t>
  </si>
  <si>
    <t>20:39:42</t>
  </si>
  <si>
    <t>1.549222</t>
  </si>
  <si>
    <t>1.546535</t>
  </si>
  <si>
    <t>15.208402</t>
  </si>
  <si>
    <t>15.234830</t>
  </si>
  <si>
    <t>PSF-01106_20260910203942_832</t>
  </si>
  <si>
    <t>96.783401</t>
  </si>
  <si>
    <t>581.805847</t>
  </si>
  <si>
    <t>0.833650</t>
  </si>
  <si>
    <t>54.27</t>
  </si>
  <si>
    <t>54.18</t>
  </si>
  <si>
    <t>23.20</t>
  </si>
  <si>
    <t>21.84</t>
  </si>
  <si>
    <t>146.1</t>
  </si>
  <si>
    <t>6.3</t>
  </si>
  <si>
    <t>-0.053</t>
  </si>
  <si>
    <t>0.185</t>
  </si>
  <si>
    <t>0.153</t>
  </si>
  <si>
    <t>2.511171</t>
  </si>
  <si>
    <t>2.451275</t>
  </si>
  <si>
    <t>1.669545</t>
  </si>
  <si>
    <t>0.918761</t>
  </si>
  <si>
    <t>0.293018</t>
  </si>
  <si>
    <t>-0.014594</t>
  </si>
  <si>
    <t>0.254842</t>
  </si>
  <si>
    <t>20:39:55</t>
  </si>
  <si>
    <t>1.564808</t>
  </si>
  <si>
    <t>1.557826</t>
  </si>
  <si>
    <t>15.318041</t>
  </si>
  <si>
    <t>15.386693</t>
  </si>
  <si>
    <t>PSF-01106_20260910203955_335</t>
  </si>
  <si>
    <t>91.852066</t>
  </si>
  <si>
    <t>554.766296</t>
  </si>
  <si>
    <t>0.834431</t>
  </si>
  <si>
    <t>54.77</t>
  </si>
  <si>
    <t>54.53</t>
  </si>
  <si>
    <t>23.22</t>
  </si>
  <si>
    <t>21.62</t>
  </si>
  <si>
    <t>152.6</t>
  </si>
  <si>
    <t>-0.052</t>
  </si>
  <si>
    <t>0.036</t>
  </si>
  <si>
    <t>-0.596</t>
  </si>
  <si>
    <t>2.511660</t>
  </si>
  <si>
    <t>2.451914</t>
  </si>
  <si>
    <t>1.669275</t>
  </si>
  <si>
    <t>0.935401</t>
  </si>
  <si>
    <t>0.292858</t>
  </si>
  <si>
    <t>-0.017226</t>
  </si>
  <si>
    <t>0.256615</t>
  </si>
  <si>
    <t>20:40:31</t>
  </si>
  <si>
    <t>1.551797</t>
  </si>
  <si>
    <t>1.553801</t>
  </si>
  <si>
    <t>15.280161</t>
  </si>
  <si>
    <t>15.260446</t>
  </si>
  <si>
    <t>PSF-01106_20260910204031_663</t>
  </si>
  <si>
    <t>96.917152</t>
  </si>
  <si>
    <t>577.880859</t>
  </si>
  <si>
    <t>0.832289</t>
  </si>
  <si>
    <t>23.26</t>
  </si>
  <si>
    <t>22.53</t>
  </si>
  <si>
    <t>150.1</t>
  </si>
  <si>
    <t>3.8</t>
  </si>
  <si>
    <t>4.085</t>
  </si>
  <si>
    <t>-0.000</t>
  </si>
  <si>
    <t>-0.097</t>
  </si>
  <si>
    <t>-0.245</t>
  </si>
  <si>
    <t>2.511262</t>
  </si>
  <si>
    <t>2.451149</t>
  </si>
  <si>
    <t>1.670205</t>
  </si>
  <si>
    <t>0.928922</t>
  </si>
  <si>
    <t>0.292371</t>
  </si>
  <si>
    <t>-0.007327</t>
  </si>
  <si>
    <t>0.261647</t>
  </si>
  <si>
    <t>20:40:42</t>
  </si>
  <si>
    <t>1.559712</t>
  </si>
  <si>
    <t>1.557275</t>
  </si>
  <si>
    <t>15.314432</t>
  </si>
  <si>
    <t>15.338398</t>
  </si>
  <si>
    <t>PSF-01106_20260910204042_5fe</t>
  </si>
  <si>
    <t>84.483864</t>
  </si>
  <si>
    <t>555.751587</t>
  </si>
  <si>
    <t>0.847983</t>
  </si>
  <si>
    <t>54.41</t>
  </si>
  <si>
    <t>54.32</t>
  </si>
  <si>
    <t>23.27</t>
  </si>
  <si>
    <t>21.77</t>
  </si>
  <si>
    <t>150.0</t>
  </si>
  <si>
    <t>4.084</t>
  </si>
  <si>
    <t>-0.010</t>
  </si>
  <si>
    <t>0.382</t>
  </si>
  <si>
    <t>0.154</t>
  </si>
  <si>
    <t>2.511362</t>
  </si>
  <si>
    <t>2.451438</t>
  </si>
  <si>
    <t>1.670056</t>
  </si>
  <si>
    <t>0.928510</t>
  </si>
  <si>
    <t>0.292201</t>
  </si>
  <si>
    <t>-0.016209</t>
  </si>
  <si>
    <t>0.262973</t>
  </si>
  <si>
    <t>0.000228</t>
  </si>
  <si>
    <t>20:40:56</t>
  </si>
  <si>
    <t>1.577406</t>
  </si>
  <si>
    <t>1.578193</t>
  </si>
  <si>
    <t>15.520376</t>
  </si>
  <si>
    <t>15.512631</t>
  </si>
  <si>
    <t>PSF-01106_20260910204056_26e</t>
  </si>
  <si>
    <t>95.514893</t>
  </si>
  <si>
    <t>583.460938</t>
  </si>
  <si>
    <t>0.836296</t>
  </si>
  <si>
    <t>54.96</t>
  </si>
  <si>
    <t>54.98</t>
  </si>
  <si>
    <t>23.29</t>
  </si>
  <si>
    <t>21.87</t>
  </si>
  <si>
    <t>136.4</t>
  </si>
  <si>
    <t>12.6</t>
  </si>
  <si>
    <t>4.083</t>
  </si>
  <si>
    <t>0.043</t>
  </si>
  <si>
    <t>-0.091</t>
  </si>
  <si>
    <t>2.512287</t>
  </si>
  <si>
    <t>2.452137</t>
  </si>
  <si>
    <t>1.670349</t>
  </si>
  <si>
    <t>0.894394</t>
  </si>
  <si>
    <t>0.291961</t>
  </si>
  <si>
    <t>-0.015284</t>
  </si>
  <si>
    <t>0.264906</t>
  </si>
  <si>
    <t>20:41:08</t>
  </si>
  <si>
    <t>1.551059</t>
  </si>
  <si>
    <t>1.549346</t>
  </si>
  <si>
    <t>15.236531</t>
  </si>
  <si>
    <t>15.253383</t>
  </si>
  <si>
    <t>PSF-01106_20260910204108_e75</t>
  </si>
  <si>
    <t>94.855789</t>
  </si>
  <si>
    <t>588.734863</t>
  </si>
  <si>
    <t>0.838882</t>
  </si>
  <si>
    <t>53.99</t>
  </si>
  <si>
    <t>53.93</t>
  </si>
  <si>
    <t>23.31</t>
  </si>
  <si>
    <t>22.01</t>
  </si>
  <si>
    <t>154.9</t>
  </si>
  <si>
    <t>0.7</t>
  </si>
  <si>
    <t>4.082</t>
  </si>
  <si>
    <t>-0.074</t>
  </si>
  <si>
    <t>0.118</t>
  </si>
  <si>
    <t>2.510809</t>
  </si>
  <si>
    <t>2.450902</t>
  </si>
  <si>
    <t>1.669241</t>
  </si>
  <si>
    <t>0.941133</t>
  </si>
  <si>
    <t>0.291799</t>
  </si>
  <si>
    <t>-0.013893</t>
  </si>
  <si>
    <t>0.266343</t>
  </si>
  <si>
    <t>20:41:20</t>
  </si>
  <si>
    <t>1.578786</t>
  </si>
  <si>
    <t>1.577597</t>
  </si>
  <si>
    <t>15.513670</t>
  </si>
  <si>
    <t>15.525369</t>
  </si>
  <si>
    <t>PSF-01106_20260910204120_055</t>
  </si>
  <si>
    <t>100.499512</t>
  </si>
  <si>
    <t>570.549133</t>
  </si>
  <si>
    <t>0.823855</t>
  </si>
  <si>
    <t>54.90</t>
  </si>
  <si>
    <t>54.86</t>
  </si>
  <si>
    <t>22.09</t>
  </si>
  <si>
    <t>146.3</t>
  </si>
  <si>
    <t>6.2</t>
  </si>
  <si>
    <t>4.081</t>
  </si>
  <si>
    <t>-0.216</t>
  </si>
  <si>
    <t>-0.863</t>
  </si>
  <si>
    <t>2.512110</t>
  </si>
  <si>
    <t>2.452064</t>
  </si>
  <si>
    <t>1.669903</t>
  </si>
  <si>
    <t>0.919298</t>
  </si>
  <si>
    <t>0.291605</t>
  </si>
  <si>
    <t>-0.013092</t>
  </si>
  <si>
    <t>0.267913</t>
  </si>
  <si>
    <t>20:41:32</t>
  </si>
  <si>
    <t>1.585193</t>
  </si>
  <si>
    <t>1.586691</t>
  </si>
  <si>
    <t>15.603210</t>
  </si>
  <si>
    <t>15.588486</t>
  </si>
  <si>
    <t>PSF-01106_20260910204132_1aa</t>
  </si>
  <si>
    <t>99.849701</t>
  </si>
  <si>
    <t>581.814758</t>
  </si>
  <si>
    <t>0.828382</t>
  </si>
  <si>
    <t>55.07</t>
  </si>
  <si>
    <t>55.12</t>
  </si>
  <si>
    <t>22.31</t>
  </si>
  <si>
    <t>153.7</t>
  </si>
  <si>
    <t>1.4</t>
  </si>
  <si>
    <t>-0.381</t>
  </si>
  <si>
    <t>-0.606</t>
  </si>
  <si>
    <t>2.512466</t>
  </si>
  <si>
    <t>2.452270</t>
  </si>
  <si>
    <t>1.670023</t>
  </si>
  <si>
    <t>0.938228</t>
  </si>
  <si>
    <t>0.291397</t>
  </si>
  <si>
    <t>-0.010885</t>
  </si>
  <si>
    <t>0.269475</t>
  </si>
  <si>
    <t>20:42:33</t>
  </si>
  <si>
    <t>1.566846</t>
  </si>
  <si>
    <t>1.559583</t>
  </si>
  <si>
    <t>15.335808</t>
  </si>
  <si>
    <t>15.407232</t>
  </si>
  <si>
    <t>PSF-01106_20260910204233_76c</t>
  </si>
  <si>
    <t>98.533630</t>
  </si>
  <si>
    <t>631.196716</t>
  </si>
  <si>
    <t>0.843894</t>
  </si>
  <si>
    <t>54.13</t>
  </si>
  <si>
    <t>53.88</t>
  </si>
  <si>
    <t>23.43</t>
  </si>
  <si>
    <t>21.91</t>
  </si>
  <si>
    <t>144.0</t>
  </si>
  <si>
    <t>7.8</t>
  </si>
  <si>
    <t>-0.031</t>
  </si>
  <si>
    <t>-0.307</t>
  </si>
  <si>
    <t>-0.280</t>
  </si>
  <si>
    <t>2.510703</t>
  </si>
  <si>
    <t>2.451049</t>
  </si>
  <si>
    <t>1.671225</t>
  </si>
  <si>
    <t>0.913375</t>
  </si>
  <si>
    <t>0.290322</t>
  </si>
  <si>
    <t>-0.016442</t>
  </si>
  <si>
    <t>0.277100</t>
  </si>
  <si>
    <t>20:42:42</t>
  </si>
  <si>
    <t>1.557367</t>
  </si>
  <si>
    <t>1.556000</t>
  </si>
  <si>
    <t>15.301216</t>
  </si>
  <si>
    <t>15.314656</t>
  </si>
  <si>
    <t>PSF-01106_20260910204242_86e</t>
  </si>
  <si>
    <t>91.940399</t>
  </si>
  <si>
    <t>559.181946</t>
  </si>
  <si>
    <t>0.835581</t>
  </si>
  <si>
    <t>53.71</t>
  </si>
  <si>
    <t>23.45</t>
  </si>
  <si>
    <t>21.86</t>
  </si>
  <si>
    <t>143.3</t>
  </si>
  <si>
    <t>8.2</t>
  </si>
  <si>
    <t>0</t>
  </si>
  <si>
    <t>-0.037</t>
  </si>
  <si>
    <t>-0.248</t>
  </si>
  <si>
    <t>-0.831</t>
  </si>
  <si>
    <t>2.510472</t>
  </si>
  <si>
    <t>2.450577</t>
  </si>
  <si>
    <t>1.671430</t>
  </si>
  <si>
    <t>0.911631</t>
  </si>
  <si>
    <t>0.290182</t>
  </si>
  <si>
    <t>-0.017148</t>
  </si>
  <si>
    <t>0.278255</t>
  </si>
  <si>
    <t>0.107144</t>
  </si>
  <si>
    <t>20:42:52</t>
  </si>
  <si>
    <t>1.551946</t>
  </si>
  <si>
    <t>1.553550</t>
  </si>
  <si>
    <t>15.276637</t>
  </si>
  <si>
    <t>15.260862</t>
  </si>
  <si>
    <t>PSF-01106_20260910204252_c5e</t>
  </si>
  <si>
    <t>109.677315</t>
  </si>
  <si>
    <t>608.897583</t>
  </si>
  <si>
    <t>0.819876</t>
  </si>
  <si>
    <t>53.53</t>
  </si>
  <si>
    <t>53.59</t>
  </si>
  <si>
    <t>22.14</t>
  </si>
  <si>
    <t>152.7</t>
  </si>
  <si>
    <t>-0.293</t>
  </si>
  <si>
    <t>-0.181</t>
  </si>
  <si>
    <t>2.510293</t>
  </si>
  <si>
    <t>2.450283</t>
  </si>
  <si>
    <t>1.668964</t>
  </si>
  <si>
    <t>0.935519</t>
  </si>
  <si>
    <t>0.290037</t>
  </si>
  <si>
    <t>-0.014095</t>
  </si>
  <si>
    <t>0.279396</t>
  </si>
  <si>
    <t>0.107329</t>
  </si>
  <si>
    <t>16</t>
  </si>
  <si>
    <t>20:43:03</t>
  </si>
  <si>
    <t>016</t>
  </si>
  <si>
    <t>1.553590</t>
  </si>
  <si>
    <t>1.553303</t>
  </si>
  <si>
    <t>15.274321</t>
  </si>
  <si>
    <t>15.277145</t>
  </si>
  <si>
    <t>PSF-01106_20260910204303_e0d</t>
  </si>
  <si>
    <t>83.649513</t>
  </si>
  <si>
    <t>562.500732</t>
  </si>
  <si>
    <t>0.851290</t>
  </si>
  <si>
    <t>53.54</t>
  </si>
  <si>
    <t>23.47</t>
  </si>
  <si>
    <t>135.4</t>
  </si>
  <si>
    <t>13.2</t>
  </si>
  <si>
    <t>4.080</t>
  </si>
  <si>
    <t>0.029</t>
  </si>
  <si>
    <t>2.510215</t>
  </si>
  <si>
    <t>2.450295</t>
  </si>
  <si>
    <t>1.670151</t>
  </si>
  <si>
    <t>0.891832</t>
  </si>
  <si>
    <t>0.289875</t>
  </si>
  <si>
    <t>-0.017675</t>
  </si>
  <si>
    <t>0.280584</t>
  </si>
  <si>
    <t>17</t>
  </si>
  <si>
    <t>20:43:18</t>
  </si>
  <si>
    <t>017</t>
  </si>
  <si>
    <t>1.579491</t>
  </si>
  <si>
    <t>1.577576</t>
  </si>
  <si>
    <t>15.511714</t>
  </si>
  <si>
    <t>15.530540</t>
  </si>
  <si>
    <t>PSF-01106_20260910204318_076</t>
  </si>
  <si>
    <t>100.093605</t>
  </si>
  <si>
    <t>573.884705</t>
  </si>
  <si>
    <t>0.825586</t>
  </si>
  <si>
    <t>54.37</t>
  </si>
  <si>
    <t>54.30</t>
  </si>
  <si>
    <t>23.49</t>
  </si>
  <si>
    <t>155.3</t>
  </si>
  <si>
    <t>0.4</t>
  </si>
  <si>
    <t>-0.048</t>
  </si>
  <si>
    <t>0.051</t>
  </si>
  <si>
    <t>-0.476</t>
  </si>
  <si>
    <t>2.511289</t>
  </si>
  <si>
    <t>2.451347</t>
  </si>
  <si>
    <t>1.668968</t>
  </si>
  <si>
    <t>0.942209</t>
  </si>
  <si>
    <t>0.289630</t>
  </si>
  <si>
    <t>-0.018543</t>
  </si>
  <si>
    <t>0.282492</t>
  </si>
  <si>
    <t>0.107837</t>
  </si>
  <si>
    <t>18</t>
  </si>
  <si>
    <t>20:43:42</t>
  </si>
  <si>
    <t>018</t>
  </si>
  <si>
    <t>1.558254</t>
  </si>
  <si>
    <t>1.560143</t>
  </si>
  <si>
    <t>15.340335</t>
  </si>
  <si>
    <t>15.321768</t>
  </si>
  <si>
    <t>PSF-01106_20260910204342_a0e</t>
  </si>
  <si>
    <t>88.075165</t>
  </si>
  <si>
    <t>546.645630</t>
  </si>
  <si>
    <t>0.838881</t>
  </si>
  <si>
    <t>53.60</t>
  </si>
  <si>
    <t>23.53</t>
  </si>
  <si>
    <t>22.12</t>
  </si>
  <si>
    <t>155.7</t>
  </si>
  <si>
    <t>4.079</t>
  </si>
  <si>
    <t>-0.075</t>
  </si>
  <si>
    <t>-0.255</t>
  </si>
  <si>
    <t>2.510301</t>
  </si>
  <si>
    <t>2.450277</t>
  </si>
  <si>
    <t>1.667666</t>
  </si>
  <si>
    <t>0.928248</t>
  </si>
  <si>
    <t>0.289276</t>
  </si>
  <si>
    <t>-0.015098</t>
  </si>
  <si>
    <t>0.285395</t>
  </si>
  <si>
    <t>19</t>
  </si>
  <si>
    <t>20:44:18</t>
  </si>
  <si>
    <t>019</t>
  </si>
  <si>
    <t>1.558178</t>
  </si>
  <si>
    <t>1.559177</t>
  </si>
  <si>
    <t>15.330611</t>
  </si>
  <si>
    <t>15.320790</t>
  </si>
  <si>
    <t>PSF-01106_20260910204418_147</t>
  </si>
  <si>
    <t>94.428421</t>
  </si>
  <si>
    <t>582.627319</t>
  </si>
  <si>
    <t>0.837927</t>
  </si>
  <si>
    <t>53.38</t>
  </si>
  <si>
    <t>53.42</t>
  </si>
  <si>
    <t>23.57</t>
  </si>
  <si>
    <t>21.94</t>
  </si>
  <si>
    <t>154.2</t>
  </si>
  <si>
    <t>1.1</t>
  </si>
  <si>
    <t>4.078</t>
  </si>
  <si>
    <t>-0.027</t>
  </si>
  <si>
    <t>-0.288</t>
  </si>
  <si>
    <t>-0.112</t>
  </si>
  <si>
    <t>2.510030</t>
  </si>
  <si>
    <t>2.450069</t>
  </si>
  <si>
    <t>1.669687</t>
  </si>
  <si>
    <t>0.939318</t>
  </si>
  <si>
    <t>0.288729</t>
  </si>
  <si>
    <t>-0.017747</t>
  </si>
  <si>
    <t>0.289662</t>
  </si>
  <si>
    <t>20</t>
  </si>
  <si>
    <t>20:44:33</t>
  </si>
  <si>
    <t>020</t>
  </si>
  <si>
    <t>1.580135</t>
  </si>
  <si>
    <t>1.579151</t>
  </si>
  <si>
    <t>15.527966</t>
  </si>
  <si>
    <t>15.537633</t>
  </si>
  <si>
    <t>PSF-01106_20260910204433_e41</t>
  </si>
  <si>
    <t>96.270920</t>
  </si>
  <si>
    <t>592.246765</t>
  </si>
  <si>
    <t>0.837448</t>
  </si>
  <si>
    <t>54.07</t>
  </si>
  <si>
    <t>54.04</t>
  </si>
  <si>
    <t>23.59</t>
  </si>
  <si>
    <t>131.0</t>
  </si>
  <si>
    <t>16.0</t>
  </si>
  <si>
    <t>-0.043</t>
  </si>
  <si>
    <t>-0.440</t>
  </si>
  <si>
    <t>2.510899</t>
  </si>
  <si>
    <t>2.450949</t>
  </si>
  <si>
    <t>1.669120</t>
  </si>
  <si>
    <t>0.881093</t>
  </si>
  <si>
    <t>0.288504</t>
  </si>
  <si>
    <t>-0.016224</t>
  </si>
  <si>
    <t>0.291424</t>
  </si>
  <si>
    <t>21</t>
  </si>
  <si>
    <t>20:44:46</t>
  </si>
  <si>
    <t>021</t>
  </si>
  <si>
    <t>1.580307</t>
  </si>
  <si>
    <t>1.584429</t>
  </si>
  <si>
    <t>15.579473</t>
  </si>
  <si>
    <t>15.538948</t>
  </si>
  <si>
    <t>PSF-01106_20260910204446_df1</t>
  </si>
  <si>
    <t>90.549591</t>
  </si>
  <si>
    <t>561.308044</t>
  </si>
  <si>
    <t>0.838681</t>
  </si>
  <si>
    <t>54.03</t>
  </si>
  <si>
    <t>23.61</t>
  </si>
  <si>
    <t>22.16</t>
  </si>
  <si>
    <t>146.8</t>
  </si>
  <si>
    <t>5.9</t>
  </si>
  <si>
    <t>-0.002</t>
  </si>
  <si>
    <t>0.035</t>
  </si>
  <si>
    <t>0.117</t>
  </si>
  <si>
    <t>2.511086</t>
  </si>
  <si>
    <t>2.450896</t>
  </si>
  <si>
    <t>1.670445</t>
  </si>
  <si>
    <t>0.920521</t>
  </si>
  <si>
    <t>0.288343</t>
  </si>
  <si>
    <t>-0.015559</t>
  </si>
  <si>
    <t>0.292878</t>
  </si>
  <si>
    <t>22</t>
  </si>
  <si>
    <t>20:44:57</t>
  </si>
  <si>
    <t>022</t>
  </si>
  <si>
    <t>1.586086</t>
  </si>
  <si>
    <t>1.585568</t>
  </si>
  <si>
    <t>15.590331</t>
  </si>
  <si>
    <t>15.595429</t>
  </si>
  <si>
    <t>PSF-01106_20260910204457_3d7</t>
  </si>
  <si>
    <t>90.503456</t>
  </si>
  <si>
    <t>567.324768</t>
  </si>
  <si>
    <t>0.840473</t>
  </si>
  <si>
    <t>54.19</t>
  </si>
  <si>
    <t>23.62</t>
  </si>
  <si>
    <t>7.6</t>
  </si>
  <si>
    <t>4.065</t>
  </si>
  <si>
    <t>0.015</t>
  </si>
  <si>
    <t>2.511085</t>
  </si>
  <si>
    <t>2.451098</t>
  </si>
  <si>
    <t>1.669582</t>
  </si>
  <si>
    <t>0.913429</t>
  </si>
  <si>
    <t>0.288210</t>
  </si>
  <si>
    <t>-0.020922</t>
  </si>
  <si>
    <t>0.294150</t>
  </si>
  <si>
    <t>23</t>
  </si>
  <si>
    <t>20:45:07</t>
  </si>
  <si>
    <t>023</t>
  </si>
  <si>
    <t>1.589658</t>
  </si>
  <si>
    <t>1.594692</t>
  </si>
  <si>
    <t>15.680466</t>
  </si>
  <si>
    <t>15.630968</t>
  </si>
  <si>
    <t>PSF-01106_20260910204507_9a5</t>
  </si>
  <si>
    <t>87.400314</t>
  </si>
  <si>
    <t>581.833740</t>
  </si>
  <si>
    <t>0.849785</t>
  </si>
  <si>
    <t>54.28</t>
  </si>
  <si>
    <t>54.46</t>
  </si>
  <si>
    <t>23.63</t>
  </si>
  <si>
    <t>141.0</t>
  </si>
  <si>
    <t>9.6</t>
  </si>
  <si>
    <t>4.054</t>
  </si>
  <si>
    <t>0.038</t>
  </si>
  <si>
    <t>2.511480</t>
  </si>
  <si>
    <t>2.451216</t>
  </si>
  <si>
    <t>1.669240</t>
  </si>
  <si>
    <t>0.905838</t>
  </si>
  <si>
    <t>0.288106</t>
  </si>
  <si>
    <t>-0.019195</t>
  </si>
  <si>
    <t>0.295234</t>
  </si>
  <si>
    <t>24</t>
  </si>
  <si>
    <t>20:45:17</t>
  </si>
  <si>
    <t>024</t>
  </si>
  <si>
    <t>1.585946</t>
  </si>
  <si>
    <t>1.590721</t>
  </si>
  <si>
    <t>15.641498</t>
  </si>
  <si>
    <t>15.594543</t>
  </si>
  <si>
    <t>PSF-01106_20260910204517_55f</t>
  </si>
  <si>
    <t>93.584778</t>
  </si>
  <si>
    <t>529.202332</t>
  </si>
  <si>
    <t>0.823159</t>
  </si>
  <si>
    <t>54.29</t>
  </si>
  <si>
    <t>23.64</t>
  </si>
  <si>
    <t>21.81</t>
  </si>
  <si>
    <t>6.4</t>
  </si>
  <si>
    <t>4.076</t>
  </si>
  <si>
    <t>-0.022</t>
  </si>
  <si>
    <t>-0.105</t>
  </si>
  <si>
    <t>0.067</t>
  </si>
  <si>
    <t>2.511245</t>
  </si>
  <si>
    <t>2.451013</t>
  </si>
  <si>
    <t>1.670212</t>
  </si>
  <si>
    <t>0.918671</t>
  </si>
  <si>
    <t>0.288000</t>
  </si>
  <si>
    <t>-0.019908</t>
  </si>
  <si>
    <t>0.296352</t>
  </si>
  <si>
    <t>25</t>
  </si>
  <si>
    <t>20:45:56</t>
  </si>
  <si>
    <t>025</t>
  </si>
  <si>
    <t>1.585088</t>
  </si>
  <si>
    <t>1.589700</t>
  </si>
  <si>
    <t>15.631119</t>
  </si>
  <si>
    <t>15.585763</t>
  </si>
  <si>
    <t>PSF-01106_20260910204556_c2f</t>
  </si>
  <si>
    <t>95.220207</t>
  </si>
  <si>
    <t>601.406311</t>
  </si>
  <si>
    <t>0.841671</t>
  </si>
  <si>
    <t>53.97</t>
  </si>
  <si>
    <t>54.12</t>
  </si>
  <si>
    <t>23.68</t>
  </si>
  <si>
    <t>22.22</t>
  </si>
  <si>
    <t>140.6</t>
  </si>
  <si>
    <t>4.052</t>
  </si>
  <si>
    <t>-0.850</t>
  </si>
  <si>
    <t>2.511004</t>
  </si>
  <si>
    <t>2.450801</t>
  </si>
  <si>
    <t>1.669487</t>
  </si>
  <si>
    <t>0.904956</t>
  </si>
  <si>
    <t>0.287539</t>
  </si>
  <si>
    <t>-0.015728</t>
  </si>
  <si>
    <t>0.300905</t>
  </si>
  <si>
    <t>26</t>
  </si>
  <si>
    <t>20:46:06</t>
  </si>
  <si>
    <t>026</t>
  </si>
  <si>
    <t>1.599510</t>
  </si>
  <si>
    <t>1.605478</t>
  </si>
  <si>
    <t>15.785089</t>
  </si>
  <si>
    <t>15.726416</t>
  </si>
  <si>
    <t>PSF-01106_20260910204606_ec6</t>
  </si>
  <si>
    <t>90.795639</t>
  </si>
  <si>
    <t>578.281372</t>
  </si>
  <si>
    <t>0.842991</t>
  </si>
  <si>
    <t>54.42</t>
  </si>
  <si>
    <t>54.63</t>
  </si>
  <si>
    <t>23.69</t>
  </si>
  <si>
    <t>22.17</t>
  </si>
  <si>
    <t>101.71</t>
  </si>
  <si>
    <t>1.9</t>
  </si>
  <si>
    <t>4.072</t>
  </si>
  <si>
    <t>-0.076</t>
  </si>
  <si>
    <t>-0.060</t>
  </si>
  <si>
    <t>2.511708</t>
  </si>
  <si>
    <t>2.451384</t>
  </si>
  <si>
    <t>1.671915</t>
  </si>
  <si>
    <t>0.936960</t>
  </si>
  <si>
    <t>0.287418</t>
  </si>
  <si>
    <t>-0.016358</t>
  </si>
  <si>
    <t>0.301971</t>
  </si>
  <si>
    <t>27</t>
  </si>
  <si>
    <t>20:46:17</t>
  </si>
  <si>
    <t>027</t>
  </si>
  <si>
    <t>1.615914</t>
  </si>
  <si>
    <t>1.622377</t>
  </si>
  <si>
    <t>15.952298</t>
  </si>
  <si>
    <t>15.888752</t>
  </si>
  <si>
    <t>PSF-01106_20260910204617_46b</t>
  </si>
  <si>
    <t>99.288940</t>
  </si>
  <si>
    <t>605.208984</t>
  </si>
  <si>
    <t>0.835943</t>
  </si>
  <si>
    <t>54.95</t>
  </si>
  <si>
    <t>55.17</t>
  </si>
  <si>
    <t>23.70</t>
  </si>
  <si>
    <t>22.29</t>
  </si>
  <si>
    <t>151.7</t>
  </si>
  <si>
    <t>-0.375</t>
  </si>
  <si>
    <t>-0.711</t>
  </si>
  <si>
    <t>2.512469</t>
  </si>
  <si>
    <t>2.452058</t>
  </si>
  <si>
    <t>1.670131</t>
  </si>
  <si>
    <t>0.932947</t>
  </si>
  <si>
    <t>0.287313</t>
  </si>
  <si>
    <t>-0.015152</t>
  </si>
  <si>
    <t>0.303150</t>
  </si>
  <si>
    <t>28</t>
  </si>
  <si>
    <t>20:46:30</t>
  </si>
  <si>
    <t>028</t>
  </si>
  <si>
    <t>1.605125</t>
  </si>
  <si>
    <t>1.606025</t>
  </si>
  <si>
    <t>15.791826</t>
  </si>
  <si>
    <t>15.782978</t>
  </si>
  <si>
    <t>PSF-01106_20260910204630_aed</t>
  </si>
  <si>
    <t>88.522552</t>
  </si>
  <si>
    <t>544.999451</t>
  </si>
  <si>
    <t>0.837573</t>
  </si>
  <si>
    <t>54.54</t>
  </si>
  <si>
    <t>54.57</t>
  </si>
  <si>
    <t>23.71</t>
  </si>
  <si>
    <t>22.10</t>
  </si>
  <si>
    <t>4.074</t>
  </si>
  <si>
    <t>-0.153</t>
  </si>
  <si>
    <t>-0.321</t>
  </si>
  <si>
    <t>2.511630</t>
  </si>
  <si>
    <t>2.451534</t>
  </si>
  <si>
    <t>1.670262</t>
  </si>
  <si>
    <t>0.891970</t>
  </si>
  <si>
    <t>0.287171</t>
  </si>
  <si>
    <t>-0.017468</t>
  </si>
  <si>
    <t>0.304564</t>
  </si>
  <si>
    <t>29</t>
  </si>
  <si>
    <t>20:46:41</t>
  </si>
  <si>
    <t>029</t>
  </si>
  <si>
    <t>1.596111</t>
  </si>
  <si>
    <t>1.602081</t>
  </si>
  <si>
    <t>15.752742</t>
  </si>
  <si>
    <t>15.694039</t>
  </si>
  <si>
    <t>PSF-01106_20260910204641_b8f</t>
  </si>
  <si>
    <t>99.944115</t>
  </si>
  <si>
    <t>558.138733</t>
  </si>
  <si>
    <t>0.820933</t>
  </si>
  <si>
    <t>54.21</t>
  </si>
  <si>
    <t>23.72</t>
  </si>
  <si>
    <t>-0.213</t>
  </si>
  <si>
    <t>2.511402</t>
  </si>
  <si>
    <t>2.451105</t>
  </si>
  <si>
    <t>1.668998</t>
  </si>
  <si>
    <t>0.933174</t>
  </si>
  <si>
    <t>0.287074</t>
  </si>
  <si>
    <t>-0.017701</t>
  </si>
  <si>
    <t>0.305724</t>
  </si>
  <si>
    <t>30</t>
  </si>
  <si>
    <t>20:46:50</t>
  </si>
  <si>
    <t>030</t>
  </si>
  <si>
    <t>1.582022</t>
  </si>
  <si>
    <t>1.589603</t>
  </si>
  <si>
    <t>15.630543</t>
  </si>
  <si>
    <t>15.555999</t>
  </si>
  <si>
    <t>PSF-01106_20260910204650_5c4</t>
  </si>
  <si>
    <t>92.466118</t>
  </si>
  <si>
    <t>571.504333</t>
  </si>
  <si>
    <t>0.838206</t>
  </si>
  <si>
    <t>21.97</t>
  </si>
  <si>
    <t>142.3</t>
  </si>
  <si>
    <t>8.8</t>
  </si>
  <si>
    <t>4.073</t>
  </si>
  <si>
    <t>-0.391</t>
  </si>
  <si>
    <t>-0.555</t>
  </si>
  <si>
    <t>2.510780</t>
  </si>
  <si>
    <t>2.450467</t>
  </si>
  <si>
    <t>1.670465</t>
  </si>
  <si>
    <t>0.909164</t>
  </si>
  <si>
    <t>0.287009</t>
  </si>
  <si>
    <t>-0.019106</t>
  </si>
  <si>
    <t>0.306710</t>
  </si>
  <si>
    <t>0.000221</t>
  </si>
  <si>
    <t>31</t>
  </si>
  <si>
    <t>20:47:23</t>
  </si>
  <si>
    <t>031</t>
  </si>
  <si>
    <t>1.596749</t>
  </si>
  <si>
    <t>1.600920</t>
  </si>
  <si>
    <t>15.741248</t>
  </si>
  <si>
    <t>15.700233</t>
  </si>
  <si>
    <t>PSF-01106_20260910204723_a37</t>
  </si>
  <si>
    <t>96.447945</t>
  </si>
  <si>
    <t>574.875732</t>
  </si>
  <si>
    <t>0.832228</t>
  </si>
  <si>
    <t>54.26</t>
  </si>
  <si>
    <t>23.75</t>
  </si>
  <si>
    <t>147.7</t>
  </si>
  <si>
    <t>5.4</t>
  </si>
  <si>
    <t>-0.203</t>
  </si>
  <si>
    <t>-0.082</t>
  </si>
  <si>
    <t>2.511184</t>
  </si>
  <si>
    <t>2.450984</t>
  </si>
  <si>
    <t>1.671315</t>
  </si>
  <si>
    <t>0.922778</t>
  </si>
  <si>
    <t>0.286685</t>
  </si>
  <si>
    <t>-0.015566</t>
  </si>
  <si>
    <t>0.310480</t>
  </si>
  <si>
    <t>0.107277</t>
  </si>
  <si>
    <t>32</t>
  </si>
  <si>
    <t>20:47:40</t>
  </si>
  <si>
    <t>032</t>
  </si>
  <si>
    <t>1.614153</t>
  </si>
  <si>
    <t>1.621846</t>
  </si>
  <si>
    <t>15.947044</t>
  </si>
  <si>
    <t>15.871402</t>
  </si>
  <si>
    <t>PSF-01106_20260910204740_7a7</t>
  </si>
  <si>
    <t>87.092041</t>
  </si>
  <si>
    <t>547.761414</t>
  </si>
  <si>
    <t>0.841004</t>
  </si>
  <si>
    <t>54.66</t>
  </si>
  <si>
    <t>54.93</t>
  </si>
  <si>
    <t>23.76</t>
  </si>
  <si>
    <t>22.67</t>
  </si>
  <si>
    <t>138.7</t>
  </si>
  <si>
    <t>11.2</t>
  </si>
  <si>
    <t>4.071</t>
  </si>
  <si>
    <t>0.198</t>
  </si>
  <si>
    <t>0.250</t>
  </si>
  <si>
    <t>2.512111</t>
  </si>
  <si>
    <t>2.451678</t>
  </si>
  <si>
    <t>1.671554</t>
  </si>
  <si>
    <t>0.900193</t>
  </si>
  <si>
    <t>0.286524</t>
  </si>
  <si>
    <t>-0.011642</t>
  </si>
  <si>
    <t>0.312308</t>
  </si>
  <si>
    <t>33</t>
  </si>
  <si>
    <t>20:47:52</t>
  </si>
  <si>
    <t>033</t>
  </si>
  <si>
    <t>1.614983</t>
  </si>
  <si>
    <t>1.620090</t>
  </si>
  <si>
    <t>15.929502</t>
  </si>
  <si>
    <t>15.879283</t>
  </si>
  <si>
    <t>PSF-01106_20260910204752_1a1</t>
  </si>
  <si>
    <t>87.739349</t>
  </si>
  <si>
    <t>543.527832</t>
  </si>
  <si>
    <t>0.838574</t>
  </si>
  <si>
    <t>54.65</t>
  </si>
  <si>
    <t>54.83</t>
  </si>
  <si>
    <t>23.78</t>
  </si>
  <si>
    <t>145.3</t>
  </si>
  <si>
    <t>6.9</t>
  </si>
  <si>
    <t>-0.265</t>
  </si>
  <si>
    <t>2.511970</t>
  </si>
  <si>
    <t>2.451662</t>
  </si>
  <si>
    <t>1.670224</t>
  </si>
  <si>
    <t>0.916604</t>
  </si>
  <si>
    <t>0.286388</t>
  </si>
  <si>
    <t>-0.017616</t>
  </si>
  <si>
    <t>0.313749</t>
  </si>
  <si>
    <t>0.107653</t>
  </si>
  <si>
    <t>0.000215</t>
  </si>
  <si>
    <t>34</t>
  </si>
  <si>
    <t>20:48:03</t>
  </si>
  <si>
    <t>034</t>
  </si>
  <si>
    <t>1.623798</t>
  </si>
  <si>
    <t>1.629477</t>
  </si>
  <si>
    <t>16.022192</t>
  </si>
  <si>
    <t>15.966352</t>
  </si>
  <si>
    <t>PSF-01106_20260910204803_2c6</t>
  </si>
  <si>
    <t>90.353249</t>
  </si>
  <si>
    <t>567.385193</t>
  </si>
  <si>
    <t>0.840755</t>
  </si>
  <si>
    <t>54.92</t>
  </si>
  <si>
    <t>22.20</t>
  </si>
  <si>
    <t>145.4</t>
  </si>
  <si>
    <t>6.7</t>
  </si>
  <si>
    <t>0.005</t>
  </si>
  <si>
    <t>0.387</t>
  </si>
  <si>
    <t>2.512374</t>
  </si>
  <si>
    <t>2.452006</t>
  </si>
  <si>
    <t>1.668132</t>
  </si>
  <si>
    <t>0.916965</t>
  </si>
  <si>
    <t>0.286290</t>
  </si>
  <si>
    <t>-0.017221</t>
  </si>
  <si>
    <t>0.314870</t>
  </si>
  <si>
    <t>35</t>
  </si>
  <si>
    <t>20:48:15</t>
  </si>
  <si>
    <t>035</t>
  </si>
  <si>
    <t>1.628973</t>
  </si>
  <si>
    <t>1.633457</t>
  </si>
  <si>
    <t>16.062078</t>
  </si>
  <si>
    <t>16.017988</t>
  </si>
  <si>
    <t>PSF-01106_20260910204815_033</t>
  </si>
  <si>
    <t>100.203392</t>
  </si>
  <si>
    <t>576.118469</t>
  </si>
  <si>
    <t>0.826072</t>
  </si>
  <si>
    <t>55.06</t>
  </si>
  <si>
    <t>55.21</t>
  </si>
  <si>
    <t>23.80</t>
  </si>
  <si>
    <t>22.28</t>
  </si>
  <si>
    <t>135.1</t>
  </si>
  <si>
    <t>13.5</t>
  </si>
  <si>
    <t>4.070</t>
  </si>
  <si>
    <t>-0.176</t>
  </si>
  <si>
    <t>-0.358</t>
  </si>
  <si>
    <t>2.512510</t>
  </si>
  <si>
    <t>2.452182</t>
  </si>
  <si>
    <t>1.672081</t>
  </si>
  <si>
    <t>0.891146</t>
  </si>
  <si>
    <t>0.286167</t>
  </si>
  <si>
    <t>-0.016369</t>
  </si>
  <si>
    <t>0.316186</t>
  </si>
  <si>
    <t>0.107033</t>
  </si>
  <si>
    <t>36</t>
  </si>
  <si>
    <t>20:48:35</t>
  </si>
  <si>
    <t>036</t>
  </si>
  <si>
    <t>1.644166</t>
  </si>
  <si>
    <t>1.645187</t>
  </si>
  <si>
    <t>16.177460</t>
  </si>
  <si>
    <t>16.167419</t>
  </si>
  <si>
    <t>PSF-01106_20260910204835_8b4</t>
  </si>
  <si>
    <t>90.345024</t>
  </si>
  <si>
    <t>552.331238</t>
  </si>
  <si>
    <t>0.836430</t>
  </si>
  <si>
    <t>55.48</t>
  </si>
  <si>
    <t>55.52</t>
  </si>
  <si>
    <t>23.82</t>
  </si>
  <si>
    <t>22.32</t>
  </si>
  <si>
    <t>142.7</t>
  </si>
  <si>
    <t>8.6</t>
  </si>
  <si>
    <t>20:48:30</t>
  </si>
  <si>
    <t>-1.43</t>
  </si>
  <si>
    <t>0.388</t>
  </si>
  <si>
    <t>2.512929</t>
  </si>
  <si>
    <t>2.452408</t>
  </si>
  <si>
    <t>1.671578</t>
  </si>
  <si>
    <t>0.910091</t>
  </si>
  <si>
    <t>0.285849</t>
  </si>
  <si>
    <t>-0.016328</t>
  </si>
  <si>
    <t>0.318429</t>
  </si>
  <si>
    <t>37</t>
  </si>
  <si>
    <t>20:49:16</t>
  </si>
  <si>
    <t>037</t>
  </si>
  <si>
    <t>1.597351</t>
  </si>
  <si>
    <t>1.597993</t>
  </si>
  <si>
    <t>15.712159</t>
  </si>
  <si>
    <t>15.705841</t>
  </si>
  <si>
    <t>PSF-01106_20260910204916_64c</t>
  </si>
  <si>
    <t>100.337509</t>
  </si>
  <si>
    <t>552.310120</t>
  </si>
  <si>
    <t>0.818331</t>
  </si>
  <si>
    <t>53.72</t>
  </si>
  <si>
    <t>23.88</t>
  </si>
  <si>
    <t>142.6</t>
  </si>
  <si>
    <t>4.047</t>
  </si>
  <si>
    <t>-0.136</t>
  </si>
  <si>
    <t>-0.218</t>
  </si>
  <si>
    <t>2.510424</t>
  </si>
  <si>
    <t>2.450136</t>
  </si>
  <si>
    <t>1.669730</t>
  </si>
  <si>
    <t>0.909850</t>
  </si>
  <si>
    <t>0.285194</t>
  </si>
  <si>
    <t>-0.017304</t>
  </si>
  <si>
    <t>0.322914</t>
  </si>
  <si>
    <t>38</t>
  </si>
  <si>
    <t>20:49:26</t>
  </si>
  <si>
    <t>038</t>
  </si>
  <si>
    <t>1.601491</t>
  </si>
  <si>
    <t>1.600679</t>
  </si>
  <si>
    <t>15.738908</t>
  </si>
  <si>
    <t>15.746899</t>
  </si>
  <si>
    <t>PSF-01106_20260910204926_2ed</t>
  </si>
  <si>
    <t>86.522697</t>
  </si>
  <si>
    <t>561.032288</t>
  </si>
  <si>
    <t>0.845779</t>
  </si>
  <si>
    <t>53.84</t>
  </si>
  <si>
    <t>53.81</t>
  </si>
  <si>
    <t>23.89</t>
  </si>
  <si>
    <t>131.7</t>
  </si>
  <si>
    <t>0.125</t>
  </si>
  <si>
    <t>0.148</t>
  </si>
  <si>
    <t>2.510519</t>
  </si>
  <si>
    <t>2.450286</t>
  </si>
  <si>
    <t>1.669085</t>
  </si>
  <si>
    <t>0.882666</t>
  </si>
  <si>
    <t>0.285117</t>
  </si>
  <si>
    <t>-0.018885</t>
  </si>
  <si>
    <t>0.323885</t>
  </si>
  <si>
    <t>39</t>
  </si>
  <si>
    <t>20:49:35</t>
  </si>
  <si>
    <t>039</t>
  </si>
  <si>
    <t>1.617239</t>
  </si>
  <si>
    <t>1.618621</t>
  </si>
  <si>
    <t>15.914632</t>
  </si>
  <si>
    <t>15.901038</t>
  </si>
  <si>
    <t>PSF-01106_20260910204935_757</t>
  </si>
  <si>
    <t>99.445221</t>
  </si>
  <si>
    <t>573.204529</t>
  </si>
  <si>
    <t>0.826510</t>
  </si>
  <si>
    <t>54.34</t>
  </si>
  <si>
    <t>54.39</t>
  </si>
  <si>
    <t>22.27</t>
  </si>
  <si>
    <t>154.7</t>
  </si>
  <si>
    <t>0.9</t>
  </si>
  <si>
    <t>0.024</t>
  </si>
  <si>
    <t>-0.389</t>
  </si>
  <si>
    <t>2.511333</t>
  </si>
  <si>
    <t>2.450935</t>
  </si>
  <si>
    <t>1.670253</t>
  </si>
  <si>
    <t>0.940577</t>
  </si>
  <si>
    <t>0.285039</t>
  </si>
  <si>
    <t>-0.017642</t>
  </si>
  <si>
    <t>0.324917</t>
  </si>
  <si>
    <t>40</t>
  </si>
  <si>
    <t>20:49:46</t>
  </si>
  <si>
    <t>040</t>
  </si>
  <si>
    <t>1.605180</t>
  </si>
  <si>
    <t>1.605900</t>
  </si>
  <si>
    <t>15.790798</t>
  </si>
  <si>
    <t>15.783714</t>
  </si>
  <si>
    <t>PSF-01106_20260910204946_44e</t>
  </si>
  <si>
    <t>101.524475</t>
  </si>
  <si>
    <t>612.206360</t>
  </si>
  <si>
    <t>0.834166</t>
  </si>
  <si>
    <t>53.92</t>
  </si>
  <si>
    <t>53.95</t>
  </si>
  <si>
    <t>23.90</t>
  </si>
  <si>
    <t>22.33</t>
  </si>
  <si>
    <t>4.068</t>
  </si>
  <si>
    <t>0.263</t>
  </si>
  <si>
    <t>0.269</t>
  </si>
  <si>
    <t>2.510708</t>
  </si>
  <si>
    <t>2.450392</t>
  </si>
  <si>
    <t>1.669794</t>
  </si>
  <si>
    <t>0.909435</t>
  </si>
  <si>
    <t>0.284980</t>
  </si>
  <si>
    <t>-0.017055</t>
  </si>
  <si>
    <t>0.325992</t>
  </si>
  <si>
    <t>41</t>
  </si>
  <si>
    <t>20:49:59</t>
  </si>
  <si>
    <t>041</t>
  </si>
  <si>
    <t>1.613237</t>
  </si>
  <si>
    <t>1.616190</t>
  </si>
  <si>
    <t>15.891157</t>
  </si>
  <si>
    <t>15.862115</t>
  </si>
  <si>
    <t>PSF-01106_20260910204959_fec</t>
  </si>
  <si>
    <t>96.531631</t>
  </si>
  <si>
    <t>585.489014</t>
  </si>
  <si>
    <t>0.835127</t>
  </si>
  <si>
    <t>23.91</t>
  </si>
  <si>
    <t>147.6</t>
  </si>
  <si>
    <t>0.002</t>
  </si>
  <si>
    <t>-0.103</t>
  </si>
  <si>
    <t>2.511156</t>
  </si>
  <si>
    <t>2.450706</t>
  </si>
  <si>
    <t>1.669658</t>
  </si>
  <si>
    <t>0.922513</t>
  </si>
  <si>
    <t>0.284891</t>
  </si>
  <si>
    <t>-0.018424</t>
  </si>
  <si>
    <t>0.327347</t>
  </si>
  <si>
    <t>42</t>
  </si>
  <si>
    <t>20:50:09</t>
  </si>
  <si>
    <t>042</t>
  </si>
  <si>
    <t>1.628142</t>
  </si>
  <si>
    <t>1.628530</t>
  </si>
  <si>
    <t>16.011974</t>
  </si>
  <si>
    <t>16.008156</t>
  </si>
  <si>
    <t>PSF-01106_20260910205009_796</t>
  </si>
  <si>
    <t>98.316551</t>
  </si>
  <si>
    <t>556.076660</t>
  </si>
  <si>
    <t>0.823196</t>
  </si>
  <si>
    <t>22.06</t>
  </si>
  <si>
    <t>-0.326</t>
  </si>
  <si>
    <t>-0.506</t>
  </si>
  <si>
    <t>2.511716</t>
  </si>
  <si>
    <t>2.451327</t>
  </si>
  <si>
    <t>1.669115</t>
  </si>
  <si>
    <t>0.935282</t>
  </si>
  <si>
    <t>0.284840</t>
  </si>
  <si>
    <t>-0.020277</t>
  </si>
  <si>
    <t>0.328412</t>
  </si>
  <si>
    <t>처리</t>
    <phoneticPr fontId="1" type="noConversion"/>
  </si>
  <si>
    <t>반복</t>
    <phoneticPr fontId="1" type="noConversion"/>
  </si>
  <si>
    <t>f100</t>
    <phoneticPr fontId="1" type="noConversion"/>
  </si>
  <si>
    <t>f50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</si>
</sst>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70"/>
  <sheetViews>
    <sheetView workbookViewId="0">
      <selection activeCell="J5" sqref="A1:DC70"/>
    </sheetView>
  </sheetViews>
  <sheetFormatPr defaultRowHeight="17.5" x14ac:dyDescent="0.45"/>
  <sheetData>
    <row r="1" spans="1:107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6</v>
      </c>
      <c r="AX1" t="s">
        <v>6</v>
      </c>
      <c r="AY1" t="s">
        <v>6</v>
      </c>
      <c r="AZ1" t="s">
        <v>6</v>
      </c>
      <c r="BA1" t="s">
        <v>6</v>
      </c>
      <c r="BB1" t="s">
        <v>6</v>
      </c>
      <c r="BC1" t="s">
        <v>7</v>
      </c>
      <c r="BD1" t="s">
        <v>7</v>
      </c>
      <c r="BE1" t="s">
        <v>7</v>
      </c>
      <c r="BF1" t="s">
        <v>7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  <c r="BU1" t="s">
        <v>8</v>
      </c>
      <c r="BV1" t="s">
        <v>8</v>
      </c>
      <c r="BW1" t="s">
        <v>8</v>
      </c>
      <c r="BX1" t="s">
        <v>8</v>
      </c>
      <c r="BY1" t="s">
        <v>8</v>
      </c>
      <c r="BZ1" t="s">
        <v>8</v>
      </c>
      <c r="CA1" t="s">
        <v>8</v>
      </c>
      <c r="CB1" t="s">
        <v>8</v>
      </c>
      <c r="CC1" t="s">
        <v>9</v>
      </c>
      <c r="CD1" t="s">
        <v>9</v>
      </c>
      <c r="CE1" t="s">
        <v>9</v>
      </c>
      <c r="CF1" t="s">
        <v>9</v>
      </c>
      <c r="CG1" t="s">
        <v>9</v>
      </c>
      <c r="CH1" t="s">
        <v>9</v>
      </c>
      <c r="CI1" t="s">
        <v>9</v>
      </c>
      <c r="CJ1" t="s">
        <v>9</v>
      </c>
      <c r="CK1" t="s">
        <v>9</v>
      </c>
      <c r="CL1" t="s">
        <v>9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10</v>
      </c>
      <c r="CU1" t="s">
        <v>10</v>
      </c>
      <c r="CV1" t="s">
        <v>10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</row>
    <row r="2" spans="1:107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  <c r="AE2" t="s">
        <v>41</v>
      </c>
      <c r="AF2" t="s">
        <v>42</v>
      </c>
      <c r="AG2" t="s">
        <v>43</v>
      </c>
      <c r="AH2" t="s">
        <v>44</v>
      </c>
      <c r="AI2" t="s">
        <v>45</v>
      </c>
      <c r="AJ2" t="s">
        <v>46</v>
      </c>
      <c r="AK2" t="s">
        <v>47</v>
      </c>
      <c r="AL2" t="s">
        <v>48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54</v>
      </c>
      <c r="AS2" t="s">
        <v>55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  <c r="AY2" t="s">
        <v>61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  <c r="BE2" t="s">
        <v>67</v>
      </c>
      <c r="BF2" t="s">
        <v>68</v>
      </c>
      <c r="BG2" t="s">
        <v>69</v>
      </c>
      <c r="BH2" t="s">
        <v>70</v>
      </c>
      <c r="BI2" t="s">
        <v>71</v>
      </c>
      <c r="BJ2" t="s">
        <v>72</v>
      </c>
      <c r="BK2" t="s">
        <v>73</v>
      </c>
      <c r="BL2" t="s">
        <v>74</v>
      </c>
      <c r="BM2" t="s">
        <v>75</v>
      </c>
      <c r="BN2" t="s">
        <v>76</v>
      </c>
      <c r="BO2" t="s">
        <v>77</v>
      </c>
      <c r="BP2" t="s">
        <v>78</v>
      </c>
      <c r="BQ2" t="s">
        <v>79</v>
      </c>
      <c r="BR2" t="s">
        <v>80</v>
      </c>
      <c r="BS2" t="s">
        <v>81</v>
      </c>
      <c r="BT2" t="s">
        <v>82</v>
      </c>
      <c r="BU2" t="s">
        <v>83</v>
      </c>
      <c r="BV2" t="s">
        <v>84</v>
      </c>
      <c r="BW2" t="s">
        <v>85</v>
      </c>
      <c r="BX2" t="s">
        <v>86</v>
      </c>
      <c r="BY2" t="s">
        <v>87</v>
      </c>
      <c r="BZ2" t="s">
        <v>88</v>
      </c>
      <c r="CA2" t="s">
        <v>89</v>
      </c>
      <c r="CB2" t="s">
        <v>90</v>
      </c>
      <c r="CC2" t="s">
        <v>91</v>
      </c>
      <c r="CD2" t="s">
        <v>92</v>
      </c>
      <c r="CE2" t="s">
        <v>93</v>
      </c>
      <c r="CF2" t="s">
        <v>94</v>
      </c>
      <c r="CG2" t="s">
        <v>95</v>
      </c>
      <c r="CH2" t="s">
        <v>96</v>
      </c>
      <c r="CI2" t="s">
        <v>97</v>
      </c>
      <c r="CJ2" t="s">
        <v>98</v>
      </c>
      <c r="CK2" t="s">
        <v>99</v>
      </c>
      <c r="CL2" t="s">
        <v>100</v>
      </c>
      <c r="CM2" t="s">
        <v>101</v>
      </c>
      <c r="CN2" t="s">
        <v>102</v>
      </c>
      <c r="CO2" t="s">
        <v>103</v>
      </c>
      <c r="CP2" t="s">
        <v>104</v>
      </c>
      <c r="CQ2" t="s">
        <v>105</v>
      </c>
      <c r="CR2" t="s">
        <v>106</v>
      </c>
      <c r="CS2" t="s">
        <v>107</v>
      </c>
      <c r="CT2" t="s">
        <v>108</v>
      </c>
      <c r="CU2" t="s">
        <v>109</v>
      </c>
      <c r="CV2" t="s">
        <v>110</v>
      </c>
      <c r="CW2" t="s">
        <v>111</v>
      </c>
      <c r="CX2" t="s">
        <v>112</v>
      </c>
      <c r="CY2" t="s">
        <v>113</v>
      </c>
      <c r="CZ2" t="s">
        <v>114</v>
      </c>
      <c r="DA2" t="s">
        <v>115</v>
      </c>
      <c r="DB2" t="s">
        <v>116</v>
      </c>
      <c r="DC2" t="s">
        <v>117</v>
      </c>
    </row>
    <row r="3" spans="1:107" x14ac:dyDescent="0.45">
      <c r="A3" t="s">
        <v>19</v>
      </c>
      <c r="B3" t="s">
        <v>118</v>
      </c>
      <c r="C3" t="s">
        <v>119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120</v>
      </c>
      <c r="K3" t="s">
        <v>120</v>
      </c>
      <c r="L3" t="s">
        <v>120</v>
      </c>
      <c r="M3" t="s">
        <v>121</v>
      </c>
      <c r="N3" t="s">
        <v>122</v>
      </c>
      <c r="O3" t="s">
        <v>122</v>
      </c>
      <c r="P3" t="s">
        <v>122</v>
      </c>
      <c r="Q3" t="s">
        <v>122</v>
      </c>
      <c r="R3" t="s">
        <v>123</v>
      </c>
      <c r="S3" t="s">
        <v>123</v>
      </c>
      <c r="T3" t="s">
        <v>123</v>
      </c>
      <c r="U3" t="s">
        <v>124</v>
      </c>
      <c r="V3" t="s">
        <v>125</v>
      </c>
      <c r="W3" t="s">
        <v>19</v>
      </c>
      <c r="X3" t="s">
        <v>19</v>
      </c>
      <c r="Y3" t="s">
        <v>19</v>
      </c>
      <c r="Z3" t="s">
        <v>19</v>
      </c>
      <c r="AA3" t="s">
        <v>19</v>
      </c>
      <c r="AB3" t="s">
        <v>19</v>
      </c>
      <c r="AC3" t="s">
        <v>19</v>
      </c>
      <c r="AD3" t="s">
        <v>19</v>
      </c>
      <c r="AE3" t="s">
        <v>19</v>
      </c>
      <c r="AF3" t="s">
        <v>126</v>
      </c>
      <c r="AG3" t="s">
        <v>19</v>
      </c>
      <c r="AH3" t="s">
        <v>127</v>
      </c>
      <c r="AI3" t="s">
        <v>127</v>
      </c>
      <c r="AJ3" t="s">
        <v>128</v>
      </c>
      <c r="AK3" t="s">
        <v>128</v>
      </c>
      <c r="AL3" t="s">
        <v>128</v>
      </c>
      <c r="AM3" t="s">
        <v>122</v>
      </c>
      <c r="AN3" t="s">
        <v>129</v>
      </c>
      <c r="AO3" t="s">
        <v>129</v>
      </c>
      <c r="AP3" t="s">
        <v>127</v>
      </c>
      <c r="AQ3" t="s">
        <v>126</v>
      </c>
      <c r="AR3" t="s">
        <v>130</v>
      </c>
      <c r="AS3" t="s">
        <v>118</v>
      </c>
      <c r="AT3" t="s">
        <v>119</v>
      </c>
      <c r="AU3" t="s">
        <v>127</v>
      </c>
      <c r="AV3" t="s">
        <v>19</v>
      </c>
      <c r="AW3" t="s">
        <v>19</v>
      </c>
      <c r="AX3" t="s">
        <v>19</v>
      </c>
      <c r="AY3" t="s">
        <v>19</v>
      </c>
      <c r="AZ3" t="s">
        <v>19</v>
      </c>
      <c r="BA3" t="s">
        <v>19</v>
      </c>
      <c r="BB3" t="s">
        <v>19</v>
      </c>
      <c r="BC3" t="s">
        <v>19</v>
      </c>
      <c r="BD3" t="s">
        <v>129</v>
      </c>
      <c r="BE3" t="s">
        <v>131</v>
      </c>
      <c r="BF3" t="s">
        <v>132</v>
      </c>
      <c r="BG3" t="s">
        <v>19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19</v>
      </c>
      <c r="BN3" t="s">
        <v>19</v>
      </c>
      <c r="BO3" t="s">
        <v>19</v>
      </c>
      <c r="BP3" t="s">
        <v>126</v>
      </c>
      <c r="BQ3" t="s">
        <v>133</v>
      </c>
      <c r="BR3" t="s">
        <v>134</v>
      </c>
      <c r="BS3" t="s">
        <v>132</v>
      </c>
      <c r="BT3" t="s">
        <v>135</v>
      </c>
      <c r="BU3" t="s">
        <v>135</v>
      </c>
      <c r="BV3" t="s">
        <v>135</v>
      </c>
      <c r="BW3" t="s">
        <v>19</v>
      </c>
      <c r="BX3" t="s">
        <v>127</v>
      </c>
      <c r="BY3" t="s">
        <v>19</v>
      </c>
      <c r="BZ3" t="s">
        <v>19</v>
      </c>
      <c r="CA3" t="s">
        <v>19</v>
      </c>
      <c r="CB3" t="s">
        <v>19</v>
      </c>
      <c r="CC3" t="s">
        <v>130</v>
      </c>
      <c r="CD3" t="s">
        <v>130</v>
      </c>
      <c r="CE3" t="s">
        <v>130</v>
      </c>
      <c r="CF3" t="s">
        <v>130</v>
      </c>
      <c r="CG3" t="s">
        <v>130</v>
      </c>
      <c r="CH3" t="s">
        <v>130</v>
      </c>
      <c r="CI3" t="s">
        <v>130</v>
      </c>
      <c r="CJ3" t="s">
        <v>130</v>
      </c>
      <c r="CK3" t="s">
        <v>130</v>
      </c>
      <c r="CL3" t="s">
        <v>136</v>
      </c>
      <c r="CM3" t="s">
        <v>19</v>
      </c>
      <c r="CN3" t="s">
        <v>19</v>
      </c>
      <c r="CO3" t="s">
        <v>19</v>
      </c>
      <c r="CP3" t="s">
        <v>19</v>
      </c>
      <c r="CQ3" t="s">
        <v>19</v>
      </c>
      <c r="CR3" t="s">
        <v>19</v>
      </c>
      <c r="CS3" t="s">
        <v>19</v>
      </c>
      <c r="CT3" t="s">
        <v>19</v>
      </c>
      <c r="CU3" t="s">
        <v>19</v>
      </c>
      <c r="CV3" t="s">
        <v>19</v>
      </c>
      <c r="CW3" t="s">
        <v>19</v>
      </c>
      <c r="CX3" t="s">
        <v>19</v>
      </c>
      <c r="CY3" t="s">
        <v>19</v>
      </c>
      <c r="CZ3" t="s">
        <v>19</v>
      </c>
      <c r="DA3" t="s">
        <v>19</v>
      </c>
      <c r="DB3" t="s">
        <v>19</v>
      </c>
      <c r="DC3" t="s">
        <v>19</v>
      </c>
    </row>
    <row r="4" spans="1:107" x14ac:dyDescent="0.45">
      <c r="A4" t="s">
        <v>137</v>
      </c>
      <c r="B4" t="s">
        <v>138</v>
      </c>
      <c r="C4" t="s">
        <v>139</v>
      </c>
      <c r="D4" t="s">
        <v>76</v>
      </c>
      <c r="E4" t="s">
        <v>140</v>
      </c>
      <c r="F4" t="s">
        <v>19</v>
      </c>
      <c r="G4" t="s">
        <v>141</v>
      </c>
      <c r="H4" t="s">
        <v>19</v>
      </c>
      <c r="I4" t="s">
        <v>19</v>
      </c>
      <c r="J4">
        <f t="shared" ref="J4:J35" si="0">1/((1/L4)-(1/K4))</f>
        <v>4.8616737261269131E-2</v>
      </c>
      <c r="K4">
        <f t="shared" ref="K4:K35" si="1">BH4+(BI4*AN4)+(BJ4*AN4*POWER(V4,2))+(BK4*AN4*V4)+(BL4*POWER(AN4,2))</f>
        <v>2.9050319999999994</v>
      </c>
      <c r="L4">
        <f t="shared" ref="L4:L35" si="2">((M4/1000)*(1000-((T4+S4)/2)))/(T4-S4)</f>
        <v>4.7816511048817456E-2</v>
      </c>
      <c r="M4">
        <f t="shared" ref="M4:M35" si="3">(AN4*(S4-R4))/(100*U4*(1000-S4))*1000</f>
        <v>0.60804754384540516</v>
      </c>
      <c r="N4" t="s">
        <v>142</v>
      </c>
      <c r="O4" t="s">
        <v>143</v>
      </c>
      <c r="P4">
        <f t="shared" ref="P4:P35" si="4">0.61365*EXP((17.502*AL4)/(240.97+AL4))</f>
        <v>2.4867436927280324</v>
      </c>
      <c r="Q4">
        <f t="shared" ref="Q4:Q35" si="5">P4-N4</f>
        <v>1.2682756927280323</v>
      </c>
      <c r="R4" t="s">
        <v>144</v>
      </c>
      <c r="S4" t="s">
        <v>145</v>
      </c>
      <c r="T4">
        <f t="shared" ref="T4:T35" si="6">(P4/AM4)*1000</f>
        <v>24.478233022226917</v>
      </c>
      <c r="U4">
        <f t="shared" ref="U4:U35" si="7">V4*BG4</f>
        <v>0.4417875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151</v>
      </c>
      <c r="AC4" t="s">
        <v>151</v>
      </c>
      <c r="AD4" t="s">
        <v>152</v>
      </c>
      <c r="AE4" t="s">
        <v>153</v>
      </c>
      <c r="AF4">
        <f t="shared" ref="AF4:AF35" si="8">AC4*AD4*AE4*AQ4</f>
        <v>0</v>
      </c>
      <c r="AG4" t="s">
        <v>154</v>
      </c>
      <c r="AH4" t="s">
        <v>155</v>
      </c>
      <c r="AI4" t="s">
        <v>156</v>
      </c>
      <c r="AJ4" t="s">
        <v>157</v>
      </c>
      <c r="AK4" t="s">
        <v>158</v>
      </c>
      <c r="AL4">
        <f t="shared" ref="AL4:AL35" si="9">(AK4-AJ4)*(AJ4*0+0)+AK4</f>
        <v>20.94</v>
      </c>
      <c r="AM4" t="s">
        <v>159</v>
      </c>
      <c r="AN4" t="s">
        <v>160</v>
      </c>
      <c r="AO4" t="s">
        <v>161</v>
      </c>
      <c r="AP4" t="s">
        <v>162</v>
      </c>
      <c r="AQ4" t="s">
        <v>163</v>
      </c>
      <c r="AR4" t="s">
        <v>164</v>
      </c>
      <c r="AS4" t="s">
        <v>165</v>
      </c>
      <c r="AT4" t="s">
        <v>139</v>
      </c>
      <c r="AU4" t="s">
        <v>166</v>
      </c>
      <c r="AV4" t="s">
        <v>137</v>
      </c>
      <c r="AW4" t="s">
        <v>167</v>
      </c>
      <c r="AX4" t="s">
        <v>168</v>
      </c>
      <c r="AY4" t="s">
        <v>169</v>
      </c>
      <c r="AZ4" t="s">
        <v>170</v>
      </c>
      <c r="BA4" t="s">
        <v>171</v>
      </c>
      <c r="BB4" t="s">
        <v>169</v>
      </c>
      <c r="BC4" t="s">
        <v>137</v>
      </c>
      <c r="BD4" t="s">
        <v>172</v>
      </c>
      <c r="BE4" t="s">
        <v>169</v>
      </c>
      <c r="BF4" t="s">
        <v>173</v>
      </c>
      <c r="BG4" t="s">
        <v>174</v>
      </c>
      <c r="BH4" t="s">
        <v>151</v>
      </c>
      <c r="BI4" t="s">
        <v>175</v>
      </c>
      <c r="BJ4" t="s">
        <v>151</v>
      </c>
      <c r="BK4" t="s">
        <v>151</v>
      </c>
      <c r="BL4" t="s">
        <v>176</v>
      </c>
      <c r="BM4" t="s">
        <v>177</v>
      </c>
      <c r="BN4" t="s">
        <v>137</v>
      </c>
      <c r="BO4" t="s">
        <v>178</v>
      </c>
      <c r="BP4" t="s">
        <v>179</v>
      </c>
      <c r="BQ4" t="s">
        <v>180</v>
      </c>
      <c r="BR4" t="s">
        <v>154</v>
      </c>
      <c r="BS4" t="s">
        <v>181</v>
      </c>
      <c r="BT4" t="s">
        <v>182</v>
      </c>
      <c r="BU4" t="s">
        <v>182</v>
      </c>
      <c r="BV4" t="s">
        <v>182</v>
      </c>
      <c r="BW4" t="s">
        <v>151</v>
      </c>
      <c r="BX4" t="s">
        <v>183</v>
      </c>
      <c r="BY4" t="s">
        <v>151</v>
      </c>
      <c r="BZ4" t="s">
        <v>151</v>
      </c>
      <c r="CA4" t="s">
        <v>151</v>
      </c>
      <c r="CB4" t="s">
        <v>151</v>
      </c>
      <c r="CC4" t="s">
        <v>184</v>
      </c>
      <c r="CD4" t="s">
        <v>185</v>
      </c>
      <c r="CE4" t="s">
        <v>186</v>
      </c>
      <c r="CF4" t="s">
        <v>187</v>
      </c>
      <c r="CG4" t="s">
        <v>188</v>
      </c>
      <c r="CH4" t="s">
        <v>189</v>
      </c>
      <c r="CI4" t="s">
        <v>190</v>
      </c>
      <c r="CJ4" t="s">
        <v>191</v>
      </c>
      <c r="CK4" t="s">
        <v>148</v>
      </c>
      <c r="CL4" t="s">
        <v>192</v>
      </c>
      <c r="CM4" t="s">
        <v>193</v>
      </c>
      <c r="CN4" t="s">
        <v>194</v>
      </c>
      <c r="CO4" t="s">
        <v>154</v>
      </c>
      <c r="CP4" t="s">
        <v>195</v>
      </c>
      <c r="CQ4" t="s">
        <v>196</v>
      </c>
      <c r="CR4" t="s">
        <v>154</v>
      </c>
      <c r="CS4" t="s">
        <v>197</v>
      </c>
      <c r="CT4" t="s">
        <v>198</v>
      </c>
      <c r="CU4" t="s">
        <v>199</v>
      </c>
      <c r="CV4" t="s">
        <v>151</v>
      </c>
      <c r="CW4" t="s">
        <v>147</v>
      </c>
      <c r="CX4" t="s">
        <v>200</v>
      </c>
      <c r="CY4" t="s">
        <v>201</v>
      </c>
      <c r="CZ4" t="s">
        <v>202</v>
      </c>
      <c r="DA4" t="s">
        <v>203</v>
      </c>
      <c r="DB4" t="s">
        <v>204</v>
      </c>
      <c r="DC4" t="s">
        <v>205</v>
      </c>
    </row>
    <row r="5" spans="1:107" x14ac:dyDescent="0.45">
      <c r="A5" t="s">
        <v>206</v>
      </c>
      <c r="B5" t="s">
        <v>207</v>
      </c>
      <c r="C5" t="s">
        <v>139</v>
      </c>
      <c r="D5" t="s">
        <v>76</v>
      </c>
      <c r="E5" t="s">
        <v>140</v>
      </c>
      <c r="F5" t="s">
        <v>19</v>
      </c>
      <c r="G5" t="s">
        <v>208</v>
      </c>
      <c r="H5" t="s">
        <v>19</v>
      </c>
      <c r="I5" t="s">
        <v>19</v>
      </c>
      <c r="J5">
        <f t="shared" si="0"/>
        <v>9.7586509477177341E-2</v>
      </c>
      <c r="K5">
        <f t="shared" si="1"/>
        <v>2.9034264800000003</v>
      </c>
      <c r="L5">
        <f t="shared" si="2"/>
        <v>9.4413205374418926E-2</v>
      </c>
      <c r="M5">
        <f t="shared" si="3"/>
        <v>1.1548685202310203</v>
      </c>
      <c r="N5" t="s">
        <v>209</v>
      </c>
      <c r="O5" t="s">
        <v>210</v>
      </c>
      <c r="P5">
        <f t="shared" si="4"/>
        <v>2.5752397014653479</v>
      </c>
      <c r="Q5">
        <f t="shared" si="5"/>
        <v>1.2186747014653478</v>
      </c>
      <c r="R5" t="s">
        <v>211</v>
      </c>
      <c r="S5" t="s">
        <v>212</v>
      </c>
      <c r="T5">
        <f t="shared" si="6"/>
        <v>25.346847455367602</v>
      </c>
      <c r="U5">
        <f t="shared" si="7"/>
        <v>0.4417875</v>
      </c>
      <c r="V5" t="s">
        <v>146</v>
      </c>
      <c r="W5" t="s">
        <v>213</v>
      </c>
      <c r="X5" t="s">
        <v>214</v>
      </c>
      <c r="Y5" t="s">
        <v>215</v>
      </c>
      <c r="Z5" t="s">
        <v>216</v>
      </c>
      <c r="AA5" t="s">
        <v>151</v>
      </c>
      <c r="AB5" t="s">
        <v>151</v>
      </c>
      <c r="AC5" t="s">
        <v>151</v>
      </c>
      <c r="AD5" t="s">
        <v>152</v>
      </c>
      <c r="AE5" t="s">
        <v>153</v>
      </c>
      <c r="AF5">
        <f t="shared" si="8"/>
        <v>0</v>
      </c>
      <c r="AG5" t="s">
        <v>154</v>
      </c>
      <c r="AH5" t="s">
        <v>217</v>
      </c>
      <c r="AI5" t="s">
        <v>218</v>
      </c>
      <c r="AJ5" t="s">
        <v>219</v>
      </c>
      <c r="AK5" t="s">
        <v>220</v>
      </c>
      <c r="AL5">
        <f t="shared" si="9"/>
        <v>21.51</v>
      </c>
      <c r="AM5" t="s">
        <v>221</v>
      </c>
      <c r="AN5" t="s">
        <v>222</v>
      </c>
      <c r="AO5" t="s">
        <v>160</v>
      </c>
      <c r="AP5" t="s">
        <v>223</v>
      </c>
      <c r="AQ5" t="s">
        <v>163</v>
      </c>
      <c r="AR5" t="s">
        <v>224</v>
      </c>
      <c r="AS5" t="s">
        <v>165</v>
      </c>
      <c r="AT5" t="s">
        <v>139</v>
      </c>
      <c r="AU5" t="s">
        <v>166</v>
      </c>
      <c r="AV5" t="s">
        <v>137</v>
      </c>
      <c r="AW5" t="s">
        <v>225</v>
      </c>
      <c r="AX5" t="s">
        <v>226</v>
      </c>
      <c r="AY5" t="s">
        <v>169</v>
      </c>
      <c r="AZ5" t="s">
        <v>227</v>
      </c>
      <c r="BA5" t="s">
        <v>228</v>
      </c>
      <c r="BB5" t="s">
        <v>169</v>
      </c>
      <c r="BC5" t="s">
        <v>137</v>
      </c>
      <c r="BD5" t="s">
        <v>172</v>
      </c>
      <c r="BE5" t="s">
        <v>169</v>
      </c>
      <c r="BF5" t="s">
        <v>173</v>
      </c>
      <c r="BG5" t="s">
        <v>174</v>
      </c>
      <c r="BH5" t="s">
        <v>151</v>
      </c>
      <c r="BI5" t="s">
        <v>175</v>
      </c>
      <c r="BJ5" t="s">
        <v>151</v>
      </c>
      <c r="BK5" t="s">
        <v>151</v>
      </c>
      <c r="BL5" t="s">
        <v>176</v>
      </c>
      <c r="BM5" t="s">
        <v>177</v>
      </c>
      <c r="BN5" t="s">
        <v>137</v>
      </c>
      <c r="BO5" t="s">
        <v>178</v>
      </c>
      <c r="BP5" t="s">
        <v>179</v>
      </c>
      <c r="BQ5" t="s">
        <v>180</v>
      </c>
      <c r="BR5" t="s">
        <v>154</v>
      </c>
      <c r="BS5" t="s">
        <v>181</v>
      </c>
      <c r="BT5" t="s">
        <v>182</v>
      </c>
      <c r="BU5" t="s">
        <v>182</v>
      </c>
      <c r="BV5" t="s">
        <v>182</v>
      </c>
      <c r="BW5" t="s">
        <v>151</v>
      </c>
      <c r="BX5" t="s">
        <v>183</v>
      </c>
      <c r="BY5" t="s">
        <v>151</v>
      </c>
      <c r="BZ5" t="s">
        <v>151</v>
      </c>
      <c r="CA5" t="s">
        <v>151</v>
      </c>
      <c r="CB5" t="s">
        <v>151</v>
      </c>
      <c r="CC5" t="s">
        <v>229</v>
      </c>
      <c r="CD5" t="s">
        <v>230</v>
      </c>
      <c r="CE5" t="s">
        <v>231</v>
      </c>
      <c r="CF5" t="s">
        <v>232</v>
      </c>
      <c r="CG5" t="s">
        <v>233</v>
      </c>
      <c r="CH5" t="s">
        <v>234</v>
      </c>
      <c r="CI5" t="s">
        <v>235</v>
      </c>
      <c r="CJ5" t="s">
        <v>236</v>
      </c>
      <c r="CK5" t="s">
        <v>214</v>
      </c>
      <c r="CL5" t="s">
        <v>237</v>
      </c>
      <c r="CM5" t="s">
        <v>193</v>
      </c>
      <c r="CN5" t="s">
        <v>194</v>
      </c>
      <c r="CO5" t="s">
        <v>154</v>
      </c>
      <c r="CP5" t="s">
        <v>195</v>
      </c>
      <c r="CQ5" t="s">
        <v>196</v>
      </c>
      <c r="CR5" t="s">
        <v>154</v>
      </c>
      <c r="CS5" t="s">
        <v>197</v>
      </c>
      <c r="CT5" t="s">
        <v>198</v>
      </c>
      <c r="CU5" t="s">
        <v>199</v>
      </c>
      <c r="CV5" t="s">
        <v>151</v>
      </c>
      <c r="CW5" t="s">
        <v>213</v>
      </c>
      <c r="CX5" t="s">
        <v>200</v>
      </c>
      <c r="CY5" t="s">
        <v>201</v>
      </c>
      <c r="CZ5" t="s">
        <v>202</v>
      </c>
      <c r="DA5" t="s">
        <v>203</v>
      </c>
      <c r="DB5" t="s">
        <v>204</v>
      </c>
      <c r="DC5" t="s">
        <v>205</v>
      </c>
    </row>
    <row r="6" spans="1:107" x14ac:dyDescent="0.45">
      <c r="A6" t="s">
        <v>238</v>
      </c>
      <c r="B6" t="s">
        <v>239</v>
      </c>
      <c r="C6" t="s">
        <v>139</v>
      </c>
      <c r="D6" t="s">
        <v>76</v>
      </c>
      <c r="E6" t="s">
        <v>140</v>
      </c>
      <c r="F6" t="s">
        <v>19</v>
      </c>
      <c r="G6" t="s">
        <v>240</v>
      </c>
      <c r="H6" t="s">
        <v>19</v>
      </c>
      <c r="I6" t="s">
        <v>19</v>
      </c>
      <c r="J6">
        <f t="shared" si="0"/>
        <v>6.7746122594704486E-2</v>
      </c>
      <c r="K6">
        <f t="shared" si="1"/>
        <v>2.9050319999999994</v>
      </c>
      <c r="L6">
        <f t="shared" si="2"/>
        <v>6.6202268012442264E-2</v>
      </c>
      <c r="M6">
        <f t="shared" si="3"/>
        <v>0.79079999192966055</v>
      </c>
      <c r="N6" t="s">
        <v>241</v>
      </c>
      <c r="O6" t="s">
        <v>242</v>
      </c>
      <c r="P6">
        <f t="shared" si="4"/>
        <v>2.5005371303371713</v>
      </c>
      <c r="Q6">
        <f t="shared" si="5"/>
        <v>1.1910031303371713</v>
      </c>
      <c r="R6" t="s">
        <v>243</v>
      </c>
      <c r="S6" t="s">
        <v>244</v>
      </c>
      <c r="T6">
        <f t="shared" si="6"/>
        <v>24.609163766727399</v>
      </c>
      <c r="U6">
        <f t="shared" si="7"/>
        <v>0.4417875</v>
      </c>
      <c r="V6" t="s">
        <v>146</v>
      </c>
      <c r="W6" t="s">
        <v>245</v>
      </c>
      <c r="X6" t="s">
        <v>246</v>
      </c>
      <c r="Y6" t="s">
        <v>247</v>
      </c>
      <c r="Z6" t="s">
        <v>248</v>
      </c>
      <c r="AA6" t="s">
        <v>151</v>
      </c>
      <c r="AB6" t="s">
        <v>151</v>
      </c>
      <c r="AC6" t="s">
        <v>151</v>
      </c>
      <c r="AD6" t="s">
        <v>152</v>
      </c>
      <c r="AE6" t="s">
        <v>153</v>
      </c>
      <c r="AF6">
        <f t="shared" si="8"/>
        <v>0</v>
      </c>
      <c r="AG6" t="s">
        <v>154</v>
      </c>
      <c r="AH6" t="s">
        <v>249</v>
      </c>
      <c r="AI6" t="s">
        <v>250</v>
      </c>
      <c r="AJ6" t="s">
        <v>251</v>
      </c>
      <c r="AK6" t="s">
        <v>252</v>
      </c>
      <c r="AL6">
        <f t="shared" si="9"/>
        <v>21.03</v>
      </c>
      <c r="AM6" t="s">
        <v>253</v>
      </c>
      <c r="AN6" t="s">
        <v>160</v>
      </c>
      <c r="AO6" t="s">
        <v>254</v>
      </c>
      <c r="AP6" t="s">
        <v>255</v>
      </c>
      <c r="AQ6" t="s">
        <v>163</v>
      </c>
      <c r="AR6" t="s">
        <v>256</v>
      </c>
      <c r="AS6" t="s">
        <v>165</v>
      </c>
      <c r="AT6" t="s">
        <v>139</v>
      </c>
      <c r="AU6" t="s">
        <v>166</v>
      </c>
      <c r="AV6" t="s">
        <v>137</v>
      </c>
      <c r="AW6" t="s">
        <v>225</v>
      </c>
      <c r="AX6" t="s">
        <v>257</v>
      </c>
      <c r="AY6" t="s">
        <v>169</v>
      </c>
      <c r="AZ6" t="s">
        <v>258</v>
      </c>
      <c r="BA6" t="s">
        <v>225</v>
      </c>
      <c r="BB6" t="s">
        <v>169</v>
      </c>
      <c r="BC6" t="s">
        <v>137</v>
      </c>
      <c r="BD6" t="s">
        <v>172</v>
      </c>
      <c r="BE6" t="s">
        <v>169</v>
      </c>
      <c r="BF6" t="s">
        <v>173</v>
      </c>
      <c r="BG6" t="s">
        <v>174</v>
      </c>
      <c r="BH6" t="s">
        <v>151</v>
      </c>
      <c r="BI6" t="s">
        <v>175</v>
      </c>
      <c r="BJ6" t="s">
        <v>151</v>
      </c>
      <c r="BK6" t="s">
        <v>151</v>
      </c>
      <c r="BL6" t="s">
        <v>176</v>
      </c>
      <c r="BM6" t="s">
        <v>177</v>
      </c>
      <c r="BN6" t="s">
        <v>137</v>
      </c>
      <c r="BO6" t="s">
        <v>178</v>
      </c>
      <c r="BP6" t="s">
        <v>179</v>
      </c>
      <c r="BQ6" t="s">
        <v>180</v>
      </c>
      <c r="BR6" t="s">
        <v>154</v>
      </c>
      <c r="BS6" t="s">
        <v>181</v>
      </c>
      <c r="BT6" t="s">
        <v>182</v>
      </c>
      <c r="BU6" t="s">
        <v>182</v>
      </c>
      <c r="BV6" t="s">
        <v>182</v>
      </c>
      <c r="BW6" t="s">
        <v>151</v>
      </c>
      <c r="BX6" t="s">
        <v>183</v>
      </c>
      <c r="BY6" t="s">
        <v>151</v>
      </c>
      <c r="BZ6" t="s">
        <v>151</v>
      </c>
      <c r="CA6" t="s">
        <v>151</v>
      </c>
      <c r="CB6" t="s">
        <v>151</v>
      </c>
      <c r="CC6" t="s">
        <v>259</v>
      </c>
      <c r="CD6" t="s">
        <v>260</v>
      </c>
      <c r="CE6" t="s">
        <v>261</v>
      </c>
      <c r="CF6" t="s">
        <v>262</v>
      </c>
      <c r="CG6" t="s">
        <v>263</v>
      </c>
      <c r="CH6" t="s">
        <v>264</v>
      </c>
      <c r="CI6" t="s">
        <v>265</v>
      </c>
      <c r="CJ6" t="s">
        <v>266</v>
      </c>
      <c r="CK6" t="s">
        <v>246</v>
      </c>
      <c r="CL6" t="s">
        <v>267</v>
      </c>
      <c r="CM6" t="s">
        <v>193</v>
      </c>
      <c r="CN6" t="s">
        <v>194</v>
      </c>
      <c r="CO6" t="s">
        <v>154</v>
      </c>
      <c r="CP6" t="s">
        <v>195</v>
      </c>
      <c r="CQ6" t="s">
        <v>196</v>
      </c>
      <c r="CR6" t="s">
        <v>154</v>
      </c>
      <c r="CS6" t="s">
        <v>197</v>
      </c>
      <c r="CT6" t="s">
        <v>198</v>
      </c>
      <c r="CU6" t="s">
        <v>199</v>
      </c>
      <c r="CV6" t="s">
        <v>151</v>
      </c>
      <c r="CW6" t="s">
        <v>245</v>
      </c>
      <c r="CX6" t="s">
        <v>200</v>
      </c>
      <c r="CY6" t="s">
        <v>201</v>
      </c>
      <c r="CZ6" t="s">
        <v>202</v>
      </c>
      <c r="DA6" t="s">
        <v>203</v>
      </c>
      <c r="DB6" t="s">
        <v>204</v>
      </c>
      <c r="DC6" t="s">
        <v>205</v>
      </c>
    </row>
    <row r="7" spans="1:107" x14ac:dyDescent="0.45">
      <c r="A7" t="s">
        <v>268</v>
      </c>
      <c r="B7" t="s">
        <v>269</v>
      </c>
      <c r="C7" t="s">
        <v>139</v>
      </c>
      <c r="D7" t="s">
        <v>76</v>
      </c>
      <c r="E7" t="s">
        <v>140</v>
      </c>
      <c r="F7" t="s">
        <v>19</v>
      </c>
      <c r="G7" t="s">
        <v>270</v>
      </c>
      <c r="H7" t="s">
        <v>19</v>
      </c>
      <c r="I7" t="s">
        <v>19</v>
      </c>
      <c r="J7">
        <f t="shared" si="0"/>
        <v>0.32323100244142045</v>
      </c>
      <c r="K7">
        <f t="shared" si="1"/>
        <v>2.9042299199999997</v>
      </c>
      <c r="L7">
        <f t="shared" si="2"/>
        <v>0.29085933832216826</v>
      </c>
      <c r="M7">
        <f t="shared" si="3"/>
        <v>2.8053214234491506</v>
      </c>
      <c r="N7" t="s">
        <v>271</v>
      </c>
      <c r="O7" t="s">
        <v>272</v>
      </c>
      <c r="P7">
        <f t="shared" si="4"/>
        <v>2.4202639165194331</v>
      </c>
      <c r="Q7">
        <f t="shared" si="5"/>
        <v>0.96137291651943313</v>
      </c>
      <c r="R7" t="s">
        <v>273</v>
      </c>
      <c r="S7" t="s">
        <v>274</v>
      </c>
      <c r="T7">
        <f t="shared" si="6"/>
        <v>23.816806893519317</v>
      </c>
      <c r="U7">
        <f t="shared" si="7"/>
        <v>0.4417875</v>
      </c>
      <c r="V7" t="s">
        <v>146</v>
      </c>
      <c r="W7" t="s">
        <v>275</v>
      </c>
      <c r="X7" t="s">
        <v>276</v>
      </c>
      <c r="Y7" t="s">
        <v>277</v>
      </c>
      <c r="Z7" t="s">
        <v>278</v>
      </c>
      <c r="AA7" t="s">
        <v>151</v>
      </c>
      <c r="AB7" t="s">
        <v>151</v>
      </c>
      <c r="AC7" t="s">
        <v>151</v>
      </c>
      <c r="AD7" t="s">
        <v>152</v>
      </c>
      <c r="AE7" t="s">
        <v>153</v>
      </c>
      <c r="AF7">
        <f t="shared" si="8"/>
        <v>0</v>
      </c>
      <c r="AG7" t="s">
        <v>154</v>
      </c>
      <c r="AH7" t="s">
        <v>279</v>
      </c>
      <c r="AI7" t="s">
        <v>280</v>
      </c>
      <c r="AJ7" t="s">
        <v>281</v>
      </c>
      <c r="AK7" t="s">
        <v>282</v>
      </c>
      <c r="AL7">
        <f t="shared" si="9"/>
        <v>20.5</v>
      </c>
      <c r="AM7" t="s">
        <v>283</v>
      </c>
      <c r="AN7" t="s">
        <v>284</v>
      </c>
      <c r="AO7" t="s">
        <v>285</v>
      </c>
      <c r="AP7" t="s">
        <v>286</v>
      </c>
      <c r="AQ7" t="s">
        <v>163</v>
      </c>
      <c r="AR7" t="s">
        <v>287</v>
      </c>
      <c r="AS7" t="s">
        <v>165</v>
      </c>
      <c r="AT7" t="s">
        <v>139</v>
      </c>
      <c r="AU7" t="s">
        <v>166</v>
      </c>
      <c r="AV7" t="s">
        <v>137</v>
      </c>
      <c r="AW7" t="s">
        <v>288</v>
      </c>
      <c r="AX7" t="s">
        <v>289</v>
      </c>
      <c r="AY7" t="s">
        <v>169</v>
      </c>
      <c r="AZ7" t="s">
        <v>290</v>
      </c>
      <c r="BA7" t="s">
        <v>291</v>
      </c>
      <c r="BB7" t="s">
        <v>169</v>
      </c>
      <c r="BC7" t="s">
        <v>137</v>
      </c>
      <c r="BD7" t="s">
        <v>172</v>
      </c>
      <c r="BE7" t="s">
        <v>169</v>
      </c>
      <c r="BF7" t="s">
        <v>173</v>
      </c>
      <c r="BG7" t="s">
        <v>174</v>
      </c>
      <c r="BH7" t="s">
        <v>151</v>
      </c>
      <c r="BI7" t="s">
        <v>175</v>
      </c>
      <c r="BJ7" t="s">
        <v>151</v>
      </c>
      <c r="BK7" t="s">
        <v>151</v>
      </c>
      <c r="BL7" t="s">
        <v>176</v>
      </c>
      <c r="BM7" t="s">
        <v>177</v>
      </c>
      <c r="BN7" t="s">
        <v>137</v>
      </c>
      <c r="BO7" t="s">
        <v>178</v>
      </c>
      <c r="BP7" t="s">
        <v>179</v>
      </c>
      <c r="BQ7" t="s">
        <v>180</v>
      </c>
      <c r="BR7" t="s">
        <v>154</v>
      </c>
      <c r="BS7" t="s">
        <v>181</v>
      </c>
      <c r="BT7" t="s">
        <v>182</v>
      </c>
      <c r="BU7" t="s">
        <v>182</v>
      </c>
      <c r="BV7" t="s">
        <v>182</v>
      </c>
      <c r="BW7" t="s">
        <v>151</v>
      </c>
      <c r="BX7" t="s">
        <v>183</v>
      </c>
      <c r="BY7" t="s">
        <v>151</v>
      </c>
      <c r="BZ7" t="s">
        <v>151</v>
      </c>
      <c r="CA7" t="s">
        <v>151</v>
      </c>
      <c r="CB7" t="s">
        <v>151</v>
      </c>
      <c r="CC7" t="s">
        <v>292</v>
      </c>
      <c r="CD7" t="s">
        <v>293</v>
      </c>
      <c r="CE7" t="s">
        <v>294</v>
      </c>
      <c r="CF7" t="s">
        <v>295</v>
      </c>
      <c r="CG7" t="s">
        <v>296</v>
      </c>
      <c r="CH7" t="s">
        <v>297</v>
      </c>
      <c r="CI7" t="s">
        <v>298</v>
      </c>
      <c r="CJ7" t="s">
        <v>299</v>
      </c>
      <c r="CK7" t="s">
        <v>276</v>
      </c>
      <c r="CL7" t="s">
        <v>192</v>
      </c>
      <c r="CM7" t="s">
        <v>193</v>
      </c>
      <c r="CN7" t="s">
        <v>194</v>
      </c>
      <c r="CO7" t="s">
        <v>154</v>
      </c>
      <c r="CP7" t="s">
        <v>195</v>
      </c>
      <c r="CQ7" t="s">
        <v>196</v>
      </c>
      <c r="CR7" t="s">
        <v>154</v>
      </c>
      <c r="CS7" t="s">
        <v>197</v>
      </c>
      <c r="CT7" t="s">
        <v>198</v>
      </c>
      <c r="CU7" t="s">
        <v>199</v>
      </c>
      <c r="CV7" t="s">
        <v>151</v>
      </c>
      <c r="CW7" t="s">
        <v>275</v>
      </c>
      <c r="CX7" t="s">
        <v>200</v>
      </c>
      <c r="CY7" t="s">
        <v>201</v>
      </c>
      <c r="CZ7" t="s">
        <v>202</v>
      </c>
      <c r="DA7" t="s">
        <v>203</v>
      </c>
      <c r="DB7" t="s">
        <v>204</v>
      </c>
      <c r="DC7" t="s">
        <v>205</v>
      </c>
    </row>
    <row r="8" spans="1:107" x14ac:dyDescent="0.45">
      <c r="A8" t="s">
        <v>180</v>
      </c>
      <c r="B8" t="s">
        <v>300</v>
      </c>
      <c r="C8" t="s">
        <v>139</v>
      </c>
      <c r="D8" t="s">
        <v>76</v>
      </c>
      <c r="E8" t="s">
        <v>140</v>
      </c>
      <c r="F8" t="s">
        <v>19</v>
      </c>
      <c r="G8" t="s">
        <v>301</v>
      </c>
      <c r="H8" t="s">
        <v>19</v>
      </c>
      <c r="I8" t="s">
        <v>19</v>
      </c>
      <c r="J8">
        <f t="shared" si="0"/>
        <v>4.326294996510599E-2</v>
      </c>
      <c r="K8">
        <f t="shared" si="1"/>
        <v>2.9042299199999997</v>
      </c>
      <c r="L8">
        <f t="shared" si="2"/>
        <v>4.26279415283577E-2</v>
      </c>
      <c r="M8">
        <f t="shared" si="3"/>
        <v>0.54212566409457619</v>
      </c>
      <c r="N8" t="s">
        <v>302</v>
      </c>
      <c r="O8" t="s">
        <v>303</v>
      </c>
      <c r="P8">
        <f t="shared" si="4"/>
        <v>2.6778787160859481</v>
      </c>
      <c r="Q8">
        <f t="shared" si="5"/>
        <v>1.2663737160859481</v>
      </c>
      <c r="R8" t="s">
        <v>304</v>
      </c>
      <c r="S8" t="s">
        <v>305</v>
      </c>
      <c r="T8">
        <f t="shared" si="6"/>
        <v>26.351886597972328</v>
      </c>
      <c r="U8">
        <f t="shared" si="7"/>
        <v>0.4417875</v>
      </c>
      <c r="V8" t="s">
        <v>146</v>
      </c>
      <c r="W8" t="s">
        <v>306</v>
      </c>
      <c r="X8" t="s">
        <v>307</v>
      </c>
      <c r="Y8" t="s">
        <v>308</v>
      </c>
      <c r="Z8" t="s">
        <v>309</v>
      </c>
      <c r="AA8" t="s">
        <v>151</v>
      </c>
      <c r="AB8" t="s">
        <v>151</v>
      </c>
      <c r="AC8" t="s">
        <v>151</v>
      </c>
      <c r="AD8" t="s">
        <v>152</v>
      </c>
      <c r="AE8" t="s">
        <v>153</v>
      </c>
      <c r="AF8">
        <f t="shared" si="8"/>
        <v>0</v>
      </c>
      <c r="AG8" t="s">
        <v>154</v>
      </c>
      <c r="AH8" t="s">
        <v>310</v>
      </c>
      <c r="AI8" t="s">
        <v>311</v>
      </c>
      <c r="AJ8" t="s">
        <v>312</v>
      </c>
      <c r="AK8" t="s">
        <v>313</v>
      </c>
      <c r="AL8">
        <f t="shared" si="9"/>
        <v>22.15</v>
      </c>
      <c r="AM8" t="s">
        <v>283</v>
      </c>
      <c r="AN8" t="s">
        <v>284</v>
      </c>
      <c r="AO8" t="s">
        <v>314</v>
      </c>
      <c r="AP8" t="s">
        <v>315</v>
      </c>
      <c r="AQ8" t="s">
        <v>163</v>
      </c>
      <c r="AR8" t="s">
        <v>316</v>
      </c>
      <c r="AS8" t="s">
        <v>165</v>
      </c>
      <c r="AT8" t="s">
        <v>139</v>
      </c>
      <c r="AU8" t="s">
        <v>166</v>
      </c>
      <c r="AV8" t="s">
        <v>137</v>
      </c>
      <c r="AW8" t="s">
        <v>317</v>
      </c>
      <c r="AX8" t="s">
        <v>318</v>
      </c>
      <c r="AY8" t="s">
        <v>169</v>
      </c>
      <c r="AZ8" t="s">
        <v>319</v>
      </c>
      <c r="BA8" t="s">
        <v>320</v>
      </c>
      <c r="BB8" t="s">
        <v>169</v>
      </c>
      <c r="BC8" t="s">
        <v>137</v>
      </c>
      <c r="BD8" t="s">
        <v>172</v>
      </c>
      <c r="BE8" t="s">
        <v>169</v>
      </c>
      <c r="BF8" t="s">
        <v>173</v>
      </c>
      <c r="BG8" t="s">
        <v>174</v>
      </c>
      <c r="BH8" t="s">
        <v>151</v>
      </c>
      <c r="BI8" t="s">
        <v>175</v>
      </c>
      <c r="BJ8" t="s">
        <v>151</v>
      </c>
      <c r="BK8" t="s">
        <v>151</v>
      </c>
      <c r="BL8" t="s">
        <v>176</v>
      </c>
      <c r="BM8" t="s">
        <v>177</v>
      </c>
      <c r="BN8" t="s">
        <v>137</v>
      </c>
      <c r="BO8" t="s">
        <v>178</v>
      </c>
      <c r="BP8" t="s">
        <v>179</v>
      </c>
      <c r="BQ8" t="s">
        <v>180</v>
      </c>
      <c r="BR8" t="s">
        <v>154</v>
      </c>
      <c r="BS8" t="s">
        <v>181</v>
      </c>
      <c r="BT8" t="s">
        <v>182</v>
      </c>
      <c r="BU8" t="s">
        <v>182</v>
      </c>
      <c r="BV8" t="s">
        <v>182</v>
      </c>
      <c r="BW8" t="s">
        <v>151</v>
      </c>
      <c r="BX8" t="s">
        <v>183</v>
      </c>
      <c r="BY8" t="s">
        <v>151</v>
      </c>
      <c r="BZ8" t="s">
        <v>151</v>
      </c>
      <c r="CA8" t="s">
        <v>151</v>
      </c>
      <c r="CB8" t="s">
        <v>151</v>
      </c>
      <c r="CC8" t="s">
        <v>321</v>
      </c>
      <c r="CD8" t="s">
        <v>322</v>
      </c>
      <c r="CE8" t="s">
        <v>323</v>
      </c>
      <c r="CF8" t="s">
        <v>324</v>
      </c>
      <c r="CG8" t="s">
        <v>325</v>
      </c>
      <c r="CH8" t="s">
        <v>326</v>
      </c>
      <c r="CI8" t="s">
        <v>327</v>
      </c>
      <c r="CJ8" t="s">
        <v>328</v>
      </c>
      <c r="CK8" t="s">
        <v>307</v>
      </c>
      <c r="CL8" t="s">
        <v>329</v>
      </c>
      <c r="CM8" t="s">
        <v>193</v>
      </c>
      <c r="CN8" t="s">
        <v>194</v>
      </c>
      <c r="CO8" t="s">
        <v>154</v>
      </c>
      <c r="CP8" t="s">
        <v>195</v>
      </c>
      <c r="CQ8" t="s">
        <v>196</v>
      </c>
      <c r="CR8" t="s">
        <v>154</v>
      </c>
      <c r="CS8" t="s">
        <v>197</v>
      </c>
      <c r="CT8" t="s">
        <v>198</v>
      </c>
      <c r="CU8" t="s">
        <v>199</v>
      </c>
      <c r="CV8" t="s">
        <v>151</v>
      </c>
      <c r="CW8" t="s">
        <v>306</v>
      </c>
      <c r="CX8" t="s">
        <v>200</v>
      </c>
      <c r="CY8" t="s">
        <v>201</v>
      </c>
      <c r="CZ8" t="s">
        <v>202</v>
      </c>
      <c r="DA8" t="s">
        <v>203</v>
      </c>
      <c r="DB8" t="s">
        <v>204</v>
      </c>
      <c r="DC8" t="s">
        <v>205</v>
      </c>
    </row>
    <row r="9" spans="1:107" x14ac:dyDescent="0.45">
      <c r="A9" t="s">
        <v>330</v>
      </c>
      <c r="B9" t="s">
        <v>331</v>
      </c>
      <c r="C9" t="s">
        <v>139</v>
      </c>
      <c r="D9" t="s">
        <v>76</v>
      </c>
      <c r="E9" t="s">
        <v>140</v>
      </c>
      <c r="F9" t="s">
        <v>19</v>
      </c>
      <c r="G9" t="s">
        <v>332</v>
      </c>
      <c r="H9" t="s">
        <v>19</v>
      </c>
      <c r="I9" t="s">
        <v>19</v>
      </c>
      <c r="J9">
        <f t="shared" si="0"/>
        <v>0.10804142426906763</v>
      </c>
      <c r="K9">
        <f t="shared" si="1"/>
        <v>2.9058327199999998</v>
      </c>
      <c r="L9">
        <f t="shared" si="2"/>
        <v>0.10416835299955725</v>
      </c>
      <c r="M9">
        <f t="shared" si="3"/>
        <v>1.08211944615325</v>
      </c>
      <c r="N9" t="s">
        <v>333</v>
      </c>
      <c r="O9" t="s">
        <v>334</v>
      </c>
      <c r="P9">
        <f t="shared" si="4"/>
        <v>2.453306572242393</v>
      </c>
      <c r="Q9">
        <f t="shared" si="5"/>
        <v>1.035480572242393</v>
      </c>
      <c r="R9" t="s">
        <v>335</v>
      </c>
      <c r="S9" t="s">
        <v>336</v>
      </c>
      <c r="T9">
        <f t="shared" si="6"/>
        <v>24.14196587524496</v>
      </c>
      <c r="U9">
        <f t="shared" si="7"/>
        <v>0.4417875</v>
      </c>
      <c r="V9" t="s">
        <v>146</v>
      </c>
      <c r="W9" t="s">
        <v>337</v>
      </c>
      <c r="X9" t="s">
        <v>338</v>
      </c>
      <c r="Y9" t="s">
        <v>339</v>
      </c>
      <c r="Z9" t="s">
        <v>340</v>
      </c>
      <c r="AA9" t="s">
        <v>151</v>
      </c>
      <c r="AB9" t="s">
        <v>151</v>
      </c>
      <c r="AC9" t="s">
        <v>151</v>
      </c>
      <c r="AD9" t="s">
        <v>152</v>
      </c>
      <c r="AE9" t="s">
        <v>153</v>
      </c>
      <c r="AF9">
        <f t="shared" si="8"/>
        <v>0</v>
      </c>
      <c r="AG9" t="s">
        <v>154</v>
      </c>
      <c r="AH9" t="s">
        <v>341</v>
      </c>
      <c r="AI9" t="s">
        <v>342</v>
      </c>
      <c r="AJ9" t="s">
        <v>343</v>
      </c>
      <c r="AK9" t="s">
        <v>344</v>
      </c>
      <c r="AL9">
        <f t="shared" si="9"/>
        <v>20.72</v>
      </c>
      <c r="AM9" t="s">
        <v>283</v>
      </c>
      <c r="AN9" t="s">
        <v>345</v>
      </c>
      <c r="AO9" t="s">
        <v>346</v>
      </c>
      <c r="AP9" t="s">
        <v>347</v>
      </c>
      <c r="AQ9" t="s">
        <v>163</v>
      </c>
      <c r="AR9" t="s">
        <v>316</v>
      </c>
      <c r="AS9" t="s">
        <v>165</v>
      </c>
      <c r="AT9" t="s">
        <v>139</v>
      </c>
      <c r="AU9" t="s">
        <v>166</v>
      </c>
      <c r="AV9" t="s">
        <v>137</v>
      </c>
      <c r="AW9" t="s">
        <v>348</v>
      </c>
      <c r="AX9" t="s">
        <v>349</v>
      </c>
      <c r="AY9" t="s">
        <v>169</v>
      </c>
      <c r="AZ9" t="s">
        <v>350</v>
      </c>
      <c r="BA9" t="s">
        <v>351</v>
      </c>
      <c r="BB9" t="s">
        <v>169</v>
      </c>
      <c r="BC9" t="s">
        <v>137</v>
      </c>
      <c r="BD9" t="s">
        <v>172</v>
      </c>
      <c r="BE9" t="s">
        <v>169</v>
      </c>
      <c r="BF9" t="s">
        <v>173</v>
      </c>
      <c r="BG9" t="s">
        <v>174</v>
      </c>
      <c r="BH9" t="s">
        <v>151</v>
      </c>
      <c r="BI9" t="s">
        <v>175</v>
      </c>
      <c r="BJ9" t="s">
        <v>151</v>
      </c>
      <c r="BK9" t="s">
        <v>151</v>
      </c>
      <c r="BL9" t="s">
        <v>176</v>
      </c>
      <c r="BM9" t="s">
        <v>177</v>
      </c>
      <c r="BN9" t="s">
        <v>137</v>
      </c>
      <c r="BO9" t="s">
        <v>178</v>
      </c>
      <c r="BP9" t="s">
        <v>179</v>
      </c>
      <c r="BQ9" t="s">
        <v>180</v>
      </c>
      <c r="BR9" t="s">
        <v>154</v>
      </c>
      <c r="BS9" t="s">
        <v>181</v>
      </c>
      <c r="BT9" t="s">
        <v>182</v>
      </c>
      <c r="BU9" t="s">
        <v>182</v>
      </c>
      <c r="BV9" t="s">
        <v>182</v>
      </c>
      <c r="BW9" t="s">
        <v>151</v>
      </c>
      <c r="BX9" t="s">
        <v>183</v>
      </c>
      <c r="BY9" t="s">
        <v>151</v>
      </c>
      <c r="BZ9" t="s">
        <v>151</v>
      </c>
      <c r="CA9" t="s">
        <v>151</v>
      </c>
      <c r="CB9" t="s">
        <v>151</v>
      </c>
      <c r="CC9" t="s">
        <v>352</v>
      </c>
      <c r="CD9" t="s">
        <v>353</v>
      </c>
      <c r="CE9" t="s">
        <v>354</v>
      </c>
      <c r="CF9" t="s">
        <v>355</v>
      </c>
      <c r="CG9" t="s">
        <v>356</v>
      </c>
      <c r="CH9" t="s">
        <v>357</v>
      </c>
      <c r="CI9" t="s">
        <v>358</v>
      </c>
      <c r="CJ9" t="s">
        <v>299</v>
      </c>
      <c r="CK9" t="s">
        <v>338</v>
      </c>
      <c r="CL9" t="s">
        <v>359</v>
      </c>
      <c r="CM9" t="s">
        <v>193</v>
      </c>
      <c r="CN9" t="s">
        <v>194</v>
      </c>
      <c r="CO9" t="s">
        <v>154</v>
      </c>
      <c r="CP9" t="s">
        <v>195</v>
      </c>
      <c r="CQ9" t="s">
        <v>196</v>
      </c>
      <c r="CR9" t="s">
        <v>154</v>
      </c>
      <c r="CS9" t="s">
        <v>197</v>
      </c>
      <c r="CT9" t="s">
        <v>198</v>
      </c>
      <c r="CU9" t="s">
        <v>199</v>
      </c>
      <c r="CV9" t="s">
        <v>151</v>
      </c>
      <c r="CW9" t="s">
        <v>337</v>
      </c>
      <c r="CX9" t="s">
        <v>200</v>
      </c>
      <c r="CY9" t="s">
        <v>201</v>
      </c>
      <c r="CZ9" t="s">
        <v>202</v>
      </c>
      <c r="DA9" t="s">
        <v>203</v>
      </c>
      <c r="DB9" t="s">
        <v>204</v>
      </c>
      <c r="DC9" t="s">
        <v>205</v>
      </c>
    </row>
    <row r="10" spans="1:107" x14ac:dyDescent="0.45">
      <c r="A10" t="s">
        <v>360</v>
      </c>
      <c r="B10" t="s">
        <v>361</v>
      </c>
      <c r="C10" t="s">
        <v>139</v>
      </c>
      <c r="D10" t="s">
        <v>76</v>
      </c>
      <c r="E10" t="s">
        <v>140</v>
      </c>
      <c r="F10" t="s">
        <v>19</v>
      </c>
      <c r="G10" t="s">
        <v>362</v>
      </c>
      <c r="H10" t="s">
        <v>19</v>
      </c>
      <c r="I10" t="s">
        <v>19</v>
      </c>
      <c r="J10">
        <f t="shared" si="0"/>
        <v>5.452028745983438E-2</v>
      </c>
      <c r="K10">
        <f t="shared" si="1"/>
        <v>2.9034264800000003</v>
      </c>
      <c r="L10">
        <f t="shared" si="2"/>
        <v>5.3515380347440467E-2</v>
      </c>
      <c r="M10">
        <f t="shared" si="3"/>
        <v>0.60861770296742967</v>
      </c>
      <c r="N10" t="s">
        <v>363</v>
      </c>
      <c r="O10" t="s">
        <v>364</v>
      </c>
      <c r="P10">
        <f t="shared" si="4"/>
        <v>2.5705141988099327</v>
      </c>
      <c r="Q10">
        <f t="shared" si="5"/>
        <v>1.1330581988099326</v>
      </c>
      <c r="R10" t="s">
        <v>365</v>
      </c>
      <c r="S10" t="s">
        <v>366</v>
      </c>
      <c r="T10">
        <f t="shared" si="6"/>
        <v>25.292868235854893</v>
      </c>
      <c r="U10">
        <f t="shared" si="7"/>
        <v>0.4417875</v>
      </c>
      <c r="V10" t="s">
        <v>146</v>
      </c>
      <c r="W10" t="s">
        <v>367</v>
      </c>
      <c r="X10" t="s">
        <v>368</v>
      </c>
      <c r="Y10" t="s">
        <v>369</v>
      </c>
      <c r="Z10" t="s">
        <v>370</v>
      </c>
      <c r="AA10" t="s">
        <v>151</v>
      </c>
      <c r="AB10" t="s">
        <v>151</v>
      </c>
      <c r="AC10" t="s">
        <v>151</v>
      </c>
      <c r="AD10" t="s">
        <v>152</v>
      </c>
      <c r="AE10" t="s">
        <v>153</v>
      </c>
      <c r="AF10">
        <f t="shared" si="8"/>
        <v>0</v>
      </c>
      <c r="AG10" t="s">
        <v>154</v>
      </c>
      <c r="AH10" t="s">
        <v>371</v>
      </c>
      <c r="AI10" t="s">
        <v>372</v>
      </c>
      <c r="AJ10" t="s">
        <v>373</v>
      </c>
      <c r="AK10" t="s">
        <v>374</v>
      </c>
      <c r="AL10">
        <f t="shared" si="9"/>
        <v>21.48</v>
      </c>
      <c r="AM10" t="s">
        <v>375</v>
      </c>
      <c r="AN10" t="s">
        <v>222</v>
      </c>
      <c r="AO10" t="s">
        <v>284</v>
      </c>
      <c r="AP10" t="s">
        <v>223</v>
      </c>
      <c r="AQ10" t="s">
        <v>163</v>
      </c>
      <c r="AR10" t="s">
        <v>376</v>
      </c>
      <c r="AS10" t="s">
        <v>165</v>
      </c>
      <c r="AT10" t="s">
        <v>139</v>
      </c>
      <c r="AU10" t="s">
        <v>166</v>
      </c>
      <c r="AV10" t="s">
        <v>137</v>
      </c>
      <c r="AW10" t="s">
        <v>318</v>
      </c>
      <c r="AX10" t="s">
        <v>257</v>
      </c>
      <c r="AY10" t="s">
        <v>169</v>
      </c>
      <c r="AZ10" t="s">
        <v>377</v>
      </c>
      <c r="BA10" t="s">
        <v>378</v>
      </c>
      <c r="BB10" t="s">
        <v>169</v>
      </c>
      <c r="BC10" t="s">
        <v>137</v>
      </c>
      <c r="BD10" t="s">
        <v>172</v>
      </c>
      <c r="BE10" t="s">
        <v>169</v>
      </c>
      <c r="BF10" t="s">
        <v>173</v>
      </c>
      <c r="BG10" t="s">
        <v>174</v>
      </c>
      <c r="BH10" t="s">
        <v>151</v>
      </c>
      <c r="BI10" t="s">
        <v>175</v>
      </c>
      <c r="BJ10" t="s">
        <v>151</v>
      </c>
      <c r="BK10" t="s">
        <v>151</v>
      </c>
      <c r="BL10" t="s">
        <v>176</v>
      </c>
      <c r="BM10" t="s">
        <v>177</v>
      </c>
      <c r="BN10" t="s">
        <v>137</v>
      </c>
      <c r="BO10" t="s">
        <v>178</v>
      </c>
      <c r="BP10" t="s">
        <v>179</v>
      </c>
      <c r="BQ10" t="s">
        <v>180</v>
      </c>
      <c r="BR10" t="s">
        <v>154</v>
      </c>
      <c r="BS10" t="s">
        <v>181</v>
      </c>
      <c r="BT10" t="s">
        <v>182</v>
      </c>
      <c r="BU10" t="s">
        <v>182</v>
      </c>
      <c r="BV10" t="s">
        <v>182</v>
      </c>
      <c r="BW10" t="s">
        <v>151</v>
      </c>
      <c r="BX10" t="s">
        <v>183</v>
      </c>
      <c r="BY10" t="s">
        <v>151</v>
      </c>
      <c r="BZ10" t="s">
        <v>151</v>
      </c>
      <c r="CA10" t="s">
        <v>151</v>
      </c>
      <c r="CB10" t="s">
        <v>151</v>
      </c>
      <c r="CC10" t="s">
        <v>379</v>
      </c>
      <c r="CD10" t="s">
        <v>380</v>
      </c>
      <c r="CE10" t="s">
        <v>381</v>
      </c>
      <c r="CF10" t="s">
        <v>382</v>
      </c>
      <c r="CG10" t="s">
        <v>383</v>
      </c>
      <c r="CH10" t="s">
        <v>384</v>
      </c>
      <c r="CI10" t="s">
        <v>385</v>
      </c>
      <c r="CJ10" t="s">
        <v>386</v>
      </c>
      <c r="CK10" t="s">
        <v>368</v>
      </c>
      <c r="CL10" t="s">
        <v>267</v>
      </c>
      <c r="CM10" t="s">
        <v>193</v>
      </c>
      <c r="CN10" t="s">
        <v>194</v>
      </c>
      <c r="CO10" t="s">
        <v>154</v>
      </c>
      <c r="CP10" t="s">
        <v>195</v>
      </c>
      <c r="CQ10" t="s">
        <v>196</v>
      </c>
      <c r="CR10" t="s">
        <v>154</v>
      </c>
      <c r="CS10" t="s">
        <v>197</v>
      </c>
      <c r="CT10" t="s">
        <v>198</v>
      </c>
      <c r="CU10" t="s">
        <v>199</v>
      </c>
      <c r="CV10" t="s">
        <v>151</v>
      </c>
      <c r="CW10" t="s">
        <v>367</v>
      </c>
      <c r="CX10" t="s">
        <v>200</v>
      </c>
      <c r="CY10" t="s">
        <v>201</v>
      </c>
      <c r="CZ10" t="s">
        <v>202</v>
      </c>
      <c r="DA10" t="s">
        <v>203</v>
      </c>
      <c r="DB10" t="s">
        <v>204</v>
      </c>
      <c r="DC10" t="s">
        <v>205</v>
      </c>
    </row>
    <row r="11" spans="1:107" x14ac:dyDescent="0.45">
      <c r="A11" t="s">
        <v>387</v>
      </c>
      <c r="B11" t="s">
        <v>388</v>
      </c>
      <c r="C11" t="s">
        <v>139</v>
      </c>
      <c r="D11" t="s">
        <v>76</v>
      </c>
      <c r="E11" t="s">
        <v>140</v>
      </c>
      <c r="F11" t="s">
        <v>19</v>
      </c>
      <c r="G11" t="s">
        <v>389</v>
      </c>
      <c r="H11" t="s">
        <v>19</v>
      </c>
      <c r="I11" t="s">
        <v>19</v>
      </c>
      <c r="J11">
        <f t="shared" si="0"/>
        <v>4.5269562304619301E-2</v>
      </c>
      <c r="K11">
        <f t="shared" si="1"/>
        <v>2.9066320800000001</v>
      </c>
      <c r="L11">
        <f t="shared" si="2"/>
        <v>4.4575320585355301E-2</v>
      </c>
      <c r="M11">
        <f t="shared" si="3"/>
        <v>0.54007360505929625</v>
      </c>
      <c r="N11" t="s">
        <v>390</v>
      </c>
      <c r="O11" t="s">
        <v>391</v>
      </c>
      <c r="P11">
        <f t="shared" si="4"/>
        <v>2.6197124699921552</v>
      </c>
      <c r="Q11">
        <f t="shared" si="5"/>
        <v>1.2068834699921553</v>
      </c>
      <c r="R11" t="s">
        <v>392</v>
      </c>
      <c r="S11" t="s">
        <v>393</v>
      </c>
      <c r="T11">
        <f t="shared" si="6"/>
        <v>25.776960247881092</v>
      </c>
      <c r="U11">
        <f t="shared" si="7"/>
        <v>0.4417875</v>
      </c>
      <c r="V11" t="s">
        <v>146</v>
      </c>
      <c r="W11" t="s">
        <v>394</v>
      </c>
      <c r="X11" t="s">
        <v>395</v>
      </c>
      <c r="Y11" t="s">
        <v>396</v>
      </c>
      <c r="Z11" t="s">
        <v>397</v>
      </c>
      <c r="AA11" t="s">
        <v>151</v>
      </c>
      <c r="AB11" t="s">
        <v>151</v>
      </c>
      <c r="AC11" t="s">
        <v>151</v>
      </c>
      <c r="AD11" t="s">
        <v>152</v>
      </c>
      <c r="AE11" t="s">
        <v>153</v>
      </c>
      <c r="AF11">
        <f t="shared" si="8"/>
        <v>0</v>
      </c>
      <c r="AG11" t="s">
        <v>154</v>
      </c>
      <c r="AH11" t="s">
        <v>398</v>
      </c>
      <c r="AI11" t="s">
        <v>399</v>
      </c>
      <c r="AJ11" t="s">
        <v>343</v>
      </c>
      <c r="AK11" t="s">
        <v>400</v>
      </c>
      <c r="AL11">
        <f t="shared" si="9"/>
        <v>21.79</v>
      </c>
      <c r="AM11" t="s">
        <v>375</v>
      </c>
      <c r="AN11" t="s">
        <v>401</v>
      </c>
      <c r="AO11" t="s">
        <v>402</v>
      </c>
      <c r="AP11" t="s">
        <v>403</v>
      </c>
      <c r="AQ11" t="s">
        <v>163</v>
      </c>
      <c r="AR11" t="s">
        <v>404</v>
      </c>
      <c r="AS11" t="s">
        <v>165</v>
      </c>
      <c r="AT11" t="s">
        <v>139</v>
      </c>
      <c r="AU11" t="s">
        <v>166</v>
      </c>
      <c r="AV11" t="s">
        <v>137</v>
      </c>
      <c r="AW11" t="s">
        <v>351</v>
      </c>
      <c r="AX11" t="s">
        <v>405</v>
      </c>
      <c r="AY11" t="s">
        <v>169</v>
      </c>
      <c r="AZ11" t="s">
        <v>406</v>
      </c>
      <c r="BA11" t="s">
        <v>407</v>
      </c>
      <c r="BB11" t="s">
        <v>169</v>
      </c>
      <c r="BC11" t="s">
        <v>137</v>
      </c>
      <c r="BD11" t="s">
        <v>172</v>
      </c>
      <c r="BE11" t="s">
        <v>169</v>
      </c>
      <c r="BF11" t="s">
        <v>173</v>
      </c>
      <c r="BG11" t="s">
        <v>174</v>
      </c>
      <c r="BH11" t="s">
        <v>151</v>
      </c>
      <c r="BI11" t="s">
        <v>175</v>
      </c>
      <c r="BJ11" t="s">
        <v>151</v>
      </c>
      <c r="BK11" t="s">
        <v>151</v>
      </c>
      <c r="BL11" t="s">
        <v>176</v>
      </c>
      <c r="BM11" t="s">
        <v>177</v>
      </c>
      <c r="BN11" t="s">
        <v>137</v>
      </c>
      <c r="BO11" t="s">
        <v>178</v>
      </c>
      <c r="BP11" t="s">
        <v>179</v>
      </c>
      <c r="BQ11" t="s">
        <v>180</v>
      </c>
      <c r="BR11" t="s">
        <v>154</v>
      </c>
      <c r="BS11" t="s">
        <v>181</v>
      </c>
      <c r="BT11" t="s">
        <v>182</v>
      </c>
      <c r="BU11" t="s">
        <v>182</v>
      </c>
      <c r="BV11" t="s">
        <v>182</v>
      </c>
      <c r="BW11" t="s">
        <v>151</v>
      </c>
      <c r="BX11" t="s">
        <v>183</v>
      </c>
      <c r="BY11" t="s">
        <v>151</v>
      </c>
      <c r="BZ11" t="s">
        <v>151</v>
      </c>
      <c r="CA11" t="s">
        <v>151</v>
      </c>
      <c r="CB11" t="s">
        <v>151</v>
      </c>
      <c r="CC11" t="s">
        <v>408</v>
      </c>
      <c r="CD11" t="s">
        <v>409</v>
      </c>
      <c r="CE11" t="s">
        <v>410</v>
      </c>
      <c r="CF11" t="s">
        <v>411</v>
      </c>
      <c r="CG11" t="s">
        <v>412</v>
      </c>
      <c r="CH11" t="s">
        <v>413</v>
      </c>
      <c r="CI11" t="s">
        <v>414</v>
      </c>
      <c r="CJ11" t="s">
        <v>415</v>
      </c>
      <c r="CK11" t="s">
        <v>395</v>
      </c>
      <c r="CL11" t="s">
        <v>416</v>
      </c>
      <c r="CM11" t="s">
        <v>193</v>
      </c>
      <c r="CN11" t="s">
        <v>194</v>
      </c>
      <c r="CO11" t="s">
        <v>154</v>
      </c>
      <c r="CP11" t="s">
        <v>195</v>
      </c>
      <c r="CQ11" t="s">
        <v>196</v>
      </c>
      <c r="CR11" t="s">
        <v>154</v>
      </c>
      <c r="CS11" t="s">
        <v>197</v>
      </c>
      <c r="CT11" t="s">
        <v>198</v>
      </c>
      <c r="CU11" t="s">
        <v>199</v>
      </c>
      <c r="CV11" t="s">
        <v>151</v>
      </c>
      <c r="CW11" t="s">
        <v>394</v>
      </c>
      <c r="CX11" t="s">
        <v>200</v>
      </c>
      <c r="CY11" t="s">
        <v>201</v>
      </c>
      <c r="CZ11" t="s">
        <v>202</v>
      </c>
      <c r="DA11" t="s">
        <v>203</v>
      </c>
      <c r="DB11" t="s">
        <v>204</v>
      </c>
      <c r="DC11" t="s">
        <v>205</v>
      </c>
    </row>
    <row r="12" spans="1:107" x14ac:dyDescent="0.45">
      <c r="A12" t="s">
        <v>417</v>
      </c>
      <c r="B12" t="s">
        <v>418</v>
      </c>
      <c r="C12" t="s">
        <v>139</v>
      </c>
      <c r="D12" t="s">
        <v>76</v>
      </c>
      <c r="E12" t="s">
        <v>140</v>
      </c>
      <c r="F12" t="s">
        <v>19</v>
      </c>
      <c r="G12" t="s">
        <v>419</v>
      </c>
      <c r="H12" t="s">
        <v>19</v>
      </c>
      <c r="I12" t="s">
        <v>19</v>
      </c>
      <c r="J12">
        <f t="shared" si="0"/>
        <v>6.3723779082334175E-2</v>
      </c>
      <c r="K12">
        <f t="shared" si="1"/>
        <v>2.9042299199999997</v>
      </c>
      <c r="L12">
        <f t="shared" si="2"/>
        <v>6.2355590615718381E-2</v>
      </c>
      <c r="M12">
        <f t="shared" si="3"/>
        <v>0.66663373009031668</v>
      </c>
      <c r="N12" t="s">
        <v>420</v>
      </c>
      <c r="O12" t="s">
        <v>421</v>
      </c>
      <c r="P12">
        <f t="shared" si="4"/>
        <v>2.4959318916862445</v>
      </c>
      <c r="Q12">
        <f t="shared" si="5"/>
        <v>1.0654698916862446</v>
      </c>
      <c r="R12" t="s">
        <v>422</v>
      </c>
      <c r="S12" t="s">
        <v>423</v>
      </c>
      <c r="T12">
        <f t="shared" si="6"/>
        <v>24.559007101114286</v>
      </c>
      <c r="U12">
        <f t="shared" si="7"/>
        <v>0.4417875</v>
      </c>
      <c r="V12" t="s">
        <v>146</v>
      </c>
      <c r="W12" t="s">
        <v>424</v>
      </c>
      <c r="X12" t="s">
        <v>425</v>
      </c>
      <c r="Y12" t="s">
        <v>426</v>
      </c>
      <c r="Z12" t="s">
        <v>427</v>
      </c>
      <c r="AA12" t="s">
        <v>151</v>
      </c>
      <c r="AB12" t="s">
        <v>151</v>
      </c>
      <c r="AC12" t="s">
        <v>151</v>
      </c>
      <c r="AD12" t="s">
        <v>152</v>
      </c>
      <c r="AE12" t="s">
        <v>153</v>
      </c>
      <c r="AF12">
        <f t="shared" si="8"/>
        <v>0</v>
      </c>
      <c r="AG12" t="s">
        <v>154</v>
      </c>
      <c r="AH12" t="s">
        <v>428</v>
      </c>
      <c r="AI12" t="s">
        <v>429</v>
      </c>
      <c r="AJ12" t="s">
        <v>343</v>
      </c>
      <c r="AK12" t="s">
        <v>430</v>
      </c>
      <c r="AL12">
        <f t="shared" si="9"/>
        <v>21</v>
      </c>
      <c r="AM12" t="s">
        <v>375</v>
      </c>
      <c r="AN12" t="s">
        <v>284</v>
      </c>
      <c r="AO12" t="s">
        <v>431</v>
      </c>
      <c r="AP12" t="s">
        <v>432</v>
      </c>
      <c r="AQ12" t="s">
        <v>163</v>
      </c>
      <c r="AR12" t="s">
        <v>433</v>
      </c>
      <c r="AS12" t="s">
        <v>165</v>
      </c>
      <c r="AT12" t="s">
        <v>139</v>
      </c>
      <c r="AU12" t="s">
        <v>166</v>
      </c>
      <c r="AV12" t="s">
        <v>137</v>
      </c>
      <c r="AW12" t="s">
        <v>318</v>
      </c>
      <c r="AX12" t="s">
        <v>434</v>
      </c>
      <c r="AY12" t="s">
        <v>169</v>
      </c>
      <c r="AZ12" t="s">
        <v>435</v>
      </c>
      <c r="BA12" t="s">
        <v>436</v>
      </c>
      <c r="BB12" t="s">
        <v>169</v>
      </c>
      <c r="BC12" t="s">
        <v>137</v>
      </c>
      <c r="BD12" t="s">
        <v>172</v>
      </c>
      <c r="BE12" t="s">
        <v>169</v>
      </c>
      <c r="BF12" t="s">
        <v>173</v>
      </c>
      <c r="BG12" t="s">
        <v>174</v>
      </c>
      <c r="BH12" t="s">
        <v>151</v>
      </c>
      <c r="BI12" t="s">
        <v>175</v>
      </c>
      <c r="BJ12" t="s">
        <v>151</v>
      </c>
      <c r="BK12" t="s">
        <v>151</v>
      </c>
      <c r="BL12" t="s">
        <v>176</v>
      </c>
      <c r="BM12" t="s">
        <v>177</v>
      </c>
      <c r="BN12" t="s">
        <v>137</v>
      </c>
      <c r="BO12" t="s">
        <v>178</v>
      </c>
      <c r="BP12" t="s">
        <v>179</v>
      </c>
      <c r="BQ12" t="s">
        <v>180</v>
      </c>
      <c r="BR12" t="s">
        <v>154</v>
      </c>
      <c r="BS12" t="s">
        <v>181</v>
      </c>
      <c r="BT12" t="s">
        <v>182</v>
      </c>
      <c r="BU12" t="s">
        <v>182</v>
      </c>
      <c r="BV12" t="s">
        <v>182</v>
      </c>
      <c r="BW12" t="s">
        <v>151</v>
      </c>
      <c r="BX12" t="s">
        <v>183</v>
      </c>
      <c r="BY12" t="s">
        <v>151</v>
      </c>
      <c r="BZ12" t="s">
        <v>151</v>
      </c>
      <c r="CA12" t="s">
        <v>151</v>
      </c>
      <c r="CB12" t="s">
        <v>151</v>
      </c>
      <c r="CC12" t="s">
        <v>437</v>
      </c>
      <c r="CD12" t="s">
        <v>438</v>
      </c>
      <c r="CE12" t="s">
        <v>439</v>
      </c>
      <c r="CF12" t="s">
        <v>440</v>
      </c>
      <c r="CG12" t="s">
        <v>441</v>
      </c>
      <c r="CH12" t="s">
        <v>442</v>
      </c>
      <c r="CI12" t="s">
        <v>443</v>
      </c>
      <c r="CJ12" t="s">
        <v>444</v>
      </c>
      <c r="CK12" t="s">
        <v>425</v>
      </c>
      <c r="CL12" t="s">
        <v>445</v>
      </c>
      <c r="CM12" t="s">
        <v>193</v>
      </c>
      <c r="CN12" t="s">
        <v>194</v>
      </c>
      <c r="CO12" t="s">
        <v>154</v>
      </c>
      <c r="CP12" t="s">
        <v>195</v>
      </c>
      <c r="CQ12" t="s">
        <v>196</v>
      </c>
      <c r="CR12" t="s">
        <v>154</v>
      </c>
      <c r="CS12" t="s">
        <v>197</v>
      </c>
      <c r="CT12" t="s">
        <v>198</v>
      </c>
      <c r="CU12" t="s">
        <v>199</v>
      </c>
      <c r="CV12" t="s">
        <v>151</v>
      </c>
      <c r="CW12" t="s">
        <v>424</v>
      </c>
      <c r="CX12" t="s">
        <v>200</v>
      </c>
      <c r="CY12" t="s">
        <v>201</v>
      </c>
      <c r="CZ12" t="s">
        <v>202</v>
      </c>
      <c r="DA12" t="s">
        <v>203</v>
      </c>
      <c r="DB12" t="s">
        <v>204</v>
      </c>
      <c r="DC12" t="s">
        <v>205</v>
      </c>
    </row>
    <row r="13" spans="1:107" x14ac:dyDescent="0.45">
      <c r="A13" t="s">
        <v>446</v>
      </c>
      <c r="B13" t="s">
        <v>447</v>
      </c>
      <c r="C13" t="s">
        <v>139</v>
      </c>
      <c r="D13" t="s">
        <v>76</v>
      </c>
      <c r="E13" t="s">
        <v>140</v>
      </c>
      <c r="F13" t="s">
        <v>19</v>
      </c>
      <c r="G13" t="s">
        <v>448</v>
      </c>
      <c r="H13" t="s">
        <v>19</v>
      </c>
      <c r="I13" t="s">
        <v>19</v>
      </c>
      <c r="J13">
        <f t="shared" si="0"/>
        <v>5.2904331746671293E-2</v>
      </c>
      <c r="K13">
        <f t="shared" si="1"/>
        <v>2.9050319999999994</v>
      </c>
      <c r="L13">
        <f t="shared" si="2"/>
        <v>5.195810843296355E-2</v>
      </c>
      <c r="M13">
        <f t="shared" si="3"/>
        <v>0.61873538269352291</v>
      </c>
      <c r="N13" t="s">
        <v>449</v>
      </c>
      <c r="O13" t="s">
        <v>450</v>
      </c>
      <c r="P13">
        <f t="shared" si="4"/>
        <v>2.6373669925541123</v>
      </c>
      <c r="Q13">
        <f t="shared" si="5"/>
        <v>1.1859809925541123</v>
      </c>
      <c r="R13" t="s">
        <v>451</v>
      </c>
      <c r="S13" t="s">
        <v>452</v>
      </c>
      <c r="T13">
        <f t="shared" si="6"/>
        <v>25.948120745317908</v>
      </c>
      <c r="U13">
        <f t="shared" si="7"/>
        <v>0.4417875</v>
      </c>
      <c r="V13" t="s">
        <v>146</v>
      </c>
      <c r="W13" t="s">
        <v>453</v>
      </c>
      <c r="X13" t="s">
        <v>454</v>
      </c>
      <c r="Y13" t="s">
        <v>455</v>
      </c>
      <c r="Z13" t="s">
        <v>456</v>
      </c>
      <c r="AA13" t="s">
        <v>151</v>
      </c>
      <c r="AB13" t="s">
        <v>151</v>
      </c>
      <c r="AC13" t="s">
        <v>151</v>
      </c>
      <c r="AD13" t="s">
        <v>152</v>
      </c>
      <c r="AE13" t="s">
        <v>153</v>
      </c>
      <c r="AF13">
        <f t="shared" si="8"/>
        <v>0</v>
      </c>
      <c r="AG13" t="s">
        <v>154</v>
      </c>
      <c r="AH13" t="s">
        <v>457</v>
      </c>
      <c r="AI13" t="s">
        <v>458</v>
      </c>
      <c r="AJ13" t="s">
        <v>312</v>
      </c>
      <c r="AK13" t="s">
        <v>459</v>
      </c>
      <c r="AL13">
        <f t="shared" si="9"/>
        <v>21.9</v>
      </c>
      <c r="AM13" t="s">
        <v>460</v>
      </c>
      <c r="AN13" t="s">
        <v>160</v>
      </c>
      <c r="AO13" t="s">
        <v>284</v>
      </c>
      <c r="AP13" t="s">
        <v>461</v>
      </c>
      <c r="AQ13" t="s">
        <v>163</v>
      </c>
      <c r="AR13" t="s">
        <v>462</v>
      </c>
      <c r="AS13" t="s">
        <v>165</v>
      </c>
      <c r="AT13" t="s">
        <v>139</v>
      </c>
      <c r="AU13" t="s">
        <v>166</v>
      </c>
      <c r="AV13" t="s">
        <v>137</v>
      </c>
      <c r="AW13" t="s">
        <v>463</v>
      </c>
      <c r="AX13" t="s">
        <v>464</v>
      </c>
      <c r="AY13" t="s">
        <v>169</v>
      </c>
      <c r="AZ13" t="s">
        <v>465</v>
      </c>
      <c r="BA13" t="s">
        <v>466</v>
      </c>
      <c r="BB13" t="s">
        <v>169</v>
      </c>
      <c r="BC13" t="s">
        <v>137</v>
      </c>
      <c r="BD13" t="s">
        <v>172</v>
      </c>
      <c r="BE13" t="s">
        <v>169</v>
      </c>
      <c r="BF13" t="s">
        <v>173</v>
      </c>
      <c r="BG13" t="s">
        <v>174</v>
      </c>
      <c r="BH13" t="s">
        <v>151</v>
      </c>
      <c r="BI13" t="s">
        <v>175</v>
      </c>
      <c r="BJ13" t="s">
        <v>151</v>
      </c>
      <c r="BK13" t="s">
        <v>151</v>
      </c>
      <c r="BL13" t="s">
        <v>176</v>
      </c>
      <c r="BM13" t="s">
        <v>177</v>
      </c>
      <c r="BN13" t="s">
        <v>137</v>
      </c>
      <c r="BO13" t="s">
        <v>178</v>
      </c>
      <c r="BP13" t="s">
        <v>179</v>
      </c>
      <c r="BQ13" t="s">
        <v>180</v>
      </c>
      <c r="BR13" t="s">
        <v>154</v>
      </c>
      <c r="BS13" t="s">
        <v>181</v>
      </c>
      <c r="BT13" t="s">
        <v>182</v>
      </c>
      <c r="BU13" t="s">
        <v>182</v>
      </c>
      <c r="BV13" t="s">
        <v>182</v>
      </c>
      <c r="BW13" t="s">
        <v>151</v>
      </c>
      <c r="BX13" t="s">
        <v>183</v>
      </c>
      <c r="BY13" t="s">
        <v>151</v>
      </c>
      <c r="BZ13" t="s">
        <v>151</v>
      </c>
      <c r="CA13" t="s">
        <v>151</v>
      </c>
      <c r="CB13" t="s">
        <v>151</v>
      </c>
      <c r="CC13" t="s">
        <v>467</v>
      </c>
      <c r="CD13" t="s">
        <v>468</v>
      </c>
      <c r="CE13" t="s">
        <v>469</v>
      </c>
      <c r="CF13" t="s">
        <v>470</v>
      </c>
      <c r="CG13" t="s">
        <v>471</v>
      </c>
      <c r="CH13" t="s">
        <v>472</v>
      </c>
      <c r="CI13" t="s">
        <v>473</v>
      </c>
      <c r="CJ13" t="s">
        <v>474</v>
      </c>
      <c r="CK13" t="s">
        <v>454</v>
      </c>
      <c r="CL13" t="s">
        <v>475</v>
      </c>
      <c r="CM13" t="s">
        <v>193</v>
      </c>
      <c r="CN13" t="s">
        <v>194</v>
      </c>
      <c r="CO13" t="s">
        <v>154</v>
      </c>
      <c r="CP13" t="s">
        <v>195</v>
      </c>
      <c r="CQ13" t="s">
        <v>196</v>
      </c>
      <c r="CR13" t="s">
        <v>154</v>
      </c>
      <c r="CS13" t="s">
        <v>197</v>
      </c>
      <c r="CT13" t="s">
        <v>198</v>
      </c>
      <c r="CU13" t="s">
        <v>199</v>
      </c>
      <c r="CV13" t="s">
        <v>151</v>
      </c>
      <c r="CW13" t="s">
        <v>453</v>
      </c>
      <c r="CX13" t="s">
        <v>200</v>
      </c>
      <c r="CY13" t="s">
        <v>201</v>
      </c>
      <c r="CZ13" t="s">
        <v>202</v>
      </c>
      <c r="DA13" t="s">
        <v>203</v>
      </c>
      <c r="DB13" t="s">
        <v>204</v>
      </c>
      <c r="DC13" t="s">
        <v>205</v>
      </c>
    </row>
    <row r="14" spans="1:107" x14ac:dyDescent="0.45">
      <c r="A14" t="s">
        <v>476</v>
      </c>
      <c r="B14" t="s">
        <v>477</v>
      </c>
      <c r="C14" t="s">
        <v>139</v>
      </c>
      <c r="D14" t="s">
        <v>76</v>
      </c>
      <c r="E14" t="s">
        <v>140</v>
      </c>
      <c r="F14" t="s">
        <v>19</v>
      </c>
      <c r="G14" t="s">
        <v>478</v>
      </c>
      <c r="H14" t="s">
        <v>19</v>
      </c>
      <c r="I14" t="s">
        <v>19</v>
      </c>
      <c r="J14">
        <f t="shared" si="0"/>
        <v>3.2875247606313114E-2</v>
      </c>
      <c r="K14">
        <f t="shared" si="1"/>
        <v>2.9034264800000003</v>
      </c>
      <c r="L14">
        <f t="shared" si="2"/>
        <v>3.2507171704911304E-2</v>
      </c>
      <c r="M14">
        <f t="shared" si="3"/>
        <v>0.39516291573193985</v>
      </c>
      <c r="N14" t="s">
        <v>479</v>
      </c>
      <c r="O14" t="s">
        <v>480</v>
      </c>
      <c r="P14">
        <f t="shared" si="4"/>
        <v>2.6373669925541123</v>
      </c>
      <c r="Q14">
        <f t="shared" si="5"/>
        <v>1.2107969925541124</v>
      </c>
      <c r="R14" t="s">
        <v>481</v>
      </c>
      <c r="S14" t="s">
        <v>482</v>
      </c>
      <c r="T14">
        <f t="shared" si="6"/>
        <v>25.948120745317908</v>
      </c>
      <c r="U14">
        <f t="shared" si="7"/>
        <v>0.4417875</v>
      </c>
      <c r="V14" t="s">
        <v>146</v>
      </c>
      <c r="W14" t="s">
        <v>483</v>
      </c>
      <c r="X14" t="s">
        <v>484</v>
      </c>
      <c r="Y14" t="s">
        <v>485</v>
      </c>
      <c r="Z14" t="s">
        <v>486</v>
      </c>
      <c r="AA14" t="s">
        <v>151</v>
      </c>
      <c r="AB14" t="s">
        <v>151</v>
      </c>
      <c r="AC14" t="s">
        <v>151</v>
      </c>
      <c r="AD14" t="s">
        <v>152</v>
      </c>
      <c r="AE14" t="s">
        <v>153</v>
      </c>
      <c r="AF14">
        <f t="shared" si="8"/>
        <v>0</v>
      </c>
      <c r="AG14" t="s">
        <v>154</v>
      </c>
      <c r="AH14" t="s">
        <v>487</v>
      </c>
      <c r="AI14" t="s">
        <v>488</v>
      </c>
      <c r="AJ14" t="s">
        <v>489</v>
      </c>
      <c r="AK14" t="s">
        <v>459</v>
      </c>
      <c r="AL14">
        <f t="shared" si="9"/>
        <v>21.9</v>
      </c>
      <c r="AM14" t="s">
        <v>460</v>
      </c>
      <c r="AN14" t="s">
        <v>222</v>
      </c>
      <c r="AO14" t="s">
        <v>490</v>
      </c>
      <c r="AP14" t="s">
        <v>491</v>
      </c>
      <c r="AQ14" t="s">
        <v>163</v>
      </c>
      <c r="AR14" t="s">
        <v>492</v>
      </c>
      <c r="AS14" t="s">
        <v>165</v>
      </c>
      <c r="AT14" t="s">
        <v>139</v>
      </c>
      <c r="AU14" t="s">
        <v>166</v>
      </c>
      <c r="AV14" t="s">
        <v>137</v>
      </c>
      <c r="AW14" t="s">
        <v>493</v>
      </c>
      <c r="AX14" t="s">
        <v>494</v>
      </c>
      <c r="AY14" t="s">
        <v>227</v>
      </c>
      <c r="AZ14" t="s">
        <v>495</v>
      </c>
      <c r="BA14" t="s">
        <v>496</v>
      </c>
      <c r="BB14" t="s">
        <v>497</v>
      </c>
      <c r="BC14" t="s">
        <v>137</v>
      </c>
      <c r="BD14" t="s">
        <v>172</v>
      </c>
      <c r="BE14" t="s">
        <v>169</v>
      </c>
      <c r="BF14" t="s">
        <v>173</v>
      </c>
      <c r="BG14" t="s">
        <v>174</v>
      </c>
      <c r="BH14" t="s">
        <v>151</v>
      </c>
      <c r="BI14" t="s">
        <v>175</v>
      </c>
      <c r="BJ14" t="s">
        <v>151</v>
      </c>
      <c r="BK14" t="s">
        <v>151</v>
      </c>
      <c r="BL14" t="s">
        <v>176</v>
      </c>
      <c r="BM14" t="s">
        <v>177</v>
      </c>
      <c r="BN14" t="s">
        <v>137</v>
      </c>
      <c r="BO14" t="s">
        <v>178</v>
      </c>
      <c r="BP14" t="s">
        <v>179</v>
      </c>
      <c r="BQ14" t="s">
        <v>180</v>
      </c>
      <c r="BR14" t="s">
        <v>154</v>
      </c>
      <c r="BS14" t="s">
        <v>181</v>
      </c>
      <c r="BT14" t="s">
        <v>182</v>
      </c>
      <c r="BU14" t="s">
        <v>182</v>
      </c>
      <c r="BV14" t="s">
        <v>182</v>
      </c>
      <c r="BW14" t="s">
        <v>151</v>
      </c>
      <c r="BX14" t="s">
        <v>183</v>
      </c>
      <c r="BY14" t="s">
        <v>151</v>
      </c>
      <c r="BZ14" t="s">
        <v>151</v>
      </c>
      <c r="CA14" t="s">
        <v>151</v>
      </c>
      <c r="CB14" t="s">
        <v>151</v>
      </c>
      <c r="CC14" t="s">
        <v>498</v>
      </c>
      <c r="CD14" t="s">
        <v>499</v>
      </c>
      <c r="CE14" t="s">
        <v>500</v>
      </c>
      <c r="CF14" t="s">
        <v>501</v>
      </c>
      <c r="CG14" t="s">
        <v>502</v>
      </c>
      <c r="CH14" t="s">
        <v>503</v>
      </c>
      <c r="CI14" t="s">
        <v>504</v>
      </c>
      <c r="CJ14" t="s">
        <v>328</v>
      </c>
      <c r="CK14" t="s">
        <v>484</v>
      </c>
      <c r="CL14" t="s">
        <v>416</v>
      </c>
      <c r="CM14" t="s">
        <v>193</v>
      </c>
      <c r="CN14" t="s">
        <v>194</v>
      </c>
      <c r="CO14" t="s">
        <v>154</v>
      </c>
      <c r="CP14" t="s">
        <v>195</v>
      </c>
      <c r="CQ14" t="s">
        <v>196</v>
      </c>
      <c r="CR14" t="s">
        <v>154</v>
      </c>
      <c r="CS14" t="s">
        <v>197</v>
      </c>
      <c r="CT14" t="s">
        <v>198</v>
      </c>
      <c r="CU14" t="s">
        <v>199</v>
      </c>
      <c r="CV14" t="s">
        <v>151</v>
      </c>
      <c r="CW14" t="s">
        <v>483</v>
      </c>
      <c r="CX14" t="s">
        <v>200</v>
      </c>
      <c r="CY14" t="s">
        <v>201</v>
      </c>
      <c r="CZ14" t="s">
        <v>202</v>
      </c>
      <c r="DA14" t="s">
        <v>203</v>
      </c>
      <c r="DB14" t="s">
        <v>204</v>
      </c>
      <c r="DC14" t="s">
        <v>205</v>
      </c>
    </row>
    <row r="15" spans="1:107" x14ac:dyDescent="0.45">
      <c r="A15" t="s">
        <v>505</v>
      </c>
      <c r="B15" t="s">
        <v>506</v>
      </c>
      <c r="C15" t="s">
        <v>139</v>
      </c>
      <c r="D15" t="s">
        <v>76</v>
      </c>
      <c r="E15" t="s">
        <v>140</v>
      </c>
      <c r="F15" t="s">
        <v>19</v>
      </c>
      <c r="G15" t="s">
        <v>507</v>
      </c>
      <c r="H15" t="s">
        <v>19</v>
      </c>
      <c r="I15" t="s">
        <v>19</v>
      </c>
      <c r="J15">
        <f t="shared" si="0"/>
        <v>5.2979888217499077E-2</v>
      </c>
      <c r="K15">
        <f t="shared" si="1"/>
        <v>2.9042299199999997</v>
      </c>
      <c r="L15">
        <f t="shared" si="2"/>
        <v>5.2030727103621069E-2</v>
      </c>
      <c r="M15">
        <f t="shared" si="3"/>
        <v>0.59619069714564921</v>
      </c>
      <c r="N15" t="s">
        <v>508</v>
      </c>
      <c r="O15" t="s">
        <v>509</v>
      </c>
      <c r="P15">
        <f t="shared" si="4"/>
        <v>2.5783942604128556</v>
      </c>
      <c r="Q15">
        <f t="shared" si="5"/>
        <v>1.1417922604128556</v>
      </c>
      <c r="R15" t="s">
        <v>510</v>
      </c>
      <c r="S15" t="s">
        <v>511</v>
      </c>
      <c r="T15">
        <f t="shared" si="6"/>
        <v>25.365413284927254</v>
      </c>
      <c r="U15">
        <f t="shared" si="7"/>
        <v>0.4417875</v>
      </c>
      <c r="V15" t="s">
        <v>146</v>
      </c>
      <c r="W15" t="s">
        <v>512</v>
      </c>
      <c r="X15" t="s">
        <v>513</v>
      </c>
      <c r="Y15" t="s">
        <v>514</v>
      </c>
      <c r="Z15" t="s">
        <v>515</v>
      </c>
      <c r="AA15" t="s">
        <v>151</v>
      </c>
      <c r="AB15" t="s">
        <v>151</v>
      </c>
      <c r="AC15" t="s">
        <v>151</v>
      </c>
      <c r="AD15" t="s">
        <v>152</v>
      </c>
      <c r="AE15" t="s">
        <v>153</v>
      </c>
      <c r="AF15">
        <f t="shared" si="8"/>
        <v>0</v>
      </c>
      <c r="AG15" t="s">
        <v>154</v>
      </c>
      <c r="AH15" t="s">
        <v>516</v>
      </c>
      <c r="AI15" t="s">
        <v>341</v>
      </c>
      <c r="AJ15" t="s">
        <v>489</v>
      </c>
      <c r="AK15" t="s">
        <v>517</v>
      </c>
      <c r="AL15">
        <f t="shared" si="9"/>
        <v>21.53</v>
      </c>
      <c r="AM15" t="s">
        <v>518</v>
      </c>
      <c r="AN15" t="s">
        <v>284</v>
      </c>
      <c r="AO15" t="s">
        <v>519</v>
      </c>
      <c r="AP15" t="s">
        <v>520</v>
      </c>
      <c r="AQ15" t="s">
        <v>163</v>
      </c>
      <c r="AR15" t="s">
        <v>492</v>
      </c>
      <c r="AS15" t="s">
        <v>165</v>
      </c>
      <c r="AT15" t="s">
        <v>139</v>
      </c>
      <c r="AU15" t="s">
        <v>166</v>
      </c>
      <c r="AV15" t="s">
        <v>137</v>
      </c>
      <c r="AW15" t="s">
        <v>348</v>
      </c>
      <c r="AX15" t="s">
        <v>407</v>
      </c>
      <c r="AY15" t="s">
        <v>169</v>
      </c>
      <c r="AZ15" t="s">
        <v>521</v>
      </c>
      <c r="BA15" t="s">
        <v>522</v>
      </c>
      <c r="BB15" t="s">
        <v>169</v>
      </c>
      <c r="BC15" t="s">
        <v>137</v>
      </c>
      <c r="BD15" t="s">
        <v>172</v>
      </c>
      <c r="BE15" t="s">
        <v>169</v>
      </c>
      <c r="BF15" t="s">
        <v>173</v>
      </c>
      <c r="BG15" t="s">
        <v>174</v>
      </c>
      <c r="BH15" t="s">
        <v>151</v>
      </c>
      <c r="BI15" t="s">
        <v>175</v>
      </c>
      <c r="BJ15" t="s">
        <v>151</v>
      </c>
      <c r="BK15" t="s">
        <v>151</v>
      </c>
      <c r="BL15" t="s">
        <v>176</v>
      </c>
      <c r="BM15" t="s">
        <v>177</v>
      </c>
      <c r="BN15" t="s">
        <v>137</v>
      </c>
      <c r="BO15" t="s">
        <v>178</v>
      </c>
      <c r="BP15" t="s">
        <v>179</v>
      </c>
      <c r="BQ15" t="s">
        <v>180</v>
      </c>
      <c r="BR15" t="s">
        <v>154</v>
      </c>
      <c r="BS15" t="s">
        <v>181</v>
      </c>
      <c r="BT15" t="s">
        <v>182</v>
      </c>
      <c r="BU15" t="s">
        <v>182</v>
      </c>
      <c r="BV15" t="s">
        <v>182</v>
      </c>
      <c r="BW15" t="s">
        <v>151</v>
      </c>
      <c r="BX15" t="s">
        <v>183</v>
      </c>
      <c r="BY15" t="s">
        <v>151</v>
      </c>
      <c r="BZ15" t="s">
        <v>151</v>
      </c>
      <c r="CA15" t="s">
        <v>151</v>
      </c>
      <c r="CB15" t="s">
        <v>151</v>
      </c>
      <c r="CC15" t="s">
        <v>523</v>
      </c>
      <c r="CD15" t="s">
        <v>524</v>
      </c>
      <c r="CE15" t="s">
        <v>525</v>
      </c>
      <c r="CF15" t="s">
        <v>526</v>
      </c>
      <c r="CG15" t="s">
        <v>527</v>
      </c>
      <c r="CH15" t="s">
        <v>528</v>
      </c>
      <c r="CI15" t="s">
        <v>529</v>
      </c>
      <c r="CJ15" t="s">
        <v>266</v>
      </c>
      <c r="CK15" t="s">
        <v>513</v>
      </c>
      <c r="CL15" t="s">
        <v>530</v>
      </c>
      <c r="CM15" t="s">
        <v>193</v>
      </c>
      <c r="CN15" t="s">
        <v>194</v>
      </c>
      <c r="CO15" t="s">
        <v>154</v>
      </c>
      <c r="CP15" t="s">
        <v>195</v>
      </c>
      <c r="CQ15" t="s">
        <v>196</v>
      </c>
      <c r="CR15" t="s">
        <v>154</v>
      </c>
      <c r="CS15" t="s">
        <v>197</v>
      </c>
      <c r="CT15" t="s">
        <v>198</v>
      </c>
      <c r="CU15" t="s">
        <v>199</v>
      </c>
      <c r="CV15" t="s">
        <v>151</v>
      </c>
      <c r="CW15" t="s">
        <v>512</v>
      </c>
      <c r="CX15" t="s">
        <v>200</v>
      </c>
      <c r="CY15" t="s">
        <v>201</v>
      </c>
      <c r="CZ15" t="s">
        <v>202</v>
      </c>
      <c r="DA15" t="s">
        <v>203</v>
      </c>
      <c r="DB15" t="s">
        <v>204</v>
      </c>
      <c r="DC15" t="s">
        <v>205</v>
      </c>
    </row>
    <row r="16" spans="1:107" x14ac:dyDescent="0.45">
      <c r="A16" t="s">
        <v>531</v>
      </c>
      <c r="B16" t="s">
        <v>532</v>
      </c>
      <c r="C16" t="s">
        <v>139</v>
      </c>
      <c r="D16" t="s">
        <v>76</v>
      </c>
      <c r="E16" t="s">
        <v>140</v>
      </c>
      <c r="F16" t="s">
        <v>19</v>
      </c>
      <c r="G16" t="s">
        <v>533</v>
      </c>
      <c r="H16" t="s">
        <v>19</v>
      </c>
      <c r="I16" t="s">
        <v>19</v>
      </c>
      <c r="J16">
        <f t="shared" si="0"/>
        <v>4.7064569003594244E-2</v>
      </c>
      <c r="K16">
        <f t="shared" si="1"/>
        <v>2.9042299199999997</v>
      </c>
      <c r="L16">
        <f t="shared" si="2"/>
        <v>4.631402592368563E-2</v>
      </c>
      <c r="M16">
        <f t="shared" si="3"/>
        <v>0.53238362187479893</v>
      </c>
      <c r="N16" t="s">
        <v>534</v>
      </c>
      <c r="O16" t="s">
        <v>535</v>
      </c>
      <c r="P16">
        <f t="shared" si="4"/>
        <v>2.6133183417857859</v>
      </c>
      <c r="Q16">
        <f t="shared" si="5"/>
        <v>1.1450813417857859</v>
      </c>
      <c r="R16" t="s">
        <v>536</v>
      </c>
      <c r="S16" t="s">
        <v>537</v>
      </c>
      <c r="T16">
        <f t="shared" si="6"/>
        <v>25.708985162673741</v>
      </c>
      <c r="U16">
        <f t="shared" si="7"/>
        <v>0.4417875</v>
      </c>
      <c r="V16" t="s">
        <v>146</v>
      </c>
      <c r="W16" t="s">
        <v>538</v>
      </c>
      <c r="X16" t="s">
        <v>539</v>
      </c>
      <c r="Y16" t="s">
        <v>540</v>
      </c>
      <c r="Z16" t="s">
        <v>541</v>
      </c>
      <c r="AA16" t="s">
        <v>151</v>
      </c>
      <c r="AB16" t="s">
        <v>151</v>
      </c>
      <c r="AC16" t="s">
        <v>151</v>
      </c>
      <c r="AD16" t="s">
        <v>152</v>
      </c>
      <c r="AE16" t="s">
        <v>153</v>
      </c>
      <c r="AF16">
        <f t="shared" si="8"/>
        <v>0</v>
      </c>
      <c r="AG16" t="s">
        <v>154</v>
      </c>
      <c r="AH16" t="s">
        <v>542</v>
      </c>
      <c r="AI16" t="s">
        <v>543</v>
      </c>
      <c r="AJ16" t="s">
        <v>281</v>
      </c>
      <c r="AK16" t="s">
        <v>544</v>
      </c>
      <c r="AL16">
        <f t="shared" si="9"/>
        <v>21.75</v>
      </c>
      <c r="AM16" t="s">
        <v>518</v>
      </c>
      <c r="AN16" t="s">
        <v>284</v>
      </c>
      <c r="AO16" t="s">
        <v>545</v>
      </c>
      <c r="AP16" t="s">
        <v>546</v>
      </c>
      <c r="AQ16" t="s">
        <v>163</v>
      </c>
      <c r="AR16" t="s">
        <v>547</v>
      </c>
      <c r="AS16" t="s">
        <v>165</v>
      </c>
      <c r="AT16" t="s">
        <v>139</v>
      </c>
      <c r="AU16" t="s">
        <v>166</v>
      </c>
      <c r="AV16" t="s">
        <v>137</v>
      </c>
      <c r="AW16" t="s">
        <v>548</v>
      </c>
      <c r="AX16" t="s">
        <v>549</v>
      </c>
      <c r="AY16" t="s">
        <v>169</v>
      </c>
      <c r="AZ16" t="s">
        <v>550</v>
      </c>
      <c r="BA16" t="s">
        <v>551</v>
      </c>
      <c r="BB16" t="s">
        <v>169</v>
      </c>
      <c r="BC16" t="s">
        <v>137</v>
      </c>
      <c r="BD16" t="s">
        <v>172</v>
      </c>
      <c r="BE16" t="s">
        <v>169</v>
      </c>
      <c r="BF16" t="s">
        <v>173</v>
      </c>
      <c r="BG16" t="s">
        <v>174</v>
      </c>
      <c r="BH16" t="s">
        <v>151</v>
      </c>
      <c r="BI16" t="s">
        <v>175</v>
      </c>
      <c r="BJ16" t="s">
        <v>151</v>
      </c>
      <c r="BK16" t="s">
        <v>151</v>
      </c>
      <c r="BL16" t="s">
        <v>176</v>
      </c>
      <c r="BM16" t="s">
        <v>177</v>
      </c>
      <c r="BN16" t="s">
        <v>137</v>
      </c>
      <c r="BO16" t="s">
        <v>178</v>
      </c>
      <c r="BP16" t="s">
        <v>179</v>
      </c>
      <c r="BQ16" t="s">
        <v>180</v>
      </c>
      <c r="BR16" t="s">
        <v>154</v>
      </c>
      <c r="BS16" t="s">
        <v>181</v>
      </c>
      <c r="BT16" t="s">
        <v>182</v>
      </c>
      <c r="BU16" t="s">
        <v>182</v>
      </c>
      <c r="BV16" t="s">
        <v>182</v>
      </c>
      <c r="BW16" t="s">
        <v>151</v>
      </c>
      <c r="BX16" t="s">
        <v>183</v>
      </c>
      <c r="BY16" t="s">
        <v>151</v>
      </c>
      <c r="BZ16" t="s">
        <v>151</v>
      </c>
      <c r="CA16" t="s">
        <v>151</v>
      </c>
      <c r="CB16" t="s">
        <v>151</v>
      </c>
      <c r="CC16" t="s">
        <v>552</v>
      </c>
      <c r="CD16" t="s">
        <v>553</v>
      </c>
      <c r="CE16" t="s">
        <v>554</v>
      </c>
      <c r="CF16" t="s">
        <v>555</v>
      </c>
      <c r="CG16" t="s">
        <v>556</v>
      </c>
      <c r="CH16" t="s">
        <v>557</v>
      </c>
      <c r="CI16" t="s">
        <v>558</v>
      </c>
      <c r="CJ16" t="s">
        <v>559</v>
      </c>
      <c r="CK16" t="s">
        <v>539</v>
      </c>
      <c r="CL16" t="s">
        <v>560</v>
      </c>
      <c r="CM16" t="s">
        <v>193</v>
      </c>
      <c r="CN16" t="s">
        <v>194</v>
      </c>
      <c r="CO16" t="s">
        <v>154</v>
      </c>
      <c r="CP16" t="s">
        <v>195</v>
      </c>
      <c r="CQ16" t="s">
        <v>196</v>
      </c>
      <c r="CR16" t="s">
        <v>154</v>
      </c>
      <c r="CS16" t="s">
        <v>197</v>
      </c>
      <c r="CT16" t="s">
        <v>198</v>
      </c>
      <c r="CU16" t="s">
        <v>199</v>
      </c>
      <c r="CV16" t="s">
        <v>151</v>
      </c>
      <c r="CW16" t="s">
        <v>538</v>
      </c>
      <c r="CX16" t="s">
        <v>200</v>
      </c>
      <c r="CY16" t="s">
        <v>201</v>
      </c>
      <c r="CZ16" t="s">
        <v>202</v>
      </c>
      <c r="DA16" t="s">
        <v>203</v>
      </c>
      <c r="DB16" t="s">
        <v>204</v>
      </c>
      <c r="DC16" t="s">
        <v>205</v>
      </c>
    </row>
    <row r="17" spans="1:107" x14ac:dyDescent="0.45">
      <c r="A17" t="s">
        <v>561</v>
      </c>
      <c r="B17" t="s">
        <v>562</v>
      </c>
      <c r="C17" t="s">
        <v>139</v>
      </c>
      <c r="D17" t="s">
        <v>76</v>
      </c>
      <c r="E17" t="s">
        <v>140</v>
      </c>
      <c r="F17" t="s">
        <v>19</v>
      </c>
      <c r="G17" t="s">
        <v>563</v>
      </c>
      <c r="H17" t="s">
        <v>19</v>
      </c>
      <c r="I17" t="s">
        <v>19</v>
      </c>
      <c r="J17">
        <f t="shared" si="0"/>
        <v>5.3802626224925744E-2</v>
      </c>
      <c r="K17">
        <f t="shared" si="1"/>
        <v>2.9042299199999997</v>
      </c>
      <c r="L17">
        <f t="shared" si="2"/>
        <v>5.2824028950060276E-2</v>
      </c>
      <c r="M17">
        <f t="shared" si="3"/>
        <v>0.62541393483836616</v>
      </c>
      <c r="N17" t="s">
        <v>564</v>
      </c>
      <c r="O17" t="s">
        <v>565</v>
      </c>
      <c r="P17">
        <f t="shared" si="4"/>
        <v>2.6502719738758156</v>
      </c>
      <c r="Q17">
        <f t="shared" si="5"/>
        <v>1.1791269738758157</v>
      </c>
      <c r="R17" t="s">
        <v>566</v>
      </c>
      <c r="S17" t="s">
        <v>567</v>
      </c>
      <c r="T17">
        <f t="shared" si="6"/>
        <v>26.072523107484656</v>
      </c>
      <c r="U17">
        <f t="shared" si="7"/>
        <v>0.4417875</v>
      </c>
      <c r="V17" t="s">
        <v>146</v>
      </c>
      <c r="W17" t="s">
        <v>568</v>
      </c>
      <c r="X17" t="s">
        <v>569</v>
      </c>
      <c r="Y17" t="s">
        <v>570</v>
      </c>
      <c r="Z17" t="s">
        <v>571</v>
      </c>
      <c r="AA17" t="s">
        <v>151</v>
      </c>
      <c r="AB17" t="s">
        <v>151</v>
      </c>
      <c r="AC17" t="s">
        <v>151</v>
      </c>
      <c r="AD17" t="s">
        <v>152</v>
      </c>
      <c r="AE17" t="s">
        <v>153</v>
      </c>
      <c r="AF17">
        <f t="shared" si="8"/>
        <v>0</v>
      </c>
      <c r="AG17" t="s">
        <v>154</v>
      </c>
      <c r="AH17" t="s">
        <v>572</v>
      </c>
      <c r="AI17" t="s">
        <v>543</v>
      </c>
      <c r="AJ17" t="s">
        <v>281</v>
      </c>
      <c r="AK17" t="s">
        <v>573</v>
      </c>
      <c r="AL17">
        <f t="shared" si="9"/>
        <v>21.98</v>
      </c>
      <c r="AM17" t="s">
        <v>518</v>
      </c>
      <c r="AN17" t="s">
        <v>284</v>
      </c>
      <c r="AO17" t="s">
        <v>574</v>
      </c>
      <c r="AP17" t="s">
        <v>575</v>
      </c>
      <c r="AQ17" t="s">
        <v>163</v>
      </c>
      <c r="AR17" t="s">
        <v>576</v>
      </c>
      <c r="AS17" t="s">
        <v>165</v>
      </c>
      <c r="AT17" t="s">
        <v>139</v>
      </c>
      <c r="AU17" t="s">
        <v>166</v>
      </c>
      <c r="AV17" t="s">
        <v>137</v>
      </c>
      <c r="AW17" t="s">
        <v>167</v>
      </c>
      <c r="AX17" t="s">
        <v>577</v>
      </c>
      <c r="AY17" t="s">
        <v>169</v>
      </c>
      <c r="AZ17" t="s">
        <v>578</v>
      </c>
      <c r="BA17" t="s">
        <v>579</v>
      </c>
      <c r="BB17" t="s">
        <v>169</v>
      </c>
      <c r="BC17" t="s">
        <v>137</v>
      </c>
      <c r="BD17" t="s">
        <v>172</v>
      </c>
      <c r="BE17" t="s">
        <v>169</v>
      </c>
      <c r="BF17" t="s">
        <v>173</v>
      </c>
      <c r="BG17" t="s">
        <v>174</v>
      </c>
      <c r="BH17" t="s">
        <v>151</v>
      </c>
      <c r="BI17" t="s">
        <v>175</v>
      </c>
      <c r="BJ17" t="s">
        <v>151</v>
      </c>
      <c r="BK17" t="s">
        <v>151</v>
      </c>
      <c r="BL17" t="s">
        <v>176</v>
      </c>
      <c r="BM17" t="s">
        <v>177</v>
      </c>
      <c r="BN17" t="s">
        <v>137</v>
      </c>
      <c r="BO17" t="s">
        <v>178</v>
      </c>
      <c r="BP17" t="s">
        <v>179</v>
      </c>
      <c r="BQ17" t="s">
        <v>180</v>
      </c>
      <c r="BR17" t="s">
        <v>154</v>
      </c>
      <c r="BS17" t="s">
        <v>181</v>
      </c>
      <c r="BT17" t="s">
        <v>182</v>
      </c>
      <c r="BU17" t="s">
        <v>182</v>
      </c>
      <c r="BV17" t="s">
        <v>182</v>
      </c>
      <c r="BW17" t="s">
        <v>151</v>
      </c>
      <c r="BX17" t="s">
        <v>183</v>
      </c>
      <c r="BY17" t="s">
        <v>151</v>
      </c>
      <c r="BZ17" t="s">
        <v>151</v>
      </c>
      <c r="CA17" t="s">
        <v>151</v>
      </c>
      <c r="CB17" t="s">
        <v>151</v>
      </c>
      <c r="CC17" t="s">
        <v>580</v>
      </c>
      <c r="CD17" t="s">
        <v>581</v>
      </c>
      <c r="CE17" t="s">
        <v>582</v>
      </c>
      <c r="CF17" t="s">
        <v>583</v>
      </c>
      <c r="CG17" t="s">
        <v>584</v>
      </c>
      <c r="CH17" t="s">
        <v>585</v>
      </c>
      <c r="CI17" t="s">
        <v>586</v>
      </c>
      <c r="CJ17" t="s">
        <v>559</v>
      </c>
      <c r="CK17" t="s">
        <v>569</v>
      </c>
      <c r="CL17" t="s">
        <v>530</v>
      </c>
      <c r="CM17" t="s">
        <v>193</v>
      </c>
      <c r="CN17" t="s">
        <v>194</v>
      </c>
      <c r="CO17" t="s">
        <v>154</v>
      </c>
      <c r="CP17" t="s">
        <v>195</v>
      </c>
      <c r="CQ17" t="s">
        <v>196</v>
      </c>
      <c r="CR17" t="s">
        <v>154</v>
      </c>
      <c r="CS17" t="s">
        <v>197</v>
      </c>
      <c r="CT17" t="s">
        <v>198</v>
      </c>
      <c r="CU17" t="s">
        <v>199</v>
      </c>
      <c r="CV17" t="s">
        <v>151</v>
      </c>
      <c r="CW17" t="s">
        <v>568</v>
      </c>
      <c r="CX17" t="s">
        <v>200</v>
      </c>
      <c r="CY17" t="s">
        <v>201</v>
      </c>
      <c r="CZ17" t="s">
        <v>202</v>
      </c>
      <c r="DA17" t="s">
        <v>203</v>
      </c>
      <c r="DB17" t="s">
        <v>204</v>
      </c>
      <c r="DC17" t="s">
        <v>205</v>
      </c>
    </row>
    <row r="18" spans="1:107" x14ac:dyDescent="0.45">
      <c r="A18" t="s">
        <v>587</v>
      </c>
      <c r="B18" t="s">
        <v>588</v>
      </c>
      <c r="C18" t="s">
        <v>139</v>
      </c>
      <c r="D18" t="s">
        <v>76</v>
      </c>
      <c r="E18" t="s">
        <v>140</v>
      </c>
      <c r="F18" t="s">
        <v>19</v>
      </c>
      <c r="G18" t="s">
        <v>589</v>
      </c>
      <c r="H18" t="s">
        <v>19</v>
      </c>
      <c r="I18" t="s">
        <v>19</v>
      </c>
      <c r="J18">
        <f t="shared" si="0"/>
        <v>0.19656998143506574</v>
      </c>
      <c r="K18">
        <f t="shared" si="1"/>
        <v>2.9042299199999997</v>
      </c>
      <c r="L18">
        <f t="shared" si="2"/>
        <v>0.184108758902293</v>
      </c>
      <c r="M18">
        <f t="shared" si="3"/>
        <v>1.8636367398337843</v>
      </c>
      <c r="N18" t="s">
        <v>590</v>
      </c>
      <c r="O18" t="s">
        <v>591</v>
      </c>
      <c r="P18">
        <f t="shared" si="4"/>
        <v>2.5066890231388106</v>
      </c>
      <c r="Q18">
        <f t="shared" si="5"/>
        <v>1.0085980231388105</v>
      </c>
      <c r="R18" t="s">
        <v>592</v>
      </c>
      <c r="S18" t="s">
        <v>593</v>
      </c>
      <c r="T18">
        <f t="shared" si="6"/>
        <v>24.662426437808055</v>
      </c>
      <c r="U18">
        <f t="shared" si="7"/>
        <v>0.4417875</v>
      </c>
      <c r="V18" t="s">
        <v>146</v>
      </c>
      <c r="W18" t="s">
        <v>594</v>
      </c>
      <c r="X18" t="s">
        <v>595</v>
      </c>
      <c r="Y18" t="s">
        <v>596</v>
      </c>
      <c r="Z18" t="s">
        <v>597</v>
      </c>
      <c r="AA18" t="s">
        <v>151</v>
      </c>
      <c r="AB18" t="s">
        <v>151</v>
      </c>
      <c r="AC18" t="s">
        <v>151</v>
      </c>
      <c r="AD18" t="s">
        <v>152</v>
      </c>
      <c r="AE18" t="s">
        <v>153</v>
      </c>
      <c r="AF18">
        <f t="shared" si="8"/>
        <v>0</v>
      </c>
      <c r="AG18" t="s">
        <v>154</v>
      </c>
      <c r="AH18" t="s">
        <v>598</v>
      </c>
      <c r="AI18" t="s">
        <v>371</v>
      </c>
      <c r="AJ18" t="s">
        <v>599</v>
      </c>
      <c r="AK18" t="s">
        <v>600</v>
      </c>
      <c r="AL18">
        <f t="shared" si="9"/>
        <v>21.07</v>
      </c>
      <c r="AM18" t="s">
        <v>460</v>
      </c>
      <c r="AN18" t="s">
        <v>284</v>
      </c>
      <c r="AO18" t="s">
        <v>601</v>
      </c>
      <c r="AP18" t="s">
        <v>162</v>
      </c>
      <c r="AQ18" t="s">
        <v>163</v>
      </c>
      <c r="AR18" t="s">
        <v>602</v>
      </c>
      <c r="AS18" t="s">
        <v>165</v>
      </c>
      <c r="AT18" t="s">
        <v>139</v>
      </c>
      <c r="AU18" t="s">
        <v>166</v>
      </c>
      <c r="AV18" t="s">
        <v>137</v>
      </c>
      <c r="AW18" t="s">
        <v>463</v>
      </c>
      <c r="AX18" t="s">
        <v>603</v>
      </c>
      <c r="AY18" t="s">
        <v>169</v>
      </c>
      <c r="AZ18" t="s">
        <v>604</v>
      </c>
      <c r="BA18" t="s">
        <v>604</v>
      </c>
      <c r="BB18" t="s">
        <v>169</v>
      </c>
      <c r="BC18" t="s">
        <v>137</v>
      </c>
      <c r="BD18" t="s">
        <v>172</v>
      </c>
      <c r="BE18" t="s">
        <v>169</v>
      </c>
      <c r="BF18" t="s">
        <v>173</v>
      </c>
      <c r="BG18" t="s">
        <v>174</v>
      </c>
      <c r="BH18" t="s">
        <v>151</v>
      </c>
      <c r="BI18" t="s">
        <v>175</v>
      </c>
      <c r="BJ18" t="s">
        <v>151</v>
      </c>
      <c r="BK18" t="s">
        <v>151</v>
      </c>
      <c r="BL18" t="s">
        <v>176</v>
      </c>
      <c r="BM18" t="s">
        <v>177</v>
      </c>
      <c r="BN18" t="s">
        <v>137</v>
      </c>
      <c r="BO18" t="s">
        <v>178</v>
      </c>
      <c r="BP18" t="s">
        <v>179</v>
      </c>
      <c r="BQ18" t="s">
        <v>180</v>
      </c>
      <c r="BR18" t="s">
        <v>154</v>
      </c>
      <c r="BS18" t="s">
        <v>181</v>
      </c>
      <c r="BT18" t="s">
        <v>182</v>
      </c>
      <c r="BU18" t="s">
        <v>182</v>
      </c>
      <c r="BV18" t="s">
        <v>182</v>
      </c>
      <c r="BW18" t="s">
        <v>151</v>
      </c>
      <c r="BX18" t="s">
        <v>183</v>
      </c>
      <c r="BY18" t="s">
        <v>151</v>
      </c>
      <c r="BZ18" t="s">
        <v>151</v>
      </c>
      <c r="CA18" t="s">
        <v>151</v>
      </c>
      <c r="CB18" t="s">
        <v>151</v>
      </c>
      <c r="CC18" t="s">
        <v>605</v>
      </c>
      <c r="CD18" t="s">
        <v>606</v>
      </c>
      <c r="CE18" t="s">
        <v>607</v>
      </c>
      <c r="CF18" t="s">
        <v>608</v>
      </c>
      <c r="CG18" t="s">
        <v>609</v>
      </c>
      <c r="CH18" t="s">
        <v>610</v>
      </c>
      <c r="CI18" t="s">
        <v>611</v>
      </c>
      <c r="CJ18" t="s">
        <v>328</v>
      </c>
      <c r="CK18" t="s">
        <v>595</v>
      </c>
      <c r="CL18" t="s">
        <v>329</v>
      </c>
      <c r="CM18" t="s">
        <v>193</v>
      </c>
      <c r="CN18" t="s">
        <v>194</v>
      </c>
      <c r="CO18" t="s">
        <v>154</v>
      </c>
      <c r="CP18" t="s">
        <v>195</v>
      </c>
      <c r="CQ18" t="s">
        <v>196</v>
      </c>
      <c r="CR18" t="s">
        <v>154</v>
      </c>
      <c r="CS18" t="s">
        <v>197</v>
      </c>
      <c r="CT18" t="s">
        <v>198</v>
      </c>
      <c r="CU18" t="s">
        <v>199</v>
      </c>
      <c r="CV18" t="s">
        <v>151</v>
      </c>
      <c r="CW18" t="s">
        <v>594</v>
      </c>
      <c r="CX18" t="s">
        <v>200</v>
      </c>
      <c r="CY18" t="s">
        <v>201</v>
      </c>
      <c r="CZ18" t="s">
        <v>202</v>
      </c>
      <c r="DA18" t="s">
        <v>203</v>
      </c>
      <c r="DB18" t="s">
        <v>204</v>
      </c>
      <c r="DC18" t="s">
        <v>205</v>
      </c>
    </row>
    <row r="19" spans="1:107" x14ac:dyDescent="0.45">
      <c r="A19" t="s">
        <v>137</v>
      </c>
      <c r="B19" t="s">
        <v>612</v>
      </c>
      <c r="C19" t="s">
        <v>139</v>
      </c>
      <c r="D19" t="s">
        <v>76</v>
      </c>
      <c r="E19" t="s">
        <v>140</v>
      </c>
      <c r="F19" t="s">
        <v>19</v>
      </c>
      <c r="G19" t="s">
        <v>141</v>
      </c>
      <c r="H19" t="s">
        <v>19</v>
      </c>
      <c r="I19" t="s">
        <v>19</v>
      </c>
      <c r="J19">
        <f t="shared" si="0"/>
        <v>6.9317990834553644E-2</v>
      </c>
      <c r="K19">
        <f t="shared" si="1"/>
        <v>2.9042299199999997</v>
      </c>
      <c r="L19">
        <f t="shared" si="2"/>
        <v>6.7702081490758778E-2</v>
      </c>
      <c r="M19">
        <f t="shared" si="3"/>
        <v>0.7450822715950034</v>
      </c>
      <c r="N19" t="s">
        <v>613</v>
      </c>
      <c r="O19" t="s">
        <v>614</v>
      </c>
      <c r="P19">
        <f t="shared" si="4"/>
        <v>2.5174867335374107</v>
      </c>
      <c r="Q19">
        <f t="shared" si="5"/>
        <v>1.0969747335374107</v>
      </c>
      <c r="R19" t="s">
        <v>615</v>
      </c>
      <c r="S19" t="s">
        <v>616</v>
      </c>
      <c r="T19">
        <f t="shared" si="6"/>
        <v>24.76622462899568</v>
      </c>
      <c r="U19">
        <f t="shared" si="7"/>
        <v>0.4417875</v>
      </c>
      <c r="V19" t="s">
        <v>146</v>
      </c>
      <c r="W19" t="s">
        <v>617</v>
      </c>
      <c r="X19" t="s">
        <v>618</v>
      </c>
      <c r="Y19" t="s">
        <v>619</v>
      </c>
      <c r="Z19" t="s">
        <v>620</v>
      </c>
      <c r="AA19" t="s">
        <v>151</v>
      </c>
      <c r="AB19" t="s">
        <v>151</v>
      </c>
      <c r="AC19" t="s">
        <v>151</v>
      </c>
      <c r="AD19" t="s">
        <v>152</v>
      </c>
      <c r="AE19" t="s">
        <v>153</v>
      </c>
      <c r="AF19">
        <f t="shared" si="8"/>
        <v>0</v>
      </c>
      <c r="AG19" t="s">
        <v>154</v>
      </c>
      <c r="AH19" t="s">
        <v>621</v>
      </c>
      <c r="AI19" t="s">
        <v>622</v>
      </c>
      <c r="AJ19" t="s">
        <v>343</v>
      </c>
      <c r="AK19" t="s">
        <v>623</v>
      </c>
      <c r="AL19">
        <f t="shared" si="9"/>
        <v>21.14</v>
      </c>
      <c r="AM19" t="s">
        <v>518</v>
      </c>
      <c r="AN19" t="s">
        <v>284</v>
      </c>
      <c r="AO19" t="s">
        <v>624</v>
      </c>
      <c r="AP19" t="s">
        <v>625</v>
      </c>
      <c r="AQ19" t="s">
        <v>163</v>
      </c>
      <c r="AR19" t="s">
        <v>602</v>
      </c>
      <c r="AS19" t="s">
        <v>626</v>
      </c>
      <c r="AT19" t="s">
        <v>139</v>
      </c>
      <c r="AU19" t="s">
        <v>627</v>
      </c>
      <c r="AV19" t="s">
        <v>137</v>
      </c>
      <c r="AW19" t="s">
        <v>628</v>
      </c>
      <c r="AX19" t="s">
        <v>629</v>
      </c>
      <c r="AY19" t="s">
        <v>169</v>
      </c>
      <c r="AZ19" t="s">
        <v>630</v>
      </c>
      <c r="BA19" t="s">
        <v>631</v>
      </c>
      <c r="BB19" t="s">
        <v>169</v>
      </c>
      <c r="BC19" t="s">
        <v>137</v>
      </c>
      <c r="BD19" t="s">
        <v>172</v>
      </c>
      <c r="BE19" t="s">
        <v>169</v>
      </c>
      <c r="BF19" t="s">
        <v>173</v>
      </c>
      <c r="BG19" t="s">
        <v>174</v>
      </c>
      <c r="BH19" t="s">
        <v>151</v>
      </c>
      <c r="BI19" t="s">
        <v>175</v>
      </c>
      <c r="BJ19" t="s">
        <v>151</v>
      </c>
      <c r="BK19" t="s">
        <v>151</v>
      </c>
      <c r="BL19" t="s">
        <v>176</v>
      </c>
      <c r="BM19" t="s">
        <v>177</v>
      </c>
      <c r="BN19" t="s">
        <v>137</v>
      </c>
      <c r="BO19" t="s">
        <v>178</v>
      </c>
      <c r="BP19" t="s">
        <v>179</v>
      </c>
      <c r="BQ19" t="s">
        <v>180</v>
      </c>
      <c r="BR19" t="s">
        <v>154</v>
      </c>
      <c r="BS19" t="s">
        <v>181</v>
      </c>
      <c r="BT19" t="s">
        <v>182</v>
      </c>
      <c r="BU19" t="s">
        <v>182</v>
      </c>
      <c r="BV19" t="s">
        <v>182</v>
      </c>
      <c r="BW19" t="s">
        <v>151</v>
      </c>
      <c r="BX19" t="s">
        <v>183</v>
      </c>
      <c r="BY19" t="s">
        <v>151</v>
      </c>
      <c r="BZ19" t="s">
        <v>151</v>
      </c>
      <c r="CA19" t="s">
        <v>151</v>
      </c>
      <c r="CB19" t="s">
        <v>151</v>
      </c>
      <c r="CC19" t="s">
        <v>632</v>
      </c>
      <c r="CD19" t="s">
        <v>633</v>
      </c>
      <c r="CE19" t="s">
        <v>634</v>
      </c>
      <c r="CF19" t="s">
        <v>635</v>
      </c>
      <c r="CG19" t="s">
        <v>636</v>
      </c>
      <c r="CH19" t="s">
        <v>637</v>
      </c>
      <c r="CI19" t="s">
        <v>638</v>
      </c>
      <c r="CJ19" t="s">
        <v>559</v>
      </c>
      <c r="CK19" t="s">
        <v>618</v>
      </c>
      <c r="CL19" t="s">
        <v>445</v>
      </c>
      <c r="CM19" t="s">
        <v>193</v>
      </c>
      <c r="CN19" t="s">
        <v>194</v>
      </c>
      <c r="CO19" t="s">
        <v>154</v>
      </c>
      <c r="CP19" t="s">
        <v>195</v>
      </c>
      <c r="CQ19" t="s">
        <v>196</v>
      </c>
      <c r="CR19" t="s">
        <v>154</v>
      </c>
      <c r="CS19" t="s">
        <v>197</v>
      </c>
      <c r="CT19" t="s">
        <v>198</v>
      </c>
      <c r="CU19" t="s">
        <v>199</v>
      </c>
      <c r="CV19" t="s">
        <v>151</v>
      </c>
      <c r="CW19" t="s">
        <v>617</v>
      </c>
      <c r="CX19" t="s">
        <v>200</v>
      </c>
      <c r="CY19" t="s">
        <v>201</v>
      </c>
      <c r="CZ19" t="s">
        <v>202</v>
      </c>
      <c r="DA19" t="s">
        <v>203</v>
      </c>
      <c r="DB19" t="s">
        <v>204</v>
      </c>
      <c r="DC19" t="s">
        <v>205</v>
      </c>
    </row>
    <row r="20" spans="1:107" x14ac:dyDescent="0.45">
      <c r="A20" t="s">
        <v>206</v>
      </c>
      <c r="B20" t="s">
        <v>639</v>
      </c>
      <c r="C20" t="s">
        <v>139</v>
      </c>
      <c r="D20" t="s">
        <v>76</v>
      </c>
      <c r="E20" t="s">
        <v>140</v>
      </c>
      <c r="F20" t="s">
        <v>19</v>
      </c>
      <c r="G20" t="s">
        <v>208</v>
      </c>
      <c r="H20" t="s">
        <v>19</v>
      </c>
      <c r="I20" t="s">
        <v>19</v>
      </c>
      <c r="J20">
        <f t="shared" si="0"/>
        <v>4.368065413195308E-2</v>
      </c>
      <c r="K20">
        <f t="shared" si="1"/>
        <v>2.9050319999999994</v>
      </c>
      <c r="L20">
        <f t="shared" si="2"/>
        <v>4.3033592254722801E-2</v>
      </c>
      <c r="M20">
        <f t="shared" si="3"/>
        <v>0.47154627700122509</v>
      </c>
      <c r="N20" t="s">
        <v>640</v>
      </c>
      <c r="O20" t="s">
        <v>641</v>
      </c>
      <c r="P20">
        <f t="shared" si="4"/>
        <v>2.5595175391663725</v>
      </c>
      <c r="Q20">
        <f t="shared" si="5"/>
        <v>1.0916075391663724</v>
      </c>
      <c r="R20" t="s">
        <v>642</v>
      </c>
      <c r="S20" t="s">
        <v>643</v>
      </c>
      <c r="T20">
        <f t="shared" si="6"/>
        <v>25.182187516394848</v>
      </c>
      <c r="U20">
        <f t="shared" si="7"/>
        <v>0.4417875</v>
      </c>
      <c r="V20" t="s">
        <v>146</v>
      </c>
      <c r="W20" t="s">
        <v>644</v>
      </c>
      <c r="X20" t="s">
        <v>645</v>
      </c>
      <c r="Y20" t="s">
        <v>646</v>
      </c>
      <c r="Z20" t="s">
        <v>647</v>
      </c>
      <c r="AA20" t="s">
        <v>151</v>
      </c>
      <c r="AB20" t="s">
        <v>151</v>
      </c>
      <c r="AC20" t="s">
        <v>151</v>
      </c>
      <c r="AD20" t="s">
        <v>152</v>
      </c>
      <c r="AE20" t="s">
        <v>153</v>
      </c>
      <c r="AF20">
        <f t="shared" si="8"/>
        <v>0</v>
      </c>
      <c r="AG20" t="s">
        <v>154</v>
      </c>
      <c r="AH20" t="s">
        <v>648</v>
      </c>
      <c r="AI20" t="s">
        <v>649</v>
      </c>
      <c r="AJ20" t="s">
        <v>373</v>
      </c>
      <c r="AK20" t="s">
        <v>650</v>
      </c>
      <c r="AL20">
        <f t="shared" si="9"/>
        <v>21.41</v>
      </c>
      <c r="AM20" t="s">
        <v>460</v>
      </c>
      <c r="AN20" t="s">
        <v>160</v>
      </c>
      <c r="AO20" t="s">
        <v>651</v>
      </c>
      <c r="AP20" t="s">
        <v>286</v>
      </c>
      <c r="AQ20" t="s">
        <v>163</v>
      </c>
      <c r="AR20" t="s">
        <v>652</v>
      </c>
      <c r="AS20" t="s">
        <v>626</v>
      </c>
      <c r="AT20" t="s">
        <v>139</v>
      </c>
      <c r="AU20" t="s">
        <v>627</v>
      </c>
      <c r="AV20" t="s">
        <v>137</v>
      </c>
      <c r="AW20" t="s">
        <v>167</v>
      </c>
      <c r="AX20" t="s">
        <v>653</v>
      </c>
      <c r="AY20" t="s">
        <v>169</v>
      </c>
      <c r="AZ20" t="s">
        <v>654</v>
      </c>
      <c r="BA20" t="s">
        <v>655</v>
      </c>
      <c r="BB20" t="s">
        <v>169</v>
      </c>
      <c r="BC20" t="s">
        <v>137</v>
      </c>
      <c r="BD20" t="s">
        <v>172</v>
      </c>
      <c r="BE20" t="s">
        <v>169</v>
      </c>
      <c r="BF20" t="s">
        <v>173</v>
      </c>
      <c r="BG20" t="s">
        <v>174</v>
      </c>
      <c r="BH20" t="s">
        <v>151</v>
      </c>
      <c r="BI20" t="s">
        <v>175</v>
      </c>
      <c r="BJ20" t="s">
        <v>151</v>
      </c>
      <c r="BK20" t="s">
        <v>151</v>
      </c>
      <c r="BL20" t="s">
        <v>176</v>
      </c>
      <c r="BM20" t="s">
        <v>177</v>
      </c>
      <c r="BN20" t="s">
        <v>137</v>
      </c>
      <c r="BO20" t="s">
        <v>178</v>
      </c>
      <c r="BP20" t="s">
        <v>179</v>
      </c>
      <c r="BQ20" t="s">
        <v>180</v>
      </c>
      <c r="BR20" t="s">
        <v>154</v>
      </c>
      <c r="BS20" t="s">
        <v>181</v>
      </c>
      <c r="BT20" t="s">
        <v>182</v>
      </c>
      <c r="BU20" t="s">
        <v>182</v>
      </c>
      <c r="BV20" t="s">
        <v>182</v>
      </c>
      <c r="BW20" t="s">
        <v>151</v>
      </c>
      <c r="BX20" t="s">
        <v>183</v>
      </c>
      <c r="BY20" t="s">
        <v>151</v>
      </c>
      <c r="BZ20" t="s">
        <v>151</v>
      </c>
      <c r="CA20" t="s">
        <v>151</v>
      </c>
      <c r="CB20" t="s">
        <v>151</v>
      </c>
      <c r="CC20" t="s">
        <v>656</v>
      </c>
      <c r="CD20" t="s">
        <v>657</v>
      </c>
      <c r="CE20" t="s">
        <v>658</v>
      </c>
      <c r="CF20" t="s">
        <v>659</v>
      </c>
      <c r="CG20" t="s">
        <v>660</v>
      </c>
      <c r="CH20" t="s">
        <v>661</v>
      </c>
      <c r="CI20" t="s">
        <v>662</v>
      </c>
      <c r="CJ20" t="s">
        <v>328</v>
      </c>
      <c r="CK20" t="s">
        <v>645</v>
      </c>
      <c r="CL20" t="s">
        <v>445</v>
      </c>
      <c r="CM20" t="s">
        <v>193</v>
      </c>
      <c r="CN20" t="s">
        <v>194</v>
      </c>
      <c r="CO20" t="s">
        <v>154</v>
      </c>
      <c r="CP20" t="s">
        <v>195</v>
      </c>
      <c r="CQ20" t="s">
        <v>196</v>
      </c>
      <c r="CR20" t="s">
        <v>154</v>
      </c>
      <c r="CS20" t="s">
        <v>197</v>
      </c>
      <c r="CT20" t="s">
        <v>198</v>
      </c>
      <c r="CU20" t="s">
        <v>199</v>
      </c>
      <c r="CV20" t="s">
        <v>151</v>
      </c>
      <c r="CW20" t="s">
        <v>644</v>
      </c>
      <c r="CX20" t="s">
        <v>200</v>
      </c>
      <c r="CY20" t="s">
        <v>201</v>
      </c>
      <c r="CZ20" t="s">
        <v>202</v>
      </c>
      <c r="DA20" t="s">
        <v>203</v>
      </c>
      <c r="DB20" t="s">
        <v>204</v>
      </c>
      <c r="DC20" t="s">
        <v>205</v>
      </c>
    </row>
    <row r="21" spans="1:107" x14ac:dyDescent="0.45">
      <c r="A21" t="s">
        <v>238</v>
      </c>
      <c r="B21" t="s">
        <v>663</v>
      </c>
      <c r="C21" t="s">
        <v>139</v>
      </c>
      <c r="D21" t="s">
        <v>76</v>
      </c>
      <c r="E21" t="s">
        <v>140</v>
      </c>
      <c r="F21" t="s">
        <v>19</v>
      </c>
      <c r="G21" t="s">
        <v>240</v>
      </c>
      <c r="H21" t="s">
        <v>19</v>
      </c>
      <c r="I21" t="s">
        <v>19</v>
      </c>
      <c r="J21">
        <f t="shared" si="0"/>
        <v>1.5283059530437768E-2</v>
      </c>
      <c r="K21">
        <f t="shared" si="1"/>
        <v>2.9042299199999997</v>
      </c>
      <c r="L21">
        <f t="shared" si="2"/>
        <v>1.5203055807128933E-2</v>
      </c>
      <c r="M21">
        <f t="shared" si="3"/>
        <v>0.16925801741422319</v>
      </c>
      <c r="N21" t="s">
        <v>664</v>
      </c>
      <c r="O21" t="s">
        <v>665</v>
      </c>
      <c r="P21">
        <f t="shared" si="4"/>
        <v>2.6053448970028241</v>
      </c>
      <c r="Q21">
        <f t="shared" si="5"/>
        <v>1.1088928970028242</v>
      </c>
      <c r="R21" t="s">
        <v>666</v>
      </c>
      <c r="S21" t="s">
        <v>667</v>
      </c>
      <c r="T21">
        <f t="shared" si="6"/>
        <v>25.630544977893003</v>
      </c>
      <c r="U21">
        <f t="shared" si="7"/>
        <v>0.4417875</v>
      </c>
      <c r="V21" t="s">
        <v>146</v>
      </c>
      <c r="W21" t="s">
        <v>668</v>
      </c>
      <c r="X21" t="s">
        <v>669</v>
      </c>
      <c r="Y21" t="s">
        <v>670</v>
      </c>
      <c r="Z21" t="s">
        <v>671</v>
      </c>
      <c r="AA21" t="s">
        <v>151</v>
      </c>
      <c r="AB21" t="s">
        <v>151</v>
      </c>
      <c r="AC21" t="s">
        <v>151</v>
      </c>
      <c r="AD21" t="s">
        <v>152</v>
      </c>
      <c r="AE21" t="s">
        <v>153</v>
      </c>
      <c r="AF21">
        <f t="shared" si="8"/>
        <v>0</v>
      </c>
      <c r="AG21" t="s">
        <v>154</v>
      </c>
      <c r="AH21" t="s">
        <v>672</v>
      </c>
      <c r="AI21" t="s">
        <v>673</v>
      </c>
      <c r="AJ21" t="s">
        <v>373</v>
      </c>
      <c r="AK21" t="s">
        <v>674</v>
      </c>
      <c r="AL21">
        <f t="shared" si="9"/>
        <v>21.7</v>
      </c>
      <c r="AM21" t="s">
        <v>518</v>
      </c>
      <c r="AN21" t="s">
        <v>284</v>
      </c>
      <c r="AO21" t="s">
        <v>675</v>
      </c>
      <c r="AP21" t="s">
        <v>152</v>
      </c>
      <c r="AQ21" t="s">
        <v>163</v>
      </c>
      <c r="AR21" t="s">
        <v>676</v>
      </c>
      <c r="AS21" t="s">
        <v>626</v>
      </c>
      <c r="AT21" t="s">
        <v>139</v>
      </c>
      <c r="AU21" t="s">
        <v>627</v>
      </c>
      <c r="AV21" t="s">
        <v>137</v>
      </c>
      <c r="AW21" t="s">
        <v>494</v>
      </c>
      <c r="AX21" t="s">
        <v>548</v>
      </c>
      <c r="AY21" t="s">
        <v>169</v>
      </c>
      <c r="AZ21" t="s">
        <v>677</v>
      </c>
      <c r="BA21" t="s">
        <v>678</v>
      </c>
      <c r="BB21" t="s">
        <v>169</v>
      </c>
      <c r="BC21" t="s">
        <v>137</v>
      </c>
      <c r="BD21" t="s">
        <v>172</v>
      </c>
      <c r="BE21" t="s">
        <v>169</v>
      </c>
      <c r="BF21" t="s">
        <v>173</v>
      </c>
      <c r="BG21" t="s">
        <v>174</v>
      </c>
      <c r="BH21" t="s">
        <v>151</v>
      </c>
      <c r="BI21" t="s">
        <v>175</v>
      </c>
      <c r="BJ21" t="s">
        <v>151</v>
      </c>
      <c r="BK21" t="s">
        <v>151</v>
      </c>
      <c r="BL21" t="s">
        <v>176</v>
      </c>
      <c r="BM21" t="s">
        <v>177</v>
      </c>
      <c r="BN21" t="s">
        <v>137</v>
      </c>
      <c r="BO21" t="s">
        <v>178</v>
      </c>
      <c r="BP21" t="s">
        <v>179</v>
      </c>
      <c r="BQ21" t="s">
        <v>180</v>
      </c>
      <c r="BR21" t="s">
        <v>154</v>
      </c>
      <c r="BS21" t="s">
        <v>181</v>
      </c>
      <c r="BT21" t="s">
        <v>182</v>
      </c>
      <c r="BU21" t="s">
        <v>182</v>
      </c>
      <c r="BV21" t="s">
        <v>182</v>
      </c>
      <c r="BW21" t="s">
        <v>151</v>
      </c>
      <c r="BX21" t="s">
        <v>183</v>
      </c>
      <c r="BY21" t="s">
        <v>151</v>
      </c>
      <c r="BZ21" t="s">
        <v>151</v>
      </c>
      <c r="CA21" t="s">
        <v>151</v>
      </c>
      <c r="CB21" t="s">
        <v>151</v>
      </c>
      <c r="CC21" t="s">
        <v>679</v>
      </c>
      <c r="CD21" t="s">
        <v>680</v>
      </c>
      <c r="CE21" t="s">
        <v>681</v>
      </c>
      <c r="CF21" t="s">
        <v>682</v>
      </c>
      <c r="CG21" t="s">
        <v>683</v>
      </c>
      <c r="CH21" t="s">
        <v>684</v>
      </c>
      <c r="CI21" t="s">
        <v>685</v>
      </c>
      <c r="CJ21" t="s">
        <v>328</v>
      </c>
      <c r="CK21" t="s">
        <v>669</v>
      </c>
      <c r="CL21" t="s">
        <v>560</v>
      </c>
      <c r="CM21" t="s">
        <v>193</v>
      </c>
      <c r="CN21" t="s">
        <v>194</v>
      </c>
      <c r="CO21" t="s">
        <v>154</v>
      </c>
      <c r="CP21" t="s">
        <v>195</v>
      </c>
      <c r="CQ21" t="s">
        <v>196</v>
      </c>
      <c r="CR21" t="s">
        <v>154</v>
      </c>
      <c r="CS21" t="s">
        <v>197</v>
      </c>
      <c r="CT21" t="s">
        <v>198</v>
      </c>
      <c r="CU21" t="s">
        <v>199</v>
      </c>
      <c r="CV21" t="s">
        <v>151</v>
      </c>
      <c r="CW21" t="s">
        <v>668</v>
      </c>
      <c r="CX21" t="s">
        <v>200</v>
      </c>
      <c r="CY21" t="s">
        <v>201</v>
      </c>
      <c r="CZ21" t="s">
        <v>202</v>
      </c>
      <c r="DA21" t="s">
        <v>203</v>
      </c>
      <c r="DB21" t="s">
        <v>204</v>
      </c>
      <c r="DC21" t="s">
        <v>205</v>
      </c>
    </row>
    <row r="22" spans="1:107" x14ac:dyDescent="0.45">
      <c r="A22" t="s">
        <v>268</v>
      </c>
      <c r="B22" t="s">
        <v>686</v>
      </c>
      <c r="C22" t="s">
        <v>139</v>
      </c>
      <c r="D22" t="s">
        <v>76</v>
      </c>
      <c r="E22" t="s">
        <v>140</v>
      </c>
      <c r="F22" t="s">
        <v>19</v>
      </c>
      <c r="G22" t="s">
        <v>270</v>
      </c>
      <c r="H22" t="s">
        <v>19</v>
      </c>
      <c r="I22" t="s">
        <v>19</v>
      </c>
      <c r="J22">
        <f t="shared" si="0"/>
        <v>4.9988035932232618E-2</v>
      </c>
      <c r="K22">
        <f t="shared" si="1"/>
        <v>2.9042299199999997</v>
      </c>
      <c r="L22">
        <f t="shared" si="2"/>
        <v>4.9142193217295335E-2</v>
      </c>
      <c r="M22">
        <f t="shared" si="3"/>
        <v>0.53757346078278712</v>
      </c>
      <c r="N22" t="s">
        <v>687</v>
      </c>
      <c r="O22" t="s">
        <v>688</v>
      </c>
      <c r="P22">
        <f t="shared" si="4"/>
        <v>2.6133183417857859</v>
      </c>
      <c r="Q22">
        <f t="shared" si="5"/>
        <v>1.0893453417857859</v>
      </c>
      <c r="R22" t="s">
        <v>689</v>
      </c>
      <c r="S22" t="s">
        <v>690</v>
      </c>
      <c r="T22">
        <f t="shared" si="6"/>
        <v>25.708985162673741</v>
      </c>
      <c r="U22">
        <f t="shared" si="7"/>
        <v>0.4417875</v>
      </c>
      <c r="V22" t="s">
        <v>146</v>
      </c>
      <c r="W22" t="s">
        <v>691</v>
      </c>
      <c r="X22" t="s">
        <v>692</v>
      </c>
      <c r="Y22" t="s">
        <v>693</v>
      </c>
      <c r="Z22" t="s">
        <v>694</v>
      </c>
      <c r="AA22" t="s">
        <v>151</v>
      </c>
      <c r="AB22" t="s">
        <v>151</v>
      </c>
      <c r="AC22" t="s">
        <v>151</v>
      </c>
      <c r="AD22" t="s">
        <v>152</v>
      </c>
      <c r="AE22" t="s">
        <v>153</v>
      </c>
      <c r="AF22">
        <f t="shared" si="8"/>
        <v>0</v>
      </c>
      <c r="AG22" t="s">
        <v>154</v>
      </c>
      <c r="AH22" t="s">
        <v>695</v>
      </c>
      <c r="AI22" t="s">
        <v>696</v>
      </c>
      <c r="AJ22" t="s">
        <v>373</v>
      </c>
      <c r="AK22" t="s">
        <v>544</v>
      </c>
      <c r="AL22">
        <f t="shared" si="9"/>
        <v>21.75</v>
      </c>
      <c r="AM22" t="s">
        <v>518</v>
      </c>
      <c r="AN22" t="s">
        <v>284</v>
      </c>
      <c r="AO22" t="s">
        <v>697</v>
      </c>
      <c r="AP22" t="s">
        <v>698</v>
      </c>
      <c r="AQ22" t="s">
        <v>163</v>
      </c>
      <c r="AR22" t="s">
        <v>699</v>
      </c>
      <c r="AS22" t="s">
        <v>626</v>
      </c>
      <c r="AT22" t="s">
        <v>139</v>
      </c>
      <c r="AU22" t="s">
        <v>627</v>
      </c>
      <c r="AV22" t="s">
        <v>137</v>
      </c>
      <c r="AW22" t="s">
        <v>227</v>
      </c>
      <c r="AX22" t="s">
        <v>700</v>
      </c>
      <c r="AY22" t="s">
        <v>169</v>
      </c>
      <c r="AZ22" t="s">
        <v>701</v>
      </c>
      <c r="BA22" t="s">
        <v>702</v>
      </c>
      <c r="BB22" t="s">
        <v>169</v>
      </c>
      <c r="BC22" t="s">
        <v>137</v>
      </c>
      <c r="BD22" t="s">
        <v>172</v>
      </c>
      <c r="BE22" t="s">
        <v>169</v>
      </c>
      <c r="BF22" t="s">
        <v>173</v>
      </c>
      <c r="BG22" t="s">
        <v>174</v>
      </c>
      <c r="BH22" t="s">
        <v>151</v>
      </c>
      <c r="BI22" t="s">
        <v>175</v>
      </c>
      <c r="BJ22" t="s">
        <v>151</v>
      </c>
      <c r="BK22" t="s">
        <v>151</v>
      </c>
      <c r="BL22" t="s">
        <v>176</v>
      </c>
      <c r="BM22" t="s">
        <v>177</v>
      </c>
      <c r="BN22" t="s">
        <v>137</v>
      </c>
      <c r="BO22" t="s">
        <v>178</v>
      </c>
      <c r="BP22" t="s">
        <v>179</v>
      </c>
      <c r="BQ22" t="s">
        <v>180</v>
      </c>
      <c r="BR22" t="s">
        <v>154</v>
      </c>
      <c r="BS22" t="s">
        <v>181</v>
      </c>
      <c r="BT22" t="s">
        <v>182</v>
      </c>
      <c r="BU22" t="s">
        <v>182</v>
      </c>
      <c r="BV22" t="s">
        <v>182</v>
      </c>
      <c r="BW22" t="s">
        <v>151</v>
      </c>
      <c r="BX22" t="s">
        <v>183</v>
      </c>
      <c r="BY22" t="s">
        <v>151</v>
      </c>
      <c r="BZ22" t="s">
        <v>151</v>
      </c>
      <c r="CA22" t="s">
        <v>151</v>
      </c>
      <c r="CB22" t="s">
        <v>151</v>
      </c>
      <c r="CC22" t="s">
        <v>703</v>
      </c>
      <c r="CD22" t="s">
        <v>704</v>
      </c>
      <c r="CE22" t="s">
        <v>705</v>
      </c>
      <c r="CF22" t="s">
        <v>706</v>
      </c>
      <c r="CG22" t="s">
        <v>707</v>
      </c>
      <c r="CH22" t="s">
        <v>708</v>
      </c>
      <c r="CI22" t="s">
        <v>709</v>
      </c>
      <c r="CJ22" t="s">
        <v>559</v>
      </c>
      <c r="CK22" t="s">
        <v>692</v>
      </c>
      <c r="CL22" t="s">
        <v>710</v>
      </c>
      <c r="CM22" t="s">
        <v>193</v>
      </c>
      <c r="CN22" t="s">
        <v>194</v>
      </c>
      <c r="CO22" t="s">
        <v>154</v>
      </c>
      <c r="CP22" t="s">
        <v>195</v>
      </c>
      <c r="CQ22" t="s">
        <v>196</v>
      </c>
      <c r="CR22" t="s">
        <v>154</v>
      </c>
      <c r="CS22" t="s">
        <v>197</v>
      </c>
      <c r="CT22" t="s">
        <v>198</v>
      </c>
      <c r="CU22" t="s">
        <v>199</v>
      </c>
      <c r="CV22" t="s">
        <v>151</v>
      </c>
      <c r="CW22" t="s">
        <v>691</v>
      </c>
      <c r="CX22" t="s">
        <v>200</v>
      </c>
      <c r="CY22" t="s">
        <v>201</v>
      </c>
      <c r="CZ22" t="s">
        <v>202</v>
      </c>
      <c r="DA22" t="s">
        <v>203</v>
      </c>
      <c r="DB22" t="s">
        <v>204</v>
      </c>
      <c r="DC22" t="s">
        <v>205</v>
      </c>
    </row>
    <row r="23" spans="1:107" x14ac:dyDescent="0.45">
      <c r="A23" t="s">
        <v>180</v>
      </c>
      <c r="B23" t="s">
        <v>711</v>
      </c>
      <c r="C23" t="s">
        <v>139</v>
      </c>
      <c r="D23" t="s">
        <v>76</v>
      </c>
      <c r="E23" t="s">
        <v>140</v>
      </c>
      <c r="F23" t="s">
        <v>19</v>
      </c>
      <c r="G23" t="s">
        <v>301</v>
      </c>
      <c r="H23" t="s">
        <v>19</v>
      </c>
      <c r="I23" t="s">
        <v>19</v>
      </c>
      <c r="J23">
        <f t="shared" si="0"/>
        <v>1.7071275734852414</v>
      </c>
      <c r="K23">
        <f t="shared" si="1"/>
        <v>2.9066320800000001</v>
      </c>
      <c r="L23">
        <f t="shared" si="2"/>
        <v>1.0754768653795097</v>
      </c>
      <c r="M23">
        <f t="shared" si="3"/>
        <v>6.1149501691629249</v>
      </c>
      <c r="N23" t="s">
        <v>712</v>
      </c>
      <c r="O23" t="s">
        <v>713</v>
      </c>
      <c r="P23">
        <f t="shared" si="4"/>
        <v>2.2763481703739656</v>
      </c>
      <c r="Q23">
        <f t="shared" si="5"/>
        <v>0.56660017037396559</v>
      </c>
      <c r="R23" t="s">
        <v>714</v>
      </c>
      <c r="S23" t="s">
        <v>715</v>
      </c>
      <c r="T23">
        <f t="shared" si="6"/>
        <v>22.39398101695982</v>
      </c>
      <c r="U23">
        <f t="shared" si="7"/>
        <v>0.4417875</v>
      </c>
      <c r="V23" t="s">
        <v>146</v>
      </c>
      <c r="W23" t="s">
        <v>716</v>
      </c>
      <c r="X23" t="s">
        <v>717</v>
      </c>
      <c r="Y23" t="s">
        <v>718</v>
      </c>
      <c r="Z23" t="s">
        <v>719</v>
      </c>
      <c r="AA23" t="s">
        <v>151</v>
      </c>
      <c r="AB23" t="s">
        <v>151</v>
      </c>
      <c r="AC23" t="s">
        <v>151</v>
      </c>
      <c r="AD23" t="s">
        <v>152</v>
      </c>
      <c r="AE23" t="s">
        <v>153</v>
      </c>
      <c r="AF23">
        <f t="shared" si="8"/>
        <v>0</v>
      </c>
      <c r="AG23" t="s">
        <v>154</v>
      </c>
      <c r="AH23" t="s">
        <v>720</v>
      </c>
      <c r="AI23" t="s">
        <v>721</v>
      </c>
      <c r="AJ23" t="s">
        <v>373</v>
      </c>
      <c r="AK23" t="s">
        <v>722</v>
      </c>
      <c r="AL23">
        <f t="shared" si="9"/>
        <v>19.510000000000002</v>
      </c>
      <c r="AM23" t="s">
        <v>518</v>
      </c>
      <c r="AN23" t="s">
        <v>401</v>
      </c>
      <c r="AO23" t="s">
        <v>723</v>
      </c>
      <c r="AP23" t="s">
        <v>625</v>
      </c>
      <c r="AQ23" t="s">
        <v>163</v>
      </c>
      <c r="AR23" t="s">
        <v>676</v>
      </c>
      <c r="AS23" t="s">
        <v>626</v>
      </c>
      <c r="AT23" t="s">
        <v>139</v>
      </c>
      <c r="AU23" t="s">
        <v>627</v>
      </c>
      <c r="AV23" t="s">
        <v>137</v>
      </c>
      <c r="AW23" t="s">
        <v>227</v>
      </c>
      <c r="AX23" t="s">
        <v>724</v>
      </c>
      <c r="AY23" t="s">
        <v>169</v>
      </c>
      <c r="AZ23" t="s">
        <v>725</v>
      </c>
      <c r="BA23" t="s">
        <v>726</v>
      </c>
      <c r="BB23" t="s">
        <v>169</v>
      </c>
      <c r="BC23" t="s">
        <v>137</v>
      </c>
      <c r="BD23" t="s">
        <v>172</v>
      </c>
      <c r="BE23" t="s">
        <v>169</v>
      </c>
      <c r="BF23" t="s">
        <v>173</v>
      </c>
      <c r="BG23" t="s">
        <v>174</v>
      </c>
      <c r="BH23" t="s">
        <v>151</v>
      </c>
      <c r="BI23" t="s">
        <v>175</v>
      </c>
      <c r="BJ23" t="s">
        <v>151</v>
      </c>
      <c r="BK23" t="s">
        <v>151</v>
      </c>
      <c r="BL23" t="s">
        <v>176</v>
      </c>
      <c r="BM23" t="s">
        <v>177</v>
      </c>
      <c r="BN23" t="s">
        <v>137</v>
      </c>
      <c r="BO23" t="s">
        <v>178</v>
      </c>
      <c r="BP23" t="s">
        <v>179</v>
      </c>
      <c r="BQ23" t="s">
        <v>180</v>
      </c>
      <c r="BR23" t="s">
        <v>154</v>
      </c>
      <c r="BS23" t="s">
        <v>181</v>
      </c>
      <c r="BT23" t="s">
        <v>182</v>
      </c>
      <c r="BU23" t="s">
        <v>182</v>
      </c>
      <c r="BV23" t="s">
        <v>182</v>
      </c>
      <c r="BW23" t="s">
        <v>151</v>
      </c>
      <c r="BX23" t="s">
        <v>183</v>
      </c>
      <c r="BY23" t="s">
        <v>151</v>
      </c>
      <c r="BZ23" t="s">
        <v>151</v>
      </c>
      <c r="CA23" t="s">
        <v>151</v>
      </c>
      <c r="CB23" t="s">
        <v>151</v>
      </c>
      <c r="CC23" t="s">
        <v>727</v>
      </c>
      <c r="CD23" t="s">
        <v>728</v>
      </c>
      <c r="CE23" t="s">
        <v>729</v>
      </c>
      <c r="CF23" t="s">
        <v>730</v>
      </c>
      <c r="CG23" t="s">
        <v>731</v>
      </c>
      <c r="CH23" t="s">
        <v>732</v>
      </c>
      <c r="CI23" t="s">
        <v>733</v>
      </c>
      <c r="CJ23" t="s">
        <v>328</v>
      </c>
      <c r="CK23" t="s">
        <v>717</v>
      </c>
      <c r="CL23" t="s">
        <v>475</v>
      </c>
      <c r="CM23" t="s">
        <v>193</v>
      </c>
      <c r="CN23" t="s">
        <v>194</v>
      </c>
      <c r="CO23" t="s">
        <v>154</v>
      </c>
      <c r="CP23" t="s">
        <v>195</v>
      </c>
      <c r="CQ23" t="s">
        <v>196</v>
      </c>
      <c r="CR23" t="s">
        <v>154</v>
      </c>
      <c r="CS23" t="s">
        <v>197</v>
      </c>
      <c r="CT23" t="s">
        <v>198</v>
      </c>
      <c r="CU23" t="s">
        <v>199</v>
      </c>
      <c r="CV23" t="s">
        <v>151</v>
      </c>
      <c r="CW23" t="s">
        <v>716</v>
      </c>
      <c r="CX23" t="s">
        <v>200</v>
      </c>
      <c r="CY23" t="s">
        <v>201</v>
      </c>
      <c r="CZ23" t="s">
        <v>202</v>
      </c>
      <c r="DA23" t="s">
        <v>203</v>
      </c>
      <c r="DB23" t="s">
        <v>204</v>
      </c>
      <c r="DC23" t="s">
        <v>205</v>
      </c>
    </row>
    <row r="24" spans="1:107" x14ac:dyDescent="0.45">
      <c r="A24" t="s">
        <v>330</v>
      </c>
      <c r="B24" t="s">
        <v>734</v>
      </c>
      <c r="C24" t="s">
        <v>139</v>
      </c>
      <c r="D24" t="s">
        <v>76</v>
      </c>
      <c r="E24" t="s">
        <v>140</v>
      </c>
      <c r="F24" t="s">
        <v>19</v>
      </c>
      <c r="G24" t="s">
        <v>332</v>
      </c>
      <c r="H24" t="s">
        <v>19</v>
      </c>
      <c r="I24" t="s">
        <v>19</v>
      </c>
      <c r="J24">
        <f t="shared" si="0"/>
        <v>0.13286674545774904</v>
      </c>
      <c r="K24">
        <f t="shared" si="1"/>
        <v>2.9042299199999997</v>
      </c>
      <c r="L24">
        <f t="shared" si="2"/>
        <v>0.12705409805362911</v>
      </c>
      <c r="M24">
        <f t="shared" si="3"/>
        <v>1.1587262383000332</v>
      </c>
      <c r="N24" t="s">
        <v>735</v>
      </c>
      <c r="O24" t="s">
        <v>736</v>
      </c>
      <c r="P24">
        <f t="shared" si="4"/>
        <v>2.509769936876598</v>
      </c>
      <c r="Q24">
        <f t="shared" si="5"/>
        <v>0.90840293687659801</v>
      </c>
      <c r="R24" t="s">
        <v>737</v>
      </c>
      <c r="S24" t="s">
        <v>738</v>
      </c>
      <c r="T24">
        <f t="shared" si="6"/>
        <v>24.687880551609268</v>
      </c>
      <c r="U24">
        <f t="shared" si="7"/>
        <v>0.4417875</v>
      </c>
      <c r="V24" t="s">
        <v>146</v>
      </c>
      <c r="W24" t="s">
        <v>739</v>
      </c>
      <c r="X24" t="s">
        <v>740</v>
      </c>
      <c r="Y24" t="s">
        <v>741</v>
      </c>
      <c r="Z24" t="s">
        <v>742</v>
      </c>
      <c r="AA24" t="s">
        <v>151</v>
      </c>
      <c r="AB24" t="s">
        <v>151</v>
      </c>
      <c r="AC24" t="s">
        <v>151</v>
      </c>
      <c r="AD24" t="s">
        <v>152</v>
      </c>
      <c r="AE24" t="s">
        <v>153</v>
      </c>
      <c r="AF24">
        <f t="shared" si="8"/>
        <v>0</v>
      </c>
      <c r="AG24" t="s">
        <v>154</v>
      </c>
      <c r="AH24" t="s">
        <v>743</v>
      </c>
      <c r="AI24" t="s">
        <v>744</v>
      </c>
      <c r="AJ24" t="s">
        <v>373</v>
      </c>
      <c r="AK24" t="s">
        <v>745</v>
      </c>
      <c r="AL24">
        <f t="shared" si="9"/>
        <v>21.09</v>
      </c>
      <c r="AM24" t="s">
        <v>746</v>
      </c>
      <c r="AN24" t="s">
        <v>284</v>
      </c>
      <c r="AO24" t="s">
        <v>747</v>
      </c>
      <c r="AP24" t="s">
        <v>748</v>
      </c>
      <c r="AQ24" t="s">
        <v>163</v>
      </c>
      <c r="AR24" t="s">
        <v>699</v>
      </c>
      <c r="AS24" t="s">
        <v>626</v>
      </c>
      <c r="AT24" t="s">
        <v>139</v>
      </c>
      <c r="AU24" t="s">
        <v>627</v>
      </c>
      <c r="AV24" t="s">
        <v>137</v>
      </c>
      <c r="AW24" t="s">
        <v>749</v>
      </c>
      <c r="AX24" t="s">
        <v>677</v>
      </c>
      <c r="AY24" t="s">
        <v>169</v>
      </c>
      <c r="AZ24" t="s">
        <v>750</v>
      </c>
      <c r="BA24" t="s">
        <v>751</v>
      </c>
      <c r="BB24" t="s">
        <v>169</v>
      </c>
      <c r="BC24" t="s">
        <v>137</v>
      </c>
      <c r="BD24" t="s">
        <v>172</v>
      </c>
      <c r="BE24" t="s">
        <v>169</v>
      </c>
      <c r="BF24" t="s">
        <v>173</v>
      </c>
      <c r="BG24" t="s">
        <v>174</v>
      </c>
      <c r="BH24" t="s">
        <v>151</v>
      </c>
      <c r="BI24" t="s">
        <v>175</v>
      </c>
      <c r="BJ24" t="s">
        <v>151</v>
      </c>
      <c r="BK24" t="s">
        <v>151</v>
      </c>
      <c r="BL24" t="s">
        <v>176</v>
      </c>
      <c r="BM24" t="s">
        <v>177</v>
      </c>
      <c r="BN24" t="s">
        <v>137</v>
      </c>
      <c r="BO24" t="s">
        <v>178</v>
      </c>
      <c r="BP24" t="s">
        <v>179</v>
      </c>
      <c r="BQ24" t="s">
        <v>180</v>
      </c>
      <c r="BR24" t="s">
        <v>154</v>
      </c>
      <c r="BS24" t="s">
        <v>181</v>
      </c>
      <c r="BT24" t="s">
        <v>182</v>
      </c>
      <c r="BU24" t="s">
        <v>182</v>
      </c>
      <c r="BV24" t="s">
        <v>182</v>
      </c>
      <c r="BW24" t="s">
        <v>151</v>
      </c>
      <c r="BX24" t="s">
        <v>183</v>
      </c>
      <c r="BY24" t="s">
        <v>151</v>
      </c>
      <c r="BZ24" t="s">
        <v>151</v>
      </c>
      <c r="CA24" t="s">
        <v>151</v>
      </c>
      <c r="CB24" t="s">
        <v>151</v>
      </c>
      <c r="CC24" t="s">
        <v>752</v>
      </c>
      <c r="CD24" t="s">
        <v>753</v>
      </c>
      <c r="CE24" t="s">
        <v>754</v>
      </c>
      <c r="CF24" t="s">
        <v>755</v>
      </c>
      <c r="CG24" t="s">
        <v>756</v>
      </c>
      <c r="CH24" t="s">
        <v>757</v>
      </c>
      <c r="CI24" t="s">
        <v>758</v>
      </c>
      <c r="CJ24" t="s">
        <v>444</v>
      </c>
      <c r="CK24" t="s">
        <v>740</v>
      </c>
      <c r="CL24" t="s">
        <v>560</v>
      </c>
      <c r="CM24" t="s">
        <v>193</v>
      </c>
      <c r="CN24" t="s">
        <v>194</v>
      </c>
      <c r="CO24" t="s">
        <v>154</v>
      </c>
      <c r="CP24" t="s">
        <v>195</v>
      </c>
      <c r="CQ24" t="s">
        <v>196</v>
      </c>
      <c r="CR24" t="s">
        <v>154</v>
      </c>
      <c r="CS24" t="s">
        <v>197</v>
      </c>
      <c r="CT24" t="s">
        <v>198</v>
      </c>
      <c r="CU24" t="s">
        <v>199</v>
      </c>
      <c r="CV24" t="s">
        <v>151</v>
      </c>
      <c r="CW24" t="s">
        <v>739</v>
      </c>
      <c r="CX24" t="s">
        <v>200</v>
      </c>
      <c r="CY24" t="s">
        <v>201</v>
      </c>
      <c r="CZ24" t="s">
        <v>202</v>
      </c>
      <c r="DA24" t="s">
        <v>203</v>
      </c>
      <c r="DB24" t="s">
        <v>204</v>
      </c>
      <c r="DC24" t="s">
        <v>205</v>
      </c>
    </row>
    <row r="25" spans="1:107" x14ac:dyDescent="0.45">
      <c r="A25" t="s">
        <v>360</v>
      </c>
      <c r="B25" t="s">
        <v>759</v>
      </c>
      <c r="C25" t="s">
        <v>139</v>
      </c>
      <c r="D25" t="s">
        <v>76</v>
      </c>
      <c r="E25" t="s">
        <v>140</v>
      </c>
      <c r="F25" t="s">
        <v>19</v>
      </c>
      <c r="G25" t="s">
        <v>362</v>
      </c>
      <c r="H25" t="s">
        <v>19</v>
      </c>
      <c r="I25" t="s">
        <v>19</v>
      </c>
      <c r="J25">
        <f t="shared" si="0"/>
        <v>0.23271127120082535</v>
      </c>
      <c r="K25">
        <f t="shared" si="1"/>
        <v>2.9050319999999994</v>
      </c>
      <c r="L25">
        <f t="shared" si="2"/>
        <v>0.21545219961235249</v>
      </c>
      <c r="M25">
        <f t="shared" si="3"/>
        <v>1.7623006738828542</v>
      </c>
      <c r="N25" t="s">
        <v>760</v>
      </c>
      <c r="O25" t="s">
        <v>761</v>
      </c>
      <c r="P25">
        <f t="shared" si="4"/>
        <v>2.4128088250586819</v>
      </c>
      <c r="Q25">
        <f t="shared" si="5"/>
        <v>0.81514582505868183</v>
      </c>
      <c r="R25" t="s">
        <v>762</v>
      </c>
      <c r="S25" t="s">
        <v>763</v>
      </c>
      <c r="T25">
        <f t="shared" si="6"/>
        <v>23.73410215481686</v>
      </c>
      <c r="U25">
        <f t="shared" si="7"/>
        <v>0.4417875</v>
      </c>
      <c r="V25" t="s">
        <v>146</v>
      </c>
      <c r="W25" t="s">
        <v>764</v>
      </c>
      <c r="X25" t="s">
        <v>765</v>
      </c>
      <c r="Y25" t="s">
        <v>766</v>
      </c>
      <c r="Z25" t="s">
        <v>767</v>
      </c>
      <c r="AA25" t="s">
        <v>151</v>
      </c>
      <c r="AB25" t="s">
        <v>151</v>
      </c>
      <c r="AC25" t="s">
        <v>151</v>
      </c>
      <c r="AD25" t="s">
        <v>152</v>
      </c>
      <c r="AE25" t="s">
        <v>153</v>
      </c>
      <c r="AF25">
        <f t="shared" si="8"/>
        <v>0</v>
      </c>
      <c r="AG25" t="s">
        <v>154</v>
      </c>
      <c r="AH25" t="s">
        <v>768</v>
      </c>
      <c r="AI25" t="s">
        <v>769</v>
      </c>
      <c r="AJ25" t="s">
        <v>373</v>
      </c>
      <c r="AK25" t="s">
        <v>770</v>
      </c>
      <c r="AL25">
        <f t="shared" si="9"/>
        <v>20.45</v>
      </c>
      <c r="AM25" t="s">
        <v>746</v>
      </c>
      <c r="AN25" t="s">
        <v>160</v>
      </c>
      <c r="AO25" t="s">
        <v>222</v>
      </c>
      <c r="AP25" t="s">
        <v>461</v>
      </c>
      <c r="AQ25" t="s">
        <v>163</v>
      </c>
      <c r="AR25" t="s">
        <v>699</v>
      </c>
      <c r="AS25" t="s">
        <v>626</v>
      </c>
      <c r="AT25" t="s">
        <v>139</v>
      </c>
      <c r="AU25" t="s">
        <v>627</v>
      </c>
      <c r="AV25" t="s">
        <v>137</v>
      </c>
      <c r="AW25" t="s">
        <v>377</v>
      </c>
      <c r="AX25" t="s">
        <v>771</v>
      </c>
      <c r="AY25" t="s">
        <v>169</v>
      </c>
      <c r="AZ25" t="s">
        <v>772</v>
      </c>
      <c r="BA25" t="s">
        <v>773</v>
      </c>
      <c r="BB25" t="s">
        <v>169</v>
      </c>
      <c r="BC25" t="s">
        <v>137</v>
      </c>
      <c r="BD25" t="s">
        <v>172</v>
      </c>
      <c r="BE25" t="s">
        <v>169</v>
      </c>
      <c r="BF25" t="s">
        <v>173</v>
      </c>
      <c r="BG25" t="s">
        <v>174</v>
      </c>
      <c r="BH25" t="s">
        <v>151</v>
      </c>
      <c r="BI25" t="s">
        <v>175</v>
      </c>
      <c r="BJ25" t="s">
        <v>151</v>
      </c>
      <c r="BK25" t="s">
        <v>151</v>
      </c>
      <c r="BL25" t="s">
        <v>176</v>
      </c>
      <c r="BM25" t="s">
        <v>177</v>
      </c>
      <c r="BN25" t="s">
        <v>137</v>
      </c>
      <c r="BO25" t="s">
        <v>178</v>
      </c>
      <c r="BP25" t="s">
        <v>179</v>
      </c>
      <c r="BQ25" t="s">
        <v>180</v>
      </c>
      <c r="BR25" t="s">
        <v>154</v>
      </c>
      <c r="BS25" t="s">
        <v>181</v>
      </c>
      <c r="BT25" t="s">
        <v>182</v>
      </c>
      <c r="BU25" t="s">
        <v>182</v>
      </c>
      <c r="BV25" t="s">
        <v>182</v>
      </c>
      <c r="BW25" t="s">
        <v>151</v>
      </c>
      <c r="BX25" t="s">
        <v>183</v>
      </c>
      <c r="BY25" t="s">
        <v>151</v>
      </c>
      <c r="BZ25" t="s">
        <v>151</v>
      </c>
      <c r="CA25" t="s">
        <v>151</v>
      </c>
      <c r="CB25" t="s">
        <v>151</v>
      </c>
      <c r="CC25" t="s">
        <v>774</v>
      </c>
      <c r="CD25" t="s">
        <v>775</v>
      </c>
      <c r="CE25" t="s">
        <v>776</v>
      </c>
      <c r="CF25" t="s">
        <v>777</v>
      </c>
      <c r="CG25" t="s">
        <v>778</v>
      </c>
      <c r="CH25" t="s">
        <v>779</v>
      </c>
      <c r="CI25" t="s">
        <v>780</v>
      </c>
      <c r="CJ25" t="s">
        <v>299</v>
      </c>
      <c r="CK25" t="s">
        <v>765</v>
      </c>
      <c r="CL25" t="s">
        <v>267</v>
      </c>
      <c r="CM25" t="s">
        <v>193</v>
      </c>
      <c r="CN25" t="s">
        <v>194</v>
      </c>
      <c r="CO25" t="s">
        <v>154</v>
      </c>
      <c r="CP25" t="s">
        <v>195</v>
      </c>
      <c r="CQ25" t="s">
        <v>196</v>
      </c>
      <c r="CR25" t="s">
        <v>154</v>
      </c>
      <c r="CS25" t="s">
        <v>197</v>
      </c>
      <c r="CT25" t="s">
        <v>198</v>
      </c>
      <c r="CU25" t="s">
        <v>199</v>
      </c>
      <c r="CV25" t="s">
        <v>151</v>
      </c>
      <c r="CW25" t="s">
        <v>764</v>
      </c>
      <c r="CX25" t="s">
        <v>200</v>
      </c>
      <c r="CY25" t="s">
        <v>201</v>
      </c>
      <c r="CZ25" t="s">
        <v>202</v>
      </c>
      <c r="DA25" t="s">
        <v>203</v>
      </c>
      <c r="DB25" t="s">
        <v>204</v>
      </c>
      <c r="DC25" t="s">
        <v>205</v>
      </c>
    </row>
    <row r="26" spans="1:107" x14ac:dyDescent="0.45">
      <c r="A26" t="s">
        <v>387</v>
      </c>
      <c r="B26" t="s">
        <v>781</v>
      </c>
      <c r="C26" t="s">
        <v>139</v>
      </c>
      <c r="D26" t="s">
        <v>76</v>
      </c>
      <c r="E26" t="s">
        <v>140</v>
      </c>
      <c r="F26" t="s">
        <v>19</v>
      </c>
      <c r="G26" t="s">
        <v>389</v>
      </c>
      <c r="H26" t="s">
        <v>19</v>
      </c>
      <c r="I26" t="s">
        <v>19</v>
      </c>
      <c r="J26">
        <f t="shared" si="0"/>
        <v>0.18421531350321949</v>
      </c>
      <c r="K26">
        <f t="shared" si="1"/>
        <v>2.9050319999999994</v>
      </c>
      <c r="L26">
        <f t="shared" si="2"/>
        <v>0.17323034587671804</v>
      </c>
      <c r="M26">
        <f t="shared" si="3"/>
        <v>1.5625450404825301</v>
      </c>
      <c r="N26" t="s">
        <v>782</v>
      </c>
      <c r="O26" t="s">
        <v>783</v>
      </c>
      <c r="P26">
        <f t="shared" si="4"/>
        <v>2.5020738626472876</v>
      </c>
      <c r="Q26">
        <f t="shared" si="5"/>
        <v>0.89848386264728752</v>
      </c>
      <c r="R26" t="s">
        <v>784</v>
      </c>
      <c r="S26" t="s">
        <v>785</v>
      </c>
      <c r="T26">
        <f t="shared" si="6"/>
        <v>24.612176496628837</v>
      </c>
      <c r="U26">
        <f t="shared" si="7"/>
        <v>0.4417875</v>
      </c>
      <c r="V26" t="s">
        <v>146</v>
      </c>
      <c r="W26" t="s">
        <v>786</v>
      </c>
      <c r="X26" t="s">
        <v>787</v>
      </c>
      <c r="Y26" t="s">
        <v>788</v>
      </c>
      <c r="Z26" t="s">
        <v>789</v>
      </c>
      <c r="AA26" t="s">
        <v>151</v>
      </c>
      <c r="AB26" t="s">
        <v>151</v>
      </c>
      <c r="AC26" t="s">
        <v>151</v>
      </c>
      <c r="AD26" t="s">
        <v>152</v>
      </c>
      <c r="AE26" t="s">
        <v>153</v>
      </c>
      <c r="AF26">
        <f t="shared" si="8"/>
        <v>0</v>
      </c>
      <c r="AG26" t="s">
        <v>154</v>
      </c>
      <c r="AH26" t="s">
        <v>790</v>
      </c>
      <c r="AI26" t="s">
        <v>791</v>
      </c>
      <c r="AJ26" t="s">
        <v>373</v>
      </c>
      <c r="AK26" t="s">
        <v>792</v>
      </c>
      <c r="AL26">
        <f t="shared" si="9"/>
        <v>21.04</v>
      </c>
      <c r="AM26" t="s">
        <v>746</v>
      </c>
      <c r="AN26" t="s">
        <v>160</v>
      </c>
      <c r="AO26" t="s">
        <v>793</v>
      </c>
      <c r="AP26" t="s">
        <v>794</v>
      </c>
      <c r="AQ26" t="s">
        <v>163</v>
      </c>
      <c r="AR26" t="s">
        <v>795</v>
      </c>
      <c r="AS26" t="s">
        <v>626</v>
      </c>
      <c r="AT26" t="s">
        <v>139</v>
      </c>
      <c r="AU26" t="s">
        <v>627</v>
      </c>
      <c r="AV26" t="s">
        <v>137</v>
      </c>
      <c r="AW26" t="s">
        <v>749</v>
      </c>
      <c r="AX26" t="s">
        <v>628</v>
      </c>
      <c r="AY26" t="s">
        <v>405</v>
      </c>
      <c r="AZ26" t="s">
        <v>796</v>
      </c>
      <c r="BA26" t="s">
        <v>797</v>
      </c>
      <c r="BB26" t="s">
        <v>798</v>
      </c>
      <c r="BC26" t="s">
        <v>137</v>
      </c>
      <c r="BD26" t="s">
        <v>172</v>
      </c>
      <c r="BE26" t="s">
        <v>169</v>
      </c>
      <c r="BF26" t="s">
        <v>173</v>
      </c>
      <c r="BG26" t="s">
        <v>174</v>
      </c>
      <c r="BH26" t="s">
        <v>151</v>
      </c>
      <c r="BI26" t="s">
        <v>175</v>
      </c>
      <c r="BJ26" t="s">
        <v>151</v>
      </c>
      <c r="BK26" t="s">
        <v>151</v>
      </c>
      <c r="BL26" t="s">
        <v>176</v>
      </c>
      <c r="BM26" t="s">
        <v>177</v>
      </c>
      <c r="BN26" t="s">
        <v>137</v>
      </c>
      <c r="BO26" t="s">
        <v>178</v>
      </c>
      <c r="BP26" t="s">
        <v>179</v>
      </c>
      <c r="BQ26" t="s">
        <v>180</v>
      </c>
      <c r="BR26" t="s">
        <v>154</v>
      </c>
      <c r="BS26" t="s">
        <v>181</v>
      </c>
      <c r="BT26" t="s">
        <v>182</v>
      </c>
      <c r="BU26" t="s">
        <v>182</v>
      </c>
      <c r="BV26" t="s">
        <v>182</v>
      </c>
      <c r="BW26" t="s">
        <v>151</v>
      </c>
      <c r="BX26" t="s">
        <v>183</v>
      </c>
      <c r="BY26" t="s">
        <v>151</v>
      </c>
      <c r="BZ26" t="s">
        <v>151</v>
      </c>
      <c r="CA26" t="s">
        <v>151</v>
      </c>
      <c r="CB26" t="s">
        <v>151</v>
      </c>
      <c r="CC26" t="s">
        <v>799</v>
      </c>
      <c r="CD26" t="s">
        <v>800</v>
      </c>
      <c r="CE26" t="s">
        <v>801</v>
      </c>
      <c r="CF26" t="s">
        <v>802</v>
      </c>
      <c r="CG26" t="s">
        <v>660</v>
      </c>
      <c r="CH26" t="s">
        <v>803</v>
      </c>
      <c r="CI26" t="s">
        <v>804</v>
      </c>
      <c r="CJ26" t="s">
        <v>299</v>
      </c>
      <c r="CK26" t="s">
        <v>787</v>
      </c>
      <c r="CL26" t="s">
        <v>530</v>
      </c>
      <c r="CM26" t="s">
        <v>193</v>
      </c>
      <c r="CN26" t="s">
        <v>194</v>
      </c>
      <c r="CO26" t="s">
        <v>154</v>
      </c>
      <c r="CP26" t="s">
        <v>195</v>
      </c>
      <c r="CQ26" t="s">
        <v>196</v>
      </c>
      <c r="CR26" t="s">
        <v>154</v>
      </c>
      <c r="CS26" t="s">
        <v>197</v>
      </c>
      <c r="CT26" t="s">
        <v>198</v>
      </c>
      <c r="CU26" t="s">
        <v>199</v>
      </c>
      <c r="CV26" t="s">
        <v>151</v>
      </c>
      <c r="CW26" t="s">
        <v>786</v>
      </c>
      <c r="CX26" t="s">
        <v>200</v>
      </c>
      <c r="CY26" t="s">
        <v>201</v>
      </c>
      <c r="CZ26" t="s">
        <v>202</v>
      </c>
      <c r="DA26" t="s">
        <v>203</v>
      </c>
      <c r="DB26" t="s">
        <v>204</v>
      </c>
      <c r="DC26" t="s">
        <v>205</v>
      </c>
    </row>
    <row r="27" spans="1:107" x14ac:dyDescent="0.45">
      <c r="A27" t="s">
        <v>417</v>
      </c>
      <c r="B27" t="s">
        <v>805</v>
      </c>
      <c r="C27" t="s">
        <v>139</v>
      </c>
      <c r="D27" t="s">
        <v>76</v>
      </c>
      <c r="E27" t="s">
        <v>140</v>
      </c>
      <c r="F27" t="s">
        <v>19</v>
      </c>
      <c r="G27" t="s">
        <v>419</v>
      </c>
      <c r="H27" t="s">
        <v>19</v>
      </c>
      <c r="I27" t="s">
        <v>19</v>
      </c>
      <c r="J27">
        <f t="shared" si="0"/>
        <v>0.1389672618626841</v>
      </c>
      <c r="K27">
        <f t="shared" si="1"/>
        <v>2.9042299199999997</v>
      </c>
      <c r="L27">
        <f t="shared" si="2"/>
        <v>0.13262133725920791</v>
      </c>
      <c r="M27">
        <f t="shared" si="3"/>
        <v>1.2518147765029009</v>
      </c>
      <c r="N27" t="s">
        <v>806</v>
      </c>
      <c r="O27" t="s">
        <v>807</v>
      </c>
      <c r="P27">
        <f t="shared" si="4"/>
        <v>2.5205792650741419</v>
      </c>
      <c r="Q27">
        <f t="shared" si="5"/>
        <v>0.94036926507414198</v>
      </c>
      <c r="R27" t="s">
        <v>808</v>
      </c>
      <c r="S27" t="s">
        <v>809</v>
      </c>
      <c r="T27">
        <f t="shared" si="6"/>
        <v>24.7917700902345</v>
      </c>
      <c r="U27">
        <f t="shared" si="7"/>
        <v>0.4417875</v>
      </c>
      <c r="V27" t="s">
        <v>146</v>
      </c>
      <c r="W27" t="s">
        <v>810</v>
      </c>
      <c r="X27" t="s">
        <v>811</v>
      </c>
      <c r="Y27" t="s">
        <v>812</v>
      </c>
      <c r="Z27" t="s">
        <v>813</v>
      </c>
      <c r="AA27" t="s">
        <v>151</v>
      </c>
      <c r="AB27" t="s">
        <v>151</v>
      </c>
      <c r="AC27" t="s">
        <v>151</v>
      </c>
      <c r="AD27" t="s">
        <v>152</v>
      </c>
      <c r="AE27" t="s">
        <v>153</v>
      </c>
      <c r="AF27">
        <f t="shared" si="8"/>
        <v>0</v>
      </c>
      <c r="AG27" t="s">
        <v>154</v>
      </c>
      <c r="AH27" t="s">
        <v>814</v>
      </c>
      <c r="AI27" t="s">
        <v>815</v>
      </c>
      <c r="AJ27" t="s">
        <v>373</v>
      </c>
      <c r="AK27" t="s">
        <v>816</v>
      </c>
      <c r="AL27">
        <f t="shared" si="9"/>
        <v>21.16</v>
      </c>
      <c r="AM27" t="s">
        <v>817</v>
      </c>
      <c r="AN27" t="s">
        <v>284</v>
      </c>
      <c r="AO27" t="s">
        <v>818</v>
      </c>
      <c r="AP27" t="s">
        <v>819</v>
      </c>
      <c r="AQ27" t="s">
        <v>163</v>
      </c>
      <c r="AR27" t="s">
        <v>820</v>
      </c>
      <c r="AS27" t="s">
        <v>626</v>
      </c>
      <c r="AT27" t="s">
        <v>139</v>
      </c>
      <c r="AU27" t="s">
        <v>627</v>
      </c>
      <c r="AV27" t="s">
        <v>137</v>
      </c>
      <c r="AW27" t="s">
        <v>821</v>
      </c>
      <c r="AX27" t="s">
        <v>822</v>
      </c>
      <c r="AY27" t="s">
        <v>169</v>
      </c>
      <c r="AZ27" t="s">
        <v>823</v>
      </c>
      <c r="BA27" t="s">
        <v>824</v>
      </c>
      <c r="BB27" t="s">
        <v>169</v>
      </c>
      <c r="BC27" t="s">
        <v>137</v>
      </c>
      <c r="BD27" t="s">
        <v>172</v>
      </c>
      <c r="BE27" t="s">
        <v>169</v>
      </c>
      <c r="BF27" t="s">
        <v>173</v>
      </c>
      <c r="BG27" t="s">
        <v>174</v>
      </c>
      <c r="BH27" t="s">
        <v>151</v>
      </c>
      <c r="BI27" t="s">
        <v>175</v>
      </c>
      <c r="BJ27" t="s">
        <v>151</v>
      </c>
      <c r="BK27" t="s">
        <v>151</v>
      </c>
      <c r="BL27" t="s">
        <v>176</v>
      </c>
      <c r="BM27" t="s">
        <v>177</v>
      </c>
      <c r="BN27" t="s">
        <v>137</v>
      </c>
      <c r="BO27" t="s">
        <v>178</v>
      </c>
      <c r="BP27" t="s">
        <v>179</v>
      </c>
      <c r="BQ27" t="s">
        <v>180</v>
      </c>
      <c r="BR27" t="s">
        <v>154</v>
      </c>
      <c r="BS27" t="s">
        <v>181</v>
      </c>
      <c r="BT27" t="s">
        <v>182</v>
      </c>
      <c r="BU27" t="s">
        <v>182</v>
      </c>
      <c r="BV27" t="s">
        <v>182</v>
      </c>
      <c r="BW27" t="s">
        <v>151</v>
      </c>
      <c r="BX27" t="s">
        <v>183</v>
      </c>
      <c r="BY27" t="s">
        <v>151</v>
      </c>
      <c r="BZ27" t="s">
        <v>151</v>
      </c>
      <c r="CA27" t="s">
        <v>151</v>
      </c>
      <c r="CB27" t="s">
        <v>151</v>
      </c>
      <c r="CC27" t="s">
        <v>825</v>
      </c>
      <c r="CD27" t="s">
        <v>826</v>
      </c>
      <c r="CE27" t="s">
        <v>827</v>
      </c>
      <c r="CF27" t="s">
        <v>828</v>
      </c>
      <c r="CG27" t="s">
        <v>829</v>
      </c>
      <c r="CH27" t="s">
        <v>830</v>
      </c>
      <c r="CI27" t="s">
        <v>831</v>
      </c>
      <c r="CJ27" t="s">
        <v>832</v>
      </c>
      <c r="CK27" t="s">
        <v>811</v>
      </c>
      <c r="CL27" t="s">
        <v>833</v>
      </c>
      <c r="CM27" t="s">
        <v>193</v>
      </c>
      <c r="CN27" t="s">
        <v>194</v>
      </c>
      <c r="CO27" t="s">
        <v>154</v>
      </c>
      <c r="CP27" t="s">
        <v>195</v>
      </c>
      <c r="CQ27" t="s">
        <v>196</v>
      </c>
      <c r="CR27" t="s">
        <v>154</v>
      </c>
      <c r="CS27" t="s">
        <v>197</v>
      </c>
      <c r="CT27" t="s">
        <v>198</v>
      </c>
      <c r="CU27" t="s">
        <v>199</v>
      </c>
      <c r="CV27" t="s">
        <v>151</v>
      </c>
      <c r="CW27" t="s">
        <v>810</v>
      </c>
      <c r="CX27" t="s">
        <v>200</v>
      </c>
      <c r="CY27" t="s">
        <v>201</v>
      </c>
      <c r="CZ27" t="s">
        <v>202</v>
      </c>
      <c r="DA27" t="s">
        <v>203</v>
      </c>
      <c r="DB27" t="s">
        <v>204</v>
      </c>
      <c r="DC27" t="s">
        <v>205</v>
      </c>
    </row>
    <row r="28" spans="1:107" x14ac:dyDescent="0.45">
      <c r="A28" t="s">
        <v>446</v>
      </c>
      <c r="B28" t="s">
        <v>834</v>
      </c>
      <c r="C28" t="s">
        <v>139</v>
      </c>
      <c r="D28" t="s">
        <v>76</v>
      </c>
      <c r="E28" t="s">
        <v>140</v>
      </c>
      <c r="F28" t="s">
        <v>19</v>
      </c>
      <c r="G28" t="s">
        <v>448</v>
      </c>
      <c r="H28" t="s">
        <v>19</v>
      </c>
      <c r="I28" t="s">
        <v>19</v>
      </c>
      <c r="J28">
        <f t="shared" si="0"/>
        <v>0.21244144244467636</v>
      </c>
      <c r="K28">
        <f t="shared" si="1"/>
        <v>2.9042299199999997</v>
      </c>
      <c r="L28">
        <f t="shared" si="2"/>
        <v>0.19796081191949505</v>
      </c>
      <c r="M28">
        <f t="shared" si="3"/>
        <v>1.6538646328304087</v>
      </c>
      <c r="N28" t="s">
        <v>835</v>
      </c>
      <c r="O28" t="s">
        <v>836</v>
      </c>
      <c r="P28">
        <f t="shared" si="4"/>
        <v>2.4593565919416194</v>
      </c>
      <c r="Q28">
        <f t="shared" si="5"/>
        <v>0.83232859194161946</v>
      </c>
      <c r="R28" t="s">
        <v>837</v>
      </c>
      <c r="S28" t="s">
        <v>838</v>
      </c>
      <c r="T28">
        <f t="shared" si="6"/>
        <v>24.189599605996058</v>
      </c>
      <c r="U28">
        <f t="shared" si="7"/>
        <v>0.4417875</v>
      </c>
      <c r="V28" t="s">
        <v>146</v>
      </c>
      <c r="W28" t="s">
        <v>839</v>
      </c>
      <c r="X28" t="s">
        <v>840</v>
      </c>
      <c r="Y28" t="s">
        <v>841</v>
      </c>
      <c r="Z28" t="s">
        <v>842</v>
      </c>
      <c r="AA28" t="s">
        <v>151</v>
      </c>
      <c r="AB28" t="s">
        <v>151</v>
      </c>
      <c r="AC28" t="s">
        <v>151</v>
      </c>
      <c r="AD28" t="s">
        <v>152</v>
      </c>
      <c r="AE28" t="s">
        <v>153</v>
      </c>
      <c r="AF28">
        <f t="shared" si="8"/>
        <v>0</v>
      </c>
      <c r="AG28" t="s">
        <v>154</v>
      </c>
      <c r="AH28" t="s">
        <v>843</v>
      </c>
      <c r="AI28" t="s">
        <v>844</v>
      </c>
      <c r="AJ28" t="s">
        <v>343</v>
      </c>
      <c r="AK28" t="s">
        <v>845</v>
      </c>
      <c r="AL28">
        <f t="shared" si="9"/>
        <v>20.76</v>
      </c>
      <c r="AM28" t="s">
        <v>817</v>
      </c>
      <c r="AN28" t="s">
        <v>284</v>
      </c>
      <c r="AO28" t="s">
        <v>846</v>
      </c>
      <c r="AP28" t="s">
        <v>847</v>
      </c>
      <c r="AQ28" t="s">
        <v>163</v>
      </c>
      <c r="AR28" t="s">
        <v>820</v>
      </c>
      <c r="AS28" t="s">
        <v>626</v>
      </c>
      <c r="AT28" t="s">
        <v>139</v>
      </c>
      <c r="AU28" t="s">
        <v>627</v>
      </c>
      <c r="AV28" t="s">
        <v>137</v>
      </c>
      <c r="AW28" t="s">
        <v>848</v>
      </c>
      <c r="AX28" t="s">
        <v>849</v>
      </c>
      <c r="AY28" t="s">
        <v>169</v>
      </c>
      <c r="AZ28" t="s">
        <v>850</v>
      </c>
      <c r="BA28" t="s">
        <v>851</v>
      </c>
      <c r="BB28" t="s">
        <v>169</v>
      </c>
      <c r="BC28" t="s">
        <v>137</v>
      </c>
      <c r="BD28" t="s">
        <v>172</v>
      </c>
      <c r="BE28" t="s">
        <v>169</v>
      </c>
      <c r="BF28" t="s">
        <v>173</v>
      </c>
      <c r="BG28" t="s">
        <v>174</v>
      </c>
      <c r="BH28" t="s">
        <v>151</v>
      </c>
      <c r="BI28" t="s">
        <v>175</v>
      </c>
      <c r="BJ28" t="s">
        <v>151</v>
      </c>
      <c r="BK28" t="s">
        <v>151</v>
      </c>
      <c r="BL28" t="s">
        <v>176</v>
      </c>
      <c r="BM28" t="s">
        <v>177</v>
      </c>
      <c r="BN28" t="s">
        <v>137</v>
      </c>
      <c r="BO28" t="s">
        <v>178</v>
      </c>
      <c r="BP28" t="s">
        <v>179</v>
      </c>
      <c r="BQ28" t="s">
        <v>180</v>
      </c>
      <c r="BR28" t="s">
        <v>154</v>
      </c>
      <c r="BS28" t="s">
        <v>181</v>
      </c>
      <c r="BT28" t="s">
        <v>182</v>
      </c>
      <c r="BU28" t="s">
        <v>182</v>
      </c>
      <c r="BV28" t="s">
        <v>182</v>
      </c>
      <c r="BW28" t="s">
        <v>151</v>
      </c>
      <c r="BX28" t="s">
        <v>183</v>
      </c>
      <c r="BY28" t="s">
        <v>151</v>
      </c>
      <c r="BZ28" t="s">
        <v>151</v>
      </c>
      <c r="CA28" t="s">
        <v>151</v>
      </c>
      <c r="CB28" t="s">
        <v>151</v>
      </c>
      <c r="CC28" t="s">
        <v>852</v>
      </c>
      <c r="CD28" t="s">
        <v>853</v>
      </c>
      <c r="CE28" t="s">
        <v>854</v>
      </c>
      <c r="CF28" t="s">
        <v>855</v>
      </c>
      <c r="CG28" t="s">
        <v>856</v>
      </c>
      <c r="CH28" t="s">
        <v>857</v>
      </c>
      <c r="CI28" t="s">
        <v>858</v>
      </c>
      <c r="CJ28" t="s">
        <v>444</v>
      </c>
      <c r="CK28" t="s">
        <v>840</v>
      </c>
      <c r="CL28" t="s">
        <v>833</v>
      </c>
      <c r="CM28" t="s">
        <v>193</v>
      </c>
      <c r="CN28" t="s">
        <v>194</v>
      </c>
      <c r="CO28" t="s">
        <v>154</v>
      </c>
      <c r="CP28" t="s">
        <v>195</v>
      </c>
      <c r="CQ28" t="s">
        <v>196</v>
      </c>
      <c r="CR28" t="s">
        <v>154</v>
      </c>
      <c r="CS28" t="s">
        <v>197</v>
      </c>
      <c r="CT28" t="s">
        <v>198</v>
      </c>
      <c r="CU28" t="s">
        <v>199</v>
      </c>
      <c r="CV28" t="s">
        <v>151</v>
      </c>
      <c r="CW28" t="s">
        <v>839</v>
      </c>
      <c r="CX28" t="s">
        <v>200</v>
      </c>
      <c r="CY28" t="s">
        <v>201</v>
      </c>
      <c r="CZ28" t="s">
        <v>202</v>
      </c>
      <c r="DA28" t="s">
        <v>203</v>
      </c>
      <c r="DB28" t="s">
        <v>204</v>
      </c>
      <c r="DC28" t="s">
        <v>205</v>
      </c>
    </row>
    <row r="29" spans="1:107" x14ac:dyDescent="0.45">
      <c r="A29" t="s">
        <v>137</v>
      </c>
      <c r="B29" t="s">
        <v>859</v>
      </c>
      <c r="C29" t="s">
        <v>139</v>
      </c>
      <c r="D29" t="s">
        <v>76</v>
      </c>
      <c r="E29" t="s">
        <v>140</v>
      </c>
      <c r="F29" t="s">
        <v>19</v>
      </c>
      <c r="G29" t="s">
        <v>141</v>
      </c>
      <c r="H29" t="s">
        <v>19</v>
      </c>
      <c r="I29" t="s">
        <v>19</v>
      </c>
      <c r="J29">
        <f t="shared" si="0"/>
        <v>9.4130533139033037E-3</v>
      </c>
      <c r="K29">
        <f t="shared" si="1"/>
        <v>2.9050319999999994</v>
      </c>
      <c r="L29">
        <f t="shared" si="2"/>
        <v>9.382651103166946E-3</v>
      </c>
      <c r="M29">
        <f t="shared" si="3"/>
        <v>0.1084728788862296</v>
      </c>
      <c r="N29" t="s">
        <v>860</v>
      </c>
      <c r="O29" t="s">
        <v>861</v>
      </c>
      <c r="P29">
        <f t="shared" si="4"/>
        <v>2.5894618753487859</v>
      </c>
      <c r="Q29">
        <f t="shared" si="5"/>
        <v>1.1522718753487859</v>
      </c>
      <c r="R29" t="s">
        <v>862</v>
      </c>
      <c r="S29" t="s">
        <v>863</v>
      </c>
      <c r="T29">
        <f t="shared" si="6"/>
        <v>25.466776901541952</v>
      </c>
      <c r="U29">
        <f t="shared" si="7"/>
        <v>0.4417875</v>
      </c>
      <c r="V29" t="s">
        <v>146</v>
      </c>
      <c r="W29" t="s">
        <v>864</v>
      </c>
      <c r="X29" t="s">
        <v>865</v>
      </c>
      <c r="Y29" t="s">
        <v>866</v>
      </c>
      <c r="Z29" t="s">
        <v>867</v>
      </c>
      <c r="AA29" t="s">
        <v>151</v>
      </c>
      <c r="AB29" t="s">
        <v>151</v>
      </c>
      <c r="AC29" t="s">
        <v>151</v>
      </c>
      <c r="AD29" t="s">
        <v>152</v>
      </c>
      <c r="AE29" t="s">
        <v>153</v>
      </c>
      <c r="AF29">
        <f t="shared" si="8"/>
        <v>0</v>
      </c>
      <c r="AG29" t="s">
        <v>154</v>
      </c>
      <c r="AH29" t="s">
        <v>868</v>
      </c>
      <c r="AI29" t="s">
        <v>869</v>
      </c>
      <c r="AJ29" t="s">
        <v>870</v>
      </c>
      <c r="AK29" t="s">
        <v>871</v>
      </c>
      <c r="AL29">
        <f t="shared" si="9"/>
        <v>21.6</v>
      </c>
      <c r="AM29" t="s">
        <v>872</v>
      </c>
      <c r="AN29" t="s">
        <v>160</v>
      </c>
      <c r="AO29" t="s">
        <v>873</v>
      </c>
      <c r="AP29" t="s">
        <v>874</v>
      </c>
      <c r="AQ29" t="s">
        <v>163</v>
      </c>
      <c r="AR29" t="s">
        <v>875</v>
      </c>
      <c r="AS29" t="s">
        <v>876</v>
      </c>
      <c r="AT29" t="s">
        <v>139</v>
      </c>
      <c r="AU29" t="s">
        <v>877</v>
      </c>
      <c r="AV29" t="s">
        <v>137</v>
      </c>
      <c r="AW29" t="s">
        <v>463</v>
      </c>
      <c r="AX29" t="s">
        <v>878</v>
      </c>
      <c r="AY29" t="s">
        <v>169</v>
      </c>
      <c r="AZ29" t="s">
        <v>628</v>
      </c>
      <c r="BA29" t="s">
        <v>879</v>
      </c>
      <c r="BB29" t="s">
        <v>169</v>
      </c>
      <c r="BC29" t="s">
        <v>137</v>
      </c>
      <c r="BD29" t="s">
        <v>172</v>
      </c>
      <c r="BE29" t="s">
        <v>169</v>
      </c>
      <c r="BF29" t="s">
        <v>173</v>
      </c>
      <c r="BG29" t="s">
        <v>174</v>
      </c>
      <c r="BH29" t="s">
        <v>151</v>
      </c>
      <c r="BI29" t="s">
        <v>175</v>
      </c>
      <c r="BJ29" t="s">
        <v>151</v>
      </c>
      <c r="BK29" t="s">
        <v>151</v>
      </c>
      <c r="BL29" t="s">
        <v>176</v>
      </c>
      <c r="BM29" t="s">
        <v>177</v>
      </c>
      <c r="BN29" t="s">
        <v>137</v>
      </c>
      <c r="BO29" t="s">
        <v>178</v>
      </c>
      <c r="BP29" t="s">
        <v>179</v>
      </c>
      <c r="BQ29" t="s">
        <v>180</v>
      </c>
      <c r="BR29" t="s">
        <v>154</v>
      </c>
      <c r="BS29" t="s">
        <v>181</v>
      </c>
      <c r="BT29" t="s">
        <v>182</v>
      </c>
      <c r="BU29" t="s">
        <v>182</v>
      </c>
      <c r="BV29" t="s">
        <v>182</v>
      </c>
      <c r="BW29" t="s">
        <v>151</v>
      </c>
      <c r="BX29" t="s">
        <v>183</v>
      </c>
      <c r="BY29" t="s">
        <v>151</v>
      </c>
      <c r="BZ29" t="s">
        <v>151</v>
      </c>
      <c r="CA29" t="s">
        <v>151</v>
      </c>
      <c r="CB29" t="s">
        <v>151</v>
      </c>
      <c r="CC29" t="s">
        <v>880</v>
      </c>
      <c r="CD29" t="s">
        <v>881</v>
      </c>
      <c r="CE29" t="s">
        <v>882</v>
      </c>
      <c r="CF29" t="s">
        <v>883</v>
      </c>
      <c r="CG29" t="s">
        <v>884</v>
      </c>
      <c r="CH29" t="s">
        <v>885</v>
      </c>
      <c r="CI29" t="s">
        <v>886</v>
      </c>
      <c r="CJ29" t="s">
        <v>887</v>
      </c>
      <c r="CK29" t="s">
        <v>865</v>
      </c>
      <c r="CL29" t="s">
        <v>329</v>
      </c>
      <c r="CM29" t="s">
        <v>193</v>
      </c>
      <c r="CN29" t="s">
        <v>194</v>
      </c>
      <c r="CO29" t="s">
        <v>154</v>
      </c>
      <c r="CP29" t="s">
        <v>195</v>
      </c>
      <c r="CQ29" t="s">
        <v>196</v>
      </c>
      <c r="CR29" t="s">
        <v>154</v>
      </c>
      <c r="CS29" t="s">
        <v>197</v>
      </c>
      <c r="CT29" t="s">
        <v>198</v>
      </c>
      <c r="CU29" t="s">
        <v>199</v>
      </c>
      <c r="CV29" t="s">
        <v>151</v>
      </c>
      <c r="CW29" t="s">
        <v>864</v>
      </c>
      <c r="CX29" t="s">
        <v>200</v>
      </c>
      <c r="CY29" t="s">
        <v>201</v>
      </c>
      <c r="CZ29" t="s">
        <v>202</v>
      </c>
      <c r="DA29" t="s">
        <v>203</v>
      </c>
      <c r="DB29" t="s">
        <v>204</v>
      </c>
      <c r="DC29" t="s">
        <v>205</v>
      </c>
    </row>
    <row r="30" spans="1:107" x14ac:dyDescent="0.45">
      <c r="A30" t="s">
        <v>206</v>
      </c>
      <c r="B30" t="s">
        <v>888</v>
      </c>
      <c r="C30" t="s">
        <v>139</v>
      </c>
      <c r="D30" t="s">
        <v>76</v>
      </c>
      <c r="E30" t="s">
        <v>140</v>
      </c>
      <c r="F30" t="s">
        <v>19</v>
      </c>
      <c r="G30" t="s">
        <v>208</v>
      </c>
      <c r="H30" t="s">
        <v>19</v>
      </c>
      <c r="I30" t="s">
        <v>19</v>
      </c>
      <c r="J30">
        <f t="shared" si="0"/>
        <v>-6.0273586447306239E-3</v>
      </c>
      <c r="K30">
        <f t="shared" si="1"/>
        <v>2.9058327199999998</v>
      </c>
      <c r="L30">
        <f t="shared" si="2"/>
        <v>-6.0398867449667137E-3</v>
      </c>
      <c r="M30">
        <f t="shared" si="3"/>
        <v>-6.772566522010523E-2</v>
      </c>
      <c r="N30" t="s">
        <v>889</v>
      </c>
      <c r="O30" t="s">
        <v>890</v>
      </c>
      <c r="P30">
        <f t="shared" si="4"/>
        <v>2.6470405577866654</v>
      </c>
      <c r="Q30">
        <f t="shared" si="5"/>
        <v>1.1167845577866653</v>
      </c>
      <c r="R30" t="s">
        <v>891</v>
      </c>
      <c r="S30" t="s">
        <v>892</v>
      </c>
      <c r="T30">
        <f t="shared" si="6"/>
        <v>26.030490291932988</v>
      </c>
      <c r="U30">
        <f t="shared" si="7"/>
        <v>0.4417875</v>
      </c>
      <c r="V30" t="s">
        <v>146</v>
      </c>
      <c r="W30" t="s">
        <v>893</v>
      </c>
      <c r="X30" t="s">
        <v>894</v>
      </c>
      <c r="Y30" t="s">
        <v>895</v>
      </c>
      <c r="Z30" t="s">
        <v>896</v>
      </c>
      <c r="AA30" t="s">
        <v>151</v>
      </c>
      <c r="AB30" t="s">
        <v>151</v>
      </c>
      <c r="AC30" t="s">
        <v>151</v>
      </c>
      <c r="AD30" t="s">
        <v>152</v>
      </c>
      <c r="AE30" t="s">
        <v>153</v>
      </c>
      <c r="AF30">
        <f t="shared" si="8"/>
        <v>0</v>
      </c>
      <c r="AG30" t="s">
        <v>154</v>
      </c>
      <c r="AH30" t="s">
        <v>897</v>
      </c>
      <c r="AI30" t="s">
        <v>898</v>
      </c>
      <c r="AJ30" t="s">
        <v>899</v>
      </c>
      <c r="AK30" t="s">
        <v>900</v>
      </c>
      <c r="AL30">
        <f t="shared" si="9"/>
        <v>21.96</v>
      </c>
      <c r="AM30" t="s">
        <v>901</v>
      </c>
      <c r="AN30" t="s">
        <v>345</v>
      </c>
      <c r="AO30" t="s">
        <v>902</v>
      </c>
      <c r="AP30" t="s">
        <v>903</v>
      </c>
      <c r="AQ30" t="s">
        <v>163</v>
      </c>
      <c r="AR30" t="s">
        <v>904</v>
      </c>
      <c r="AS30" t="s">
        <v>876</v>
      </c>
      <c r="AT30" t="s">
        <v>139</v>
      </c>
      <c r="AU30" t="s">
        <v>877</v>
      </c>
      <c r="AV30" t="s">
        <v>137</v>
      </c>
      <c r="AW30" t="s">
        <v>905</v>
      </c>
      <c r="AX30" t="s">
        <v>906</v>
      </c>
      <c r="AY30" t="s">
        <v>169</v>
      </c>
      <c r="AZ30" t="s">
        <v>550</v>
      </c>
      <c r="BA30" t="s">
        <v>907</v>
      </c>
      <c r="BB30" t="s">
        <v>169</v>
      </c>
      <c r="BC30" t="s">
        <v>137</v>
      </c>
      <c r="BD30" t="s">
        <v>172</v>
      </c>
      <c r="BE30" t="s">
        <v>169</v>
      </c>
      <c r="BF30" t="s">
        <v>173</v>
      </c>
      <c r="BG30" t="s">
        <v>174</v>
      </c>
      <c r="BH30" t="s">
        <v>151</v>
      </c>
      <c r="BI30" t="s">
        <v>175</v>
      </c>
      <c r="BJ30" t="s">
        <v>151</v>
      </c>
      <c r="BK30" t="s">
        <v>151</v>
      </c>
      <c r="BL30" t="s">
        <v>176</v>
      </c>
      <c r="BM30" t="s">
        <v>177</v>
      </c>
      <c r="BN30" t="s">
        <v>137</v>
      </c>
      <c r="BO30" t="s">
        <v>178</v>
      </c>
      <c r="BP30" t="s">
        <v>179</v>
      </c>
      <c r="BQ30" t="s">
        <v>180</v>
      </c>
      <c r="BR30" t="s">
        <v>154</v>
      </c>
      <c r="BS30" t="s">
        <v>181</v>
      </c>
      <c r="BT30" t="s">
        <v>182</v>
      </c>
      <c r="BU30" t="s">
        <v>182</v>
      </c>
      <c r="BV30" t="s">
        <v>182</v>
      </c>
      <c r="BW30" t="s">
        <v>151</v>
      </c>
      <c r="BX30" t="s">
        <v>183</v>
      </c>
      <c r="BY30" t="s">
        <v>151</v>
      </c>
      <c r="BZ30" t="s">
        <v>151</v>
      </c>
      <c r="CA30" t="s">
        <v>151</v>
      </c>
      <c r="CB30" t="s">
        <v>151</v>
      </c>
      <c r="CC30" t="s">
        <v>908</v>
      </c>
      <c r="CD30" t="s">
        <v>909</v>
      </c>
      <c r="CE30" t="s">
        <v>910</v>
      </c>
      <c r="CF30" t="s">
        <v>911</v>
      </c>
      <c r="CG30" t="s">
        <v>912</v>
      </c>
      <c r="CH30" t="s">
        <v>913</v>
      </c>
      <c r="CI30" t="s">
        <v>914</v>
      </c>
      <c r="CJ30" t="s">
        <v>299</v>
      </c>
      <c r="CK30" t="s">
        <v>894</v>
      </c>
      <c r="CL30" t="s">
        <v>359</v>
      </c>
      <c r="CM30" t="s">
        <v>193</v>
      </c>
      <c r="CN30" t="s">
        <v>194</v>
      </c>
      <c r="CO30" t="s">
        <v>154</v>
      </c>
      <c r="CP30" t="s">
        <v>195</v>
      </c>
      <c r="CQ30" t="s">
        <v>196</v>
      </c>
      <c r="CR30" t="s">
        <v>154</v>
      </c>
      <c r="CS30" t="s">
        <v>197</v>
      </c>
      <c r="CT30" t="s">
        <v>198</v>
      </c>
      <c r="CU30" t="s">
        <v>199</v>
      </c>
      <c r="CV30" t="s">
        <v>151</v>
      </c>
      <c r="CW30" t="s">
        <v>893</v>
      </c>
      <c r="CX30" t="s">
        <v>200</v>
      </c>
      <c r="CY30" t="s">
        <v>201</v>
      </c>
      <c r="CZ30" t="s">
        <v>202</v>
      </c>
      <c r="DA30" t="s">
        <v>203</v>
      </c>
      <c r="DB30" t="s">
        <v>204</v>
      </c>
      <c r="DC30" t="s">
        <v>205</v>
      </c>
    </row>
    <row r="31" spans="1:107" x14ac:dyDescent="0.45">
      <c r="A31" t="s">
        <v>238</v>
      </c>
      <c r="B31" t="s">
        <v>915</v>
      </c>
      <c r="C31" t="s">
        <v>139</v>
      </c>
      <c r="D31" t="s">
        <v>76</v>
      </c>
      <c r="E31" t="s">
        <v>140</v>
      </c>
      <c r="F31" t="s">
        <v>19</v>
      </c>
      <c r="G31" t="s">
        <v>240</v>
      </c>
      <c r="H31" t="s">
        <v>19</v>
      </c>
      <c r="I31" t="s">
        <v>19</v>
      </c>
      <c r="J31">
        <f t="shared" si="0"/>
        <v>1.6168543634638821E-2</v>
      </c>
      <c r="K31">
        <f t="shared" si="1"/>
        <v>2.9066320800000001</v>
      </c>
      <c r="L31">
        <f t="shared" si="2"/>
        <v>1.6079101405445599E-2</v>
      </c>
      <c r="M31">
        <f t="shared" si="3"/>
        <v>0.17453670578254502</v>
      </c>
      <c r="N31" t="s">
        <v>916</v>
      </c>
      <c r="O31" t="s">
        <v>917</v>
      </c>
      <c r="P31">
        <f t="shared" si="4"/>
        <v>2.6101264041320711</v>
      </c>
      <c r="Q31">
        <f t="shared" si="5"/>
        <v>1.081519404132071</v>
      </c>
      <c r="R31" t="s">
        <v>918</v>
      </c>
      <c r="S31" t="s">
        <v>919</v>
      </c>
      <c r="T31">
        <f t="shared" si="6"/>
        <v>25.664959725979067</v>
      </c>
      <c r="U31">
        <f t="shared" si="7"/>
        <v>0.4417875</v>
      </c>
      <c r="V31" t="s">
        <v>146</v>
      </c>
      <c r="W31" t="s">
        <v>920</v>
      </c>
      <c r="X31" t="s">
        <v>921</v>
      </c>
      <c r="Y31" t="s">
        <v>922</v>
      </c>
      <c r="Z31" t="s">
        <v>923</v>
      </c>
      <c r="AA31" t="s">
        <v>151</v>
      </c>
      <c r="AB31" t="s">
        <v>151</v>
      </c>
      <c r="AC31" t="s">
        <v>151</v>
      </c>
      <c r="AD31" t="s">
        <v>152</v>
      </c>
      <c r="AE31" t="s">
        <v>153</v>
      </c>
      <c r="AF31">
        <f t="shared" si="8"/>
        <v>0</v>
      </c>
      <c r="AG31" t="s">
        <v>154</v>
      </c>
      <c r="AH31" t="s">
        <v>924</v>
      </c>
      <c r="AI31" t="s">
        <v>925</v>
      </c>
      <c r="AJ31" t="s">
        <v>926</v>
      </c>
      <c r="AK31" t="s">
        <v>927</v>
      </c>
      <c r="AL31">
        <f t="shared" si="9"/>
        <v>21.73</v>
      </c>
      <c r="AM31" t="s">
        <v>928</v>
      </c>
      <c r="AN31" t="s">
        <v>401</v>
      </c>
      <c r="AO31" t="s">
        <v>929</v>
      </c>
      <c r="AP31" t="s">
        <v>930</v>
      </c>
      <c r="AQ31" t="s">
        <v>163</v>
      </c>
      <c r="AR31" t="s">
        <v>931</v>
      </c>
      <c r="AS31" t="s">
        <v>876</v>
      </c>
      <c r="AT31" t="s">
        <v>139</v>
      </c>
      <c r="AU31" t="s">
        <v>877</v>
      </c>
      <c r="AV31" t="s">
        <v>137</v>
      </c>
      <c r="AW31" t="s">
        <v>548</v>
      </c>
      <c r="AX31" t="s">
        <v>932</v>
      </c>
      <c r="AY31" t="s">
        <v>169</v>
      </c>
      <c r="AZ31" t="s">
        <v>496</v>
      </c>
      <c r="BA31" t="s">
        <v>933</v>
      </c>
      <c r="BB31" t="s">
        <v>169</v>
      </c>
      <c r="BC31" t="s">
        <v>137</v>
      </c>
      <c r="BD31" t="s">
        <v>172</v>
      </c>
      <c r="BE31" t="s">
        <v>169</v>
      </c>
      <c r="BF31" t="s">
        <v>173</v>
      </c>
      <c r="BG31" t="s">
        <v>174</v>
      </c>
      <c r="BH31" t="s">
        <v>151</v>
      </c>
      <c r="BI31" t="s">
        <v>175</v>
      </c>
      <c r="BJ31" t="s">
        <v>151</v>
      </c>
      <c r="BK31" t="s">
        <v>151</v>
      </c>
      <c r="BL31" t="s">
        <v>176</v>
      </c>
      <c r="BM31" t="s">
        <v>177</v>
      </c>
      <c r="BN31" t="s">
        <v>137</v>
      </c>
      <c r="BO31" t="s">
        <v>178</v>
      </c>
      <c r="BP31" t="s">
        <v>179</v>
      </c>
      <c r="BQ31" t="s">
        <v>180</v>
      </c>
      <c r="BR31" t="s">
        <v>154</v>
      </c>
      <c r="BS31" t="s">
        <v>181</v>
      </c>
      <c r="BT31" t="s">
        <v>182</v>
      </c>
      <c r="BU31" t="s">
        <v>182</v>
      </c>
      <c r="BV31" t="s">
        <v>182</v>
      </c>
      <c r="BW31" t="s">
        <v>151</v>
      </c>
      <c r="BX31" t="s">
        <v>183</v>
      </c>
      <c r="BY31" t="s">
        <v>151</v>
      </c>
      <c r="BZ31" t="s">
        <v>151</v>
      </c>
      <c r="CA31" t="s">
        <v>151</v>
      </c>
      <c r="CB31" t="s">
        <v>151</v>
      </c>
      <c r="CC31" t="s">
        <v>934</v>
      </c>
      <c r="CD31" t="s">
        <v>935</v>
      </c>
      <c r="CE31" t="s">
        <v>936</v>
      </c>
      <c r="CF31" t="s">
        <v>937</v>
      </c>
      <c r="CG31" t="s">
        <v>938</v>
      </c>
      <c r="CH31" t="s">
        <v>939</v>
      </c>
      <c r="CI31" t="s">
        <v>940</v>
      </c>
      <c r="CJ31" t="s">
        <v>299</v>
      </c>
      <c r="CK31" t="s">
        <v>921</v>
      </c>
      <c r="CL31" t="s">
        <v>329</v>
      </c>
      <c r="CM31" t="s">
        <v>193</v>
      </c>
      <c r="CN31" t="s">
        <v>194</v>
      </c>
      <c r="CO31" t="s">
        <v>154</v>
      </c>
      <c r="CP31" t="s">
        <v>195</v>
      </c>
      <c r="CQ31" t="s">
        <v>196</v>
      </c>
      <c r="CR31" t="s">
        <v>154</v>
      </c>
      <c r="CS31" t="s">
        <v>197</v>
      </c>
      <c r="CT31" t="s">
        <v>198</v>
      </c>
      <c r="CU31" t="s">
        <v>199</v>
      </c>
      <c r="CV31" t="s">
        <v>151</v>
      </c>
      <c r="CW31" t="s">
        <v>920</v>
      </c>
      <c r="CX31" t="s">
        <v>200</v>
      </c>
      <c r="CY31" t="s">
        <v>201</v>
      </c>
      <c r="CZ31" t="s">
        <v>202</v>
      </c>
      <c r="DA31" t="s">
        <v>203</v>
      </c>
      <c r="DB31" t="s">
        <v>204</v>
      </c>
      <c r="DC31" t="s">
        <v>205</v>
      </c>
    </row>
    <row r="32" spans="1:107" x14ac:dyDescent="0.45">
      <c r="A32" t="s">
        <v>268</v>
      </c>
      <c r="B32" t="s">
        <v>941</v>
      </c>
      <c r="C32" t="s">
        <v>139</v>
      </c>
      <c r="D32" t="s">
        <v>76</v>
      </c>
      <c r="E32" t="s">
        <v>140</v>
      </c>
      <c r="F32" t="s">
        <v>19</v>
      </c>
      <c r="G32" t="s">
        <v>270</v>
      </c>
      <c r="H32" t="s">
        <v>19</v>
      </c>
      <c r="I32" t="s">
        <v>19</v>
      </c>
      <c r="J32">
        <f t="shared" si="0"/>
        <v>2.5984728477371011E-3</v>
      </c>
      <c r="K32">
        <f t="shared" si="1"/>
        <v>2.9050319999999994</v>
      </c>
      <c r="L32">
        <f t="shared" si="2"/>
        <v>2.5961506609243406E-3</v>
      </c>
      <c r="M32">
        <f t="shared" si="3"/>
        <v>2.8441224701581412E-2</v>
      </c>
      <c r="N32" t="s">
        <v>942</v>
      </c>
      <c r="O32" t="s">
        <v>943</v>
      </c>
      <c r="P32">
        <f t="shared" si="4"/>
        <v>2.6373669925541123</v>
      </c>
      <c r="Q32">
        <f t="shared" si="5"/>
        <v>1.0910409925541122</v>
      </c>
      <c r="R32" t="s">
        <v>944</v>
      </c>
      <c r="S32" t="s">
        <v>945</v>
      </c>
      <c r="T32">
        <f t="shared" si="6"/>
        <v>25.935362302626732</v>
      </c>
      <c r="U32">
        <f t="shared" si="7"/>
        <v>0.4417875</v>
      </c>
      <c r="V32" t="s">
        <v>146</v>
      </c>
      <c r="W32" t="s">
        <v>946</v>
      </c>
      <c r="X32" t="s">
        <v>947</v>
      </c>
      <c r="Y32" t="s">
        <v>948</v>
      </c>
      <c r="Z32" t="s">
        <v>949</v>
      </c>
      <c r="AA32" t="s">
        <v>151</v>
      </c>
      <c r="AB32" t="s">
        <v>151</v>
      </c>
      <c r="AC32" t="s">
        <v>151</v>
      </c>
      <c r="AD32" t="s">
        <v>152</v>
      </c>
      <c r="AE32" t="s">
        <v>153</v>
      </c>
      <c r="AF32">
        <f t="shared" si="8"/>
        <v>0</v>
      </c>
      <c r="AG32" t="s">
        <v>154</v>
      </c>
      <c r="AH32" t="s">
        <v>950</v>
      </c>
      <c r="AI32" t="s">
        <v>951</v>
      </c>
      <c r="AJ32" t="s">
        <v>926</v>
      </c>
      <c r="AK32" t="s">
        <v>459</v>
      </c>
      <c r="AL32">
        <f t="shared" si="9"/>
        <v>21.9</v>
      </c>
      <c r="AM32" t="s">
        <v>901</v>
      </c>
      <c r="AN32" t="s">
        <v>160</v>
      </c>
      <c r="AO32" t="s">
        <v>952</v>
      </c>
      <c r="AP32" t="s">
        <v>953</v>
      </c>
      <c r="AQ32" t="s">
        <v>163</v>
      </c>
      <c r="AR32" t="s">
        <v>931</v>
      </c>
      <c r="AS32" t="s">
        <v>876</v>
      </c>
      <c r="AT32" t="s">
        <v>139</v>
      </c>
      <c r="AU32" t="s">
        <v>877</v>
      </c>
      <c r="AV32" t="s">
        <v>137</v>
      </c>
      <c r="AW32" t="s">
        <v>954</v>
      </c>
      <c r="AX32" t="s">
        <v>603</v>
      </c>
      <c r="AY32" t="s">
        <v>169</v>
      </c>
      <c r="AZ32" t="s">
        <v>955</v>
      </c>
      <c r="BA32" t="s">
        <v>956</v>
      </c>
      <c r="BB32" t="s">
        <v>169</v>
      </c>
      <c r="BC32" t="s">
        <v>137</v>
      </c>
      <c r="BD32" t="s">
        <v>172</v>
      </c>
      <c r="BE32" t="s">
        <v>169</v>
      </c>
      <c r="BF32" t="s">
        <v>173</v>
      </c>
      <c r="BG32" t="s">
        <v>174</v>
      </c>
      <c r="BH32" t="s">
        <v>151</v>
      </c>
      <c r="BI32" t="s">
        <v>175</v>
      </c>
      <c r="BJ32" t="s">
        <v>151</v>
      </c>
      <c r="BK32" t="s">
        <v>151</v>
      </c>
      <c r="BL32" t="s">
        <v>176</v>
      </c>
      <c r="BM32" t="s">
        <v>177</v>
      </c>
      <c r="BN32" t="s">
        <v>137</v>
      </c>
      <c r="BO32" t="s">
        <v>178</v>
      </c>
      <c r="BP32" t="s">
        <v>179</v>
      </c>
      <c r="BQ32" t="s">
        <v>180</v>
      </c>
      <c r="BR32" t="s">
        <v>154</v>
      </c>
      <c r="BS32" t="s">
        <v>181</v>
      </c>
      <c r="BT32" t="s">
        <v>182</v>
      </c>
      <c r="BU32" t="s">
        <v>182</v>
      </c>
      <c r="BV32" t="s">
        <v>182</v>
      </c>
      <c r="BW32" t="s">
        <v>151</v>
      </c>
      <c r="BX32" t="s">
        <v>183</v>
      </c>
      <c r="BY32" t="s">
        <v>151</v>
      </c>
      <c r="BZ32" t="s">
        <v>151</v>
      </c>
      <c r="CA32" t="s">
        <v>151</v>
      </c>
      <c r="CB32" t="s">
        <v>151</v>
      </c>
      <c r="CC32" t="s">
        <v>957</v>
      </c>
      <c r="CD32" t="s">
        <v>958</v>
      </c>
      <c r="CE32" t="s">
        <v>959</v>
      </c>
      <c r="CF32" t="s">
        <v>960</v>
      </c>
      <c r="CG32" t="s">
        <v>961</v>
      </c>
      <c r="CH32" t="s">
        <v>962</v>
      </c>
      <c r="CI32" t="s">
        <v>963</v>
      </c>
      <c r="CJ32" t="s">
        <v>832</v>
      </c>
      <c r="CK32" t="s">
        <v>947</v>
      </c>
      <c r="CL32" t="s">
        <v>267</v>
      </c>
      <c r="CM32" t="s">
        <v>193</v>
      </c>
      <c r="CN32" t="s">
        <v>194</v>
      </c>
      <c r="CO32" t="s">
        <v>154</v>
      </c>
      <c r="CP32" t="s">
        <v>195</v>
      </c>
      <c r="CQ32" t="s">
        <v>196</v>
      </c>
      <c r="CR32" t="s">
        <v>154</v>
      </c>
      <c r="CS32" t="s">
        <v>197</v>
      </c>
      <c r="CT32" t="s">
        <v>198</v>
      </c>
      <c r="CU32" t="s">
        <v>199</v>
      </c>
      <c r="CV32" t="s">
        <v>151</v>
      </c>
      <c r="CW32" t="s">
        <v>946</v>
      </c>
      <c r="CX32" t="s">
        <v>200</v>
      </c>
      <c r="CY32" t="s">
        <v>201</v>
      </c>
      <c r="CZ32" t="s">
        <v>202</v>
      </c>
      <c r="DA32" t="s">
        <v>203</v>
      </c>
      <c r="DB32" t="s">
        <v>204</v>
      </c>
      <c r="DC32" t="s">
        <v>205</v>
      </c>
    </row>
    <row r="33" spans="1:107" x14ac:dyDescent="0.45">
      <c r="A33" t="s">
        <v>180</v>
      </c>
      <c r="B33" t="s">
        <v>964</v>
      </c>
      <c r="C33" t="s">
        <v>139</v>
      </c>
      <c r="D33" t="s">
        <v>76</v>
      </c>
      <c r="E33" t="s">
        <v>140</v>
      </c>
      <c r="F33" t="s">
        <v>19</v>
      </c>
      <c r="G33" t="s">
        <v>301</v>
      </c>
      <c r="H33" t="s">
        <v>19</v>
      </c>
      <c r="I33" t="s">
        <v>19</v>
      </c>
      <c r="J33">
        <f t="shared" si="0"/>
        <v>8.7724760442865098E-3</v>
      </c>
      <c r="K33">
        <f t="shared" si="1"/>
        <v>2.9042299199999997</v>
      </c>
      <c r="L33">
        <f t="shared" si="2"/>
        <v>8.7460578250457416E-3</v>
      </c>
      <c r="M33">
        <f t="shared" si="3"/>
        <v>9.470312497330903E-2</v>
      </c>
      <c r="N33" t="s">
        <v>965</v>
      </c>
      <c r="O33" t="s">
        <v>966</v>
      </c>
      <c r="P33">
        <f t="shared" si="4"/>
        <v>2.627724386414815</v>
      </c>
      <c r="Q33">
        <f t="shared" si="5"/>
        <v>1.0785023864148149</v>
      </c>
      <c r="R33" t="s">
        <v>967</v>
      </c>
      <c r="S33" t="s">
        <v>968</v>
      </c>
      <c r="T33">
        <f t="shared" si="6"/>
        <v>25.840538759119038</v>
      </c>
      <c r="U33">
        <f t="shared" si="7"/>
        <v>0.4417875</v>
      </c>
      <c r="V33" t="s">
        <v>146</v>
      </c>
      <c r="W33" t="s">
        <v>969</v>
      </c>
      <c r="X33" t="s">
        <v>970</v>
      </c>
      <c r="Y33" t="s">
        <v>971</v>
      </c>
      <c r="Z33" t="s">
        <v>972</v>
      </c>
      <c r="AA33" t="s">
        <v>151</v>
      </c>
      <c r="AB33" t="s">
        <v>151</v>
      </c>
      <c r="AC33" t="s">
        <v>151</v>
      </c>
      <c r="AD33" t="s">
        <v>152</v>
      </c>
      <c r="AE33" t="s">
        <v>153</v>
      </c>
      <c r="AF33">
        <f t="shared" si="8"/>
        <v>0</v>
      </c>
      <c r="AG33" t="s">
        <v>154</v>
      </c>
      <c r="AH33" t="s">
        <v>973</v>
      </c>
      <c r="AI33" t="s">
        <v>974</v>
      </c>
      <c r="AJ33" t="s">
        <v>975</v>
      </c>
      <c r="AK33" t="s">
        <v>976</v>
      </c>
      <c r="AL33">
        <f t="shared" si="9"/>
        <v>21.84</v>
      </c>
      <c r="AM33" t="s">
        <v>901</v>
      </c>
      <c r="AN33" t="s">
        <v>284</v>
      </c>
      <c r="AO33" t="s">
        <v>977</v>
      </c>
      <c r="AP33" t="s">
        <v>978</v>
      </c>
      <c r="AQ33" t="s">
        <v>163</v>
      </c>
      <c r="AR33" t="s">
        <v>462</v>
      </c>
      <c r="AS33" t="s">
        <v>876</v>
      </c>
      <c r="AT33" t="s">
        <v>139</v>
      </c>
      <c r="AU33" t="s">
        <v>877</v>
      </c>
      <c r="AV33" t="s">
        <v>137</v>
      </c>
      <c r="AW33" t="s">
        <v>749</v>
      </c>
      <c r="AX33" t="s">
        <v>979</v>
      </c>
      <c r="AY33" t="s">
        <v>169</v>
      </c>
      <c r="AZ33" t="s">
        <v>980</v>
      </c>
      <c r="BA33" t="s">
        <v>981</v>
      </c>
      <c r="BB33" t="s">
        <v>169</v>
      </c>
      <c r="BC33" t="s">
        <v>137</v>
      </c>
      <c r="BD33" t="s">
        <v>172</v>
      </c>
      <c r="BE33" t="s">
        <v>169</v>
      </c>
      <c r="BF33" t="s">
        <v>173</v>
      </c>
      <c r="BG33" t="s">
        <v>174</v>
      </c>
      <c r="BH33" t="s">
        <v>151</v>
      </c>
      <c r="BI33" t="s">
        <v>175</v>
      </c>
      <c r="BJ33" t="s">
        <v>151</v>
      </c>
      <c r="BK33" t="s">
        <v>151</v>
      </c>
      <c r="BL33" t="s">
        <v>176</v>
      </c>
      <c r="BM33" t="s">
        <v>177</v>
      </c>
      <c r="BN33" t="s">
        <v>137</v>
      </c>
      <c r="BO33" t="s">
        <v>178</v>
      </c>
      <c r="BP33" t="s">
        <v>179</v>
      </c>
      <c r="BQ33" t="s">
        <v>180</v>
      </c>
      <c r="BR33" t="s">
        <v>154</v>
      </c>
      <c r="BS33" t="s">
        <v>181</v>
      </c>
      <c r="BT33" t="s">
        <v>182</v>
      </c>
      <c r="BU33" t="s">
        <v>182</v>
      </c>
      <c r="BV33" t="s">
        <v>182</v>
      </c>
      <c r="BW33" t="s">
        <v>151</v>
      </c>
      <c r="BX33" t="s">
        <v>183</v>
      </c>
      <c r="BY33" t="s">
        <v>151</v>
      </c>
      <c r="BZ33" t="s">
        <v>151</v>
      </c>
      <c r="CA33" t="s">
        <v>151</v>
      </c>
      <c r="CB33" t="s">
        <v>151</v>
      </c>
      <c r="CC33" t="s">
        <v>982</v>
      </c>
      <c r="CD33" t="s">
        <v>983</v>
      </c>
      <c r="CE33" t="s">
        <v>984</v>
      </c>
      <c r="CF33" t="s">
        <v>985</v>
      </c>
      <c r="CG33" t="s">
        <v>986</v>
      </c>
      <c r="CH33" t="s">
        <v>987</v>
      </c>
      <c r="CI33" t="s">
        <v>988</v>
      </c>
      <c r="CJ33" t="s">
        <v>887</v>
      </c>
      <c r="CK33" t="s">
        <v>970</v>
      </c>
      <c r="CL33" t="s">
        <v>530</v>
      </c>
      <c r="CM33" t="s">
        <v>193</v>
      </c>
      <c r="CN33" t="s">
        <v>194</v>
      </c>
      <c r="CO33" t="s">
        <v>154</v>
      </c>
      <c r="CP33" t="s">
        <v>195</v>
      </c>
      <c r="CQ33" t="s">
        <v>196</v>
      </c>
      <c r="CR33" t="s">
        <v>154</v>
      </c>
      <c r="CS33" t="s">
        <v>197</v>
      </c>
      <c r="CT33" t="s">
        <v>198</v>
      </c>
      <c r="CU33" t="s">
        <v>199</v>
      </c>
      <c r="CV33" t="s">
        <v>151</v>
      </c>
      <c r="CW33" t="s">
        <v>969</v>
      </c>
      <c r="CX33" t="s">
        <v>200</v>
      </c>
      <c r="CY33" t="s">
        <v>201</v>
      </c>
      <c r="CZ33" t="s">
        <v>202</v>
      </c>
      <c r="DA33" t="s">
        <v>203</v>
      </c>
      <c r="DB33" t="s">
        <v>204</v>
      </c>
      <c r="DC33" t="s">
        <v>205</v>
      </c>
    </row>
    <row r="34" spans="1:107" x14ac:dyDescent="0.45">
      <c r="A34" t="s">
        <v>330</v>
      </c>
      <c r="B34" t="s">
        <v>989</v>
      </c>
      <c r="C34" t="s">
        <v>139</v>
      </c>
      <c r="D34" t="s">
        <v>76</v>
      </c>
      <c r="E34" t="s">
        <v>140</v>
      </c>
      <c r="F34" t="s">
        <v>19</v>
      </c>
      <c r="G34" t="s">
        <v>332</v>
      </c>
      <c r="H34" t="s">
        <v>19</v>
      </c>
      <c r="I34" t="s">
        <v>19</v>
      </c>
      <c r="J34">
        <f t="shared" si="0"/>
        <v>2.4045982854447128E-2</v>
      </c>
      <c r="K34">
        <f t="shared" si="1"/>
        <v>2.9042299199999997</v>
      </c>
      <c r="L34">
        <f t="shared" si="2"/>
        <v>2.3848525609768533E-2</v>
      </c>
      <c r="M34">
        <f t="shared" si="3"/>
        <v>0.2460481955241802</v>
      </c>
      <c r="N34" t="s">
        <v>990</v>
      </c>
      <c r="O34" t="s">
        <v>991</v>
      </c>
      <c r="P34">
        <f t="shared" si="4"/>
        <v>2.5926316804864129</v>
      </c>
      <c r="Q34">
        <f t="shared" si="5"/>
        <v>1.0278236804864129</v>
      </c>
      <c r="R34" t="s">
        <v>992</v>
      </c>
      <c r="S34" t="s">
        <v>993</v>
      </c>
      <c r="T34">
        <f t="shared" si="6"/>
        <v>25.492936877939162</v>
      </c>
      <c r="U34">
        <f t="shared" si="7"/>
        <v>0.4417875</v>
      </c>
      <c r="V34" t="s">
        <v>146</v>
      </c>
      <c r="W34" t="s">
        <v>994</v>
      </c>
      <c r="X34" t="s">
        <v>995</v>
      </c>
      <c r="Y34" t="s">
        <v>996</v>
      </c>
      <c r="Z34" t="s">
        <v>997</v>
      </c>
      <c r="AA34" t="s">
        <v>151</v>
      </c>
      <c r="AB34" t="s">
        <v>151</v>
      </c>
      <c r="AC34" t="s">
        <v>151</v>
      </c>
      <c r="AD34" t="s">
        <v>152</v>
      </c>
      <c r="AE34" t="s">
        <v>153</v>
      </c>
      <c r="AF34">
        <f t="shared" si="8"/>
        <v>0</v>
      </c>
      <c r="AG34" t="s">
        <v>154</v>
      </c>
      <c r="AH34" t="s">
        <v>998</v>
      </c>
      <c r="AI34" t="s">
        <v>999</v>
      </c>
      <c r="AJ34" t="s">
        <v>1000</v>
      </c>
      <c r="AK34" t="s">
        <v>1001</v>
      </c>
      <c r="AL34">
        <f t="shared" si="9"/>
        <v>21.62</v>
      </c>
      <c r="AM34" t="s">
        <v>928</v>
      </c>
      <c r="AN34" t="s">
        <v>284</v>
      </c>
      <c r="AO34" t="s">
        <v>1002</v>
      </c>
      <c r="AP34" t="s">
        <v>794</v>
      </c>
      <c r="AQ34" t="s">
        <v>163</v>
      </c>
      <c r="AR34" t="s">
        <v>931</v>
      </c>
      <c r="AS34" t="s">
        <v>876</v>
      </c>
      <c r="AT34" t="s">
        <v>139</v>
      </c>
      <c r="AU34" t="s">
        <v>877</v>
      </c>
      <c r="AV34" t="s">
        <v>137</v>
      </c>
      <c r="AW34" t="s">
        <v>749</v>
      </c>
      <c r="AX34" t="s">
        <v>1003</v>
      </c>
      <c r="AY34" t="s">
        <v>169</v>
      </c>
      <c r="AZ34" t="s">
        <v>1004</v>
      </c>
      <c r="BA34" t="s">
        <v>1005</v>
      </c>
      <c r="BB34" t="s">
        <v>169</v>
      </c>
      <c r="BC34" t="s">
        <v>137</v>
      </c>
      <c r="BD34" t="s">
        <v>172</v>
      </c>
      <c r="BE34" t="s">
        <v>169</v>
      </c>
      <c r="BF34" t="s">
        <v>173</v>
      </c>
      <c r="BG34" t="s">
        <v>174</v>
      </c>
      <c r="BH34" t="s">
        <v>151</v>
      </c>
      <c r="BI34" t="s">
        <v>175</v>
      </c>
      <c r="BJ34" t="s">
        <v>151</v>
      </c>
      <c r="BK34" t="s">
        <v>151</v>
      </c>
      <c r="BL34" t="s">
        <v>176</v>
      </c>
      <c r="BM34" t="s">
        <v>177</v>
      </c>
      <c r="BN34" t="s">
        <v>137</v>
      </c>
      <c r="BO34" t="s">
        <v>178</v>
      </c>
      <c r="BP34" t="s">
        <v>179</v>
      </c>
      <c r="BQ34" t="s">
        <v>180</v>
      </c>
      <c r="BR34" t="s">
        <v>154</v>
      </c>
      <c r="BS34" t="s">
        <v>181</v>
      </c>
      <c r="BT34" t="s">
        <v>182</v>
      </c>
      <c r="BU34" t="s">
        <v>182</v>
      </c>
      <c r="BV34" t="s">
        <v>182</v>
      </c>
      <c r="BW34" t="s">
        <v>151</v>
      </c>
      <c r="BX34" t="s">
        <v>183</v>
      </c>
      <c r="BY34" t="s">
        <v>151</v>
      </c>
      <c r="BZ34" t="s">
        <v>151</v>
      </c>
      <c r="CA34" t="s">
        <v>151</v>
      </c>
      <c r="CB34" t="s">
        <v>151</v>
      </c>
      <c r="CC34" t="s">
        <v>1006</v>
      </c>
      <c r="CD34" t="s">
        <v>1007</v>
      </c>
      <c r="CE34" t="s">
        <v>1008</v>
      </c>
      <c r="CF34" t="s">
        <v>1009</v>
      </c>
      <c r="CG34" t="s">
        <v>1010</v>
      </c>
      <c r="CH34" t="s">
        <v>1011</v>
      </c>
      <c r="CI34" t="s">
        <v>1012</v>
      </c>
      <c r="CJ34" t="s">
        <v>266</v>
      </c>
      <c r="CK34" t="s">
        <v>995</v>
      </c>
      <c r="CL34" t="s">
        <v>445</v>
      </c>
      <c r="CM34" t="s">
        <v>193</v>
      </c>
      <c r="CN34" t="s">
        <v>194</v>
      </c>
      <c r="CO34" t="s">
        <v>154</v>
      </c>
      <c r="CP34" t="s">
        <v>195</v>
      </c>
      <c r="CQ34" t="s">
        <v>196</v>
      </c>
      <c r="CR34" t="s">
        <v>154</v>
      </c>
      <c r="CS34" t="s">
        <v>197</v>
      </c>
      <c r="CT34" t="s">
        <v>198</v>
      </c>
      <c r="CU34" t="s">
        <v>199</v>
      </c>
      <c r="CV34" t="s">
        <v>151</v>
      </c>
      <c r="CW34" t="s">
        <v>994</v>
      </c>
      <c r="CX34" t="s">
        <v>200</v>
      </c>
      <c r="CY34" t="s">
        <v>201</v>
      </c>
      <c r="CZ34" t="s">
        <v>202</v>
      </c>
      <c r="DA34" t="s">
        <v>203</v>
      </c>
      <c r="DB34" t="s">
        <v>204</v>
      </c>
      <c r="DC34" t="s">
        <v>205</v>
      </c>
    </row>
    <row r="35" spans="1:107" x14ac:dyDescent="0.45">
      <c r="A35" t="s">
        <v>360</v>
      </c>
      <c r="B35" t="s">
        <v>1013</v>
      </c>
      <c r="C35" t="s">
        <v>139</v>
      </c>
      <c r="D35" t="s">
        <v>76</v>
      </c>
      <c r="E35" t="s">
        <v>140</v>
      </c>
      <c r="F35" t="s">
        <v>19</v>
      </c>
      <c r="G35" t="s">
        <v>362</v>
      </c>
      <c r="H35" t="s">
        <v>19</v>
      </c>
      <c r="I35" t="s">
        <v>19</v>
      </c>
      <c r="J35">
        <f t="shared" si="0"/>
        <v>-5.9082289832908851E-3</v>
      </c>
      <c r="K35">
        <f t="shared" si="1"/>
        <v>2.9050319999999994</v>
      </c>
      <c r="L35">
        <f t="shared" si="2"/>
        <v>-5.9202695764066313E-3</v>
      </c>
      <c r="M35">
        <f t="shared" si="3"/>
        <v>-7.0694654036826954E-2</v>
      </c>
      <c r="N35" t="s">
        <v>1014</v>
      </c>
      <c r="O35" t="s">
        <v>1015</v>
      </c>
      <c r="P35">
        <f t="shared" si="4"/>
        <v>2.7404996834630198</v>
      </c>
      <c r="Q35">
        <f t="shared" si="5"/>
        <v>1.1887026834630197</v>
      </c>
      <c r="R35" t="s">
        <v>1016</v>
      </c>
      <c r="S35" t="s">
        <v>1017</v>
      </c>
      <c r="T35">
        <f t="shared" si="6"/>
        <v>26.94954944894306</v>
      </c>
      <c r="U35">
        <f t="shared" si="7"/>
        <v>0.4417875</v>
      </c>
      <c r="V35" t="s">
        <v>146</v>
      </c>
      <c r="W35" t="s">
        <v>1018</v>
      </c>
      <c r="X35" t="s">
        <v>1019</v>
      </c>
      <c r="Y35" t="s">
        <v>1020</v>
      </c>
      <c r="Z35" t="s">
        <v>1021</v>
      </c>
      <c r="AA35" t="s">
        <v>151</v>
      </c>
      <c r="AB35" t="s">
        <v>151</v>
      </c>
      <c r="AC35" t="s">
        <v>151</v>
      </c>
      <c r="AD35" t="s">
        <v>152</v>
      </c>
      <c r="AE35" t="s">
        <v>153</v>
      </c>
      <c r="AF35">
        <f t="shared" si="8"/>
        <v>0</v>
      </c>
      <c r="AG35" t="s">
        <v>154</v>
      </c>
      <c r="AH35" t="s">
        <v>974</v>
      </c>
      <c r="AI35" t="s">
        <v>791</v>
      </c>
      <c r="AJ35" t="s">
        <v>1022</v>
      </c>
      <c r="AK35" t="s">
        <v>1023</v>
      </c>
      <c r="AL35">
        <f t="shared" si="9"/>
        <v>22.53</v>
      </c>
      <c r="AM35" t="s">
        <v>901</v>
      </c>
      <c r="AN35" t="s">
        <v>160</v>
      </c>
      <c r="AO35" t="s">
        <v>1024</v>
      </c>
      <c r="AP35" t="s">
        <v>1025</v>
      </c>
      <c r="AQ35" t="s">
        <v>163</v>
      </c>
      <c r="AR35" t="s">
        <v>1026</v>
      </c>
      <c r="AS35" t="s">
        <v>876</v>
      </c>
      <c r="AT35" t="s">
        <v>139</v>
      </c>
      <c r="AU35" t="s">
        <v>877</v>
      </c>
      <c r="AV35" t="s">
        <v>137</v>
      </c>
      <c r="AW35" t="s">
        <v>1027</v>
      </c>
      <c r="AX35" t="s">
        <v>493</v>
      </c>
      <c r="AY35" t="s">
        <v>169</v>
      </c>
      <c r="AZ35" t="s">
        <v>1028</v>
      </c>
      <c r="BA35" t="s">
        <v>1029</v>
      </c>
      <c r="BB35" t="s">
        <v>169</v>
      </c>
      <c r="BC35" t="s">
        <v>137</v>
      </c>
      <c r="BD35" t="s">
        <v>172</v>
      </c>
      <c r="BE35" t="s">
        <v>169</v>
      </c>
      <c r="BF35" t="s">
        <v>173</v>
      </c>
      <c r="BG35" t="s">
        <v>174</v>
      </c>
      <c r="BH35" t="s">
        <v>151</v>
      </c>
      <c r="BI35" t="s">
        <v>175</v>
      </c>
      <c r="BJ35" t="s">
        <v>151</v>
      </c>
      <c r="BK35" t="s">
        <v>151</v>
      </c>
      <c r="BL35" t="s">
        <v>176</v>
      </c>
      <c r="BM35" t="s">
        <v>177</v>
      </c>
      <c r="BN35" t="s">
        <v>137</v>
      </c>
      <c r="BO35" t="s">
        <v>178</v>
      </c>
      <c r="BP35" t="s">
        <v>179</v>
      </c>
      <c r="BQ35" t="s">
        <v>180</v>
      </c>
      <c r="BR35" t="s">
        <v>154</v>
      </c>
      <c r="BS35" t="s">
        <v>181</v>
      </c>
      <c r="BT35" t="s">
        <v>182</v>
      </c>
      <c r="BU35" t="s">
        <v>182</v>
      </c>
      <c r="BV35" t="s">
        <v>182</v>
      </c>
      <c r="BW35" t="s">
        <v>151</v>
      </c>
      <c r="BX35" t="s">
        <v>183</v>
      </c>
      <c r="BY35" t="s">
        <v>151</v>
      </c>
      <c r="BZ35" t="s">
        <v>151</v>
      </c>
      <c r="CA35" t="s">
        <v>151</v>
      </c>
      <c r="CB35" t="s">
        <v>151</v>
      </c>
      <c r="CC35" t="s">
        <v>1030</v>
      </c>
      <c r="CD35" t="s">
        <v>1031</v>
      </c>
      <c r="CE35" t="s">
        <v>1032</v>
      </c>
      <c r="CF35" t="s">
        <v>1033</v>
      </c>
      <c r="CG35" t="s">
        <v>1034</v>
      </c>
      <c r="CH35" t="s">
        <v>1035</v>
      </c>
      <c r="CI35" t="s">
        <v>1036</v>
      </c>
      <c r="CJ35" t="s">
        <v>444</v>
      </c>
      <c r="CK35" t="s">
        <v>1019</v>
      </c>
      <c r="CL35" t="s">
        <v>833</v>
      </c>
      <c r="CM35" t="s">
        <v>193</v>
      </c>
      <c r="CN35" t="s">
        <v>194</v>
      </c>
      <c r="CO35" t="s">
        <v>154</v>
      </c>
      <c r="CP35" t="s">
        <v>195</v>
      </c>
      <c r="CQ35" t="s">
        <v>196</v>
      </c>
      <c r="CR35" t="s">
        <v>154</v>
      </c>
      <c r="CS35" t="s">
        <v>197</v>
      </c>
      <c r="CT35" t="s">
        <v>198</v>
      </c>
      <c r="CU35" t="s">
        <v>199</v>
      </c>
      <c r="CV35" t="s">
        <v>151</v>
      </c>
      <c r="CW35" t="s">
        <v>1018</v>
      </c>
      <c r="CX35" t="s">
        <v>200</v>
      </c>
      <c r="CY35" t="s">
        <v>201</v>
      </c>
      <c r="CZ35" t="s">
        <v>202</v>
      </c>
      <c r="DA35" t="s">
        <v>203</v>
      </c>
      <c r="DB35" t="s">
        <v>204</v>
      </c>
      <c r="DC35" t="s">
        <v>205</v>
      </c>
    </row>
    <row r="36" spans="1:107" x14ac:dyDescent="0.45">
      <c r="A36" t="s">
        <v>387</v>
      </c>
      <c r="B36" t="s">
        <v>1037</v>
      </c>
      <c r="C36" t="s">
        <v>139</v>
      </c>
      <c r="D36" t="s">
        <v>76</v>
      </c>
      <c r="E36" t="s">
        <v>140</v>
      </c>
      <c r="F36" t="s">
        <v>19</v>
      </c>
      <c r="G36" t="s">
        <v>389</v>
      </c>
      <c r="H36" t="s">
        <v>19</v>
      </c>
      <c r="I36" t="s">
        <v>19</v>
      </c>
      <c r="J36">
        <f t="shared" ref="J36:J67" si="10">1/((1/L36)-(1/K36))</f>
        <v>8.1231936574145559E-3</v>
      </c>
      <c r="K36">
        <f t="shared" ref="K36:K70" si="11">BH36+(BI36*AN36)+(BJ36*AN36*POWER(V36,2))+(BK36*AN36*V36)+(BL36*POWER(AN36,2))</f>
        <v>2.9050319999999994</v>
      </c>
      <c r="L36">
        <f t="shared" ref="L36:L67" si="12">((M36/1000)*(1000-((T36+S36)/2)))/(T36-S36)</f>
        <v>8.1005425211690425E-3</v>
      </c>
      <c r="M36">
        <f t="shared" ref="M36:M70" si="13">(AN36*(S36-R36))/(100*U36*(1000-S36))*1000</f>
        <v>8.5944824121452615E-2</v>
      </c>
      <c r="N36" t="s">
        <v>1038</v>
      </c>
      <c r="O36" t="s">
        <v>1039</v>
      </c>
      <c r="P36">
        <f t="shared" ref="P36:P70" si="14">0.61365*EXP((17.502*AL36)/(240.97+AL36))</f>
        <v>2.6165136960394677</v>
      </c>
      <c r="Q36">
        <f t="shared" ref="Q36:Q67" si="15">P36-N36</f>
        <v>1.0568016960394677</v>
      </c>
      <c r="R36" t="s">
        <v>1040</v>
      </c>
      <c r="S36" t="s">
        <v>1041</v>
      </c>
      <c r="T36">
        <f t="shared" ref="T36:T70" si="16">(P36/AM36)*1000</f>
        <v>25.730294975311907</v>
      </c>
      <c r="U36">
        <f t="shared" ref="U36:U67" si="17">V36*BG36</f>
        <v>0.4417875</v>
      </c>
      <c r="V36" t="s">
        <v>146</v>
      </c>
      <c r="W36" t="s">
        <v>1042</v>
      </c>
      <c r="X36" t="s">
        <v>1043</v>
      </c>
      <c r="Y36" t="s">
        <v>1044</v>
      </c>
      <c r="Z36" t="s">
        <v>1045</v>
      </c>
      <c r="AA36" t="s">
        <v>151</v>
      </c>
      <c r="AB36" t="s">
        <v>151</v>
      </c>
      <c r="AC36" t="s">
        <v>151</v>
      </c>
      <c r="AD36" t="s">
        <v>152</v>
      </c>
      <c r="AE36" t="s">
        <v>153</v>
      </c>
      <c r="AF36">
        <f t="shared" ref="AF36:AF67" si="18">AC36*AD36*AE36*AQ36</f>
        <v>0</v>
      </c>
      <c r="AG36" t="s">
        <v>154</v>
      </c>
      <c r="AH36" t="s">
        <v>1046</v>
      </c>
      <c r="AI36" t="s">
        <v>1047</v>
      </c>
      <c r="AJ36" t="s">
        <v>1048</v>
      </c>
      <c r="AK36" t="s">
        <v>1049</v>
      </c>
      <c r="AL36">
        <f t="shared" ref="AL36:AL67" si="19">(AK36-AJ36)*(AJ36*0+0)+AK36</f>
        <v>21.77</v>
      </c>
      <c r="AM36" t="s">
        <v>901</v>
      </c>
      <c r="AN36" t="s">
        <v>160</v>
      </c>
      <c r="AO36" t="s">
        <v>1050</v>
      </c>
      <c r="AP36" t="s">
        <v>748</v>
      </c>
      <c r="AQ36" t="s">
        <v>163</v>
      </c>
      <c r="AR36" t="s">
        <v>1051</v>
      </c>
      <c r="AS36" t="s">
        <v>876</v>
      </c>
      <c r="AT36" t="s">
        <v>139</v>
      </c>
      <c r="AU36" t="s">
        <v>877</v>
      </c>
      <c r="AV36" t="s">
        <v>137</v>
      </c>
      <c r="AW36" t="s">
        <v>1052</v>
      </c>
      <c r="AX36" t="s">
        <v>1003</v>
      </c>
      <c r="AY36" t="s">
        <v>169</v>
      </c>
      <c r="AZ36" t="s">
        <v>1053</v>
      </c>
      <c r="BA36" t="s">
        <v>1054</v>
      </c>
      <c r="BB36" t="s">
        <v>169</v>
      </c>
      <c r="BC36" t="s">
        <v>137</v>
      </c>
      <c r="BD36" t="s">
        <v>172</v>
      </c>
      <c r="BE36" t="s">
        <v>169</v>
      </c>
      <c r="BF36" t="s">
        <v>173</v>
      </c>
      <c r="BG36" t="s">
        <v>174</v>
      </c>
      <c r="BH36" t="s">
        <v>151</v>
      </c>
      <c r="BI36" t="s">
        <v>175</v>
      </c>
      <c r="BJ36" t="s">
        <v>151</v>
      </c>
      <c r="BK36" t="s">
        <v>151</v>
      </c>
      <c r="BL36" t="s">
        <v>176</v>
      </c>
      <c r="BM36" t="s">
        <v>177</v>
      </c>
      <c r="BN36" t="s">
        <v>137</v>
      </c>
      <c r="BO36" t="s">
        <v>178</v>
      </c>
      <c r="BP36" t="s">
        <v>179</v>
      </c>
      <c r="BQ36" t="s">
        <v>180</v>
      </c>
      <c r="BR36" t="s">
        <v>154</v>
      </c>
      <c r="BS36" t="s">
        <v>181</v>
      </c>
      <c r="BT36" t="s">
        <v>182</v>
      </c>
      <c r="BU36" t="s">
        <v>182</v>
      </c>
      <c r="BV36" t="s">
        <v>182</v>
      </c>
      <c r="BW36" t="s">
        <v>151</v>
      </c>
      <c r="BX36" t="s">
        <v>183</v>
      </c>
      <c r="BY36" t="s">
        <v>151</v>
      </c>
      <c r="BZ36" t="s">
        <v>151</v>
      </c>
      <c r="CA36" t="s">
        <v>151</v>
      </c>
      <c r="CB36" t="s">
        <v>151</v>
      </c>
      <c r="CC36" t="s">
        <v>1055</v>
      </c>
      <c r="CD36" t="s">
        <v>1056</v>
      </c>
      <c r="CE36" t="s">
        <v>1057</v>
      </c>
      <c r="CF36" t="s">
        <v>1058</v>
      </c>
      <c r="CG36" t="s">
        <v>1059</v>
      </c>
      <c r="CH36" t="s">
        <v>1060</v>
      </c>
      <c r="CI36" t="s">
        <v>1061</v>
      </c>
      <c r="CJ36" t="s">
        <v>832</v>
      </c>
      <c r="CK36" t="s">
        <v>1043</v>
      </c>
      <c r="CL36" t="s">
        <v>1062</v>
      </c>
      <c r="CM36" t="s">
        <v>193</v>
      </c>
      <c r="CN36" t="s">
        <v>194</v>
      </c>
      <c r="CO36" t="s">
        <v>154</v>
      </c>
      <c r="CP36" t="s">
        <v>195</v>
      </c>
      <c r="CQ36" t="s">
        <v>196</v>
      </c>
      <c r="CR36" t="s">
        <v>154</v>
      </c>
      <c r="CS36" t="s">
        <v>197</v>
      </c>
      <c r="CT36" t="s">
        <v>198</v>
      </c>
      <c r="CU36" t="s">
        <v>199</v>
      </c>
      <c r="CV36" t="s">
        <v>151</v>
      </c>
      <c r="CW36" t="s">
        <v>1042</v>
      </c>
      <c r="CX36" t="s">
        <v>200</v>
      </c>
      <c r="CY36" t="s">
        <v>201</v>
      </c>
      <c r="CZ36" t="s">
        <v>202</v>
      </c>
      <c r="DA36" t="s">
        <v>203</v>
      </c>
      <c r="DB36" t="s">
        <v>204</v>
      </c>
      <c r="DC36" t="s">
        <v>205</v>
      </c>
    </row>
    <row r="37" spans="1:107" x14ac:dyDescent="0.45">
      <c r="A37" t="s">
        <v>417</v>
      </c>
      <c r="B37" t="s">
        <v>1063</v>
      </c>
      <c r="C37" t="s">
        <v>139</v>
      </c>
      <c r="D37" t="s">
        <v>76</v>
      </c>
      <c r="E37" t="s">
        <v>140</v>
      </c>
      <c r="F37" t="s">
        <v>19</v>
      </c>
      <c r="G37" t="s">
        <v>419</v>
      </c>
      <c r="H37" t="s">
        <v>19</v>
      </c>
      <c r="I37" t="s">
        <v>19</v>
      </c>
      <c r="J37">
        <f t="shared" si="10"/>
        <v>-2.6196687668701437E-3</v>
      </c>
      <c r="K37">
        <f t="shared" si="11"/>
        <v>2.9050319999999994</v>
      </c>
      <c r="L37">
        <f t="shared" si="12"/>
        <v>-2.6220332360305954E-3</v>
      </c>
      <c r="M37">
        <f t="shared" si="13"/>
        <v>-2.7779373579007852E-2</v>
      </c>
      <c r="N37" t="s">
        <v>1064</v>
      </c>
      <c r="O37" t="s">
        <v>1065</v>
      </c>
      <c r="P37">
        <f t="shared" si="14"/>
        <v>2.6325418248526651</v>
      </c>
      <c r="Q37">
        <f t="shared" si="15"/>
        <v>1.055135824852665</v>
      </c>
      <c r="R37" t="s">
        <v>1066</v>
      </c>
      <c r="S37" t="s">
        <v>1067</v>
      </c>
      <c r="T37">
        <f t="shared" si="16"/>
        <v>25.887912526823339</v>
      </c>
      <c r="U37">
        <f t="shared" si="17"/>
        <v>0.4417875</v>
      </c>
      <c r="V37" t="s">
        <v>146</v>
      </c>
      <c r="W37" t="s">
        <v>1068</v>
      </c>
      <c r="X37" t="s">
        <v>1069</v>
      </c>
      <c r="Y37" t="s">
        <v>1070</v>
      </c>
      <c r="Z37" t="s">
        <v>1071</v>
      </c>
      <c r="AA37" t="s">
        <v>151</v>
      </c>
      <c r="AB37" t="s">
        <v>151</v>
      </c>
      <c r="AC37" t="s">
        <v>151</v>
      </c>
      <c r="AD37" t="s">
        <v>152</v>
      </c>
      <c r="AE37" t="s">
        <v>153</v>
      </c>
      <c r="AF37">
        <f t="shared" si="18"/>
        <v>0</v>
      </c>
      <c r="AG37" t="s">
        <v>154</v>
      </c>
      <c r="AH37" t="s">
        <v>1072</v>
      </c>
      <c r="AI37" t="s">
        <v>1073</v>
      </c>
      <c r="AJ37" t="s">
        <v>1074</v>
      </c>
      <c r="AK37" t="s">
        <v>1075</v>
      </c>
      <c r="AL37">
        <f t="shared" si="19"/>
        <v>21.87</v>
      </c>
      <c r="AM37" t="s">
        <v>901</v>
      </c>
      <c r="AN37" t="s">
        <v>160</v>
      </c>
      <c r="AO37" t="s">
        <v>1076</v>
      </c>
      <c r="AP37" t="s">
        <v>1077</v>
      </c>
      <c r="AQ37" t="s">
        <v>163</v>
      </c>
      <c r="AR37" t="s">
        <v>1078</v>
      </c>
      <c r="AS37" t="s">
        <v>876</v>
      </c>
      <c r="AT37" t="s">
        <v>139</v>
      </c>
      <c r="AU37" t="s">
        <v>877</v>
      </c>
      <c r="AV37" t="s">
        <v>137</v>
      </c>
      <c r="AW37" t="s">
        <v>494</v>
      </c>
      <c r="AX37" t="s">
        <v>749</v>
      </c>
      <c r="AY37" t="s">
        <v>169</v>
      </c>
      <c r="AZ37" t="s">
        <v>1079</v>
      </c>
      <c r="BA37" t="s">
        <v>1080</v>
      </c>
      <c r="BB37" t="s">
        <v>169</v>
      </c>
      <c r="BC37" t="s">
        <v>137</v>
      </c>
      <c r="BD37" t="s">
        <v>172</v>
      </c>
      <c r="BE37" t="s">
        <v>169</v>
      </c>
      <c r="BF37" t="s">
        <v>173</v>
      </c>
      <c r="BG37" t="s">
        <v>174</v>
      </c>
      <c r="BH37" t="s">
        <v>151</v>
      </c>
      <c r="BI37" t="s">
        <v>175</v>
      </c>
      <c r="BJ37" t="s">
        <v>151</v>
      </c>
      <c r="BK37" t="s">
        <v>151</v>
      </c>
      <c r="BL37" t="s">
        <v>176</v>
      </c>
      <c r="BM37" t="s">
        <v>177</v>
      </c>
      <c r="BN37" t="s">
        <v>137</v>
      </c>
      <c r="BO37" t="s">
        <v>178</v>
      </c>
      <c r="BP37" t="s">
        <v>179</v>
      </c>
      <c r="BQ37" t="s">
        <v>180</v>
      </c>
      <c r="BR37" t="s">
        <v>154</v>
      </c>
      <c r="BS37" t="s">
        <v>181</v>
      </c>
      <c r="BT37" t="s">
        <v>182</v>
      </c>
      <c r="BU37" t="s">
        <v>182</v>
      </c>
      <c r="BV37" t="s">
        <v>182</v>
      </c>
      <c r="BW37" t="s">
        <v>151</v>
      </c>
      <c r="BX37" t="s">
        <v>183</v>
      </c>
      <c r="BY37" t="s">
        <v>151</v>
      </c>
      <c r="BZ37" t="s">
        <v>151</v>
      </c>
      <c r="CA37" t="s">
        <v>151</v>
      </c>
      <c r="CB37" t="s">
        <v>151</v>
      </c>
      <c r="CC37" t="s">
        <v>1081</v>
      </c>
      <c r="CD37" t="s">
        <v>1082</v>
      </c>
      <c r="CE37" t="s">
        <v>1083</v>
      </c>
      <c r="CF37" t="s">
        <v>1084</v>
      </c>
      <c r="CG37" t="s">
        <v>1085</v>
      </c>
      <c r="CH37" t="s">
        <v>1086</v>
      </c>
      <c r="CI37" t="s">
        <v>1087</v>
      </c>
      <c r="CJ37" t="s">
        <v>444</v>
      </c>
      <c r="CK37" t="s">
        <v>1069</v>
      </c>
      <c r="CL37" t="s">
        <v>359</v>
      </c>
      <c r="CM37" t="s">
        <v>193</v>
      </c>
      <c r="CN37" t="s">
        <v>194</v>
      </c>
      <c r="CO37" t="s">
        <v>154</v>
      </c>
      <c r="CP37" t="s">
        <v>195</v>
      </c>
      <c r="CQ37" t="s">
        <v>196</v>
      </c>
      <c r="CR37" t="s">
        <v>154</v>
      </c>
      <c r="CS37" t="s">
        <v>197</v>
      </c>
      <c r="CT37" t="s">
        <v>198</v>
      </c>
      <c r="CU37" t="s">
        <v>199</v>
      </c>
      <c r="CV37" t="s">
        <v>151</v>
      </c>
      <c r="CW37" t="s">
        <v>1068</v>
      </c>
      <c r="CX37" t="s">
        <v>200</v>
      </c>
      <c r="CY37" t="s">
        <v>201</v>
      </c>
      <c r="CZ37" t="s">
        <v>202</v>
      </c>
      <c r="DA37" t="s">
        <v>203</v>
      </c>
      <c r="DB37" t="s">
        <v>204</v>
      </c>
      <c r="DC37" t="s">
        <v>205</v>
      </c>
    </row>
    <row r="38" spans="1:107" x14ac:dyDescent="0.45">
      <c r="A38" t="s">
        <v>446</v>
      </c>
      <c r="B38" t="s">
        <v>1088</v>
      </c>
      <c r="C38" t="s">
        <v>139</v>
      </c>
      <c r="D38" t="s">
        <v>76</v>
      </c>
      <c r="E38" t="s">
        <v>140</v>
      </c>
      <c r="F38" t="s">
        <v>19</v>
      </c>
      <c r="G38" t="s">
        <v>448</v>
      </c>
      <c r="H38" t="s">
        <v>19</v>
      </c>
      <c r="I38" t="s">
        <v>19</v>
      </c>
      <c r="J38">
        <f t="shared" si="10"/>
        <v>5.4576350608962201E-3</v>
      </c>
      <c r="K38">
        <f t="shared" si="11"/>
        <v>2.9042299199999997</v>
      </c>
      <c r="L38">
        <f t="shared" si="12"/>
        <v>5.4473982983936223E-3</v>
      </c>
      <c r="M38">
        <f t="shared" si="13"/>
        <v>6.0389251177164309E-2</v>
      </c>
      <c r="N38" t="s">
        <v>1089</v>
      </c>
      <c r="O38" t="s">
        <v>1090</v>
      </c>
      <c r="P38">
        <f t="shared" si="14"/>
        <v>2.6551255721895064</v>
      </c>
      <c r="Q38">
        <f t="shared" si="15"/>
        <v>1.1040665721895064</v>
      </c>
      <c r="R38" t="s">
        <v>1091</v>
      </c>
      <c r="S38" t="s">
        <v>1092</v>
      </c>
      <c r="T38">
        <f t="shared" si="16"/>
        <v>26.109996776374341</v>
      </c>
      <c r="U38">
        <f t="shared" si="17"/>
        <v>0.4417875</v>
      </c>
      <c r="V38" t="s">
        <v>146</v>
      </c>
      <c r="W38" t="s">
        <v>1093</v>
      </c>
      <c r="X38" t="s">
        <v>1094</v>
      </c>
      <c r="Y38" t="s">
        <v>1095</v>
      </c>
      <c r="Z38" t="s">
        <v>1096</v>
      </c>
      <c r="AA38" t="s">
        <v>151</v>
      </c>
      <c r="AB38" t="s">
        <v>151</v>
      </c>
      <c r="AC38" t="s">
        <v>151</v>
      </c>
      <c r="AD38" t="s">
        <v>152</v>
      </c>
      <c r="AE38" t="s">
        <v>153</v>
      </c>
      <c r="AF38">
        <f t="shared" si="18"/>
        <v>0</v>
      </c>
      <c r="AG38" t="s">
        <v>154</v>
      </c>
      <c r="AH38" t="s">
        <v>1097</v>
      </c>
      <c r="AI38" t="s">
        <v>1098</v>
      </c>
      <c r="AJ38" t="s">
        <v>1099</v>
      </c>
      <c r="AK38" t="s">
        <v>1100</v>
      </c>
      <c r="AL38">
        <f t="shared" si="19"/>
        <v>22.01</v>
      </c>
      <c r="AM38" t="s">
        <v>901</v>
      </c>
      <c r="AN38" t="s">
        <v>284</v>
      </c>
      <c r="AO38" t="s">
        <v>1101</v>
      </c>
      <c r="AP38" t="s">
        <v>1102</v>
      </c>
      <c r="AQ38" t="s">
        <v>163</v>
      </c>
      <c r="AR38" t="s">
        <v>1103</v>
      </c>
      <c r="AS38" t="s">
        <v>876</v>
      </c>
      <c r="AT38" t="s">
        <v>139</v>
      </c>
      <c r="AU38" t="s">
        <v>877</v>
      </c>
      <c r="AV38" t="s">
        <v>137</v>
      </c>
      <c r="AW38" t="s">
        <v>1052</v>
      </c>
      <c r="AX38" t="s">
        <v>288</v>
      </c>
      <c r="AY38" t="s">
        <v>169</v>
      </c>
      <c r="AZ38" t="s">
        <v>1104</v>
      </c>
      <c r="BA38" t="s">
        <v>1105</v>
      </c>
      <c r="BB38" t="s">
        <v>169</v>
      </c>
      <c r="BC38" t="s">
        <v>137</v>
      </c>
      <c r="BD38" t="s">
        <v>172</v>
      </c>
      <c r="BE38" t="s">
        <v>169</v>
      </c>
      <c r="BF38" t="s">
        <v>173</v>
      </c>
      <c r="BG38" t="s">
        <v>174</v>
      </c>
      <c r="BH38" t="s">
        <v>151</v>
      </c>
      <c r="BI38" t="s">
        <v>175</v>
      </c>
      <c r="BJ38" t="s">
        <v>151</v>
      </c>
      <c r="BK38" t="s">
        <v>151</v>
      </c>
      <c r="BL38" t="s">
        <v>176</v>
      </c>
      <c r="BM38" t="s">
        <v>177</v>
      </c>
      <c r="BN38" t="s">
        <v>137</v>
      </c>
      <c r="BO38" t="s">
        <v>178</v>
      </c>
      <c r="BP38" t="s">
        <v>179</v>
      </c>
      <c r="BQ38" t="s">
        <v>180</v>
      </c>
      <c r="BR38" t="s">
        <v>154</v>
      </c>
      <c r="BS38" t="s">
        <v>181</v>
      </c>
      <c r="BT38" t="s">
        <v>182</v>
      </c>
      <c r="BU38" t="s">
        <v>182</v>
      </c>
      <c r="BV38" t="s">
        <v>182</v>
      </c>
      <c r="BW38" t="s">
        <v>151</v>
      </c>
      <c r="BX38" t="s">
        <v>183</v>
      </c>
      <c r="BY38" t="s">
        <v>151</v>
      </c>
      <c r="BZ38" t="s">
        <v>151</v>
      </c>
      <c r="CA38" t="s">
        <v>151</v>
      </c>
      <c r="CB38" t="s">
        <v>151</v>
      </c>
      <c r="CC38" t="s">
        <v>1106</v>
      </c>
      <c r="CD38" t="s">
        <v>1107</v>
      </c>
      <c r="CE38" t="s">
        <v>1108</v>
      </c>
      <c r="CF38" t="s">
        <v>1109</v>
      </c>
      <c r="CG38" t="s">
        <v>1110</v>
      </c>
      <c r="CH38" t="s">
        <v>1111</v>
      </c>
      <c r="CI38" t="s">
        <v>1112</v>
      </c>
      <c r="CJ38" t="s">
        <v>266</v>
      </c>
      <c r="CK38" t="s">
        <v>1094</v>
      </c>
      <c r="CL38" t="s">
        <v>560</v>
      </c>
      <c r="CM38" t="s">
        <v>193</v>
      </c>
      <c r="CN38" t="s">
        <v>194</v>
      </c>
      <c r="CO38" t="s">
        <v>154</v>
      </c>
      <c r="CP38" t="s">
        <v>195</v>
      </c>
      <c r="CQ38" t="s">
        <v>196</v>
      </c>
      <c r="CR38" t="s">
        <v>154</v>
      </c>
      <c r="CS38" t="s">
        <v>197</v>
      </c>
      <c r="CT38" t="s">
        <v>198</v>
      </c>
      <c r="CU38" t="s">
        <v>199</v>
      </c>
      <c r="CV38" t="s">
        <v>151</v>
      </c>
      <c r="CW38" t="s">
        <v>1093</v>
      </c>
      <c r="CX38" t="s">
        <v>200</v>
      </c>
      <c r="CY38" t="s">
        <v>201</v>
      </c>
      <c r="CZ38" t="s">
        <v>202</v>
      </c>
      <c r="DA38" t="s">
        <v>203</v>
      </c>
      <c r="DB38" t="s">
        <v>204</v>
      </c>
      <c r="DC38" t="s">
        <v>205</v>
      </c>
    </row>
    <row r="39" spans="1:107" x14ac:dyDescent="0.45">
      <c r="A39" t="s">
        <v>476</v>
      </c>
      <c r="B39" t="s">
        <v>1113</v>
      </c>
      <c r="C39" t="s">
        <v>139</v>
      </c>
      <c r="D39" t="s">
        <v>76</v>
      </c>
      <c r="E39" t="s">
        <v>140</v>
      </c>
      <c r="F39" t="s">
        <v>19</v>
      </c>
      <c r="G39" t="s">
        <v>478</v>
      </c>
      <c r="H39" t="s">
        <v>19</v>
      </c>
      <c r="I39" t="s">
        <v>19</v>
      </c>
      <c r="J39">
        <f t="shared" si="10"/>
        <v>3.8404531276463667E-3</v>
      </c>
      <c r="K39">
        <f t="shared" si="11"/>
        <v>2.9050319999999994</v>
      </c>
      <c r="L39">
        <f t="shared" si="12"/>
        <v>3.8353827505626993E-3</v>
      </c>
      <c r="M39">
        <f t="shared" si="13"/>
        <v>4.1961923372402808E-2</v>
      </c>
      <c r="N39" t="s">
        <v>1114</v>
      </c>
      <c r="O39" t="s">
        <v>1115</v>
      </c>
      <c r="P39">
        <f t="shared" si="14"/>
        <v>2.6681065574155625</v>
      </c>
      <c r="Q39">
        <f t="shared" si="15"/>
        <v>1.0893205574155624</v>
      </c>
      <c r="R39" t="s">
        <v>1116</v>
      </c>
      <c r="S39" t="s">
        <v>1117</v>
      </c>
      <c r="T39">
        <f t="shared" si="16"/>
        <v>26.237649300969245</v>
      </c>
      <c r="U39">
        <f t="shared" si="17"/>
        <v>0.4417875</v>
      </c>
      <c r="V39" t="s">
        <v>146</v>
      </c>
      <c r="W39" t="s">
        <v>1118</v>
      </c>
      <c r="X39" t="s">
        <v>1119</v>
      </c>
      <c r="Y39" t="s">
        <v>1120</v>
      </c>
      <c r="Z39" t="s">
        <v>1121</v>
      </c>
      <c r="AA39" t="s">
        <v>151</v>
      </c>
      <c r="AB39" t="s">
        <v>151</v>
      </c>
      <c r="AC39" t="s">
        <v>151</v>
      </c>
      <c r="AD39" t="s">
        <v>152</v>
      </c>
      <c r="AE39" t="s">
        <v>153</v>
      </c>
      <c r="AF39">
        <f t="shared" si="18"/>
        <v>0</v>
      </c>
      <c r="AG39" t="s">
        <v>154</v>
      </c>
      <c r="AH39" t="s">
        <v>1122</v>
      </c>
      <c r="AI39" t="s">
        <v>1123</v>
      </c>
      <c r="AJ39" t="s">
        <v>373</v>
      </c>
      <c r="AK39" t="s">
        <v>1124</v>
      </c>
      <c r="AL39">
        <f t="shared" si="19"/>
        <v>22.09</v>
      </c>
      <c r="AM39" t="s">
        <v>901</v>
      </c>
      <c r="AN39" t="s">
        <v>160</v>
      </c>
      <c r="AO39" t="s">
        <v>1125</v>
      </c>
      <c r="AP39" t="s">
        <v>1126</v>
      </c>
      <c r="AQ39" t="s">
        <v>163</v>
      </c>
      <c r="AR39" t="s">
        <v>1127</v>
      </c>
      <c r="AS39" t="s">
        <v>876</v>
      </c>
      <c r="AT39" t="s">
        <v>139</v>
      </c>
      <c r="AU39" t="s">
        <v>877</v>
      </c>
      <c r="AV39" t="s">
        <v>137</v>
      </c>
      <c r="AW39" t="s">
        <v>227</v>
      </c>
      <c r="AX39" t="s">
        <v>628</v>
      </c>
      <c r="AY39" t="s">
        <v>169</v>
      </c>
      <c r="AZ39" t="s">
        <v>1128</v>
      </c>
      <c r="BA39" t="s">
        <v>1129</v>
      </c>
      <c r="BB39" t="s">
        <v>169</v>
      </c>
      <c r="BC39" t="s">
        <v>137</v>
      </c>
      <c r="BD39" t="s">
        <v>172</v>
      </c>
      <c r="BE39" t="s">
        <v>169</v>
      </c>
      <c r="BF39" t="s">
        <v>173</v>
      </c>
      <c r="BG39" t="s">
        <v>174</v>
      </c>
      <c r="BH39" t="s">
        <v>151</v>
      </c>
      <c r="BI39" t="s">
        <v>175</v>
      </c>
      <c r="BJ39" t="s">
        <v>151</v>
      </c>
      <c r="BK39" t="s">
        <v>151</v>
      </c>
      <c r="BL39" t="s">
        <v>176</v>
      </c>
      <c r="BM39" t="s">
        <v>177</v>
      </c>
      <c r="BN39" t="s">
        <v>137</v>
      </c>
      <c r="BO39" t="s">
        <v>178</v>
      </c>
      <c r="BP39" t="s">
        <v>179</v>
      </c>
      <c r="BQ39" t="s">
        <v>180</v>
      </c>
      <c r="BR39" t="s">
        <v>154</v>
      </c>
      <c r="BS39" t="s">
        <v>181</v>
      </c>
      <c r="BT39" t="s">
        <v>182</v>
      </c>
      <c r="BU39" t="s">
        <v>182</v>
      </c>
      <c r="BV39" t="s">
        <v>182</v>
      </c>
      <c r="BW39" t="s">
        <v>151</v>
      </c>
      <c r="BX39" t="s">
        <v>183</v>
      </c>
      <c r="BY39" t="s">
        <v>151</v>
      </c>
      <c r="BZ39" t="s">
        <v>151</v>
      </c>
      <c r="CA39" t="s">
        <v>151</v>
      </c>
      <c r="CB39" t="s">
        <v>151</v>
      </c>
      <c r="CC39" t="s">
        <v>1130</v>
      </c>
      <c r="CD39" t="s">
        <v>1131</v>
      </c>
      <c r="CE39" t="s">
        <v>1132</v>
      </c>
      <c r="CF39" t="s">
        <v>1133</v>
      </c>
      <c r="CG39" t="s">
        <v>1134</v>
      </c>
      <c r="CH39" t="s">
        <v>1135</v>
      </c>
      <c r="CI39" t="s">
        <v>1136</v>
      </c>
      <c r="CJ39" t="s">
        <v>832</v>
      </c>
      <c r="CK39" t="s">
        <v>1119</v>
      </c>
      <c r="CL39" t="s">
        <v>359</v>
      </c>
      <c r="CM39" t="s">
        <v>193</v>
      </c>
      <c r="CN39" t="s">
        <v>194</v>
      </c>
      <c r="CO39" t="s">
        <v>154</v>
      </c>
      <c r="CP39" t="s">
        <v>195</v>
      </c>
      <c r="CQ39" t="s">
        <v>196</v>
      </c>
      <c r="CR39" t="s">
        <v>154</v>
      </c>
      <c r="CS39" t="s">
        <v>197</v>
      </c>
      <c r="CT39" t="s">
        <v>198</v>
      </c>
      <c r="CU39" t="s">
        <v>199</v>
      </c>
      <c r="CV39" t="s">
        <v>151</v>
      </c>
      <c r="CW39" t="s">
        <v>1118</v>
      </c>
      <c r="CX39" t="s">
        <v>200</v>
      </c>
      <c r="CY39" t="s">
        <v>201</v>
      </c>
      <c r="CZ39" t="s">
        <v>202</v>
      </c>
      <c r="DA39" t="s">
        <v>203</v>
      </c>
      <c r="DB39" t="s">
        <v>204</v>
      </c>
      <c r="DC39" t="s">
        <v>205</v>
      </c>
    </row>
    <row r="40" spans="1:107" x14ac:dyDescent="0.45">
      <c r="A40" t="s">
        <v>505</v>
      </c>
      <c r="B40" t="s">
        <v>1137</v>
      </c>
      <c r="C40" t="s">
        <v>139</v>
      </c>
      <c r="D40" t="s">
        <v>76</v>
      </c>
      <c r="E40" t="s">
        <v>140</v>
      </c>
      <c r="F40" t="s">
        <v>19</v>
      </c>
      <c r="G40" t="s">
        <v>507</v>
      </c>
      <c r="H40" t="s">
        <v>19</v>
      </c>
      <c r="I40" t="s">
        <v>19</v>
      </c>
      <c r="J40">
        <f t="shared" si="10"/>
        <v>-4.6912537824135448E-3</v>
      </c>
      <c r="K40">
        <f t="shared" si="11"/>
        <v>2.9050319999999994</v>
      </c>
      <c r="L40">
        <f t="shared" si="12"/>
        <v>-4.6988418087789679E-3</v>
      </c>
      <c r="M40">
        <f t="shared" si="13"/>
        <v>-5.2815366606757792E-2</v>
      </c>
      <c r="N40" t="s">
        <v>1138</v>
      </c>
      <c r="O40" t="s">
        <v>1139</v>
      </c>
      <c r="P40">
        <f t="shared" si="14"/>
        <v>2.704091113224417</v>
      </c>
      <c r="Q40">
        <f t="shared" si="15"/>
        <v>1.1188981132244169</v>
      </c>
      <c r="R40" t="s">
        <v>1140</v>
      </c>
      <c r="S40" t="s">
        <v>1141</v>
      </c>
      <c r="T40">
        <f t="shared" si="16"/>
        <v>26.591514536576035</v>
      </c>
      <c r="U40">
        <f t="shared" si="17"/>
        <v>0.4417875</v>
      </c>
      <c r="V40" t="s">
        <v>146</v>
      </c>
      <c r="W40" t="s">
        <v>1142</v>
      </c>
      <c r="X40" t="s">
        <v>1143</v>
      </c>
      <c r="Y40" t="s">
        <v>1144</v>
      </c>
      <c r="Z40" t="s">
        <v>1145</v>
      </c>
      <c r="AA40" t="s">
        <v>151</v>
      </c>
      <c r="AB40" t="s">
        <v>151</v>
      </c>
      <c r="AC40" t="s">
        <v>151</v>
      </c>
      <c r="AD40" t="s">
        <v>152</v>
      </c>
      <c r="AE40" t="s">
        <v>153</v>
      </c>
      <c r="AF40">
        <f t="shared" si="18"/>
        <v>0</v>
      </c>
      <c r="AG40" t="s">
        <v>154</v>
      </c>
      <c r="AH40" t="s">
        <v>1146</v>
      </c>
      <c r="AI40" t="s">
        <v>1147</v>
      </c>
      <c r="AJ40" t="s">
        <v>312</v>
      </c>
      <c r="AK40" t="s">
        <v>1148</v>
      </c>
      <c r="AL40">
        <f t="shared" si="19"/>
        <v>22.31</v>
      </c>
      <c r="AM40" t="s">
        <v>901</v>
      </c>
      <c r="AN40" t="s">
        <v>160</v>
      </c>
      <c r="AO40" t="s">
        <v>1149</v>
      </c>
      <c r="AP40" t="s">
        <v>1150</v>
      </c>
      <c r="AQ40" t="s">
        <v>163</v>
      </c>
      <c r="AR40" t="s">
        <v>1103</v>
      </c>
      <c r="AS40" t="s">
        <v>876</v>
      </c>
      <c r="AT40" t="s">
        <v>139</v>
      </c>
      <c r="AU40" t="s">
        <v>877</v>
      </c>
      <c r="AV40" t="s">
        <v>137</v>
      </c>
      <c r="AW40" t="s">
        <v>905</v>
      </c>
      <c r="AX40" t="s">
        <v>167</v>
      </c>
      <c r="AY40" t="s">
        <v>169</v>
      </c>
      <c r="AZ40" t="s">
        <v>1151</v>
      </c>
      <c r="BA40" t="s">
        <v>1152</v>
      </c>
      <c r="BB40" t="s">
        <v>169</v>
      </c>
      <c r="BC40" t="s">
        <v>137</v>
      </c>
      <c r="BD40" t="s">
        <v>172</v>
      </c>
      <c r="BE40" t="s">
        <v>169</v>
      </c>
      <c r="BF40" t="s">
        <v>173</v>
      </c>
      <c r="BG40" t="s">
        <v>174</v>
      </c>
      <c r="BH40" t="s">
        <v>151</v>
      </c>
      <c r="BI40" t="s">
        <v>175</v>
      </c>
      <c r="BJ40" t="s">
        <v>151</v>
      </c>
      <c r="BK40" t="s">
        <v>151</v>
      </c>
      <c r="BL40" t="s">
        <v>176</v>
      </c>
      <c r="BM40" t="s">
        <v>177</v>
      </c>
      <c r="BN40" t="s">
        <v>137</v>
      </c>
      <c r="BO40" t="s">
        <v>178</v>
      </c>
      <c r="BP40" t="s">
        <v>179</v>
      </c>
      <c r="BQ40" t="s">
        <v>180</v>
      </c>
      <c r="BR40" t="s">
        <v>154</v>
      </c>
      <c r="BS40" t="s">
        <v>181</v>
      </c>
      <c r="BT40" t="s">
        <v>182</v>
      </c>
      <c r="BU40" t="s">
        <v>182</v>
      </c>
      <c r="BV40" t="s">
        <v>182</v>
      </c>
      <c r="BW40" t="s">
        <v>151</v>
      </c>
      <c r="BX40" t="s">
        <v>183</v>
      </c>
      <c r="BY40" t="s">
        <v>151</v>
      </c>
      <c r="BZ40" t="s">
        <v>151</v>
      </c>
      <c r="CA40" t="s">
        <v>151</v>
      </c>
      <c r="CB40" t="s">
        <v>151</v>
      </c>
      <c r="CC40" t="s">
        <v>1153</v>
      </c>
      <c r="CD40" t="s">
        <v>1154</v>
      </c>
      <c r="CE40" t="s">
        <v>1155</v>
      </c>
      <c r="CF40" t="s">
        <v>1156</v>
      </c>
      <c r="CG40" t="s">
        <v>1157</v>
      </c>
      <c r="CH40" t="s">
        <v>1158</v>
      </c>
      <c r="CI40" t="s">
        <v>1159</v>
      </c>
      <c r="CJ40" t="s">
        <v>415</v>
      </c>
      <c r="CK40" t="s">
        <v>1143</v>
      </c>
      <c r="CL40" t="s">
        <v>445</v>
      </c>
      <c r="CM40" t="s">
        <v>193</v>
      </c>
      <c r="CN40" t="s">
        <v>194</v>
      </c>
      <c r="CO40" t="s">
        <v>154</v>
      </c>
      <c r="CP40" t="s">
        <v>195</v>
      </c>
      <c r="CQ40" t="s">
        <v>196</v>
      </c>
      <c r="CR40" t="s">
        <v>154</v>
      </c>
      <c r="CS40" t="s">
        <v>197</v>
      </c>
      <c r="CT40" t="s">
        <v>198</v>
      </c>
      <c r="CU40" t="s">
        <v>199</v>
      </c>
      <c r="CV40" t="s">
        <v>151</v>
      </c>
      <c r="CW40" t="s">
        <v>1142</v>
      </c>
      <c r="CX40" t="s">
        <v>200</v>
      </c>
      <c r="CY40" t="s">
        <v>201</v>
      </c>
      <c r="CZ40" t="s">
        <v>202</v>
      </c>
      <c r="DA40" t="s">
        <v>203</v>
      </c>
      <c r="DB40" t="s">
        <v>204</v>
      </c>
      <c r="DC40" t="s">
        <v>205</v>
      </c>
    </row>
    <row r="41" spans="1:107" x14ac:dyDescent="0.45">
      <c r="A41" t="s">
        <v>531</v>
      </c>
      <c r="B41" t="s">
        <v>1160</v>
      </c>
      <c r="C41" t="s">
        <v>139</v>
      </c>
      <c r="D41" t="s">
        <v>76</v>
      </c>
      <c r="E41" t="s">
        <v>140</v>
      </c>
      <c r="F41" t="s">
        <v>19</v>
      </c>
      <c r="G41" t="s">
        <v>533</v>
      </c>
      <c r="H41" t="s">
        <v>19</v>
      </c>
      <c r="I41" t="s">
        <v>19</v>
      </c>
      <c r="J41">
        <f t="shared" si="10"/>
        <v>2.4009180162262448E-2</v>
      </c>
      <c r="K41">
        <f t="shared" si="11"/>
        <v>2.9058327199999998</v>
      </c>
      <c r="L41">
        <f t="shared" si="12"/>
        <v>2.3812432094719262E-2</v>
      </c>
      <c r="M41">
        <f t="shared" si="13"/>
        <v>0.25631676103628759</v>
      </c>
      <c r="N41" t="s">
        <v>1161</v>
      </c>
      <c r="O41" t="s">
        <v>1162</v>
      </c>
      <c r="P41">
        <f t="shared" si="14"/>
        <v>2.6389771012177308</v>
      </c>
      <c r="Q41">
        <f t="shared" si="15"/>
        <v>1.0721311012177308</v>
      </c>
      <c r="R41" t="s">
        <v>1163</v>
      </c>
      <c r="S41" t="s">
        <v>1164</v>
      </c>
      <c r="T41">
        <f t="shared" si="16"/>
        <v>25.948644063104528</v>
      </c>
      <c r="U41">
        <f t="shared" si="17"/>
        <v>0.4417875</v>
      </c>
      <c r="V41" t="s">
        <v>146</v>
      </c>
      <c r="W41" t="s">
        <v>1165</v>
      </c>
      <c r="X41" t="s">
        <v>1166</v>
      </c>
      <c r="Y41" t="s">
        <v>1167</v>
      </c>
      <c r="Z41" t="s">
        <v>1168</v>
      </c>
      <c r="AA41" t="s">
        <v>151</v>
      </c>
      <c r="AB41" t="s">
        <v>151</v>
      </c>
      <c r="AC41" t="s">
        <v>151</v>
      </c>
      <c r="AD41" t="s">
        <v>152</v>
      </c>
      <c r="AE41" t="s">
        <v>153</v>
      </c>
      <c r="AF41">
        <f t="shared" si="18"/>
        <v>0</v>
      </c>
      <c r="AG41" t="s">
        <v>154</v>
      </c>
      <c r="AH41" t="s">
        <v>1169</v>
      </c>
      <c r="AI41" t="s">
        <v>1170</v>
      </c>
      <c r="AJ41" t="s">
        <v>1171</v>
      </c>
      <c r="AK41" t="s">
        <v>1172</v>
      </c>
      <c r="AL41">
        <f t="shared" si="19"/>
        <v>21.91</v>
      </c>
      <c r="AM41" t="s">
        <v>928</v>
      </c>
      <c r="AN41" t="s">
        <v>345</v>
      </c>
      <c r="AO41" t="s">
        <v>1173</v>
      </c>
      <c r="AP41" t="s">
        <v>1174</v>
      </c>
      <c r="AQ41" t="s">
        <v>163</v>
      </c>
      <c r="AR41" t="s">
        <v>1103</v>
      </c>
      <c r="AS41" t="s">
        <v>876</v>
      </c>
      <c r="AT41" t="s">
        <v>139</v>
      </c>
      <c r="AU41" t="s">
        <v>877</v>
      </c>
      <c r="AV41" t="s">
        <v>137</v>
      </c>
      <c r="AW41" t="s">
        <v>227</v>
      </c>
      <c r="AX41" t="s">
        <v>1175</v>
      </c>
      <c r="AY41" t="s">
        <v>169</v>
      </c>
      <c r="AZ41" t="s">
        <v>1176</v>
      </c>
      <c r="BA41" t="s">
        <v>1177</v>
      </c>
      <c r="BB41" t="s">
        <v>169</v>
      </c>
      <c r="BC41" t="s">
        <v>137</v>
      </c>
      <c r="BD41" t="s">
        <v>172</v>
      </c>
      <c r="BE41" t="s">
        <v>169</v>
      </c>
      <c r="BF41" t="s">
        <v>173</v>
      </c>
      <c r="BG41" t="s">
        <v>174</v>
      </c>
      <c r="BH41" t="s">
        <v>151</v>
      </c>
      <c r="BI41" t="s">
        <v>175</v>
      </c>
      <c r="BJ41" t="s">
        <v>151</v>
      </c>
      <c r="BK41" t="s">
        <v>151</v>
      </c>
      <c r="BL41" t="s">
        <v>176</v>
      </c>
      <c r="BM41" t="s">
        <v>177</v>
      </c>
      <c r="BN41" t="s">
        <v>137</v>
      </c>
      <c r="BO41" t="s">
        <v>178</v>
      </c>
      <c r="BP41" t="s">
        <v>179</v>
      </c>
      <c r="BQ41" t="s">
        <v>180</v>
      </c>
      <c r="BR41" t="s">
        <v>154</v>
      </c>
      <c r="BS41" t="s">
        <v>181</v>
      </c>
      <c r="BT41" t="s">
        <v>182</v>
      </c>
      <c r="BU41" t="s">
        <v>182</v>
      </c>
      <c r="BV41" t="s">
        <v>182</v>
      </c>
      <c r="BW41" t="s">
        <v>151</v>
      </c>
      <c r="BX41" t="s">
        <v>183</v>
      </c>
      <c r="BY41" t="s">
        <v>151</v>
      </c>
      <c r="BZ41" t="s">
        <v>151</v>
      </c>
      <c r="CA41" t="s">
        <v>151</v>
      </c>
      <c r="CB41" t="s">
        <v>151</v>
      </c>
      <c r="CC41" t="s">
        <v>1178</v>
      </c>
      <c r="CD41" t="s">
        <v>1179</v>
      </c>
      <c r="CE41" t="s">
        <v>1180</v>
      </c>
      <c r="CF41" t="s">
        <v>1181</v>
      </c>
      <c r="CG41" t="s">
        <v>1182</v>
      </c>
      <c r="CH41" t="s">
        <v>1183</v>
      </c>
      <c r="CI41" t="s">
        <v>1184</v>
      </c>
      <c r="CJ41" t="s">
        <v>299</v>
      </c>
      <c r="CK41" t="s">
        <v>1166</v>
      </c>
      <c r="CL41" t="s">
        <v>475</v>
      </c>
      <c r="CM41" t="s">
        <v>193</v>
      </c>
      <c r="CN41" t="s">
        <v>194</v>
      </c>
      <c r="CO41" t="s">
        <v>154</v>
      </c>
      <c r="CP41" t="s">
        <v>195</v>
      </c>
      <c r="CQ41" t="s">
        <v>196</v>
      </c>
      <c r="CR41" t="s">
        <v>154</v>
      </c>
      <c r="CS41" t="s">
        <v>197</v>
      </c>
      <c r="CT41" t="s">
        <v>198</v>
      </c>
      <c r="CU41" t="s">
        <v>199</v>
      </c>
      <c r="CV41" t="s">
        <v>151</v>
      </c>
      <c r="CW41" t="s">
        <v>1165</v>
      </c>
      <c r="CX41" t="s">
        <v>200</v>
      </c>
      <c r="CY41" t="s">
        <v>201</v>
      </c>
      <c r="CZ41" t="s">
        <v>202</v>
      </c>
      <c r="DA41" t="s">
        <v>203</v>
      </c>
      <c r="DB41" t="s">
        <v>204</v>
      </c>
      <c r="DC41" t="s">
        <v>205</v>
      </c>
    </row>
    <row r="42" spans="1:107" x14ac:dyDescent="0.45">
      <c r="A42" t="s">
        <v>561</v>
      </c>
      <c r="B42" t="s">
        <v>1185</v>
      </c>
      <c r="C42" t="s">
        <v>139</v>
      </c>
      <c r="D42" t="s">
        <v>76</v>
      </c>
      <c r="E42" t="s">
        <v>140</v>
      </c>
      <c r="F42" t="s">
        <v>19</v>
      </c>
      <c r="G42" t="s">
        <v>563</v>
      </c>
      <c r="H42" t="s">
        <v>19</v>
      </c>
      <c r="I42" t="s">
        <v>19</v>
      </c>
      <c r="J42">
        <f t="shared" si="10"/>
        <v>4.4837619246324073E-3</v>
      </c>
      <c r="K42">
        <f t="shared" si="11"/>
        <v>2.9066320800000001</v>
      </c>
      <c r="L42">
        <f t="shared" si="12"/>
        <v>4.4768559400929905E-3</v>
      </c>
      <c r="M42">
        <f t="shared" si="13"/>
        <v>4.8258009056305493E-2</v>
      </c>
      <c r="N42" t="s">
        <v>1186</v>
      </c>
      <c r="O42" t="s">
        <v>1187</v>
      </c>
      <c r="P42">
        <f t="shared" si="14"/>
        <v>2.6309351537515093</v>
      </c>
      <c r="Q42">
        <f t="shared" si="15"/>
        <v>1.0735681537515094</v>
      </c>
      <c r="R42" t="s">
        <v>1188</v>
      </c>
      <c r="S42" t="s">
        <v>1189</v>
      </c>
      <c r="T42">
        <f t="shared" si="16"/>
        <v>25.872112830676659</v>
      </c>
      <c r="U42">
        <f t="shared" si="17"/>
        <v>0.4417875</v>
      </c>
      <c r="V42" t="s">
        <v>146</v>
      </c>
      <c r="W42" t="s">
        <v>1190</v>
      </c>
      <c r="X42" t="s">
        <v>1191</v>
      </c>
      <c r="Y42" t="s">
        <v>1192</v>
      </c>
      <c r="Z42" t="s">
        <v>1193</v>
      </c>
      <c r="AA42" t="s">
        <v>151</v>
      </c>
      <c r="AB42" t="s">
        <v>151</v>
      </c>
      <c r="AC42" t="s">
        <v>151</v>
      </c>
      <c r="AD42" t="s">
        <v>152</v>
      </c>
      <c r="AE42" t="s">
        <v>153</v>
      </c>
      <c r="AF42">
        <f t="shared" si="18"/>
        <v>0</v>
      </c>
      <c r="AG42" t="s">
        <v>154</v>
      </c>
      <c r="AH42" t="s">
        <v>898</v>
      </c>
      <c r="AI42" t="s">
        <v>1194</v>
      </c>
      <c r="AJ42" t="s">
        <v>1195</v>
      </c>
      <c r="AK42" t="s">
        <v>1196</v>
      </c>
      <c r="AL42">
        <f t="shared" si="19"/>
        <v>21.86</v>
      </c>
      <c r="AM42" t="s">
        <v>901</v>
      </c>
      <c r="AN42" t="s">
        <v>401</v>
      </c>
      <c r="AO42" t="s">
        <v>1197</v>
      </c>
      <c r="AP42" t="s">
        <v>1198</v>
      </c>
      <c r="AQ42" t="s">
        <v>1199</v>
      </c>
      <c r="AR42" t="s">
        <v>1127</v>
      </c>
      <c r="AS42" t="s">
        <v>876</v>
      </c>
      <c r="AT42" t="s">
        <v>139</v>
      </c>
      <c r="AU42" t="s">
        <v>877</v>
      </c>
      <c r="AV42" t="s">
        <v>137</v>
      </c>
      <c r="AW42" t="s">
        <v>227</v>
      </c>
      <c r="AX42" t="s">
        <v>1200</v>
      </c>
      <c r="AY42" t="s">
        <v>169</v>
      </c>
      <c r="AZ42" t="s">
        <v>1201</v>
      </c>
      <c r="BA42" t="s">
        <v>1202</v>
      </c>
      <c r="BB42" t="s">
        <v>169</v>
      </c>
      <c r="BC42" t="s">
        <v>137</v>
      </c>
      <c r="BD42" t="s">
        <v>172</v>
      </c>
      <c r="BE42" t="s">
        <v>169</v>
      </c>
      <c r="BF42" t="s">
        <v>173</v>
      </c>
      <c r="BG42" t="s">
        <v>174</v>
      </c>
      <c r="BH42" t="s">
        <v>151</v>
      </c>
      <c r="BI42" t="s">
        <v>175</v>
      </c>
      <c r="BJ42" t="s">
        <v>151</v>
      </c>
      <c r="BK42" t="s">
        <v>151</v>
      </c>
      <c r="BL42" t="s">
        <v>176</v>
      </c>
      <c r="BM42" t="s">
        <v>177</v>
      </c>
      <c r="BN42" t="s">
        <v>137</v>
      </c>
      <c r="BO42" t="s">
        <v>178</v>
      </c>
      <c r="BP42" t="s">
        <v>179</v>
      </c>
      <c r="BQ42" t="s">
        <v>180</v>
      </c>
      <c r="BR42" t="s">
        <v>154</v>
      </c>
      <c r="BS42" t="s">
        <v>181</v>
      </c>
      <c r="BT42" t="s">
        <v>182</v>
      </c>
      <c r="BU42" t="s">
        <v>182</v>
      </c>
      <c r="BV42" t="s">
        <v>182</v>
      </c>
      <c r="BW42" t="s">
        <v>151</v>
      </c>
      <c r="BX42" t="s">
        <v>183</v>
      </c>
      <c r="BY42" t="s">
        <v>151</v>
      </c>
      <c r="BZ42" t="s">
        <v>151</v>
      </c>
      <c r="CA42" t="s">
        <v>151</v>
      </c>
      <c r="CB42" t="s">
        <v>151</v>
      </c>
      <c r="CC42" t="s">
        <v>1203</v>
      </c>
      <c r="CD42" t="s">
        <v>1204</v>
      </c>
      <c r="CE42" t="s">
        <v>1205</v>
      </c>
      <c r="CF42" t="s">
        <v>1206</v>
      </c>
      <c r="CG42" t="s">
        <v>1207</v>
      </c>
      <c r="CH42" t="s">
        <v>1208</v>
      </c>
      <c r="CI42" t="s">
        <v>1209</v>
      </c>
      <c r="CJ42" t="s">
        <v>1210</v>
      </c>
      <c r="CK42" t="s">
        <v>1191</v>
      </c>
      <c r="CL42" t="s">
        <v>530</v>
      </c>
      <c r="CM42" t="s">
        <v>193</v>
      </c>
      <c r="CN42" t="s">
        <v>194</v>
      </c>
      <c r="CO42" t="s">
        <v>154</v>
      </c>
      <c r="CP42" t="s">
        <v>195</v>
      </c>
      <c r="CQ42" t="s">
        <v>196</v>
      </c>
      <c r="CR42" t="s">
        <v>154</v>
      </c>
      <c r="CS42" t="s">
        <v>197</v>
      </c>
      <c r="CT42" t="s">
        <v>198</v>
      </c>
      <c r="CU42" t="s">
        <v>199</v>
      </c>
      <c r="CV42" t="s">
        <v>151</v>
      </c>
      <c r="CW42" t="s">
        <v>1190</v>
      </c>
      <c r="CX42" t="s">
        <v>200</v>
      </c>
      <c r="CY42" t="s">
        <v>201</v>
      </c>
      <c r="CZ42" t="s">
        <v>202</v>
      </c>
      <c r="DA42" t="s">
        <v>203</v>
      </c>
      <c r="DB42" t="s">
        <v>204</v>
      </c>
      <c r="DC42" t="s">
        <v>205</v>
      </c>
    </row>
    <row r="43" spans="1:107" x14ac:dyDescent="0.45">
      <c r="A43" t="s">
        <v>587</v>
      </c>
      <c r="B43" t="s">
        <v>1211</v>
      </c>
      <c r="C43" t="s">
        <v>139</v>
      </c>
      <c r="D43" t="s">
        <v>76</v>
      </c>
      <c r="E43" t="s">
        <v>140</v>
      </c>
      <c r="F43" t="s">
        <v>19</v>
      </c>
      <c r="G43" t="s">
        <v>589</v>
      </c>
      <c r="H43" t="s">
        <v>19</v>
      </c>
      <c r="I43" t="s">
        <v>19</v>
      </c>
      <c r="J43">
        <f t="shared" si="10"/>
        <v>-4.9977865333640454E-3</v>
      </c>
      <c r="K43">
        <f t="shared" si="11"/>
        <v>2.9042299199999997</v>
      </c>
      <c r="L43">
        <f t="shared" si="12"/>
        <v>-5.0064018732482677E-3</v>
      </c>
      <c r="M43">
        <f t="shared" si="13"/>
        <v>-5.6530244038284189E-2</v>
      </c>
      <c r="N43" t="s">
        <v>1212</v>
      </c>
      <c r="O43" t="s">
        <v>1213</v>
      </c>
      <c r="P43">
        <f t="shared" si="14"/>
        <v>2.6762478508835859</v>
      </c>
      <c r="Q43">
        <f t="shared" si="15"/>
        <v>1.1243018508835858</v>
      </c>
      <c r="R43" t="s">
        <v>1214</v>
      </c>
      <c r="S43" t="s">
        <v>1215</v>
      </c>
      <c r="T43">
        <f t="shared" si="16"/>
        <v>26.317709222967704</v>
      </c>
      <c r="U43">
        <f t="shared" si="17"/>
        <v>0.4417875</v>
      </c>
      <c r="V43" t="s">
        <v>146</v>
      </c>
      <c r="W43" t="s">
        <v>1216</v>
      </c>
      <c r="X43" t="s">
        <v>1217</v>
      </c>
      <c r="Y43" t="s">
        <v>1218</v>
      </c>
      <c r="Z43" t="s">
        <v>1219</v>
      </c>
      <c r="AA43" t="s">
        <v>151</v>
      </c>
      <c r="AB43" t="s">
        <v>151</v>
      </c>
      <c r="AC43" t="s">
        <v>151</v>
      </c>
      <c r="AD43" t="s">
        <v>152</v>
      </c>
      <c r="AE43" t="s">
        <v>153</v>
      </c>
      <c r="AF43">
        <f t="shared" si="18"/>
        <v>0</v>
      </c>
      <c r="AG43" t="s">
        <v>154</v>
      </c>
      <c r="AH43" t="s">
        <v>1220</v>
      </c>
      <c r="AI43" t="s">
        <v>1221</v>
      </c>
      <c r="AJ43" t="s">
        <v>157</v>
      </c>
      <c r="AK43" t="s">
        <v>1222</v>
      </c>
      <c r="AL43">
        <f t="shared" si="19"/>
        <v>22.14</v>
      </c>
      <c r="AM43" t="s">
        <v>901</v>
      </c>
      <c r="AN43" t="s">
        <v>284</v>
      </c>
      <c r="AO43" t="s">
        <v>1223</v>
      </c>
      <c r="AP43" t="s">
        <v>930</v>
      </c>
      <c r="AQ43" t="s">
        <v>1199</v>
      </c>
      <c r="AR43" t="s">
        <v>1127</v>
      </c>
      <c r="AS43" t="s">
        <v>876</v>
      </c>
      <c r="AT43" t="s">
        <v>139</v>
      </c>
      <c r="AU43" t="s">
        <v>877</v>
      </c>
      <c r="AV43" t="s">
        <v>137</v>
      </c>
      <c r="AW43" t="s">
        <v>905</v>
      </c>
      <c r="AX43" t="s">
        <v>628</v>
      </c>
      <c r="AY43" t="s">
        <v>169</v>
      </c>
      <c r="AZ43" t="s">
        <v>1224</v>
      </c>
      <c r="BA43" t="s">
        <v>1225</v>
      </c>
      <c r="BB43" t="s">
        <v>169</v>
      </c>
      <c r="BC43" t="s">
        <v>137</v>
      </c>
      <c r="BD43" t="s">
        <v>172</v>
      </c>
      <c r="BE43" t="s">
        <v>169</v>
      </c>
      <c r="BF43" t="s">
        <v>173</v>
      </c>
      <c r="BG43" t="s">
        <v>174</v>
      </c>
      <c r="BH43" t="s">
        <v>151</v>
      </c>
      <c r="BI43" t="s">
        <v>175</v>
      </c>
      <c r="BJ43" t="s">
        <v>151</v>
      </c>
      <c r="BK43" t="s">
        <v>151</v>
      </c>
      <c r="BL43" t="s">
        <v>176</v>
      </c>
      <c r="BM43" t="s">
        <v>177</v>
      </c>
      <c r="BN43" t="s">
        <v>137</v>
      </c>
      <c r="BO43" t="s">
        <v>178</v>
      </c>
      <c r="BP43" t="s">
        <v>179</v>
      </c>
      <c r="BQ43" t="s">
        <v>180</v>
      </c>
      <c r="BR43" t="s">
        <v>154</v>
      </c>
      <c r="BS43" t="s">
        <v>181</v>
      </c>
      <c r="BT43" t="s">
        <v>182</v>
      </c>
      <c r="BU43" t="s">
        <v>182</v>
      </c>
      <c r="BV43" t="s">
        <v>182</v>
      </c>
      <c r="BW43" t="s">
        <v>151</v>
      </c>
      <c r="BX43" t="s">
        <v>183</v>
      </c>
      <c r="BY43" t="s">
        <v>151</v>
      </c>
      <c r="BZ43" t="s">
        <v>151</v>
      </c>
      <c r="CA43" t="s">
        <v>151</v>
      </c>
      <c r="CB43" t="s">
        <v>151</v>
      </c>
      <c r="CC43" t="s">
        <v>1226</v>
      </c>
      <c r="CD43" t="s">
        <v>1227</v>
      </c>
      <c r="CE43" t="s">
        <v>1228</v>
      </c>
      <c r="CF43" t="s">
        <v>1229</v>
      </c>
      <c r="CG43" t="s">
        <v>1230</v>
      </c>
      <c r="CH43" t="s">
        <v>1231</v>
      </c>
      <c r="CI43" t="s">
        <v>1232</v>
      </c>
      <c r="CJ43" t="s">
        <v>1233</v>
      </c>
      <c r="CK43" t="s">
        <v>1217</v>
      </c>
      <c r="CL43" t="s">
        <v>237</v>
      </c>
      <c r="CM43" t="s">
        <v>193</v>
      </c>
      <c r="CN43" t="s">
        <v>194</v>
      </c>
      <c r="CO43" t="s">
        <v>154</v>
      </c>
      <c r="CP43" t="s">
        <v>195</v>
      </c>
      <c r="CQ43" t="s">
        <v>196</v>
      </c>
      <c r="CR43" t="s">
        <v>154</v>
      </c>
      <c r="CS43" t="s">
        <v>197</v>
      </c>
      <c r="CT43" t="s">
        <v>198</v>
      </c>
      <c r="CU43" t="s">
        <v>199</v>
      </c>
      <c r="CV43" t="s">
        <v>151</v>
      </c>
      <c r="CW43" t="s">
        <v>1216</v>
      </c>
      <c r="CX43" t="s">
        <v>200</v>
      </c>
      <c r="CY43" t="s">
        <v>201</v>
      </c>
      <c r="CZ43" t="s">
        <v>202</v>
      </c>
      <c r="DA43" t="s">
        <v>203</v>
      </c>
      <c r="DB43" t="s">
        <v>204</v>
      </c>
      <c r="DC43" t="s">
        <v>205</v>
      </c>
    </row>
    <row r="44" spans="1:107" x14ac:dyDescent="0.45">
      <c r="A44" t="s">
        <v>1234</v>
      </c>
      <c r="B44" t="s">
        <v>1235</v>
      </c>
      <c r="C44" t="s">
        <v>139</v>
      </c>
      <c r="D44" t="s">
        <v>76</v>
      </c>
      <c r="E44" t="s">
        <v>140</v>
      </c>
      <c r="F44" t="s">
        <v>19</v>
      </c>
      <c r="G44" t="s">
        <v>1236</v>
      </c>
      <c r="H44" t="s">
        <v>19</v>
      </c>
      <c r="I44" t="s">
        <v>19</v>
      </c>
      <c r="J44">
        <f t="shared" si="10"/>
        <v>9.3924117194743714E-4</v>
      </c>
      <c r="K44">
        <f t="shared" si="11"/>
        <v>2.9050319999999994</v>
      </c>
      <c r="L44">
        <f t="shared" si="12"/>
        <v>9.3893759909489721E-4</v>
      </c>
      <c r="M44">
        <f t="shared" si="13"/>
        <v>1.0126557876651536E-2</v>
      </c>
      <c r="N44" t="s">
        <v>1237</v>
      </c>
      <c r="O44" t="s">
        <v>1238</v>
      </c>
      <c r="P44">
        <f t="shared" si="14"/>
        <v>2.627724386414815</v>
      </c>
      <c r="Q44">
        <f t="shared" si="15"/>
        <v>1.074134386414815</v>
      </c>
      <c r="R44" t="s">
        <v>1239</v>
      </c>
      <c r="S44" t="s">
        <v>1240</v>
      </c>
      <c r="T44">
        <f t="shared" si="16"/>
        <v>25.840538759119038</v>
      </c>
      <c r="U44">
        <f t="shared" si="17"/>
        <v>0.4417875</v>
      </c>
      <c r="V44" t="s">
        <v>146</v>
      </c>
      <c r="W44" t="s">
        <v>1241</v>
      </c>
      <c r="X44" t="s">
        <v>1242</v>
      </c>
      <c r="Y44" t="s">
        <v>1243</v>
      </c>
      <c r="Z44" t="s">
        <v>1244</v>
      </c>
      <c r="AA44" t="s">
        <v>151</v>
      </c>
      <c r="AB44" t="s">
        <v>151</v>
      </c>
      <c r="AC44" t="s">
        <v>151</v>
      </c>
      <c r="AD44" t="s">
        <v>152</v>
      </c>
      <c r="AE44" t="s">
        <v>153</v>
      </c>
      <c r="AF44">
        <f t="shared" si="18"/>
        <v>0</v>
      </c>
      <c r="AG44" t="s">
        <v>154</v>
      </c>
      <c r="AH44" t="s">
        <v>1245</v>
      </c>
      <c r="AI44" t="s">
        <v>1220</v>
      </c>
      <c r="AJ44" t="s">
        <v>1246</v>
      </c>
      <c r="AK44" t="s">
        <v>976</v>
      </c>
      <c r="AL44">
        <f t="shared" si="19"/>
        <v>21.84</v>
      </c>
      <c r="AM44" t="s">
        <v>901</v>
      </c>
      <c r="AN44" t="s">
        <v>160</v>
      </c>
      <c r="AO44" t="s">
        <v>1247</v>
      </c>
      <c r="AP44" t="s">
        <v>1248</v>
      </c>
      <c r="AQ44" t="s">
        <v>163</v>
      </c>
      <c r="AR44" t="s">
        <v>1249</v>
      </c>
      <c r="AS44" t="s">
        <v>876</v>
      </c>
      <c r="AT44" t="s">
        <v>139</v>
      </c>
      <c r="AU44" t="s">
        <v>877</v>
      </c>
      <c r="AV44" t="s">
        <v>137</v>
      </c>
      <c r="AW44" t="s">
        <v>348</v>
      </c>
      <c r="AX44" t="s">
        <v>349</v>
      </c>
      <c r="AY44" t="s">
        <v>169</v>
      </c>
      <c r="AZ44" t="s">
        <v>1250</v>
      </c>
      <c r="BA44" t="s">
        <v>1250</v>
      </c>
      <c r="BB44" t="s">
        <v>169</v>
      </c>
      <c r="BC44" t="s">
        <v>137</v>
      </c>
      <c r="BD44" t="s">
        <v>172</v>
      </c>
      <c r="BE44" t="s">
        <v>169</v>
      </c>
      <c r="BF44" t="s">
        <v>173</v>
      </c>
      <c r="BG44" t="s">
        <v>174</v>
      </c>
      <c r="BH44" t="s">
        <v>151</v>
      </c>
      <c r="BI44" t="s">
        <v>175</v>
      </c>
      <c r="BJ44" t="s">
        <v>151</v>
      </c>
      <c r="BK44" t="s">
        <v>151</v>
      </c>
      <c r="BL44" t="s">
        <v>176</v>
      </c>
      <c r="BM44" t="s">
        <v>177</v>
      </c>
      <c r="BN44" t="s">
        <v>137</v>
      </c>
      <c r="BO44" t="s">
        <v>178</v>
      </c>
      <c r="BP44" t="s">
        <v>179</v>
      </c>
      <c r="BQ44" t="s">
        <v>180</v>
      </c>
      <c r="BR44" t="s">
        <v>154</v>
      </c>
      <c r="BS44" t="s">
        <v>181</v>
      </c>
      <c r="BT44" t="s">
        <v>182</v>
      </c>
      <c r="BU44" t="s">
        <v>182</v>
      </c>
      <c r="BV44" t="s">
        <v>182</v>
      </c>
      <c r="BW44" t="s">
        <v>151</v>
      </c>
      <c r="BX44" t="s">
        <v>183</v>
      </c>
      <c r="BY44" t="s">
        <v>151</v>
      </c>
      <c r="BZ44" t="s">
        <v>151</v>
      </c>
      <c r="CA44" t="s">
        <v>151</v>
      </c>
      <c r="CB44" t="s">
        <v>151</v>
      </c>
      <c r="CC44" t="s">
        <v>1251</v>
      </c>
      <c r="CD44" t="s">
        <v>1252</v>
      </c>
      <c r="CE44" t="s">
        <v>1253</v>
      </c>
      <c r="CF44" t="s">
        <v>1254</v>
      </c>
      <c r="CG44" t="s">
        <v>1255</v>
      </c>
      <c r="CH44" t="s">
        <v>1256</v>
      </c>
      <c r="CI44" t="s">
        <v>1257</v>
      </c>
      <c r="CJ44" t="s">
        <v>299</v>
      </c>
      <c r="CK44" t="s">
        <v>1242</v>
      </c>
      <c r="CL44" t="s">
        <v>237</v>
      </c>
      <c r="CM44" t="s">
        <v>193</v>
      </c>
      <c r="CN44" t="s">
        <v>194</v>
      </c>
      <c r="CO44" t="s">
        <v>154</v>
      </c>
      <c r="CP44" t="s">
        <v>195</v>
      </c>
      <c r="CQ44" t="s">
        <v>196</v>
      </c>
      <c r="CR44" t="s">
        <v>154</v>
      </c>
      <c r="CS44" t="s">
        <v>197</v>
      </c>
      <c r="CT44" t="s">
        <v>198</v>
      </c>
      <c r="CU44" t="s">
        <v>199</v>
      </c>
      <c r="CV44" t="s">
        <v>151</v>
      </c>
      <c r="CW44" t="s">
        <v>1241</v>
      </c>
      <c r="CX44" t="s">
        <v>200</v>
      </c>
      <c r="CY44" t="s">
        <v>201</v>
      </c>
      <c r="CZ44" t="s">
        <v>202</v>
      </c>
      <c r="DA44" t="s">
        <v>203</v>
      </c>
      <c r="DB44" t="s">
        <v>204</v>
      </c>
      <c r="DC44" t="s">
        <v>205</v>
      </c>
    </row>
    <row r="45" spans="1:107" x14ac:dyDescent="0.45">
      <c r="A45" t="s">
        <v>1258</v>
      </c>
      <c r="B45" t="s">
        <v>1259</v>
      </c>
      <c r="C45" t="s">
        <v>139</v>
      </c>
      <c r="D45" t="s">
        <v>76</v>
      </c>
      <c r="E45" t="s">
        <v>140</v>
      </c>
      <c r="F45" t="s">
        <v>19</v>
      </c>
      <c r="G45" t="s">
        <v>1260</v>
      </c>
      <c r="H45" t="s">
        <v>19</v>
      </c>
      <c r="I45" t="s">
        <v>19</v>
      </c>
      <c r="J45">
        <f t="shared" si="10"/>
        <v>6.4755469372365934E-3</v>
      </c>
      <c r="K45">
        <f t="shared" si="11"/>
        <v>2.9042299199999997</v>
      </c>
      <c r="L45">
        <f t="shared" si="12"/>
        <v>6.4611405644130048E-3</v>
      </c>
      <c r="M45">
        <f t="shared" si="13"/>
        <v>6.7482085803378347E-2</v>
      </c>
      <c r="N45" t="s">
        <v>1261</v>
      </c>
      <c r="O45" t="s">
        <v>1262</v>
      </c>
      <c r="P45">
        <f t="shared" si="14"/>
        <v>2.6197124699921552</v>
      </c>
      <c r="Q45">
        <f t="shared" si="15"/>
        <v>1.0402214699921553</v>
      </c>
      <c r="R45" t="s">
        <v>1263</v>
      </c>
      <c r="S45" t="s">
        <v>1264</v>
      </c>
      <c r="T45">
        <f t="shared" si="16"/>
        <v>25.759217994023157</v>
      </c>
      <c r="U45">
        <f t="shared" si="17"/>
        <v>0.4417875</v>
      </c>
      <c r="V45" t="s">
        <v>146</v>
      </c>
      <c r="W45" t="s">
        <v>1265</v>
      </c>
      <c r="X45" t="s">
        <v>1266</v>
      </c>
      <c r="Y45" t="s">
        <v>1267</v>
      </c>
      <c r="Z45" t="s">
        <v>1268</v>
      </c>
      <c r="AA45" t="s">
        <v>151</v>
      </c>
      <c r="AB45" t="s">
        <v>151</v>
      </c>
      <c r="AC45" t="s">
        <v>151</v>
      </c>
      <c r="AD45" t="s">
        <v>152</v>
      </c>
      <c r="AE45" t="s">
        <v>153</v>
      </c>
      <c r="AF45">
        <f t="shared" si="18"/>
        <v>0</v>
      </c>
      <c r="AG45" t="s">
        <v>154</v>
      </c>
      <c r="AH45" t="s">
        <v>1269</v>
      </c>
      <c r="AI45" t="s">
        <v>1270</v>
      </c>
      <c r="AJ45" t="s">
        <v>1271</v>
      </c>
      <c r="AK45" t="s">
        <v>400</v>
      </c>
      <c r="AL45">
        <f t="shared" si="19"/>
        <v>21.79</v>
      </c>
      <c r="AM45" t="s">
        <v>928</v>
      </c>
      <c r="AN45" t="s">
        <v>284</v>
      </c>
      <c r="AO45" t="s">
        <v>1272</v>
      </c>
      <c r="AP45" t="s">
        <v>1273</v>
      </c>
      <c r="AQ45" t="s">
        <v>137</v>
      </c>
      <c r="AR45" t="s">
        <v>1249</v>
      </c>
      <c r="AS45" t="s">
        <v>876</v>
      </c>
      <c r="AT45" t="s">
        <v>139</v>
      </c>
      <c r="AU45" t="s">
        <v>877</v>
      </c>
      <c r="AV45" t="s">
        <v>137</v>
      </c>
      <c r="AW45" t="s">
        <v>548</v>
      </c>
      <c r="AX45" t="s">
        <v>1274</v>
      </c>
      <c r="AY45" t="s">
        <v>169</v>
      </c>
      <c r="AZ45" t="s">
        <v>1275</v>
      </c>
      <c r="BA45" t="s">
        <v>1276</v>
      </c>
      <c r="BB45" t="s">
        <v>169</v>
      </c>
      <c r="BC45" t="s">
        <v>137</v>
      </c>
      <c r="BD45" t="s">
        <v>172</v>
      </c>
      <c r="BE45" t="s">
        <v>169</v>
      </c>
      <c r="BF45" t="s">
        <v>173</v>
      </c>
      <c r="BG45" t="s">
        <v>174</v>
      </c>
      <c r="BH45" t="s">
        <v>151</v>
      </c>
      <c r="BI45" t="s">
        <v>175</v>
      </c>
      <c r="BJ45" t="s">
        <v>151</v>
      </c>
      <c r="BK45" t="s">
        <v>151</v>
      </c>
      <c r="BL45" t="s">
        <v>176</v>
      </c>
      <c r="BM45" t="s">
        <v>177</v>
      </c>
      <c r="BN45" t="s">
        <v>137</v>
      </c>
      <c r="BO45" t="s">
        <v>178</v>
      </c>
      <c r="BP45" t="s">
        <v>179</v>
      </c>
      <c r="BQ45" t="s">
        <v>180</v>
      </c>
      <c r="BR45" t="s">
        <v>154</v>
      </c>
      <c r="BS45" t="s">
        <v>181</v>
      </c>
      <c r="BT45" t="s">
        <v>182</v>
      </c>
      <c r="BU45" t="s">
        <v>182</v>
      </c>
      <c r="BV45" t="s">
        <v>182</v>
      </c>
      <c r="BW45" t="s">
        <v>151</v>
      </c>
      <c r="BX45" t="s">
        <v>183</v>
      </c>
      <c r="BY45" t="s">
        <v>151</v>
      </c>
      <c r="BZ45" t="s">
        <v>151</v>
      </c>
      <c r="CA45" t="s">
        <v>151</v>
      </c>
      <c r="CB45" t="s">
        <v>151</v>
      </c>
      <c r="CC45" t="s">
        <v>1277</v>
      </c>
      <c r="CD45" t="s">
        <v>1278</v>
      </c>
      <c r="CE45" t="s">
        <v>1279</v>
      </c>
      <c r="CF45" t="s">
        <v>1280</v>
      </c>
      <c r="CG45" t="s">
        <v>1281</v>
      </c>
      <c r="CH45" t="s">
        <v>1282</v>
      </c>
      <c r="CI45" t="s">
        <v>1283</v>
      </c>
      <c r="CJ45" t="s">
        <v>1284</v>
      </c>
      <c r="CK45" t="s">
        <v>1266</v>
      </c>
      <c r="CL45" t="s">
        <v>1062</v>
      </c>
      <c r="CM45" t="s">
        <v>193</v>
      </c>
      <c r="CN45" t="s">
        <v>194</v>
      </c>
      <c r="CO45" t="s">
        <v>154</v>
      </c>
      <c r="CP45" t="s">
        <v>195</v>
      </c>
      <c r="CQ45" t="s">
        <v>196</v>
      </c>
      <c r="CR45" t="s">
        <v>154</v>
      </c>
      <c r="CS45" t="s">
        <v>197</v>
      </c>
      <c r="CT45" t="s">
        <v>198</v>
      </c>
      <c r="CU45" t="s">
        <v>199</v>
      </c>
      <c r="CV45" t="s">
        <v>151</v>
      </c>
      <c r="CW45" t="s">
        <v>1265</v>
      </c>
      <c r="CX45" t="s">
        <v>200</v>
      </c>
      <c r="CY45" t="s">
        <v>201</v>
      </c>
      <c r="CZ45" t="s">
        <v>202</v>
      </c>
      <c r="DA45" t="s">
        <v>203</v>
      </c>
      <c r="DB45" t="s">
        <v>204</v>
      </c>
      <c r="DC45" t="s">
        <v>205</v>
      </c>
    </row>
    <row r="46" spans="1:107" x14ac:dyDescent="0.45">
      <c r="A46" t="s">
        <v>1285</v>
      </c>
      <c r="B46" t="s">
        <v>1286</v>
      </c>
      <c r="C46" t="s">
        <v>139</v>
      </c>
      <c r="D46" t="s">
        <v>76</v>
      </c>
      <c r="E46" t="s">
        <v>140</v>
      </c>
      <c r="F46" t="s">
        <v>19</v>
      </c>
      <c r="G46" t="s">
        <v>1287</v>
      </c>
      <c r="H46" t="s">
        <v>19</v>
      </c>
      <c r="I46" t="s">
        <v>19</v>
      </c>
      <c r="J46">
        <f t="shared" si="10"/>
        <v>-5.9243847756975093E-3</v>
      </c>
      <c r="K46">
        <f t="shared" si="11"/>
        <v>2.9026216799999998</v>
      </c>
      <c r="L46">
        <f t="shared" si="12"/>
        <v>-5.936501449064927E-3</v>
      </c>
      <c r="M46">
        <f t="shared" si="13"/>
        <v>-6.6454223700059128E-2</v>
      </c>
      <c r="N46" t="s">
        <v>1288</v>
      </c>
      <c r="O46" t="s">
        <v>1289</v>
      </c>
      <c r="P46">
        <f t="shared" si="14"/>
        <v>2.6729887281652482</v>
      </c>
      <c r="Q46">
        <f t="shared" si="15"/>
        <v>1.1147347281652482</v>
      </c>
      <c r="R46" t="s">
        <v>1290</v>
      </c>
      <c r="S46" t="s">
        <v>1291</v>
      </c>
      <c r="T46">
        <f t="shared" si="16"/>
        <v>26.283075006541281</v>
      </c>
      <c r="U46">
        <f t="shared" si="17"/>
        <v>0.4417875</v>
      </c>
      <c r="V46" t="s">
        <v>146</v>
      </c>
      <c r="W46" t="s">
        <v>1292</v>
      </c>
      <c r="X46" t="s">
        <v>1293</v>
      </c>
      <c r="Y46" t="s">
        <v>1294</v>
      </c>
      <c r="Z46" t="s">
        <v>1295</v>
      </c>
      <c r="AA46" t="s">
        <v>151</v>
      </c>
      <c r="AB46" t="s">
        <v>151</v>
      </c>
      <c r="AC46" t="s">
        <v>151</v>
      </c>
      <c r="AD46" t="s">
        <v>152</v>
      </c>
      <c r="AE46" t="s">
        <v>153</v>
      </c>
      <c r="AF46">
        <f t="shared" si="18"/>
        <v>0</v>
      </c>
      <c r="AG46" t="s">
        <v>154</v>
      </c>
      <c r="AH46" t="s">
        <v>1245</v>
      </c>
      <c r="AI46" t="s">
        <v>1296</v>
      </c>
      <c r="AJ46" t="s">
        <v>1297</v>
      </c>
      <c r="AK46" t="s">
        <v>1298</v>
      </c>
      <c r="AL46">
        <f t="shared" si="19"/>
        <v>22.12</v>
      </c>
      <c r="AM46" t="s">
        <v>928</v>
      </c>
      <c r="AN46" t="s">
        <v>1299</v>
      </c>
      <c r="AO46" t="s">
        <v>747</v>
      </c>
      <c r="AP46" t="s">
        <v>1025</v>
      </c>
      <c r="AQ46" t="s">
        <v>163</v>
      </c>
      <c r="AR46" t="s">
        <v>1300</v>
      </c>
      <c r="AS46" t="s">
        <v>876</v>
      </c>
      <c r="AT46" t="s">
        <v>139</v>
      </c>
      <c r="AU46" t="s">
        <v>877</v>
      </c>
      <c r="AV46" t="s">
        <v>137</v>
      </c>
      <c r="AW46" t="s">
        <v>905</v>
      </c>
      <c r="AX46" t="s">
        <v>905</v>
      </c>
      <c r="AY46" t="s">
        <v>169</v>
      </c>
      <c r="AZ46" t="s">
        <v>1301</v>
      </c>
      <c r="BA46" t="s">
        <v>1302</v>
      </c>
      <c r="BB46" t="s">
        <v>169</v>
      </c>
      <c r="BC46" t="s">
        <v>137</v>
      </c>
      <c r="BD46" t="s">
        <v>172</v>
      </c>
      <c r="BE46" t="s">
        <v>169</v>
      </c>
      <c r="BF46" t="s">
        <v>173</v>
      </c>
      <c r="BG46" t="s">
        <v>174</v>
      </c>
      <c r="BH46" t="s">
        <v>151</v>
      </c>
      <c r="BI46" t="s">
        <v>175</v>
      </c>
      <c r="BJ46" t="s">
        <v>151</v>
      </c>
      <c r="BK46" t="s">
        <v>151</v>
      </c>
      <c r="BL46" t="s">
        <v>176</v>
      </c>
      <c r="BM46" t="s">
        <v>177</v>
      </c>
      <c r="BN46" t="s">
        <v>137</v>
      </c>
      <c r="BO46" t="s">
        <v>178</v>
      </c>
      <c r="BP46" t="s">
        <v>179</v>
      </c>
      <c r="BQ46" t="s">
        <v>180</v>
      </c>
      <c r="BR46" t="s">
        <v>154</v>
      </c>
      <c r="BS46" t="s">
        <v>181</v>
      </c>
      <c r="BT46" t="s">
        <v>182</v>
      </c>
      <c r="BU46" t="s">
        <v>182</v>
      </c>
      <c r="BV46" t="s">
        <v>182</v>
      </c>
      <c r="BW46" t="s">
        <v>151</v>
      </c>
      <c r="BX46" t="s">
        <v>183</v>
      </c>
      <c r="BY46" t="s">
        <v>151</v>
      </c>
      <c r="BZ46" t="s">
        <v>151</v>
      </c>
      <c r="CA46" t="s">
        <v>151</v>
      </c>
      <c r="CB46" t="s">
        <v>151</v>
      </c>
      <c r="CC46" t="s">
        <v>1303</v>
      </c>
      <c r="CD46" t="s">
        <v>1304</v>
      </c>
      <c r="CE46" t="s">
        <v>1305</v>
      </c>
      <c r="CF46" t="s">
        <v>1306</v>
      </c>
      <c r="CG46" t="s">
        <v>1307</v>
      </c>
      <c r="CH46" t="s">
        <v>1308</v>
      </c>
      <c r="CI46" t="s">
        <v>1309</v>
      </c>
      <c r="CJ46" t="s">
        <v>474</v>
      </c>
      <c r="CK46" t="s">
        <v>1293</v>
      </c>
      <c r="CL46" t="s">
        <v>475</v>
      </c>
      <c r="CM46" t="s">
        <v>193</v>
      </c>
      <c r="CN46" t="s">
        <v>194</v>
      </c>
      <c r="CO46" t="s">
        <v>154</v>
      </c>
      <c r="CP46" t="s">
        <v>195</v>
      </c>
      <c r="CQ46" t="s">
        <v>196</v>
      </c>
      <c r="CR46" t="s">
        <v>154</v>
      </c>
      <c r="CS46" t="s">
        <v>197</v>
      </c>
      <c r="CT46" t="s">
        <v>198</v>
      </c>
      <c r="CU46" t="s">
        <v>199</v>
      </c>
      <c r="CV46" t="s">
        <v>151</v>
      </c>
      <c r="CW46" t="s">
        <v>1292</v>
      </c>
      <c r="CX46" t="s">
        <v>200</v>
      </c>
      <c r="CY46" t="s">
        <v>201</v>
      </c>
      <c r="CZ46" t="s">
        <v>202</v>
      </c>
      <c r="DA46" t="s">
        <v>203</v>
      </c>
      <c r="DB46" t="s">
        <v>204</v>
      </c>
      <c r="DC46" t="s">
        <v>205</v>
      </c>
    </row>
    <row r="47" spans="1:107" x14ac:dyDescent="0.45">
      <c r="A47" t="s">
        <v>1310</v>
      </c>
      <c r="B47" t="s">
        <v>1311</v>
      </c>
      <c r="C47" t="s">
        <v>139</v>
      </c>
      <c r="D47" t="s">
        <v>76</v>
      </c>
      <c r="E47" t="s">
        <v>140</v>
      </c>
      <c r="F47" t="s">
        <v>19</v>
      </c>
      <c r="G47" t="s">
        <v>1312</v>
      </c>
      <c r="H47" t="s">
        <v>19</v>
      </c>
      <c r="I47" t="s">
        <v>19</v>
      </c>
      <c r="J47">
        <f t="shared" si="10"/>
        <v>-3.227300125904354E-3</v>
      </c>
      <c r="K47">
        <f t="shared" si="11"/>
        <v>2.9050319999999994</v>
      </c>
      <c r="L47">
        <f t="shared" si="12"/>
        <v>-3.2308894322774242E-3</v>
      </c>
      <c r="M47">
        <f t="shared" si="13"/>
        <v>-3.5218602360467588E-2</v>
      </c>
      <c r="N47" t="s">
        <v>1313</v>
      </c>
      <c r="O47" t="s">
        <v>1314</v>
      </c>
      <c r="P47">
        <f t="shared" si="14"/>
        <v>2.643812590949949</v>
      </c>
      <c r="Q47">
        <f t="shared" si="15"/>
        <v>1.085634590949949</v>
      </c>
      <c r="R47" t="s">
        <v>1315</v>
      </c>
      <c r="S47" t="s">
        <v>1316</v>
      </c>
      <c r="T47">
        <f t="shared" si="16"/>
        <v>25.996190668141089</v>
      </c>
      <c r="U47">
        <f t="shared" si="17"/>
        <v>0.4417875</v>
      </c>
      <c r="V47" t="s">
        <v>146</v>
      </c>
      <c r="W47" t="s">
        <v>1317</v>
      </c>
      <c r="X47" t="s">
        <v>1318</v>
      </c>
      <c r="Y47" t="s">
        <v>1319</v>
      </c>
      <c r="Z47" t="s">
        <v>1320</v>
      </c>
      <c r="AA47" t="s">
        <v>151</v>
      </c>
      <c r="AB47" t="s">
        <v>151</v>
      </c>
      <c r="AC47" t="s">
        <v>151</v>
      </c>
      <c r="AD47" t="s">
        <v>152</v>
      </c>
      <c r="AE47" t="s">
        <v>153</v>
      </c>
      <c r="AF47">
        <f t="shared" si="18"/>
        <v>0</v>
      </c>
      <c r="AG47" t="s">
        <v>154</v>
      </c>
      <c r="AH47" t="s">
        <v>1321</v>
      </c>
      <c r="AI47" t="s">
        <v>1322</v>
      </c>
      <c r="AJ47" t="s">
        <v>1323</v>
      </c>
      <c r="AK47" t="s">
        <v>1324</v>
      </c>
      <c r="AL47">
        <f t="shared" si="19"/>
        <v>21.94</v>
      </c>
      <c r="AM47" t="s">
        <v>928</v>
      </c>
      <c r="AN47" t="s">
        <v>160</v>
      </c>
      <c r="AO47" t="s">
        <v>1325</v>
      </c>
      <c r="AP47" t="s">
        <v>1326</v>
      </c>
      <c r="AQ47" t="s">
        <v>163</v>
      </c>
      <c r="AR47" t="s">
        <v>1327</v>
      </c>
      <c r="AS47" t="s">
        <v>876</v>
      </c>
      <c r="AT47" t="s">
        <v>139</v>
      </c>
      <c r="AU47" t="s">
        <v>877</v>
      </c>
      <c r="AV47" t="s">
        <v>137</v>
      </c>
      <c r="AW47" t="s">
        <v>225</v>
      </c>
      <c r="AX47" t="s">
        <v>1328</v>
      </c>
      <c r="AY47" t="s">
        <v>169</v>
      </c>
      <c r="AZ47" t="s">
        <v>1329</v>
      </c>
      <c r="BA47" t="s">
        <v>1330</v>
      </c>
      <c r="BB47" t="s">
        <v>169</v>
      </c>
      <c r="BC47" t="s">
        <v>137</v>
      </c>
      <c r="BD47" t="s">
        <v>172</v>
      </c>
      <c r="BE47" t="s">
        <v>169</v>
      </c>
      <c r="BF47" t="s">
        <v>173</v>
      </c>
      <c r="BG47" t="s">
        <v>174</v>
      </c>
      <c r="BH47" t="s">
        <v>151</v>
      </c>
      <c r="BI47" t="s">
        <v>175</v>
      </c>
      <c r="BJ47" t="s">
        <v>151</v>
      </c>
      <c r="BK47" t="s">
        <v>151</v>
      </c>
      <c r="BL47" t="s">
        <v>176</v>
      </c>
      <c r="BM47" t="s">
        <v>177</v>
      </c>
      <c r="BN47" t="s">
        <v>137</v>
      </c>
      <c r="BO47" t="s">
        <v>178</v>
      </c>
      <c r="BP47" t="s">
        <v>179</v>
      </c>
      <c r="BQ47" t="s">
        <v>180</v>
      </c>
      <c r="BR47" t="s">
        <v>154</v>
      </c>
      <c r="BS47" t="s">
        <v>181</v>
      </c>
      <c r="BT47" t="s">
        <v>182</v>
      </c>
      <c r="BU47" t="s">
        <v>182</v>
      </c>
      <c r="BV47" t="s">
        <v>182</v>
      </c>
      <c r="BW47" t="s">
        <v>151</v>
      </c>
      <c r="BX47" t="s">
        <v>183</v>
      </c>
      <c r="BY47" t="s">
        <v>151</v>
      </c>
      <c r="BZ47" t="s">
        <v>151</v>
      </c>
      <c r="CA47" t="s">
        <v>151</v>
      </c>
      <c r="CB47" t="s">
        <v>151</v>
      </c>
      <c r="CC47" t="s">
        <v>1331</v>
      </c>
      <c r="CD47" t="s">
        <v>1332</v>
      </c>
      <c r="CE47" t="s">
        <v>1333</v>
      </c>
      <c r="CF47" t="s">
        <v>1334</v>
      </c>
      <c r="CG47" t="s">
        <v>1335</v>
      </c>
      <c r="CH47" t="s">
        <v>1336</v>
      </c>
      <c r="CI47" t="s">
        <v>1337</v>
      </c>
      <c r="CJ47" t="s">
        <v>444</v>
      </c>
      <c r="CK47" t="s">
        <v>1318</v>
      </c>
      <c r="CL47" t="s">
        <v>237</v>
      </c>
      <c r="CM47" t="s">
        <v>193</v>
      </c>
      <c r="CN47" t="s">
        <v>194</v>
      </c>
      <c r="CO47" t="s">
        <v>154</v>
      </c>
      <c r="CP47" t="s">
        <v>195</v>
      </c>
      <c r="CQ47" t="s">
        <v>196</v>
      </c>
      <c r="CR47" t="s">
        <v>154</v>
      </c>
      <c r="CS47" t="s">
        <v>197</v>
      </c>
      <c r="CT47" t="s">
        <v>198</v>
      </c>
      <c r="CU47" t="s">
        <v>199</v>
      </c>
      <c r="CV47" t="s">
        <v>151</v>
      </c>
      <c r="CW47" t="s">
        <v>1317</v>
      </c>
      <c r="CX47" t="s">
        <v>200</v>
      </c>
      <c r="CY47" t="s">
        <v>201</v>
      </c>
      <c r="CZ47" t="s">
        <v>202</v>
      </c>
      <c r="DA47" t="s">
        <v>203</v>
      </c>
      <c r="DB47" t="s">
        <v>204</v>
      </c>
      <c r="DC47" t="s">
        <v>205</v>
      </c>
    </row>
    <row r="48" spans="1:107" x14ac:dyDescent="0.45">
      <c r="A48" t="s">
        <v>1338</v>
      </c>
      <c r="B48" t="s">
        <v>1339</v>
      </c>
      <c r="C48" t="s">
        <v>139</v>
      </c>
      <c r="D48" t="s">
        <v>76</v>
      </c>
      <c r="E48" t="s">
        <v>140</v>
      </c>
      <c r="F48" t="s">
        <v>19</v>
      </c>
      <c r="G48" t="s">
        <v>1340</v>
      </c>
      <c r="H48" t="s">
        <v>19</v>
      </c>
      <c r="I48" t="s">
        <v>19</v>
      </c>
      <c r="J48">
        <f t="shared" si="10"/>
        <v>3.1750693738088033E-3</v>
      </c>
      <c r="K48">
        <f t="shared" si="11"/>
        <v>2.9042299199999997</v>
      </c>
      <c r="L48">
        <f t="shared" si="12"/>
        <v>3.1716019980681191E-3</v>
      </c>
      <c r="M48">
        <f t="shared" si="13"/>
        <v>3.4651759460538729E-2</v>
      </c>
      <c r="N48" t="s">
        <v>1341</v>
      </c>
      <c r="O48" t="s">
        <v>1342</v>
      </c>
      <c r="P48">
        <f t="shared" si="14"/>
        <v>2.6681065574155625</v>
      </c>
      <c r="Q48">
        <f t="shared" si="15"/>
        <v>1.0879715574155624</v>
      </c>
      <c r="R48" t="s">
        <v>1343</v>
      </c>
      <c r="S48" t="s">
        <v>1344</v>
      </c>
      <c r="T48">
        <f t="shared" si="16"/>
        <v>26.235069394449976</v>
      </c>
      <c r="U48">
        <f t="shared" si="17"/>
        <v>0.4417875</v>
      </c>
      <c r="V48" t="s">
        <v>146</v>
      </c>
      <c r="W48" t="s">
        <v>1345</v>
      </c>
      <c r="X48" t="s">
        <v>1346</v>
      </c>
      <c r="Y48" t="s">
        <v>1347</v>
      </c>
      <c r="Z48" t="s">
        <v>1348</v>
      </c>
      <c r="AA48" t="s">
        <v>151</v>
      </c>
      <c r="AB48" t="s">
        <v>151</v>
      </c>
      <c r="AC48" t="s">
        <v>151</v>
      </c>
      <c r="AD48" t="s">
        <v>152</v>
      </c>
      <c r="AE48" t="s">
        <v>153</v>
      </c>
      <c r="AF48">
        <f t="shared" si="18"/>
        <v>0</v>
      </c>
      <c r="AG48" t="s">
        <v>154</v>
      </c>
      <c r="AH48" t="s">
        <v>1349</v>
      </c>
      <c r="AI48" t="s">
        <v>1350</v>
      </c>
      <c r="AJ48" t="s">
        <v>1351</v>
      </c>
      <c r="AK48" t="s">
        <v>1124</v>
      </c>
      <c r="AL48">
        <f t="shared" si="19"/>
        <v>22.09</v>
      </c>
      <c r="AM48" t="s">
        <v>928</v>
      </c>
      <c r="AN48" t="s">
        <v>284</v>
      </c>
      <c r="AO48" t="s">
        <v>1352</v>
      </c>
      <c r="AP48" t="s">
        <v>1353</v>
      </c>
      <c r="AQ48" t="s">
        <v>163</v>
      </c>
      <c r="AR48" t="s">
        <v>547</v>
      </c>
      <c r="AS48" t="s">
        <v>876</v>
      </c>
      <c r="AT48" t="s">
        <v>139</v>
      </c>
      <c r="AU48" t="s">
        <v>877</v>
      </c>
      <c r="AV48" t="s">
        <v>137</v>
      </c>
      <c r="AW48" t="s">
        <v>227</v>
      </c>
      <c r="AX48" t="s">
        <v>1354</v>
      </c>
      <c r="AY48" t="s">
        <v>169</v>
      </c>
      <c r="AZ48" t="s">
        <v>1080</v>
      </c>
      <c r="BA48" t="s">
        <v>1355</v>
      </c>
      <c r="BB48" t="s">
        <v>169</v>
      </c>
      <c r="BC48" t="s">
        <v>137</v>
      </c>
      <c r="BD48" t="s">
        <v>172</v>
      </c>
      <c r="BE48" t="s">
        <v>169</v>
      </c>
      <c r="BF48" t="s">
        <v>173</v>
      </c>
      <c r="BG48" t="s">
        <v>174</v>
      </c>
      <c r="BH48" t="s">
        <v>151</v>
      </c>
      <c r="BI48" t="s">
        <v>175</v>
      </c>
      <c r="BJ48" t="s">
        <v>151</v>
      </c>
      <c r="BK48" t="s">
        <v>151</v>
      </c>
      <c r="BL48" t="s">
        <v>176</v>
      </c>
      <c r="BM48" t="s">
        <v>177</v>
      </c>
      <c r="BN48" t="s">
        <v>137</v>
      </c>
      <c r="BO48" t="s">
        <v>178</v>
      </c>
      <c r="BP48" t="s">
        <v>179</v>
      </c>
      <c r="BQ48" t="s">
        <v>180</v>
      </c>
      <c r="BR48" t="s">
        <v>154</v>
      </c>
      <c r="BS48" t="s">
        <v>181</v>
      </c>
      <c r="BT48" t="s">
        <v>182</v>
      </c>
      <c r="BU48" t="s">
        <v>182</v>
      </c>
      <c r="BV48" t="s">
        <v>182</v>
      </c>
      <c r="BW48" t="s">
        <v>151</v>
      </c>
      <c r="BX48" t="s">
        <v>183</v>
      </c>
      <c r="BY48" t="s">
        <v>151</v>
      </c>
      <c r="BZ48" t="s">
        <v>151</v>
      </c>
      <c r="CA48" t="s">
        <v>151</v>
      </c>
      <c r="CB48" t="s">
        <v>151</v>
      </c>
      <c r="CC48" t="s">
        <v>1356</v>
      </c>
      <c r="CD48" t="s">
        <v>1357</v>
      </c>
      <c r="CE48" t="s">
        <v>1358</v>
      </c>
      <c r="CF48" t="s">
        <v>1359</v>
      </c>
      <c r="CG48" t="s">
        <v>1360</v>
      </c>
      <c r="CH48" t="s">
        <v>1361</v>
      </c>
      <c r="CI48" t="s">
        <v>1362</v>
      </c>
      <c r="CJ48" t="s">
        <v>266</v>
      </c>
      <c r="CK48" t="s">
        <v>1346</v>
      </c>
      <c r="CL48" t="s">
        <v>329</v>
      </c>
      <c r="CM48" t="s">
        <v>193</v>
      </c>
      <c r="CN48" t="s">
        <v>194</v>
      </c>
      <c r="CO48" t="s">
        <v>154</v>
      </c>
      <c r="CP48" t="s">
        <v>195</v>
      </c>
      <c r="CQ48" t="s">
        <v>196</v>
      </c>
      <c r="CR48" t="s">
        <v>154</v>
      </c>
      <c r="CS48" t="s">
        <v>197</v>
      </c>
      <c r="CT48" t="s">
        <v>198</v>
      </c>
      <c r="CU48" t="s">
        <v>199</v>
      </c>
      <c r="CV48" t="s">
        <v>151</v>
      </c>
      <c r="CW48" t="s">
        <v>1345</v>
      </c>
      <c r="CX48" t="s">
        <v>200</v>
      </c>
      <c r="CY48" t="s">
        <v>201</v>
      </c>
      <c r="CZ48" t="s">
        <v>202</v>
      </c>
      <c r="DA48" t="s">
        <v>203</v>
      </c>
      <c r="DB48" t="s">
        <v>204</v>
      </c>
      <c r="DC48" t="s">
        <v>205</v>
      </c>
    </row>
    <row r="49" spans="1:107" x14ac:dyDescent="0.45">
      <c r="A49" t="s">
        <v>1363</v>
      </c>
      <c r="B49" t="s">
        <v>1364</v>
      </c>
      <c r="C49" t="s">
        <v>139</v>
      </c>
      <c r="D49" t="s">
        <v>76</v>
      </c>
      <c r="E49" t="s">
        <v>140</v>
      </c>
      <c r="F49" t="s">
        <v>19</v>
      </c>
      <c r="G49" t="s">
        <v>1365</v>
      </c>
      <c r="H49" t="s">
        <v>19</v>
      </c>
      <c r="I49" t="s">
        <v>19</v>
      </c>
      <c r="J49">
        <f t="shared" si="10"/>
        <v>-1.3107626820345834E-2</v>
      </c>
      <c r="K49">
        <f t="shared" si="11"/>
        <v>2.9050319999999994</v>
      </c>
      <c r="L49">
        <f t="shared" si="12"/>
        <v>-1.316703704644125E-2</v>
      </c>
      <c r="M49">
        <f t="shared" si="13"/>
        <v>-0.1453569023272685</v>
      </c>
      <c r="N49" t="s">
        <v>1366</v>
      </c>
      <c r="O49" t="s">
        <v>1367</v>
      </c>
      <c r="P49">
        <f t="shared" si="14"/>
        <v>2.6795104510408301</v>
      </c>
      <c r="Q49">
        <f t="shared" si="15"/>
        <v>1.0992034510408302</v>
      </c>
      <c r="R49" t="s">
        <v>1368</v>
      </c>
      <c r="S49" t="s">
        <v>1369</v>
      </c>
      <c r="T49">
        <f t="shared" si="16"/>
        <v>26.347202075131072</v>
      </c>
      <c r="U49">
        <f t="shared" si="17"/>
        <v>0.4417875</v>
      </c>
      <c r="V49" t="s">
        <v>146</v>
      </c>
      <c r="W49" t="s">
        <v>1370</v>
      </c>
      <c r="X49" t="s">
        <v>1371</v>
      </c>
      <c r="Y49" t="s">
        <v>1372</v>
      </c>
      <c r="Z49" t="s">
        <v>1373</v>
      </c>
      <c r="AA49" t="s">
        <v>151</v>
      </c>
      <c r="AB49" t="s">
        <v>151</v>
      </c>
      <c r="AC49" t="s">
        <v>151</v>
      </c>
      <c r="AD49" t="s">
        <v>152</v>
      </c>
      <c r="AE49" t="s">
        <v>153</v>
      </c>
      <c r="AF49">
        <f t="shared" si="18"/>
        <v>0</v>
      </c>
      <c r="AG49" t="s">
        <v>154</v>
      </c>
      <c r="AH49" t="s">
        <v>1374</v>
      </c>
      <c r="AI49" t="s">
        <v>951</v>
      </c>
      <c r="AJ49" t="s">
        <v>1375</v>
      </c>
      <c r="AK49" t="s">
        <v>1376</v>
      </c>
      <c r="AL49">
        <f t="shared" si="19"/>
        <v>22.16</v>
      </c>
      <c r="AM49" t="s">
        <v>928</v>
      </c>
      <c r="AN49" t="s">
        <v>160</v>
      </c>
      <c r="AO49" t="s">
        <v>1377</v>
      </c>
      <c r="AP49" t="s">
        <v>1378</v>
      </c>
      <c r="AQ49" t="s">
        <v>163</v>
      </c>
      <c r="AR49" t="s">
        <v>1327</v>
      </c>
      <c r="AS49" t="s">
        <v>876</v>
      </c>
      <c r="AT49" t="s">
        <v>139</v>
      </c>
      <c r="AU49" t="s">
        <v>877</v>
      </c>
      <c r="AV49" t="s">
        <v>137</v>
      </c>
      <c r="AW49" t="s">
        <v>1379</v>
      </c>
      <c r="AX49" t="s">
        <v>954</v>
      </c>
      <c r="AY49" t="s">
        <v>169</v>
      </c>
      <c r="AZ49" t="s">
        <v>1380</v>
      </c>
      <c r="BA49" t="s">
        <v>1381</v>
      </c>
      <c r="BB49" t="s">
        <v>169</v>
      </c>
      <c r="BC49" t="s">
        <v>137</v>
      </c>
      <c r="BD49" t="s">
        <v>172</v>
      </c>
      <c r="BE49" t="s">
        <v>169</v>
      </c>
      <c r="BF49" t="s">
        <v>173</v>
      </c>
      <c r="BG49" t="s">
        <v>174</v>
      </c>
      <c r="BH49" t="s">
        <v>151</v>
      </c>
      <c r="BI49" t="s">
        <v>175</v>
      </c>
      <c r="BJ49" t="s">
        <v>151</v>
      </c>
      <c r="BK49" t="s">
        <v>151</v>
      </c>
      <c r="BL49" t="s">
        <v>176</v>
      </c>
      <c r="BM49" t="s">
        <v>177</v>
      </c>
      <c r="BN49" t="s">
        <v>137</v>
      </c>
      <c r="BO49" t="s">
        <v>178</v>
      </c>
      <c r="BP49" t="s">
        <v>179</v>
      </c>
      <c r="BQ49" t="s">
        <v>180</v>
      </c>
      <c r="BR49" t="s">
        <v>154</v>
      </c>
      <c r="BS49" t="s">
        <v>181</v>
      </c>
      <c r="BT49" t="s">
        <v>182</v>
      </c>
      <c r="BU49" t="s">
        <v>182</v>
      </c>
      <c r="BV49" t="s">
        <v>182</v>
      </c>
      <c r="BW49" t="s">
        <v>151</v>
      </c>
      <c r="BX49" t="s">
        <v>183</v>
      </c>
      <c r="BY49" t="s">
        <v>151</v>
      </c>
      <c r="BZ49" t="s">
        <v>151</v>
      </c>
      <c r="CA49" t="s">
        <v>151</v>
      </c>
      <c r="CB49" t="s">
        <v>151</v>
      </c>
      <c r="CC49" t="s">
        <v>1382</v>
      </c>
      <c r="CD49" t="s">
        <v>1383</v>
      </c>
      <c r="CE49" t="s">
        <v>1384</v>
      </c>
      <c r="CF49" t="s">
        <v>1385</v>
      </c>
      <c r="CG49" t="s">
        <v>1386</v>
      </c>
      <c r="CH49" t="s">
        <v>1387</v>
      </c>
      <c r="CI49" t="s">
        <v>1388</v>
      </c>
      <c r="CJ49" t="s">
        <v>559</v>
      </c>
      <c r="CK49" t="s">
        <v>1371</v>
      </c>
      <c r="CL49" t="s">
        <v>833</v>
      </c>
      <c r="CM49" t="s">
        <v>193</v>
      </c>
      <c r="CN49" t="s">
        <v>194</v>
      </c>
      <c r="CO49" t="s">
        <v>154</v>
      </c>
      <c r="CP49" t="s">
        <v>195</v>
      </c>
      <c r="CQ49" t="s">
        <v>196</v>
      </c>
      <c r="CR49" t="s">
        <v>154</v>
      </c>
      <c r="CS49" t="s">
        <v>197</v>
      </c>
      <c r="CT49" t="s">
        <v>198</v>
      </c>
      <c r="CU49" t="s">
        <v>199</v>
      </c>
      <c r="CV49" t="s">
        <v>151</v>
      </c>
      <c r="CW49" t="s">
        <v>1370</v>
      </c>
      <c r="CX49" t="s">
        <v>200</v>
      </c>
      <c r="CY49" t="s">
        <v>201</v>
      </c>
      <c r="CZ49" t="s">
        <v>202</v>
      </c>
      <c r="DA49" t="s">
        <v>203</v>
      </c>
      <c r="DB49" t="s">
        <v>204</v>
      </c>
      <c r="DC49" t="s">
        <v>205</v>
      </c>
    </row>
    <row r="50" spans="1:107" x14ac:dyDescent="0.45">
      <c r="A50" t="s">
        <v>1389</v>
      </c>
      <c r="B50" t="s">
        <v>1390</v>
      </c>
      <c r="C50" t="s">
        <v>139</v>
      </c>
      <c r="D50" t="s">
        <v>76</v>
      </c>
      <c r="E50" t="s">
        <v>140</v>
      </c>
      <c r="F50" t="s">
        <v>19</v>
      </c>
      <c r="G50" t="s">
        <v>1391</v>
      </c>
      <c r="H50" t="s">
        <v>19</v>
      </c>
      <c r="I50" t="s">
        <v>19</v>
      </c>
      <c r="J50">
        <f t="shared" si="10"/>
        <v>1.7869255405518914E-3</v>
      </c>
      <c r="K50">
        <f t="shared" si="11"/>
        <v>2.9042299199999997</v>
      </c>
      <c r="L50">
        <f t="shared" si="12"/>
        <v>1.7858267503324278E-3</v>
      </c>
      <c r="M50">
        <f t="shared" si="13"/>
        <v>1.8275063764758875E-2</v>
      </c>
      <c r="N50" t="s">
        <v>1392</v>
      </c>
      <c r="O50" t="s">
        <v>1393</v>
      </c>
      <c r="P50">
        <f t="shared" si="14"/>
        <v>2.6053448970028241</v>
      </c>
      <c r="Q50">
        <f t="shared" si="15"/>
        <v>1.019258897002824</v>
      </c>
      <c r="R50" t="s">
        <v>1394</v>
      </c>
      <c r="S50" t="s">
        <v>1395</v>
      </c>
      <c r="T50">
        <f t="shared" si="16"/>
        <v>25.617943923331602</v>
      </c>
      <c r="U50">
        <f t="shared" si="17"/>
        <v>0.4417875</v>
      </c>
      <c r="V50" t="s">
        <v>146</v>
      </c>
      <c r="W50" t="s">
        <v>1396</v>
      </c>
      <c r="X50" t="s">
        <v>1397</v>
      </c>
      <c r="Y50" t="s">
        <v>1398</v>
      </c>
      <c r="Z50" t="s">
        <v>1399</v>
      </c>
      <c r="AA50" t="s">
        <v>151</v>
      </c>
      <c r="AB50" t="s">
        <v>151</v>
      </c>
      <c r="AC50" t="s">
        <v>151</v>
      </c>
      <c r="AD50" t="s">
        <v>152</v>
      </c>
      <c r="AE50" t="s">
        <v>153</v>
      </c>
      <c r="AF50">
        <f t="shared" si="18"/>
        <v>0</v>
      </c>
      <c r="AG50" t="s">
        <v>154</v>
      </c>
      <c r="AH50" t="s">
        <v>1400</v>
      </c>
      <c r="AI50" t="s">
        <v>951</v>
      </c>
      <c r="AJ50" t="s">
        <v>1401</v>
      </c>
      <c r="AK50" t="s">
        <v>674</v>
      </c>
      <c r="AL50">
        <f t="shared" si="19"/>
        <v>21.7</v>
      </c>
      <c r="AM50" t="s">
        <v>928</v>
      </c>
      <c r="AN50" t="s">
        <v>284</v>
      </c>
      <c r="AO50" t="s">
        <v>1173</v>
      </c>
      <c r="AP50" t="s">
        <v>1402</v>
      </c>
      <c r="AQ50" t="s">
        <v>163</v>
      </c>
      <c r="AR50" t="s">
        <v>1403</v>
      </c>
      <c r="AS50" t="s">
        <v>876</v>
      </c>
      <c r="AT50" t="s">
        <v>139</v>
      </c>
      <c r="AU50" t="s">
        <v>877</v>
      </c>
      <c r="AV50" t="s">
        <v>137</v>
      </c>
      <c r="AW50" t="s">
        <v>821</v>
      </c>
      <c r="AX50" t="s">
        <v>349</v>
      </c>
      <c r="AY50" t="s">
        <v>169</v>
      </c>
      <c r="AZ50" t="s">
        <v>1404</v>
      </c>
      <c r="BA50" t="s">
        <v>463</v>
      </c>
      <c r="BB50" t="s">
        <v>169</v>
      </c>
      <c r="BC50" t="s">
        <v>137</v>
      </c>
      <c r="BD50" t="s">
        <v>172</v>
      </c>
      <c r="BE50" t="s">
        <v>169</v>
      </c>
      <c r="BF50" t="s">
        <v>173</v>
      </c>
      <c r="BG50" t="s">
        <v>174</v>
      </c>
      <c r="BH50" t="s">
        <v>151</v>
      </c>
      <c r="BI50" t="s">
        <v>175</v>
      </c>
      <c r="BJ50" t="s">
        <v>151</v>
      </c>
      <c r="BK50" t="s">
        <v>151</v>
      </c>
      <c r="BL50" t="s">
        <v>176</v>
      </c>
      <c r="BM50" t="s">
        <v>177</v>
      </c>
      <c r="BN50" t="s">
        <v>137</v>
      </c>
      <c r="BO50" t="s">
        <v>178</v>
      </c>
      <c r="BP50" t="s">
        <v>179</v>
      </c>
      <c r="BQ50" t="s">
        <v>180</v>
      </c>
      <c r="BR50" t="s">
        <v>154</v>
      </c>
      <c r="BS50" t="s">
        <v>181</v>
      </c>
      <c r="BT50" t="s">
        <v>182</v>
      </c>
      <c r="BU50" t="s">
        <v>182</v>
      </c>
      <c r="BV50" t="s">
        <v>182</v>
      </c>
      <c r="BW50" t="s">
        <v>151</v>
      </c>
      <c r="BX50" t="s">
        <v>183</v>
      </c>
      <c r="BY50" t="s">
        <v>151</v>
      </c>
      <c r="BZ50" t="s">
        <v>151</v>
      </c>
      <c r="CA50" t="s">
        <v>151</v>
      </c>
      <c r="CB50" t="s">
        <v>151</v>
      </c>
      <c r="CC50" t="s">
        <v>1405</v>
      </c>
      <c r="CD50" t="s">
        <v>1406</v>
      </c>
      <c r="CE50" t="s">
        <v>1407</v>
      </c>
      <c r="CF50" t="s">
        <v>1408</v>
      </c>
      <c r="CG50" t="s">
        <v>1409</v>
      </c>
      <c r="CH50" t="s">
        <v>1410</v>
      </c>
      <c r="CI50" t="s">
        <v>1411</v>
      </c>
      <c r="CJ50" t="s">
        <v>559</v>
      </c>
      <c r="CK50" t="s">
        <v>1397</v>
      </c>
      <c r="CL50" t="s">
        <v>560</v>
      </c>
      <c r="CM50" t="s">
        <v>193</v>
      </c>
      <c r="CN50" t="s">
        <v>194</v>
      </c>
      <c r="CO50" t="s">
        <v>154</v>
      </c>
      <c r="CP50" t="s">
        <v>195</v>
      </c>
      <c r="CQ50" t="s">
        <v>196</v>
      </c>
      <c r="CR50" t="s">
        <v>154</v>
      </c>
      <c r="CS50" t="s">
        <v>197</v>
      </c>
      <c r="CT50" t="s">
        <v>198</v>
      </c>
      <c r="CU50" t="s">
        <v>199</v>
      </c>
      <c r="CV50" t="s">
        <v>151</v>
      </c>
      <c r="CW50" t="s">
        <v>1396</v>
      </c>
      <c r="CX50" t="s">
        <v>200</v>
      </c>
      <c r="CY50" t="s">
        <v>201</v>
      </c>
      <c r="CZ50" t="s">
        <v>202</v>
      </c>
      <c r="DA50" t="s">
        <v>203</v>
      </c>
      <c r="DB50" t="s">
        <v>204</v>
      </c>
      <c r="DC50" t="s">
        <v>205</v>
      </c>
    </row>
    <row r="51" spans="1:107" x14ac:dyDescent="0.45">
      <c r="A51" t="s">
        <v>1412</v>
      </c>
      <c r="B51" t="s">
        <v>1413</v>
      </c>
      <c r="C51" t="s">
        <v>139</v>
      </c>
      <c r="D51" t="s">
        <v>76</v>
      </c>
      <c r="E51" t="s">
        <v>140</v>
      </c>
      <c r="F51" t="s">
        <v>19</v>
      </c>
      <c r="G51" t="s">
        <v>1414</v>
      </c>
      <c r="H51" t="s">
        <v>19</v>
      </c>
      <c r="I51" t="s">
        <v>19</v>
      </c>
      <c r="J51">
        <f t="shared" si="10"/>
        <v>-1.6872707179107074E-2</v>
      </c>
      <c r="K51">
        <f t="shared" si="11"/>
        <v>2.9042299199999997</v>
      </c>
      <c r="L51">
        <f t="shared" si="12"/>
        <v>-1.6971305387284356E-2</v>
      </c>
      <c r="M51">
        <f t="shared" si="13"/>
        <v>-0.17744444184901501</v>
      </c>
      <c r="N51" t="s">
        <v>1415</v>
      </c>
      <c r="O51" t="s">
        <v>1416</v>
      </c>
      <c r="P51">
        <f t="shared" si="14"/>
        <v>2.6309351537515093</v>
      </c>
      <c r="Q51">
        <f t="shared" si="15"/>
        <v>1.0412771537515093</v>
      </c>
      <c r="R51" t="s">
        <v>1417</v>
      </c>
      <c r="S51" t="s">
        <v>1418</v>
      </c>
      <c r="T51">
        <f t="shared" si="16"/>
        <v>25.869568866779833</v>
      </c>
      <c r="U51">
        <f t="shared" si="17"/>
        <v>0.4417875</v>
      </c>
      <c r="V51" t="s">
        <v>146</v>
      </c>
      <c r="W51" t="s">
        <v>1419</v>
      </c>
      <c r="X51" t="s">
        <v>1420</v>
      </c>
      <c r="Y51" t="s">
        <v>1421</v>
      </c>
      <c r="Z51" t="s">
        <v>1422</v>
      </c>
      <c r="AA51" t="s">
        <v>151</v>
      </c>
      <c r="AB51" t="s">
        <v>151</v>
      </c>
      <c r="AC51" t="s">
        <v>151</v>
      </c>
      <c r="AD51" t="s">
        <v>152</v>
      </c>
      <c r="AE51" t="s">
        <v>153</v>
      </c>
      <c r="AF51">
        <f t="shared" si="18"/>
        <v>0</v>
      </c>
      <c r="AG51" t="s">
        <v>154</v>
      </c>
      <c r="AH51" t="s">
        <v>1423</v>
      </c>
      <c r="AI51" t="s">
        <v>1424</v>
      </c>
      <c r="AJ51" t="s">
        <v>1425</v>
      </c>
      <c r="AK51" t="s">
        <v>1196</v>
      </c>
      <c r="AL51">
        <f t="shared" si="19"/>
        <v>21.86</v>
      </c>
      <c r="AM51" t="s">
        <v>928</v>
      </c>
      <c r="AN51" t="s">
        <v>284</v>
      </c>
      <c r="AO51" t="s">
        <v>1426</v>
      </c>
      <c r="AP51" t="s">
        <v>1427</v>
      </c>
      <c r="AQ51" t="s">
        <v>163</v>
      </c>
      <c r="AR51" t="s">
        <v>1428</v>
      </c>
      <c r="AS51" t="s">
        <v>876</v>
      </c>
      <c r="AT51" t="s">
        <v>139</v>
      </c>
      <c r="AU51" t="s">
        <v>877</v>
      </c>
      <c r="AV51" t="s">
        <v>137</v>
      </c>
      <c r="AW51" t="s">
        <v>317</v>
      </c>
      <c r="AX51" t="s">
        <v>318</v>
      </c>
      <c r="AY51" t="s">
        <v>169</v>
      </c>
      <c r="AZ51" t="s">
        <v>1429</v>
      </c>
      <c r="BA51" t="s">
        <v>290</v>
      </c>
      <c r="BB51" t="s">
        <v>169</v>
      </c>
      <c r="BC51" t="s">
        <v>137</v>
      </c>
      <c r="BD51" t="s">
        <v>172</v>
      </c>
      <c r="BE51" t="s">
        <v>169</v>
      </c>
      <c r="BF51" t="s">
        <v>173</v>
      </c>
      <c r="BG51" t="s">
        <v>174</v>
      </c>
      <c r="BH51" t="s">
        <v>151</v>
      </c>
      <c r="BI51" t="s">
        <v>175</v>
      </c>
      <c r="BJ51" t="s">
        <v>151</v>
      </c>
      <c r="BK51" t="s">
        <v>151</v>
      </c>
      <c r="BL51" t="s">
        <v>176</v>
      </c>
      <c r="BM51" t="s">
        <v>177</v>
      </c>
      <c r="BN51" t="s">
        <v>137</v>
      </c>
      <c r="BO51" t="s">
        <v>178</v>
      </c>
      <c r="BP51" t="s">
        <v>179</v>
      </c>
      <c r="BQ51" t="s">
        <v>180</v>
      </c>
      <c r="BR51" t="s">
        <v>154</v>
      </c>
      <c r="BS51" t="s">
        <v>181</v>
      </c>
      <c r="BT51" t="s">
        <v>182</v>
      </c>
      <c r="BU51" t="s">
        <v>182</v>
      </c>
      <c r="BV51" t="s">
        <v>182</v>
      </c>
      <c r="BW51" t="s">
        <v>151</v>
      </c>
      <c r="BX51" t="s">
        <v>183</v>
      </c>
      <c r="BY51" t="s">
        <v>151</v>
      </c>
      <c r="BZ51" t="s">
        <v>151</v>
      </c>
      <c r="CA51" t="s">
        <v>151</v>
      </c>
      <c r="CB51" t="s">
        <v>151</v>
      </c>
      <c r="CC51" t="s">
        <v>1430</v>
      </c>
      <c r="CD51" t="s">
        <v>1431</v>
      </c>
      <c r="CE51" t="s">
        <v>1432</v>
      </c>
      <c r="CF51" t="s">
        <v>1433</v>
      </c>
      <c r="CG51" t="s">
        <v>1434</v>
      </c>
      <c r="CH51" t="s">
        <v>1435</v>
      </c>
      <c r="CI51" t="s">
        <v>1436</v>
      </c>
      <c r="CJ51" t="s">
        <v>444</v>
      </c>
      <c r="CK51" t="s">
        <v>1420</v>
      </c>
      <c r="CL51" t="s">
        <v>833</v>
      </c>
      <c r="CM51" t="s">
        <v>193</v>
      </c>
      <c r="CN51" t="s">
        <v>194</v>
      </c>
      <c r="CO51" t="s">
        <v>154</v>
      </c>
      <c r="CP51" t="s">
        <v>195</v>
      </c>
      <c r="CQ51" t="s">
        <v>196</v>
      </c>
      <c r="CR51" t="s">
        <v>154</v>
      </c>
      <c r="CS51" t="s">
        <v>197</v>
      </c>
      <c r="CT51" t="s">
        <v>198</v>
      </c>
      <c r="CU51" t="s">
        <v>199</v>
      </c>
      <c r="CV51" t="s">
        <v>151</v>
      </c>
      <c r="CW51" t="s">
        <v>1419</v>
      </c>
      <c r="CX51" t="s">
        <v>200</v>
      </c>
      <c r="CY51" t="s">
        <v>201</v>
      </c>
      <c r="CZ51" t="s">
        <v>202</v>
      </c>
      <c r="DA51" t="s">
        <v>203</v>
      </c>
      <c r="DB51" t="s">
        <v>204</v>
      </c>
      <c r="DC51" t="s">
        <v>205</v>
      </c>
    </row>
    <row r="52" spans="1:107" x14ac:dyDescent="0.45">
      <c r="A52" t="s">
        <v>1437</v>
      </c>
      <c r="B52" t="s">
        <v>1438</v>
      </c>
      <c r="C52" t="s">
        <v>139</v>
      </c>
      <c r="D52" t="s">
        <v>76</v>
      </c>
      <c r="E52" t="s">
        <v>140</v>
      </c>
      <c r="F52" t="s">
        <v>19</v>
      </c>
      <c r="G52" t="s">
        <v>1439</v>
      </c>
      <c r="H52" t="s">
        <v>19</v>
      </c>
      <c r="I52" t="s">
        <v>19</v>
      </c>
      <c r="J52">
        <f t="shared" si="10"/>
        <v>-1.6087538196959187E-2</v>
      </c>
      <c r="K52">
        <f t="shared" si="11"/>
        <v>2.9050319999999994</v>
      </c>
      <c r="L52">
        <f t="shared" si="12"/>
        <v>-1.6177124164657955E-2</v>
      </c>
      <c r="M52">
        <f t="shared" si="13"/>
        <v>-0.16842982871551343</v>
      </c>
      <c r="N52" t="s">
        <v>1440</v>
      </c>
      <c r="O52" t="s">
        <v>1441</v>
      </c>
      <c r="P52">
        <f t="shared" si="14"/>
        <v>2.6229146667451433</v>
      </c>
      <c r="Q52">
        <f t="shared" si="15"/>
        <v>1.0369686667451432</v>
      </c>
      <c r="R52" t="s">
        <v>1442</v>
      </c>
      <c r="S52" t="s">
        <v>1443</v>
      </c>
      <c r="T52">
        <f t="shared" si="16"/>
        <v>25.790704687759522</v>
      </c>
      <c r="U52">
        <f t="shared" si="17"/>
        <v>0.4417875</v>
      </c>
      <c r="V52" t="s">
        <v>146</v>
      </c>
      <c r="W52" t="s">
        <v>1444</v>
      </c>
      <c r="X52" t="s">
        <v>1445</v>
      </c>
      <c r="Y52" t="s">
        <v>1446</v>
      </c>
      <c r="Z52" t="s">
        <v>1447</v>
      </c>
      <c r="AA52" t="s">
        <v>151</v>
      </c>
      <c r="AB52" t="s">
        <v>151</v>
      </c>
      <c r="AC52" t="s">
        <v>151</v>
      </c>
      <c r="AD52" t="s">
        <v>152</v>
      </c>
      <c r="AE52" t="s">
        <v>153</v>
      </c>
      <c r="AF52">
        <f t="shared" si="18"/>
        <v>0</v>
      </c>
      <c r="AG52" t="s">
        <v>154</v>
      </c>
      <c r="AH52" t="s">
        <v>1169</v>
      </c>
      <c r="AI52" t="s">
        <v>1448</v>
      </c>
      <c r="AJ52" t="s">
        <v>1449</v>
      </c>
      <c r="AK52" t="s">
        <v>1450</v>
      </c>
      <c r="AL52">
        <f t="shared" si="19"/>
        <v>21.81</v>
      </c>
      <c r="AM52" t="s">
        <v>928</v>
      </c>
      <c r="AN52" t="s">
        <v>160</v>
      </c>
      <c r="AO52" t="s">
        <v>977</v>
      </c>
      <c r="AP52" t="s">
        <v>1451</v>
      </c>
      <c r="AQ52" t="s">
        <v>163</v>
      </c>
      <c r="AR52" t="s">
        <v>1452</v>
      </c>
      <c r="AS52" t="s">
        <v>876</v>
      </c>
      <c r="AT52" t="s">
        <v>139</v>
      </c>
      <c r="AU52" t="s">
        <v>877</v>
      </c>
      <c r="AV52" t="s">
        <v>137</v>
      </c>
      <c r="AW52" t="s">
        <v>954</v>
      </c>
      <c r="AX52" t="s">
        <v>1453</v>
      </c>
      <c r="AY52" t="s">
        <v>169</v>
      </c>
      <c r="AZ52" t="s">
        <v>1454</v>
      </c>
      <c r="BA52" t="s">
        <v>1455</v>
      </c>
      <c r="BB52" t="s">
        <v>169</v>
      </c>
      <c r="BC52" t="s">
        <v>137</v>
      </c>
      <c r="BD52" t="s">
        <v>172</v>
      </c>
      <c r="BE52" t="s">
        <v>169</v>
      </c>
      <c r="BF52" t="s">
        <v>173</v>
      </c>
      <c r="BG52" t="s">
        <v>174</v>
      </c>
      <c r="BH52" t="s">
        <v>151</v>
      </c>
      <c r="BI52" t="s">
        <v>175</v>
      </c>
      <c r="BJ52" t="s">
        <v>151</v>
      </c>
      <c r="BK52" t="s">
        <v>151</v>
      </c>
      <c r="BL52" t="s">
        <v>176</v>
      </c>
      <c r="BM52" t="s">
        <v>177</v>
      </c>
      <c r="BN52" t="s">
        <v>137</v>
      </c>
      <c r="BO52" t="s">
        <v>178</v>
      </c>
      <c r="BP52" t="s">
        <v>179</v>
      </c>
      <c r="BQ52" t="s">
        <v>180</v>
      </c>
      <c r="BR52" t="s">
        <v>154</v>
      </c>
      <c r="BS52" t="s">
        <v>181</v>
      </c>
      <c r="BT52" t="s">
        <v>182</v>
      </c>
      <c r="BU52" t="s">
        <v>182</v>
      </c>
      <c r="BV52" t="s">
        <v>182</v>
      </c>
      <c r="BW52" t="s">
        <v>151</v>
      </c>
      <c r="BX52" t="s">
        <v>183</v>
      </c>
      <c r="BY52" t="s">
        <v>151</v>
      </c>
      <c r="BZ52" t="s">
        <v>151</v>
      </c>
      <c r="CA52" t="s">
        <v>151</v>
      </c>
      <c r="CB52" t="s">
        <v>151</v>
      </c>
      <c r="CC52" t="s">
        <v>1456</v>
      </c>
      <c r="CD52" t="s">
        <v>1457</v>
      </c>
      <c r="CE52" t="s">
        <v>1458</v>
      </c>
      <c r="CF52" t="s">
        <v>1459</v>
      </c>
      <c r="CG52" t="s">
        <v>1460</v>
      </c>
      <c r="CH52" t="s">
        <v>1461</v>
      </c>
      <c r="CI52" t="s">
        <v>1462</v>
      </c>
      <c r="CJ52" t="s">
        <v>832</v>
      </c>
      <c r="CK52" t="s">
        <v>1445</v>
      </c>
      <c r="CL52" t="s">
        <v>475</v>
      </c>
      <c r="CM52" t="s">
        <v>193</v>
      </c>
      <c r="CN52" t="s">
        <v>194</v>
      </c>
      <c r="CO52" t="s">
        <v>154</v>
      </c>
      <c r="CP52" t="s">
        <v>195</v>
      </c>
      <c r="CQ52" t="s">
        <v>196</v>
      </c>
      <c r="CR52" t="s">
        <v>154</v>
      </c>
      <c r="CS52" t="s">
        <v>197</v>
      </c>
      <c r="CT52" t="s">
        <v>198</v>
      </c>
      <c r="CU52" t="s">
        <v>199</v>
      </c>
      <c r="CV52" t="s">
        <v>151</v>
      </c>
      <c r="CW52" t="s">
        <v>1444</v>
      </c>
      <c r="CX52" t="s">
        <v>200</v>
      </c>
      <c r="CY52" t="s">
        <v>201</v>
      </c>
      <c r="CZ52" t="s">
        <v>202</v>
      </c>
      <c r="DA52" t="s">
        <v>203</v>
      </c>
      <c r="DB52" t="s">
        <v>204</v>
      </c>
      <c r="DC52" t="s">
        <v>205</v>
      </c>
    </row>
    <row r="53" spans="1:107" x14ac:dyDescent="0.45">
      <c r="A53" t="s">
        <v>1463</v>
      </c>
      <c r="B53" t="s">
        <v>1464</v>
      </c>
      <c r="C53" t="s">
        <v>139</v>
      </c>
      <c r="D53" t="s">
        <v>76</v>
      </c>
      <c r="E53" t="s">
        <v>140</v>
      </c>
      <c r="F53" t="s">
        <v>19</v>
      </c>
      <c r="G53" t="s">
        <v>1465</v>
      </c>
      <c r="H53" t="s">
        <v>19</v>
      </c>
      <c r="I53" t="s">
        <v>19</v>
      </c>
      <c r="J53">
        <f t="shared" si="10"/>
        <v>-1.4585918130846521E-2</v>
      </c>
      <c r="K53">
        <f t="shared" si="11"/>
        <v>2.9042299199999997</v>
      </c>
      <c r="L53">
        <f t="shared" si="12"/>
        <v>-1.465954277373753E-2</v>
      </c>
      <c r="M53">
        <f t="shared" si="13"/>
        <v>-0.1625883980529364</v>
      </c>
      <c r="N53" t="s">
        <v>1466</v>
      </c>
      <c r="O53" t="s">
        <v>1467</v>
      </c>
      <c r="P53">
        <f t="shared" si="14"/>
        <v>2.6893191475892642</v>
      </c>
      <c r="Q53">
        <f t="shared" si="15"/>
        <v>1.1042311475892641</v>
      </c>
      <c r="R53" t="s">
        <v>1468</v>
      </c>
      <c r="S53" t="s">
        <v>1469</v>
      </c>
      <c r="T53">
        <f t="shared" si="16"/>
        <v>26.44364943548932</v>
      </c>
      <c r="U53">
        <f t="shared" si="17"/>
        <v>0.4417875</v>
      </c>
      <c r="V53" t="s">
        <v>146</v>
      </c>
      <c r="W53" t="s">
        <v>1470</v>
      </c>
      <c r="X53" t="s">
        <v>1471</v>
      </c>
      <c r="Y53" t="s">
        <v>1472</v>
      </c>
      <c r="Z53" t="s">
        <v>1473</v>
      </c>
      <c r="AA53" t="s">
        <v>151</v>
      </c>
      <c r="AB53" t="s">
        <v>151</v>
      </c>
      <c r="AC53" t="s">
        <v>151</v>
      </c>
      <c r="AD53" t="s">
        <v>152</v>
      </c>
      <c r="AE53" t="s">
        <v>153</v>
      </c>
      <c r="AF53">
        <f t="shared" si="18"/>
        <v>0</v>
      </c>
      <c r="AG53" t="s">
        <v>154</v>
      </c>
      <c r="AH53" t="s">
        <v>1474</v>
      </c>
      <c r="AI53" t="s">
        <v>1475</v>
      </c>
      <c r="AJ53" t="s">
        <v>1476</v>
      </c>
      <c r="AK53" t="s">
        <v>1477</v>
      </c>
      <c r="AL53">
        <f t="shared" si="19"/>
        <v>22.22</v>
      </c>
      <c r="AM53" t="s">
        <v>928</v>
      </c>
      <c r="AN53" t="s">
        <v>284</v>
      </c>
      <c r="AO53" t="s">
        <v>1478</v>
      </c>
      <c r="AP53" t="s">
        <v>874</v>
      </c>
      <c r="AQ53" t="s">
        <v>163</v>
      </c>
      <c r="AR53" t="s">
        <v>1479</v>
      </c>
      <c r="AS53" t="s">
        <v>876</v>
      </c>
      <c r="AT53" t="s">
        <v>139</v>
      </c>
      <c r="AU53" t="s">
        <v>877</v>
      </c>
      <c r="AV53" t="s">
        <v>137</v>
      </c>
      <c r="AW53" t="s">
        <v>954</v>
      </c>
      <c r="AX53" t="s">
        <v>628</v>
      </c>
      <c r="AY53" t="s">
        <v>169</v>
      </c>
      <c r="AZ53" t="s">
        <v>1480</v>
      </c>
      <c r="BA53" t="s">
        <v>291</v>
      </c>
      <c r="BB53" t="s">
        <v>169</v>
      </c>
      <c r="BC53" t="s">
        <v>137</v>
      </c>
      <c r="BD53" t="s">
        <v>172</v>
      </c>
      <c r="BE53" t="s">
        <v>169</v>
      </c>
      <c r="BF53" t="s">
        <v>173</v>
      </c>
      <c r="BG53" t="s">
        <v>174</v>
      </c>
      <c r="BH53" t="s">
        <v>151</v>
      </c>
      <c r="BI53" t="s">
        <v>175</v>
      </c>
      <c r="BJ53" t="s">
        <v>151</v>
      </c>
      <c r="BK53" t="s">
        <v>151</v>
      </c>
      <c r="BL53" t="s">
        <v>176</v>
      </c>
      <c r="BM53" t="s">
        <v>177</v>
      </c>
      <c r="BN53" t="s">
        <v>137</v>
      </c>
      <c r="BO53" t="s">
        <v>178</v>
      </c>
      <c r="BP53" t="s">
        <v>179</v>
      </c>
      <c r="BQ53" t="s">
        <v>180</v>
      </c>
      <c r="BR53" t="s">
        <v>154</v>
      </c>
      <c r="BS53" t="s">
        <v>181</v>
      </c>
      <c r="BT53" t="s">
        <v>182</v>
      </c>
      <c r="BU53" t="s">
        <v>182</v>
      </c>
      <c r="BV53" t="s">
        <v>182</v>
      </c>
      <c r="BW53" t="s">
        <v>151</v>
      </c>
      <c r="BX53" t="s">
        <v>183</v>
      </c>
      <c r="BY53" t="s">
        <v>151</v>
      </c>
      <c r="BZ53" t="s">
        <v>151</v>
      </c>
      <c r="CA53" t="s">
        <v>151</v>
      </c>
      <c r="CB53" t="s">
        <v>151</v>
      </c>
      <c r="CC53" t="s">
        <v>1481</v>
      </c>
      <c r="CD53" t="s">
        <v>1482</v>
      </c>
      <c r="CE53" t="s">
        <v>1483</v>
      </c>
      <c r="CF53" t="s">
        <v>1484</v>
      </c>
      <c r="CG53" t="s">
        <v>1485</v>
      </c>
      <c r="CH53" t="s">
        <v>1486</v>
      </c>
      <c r="CI53" t="s">
        <v>1487</v>
      </c>
      <c r="CJ53" t="s">
        <v>266</v>
      </c>
      <c r="CK53" t="s">
        <v>1471</v>
      </c>
      <c r="CL53" t="s">
        <v>475</v>
      </c>
      <c r="CM53" t="s">
        <v>193</v>
      </c>
      <c r="CN53" t="s">
        <v>194</v>
      </c>
      <c r="CO53" t="s">
        <v>154</v>
      </c>
      <c r="CP53" t="s">
        <v>195</v>
      </c>
      <c r="CQ53" t="s">
        <v>196</v>
      </c>
      <c r="CR53" t="s">
        <v>154</v>
      </c>
      <c r="CS53" t="s">
        <v>197</v>
      </c>
      <c r="CT53" t="s">
        <v>198</v>
      </c>
      <c r="CU53" t="s">
        <v>199</v>
      </c>
      <c r="CV53" t="s">
        <v>151</v>
      </c>
      <c r="CW53" t="s">
        <v>1470</v>
      </c>
      <c r="CX53" t="s">
        <v>200</v>
      </c>
      <c r="CY53" t="s">
        <v>201</v>
      </c>
      <c r="CZ53" t="s">
        <v>202</v>
      </c>
      <c r="DA53" t="s">
        <v>203</v>
      </c>
      <c r="DB53" t="s">
        <v>204</v>
      </c>
      <c r="DC53" t="s">
        <v>205</v>
      </c>
    </row>
    <row r="54" spans="1:107" x14ac:dyDescent="0.45">
      <c r="A54" t="s">
        <v>1488</v>
      </c>
      <c r="B54" t="s">
        <v>1489</v>
      </c>
      <c r="C54" t="s">
        <v>139</v>
      </c>
      <c r="D54" t="s">
        <v>76</v>
      </c>
      <c r="E54" t="s">
        <v>140</v>
      </c>
      <c r="F54" t="s">
        <v>19</v>
      </c>
      <c r="G54" t="s">
        <v>1490</v>
      </c>
      <c r="H54" t="s">
        <v>19</v>
      </c>
      <c r="I54" t="s">
        <v>19</v>
      </c>
      <c r="J54">
        <f t="shared" si="10"/>
        <v>-1.9273357458984529E-2</v>
      </c>
      <c r="K54">
        <f t="shared" si="11"/>
        <v>2.9066320800000001</v>
      </c>
      <c r="L54">
        <f t="shared" si="12"/>
        <v>-1.940200870859957E-2</v>
      </c>
      <c r="M54">
        <f t="shared" si="13"/>
        <v>-0.21076091279519901</v>
      </c>
      <c r="N54" t="s">
        <v>1491</v>
      </c>
      <c r="O54" t="s">
        <v>1492</v>
      </c>
      <c r="P54">
        <f t="shared" si="14"/>
        <v>2.6811430561411993</v>
      </c>
      <c r="Q54">
        <f t="shared" si="15"/>
        <v>1.0816330561411993</v>
      </c>
      <c r="R54" t="s">
        <v>1493</v>
      </c>
      <c r="S54" t="s">
        <v>1494</v>
      </c>
      <c r="T54">
        <f t="shared" si="16"/>
        <v>26.360663220344112</v>
      </c>
      <c r="U54">
        <f t="shared" si="17"/>
        <v>0.4417875</v>
      </c>
      <c r="V54" t="s">
        <v>146</v>
      </c>
      <c r="W54" t="s">
        <v>1495</v>
      </c>
      <c r="X54" t="s">
        <v>1496</v>
      </c>
      <c r="Y54" t="s">
        <v>1497</v>
      </c>
      <c r="Z54" t="s">
        <v>1498</v>
      </c>
      <c r="AA54" t="s">
        <v>151</v>
      </c>
      <c r="AB54" t="s">
        <v>151</v>
      </c>
      <c r="AC54" t="s">
        <v>151</v>
      </c>
      <c r="AD54" t="s">
        <v>152</v>
      </c>
      <c r="AE54" t="s">
        <v>153</v>
      </c>
      <c r="AF54">
        <f t="shared" si="18"/>
        <v>0</v>
      </c>
      <c r="AG54" t="s">
        <v>154</v>
      </c>
      <c r="AH54" t="s">
        <v>1499</v>
      </c>
      <c r="AI54" t="s">
        <v>1500</v>
      </c>
      <c r="AJ54" t="s">
        <v>1501</v>
      </c>
      <c r="AK54" t="s">
        <v>1502</v>
      </c>
      <c r="AL54">
        <f t="shared" si="19"/>
        <v>22.17</v>
      </c>
      <c r="AM54" t="s">
        <v>1503</v>
      </c>
      <c r="AN54" t="s">
        <v>401</v>
      </c>
      <c r="AO54" t="s">
        <v>574</v>
      </c>
      <c r="AP54" t="s">
        <v>1504</v>
      </c>
      <c r="AQ54" t="s">
        <v>163</v>
      </c>
      <c r="AR54" t="s">
        <v>1505</v>
      </c>
      <c r="AS54" t="s">
        <v>876</v>
      </c>
      <c r="AT54" t="s">
        <v>139</v>
      </c>
      <c r="AU54" t="s">
        <v>877</v>
      </c>
      <c r="AV54" t="s">
        <v>137</v>
      </c>
      <c r="AW54" t="s">
        <v>494</v>
      </c>
      <c r="AX54" t="s">
        <v>628</v>
      </c>
      <c r="AY54" t="s">
        <v>169</v>
      </c>
      <c r="AZ54" t="s">
        <v>1506</v>
      </c>
      <c r="BA54" t="s">
        <v>1507</v>
      </c>
      <c r="BB54" t="s">
        <v>169</v>
      </c>
      <c r="BC54" t="s">
        <v>137</v>
      </c>
      <c r="BD54" t="s">
        <v>172</v>
      </c>
      <c r="BE54" t="s">
        <v>169</v>
      </c>
      <c r="BF54" t="s">
        <v>173</v>
      </c>
      <c r="BG54" t="s">
        <v>174</v>
      </c>
      <c r="BH54" t="s">
        <v>151</v>
      </c>
      <c r="BI54" t="s">
        <v>175</v>
      </c>
      <c r="BJ54" t="s">
        <v>151</v>
      </c>
      <c r="BK54" t="s">
        <v>151</v>
      </c>
      <c r="BL54" t="s">
        <v>176</v>
      </c>
      <c r="BM54" t="s">
        <v>177</v>
      </c>
      <c r="BN54" t="s">
        <v>137</v>
      </c>
      <c r="BO54" t="s">
        <v>178</v>
      </c>
      <c r="BP54" t="s">
        <v>179</v>
      </c>
      <c r="BQ54" t="s">
        <v>180</v>
      </c>
      <c r="BR54" t="s">
        <v>154</v>
      </c>
      <c r="BS54" t="s">
        <v>181</v>
      </c>
      <c r="BT54" t="s">
        <v>182</v>
      </c>
      <c r="BU54" t="s">
        <v>182</v>
      </c>
      <c r="BV54" t="s">
        <v>182</v>
      </c>
      <c r="BW54" t="s">
        <v>151</v>
      </c>
      <c r="BX54" t="s">
        <v>183</v>
      </c>
      <c r="BY54" t="s">
        <v>151</v>
      </c>
      <c r="BZ54" t="s">
        <v>151</v>
      </c>
      <c r="CA54" t="s">
        <v>151</v>
      </c>
      <c r="CB54" t="s">
        <v>151</v>
      </c>
      <c r="CC54" t="s">
        <v>1508</v>
      </c>
      <c r="CD54" t="s">
        <v>1509</v>
      </c>
      <c r="CE54" t="s">
        <v>1510</v>
      </c>
      <c r="CF54" t="s">
        <v>1511</v>
      </c>
      <c r="CG54" t="s">
        <v>1512</v>
      </c>
      <c r="CH54" t="s">
        <v>1513</v>
      </c>
      <c r="CI54" t="s">
        <v>1514</v>
      </c>
      <c r="CJ54" t="s">
        <v>266</v>
      </c>
      <c r="CK54" t="s">
        <v>1496</v>
      </c>
      <c r="CL54" t="s">
        <v>1062</v>
      </c>
      <c r="CM54" t="s">
        <v>193</v>
      </c>
      <c r="CN54" t="s">
        <v>194</v>
      </c>
      <c r="CO54" t="s">
        <v>154</v>
      </c>
      <c r="CP54" t="s">
        <v>195</v>
      </c>
      <c r="CQ54" t="s">
        <v>196</v>
      </c>
      <c r="CR54" t="s">
        <v>154</v>
      </c>
      <c r="CS54" t="s">
        <v>197</v>
      </c>
      <c r="CT54" t="s">
        <v>198</v>
      </c>
      <c r="CU54" t="s">
        <v>199</v>
      </c>
      <c r="CV54" t="s">
        <v>151</v>
      </c>
      <c r="CW54" t="s">
        <v>1495</v>
      </c>
      <c r="CX54" t="s">
        <v>200</v>
      </c>
      <c r="CY54" t="s">
        <v>201</v>
      </c>
      <c r="CZ54" t="s">
        <v>202</v>
      </c>
      <c r="DA54" t="s">
        <v>203</v>
      </c>
      <c r="DB54" t="s">
        <v>204</v>
      </c>
      <c r="DC54" t="s">
        <v>205</v>
      </c>
    </row>
    <row r="55" spans="1:107" x14ac:dyDescent="0.45">
      <c r="A55" t="s">
        <v>1515</v>
      </c>
      <c r="B55" t="s">
        <v>1516</v>
      </c>
      <c r="C55" t="s">
        <v>139</v>
      </c>
      <c r="D55" t="s">
        <v>76</v>
      </c>
      <c r="E55" t="s">
        <v>140</v>
      </c>
      <c r="F55" t="s">
        <v>19</v>
      </c>
      <c r="G55" t="s">
        <v>1517</v>
      </c>
      <c r="H55" t="s">
        <v>19</v>
      </c>
      <c r="I55" t="s">
        <v>19</v>
      </c>
      <c r="J55">
        <f t="shared" si="10"/>
        <v>-2.0770528652798412E-2</v>
      </c>
      <c r="K55">
        <f t="shared" si="11"/>
        <v>2.9050319999999994</v>
      </c>
      <c r="L55">
        <f t="shared" si="12"/>
        <v>-2.0920104155852652E-2</v>
      </c>
      <c r="M55">
        <f t="shared" si="13"/>
        <v>-0.22801068399929592</v>
      </c>
      <c r="N55" t="s">
        <v>1518</v>
      </c>
      <c r="O55" t="s">
        <v>1519</v>
      </c>
      <c r="P55">
        <f t="shared" si="14"/>
        <v>2.7008023319289429</v>
      </c>
      <c r="Q55">
        <f t="shared" si="15"/>
        <v>1.0848883319289429</v>
      </c>
      <c r="R55" t="s">
        <v>1520</v>
      </c>
      <c r="S55" t="s">
        <v>1521</v>
      </c>
      <c r="T55">
        <f t="shared" si="16"/>
        <v>26.556561769212809</v>
      </c>
      <c r="U55">
        <f t="shared" si="17"/>
        <v>0.4417875</v>
      </c>
      <c r="V55" t="s">
        <v>146</v>
      </c>
      <c r="W55" t="s">
        <v>1522</v>
      </c>
      <c r="X55" t="s">
        <v>1523</v>
      </c>
      <c r="Y55" t="s">
        <v>1524</v>
      </c>
      <c r="Z55" t="s">
        <v>1525</v>
      </c>
      <c r="AA55" t="s">
        <v>151</v>
      </c>
      <c r="AB55" t="s">
        <v>151</v>
      </c>
      <c r="AC55" t="s">
        <v>151</v>
      </c>
      <c r="AD55" t="s">
        <v>152</v>
      </c>
      <c r="AE55" t="s">
        <v>153</v>
      </c>
      <c r="AF55">
        <f t="shared" si="18"/>
        <v>0</v>
      </c>
      <c r="AG55" t="s">
        <v>154</v>
      </c>
      <c r="AH55" t="s">
        <v>1526</v>
      </c>
      <c r="AI55" t="s">
        <v>1527</v>
      </c>
      <c r="AJ55" t="s">
        <v>1528</v>
      </c>
      <c r="AK55" t="s">
        <v>1529</v>
      </c>
      <c r="AL55">
        <f t="shared" si="19"/>
        <v>22.29</v>
      </c>
      <c r="AM55" t="s">
        <v>928</v>
      </c>
      <c r="AN55" t="s">
        <v>160</v>
      </c>
      <c r="AO55" t="s">
        <v>1530</v>
      </c>
      <c r="AP55" t="s">
        <v>403</v>
      </c>
      <c r="AQ55" t="s">
        <v>163</v>
      </c>
      <c r="AR55" t="s">
        <v>1479</v>
      </c>
      <c r="AS55" t="s">
        <v>876</v>
      </c>
      <c r="AT55" t="s">
        <v>139</v>
      </c>
      <c r="AU55" t="s">
        <v>877</v>
      </c>
      <c r="AV55" t="s">
        <v>137</v>
      </c>
      <c r="AW55" t="s">
        <v>494</v>
      </c>
      <c r="AX55" t="s">
        <v>1052</v>
      </c>
      <c r="AY55" t="s">
        <v>169</v>
      </c>
      <c r="AZ55" t="s">
        <v>1531</v>
      </c>
      <c r="BA55" t="s">
        <v>1532</v>
      </c>
      <c r="BB55" t="s">
        <v>169</v>
      </c>
      <c r="BC55" t="s">
        <v>137</v>
      </c>
      <c r="BD55" t="s">
        <v>172</v>
      </c>
      <c r="BE55" t="s">
        <v>169</v>
      </c>
      <c r="BF55" t="s">
        <v>173</v>
      </c>
      <c r="BG55" t="s">
        <v>174</v>
      </c>
      <c r="BH55" t="s">
        <v>151</v>
      </c>
      <c r="BI55" t="s">
        <v>175</v>
      </c>
      <c r="BJ55" t="s">
        <v>151</v>
      </c>
      <c r="BK55" t="s">
        <v>151</v>
      </c>
      <c r="BL55" t="s">
        <v>176</v>
      </c>
      <c r="BM55" t="s">
        <v>177</v>
      </c>
      <c r="BN55" t="s">
        <v>137</v>
      </c>
      <c r="BO55" t="s">
        <v>178</v>
      </c>
      <c r="BP55" t="s">
        <v>179</v>
      </c>
      <c r="BQ55" t="s">
        <v>180</v>
      </c>
      <c r="BR55" t="s">
        <v>154</v>
      </c>
      <c r="BS55" t="s">
        <v>181</v>
      </c>
      <c r="BT55" t="s">
        <v>182</v>
      </c>
      <c r="BU55" t="s">
        <v>182</v>
      </c>
      <c r="BV55" t="s">
        <v>182</v>
      </c>
      <c r="BW55" t="s">
        <v>151</v>
      </c>
      <c r="BX55" t="s">
        <v>183</v>
      </c>
      <c r="BY55" t="s">
        <v>151</v>
      </c>
      <c r="BZ55" t="s">
        <v>151</v>
      </c>
      <c r="CA55" t="s">
        <v>151</v>
      </c>
      <c r="CB55" t="s">
        <v>151</v>
      </c>
      <c r="CC55" t="s">
        <v>1533</v>
      </c>
      <c r="CD55" t="s">
        <v>1534</v>
      </c>
      <c r="CE55" t="s">
        <v>1535</v>
      </c>
      <c r="CF55" t="s">
        <v>1536</v>
      </c>
      <c r="CG55" t="s">
        <v>1537</v>
      </c>
      <c r="CH55" t="s">
        <v>1538</v>
      </c>
      <c r="CI55" t="s">
        <v>1539</v>
      </c>
      <c r="CJ55" t="s">
        <v>444</v>
      </c>
      <c r="CK55" t="s">
        <v>1523</v>
      </c>
      <c r="CL55" t="s">
        <v>710</v>
      </c>
      <c r="CM55" t="s">
        <v>193</v>
      </c>
      <c r="CN55" t="s">
        <v>194</v>
      </c>
      <c r="CO55" t="s">
        <v>154</v>
      </c>
      <c r="CP55" t="s">
        <v>195</v>
      </c>
      <c r="CQ55" t="s">
        <v>196</v>
      </c>
      <c r="CR55" t="s">
        <v>154</v>
      </c>
      <c r="CS55" t="s">
        <v>197</v>
      </c>
      <c r="CT55" t="s">
        <v>198</v>
      </c>
      <c r="CU55" t="s">
        <v>199</v>
      </c>
      <c r="CV55" t="s">
        <v>151</v>
      </c>
      <c r="CW55" t="s">
        <v>1522</v>
      </c>
      <c r="CX55" t="s">
        <v>200</v>
      </c>
      <c r="CY55" t="s">
        <v>201</v>
      </c>
      <c r="CZ55" t="s">
        <v>202</v>
      </c>
      <c r="DA55" t="s">
        <v>203</v>
      </c>
      <c r="DB55" t="s">
        <v>204</v>
      </c>
      <c r="DC55" t="s">
        <v>205</v>
      </c>
    </row>
    <row r="56" spans="1:107" x14ac:dyDescent="0.45">
      <c r="A56" t="s">
        <v>1540</v>
      </c>
      <c r="B56" t="s">
        <v>1541</v>
      </c>
      <c r="C56" t="s">
        <v>139</v>
      </c>
      <c r="D56" t="s">
        <v>76</v>
      </c>
      <c r="E56" t="s">
        <v>140</v>
      </c>
      <c r="F56" t="s">
        <v>19</v>
      </c>
      <c r="G56" t="s">
        <v>1542</v>
      </c>
      <c r="H56" t="s">
        <v>19</v>
      </c>
      <c r="I56" t="s">
        <v>19</v>
      </c>
      <c r="J56">
        <f t="shared" si="10"/>
        <v>-2.9657171975792161E-3</v>
      </c>
      <c r="K56">
        <f t="shared" si="11"/>
        <v>2.9050319999999994</v>
      </c>
      <c r="L56">
        <f t="shared" si="12"/>
        <v>-2.9687479617447831E-3</v>
      </c>
      <c r="M56">
        <f t="shared" si="13"/>
        <v>-3.1744275288825848E-2</v>
      </c>
      <c r="N56" t="s">
        <v>1543</v>
      </c>
      <c r="O56" t="s">
        <v>1544</v>
      </c>
      <c r="P56">
        <f t="shared" si="14"/>
        <v>2.6697330797449021</v>
      </c>
      <c r="Q56">
        <f t="shared" si="15"/>
        <v>1.0646080797449022</v>
      </c>
      <c r="R56" t="s">
        <v>1545</v>
      </c>
      <c r="S56" t="s">
        <v>1546</v>
      </c>
      <c r="T56">
        <f t="shared" si="16"/>
        <v>26.251062731021651</v>
      </c>
      <c r="U56">
        <f t="shared" si="17"/>
        <v>0.4417875</v>
      </c>
      <c r="V56" t="s">
        <v>146</v>
      </c>
      <c r="W56" t="s">
        <v>1547</v>
      </c>
      <c r="X56" t="s">
        <v>1548</v>
      </c>
      <c r="Y56" t="s">
        <v>1549</v>
      </c>
      <c r="Z56" t="s">
        <v>1550</v>
      </c>
      <c r="AA56" t="s">
        <v>151</v>
      </c>
      <c r="AB56" t="s">
        <v>151</v>
      </c>
      <c r="AC56" t="s">
        <v>151</v>
      </c>
      <c r="AD56" t="s">
        <v>152</v>
      </c>
      <c r="AE56" t="s">
        <v>153</v>
      </c>
      <c r="AF56">
        <f t="shared" si="18"/>
        <v>0</v>
      </c>
      <c r="AG56" t="s">
        <v>154</v>
      </c>
      <c r="AH56" t="s">
        <v>1551</v>
      </c>
      <c r="AI56" t="s">
        <v>1552</v>
      </c>
      <c r="AJ56" t="s">
        <v>1553</v>
      </c>
      <c r="AK56" t="s">
        <v>1554</v>
      </c>
      <c r="AL56">
        <f t="shared" si="19"/>
        <v>22.1</v>
      </c>
      <c r="AM56" t="s">
        <v>928</v>
      </c>
      <c r="AN56" t="s">
        <v>160</v>
      </c>
      <c r="AO56" t="s">
        <v>1247</v>
      </c>
      <c r="AP56" t="s">
        <v>1248</v>
      </c>
      <c r="AQ56" t="s">
        <v>163</v>
      </c>
      <c r="AR56" t="s">
        <v>1555</v>
      </c>
      <c r="AS56" t="s">
        <v>876</v>
      </c>
      <c r="AT56" t="s">
        <v>139</v>
      </c>
      <c r="AU56" t="s">
        <v>877</v>
      </c>
      <c r="AV56" t="s">
        <v>137</v>
      </c>
      <c r="AW56" t="s">
        <v>1027</v>
      </c>
      <c r="AX56" t="s">
        <v>628</v>
      </c>
      <c r="AY56" t="s">
        <v>169</v>
      </c>
      <c r="AZ56" t="s">
        <v>1556</v>
      </c>
      <c r="BA56" t="s">
        <v>1557</v>
      </c>
      <c r="BB56" t="s">
        <v>169</v>
      </c>
      <c r="BC56" t="s">
        <v>137</v>
      </c>
      <c r="BD56" t="s">
        <v>172</v>
      </c>
      <c r="BE56" t="s">
        <v>169</v>
      </c>
      <c r="BF56" t="s">
        <v>173</v>
      </c>
      <c r="BG56" t="s">
        <v>174</v>
      </c>
      <c r="BH56" t="s">
        <v>151</v>
      </c>
      <c r="BI56" t="s">
        <v>175</v>
      </c>
      <c r="BJ56" t="s">
        <v>151</v>
      </c>
      <c r="BK56" t="s">
        <v>151</v>
      </c>
      <c r="BL56" t="s">
        <v>176</v>
      </c>
      <c r="BM56" t="s">
        <v>177</v>
      </c>
      <c r="BN56" t="s">
        <v>137</v>
      </c>
      <c r="BO56" t="s">
        <v>178</v>
      </c>
      <c r="BP56" t="s">
        <v>179</v>
      </c>
      <c r="BQ56" t="s">
        <v>180</v>
      </c>
      <c r="BR56" t="s">
        <v>154</v>
      </c>
      <c r="BS56" t="s">
        <v>181</v>
      </c>
      <c r="BT56" t="s">
        <v>182</v>
      </c>
      <c r="BU56" t="s">
        <v>182</v>
      </c>
      <c r="BV56" t="s">
        <v>182</v>
      </c>
      <c r="BW56" t="s">
        <v>151</v>
      </c>
      <c r="BX56" t="s">
        <v>183</v>
      </c>
      <c r="BY56" t="s">
        <v>151</v>
      </c>
      <c r="BZ56" t="s">
        <v>151</v>
      </c>
      <c r="CA56" t="s">
        <v>151</v>
      </c>
      <c r="CB56" t="s">
        <v>151</v>
      </c>
      <c r="CC56" t="s">
        <v>1558</v>
      </c>
      <c r="CD56" t="s">
        <v>1559</v>
      </c>
      <c r="CE56" t="s">
        <v>1560</v>
      </c>
      <c r="CF56" t="s">
        <v>1561</v>
      </c>
      <c r="CG56" t="s">
        <v>1562</v>
      </c>
      <c r="CH56" t="s">
        <v>1563</v>
      </c>
      <c r="CI56" t="s">
        <v>1564</v>
      </c>
      <c r="CJ56" t="s">
        <v>266</v>
      </c>
      <c r="CK56" t="s">
        <v>1548</v>
      </c>
      <c r="CL56" t="s">
        <v>833</v>
      </c>
      <c r="CM56" t="s">
        <v>193</v>
      </c>
      <c r="CN56" t="s">
        <v>194</v>
      </c>
      <c r="CO56" t="s">
        <v>154</v>
      </c>
      <c r="CP56" t="s">
        <v>195</v>
      </c>
      <c r="CQ56" t="s">
        <v>196</v>
      </c>
      <c r="CR56" t="s">
        <v>154</v>
      </c>
      <c r="CS56" t="s">
        <v>197</v>
      </c>
      <c r="CT56" t="s">
        <v>198</v>
      </c>
      <c r="CU56" t="s">
        <v>199</v>
      </c>
      <c r="CV56" t="s">
        <v>151</v>
      </c>
      <c r="CW56" t="s">
        <v>1547</v>
      </c>
      <c r="CX56" t="s">
        <v>200</v>
      </c>
      <c r="CY56" t="s">
        <v>201</v>
      </c>
      <c r="CZ56" t="s">
        <v>202</v>
      </c>
      <c r="DA56" t="s">
        <v>203</v>
      </c>
      <c r="DB56" t="s">
        <v>204</v>
      </c>
      <c r="DC56" t="s">
        <v>205</v>
      </c>
    </row>
    <row r="57" spans="1:107" x14ac:dyDescent="0.45">
      <c r="A57" t="s">
        <v>1565</v>
      </c>
      <c r="B57" t="s">
        <v>1566</v>
      </c>
      <c r="C57" t="s">
        <v>139</v>
      </c>
      <c r="D57" t="s">
        <v>76</v>
      </c>
      <c r="E57" t="s">
        <v>140</v>
      </c>
      <c r="F57" t="s">
        <v>19</v>
      </c>
      <c r="G57" t="s">
        <v>1567</v>
      </c>
      <c r="H57" t="s">
        <v>19</v>
      </c>
      <c r="I57" t="s">
        <v>19</v>
      </c>
      <c r="J57">
        <f t="shared" si="10"/>
        <v>-1.9416233985404523E-2</v>
      </c>
      <c r="K57">
        <f t="shared" si="11"/>
        <v>2.9042299199999997</v>
      </c>
      <c r="L57">
        <f t="shared" si="12"/>
        <v>-1.9546914917765459E-2</v>
      </c>
      <c r="M57">
        <f t="shared" si="13"/>
        <v>-0.21045675634036309</v>
      </c>
      <c r="N57" t="s">
        <v>1568</v>
      </c>
      <c r="O57" t="s">
        <v>1569</v>
      </c>
      <c r="P57">
        <f t="shared" si="14"/>
        <v>2.6681065574155625</v>
      </c>
      <c r="Q57">
        <f t="shared" si="15"/>
        <v>1.0719955574155624</v>
      </c>
      <c r="R57" t="s">
        <v>1570</v>
      </c>
      <c r="S57" t="s">
        <v>1571</v>
      </c>
      <c r="T57">
        <f t="shared" si="16"/>
        <v>26.235069394449976</v>
      </c>
      <c r="U57">
        <f t="shared" si="17"/>
        <v>0.4417875</v>
      </c>
      <c r="V57" t="s">
        <v>146</v>
      </c>
      <c r="W57" t="s">
        <v>1572</v>
      </c>
      <c r="X57" t="s">
        <v>1573</v>
      </c>
      <c r="Y57" t="s">
        <v>1574</v>
      </c>
      <c r="Z57" t="s">
        <v>1575</v>
      </c>
      <c r="AA57" t="s">
        <v>151</v>
      </c>
      <c r="AB57" t="s">
        <v>151</v>
      </c>
      <c r="AC57" t="s">
        <v>151</v>
      </c>
      <c r="AD57" t="s">
        <v>152</v>
      </c>
      <c r="AE57" t="s">
        <v>153</v>
      </c>
      <c r="AF57">
        <f t="shared" si="18"/>
        <v>0</v>
      </c>
      <c r="AG57" t="s">
        <v>154</v>
      </c>
      <c r="AH57" t="s">
        <v>1576</v>
      </c>
      <c r="AI57" t="s">
        <v>1046</v>
      </c>
      <c r="AJ57" t="s">
        <v>1577</v>
      </c>
      <c r="AK57" t="s">
        <v>1124</v>
      </c>
      <c r="AL57">
        <f t="shared" si="19"/>
        <v>22.09</v>
      </c>
      <c r="AM57" t="s">
        <v>928</v>
      </c>
      <c r="AN57" t="s">
        <v>284</v>
      </c>
      <c r="AO57" t="s">
        <v>402</v>
      </c>
      <c r="AP57" t="s">
        <v>546</v>
      </c>
      <c r="AQ57" t="s">
        <v>163</v>
      </c>
      <c r="AR57" t="s">
        <v>1555</v>
      </c>
      <c r="AS57" t="s">
        <v>876</v>
      </c>
      <c r="AT57" t="s">
        <v>139</v>
      </c>
      <c r="AU57" t="s">
        <v>877</v>
      </c>
      <c r="AV57" t="s">
        <v>137</v>
      </c>
      <c r="AW57" t="s">
        <v>494</v>
      </c>
      <c r="AX57" t="s">
        <v>167</v>
      </c>
      <c r="AY57" t="s">
        <v>169</v>
      </c>
      <c r="AZ57" t="s">
        <v>1578</v>
      </c>
      <c r="BA57" t="s">
        <v>1225</v>
      </c>
      <c r="BB57" t="s">
        <v>169</v>
      </c>
      <c r="BC57" t="s">
        <v>137</v>
      </c>
      <c r="BD57" t="s">
        <v>172</v>
      </c>
      <c r="BE57" t="s">
        <v>169</v>
      </c>
      <c r="BF57" t="s">
        <v>173</v>
      </c>
      <c r="BG57" t="s">
        <v>174</v>
      </c>
      <c r="BH57" t="s">
        <v>151</v>
      </c>
      <c r="BI57" t="s">
        <v>175</v>
      </c>
      <c r="BJ57" t="s">
        <v>151</v>
      </c>
      <c r="BK57" t="s">
        <v>151</v>
      </c>
      <c r="BL57" t="s">
        <v>176</v>
      </c>
      <c r="BM57" t="s">
        <v>177</v>
      </c>
      <c r="BN57" t="s">
        <v>137</v>
      </c>
      <c r="BO57" t="s">
        <v>178</v>
      </c>
      <c r="BP57" t="s">
        <v>179</v>
      </c>
      <c r="BQ57" t="s">
        <v>180</v>
      </c>
      <c r="BR57" t="s">
        <v>154</v>
      </c>
      <c r="BS57" t="s">
        <v>181</v>
      </c>
      <c r="BT57" t="s">
        <v>182</v>
      </c>
      <c r="BU57" t="s">
        <v>182</v>
      </c>
      <c r="BV57" t="s">
        <v>182</v>
      </c>
      <c r="BW57" t="s">
        <v>151</v>
      </c>
      <c r="BX57" t="s">
        <v>183</v>
      </c>
      <c r="BY57" t="s">
        <v>151</v>
      </c>
      <c r="BZ57" t="s">
        <v>151</v>
      </c>
      <c r="CA57" t="s">
        <v>151</v>
      </c>
      <c r="CB57" t="s">
        <v>151</v>
      </c>
      <c r="CC57" t="s">
        <v>1579</v>
      </c>
      <c r="CD57" t="s">
        <v>1580</v>
      </c>
      <c r="CE57" t="s">
        <v>1581</v>
      </c>
      <c r="CF57" t="s">
        <v>1582</v>
      </c>
      <c r="CG57" t="s">
        <v>1583</v>
      </c>
      <c r="CH57" t="s">
        <v>1584</v>
      </c>
      <c r="CI57" t="s">
        <v>1585</v>
      </c>
      <c r="CJ57" t="s">
        <v>299</v>
      </c>
      <c r="CK57" t="s">
        <v>1573</v>
      </c>
      <c r="CL57" t="s">
        <v>530</v>
      </c>
      <c r="CM57" t="s">
        <v>193</v>
      </c>
      <c r="CN57" t="s">
        <v>194</v>
      </c>
      <c r="CO57" t="s">
        <v>154</v>
      </c>
      <c r="CP57" t="s">
        <v>195</v>
      </c>
      <c r="CQ57" t="s">
        <v>196</v>
      </c>
      <c r="CR57" t="s">
        <v>154</v>
      </c>
      <c r="CS57" t="s">
        <v>197</v>
      </c>
      <c r="CT57" t="s">
        <v>198</v>
      </c>
      <c r="CU57" t="s">
        <v>199</v>
      </c>
      <c r="CV57" t="s">
        <v>151</v>
      </c>
      <c r="CW57" t="s">
        <v>1572</v>
      </c>
      <c r="CX57" t="s">
        <v>200</v>
      </c>
      <c r="CY57" t="s">
        <v>201</v>
      </c>
      <c r="CZ57" t="s">
        <v>202</v>
      </c>
      <c r="DA57" t="s">
        <v>203</v>
      </c>
      <c r="DB57" t="s">
        <v>204</v>
      </c>
      <c r="DC57" t="s">
        <v>205</v>
      </c>
    </row>
    <row r="58" spans="1:107" x14ac:dyDescent="0.45">
      <c r="A58" t="s">
        <v>1586</v>
      </c>
      <c r="B58" t="s">
        <v>1587</v>
      </c>
      <c r="C58" t="s">
        <v>139</v>
      </c>
      <c r="D58" t="s">
        <v>76</v>
      </c>
      <c r="E58" t="s">
        <v>140</v>
      </c>
      <c r="F58" t="s">
        <v>19</v>
      </c>
      <c r="G58" t="s">
        <v>1588</v>
      </c>
      <c r="H58" t="s">
        <v>19</v>
      </c>
      <c r="I58" t="s">
        <v>19</v>
      </c>
      <c r="J58">
        <f t="shared" si="10"/>
        <v>-2.4751592645038224E-2</v>
      </c>
      <c r="K58">
        <f t="shared" si="11"/>
        <v>2.9050319999999994</v>
      </c>
      <c r="L58">
        <f t="shared" si="12"/>
        <v>-2.496429462256149E-2</v>
      </c>
      <c r="M58">
        <f t="shared" si="13"/>
        <v>-0.26738242078752433</v>
      </c>
      <c r="N58" t="s">
        <v>1589</v>
      </c>
      <c r="O58" t="s">
        <v>1590</v>
      </c>
      <c r="P58">
        <f t="shared" si="14"/>
        <v>2.6486558344795665</v>
      </c>
      <c r="Q58">
        <f t="shared" si="15"/>
        <v>1.0666338344795665</v>
      </c>
      <c r="R58" t="s">
        <v>1591</v>
      </c>
      <c r="S58" t="s">
        <v>1592</v>
      </c>
      <c r="T58">
        <f t="shared" si="16"/>
        <v>26.043813515039986</v>
      </c>
      <c r="U58">
        <f t="shared" si="17"/>
        <v>0.4417875</v>
      </c>
      <c r="V58" t="s">
        <v>146</v>
      </c>
      <c r="W58" t="s">
        <v>1593</v>
      </c>
      <c r="X58" t="s">
        <v>1594</v>
      </c>
      <c r="Y58" t="s">
        <v>1595</v>
      </c>
      <c r="Z58" t="s">
        <v>1596</v>
      </c>
      <c r="AA58" t="s">
        <v>151</v>
      </c>
      <c r="AB58" t="s">
        <v>151</v>
      </c>
      <c r="AC58" t="s">
        <v>151</v>
      </c>
      <c r="AD58" t="s">
        <v>152</v>
      </c>
      <c r="AE58" t="s">
        <v>153</v>
      </c>
      <c r="AF58">
        <f t="shared" si="18"/>
        <v>0</v>
      </c>
      <c r="AG58" t="s">
        <v>154</v>
      </c>
      <c r="AH58" t="s">
        <v>1194</v>
      </c>
      <c r="AI58" t="s">
        <v>1474</v>
      </c>
      <c r="AJ58" t="s">
        <v>1577</v>
      </c>
      <c r="AK58" t="s">
        <v>1597</v>
      </c>
      <c r="AL58">
        <f t="shared" si="19"/>
        <v>21.97</v>
      </c>
      <c r="AM58" t="s">
        <v>928</v>
      </c>
      <c r="AN58" t="s">
        <v>160</v>
      </c>
      <c r="AO58" t="s">
        <v>1598</v>
      </c>
      <c r="AP58" t="s">
        <v>1599</v>
      </c>
      <c r="AQ58" t="s">
        <v>163</v>
      </c>
      <c r="AR58" t="s">
        <v>1600</v>
      </c>
      <c r="AS58" t="s">
        <v>876</v>
      </c>
      <c r="AT58" t="s">
        <v>139</v>
      </c>
      <c r="AU58" t="s">
        <v>877</v>
      </c>
      <c r="AV58" t="s">
        <v>137</v>
      </c>
      <c r="AW58" t="s">
        <v>1379</v>
      </c>
      <c r="AX58" t="s">
        <v>463</v>
      </c>
      <c r="AY58" t="s">
        <v>169</v>
      </c>
      <c r="AZ58" t="s">
        <v>1601</v>
      </c>
      <c r="BA58" t="s">
        <v>1602</v>
      </c>
      <c r="BB58" t="s">
        <v>169</v>
      </c>
      <c r="BC58" t="s">
        <v>137</v>
      </c>
      <c r="BD58" t="s">
        <v>172</v>
      </c>
      <c r="BE58" t="s">
        <v>169</v>
      </c>
      <c r="BF58" t="s">
        <v>173</v>
      </c>
      <c r="BG58" t="s">
        <v>174</v>
      </c>
      <c r="BH58" t="s">
        <v>151</v>
      </c>
      <c r="BI58" t="s">
        <v>175</v>
      </c>
      <c r="BJ58" t="s">
        <v>151</v>
      </c>
      <c r="BK58" t="s">
        <v>151</v>
      </c>
      <c r="BL58" t="s">
        <v>176</v>
      </c>
      <c r="BM58" t="s">
        <v>177</v>
      </c>
      <c r="BN58" t="s">
        <v>137</v>
      </c>
      <c r="BO58" t="s">
        <v>178</v>
      </c>
      <c r="BP58" t="s">
        <v>179</v>
      </c>
      <c r="BQ58" t="s">
        <v>180</v>
      </c>
      <c r="BR58" t="s">
        <v>154</v>
      </c>
      <c r="BS58" t="s">
        <v>181</v>
      </c>
      <c r="BT58" t="s">
        <v>182</v>
      </c>
      <c r="BU58" t="s">
        <v>182</v>
      </c>
      <c r="BV58" t="s">
        <v>182</v>
      </c>
      <c r="BW58" t="s">
        <v>151</v>
      </c>
      <c r="BX58" t="s">
        <v>183</v>
      </c>
      <c r="BY58" t="s">
        <v>151</v>
      </c>
      <c r="BZ58" t="s">
        <v>151</v>
      </c>
      <c r="CA58" t="s">
        <v>151</v>
      </c>
      <c r="CB58" t="s">
        <v>151</v>
      </c>
      <c r="CC58" t="s">
        <v>1603</v>
      </c>
      <c r="CD58" t="s">
        <v>1604</v>
      </c>
      <c r="CE58" t="s">
        <v>1605</v>
      </c>
      <c r="CF58" t="s">
        <v>1606</v>
      </c>
      <c r="CG58" t="s">
        <v>1607</v>
      </c>
      <c r="CH58" t="s">
        <v>1608</v>
      </c>
      <c r="CI58" t="s">
        <v>1609</v>
      </c>
      <c r="CJ58" t="s">
        <v>415</v>
      </c>
      <c r="CK58" t="s">
        <v>1594</v>
      </c>
      <c r="CL58" t="s">
        <v>1610</v>
      </c>
      <c r="CM58" t="s">
        <v>193</v>
      </c>
      <c r="CN58" t="s">
        <v>194</v>
      </c>
      <c r="CO58" t="s">
        <v>154</v>
      </c>
      <c r="CP58" t="s">
        <v>195</v>
      </c>
      <c r="CQ58" t="s">
        <v>196</v>
      </c>
      <c r="CR58" t="s">
        <v>154</v>
      </c>
      <c r="CS58" t="s">
        <v>197</v>
      </c>
      <c r="CT58" t="s">
        <v>198</v>
      </c>
      <c r="CU58" t="s">
        <v>199</v>
      </c>
      <c r="CV58" t="s">
        <v>151</v>
      </c>
      <c r="CW58" t="s">
        <v>1593</v>
      </c>
      <c r="CX58" t="s">
        <v>200</v>
      </c>
      <c r="CY58" t="s">
        <v>201</v>
      </c>
      <c r="CZ58" t="s">
        <v>202</v>
      </c>
      <c r="DA58" t="s">
        <v>203</v>
      </c>
      <c r="DB58" t="s">
        <v>204</v>
      </c>
      <c r="DC58" t="s">
        <v>205</v>
      </c>
    </row>
    <row r="59" spans="1:107" x14ac:dyDescent="0.45">
      <c r="A59" t="s">
        <v>1611</v>
      </c>
      <c r="B59" t="s">
        <v>1612</v>
      </c>
      <c r="C59" t="s">
        <v>139</v>
      </c>
      <c r="D59" t="s">
        <v>76</v>
      </c>
      <c r="E59" t="s">
        <v>140</v>
      </c>
      <c r="F59" t="s">
        <v>19</v>
      </c>
      <c r="G59" t="s">
        <v>1613</v>
      </c>
      <c r="H59" t="s">
        <v>19</v>
      </c>
      <c r="I59" t="s">
        <v>19</v>
      </c>
      <c r="J59">
        <f t="shared" si="10"/>
        <v>-1.3175739093933658E-2</v>
      </c>
      <c r="K59">
        <f t="shared" si="11"/>
        <v>2.9058327199999998</v>
      </c>
      <c r="L59">
        <f t="shared" si="12"/>
        <v>-1.3235753157757098E-2</v>
      </c>
      <c r="M59">
        <f t="shared" si="13"/>
        <v>-0.14723288189584632</v>
      </c>
      <c r="N59" t="s">
        <v>1614</v>
      </c>
      <c r="O59" t="s">
        <v>1615</v>
      </c>
      <c r="P59">
        <f t="shared" si="14"/>
        <v>2.704091113224417</v>
      </c>
      <c r="Q59">
        <f t="shared" si="15"/>
        <v>1.107342113224417</v>
      </c>
      <c r="R59" t="s">
        <v>1616</v>
      </c>
      <c r="S59" t="s">
        <v>1617</v>
      </c>
      <c r="T59">
        <f t="shared" si="16"/>
        <v>26.588899835048345</v>
      </c>
      <c r="U59">
        <f t="shared" si="17"/>
        <v>0.4417875</v>
      </c>
      <c r="V59" t="s">
        <v>146</v>
      </c>
      <c r="W59" t="s">
        <v>1618</v>
      </c>
      <c r="X59" t="s">
        <v>1619</v>
      </c>
      <c r="Y59" t="s">
        <v>1620</v>
      </c>
      <c r="Z59" t="s">
        <v>1621</v>
      </c>
      <c r="AA59" t="s">
        <v>151</v>
      </c>
      <c r="AB59" t="s">
        <v>151</v>
      </c>
      <c r="AC59" t="s">
        <v>151</v>
      </c>
      <c r="AD59" t="s">
        <v>152</v>
      </c>
      <c r="AE59" t="s">
        <v>153</v>
      </c>
      <c r="AF59">
        <f t="shared" si="18"/>
        <v>0</v>
      </c>
      <c r="AG59" t="s">
        <v>154</v>
      </c>
      <c r="AH59" t="s">
        <v>1475</v>
      </c>
      <c r="AI59" t="s">
        <v>1622</v>
      </c>
      <c r="AJ59" t="s">
        <v>1623</v>
      </c>
      <c r="AK59" t="s">
        <v>1148</v>
      </c>
      <c r="AL59">
        <f t="shared" si="19"/>
        <v>22.31</v>
      </c>
      <c r="AM59" t="s">
        <v>928</v>
      </c>
      <c r="AN59" t="s">
        <v>345</v>
      </c>
      <c r="AO59" t="s">
        <v>1624</v>
      </c>
      <c r="AP59" t="s">
        <v>1625</v>
      </c>
      <c r="AQ59" t="s">
        <v>1199</v>
      </c>
      <c r="AR59" t="s">
        <v>1505</v>
      </c>
      <c r="AS59" t="s">
        <v>876</v>
      </c>
      <c r="AT59" t="s">
        <v>139</v>
      </c>
      <c r="AU59" t="s">
        <v>877</v>
      </c>
      <c r="AV59" t="s">
        <v>137</v>
      </c>
      <c r="AW59" t="s">
        <v>494</v>
      </c>
      <c r="AX59" t="s">
        <v>749</v>
      </c>
      <c r="AY59" t="s">
        <v>169</v>
      </c>
      <c r="AZ59" t="s">
        <v>1626</v>
      </c>
      <c r="BA59" t="s">
        <v>1627</v>
      </c>
      <c r="BB59" t="s">
        <v>169</v>
      </c>
      <c r="BC59" t="s">
        <v>137</v>
      </c>
      <c r="BD59" t="s">
        <v>172</v>
      </c>
      <c r="BE59" t="s">
        <v>169</v>
      </c>
      <c r="BF59" t="s">
        <v>173</v>
      </c>
      <c r="BG59" t="s">
        <v>174</v>
      </c>
      <c r="BH59" t="s">
        <v>151</v>
      </c>
      <c r="BI59" t="s">
        <v>175</v>
      </c>
      <c r="BJ59" t="s">
        <v>151</v>
      </c>
      <c r="BK59" t="s">
        <v>151</v>
      </c>
      <c r="BL59" t="s">
        <v>176</v>
      </c>
      <c r="BM59" t="s">
        <v>177</v>
      </c>
      <c r="BN59" t="s">
        <v>137</v>
      </c>
      <c r="BO59" t="s">
        <v>178</v>
      </c>
      <c r="BP59" t="s">
        <v>179</v>
      </c>
      <c r="BQ59" t="s">
        <v>180</v>
      </c>
      <c r="BR59" t="s">
        <v>154</v>
      </c>
      <c r="BS59" t="s">
        <v>181</v>
      </c>
      <c r="BT59" t="s">
        <v>182</v>
      </c>
      <c r="BU59" t="s">
        <v>182</v>
      </c>
      <c r="BV59" t="s">
        <v>182</v>
      </c>
      <c r="BW59" t="s">
        <v>151</v>
      </c>
      <c r="BX59" t="s">
        <v>183</v>
      </c>
      <c r="BY59" t="s">
        <v>151</v>
      </c>
      <c r="BZ59" t="s">
        <v>151</v>
      </c>
      <c r="CA59" t="s">
        <v>151</v>
      </c>
      <c r="CB59" t="s">
        <v>151</v>
      </c>
      <c r="CC59" t="s">
        <v>1628</v>
      </c>
      <c r="CD59" t="s">
        <v>1629</v>
      </c>
      <c r="CE59" t="s">
        <v>1630</v>
      </c>
      <c r="CF59" t="s">
        <v>1631</v>
      </c>
      <c r="CG59" t="s">
        <v>1632</v>
      </c>
      <c r="CH59" t="s">
        <v>1633</v>
      </c>
      <c r="CI59" t="s">
        <v>1634</v>
      </c>
      <c r="CJ59" t="s">
        <v>1635</v>
      </c>
      <c r="CK59" t="s">
        <v>1619</v>
      </c>
      <c r="CL59" t="s">
        <v>560</v>
      </c>
      <c r="CM59" t="s">
        <v>193</v>
      </c>
      <c r="CN59" t="s">
        <v>194</v>
      </c>
      <c r="CO59" t="s">
        <v>154</v>
      </c>
      <c r="CP59" t="s">
        <v>195</v>
      </c>
      <c r="CQ59" t="s">
        <v>196</v>
      </c>
      <c r="CR59" t="s">
        <v>154</v>
      </c>
      <c r="CS59" t="s">
        <v>197</v>
      </c>
      <c r="CT59" t="s">
        <v>198</v>
      </c>
      <c r="CU59" t="s">
        <v>199</v>
      </c>
      <c r="CV59" t="s">
        <v>151</v>
      </c>
      <c r="CW59" t="s">
        <v>1618</v>
      </c>
      <c r="CX59" t="s">
        <v>200</v>
      </c>
      <c r="CY59" t="s">
        <v>201</v>
      </c>
      <c r="CZ59" t="s">
        <v>202</v>
      </c>
      <c r="DA59" t="s">
        <v>203</v>
      </c>
      <c r="DB59" t="s">
        <v>204</v>
      </c>
      <c r="DC59" t="s">
        <v>205</v>
      </c>
    </row>
    <row r="60" spans="1:107" x14ac:dyDescent="0.45">
      <c r="A60" t="s">
        <v>1636</v>
      </c>
      <c r="B60" t="s">
        <v>1637</v>
      </c>
      <c r="C60" t="s">
        <v>139</v>
      </c>
      <c r="D60" t="s">
        <v>76</v>
      </c>
      <c r="E60" t="s">
        <v>140</v>
      </c>
      <c r="F60" t="s">
        <v>19</v>
      </c>
      <c r="G60" t="s">
        <v>1638</v>
      </c>
      <c r="H60" t="s">
        <v>19</v>
      </c>
      <c r="I60" t="s">
        <v>19</v>
      </c>
      <c r="J60">
        <f t="shared" si="10"/>
        <v>-2.3331291300914114E-2</v>
      </c>
      <c r="K60">
        <f t="shared" si="11"/>
        <v>2.9066320800000001</v>
      </c>
      <c r="L60">
        <f t="shared" si="12"/>
        <v>-2.3520085045882259E-2</v>
      </c>
      <c r="M60">
        <f t="shared" si="13"/>
        <v>-0.27175575928044082</v>
      </c>
      <c r="N60" t="s">
        <v>1639</v>
      </c>
      <c r="O60" t="s">
        <v>1640</v>
      </c>
      <c r="P60">
        <f t="shared" si="14"/>
        <v>2.7638914730462183</v>
      </c>
      <c r="Q60">
        <f t="shared" si="15"/>
        <v>1.1497384730462183</v>
      </c>
      <c r="R60" t="s">
        <v>1641</v>
      </c>
      <c r="S60" t="s">
        <v>1642</v>
      </c>
      <c r="T60">
        <f t="shared" si="16"/>
        <v>27.176907306255835</v>
      </c>
      <c r="U60">
        <f t="shared" si="17"/>
        <v>0.4417875</v>
      </c>
      <c r="V60" t="s">
        <v>146</v>
      </c>
      <c r="W60" t="s">
        <v>1643</v>
      </c>
      <c r="X60" t="s">
        <v>1644</v>
      </c>
      <c r="Y60" t="s">
        <v>1645</v>
      </c>
      <c r="Z60" t="s">
        <v>1646</v>
      </c>
      <c r="AA60" t="s">
        <v>151</v>
      </c>
      <c r="AB60" t="s">
        <v>151</v>
      </c>
      <c r="AC60" t="s">
        <v>151</v>
      </c>
      <c r="AD60" t="s">
        <v>152</v>
      </c>
      <c r="AE60" t="s">
        <v>153</v>
      </c>
      <c r="AF60">
        <f t="shared" si="18"/>
        <v>0</v>
      </c>
      <c r="AG60" t="s">
        <v>154</v>
      </c>
      <c r="AH60" t="s">
        <v>1647</v>
      </c>
      <c r="AI60" t="s">
        <v>1648</v>
      </c>
      <c r="AJ60" t="s">
        <v>1649</v>
      </c>
      <c r="AK60" t="s">
        <v>1650</v>
      </c>
      <c r="AL60">
        <f t="shared" si="19"/>
        <v>22.67</v>
      </c>
      <c r="AM60" t="s">
        <v>928</v>
      </c>
      <c r="AN60" t="s">
        <v>401</v>
      </c>
      <c r="AO60" t="s">
        <v>1651</v>
      </c>
      <c r="AP60" t="s">
        <v>1652</v>
      </c>
      <c r="AQ60" t="s">
        <v>163</v>
      </c>
      <c r="AR60" t="s">
        <v>1653</v>
      </c>
      <c r="AS60" t="s">
        <v>876</v>
      </c>
      <c r="AT60" t="s">
        <v>139</v>
      </c>
      <c r="AU60" t="s">
        <v>877</v>
      </c>
      <c r="AV60" t="s">
        <v>137</v>
      </c>
      <c r="AW60" t="s">
        <v>493</v>
      </c>
      <c r="AX60" t="s">
        <v>493</v>
      </c>
      <c r="AY60" t="s">
        <v>169</v>
      </c>
      <c r="AZ60" t="s">
        <v>1654</v>
      </c>
      <c r="BA60" t="s">
        <v>1655</v>
      </c>
      <c r="BB60" t="s">
        <v>169</v>
      </c>
      <c r="BC60" t="s">
        <v>137</v>
      </c>
      <c r="BD60" t="s">
        <v>172</v>
      </c>
      <c r="BE60" t="s">
        <v>169</v>
      </c>
      <c r="BF60" t="s">
        <v>173</v>
      </c>
      <c r="BG60" t="s">
        <v>174</v>
      </c>
      <c r="BH60" t="s">
        <v>151</v>
      </c>
      <c r="BI60" t="s">
        <v>175</v>
      </c>
      <c r="BJ60" t="s">
        <v>151</v>
      </c>
      <c r="BK60" t="s">
        <v>151</v>
      </c>
      <c r="BL60" t="s">
        <v>176</v>
      </c>
      <c r="BM60" t="s">
        <v>177</v>
      </c>
      <c r="BN60" t="s">
        <v>137</v>
      </c>
      <c r="BO60" t="s">
        <v>178</v>
      </c>
      <c r="BP60" t="s">
        <v>179</v>
      </c>
      <c r="BQ60" t="s">
        <v>180</v>
      </c>
      <c r="BR60" t="s">
        <v>154</v>
      </c>
      <c r="BS60" t="s">
        <v>181</v>
      </c>
      <c r="BT60" t="s">
        <v>182</v>
      </c>
      <c r="BU60" t="s">
        <v>182</v>
      </c>
      <c r="BV60" t="s">
        <v>182</v>
      </c>
      <c r="BW60" t="s">
        <v>151</v>
      </c>
      <c r="BX60" t="s">
        <v>183</v>
      </c>
      <c r="BY60" t="s">
        <v>151</v>
      </c>
      <c r="BZ60" t="s">
        <v>151</v>
      </c>
      <c r="CA60" t="s">
        <v>151</v>
      </c>
      <c r="CB60" t="s">
        <v>151</v>
      </c>
      <c r="CC60" t="s">
        <v>1656</v>
      </c>
      <c r="CD60" t="s">
        <v>1657</v>
      </c>
      <c r="CE60" t="s">
        <v>1658</v>
      </c>
      <c r="CF60" t="s">
        <v>1659</v>
      </c>
      <c r="CG60" t="s">
        <v>1660</v>
      </c>
      <c r="CH60" t="s">
        <v>1661</v>
      </c>
      <c r="CI60" t="s">
        <v>1662</v>
      </c>
      <c r="CJ60" t="s">
        <v>415</v>
      </c>
      <c r="CK60" t="s">
        <v>1644</v>
      </c>
      <c r="CL60" t="s">
        <v>267</v>
      </c>
      <c r="CM60" t="s">
        <v>193</v>
      </c>
      <c r="CN60" t="s">
        <v>194</v>
      </c>
      <c r="CO60" t="s">
        <v>154</v>
      </c>
      <c r="CP60" t="s">
        <v>195</v>
      </c>
      <c r="CQ60" t="s">
        <v>196</v>
      </c>
      <c r="CR60" t="s">
        <v>154</v>
      </c>
      <c r="CS60" t="s">
        <v>197</v>
      </c>
      <c r="CT60" t="s">
        <v>198</v>
      </c>
      <c r="CU60" t="s">
        <v>199</v>
      </c>
      <c r="CV60" t="s">
        <v>151</v>
      </c>
      <c r="CW60" t="s">
        <v>1643</v>
      </c>
      <c r="CX60" t="s">
        <v>200</v>
      </c>
      <c r="CY60" t="s">
        <v>201</v>
      </c>
      <c r="CZ60" t="s">
        <v>202</v>
      </c>
      <c r="DA60" t="s">
        <v>203</v>
      </c>
      <c r="DB60" t="s">
        <v>204</v>
      </c>
      <c r="DC60" t="s">
        <v>205</v>
      </c>
    </row>
    <row r="61" spans="1:107" x14ac:dyDescent="0.45">
      <c r="A61" t="s">
        <v>1663</v>
      </c>
      <c r="B61" t="s">
        <v>1664</v>
      </c>
      <c r="C61" t="s">
        <v>139</v>
      </c>
      <c r="D61" t="s">
        <v>76</v>
      </c>
      <c r="E61" t="s">
        <v>140</v>
      </c>
      <c r="F61" t="s">
        <v>19</v>
      </c>
      <c r="G61" t="s">
        <v>1665</v>
      </c>
      <c r="H61" t="s">
        <v>19</v>
      </c>
      <c r="I61" t="s">
        <v>19</v>
      </c>
      <c r="J61">
        <f t="shared" si="10"/>
        <v>-1.675294595945815E-2</v>
      </c>
      <c r="K61">
        <f t="shared" si="11"/>
        <v>2.9050319999999994</v>
      </c>
      <c r="L61">
        <f t="shared" si="12"/>
        <v>-1.6850118425507751E-2</v>
      </c>
      <c r="M61">
        <f t="shared" si="13"/>
        <v>-0.18019007279435906</v>
      </c>
      <c r="N61" t="s">
        <v>1666</v>
      </c>
      <c r="O61" t="s">
        <v>1667</v>
      </c>
      <c r="P61">
        <f t="shared" si="14"/>
        <v>2.6795104510408301</v>
      </c>
      <c r="Q61">
        <f t="shared" si="15"/>
        <v>1.06452745104083</v>
      </c>
      <c r="R61" t="s">
        <v>1668</v>
      </c>
      <c r="S61" t="s">
        <v>1669</v>
      </c>
      <c r="T61">
        <f t="shared" si="16"/>
        <v>26.347202075131072</v>
      </c>
      <c r="U61">
        <f t="shared" si="17"/>
        <v>0.4417875</v>
      </c>
      <c r="V61" t="s">
        <v>146</v>
      </c>
      <c r="W61" t="s">
        <v>1670</v>
      </c>
      <c r="X61" t="s">
        <v>1671</v>
      </c>
      <c r="Y61" t="s">
        <v>1672</v>
      </c>
      <c r="Z61" t="s">
        <v>1673</v>
      </c>
      <c r="AA61" t="s">
        <v>151</v>
      </c>
      <c r="AB61" t="s">
        <v>151</v>
      </c>
      <c r="AC61" t="s">
        <v>151</v>
      </c>
      <c r="AD61" t="s">
        <v>152</v>
      </c>
      <c r="AE61" t="s">
        <v>153</v>
      </c>
      <c r="AF61">
        <f t="shared" si="18"/>
        <v>0</v>
      </c>
      <c r="AG61" t="s">
        <v>154</v>
      </c>
      <c r="AH61" t="s">
        <v>1674</v>
      </c>
      <c r="AI61" t="s">
        <v>1675</v>
      </c>
      <c r="AJ61" t="s">
        <v>1676</v>
      </c>
      <c r="AK61" t="s">
        <v>1376</v>
      </c>
      <c r="AL61">
        <f t="shared" si="19"/>
        <v>22.16</v>
      </c>
      <c r="AM61" t="s">
        <v>928</v>
      </c>
      <c r="AN61" t="s">
        <v>160</v>
      </c>
      <c r="AO61" t="s">
        <v>1677</v>
      </c>
      <c r="AP61" t="s">
        <v>1678</v>
      </c>
      <c r="AQ61" t="s">
        <v>137</v>
      </c>
      <c r="AR61" t="s">
        <v>1653</v>
      </c>
      <c r="AS61" t="s">
        <v>876</v>
      </c>
      <c r="AT61" t="s">
        <v>139</v>
      </c>
      <c r="AU61" t="s">
        <v>877</v>
      </c>
      <c r="AV61" t="s">
        <v>137</v>
      </c>
      <c r="AW61" t="s">
        <v>954</v>
      </c>
      <c r="AX61" t="s">
        <v>464</v>
      </c>
      <c r="AY61" t="s">
        <v>169</v>
      </c>
      <c r="AZ61" t="s">
        <v>1679</v>
      </c>
      <c r="BA61" t="s">
        <v>578</v>
      </c>
      <c r="BB61" t="s">
        <v>169</v>
      </c>
      <c r="BC61" t="s">
        <v>137</v>
      </c>
      <c r="BD61" t="s">
        <v>172</v>
      </c>
      <c r="BE61" t="s">
        <v>169</v>
      </c>
      <c r="BF61" t="s">
        <v>173</v>
      </c>
      <c r="BG61" t="s">
        <v>174</v>
      </c>
      <c r="BH61" t="s">
        <v>151</v>
      </c>
      <c r="BI61" t="s">
        <v>175</v>
      </c>
      <c r="BJ61" t="s">
        <v>151</v>
      </c>
      <c r="BK61" t="s">
        <v>151</v>
      </c>
      <c r="BL61" t="s">
        <v>176</v>
      </c>
      <c r="BM61" t="s">
        <v>177</v>
      </c>
      <c r="BN61" t="s">
        <v>137</v>
      </c>
      <c r="BO61" t="s">
        <v>178</v>
      </c>
      <c r="BP61" t="s">
        <v>179</v>
      </c>
      <c r="BQ61" t="s">
        <v>180</v>
      </c>
      <c r="BR61" t="s">
        <v>154</v>
      </c>
      <c r="BS61" t="s">
        <v>181</v>
      </c>
      <c r="BT61" t="s">
        <v>182</v>
      </c>
      <c r="BU61" t="s">
        <v>182</v>
      </c>
      <c r="BV61" t="s">
        <v>182</v>
      </c>
      <c r="BW61" t="s">
        <v>151</v>
      </c>
      <c r="BX61" t="s">
        <v>183</v>
      </c>
      <c r="BY61" t="s">
        <v>151</v>
      </c>
      <c r="BZ61" t="s">
        <v>151</v>
      </c>
      <c r="CA61" t="s">
        <v>151</v>
      </c>
      <c r="CB61" t="s">
        <v>151</v>
      </c>
      <c r="CC61" t="s">
        <v>1680</v>
      </c>
      <c r="CD61" t="s">
        <v>1681</v>
      </c>
      <c r="CE61" t="s">
        <v>1682</v>
      </c>
      <c r="CF61" t="s">
        <v>1683</v>
      </c>
      <c r="CG61" t="s">
        <v>1684</v>
      </c>
      <c r="CH61" t="s">
        <v>1685</v>
      </c>
      <c r="CI61" t="s">
        <v>1686</v>
      </c>
      <c r="CJ61" t="s">
        <v>1687</v>
      </c>
      <c r="CK61" t="s">
        <v>1671</v>
      </c>
      <c r="CL61" t="s">
        <v>1688</v>
      </c>
      <c r="CM61" t="s">
        <v>193</v>
      </c>
      <c r="CN61" t="s">
        <v>194</v>
      </c>
      <c r="CO61" t="s">
        <v>154</v>
      </c>
      <c r="CP61" t="s">
        <v>195</v>
      </c>
      <c r="CQ61" t="s">
        <v>196</v>
      </c>
      <c r="CR61" t="s">
        <v>154</v>
      </c>
      <c r="CS61" t="s">
        <v>197</v>
      </c>
      <c r="CT61" t="s">
        <v>198</v>
      </c>
      <c r="CU61" t="s">
        <v>199</v>
      </c>
      <c r="CV61" t="s">
        <v>151</v>
      </c>
      <c r="CW61" t="s">
        <v>1670</v>
      </c>
      <c r="CX61" t="s">
        <v>200</v>
      </c>
      <c r="CY61" t="s">
        <v>201</v>
      </c>
      <c r="CZ61" t="s">
        <v>202</v>
      </c>
      <c r="DA61" t="s">
        <v>203</v>
      </c>
      <c r="DB61" t="s">
        <v>204</v>
      </c>
      <c r="DC61" t="s">
        <v>205</v>
      </c>
    </row>
    <row r="62" spans="1:107" x14ac:dyDescent="0.45">
      <c r="A62" t="s">
        <v>1689</v>
      </c>
      <c r="B62" t="s">
        <v>1690</v>
      </c>
      <c r="C62" t="s">
        <v>139</v>
      </c>
      <c r="D62" t="s">
        <v>76</v>
      </c>
      <c r="E62" t="s">
        <v>140</v>
      </c>
      <c r="F62" t="s">
        <v>19</v>
      </c>
      <c r="G62" t="s">
        <v>1691</v>
      </c>
      <c r="H62" t="s">
        <v>19</v>
      </c>
      <c r="I62" t="s">
        <v>19</v>
      </c>
      <c r="J62">
        <f t="shared" si="10"/>
        <v>-1.8632842126369002E-2</v>
      </c>
      <c r="K62">
        <f t="shared" si="11"/>
        <v>2.9034264800000003</v>
      </c>
      <c r="L62">
        <f t="shared" si="12"/>
        <v>-1.875319139542871E-2</v>
      </c>
      <c r="M62">
        <f t="shared" si="13"/>
        <v>-0.20011953740655053</v>
      </c>
      <c r="N62" t="s">
        <v>1692</v>
      </c>
      <c r="O62" t="s">
        <v>1693</v>
      </c>
      <c r="P62">
        <f t="shared" si="14"/>
        <v>2.6860460962470651</v>
      </c>
      <c r="Q62">
        <f t="shared" si="15"/>
        <v>1.0622480962470651</v>
      </c>
      <c r="R62" t="s">
        <v>1694</v>
      </c>
      <c r="S62" t="s">
        <v>1695</v>
      </c>
      <c r="T62">
        <f t="shared" si="16"/>
        <v>26.411466039794149</v>
      </c>
      <c r="U62">
        <f t="shared" si="17"/>
        <v>0.4417875</v>
      </c>
      <c r="V62" t="s">
        <v>146</v>
      </c>
      <c r="W62" t="s">
        <v>1696</v>
      </c>
      <c r="X62" t="s">
        <v>1697</v>
      </c>
      <c r="Y62" t="s">
        <v>1698</v>
      </c>
      <c r="Z62" t="s">
        <v>1699</v>
      </c>
      <c r="AA62" t="s">
        <v>151</v>
      </c>
      <c r="AB62" t="s">
        <v>151</v>
      </c>
      <c r="AC62" t="s">
        <v>151</v>
      </c>
      <c r="AD62" t="s">
        <v>152</v>
      </c>
      <c r="AE62" t="s">
        <v>153</v>
      </c>
      <c r="AF62">
        <f t="shared" si="18"/>
        <v>0</v>
      </c>
      <c r="AG62" t="s">
        <v>154</v>
      </c>
      <c r="AH62" t="s">
        <v>1700</v>
      </c>
      <c r="AI62" t="s">
        <v>1147</v>
      </c>
      <c r="AJ62" t="s">
        <v>1676</v>
      </c>
      <c r="AK62" t="s">
        <v>1701</v>
      </c>
      <c r="AL62">
        <f t="shared" si="19"/>
        <v>22.2</v>
      </c>
      <c r="AM62" t="s">
        <v>928</v>
      </c>
      <c r="AN62" t="s">
        <v>222</v>
      </c>
      <c r="AO62" t="s">
        <v>1702</v>
      </c>
      <c r="AP62" t="s">
        <v>1703</v>
      </c>
      <c r="AQ62" t="s">
        <v>163</v>
      </c>
      <c r="AR62" t="s">
        <v>1653</v>
      </c>
      <c r="AS62" t="s">
        <v>876</v>
      </c>
      <c r="AT62" t="s">
        <v>139</v>
      </c>
      <c r="AU62" t="s">
        <v>877</v>
      </c>
      <c r="AV62" t="s">
        <v>137</v>
      </c>
      <c r="AW62" t="s">
        <v>954</v>
      </c>
      <c r="AX62" t="s">
        <v>225</v>
      </c>
      <c r="AY62" t="s">
        <v>169</v>
      </c>
      <c r="AZ62" t="s">
        <v>1704</v>
      </c>
      <c r="BA62" t="s">
        <v>1705</v>
      </c>
      <c r="BB62" t="s">
        <v>169</v>
      </c>
      <c r="BC62" t="s">
        <v>137</v>
      </c>
      <c r="BD62" t="s">
        <v>172</v>
      </c>
      <c r="BE62" t="s">
        <v>169</v>
      </c>
      <c r="BF62" t="s">
        <v>173</v>
      </c>
      <c r="BG62" t="s">
        <v>174</v>
      </c>
      <c r="BH62" t="s">
        <v>151</v>
      </c>
      <c r="BI62" t="s">
        <v>175</v>
      </c>
      <c r="BJ62" t="s">
        <v>151</v>
      </c>
      <c r="BK62" t="s">
        <v>151</v>
      </c>
      <c r="BL62" t="s">
        <v>176</v>
      </c>
      <c r="BM62" t="s">
        <v>177</v>
      </c>
      <c r="BN62" t="s">
        <v>137</v>
      </c>
      <c r="BO62" t="s">
        <v>178</v>
      </c>
      <c r="BP62" t="s">
        <v>179</v>
      </c>
      <c r="BQ62" t="s">
        <v>180</v>
      </c>
      <c r="BR62" t="s">
        <v>154</v>
      </c>
      <c r="BS62" t="s">
        <v>181</v>
      </c>
      <c r="BT62" t="s">
        <v>182</v>
      </c>
      <c r="BU62" t="s">
        <v>182</v>
      </c>
      <c r="BV62" t="s">
        <v>182</v>
      </c>
      <c r="BW62" t="s">
        <v>151</v>
      </c>
      <c r="BX62" t="s">
        <v>183</v>
      </c>
      <c r="BY62" t="s">
        <v>151</v>
      </c>
      <c r="BZ62" t="s">
        <v>151</v>
      </c>
      <c r="CA62" t="s">
        <v>151</v>
      </c>
      <c r="CB62" t="s">
        <v>151</v>
      </c>
      <c r="CC62" t="s">
        <v>1706</v>
      </c>
      <c r="CD62" t="s">
        <v>1707</v>
      </c>
      <c r="CE62" t="s">
        <v>1708</v>
      </c>
      <c r="CF62" t="s">
        <v>1709</v>
      </c>
      <c r="CG62" t="s">
        <v>1710</v>
      </c>
      <c r="CH62" t="s">
        <v>1711</v>
      </c>
      <c r="CI62" t="s">
        <v>1712</v>
      </c>
      <c r="CJ62" t="s">
        <v>559</v>
      </c>
      <c r="CK62" t="s">
        <v>1697</v>
      </c>
      <c r="CL62" t="s">
        <v>1062</v>
      </c>
      <c r="CM62" t="s">
        <v>193</v>
      </c>
      <c r="CN62" t="s">
        <v>194</v>
      </c>
      <c r="CO62" t="s">
        <v>154</v>
      </c>
      <c r="CP62" t="s">
        <v>195</v>
      </c>
      <c r="CQ62" t="s">
        <v>196</v>
      </c>
      <c r="CR62" t="s">
        <v>154</v>
      </c>
      <c r="CS62" t="s">
        <v>197</v>
      </c>
      <c r="CT62" t="s">
        <v>198</v>
      </c>
      <c r="CU62" t="s">
        <v>199</v>
      </c>
      <c r="CV62" t="s">
        <v>151</v>
      </c>
      <c r="CW62" t="s">
        <v>1696</v>
      </c>
      <c r="CX62" t="s">
        <v>200</v>
      </c>
      <c r="CY62" t="s">
        <v>201</v>
      </c>
      <c r="CZ62" t="s">
        <v>202</v>
      </c>
      <c r="DA62" t="s">
        <v>203</v>
      </c>
      <c r="DB62" t="s">
        <v>204</v>
      </c>
      <c r="DC62" t="s">
        <v>205</v>
      </c>
    </row>
    <row r="63" spans="1:107" x14ac:dyDescent="0.45">
      <c r="A63" t="s">
        <v>1713</v>
      </c>
      <c r="B63" t="s">
        <v>1714</v>
      </c>
      <c r="C63" t="s">
        <v>139</v>
      </c>
      <c r="D63" t="s">
        <v>76</v>
      </c>
      <c r="E63" t="s">
        <v>140</v>
      </c>
      <c r="F63" t="s">
        <v>19</v>
      </c>
      <c r="G63" t="s">
        <v>1715</v>
      </c>
      <c r="H63" t="s">
        <v>19</v>
      </c>
      <c r="I63" t="s">
        <v>19</v>
      </c>
      <c r="J63">
        <f t="shared" si="10"/>
        <v>-1.4661138346011873E-2</v>
      </c>
      <c r="K63">
        <f t="shared" si="11"/>
        <v>2.9066320800000001</v>
      </c>
      <c r="L63">
        <f t="shared" si="12"/>
        <v>-1.4735464465443061E-2</v>
      </c>
      <c r="M63">
        <f t="shared" si="13"/>
        <v>-0.15842384348656677</v>
      </c>
      <c r="N63" t="s">
        <v>1716</v>
      </c>
      <c r="O63" t="s">
        <v>1717</v>
      </c>
      <c r="P63">
        <f t="shared" si="14"/>
        <v>2.699159254379266</v>
      </c>
      <c r="Q63">
        <f t="shared" si="15"/>
        <v>1.070186254379266</v>
      </c>
      <c r="R63" t="s">
        <v>1718</v>
      </c>
      <c r="S63" t="s">
        <v>1719</v>
      </c>
      <c r="T63">
        <f t="shared" si="16"/>
        <v>26.540405647780393</v>
      </c>
      <c r="U63">
        <f t="shared" si="17"/>
        <v>0.4417875</v>
      </c>
      <c r="V63" t="s">
        <v>146</v>
      </c>
      <c r="W63" t="s">
        <v>1720</v>
      </c>
      <c r="X63" t="s">
        <v>1721</v>
      </c>
      <c r="Y63" t="s">
        <v>1722</v>
      </c>
      <c r="Z63" t="s">
        <v>1723</v>
      </c>
      <c r="AA63" t="s">
        <v>151</v>
      </c>
      <c r="AB63" t="s">
        <v>151</v>
      </c>
      <c r="AC63" t="s">
        <v>151</v>
      </c>
      <c r="AD63" t="s">
        <v>152</v>
      </c>
      <c r="AE63" t="s">
        <v>153</v>
      </c>
      <c r="AF63">
        <f t="shared" si="18"/>
        <v>0</v>
      </c>
      <c r="AG63" t="s">
        <v>154</v>
      </c>
      <c r="AH63" t="s">
        <v>1724</v>
      </c>
      <c r="AI63" t="s">
        <v>1725</v>
      </c>
      <c r="AJ63" t="s">
        <v>1726</v>
      </c>
      <c r="AK63" t="s">
        <v>1727</v>
      </c>
      <c r="AL63">
        <f t="shared" si="19"/>
        <v>22.28</v>
      </c>
      <c r="AM63" t="s">
        <v>928</v>
      </c>
      <c r="AN63" t="s">
        <v>401</v>
      </c>
      <c r="AO63" t="s">
        <v>1728</v>
      </c>
      <c r="AP63" t="s">
        <v>1729</v>
      </c>
      <c r="AQ63" t="s">
        <v>163</v>
      </c>
      <c r="AR63" t="s">
        <v>1730</v>
      </c>
      <c r="AS63" t="s">
        <v>876</v>
      </c>
      <c r="AT63" t="s">
        <v>139</v>
      </c>
      <c r="AU63" t="s">
        <v>877</v>
      </c>
      <c r="AV63" t="s">
        <v>137</v>
      </c>
      <c r="AW63" t="s">
        <v>317</v>
      </c>
      <c r="AX63" t="s">
        <v>351</v>
      </c>
      <c r="AY63" t="s">
        <v>169</v>
      </c>
      <c r="AZ63" t="s">
        <v>1731</v>
      </c>
      <c r="BA63" t="s">
        <v>1732</v>
      </c>
      <c r="BB63" t="s">
        <v>169</v>
      </c>
      <c r="BC63" t="s">
        <v>137</v>
      </c>
      <c r="BD63" t="s">
        <v>172</v>
      </c>
      <c r="BE63" t="s">
        <v>169</v>
      </c>
      <c r="BF63" t="s">
        <v>173</v>
      </c>
      <c r="BG63" t="s">
        <v>174</v>
      </c>
      <c r="BH63" t="s">
        <v>151</v>
      </c>
      <c r="BI63" t="s">
        <v>175</v>
      </c>
      <c r="BJ63" t="s">
        <v>151</v>
      </c>
      <c r="BK63" t="s">
        <v>151</v>
      </c>
      <c r="BL63" t="s">
        <v>176</v>
      </c>
      <c r="BM63" t="s">
        <v>177</v>
      </c>
      <c r="BN63" t="s">
        <v>137</v>
      </c>
      <c r="BO63" t="s">
        <v>178</v>
      </c>
      <c r="BP63" t="s">
        <v>179</v>
      </c>
      <c r="BQ63" t="s">
        <v>180</v>
      </c>
      <c r="BR63" t="s">
        <v>154</v>
      </c>
      <c r="BS63" t="s">
        <v>181</v>
      </c>
      <c r="BT63" t="s">
        <v>182</v>
      </c>
      <c r="BU63" t="s">
        <v>182</v>
      </c>
      <c r="BV63" t="s">
        <v>182</v>
      </c>
      <c r="BW63" t="s">
        <v>151</v>
      </c>
      <c r="BX63" t="s">
        <v>183</v>
      </c>
      <c r="BY63" t="s">
        <v>151</v>
      </c>
      <c r="BZ63" t="s">
        <v>151</v>
      </c>
      <c r="CA63" t="s">
        <v>151</v>
      </c>
      <c r="CB63" t="s">
        <v>151</v>
      </c>
      <c r="CC63" t="s">
        <v>1733</v>
      </c>
      <c r="CD63" t="s">
        <v>1734</v>
      </c>
      <c r="CE63" t="s">
        <v>1735</v>
      </c>
      <c r="CF63" t="s">
        <v>1736</v>
      </c>
      <c r="CG63" t="s">
        <v>1737</v>
      </c>
      <c r="CH63" t="s">
        <v>1738</v>
      </c>
      <c r="CI63" t="s">
        <v>1739</v>
      </c>
      <c r="CJ63" t="s">
        <v>1740</v>
      </c>
      <c r="CK63" t="s">
        <v>1721</v>
      </c>
      <c r="CL63" t="s">
        <v>329</v>
      </c>
      <c r="CM63" t="s">
        <v>193</v>
      </c>
      <c r="CN63" t="s">
        <v>194</v>
      </c>
      <c r="CO63" t="s">
        <v>154</v>
      </c>
      <c r="CP63" t="s">
        <v>195</v>
      </c>
      <c r="CQ63" t="s">
        <v>196</v>
      </c>
      <c r="CR63" t="s">
        <v>154</v>
      </c>
      <c r="CS63" t="s">
        <v>197</v>
      </c>
      <c r="CT63" t="s">
        <v>198</v>
      </c>
      <c r="CU63" t="s">
        <v>199</v>
      </c>
      <c r="CV63" t="s">
        <v>151</v>
      </c>
      <c r="CW63" t="s">
        <v>1720</v>
      </c>
      <c r="CX63" t="s">
        <v>200</v>
      </c>
      <c r="CY63" t="s">
        <v>201</v>
      </c>
      <c r="CZ63" t="s">
        <v>202</v>
      </c>
      <c r="DA63" t="s">
        <v>203</v>
      </c>
      <c r="DB63" t="s">
        <v>204</v>
      </c>
      <c r="DC63" t="s">
        <v>205</v>
      </c>
    </row>
    <row r="64" spans="1:107" x14ac:dyDescent="0.45">
      <c r="A64" t="s">
        <v>1741</v>
      </c>
      <c r="B64" t="s">
        <v>1742</v>
      </c>
      <c r="C64" t="s">
        <v>139</v>
      </c>
      <c r="D64" t="s">
        <v>76</v>
      </c>
      <c r="E64" t="s">
        <v>140</v>
      </c>
      <c r="F64" t="s">
        <v>19</v>
      </c>
      <c r="G64" t="s">
        <v>1743</v>
      </c>
      <c r="H64" t="s">
        <v>19</v>
      </c>
      <c r="I64" t="s">
        <v>19</v>
      </c>
      <c r="J64">
        <f t="shared" si="10"/>
        <v>-3.3792958296633359E-3</v>
      </c>
      <c r="K64">
        <f t="shared" si="11"/>
        <v>2.9066320800000001</v>
      </c>
      <c r="L64">
        <f t="shared" si="12"/>
        <v>-3.3832292247733468E-3</v>
      </c>
      <c r="M64">
        <f t="shared" si="13"/>
        <v>-3.6084722694991342E-2</v>
      </c>
      <c r="N64" t="s">
        <v>1744</v>
      </c>
      <c r="O64" t="s">
        <v>1745</v>
      </c>
      <c r="P64">
        <f t="shared" si="14"/>
        <v>2.7057368177602843</v>
      </c>
      <c r="Q64">
        <f t="shared" si="15"/>
        <v>1.0615708177602843</v>
      </c>
      <c r="R64" t="s">
        <v>1746</v>
      </c>
      <c r="S64" t="s">
        <v>1747</v>
      </c>
      <c r="T64">
        <f t="shared" si="16"/>
        <v>26.605081787220101</v>
      </c>
      <c r="U64">
        <f t="shared" si="17"/>
        <v>0.4417875</v>
      </c>
      <c r="V64" t="s">
        <v>146</v>
      </c>
      <c r="W64" t="s">
        <v>1748</v>
      </c>
      <c r="X64" t="s">
        <v>1749</v>
      </c>
      <c r="Y64" t="s">
        <v>1750</v>
      </c>
      <c r="Z64" t="s">
        <v>1751</v>
      </c>
      <c r="AA64" t="s">
        <v>151</v>
      </c>
      <c r="AB64" t="s">
        <v>151</v>
      </c>
      <c r="AC64" t="s">
        <v>151</v>
      </c>
      <c r="AD64" t="s">
        <v>152</v>
      </c>
      <c r="AE64" t="s">
        <v>153</v>
      </c>
      <c r="AF64">
        <f t="shared" si="18"/>
        <v>0</v>
      </c>
      <c r="AG64" t="s">
        <v>154</v>
      </c>
      <c r="AH64" t="s">
        <v>1752</v>
      </c>
      <c r="AI64" t="s">
        <v>1753</v>
      </c>
      <c r="AJ64" t="s">
        <v>1754</v>
      </c>
      <c r="AK64" t="s">
        <v>1755</v>
      </c>
      <c r="AL64">
        <f t="shared" si="19"/>
        <v>22.32</v>
      </c>
      <c r="AM64" t="s">
        <v>928</v>
      </c>
      <c r="AN64" t="s">
        <v>401</v>
      </c>
      <c r="AO64" t="s">
        <v>1756</v>
      </c>
      <c r="AP64" t="s">
        <v>1757</v>
      </c>
      <c r="AQ64" t="s">
        <v>163</v>
      </c>
      <c r="AR64" t="s">
        <v>1730</v>
      </c>
      <c r="AS64" t="s">
        <v>1758</v>
      </c>
      <c r="AT64" t="s">
        <v>139</v>
      </c>
      <c r="AU64" t="s">
        <v>1759</v>
      </c>
      <c r="AV64" t="s">
        <v>137</v>
      </c>
      <c r="AW64" t="s">
        <v>494</v>
      </c>
      <c r="AX64" t="s">
        <v>821</v>
      </c>
      <c r="AY64" t="s">
        <v>169</v>
      </c>
      <c r="AZ64" t="s">
        <v>496</v>
      </c>
      <c r="BA64" t="s">
        <v>1760</v>
      </c>
      <c r="BB64" t="s">
        <v>169</v>
      </c>
      <c r="BC64" t="s">
        <v>137</v>
      </c>
      <c r="BD64" t="s">
        <v>172</v>
      </c>
      <c r="BE64" t="s">
        <v>169</v>
      </c>
      <c r="BF64" t="s">
        <v>173</v>
      </c>
      <c r="BG64" t="s">
        <v>174</v>
      </c>
      <c r="BH64" t="s">
        <v>151</v>
      </c>
      <c r="BI64" t="s">
        <v>175</v>
      </c>
      <c r="BJ64" t="s">
        <v>151</v>
      </c>
      <c r="BK64" t="s">
        <v>151</v>
      </c>
      <c r="BL64" t="s">
        <v>176</v>
      </c>
      <c r="BM64" t="s">
        <v>177</v>
      </c>
      <c r="BN64" t="s">
        <v>137</v>
      </c>
      <c r="BO64" t="s">
        <v>178</v>
      </c>
      <c r="BP64" t="s">
        <v>179</v>
      </c>
      <c r="BQ64" t="s">
        <v>180</v>
      </c>
      <c r="BR64" t="s">
        <v>154</v>
      </c>
      <c r="BS64" t="s">
        <v>181</v>
      </c>
      <c r="BT64" t="s">
        <v>182</v>
      </c>
      <c r="BU64" t="s">
        <v>182</v>
      </c>
      <c r="BV64" t="s">
        <v>182</v>
      </c>
      <c r="BW64" t="s">
        <v>151</v>
      </c>
      <c r="BX64" t="s">
        <v>183</v>
      </c>
      <c r="BY64" t="s">
        <v>151</v>
      </c>
      <c r="BZ64" t="s">
        <v>151</v>
      </c>
      <c r="CA64" t="s">
        <v>151</v>
      </c>
      <c r="CB64" t="s">
        <v>151</v>
      </c>
      <c r="CC64" t="s">
        <v>1761</v>
      </c>
      <c r="CD64" t="s">
        <v>1762</v>
      </c>
      <c r="CE64" t="s">
        <v>1763</v>
      </c>
      <c r="CF64" t="s">
        <v>1764</v>
      </c>
      <c r="CG64" t="s">
        <v>1765</v>
      </c>
      <c r="CH64" t="s">
        <v>1766</v>
      </c>
      <c r="CI64" t="s">
        <v>1767</v>
      </c>
      <c r="CJ64" t="s">
        <v>328</v>
      </c>
      <c r="CK64" t="s">
        <v>1749</v>
      </c>
      <c r="CL64" t="s">
        <v>475</v>
      </c>
      <c r="CM64" t="s">
        <v>193</v>
      </c>
      <c r="CN64" t="s">
        <v>194</v>
      </c>
      <c r="CO64" t="s">
        <v>154</v>
      </c>
      <c r="CP64" t="s">
        <v>195</v>
      </c>
      <c r="CQ64" t="s">
        <v>196</v>
      </c>
      <c r="CR64" t="s">
        <v>154</v>
      </c>
      <c r="CS64" t="s">
        <v>197</v>
      </c>
      <c r="CT64" t="s">
        <v>198</v>
      </c>
      <c r="CU64" t="s">
        <v>199</v>
      </c>
      <c r="CV64" t="s">
        <v>151</v>
      </c>
      <c r="CW64" t="s">
        <v>1748</v>
      </c>
      <c r="CX64" t="s">
        <v>200</v>
      </c>
      <c r="CY64" t="s">
        <v>201</v>
      </c>
      <c r="CZ64" t="s">
        <v>202</v>
      </c>
      <c r="DA64" t="s">
        <v>203</v>
      </c>
      <c r="DB64" t="s">
        <v>204</v>
      </c>
      <c r="DC64" t="s">
        <v>205</v>
      </c>
    </row>
    <row r="65" spans="1:107" x14ac:dyDescent="0.45">
      <c r="A65" t="s">
        <v>1768</v>
      </c>
      <c r="B65" t="s">
        <v>1769</v>
      </c>
      <c r="C65" t="s">
        <v>139</v>
      </c>
      <c r="D65" t="s">
        <v>76</v>
      </c>
      <c r="E65" t="s">
        <v>140</v>
      </c>
      <c r="F65" t="s">
        <v>19</v>
      </c>
      <c r="G65" t="s">
        <v>1770</v>
      </c>
      <c r="H65" t="s">
        <v>19</v>
      </c>
      <c r="I65" t="s">
        <v>19</v>
      </c>
      <c r="J65">
        <f t="shared" si="10"/>
        <v>-2.0432721481348937E-3</v>
      </c>
      <c r="K65">
        <f t="shared" si="11"/>
        <v>2.9050319999999994</v>
      </c>
      <c r="L65">
        <f t="shared" si="12"/>
        <v>-2.0447103077223866E-3</v>
      </c>
      <c r="M65">
        <f t="shared" si="13"/>
        <v>-2.2665530492349595E-2</v>
      </c>
      <c r="N65" t="s">
        <v>1771</v>
      </c>
      <c r="O65" t="s">
        <v>1772</v>
      </c>
      <c r="P65">
        <f t="shared" si="14"/>
        <v>2.7008023319289429</v>
      </c>
      <c r="Q65">
        <f t="shared" si="15"/>
        <v>1.103451331928943</v>
      </c>
      <c r="R65" t="s">
        <v>1773</v>
      </c>
      <c r="S65" t="s">
        <v>1774</v>
      </c>
      <c r="T65">
        <f t="shared" si="16"/>
        <v>26.556561769212809</v>
      </c>
      <c r="U65">
        <f t="shared" si="17"/>
        <v>0.4417875</v>
      </c>
      <c r="V65" t="s">
        <v>146</v>
      </c>
      <c r="W65" t="s">
        <v>1775</v>
      </c>
      <c r="X65" t="s">
        <v>1776</v>
      </c>
      <c r="Y65" t="s">
        <v>1777</v>
      </c>
      <c r="Z65" t="s">
        <v>1778</v>
      </c>
      <c r="AA65" t="s">
        <v>151</v>
      </c>
      <c r="AB65" t="s">
        <v>151</v>
      </c>
      <c r="AC65" t="s">
        <v>151</v>
      </c>
      <c r="AD65" t="s">
        <v>152</v>
      </c>
      <c r="AE65" t="s">
        <v>153</v>
      </c>
      <c r="AF65">
        <f t="shared" si="18"/>
        <v>0</v>
      </c>
      <c r="AG65" t="s">
        <v>154</v>
      </c>
      <c r="AH65" t="s">
        <v>1779</v>
      </c>
      <c r="AI65" t="s">
        <v>815</v>
      </c>
      <c r="AJ65" t="s">
        <v>1780</v>
      </c>
      <c r="AK65" t="s">
        <v>1529</v>
      </c>
      <c r="AL65">
        <f t="shared" si="19"/>
        <v>22.29</v>
      </c>
      <c r="AM65" t="s">
        <v>928</v>
      </c>
      <c r="AN65" t="s">
        <v>160</v>
      </c>
      <c r="AO65" t="s">
        <v>1781</v>
      </c>
      <c r="AP65" t="s">
        <v>1757</v>
      </c>
      <c r="AQ65" t="s">
        <v>163</v>
      </c>
      <c r="AR65" t="s">
        <v>1782</v>
      </c>
      <c r="AS65" t="s">
        <v>1758</v>
      </c>
      <c r="AT65" t="s">
        <v>139</v>
      </c>
      <c r="AU65" t="s">
        <v>1759</v>
      </c>
      <c r="AV65" t="s">
        <v>137</v>
      </c>
      <c r="AW65" t="s">
        <v>1379</v>
      </c>
      <c r="AX65" t="s">
        <v>1052</v>
      </c>
      <c r="AY65" t="s">
        <v>169</v>
      </c>
      <c r="AZ65" t="s">
        <v>1783</v>
      </c>
      <c r="BA65" t="s">
        <v>1784</v>
      </c>
      <c r="BB65" t="s">
        <v>169</v>
      </c>
      <c r="BC65" t="s">
        <v>137</v>
      </c>
      <c r="BD65" t="s">
        <v>172</v>
      </c>
      <c r="BE65" t="s">
        <v>169</v>
      </c>
      <c r="BF65" t="s">
        <v>173</v>
      </c>
      <c r="BG65" t="s">
        <v>174</v>
      </c>
      <c r="BH65" t="s">
        <v>151</v>
      </c>
      <c r="BI65" t="s">
        <v>175</v>
      </c>
      <c r="BJ65" t="s">
        <v>151</v>
      </c>
      <c r="BK65" t="s">
        <v>151</v>
      </c>
      <c r="BL65" t="s">
        <v>176</v>
      </c>
      <c r="BM65" t="s">
        <v>177</v>
      </c>
      <c r="BN65" t="s">
        <v>137</v>
      </c>
      <c r="BO65" t="s">
        <v>178</v>
      </c>
      <c r="BP65" t="s">
        <v>179</v>
      </c>
      <c r="BQ65" t="s">
        <v>180</v>
      </c>
      <c r="BR65" t="s">
        <v>154</v>
      </c>
      <c r="BS65" t="s">
        <v>181</v>
      </c>
      <c r="BT65" t="s">
        <v>182</v>
      </c>
      <c r="BU65" t="s">
        <v>182</v>
      </c>
      <c r="BV65" t="s">
        <v>182</v>
      </c>
      <c r="BW65" t="s">
        <v>151</v>
      </c>
      <c r="BX65" t="s">
        <v>183</v>
      </c>
      <c r="BY65" t="s">
        <v>151</v>
      </c>
      <c r="BZ65" t="s">
        <v>151</v>
      </c>
      <c r="CA65" t="s">
        <v>151</v>
      </c>
      <c r="CB65" t="s">
        <v>151</v>
      </c>
      <c r="CC65" t="s">
        <v>1785</v>
      </c>
      <c r="CD65" t="s">
        <v>1786</v>
      </c>
      <c r="CE65" t="s">
        <v>1787</v>
      </c>
      <c r="CF65" t="s">
        <v>1788</v>
      </c>
      <c r="CG65" t="s">
        <v>1789</v>
      </c>
      <c r="CH65" t="s">
        <v>1790</v>
      </c>
      <c r="CI65" t="s">
        <v>1791</v>
      </c>
      <c r="CJ65" t="s">
        <v>328</v>
      </c>
      <c r="CK65" t="s">
        <v>1776</v>
      </c>
      <c r="CL65" t="s">
        <v>833</v>
      </c>
      <c r="CM65" t="s">
        <v>193</v>
      </c>
      <c r="CN65" t="s">
        <v>194</v>
      </c>
      <c r="CO65" t="s">
        <v>154</v>
      </c>
      <c r="CP65" t="s">
        <v>195</v>
      </c>
      <c r="CQ65" t="s">
        <v>196</v>
      </c>
      <c r="CR65" t="s">
        <v>154</v>
      </c>
      <c r="CS65" t="s">
        <v>197</v>
      </c>
      <c r="CT65" t="s">
        <v>198</v>
      </c>
      <c r="CU65" t="s">
        <v>199</v>
      </c>
      <c r="CV65" t="s">
        <v>151</v>
      </c>
      <c r="CW65" t="s">
        <v>1775</v>
      </c>
      <c r="CX65" t="s">
        <v>200</v>
      </c>
      <c r="CY65" t="s">
        <v>201</v>
      </c>
      <c r="CZ65" t="s">
        <v>202</v>
      </c>
      <c r="DA65" t="s">
        <v>203</v>
      </c>
      <c r="DB65" t="s">
        <v>204</v>
      </c>
      <c r="DC65" t="s">
        <v>205</v>
      </c>
    </row>
    <row r="66" spans="1:107" x14ac:dyDescent="0.45">
      <c r="A66" t="s">
        <v>1792</v>
      </c>
      <c r="B66" t="s">
        <v>1793</v>
      </c>
      <c r="C66" t="s">
        <v>139</v>
      </c>
      <c r="D66" t="s">
        <v>76</v>
      </c>
      <c r="E66" t="s">
        <v>140</v>
      </c>
      <c r="F66" t="s">
        <v>19</v>
      </c>
      <c r="G66" t="s">
        <v>1794</v>
      </c>
      <c r="H66" t="s">
        <v>19</v>
      </c>
      <c r="I66" t="s">
        <v>19</v>
      </c>
      <c r="J66">
        <f t="shared" si="10"/>
        <v>2.6482952957047642E-3</v>
      </c>
      <c r="K66">
        <f t="shared" si="11"/>
        <v>2.9042299199999997</v>
      </c>
      <c r="L66">
        <f t="shared" si="12"/>
        <v>2.6458825809455603E-3</v>
      </c>
      <c r="M66">
        <f t="shared" si="13"/>
        <v>2.865015859509315E-2</v>
      </c>
      <c r="N66" t="s">
        <v>1795</v>
      </c>
      <c r="O66" t="s">
        <v>1796</v>
      </c>
      <c r="P66">
        <f t="shared" si="14"/>
        <v>2.6795104510408301</v>
      </c>
      <c r="Q66">
        <f t="shared" si="15"/>
        <v>1.0780194510408301</v>
      </c>
      <c r="R66" t="s">
        <v>1797</v>
      </c>
      <c r="S66" t="s">
        <v>1798</v>
      </c>
      <c r="T66">
        <f t="shared" si="16"/>
        <v>26.347202075131072</v>
      </c>
      <c r="U66">
        <f t="shared" si="17"/>
        <v>0.4417875</v>
      </c>
      <c r="V66" t="s">
        <v>146</v>
      </c>
      <c r="W66" t="s">
        <v>1799</v>
      </c>
      <c r="X66" t="s">
        <v>1800</v>
      </c>
      <c r="Y66" t="s">
        <v>1801</v>
      </c>
      <c r="Z66" t="s">
        <v>1802</v>
      </c>
      <c r="AA66" t="s">
        <v>151</v>
      </c>
      <c r="AB66" t="s">
        <v>151</v>
      </c>
      <c r="AC66" t="s">
        <v>151</v>
      </c>
      <c r="AD66" t="s">
        <v>152</v>
      </c>
      <c r="AE66" t="s">
        <v>153</v>
      </c>
      <c r="AF66">
        <f t="shared" si="18"/>
        <v>0</v>
      </c>
      <c r="AG66" t="s">
        <v>154</v>
      </c>
      <c r="AH66" t="s">
        <v>1803</v>
      </c>
      <c r="AI66" t="s">
        <v>1804</v>
      </c>
      <c r="AJ66" t="s">
        <v>1805</v>
      </c>
      <c r="AK66" t="s">
        <v>1376</v>
      </c>
      <c r="AL66">
        <f t="shared" si="19"/>
        <v>22.16</v>
      </c>
      <c r="AM66" t="s">
        <v>928</v>
      </c>
      <c r="AN66" t="s">
        <v>284</v>
      </c>
      <c r="AO66" t="s">
        <v>1806</v>
      </c>
      <c r="AP66" t="s">
        <v>347</v>
      </c>
      <c r="AQ66" t="s">
        <v>163</v>
      </c>
      <c r="AR66" t="s">
        <v>1730</v>
      </c>
      <c r="AS66" t="s">
        <v>1758</v>
      </c>
      <c r="AT66" t="s">
        <v>139</v>
      </c>
      <c r="AU66" t="s">
        <v>1759</v>
      </c>
      <c r="AV66" t="s">
        <v>137</v>
      </c>
      <c r="AW66" t="s">
        <v>1379</v>
      </c>
      <c r="AX66" t="s">
        <v>905</v>
      </c>
      <c r="AY66" t="s">
        <v>169</v>
      </c>
      <c r="AZ66" t="s">
        <v>1807</v>
      </c>
      <c r="BA66" t="s">
        <v>1808</v>
      </c>
      <c r="BB66" t="s">
        <v>169</v>
      </c>
      <c r="BC66" t="s">
        <v>137</v>
      </c>
      <c r="BD66" t="s">
        <v>172</v>
      </c>
      <c r="BE66" t="s">
        <v>169</v>
      </c>
      <c r="BF66" t="s">
        <v>173</v>
      </c>
      <c r="BG66" t="s">
        <v>174</v>
      </c>
      <c r="BH66" t="s">
        <v>151</v>
      </c>
      <c r="BI66" t="s">
        <v>175</v>
      </c>
      <c r="BJ66" t="s">
        <v>151</v>
      </c>
      <c r="BK66" t="s">
        <v>151</v>
      </c>
      <c r="BL66" t="s">
        <v>176</v>
      </c>
      <c r="BM66" t="s">
        <v>177</v>
      </c>
      <c r="BN66" t="s">
        <v>137</v>
      </c>
      <c r="BO66" t="s">
        <v>178</v>
      </c>
      <c r="BP66" t="s">
        <v>179</v>
      </c>
      <c r="BQ66" t="s">
        <v>180</v>
      </c>
      <c r="BR66" t="s">
        <v>154</v>
      </c>
      <c r="BS66" t="s">
        <v>181</v>
      </c>
      <c r="BT66" t="s">
        <v>182</v>
      </c>
      <c r="BU66" t="s">
        <v>182</v>
      </c>
      <c r="BV66" t="s">
        <v>182</v>
      </c>
      <c r="BW66" t="s">
        <v>151</v>
      </c>
      <c r="BX66" t="s">
        <v>183</v>
      </c>
      <c r="BY66" t="s">
        <v>151</v>
      </c>
      <c r="BZ66" t="s">
        <v>151</v>
      </c>
      <c r="CA66" t="s">
        <v>151</v>
      </c>
      <c r="CB66" t="s">
        <v>151</v>
      </c>
      <c r="CC66" t="s">
        <v>1809</v>
      </c>
      <c r="CD66" t="s">
        <v>1810</v>
      </c>
      <c r="CE66" t="s">
        <v>1811</v>
      </c>
      <c r="CF66" t="s">
        <v>1812</v>
      </c>
      <c r="CG66" t="s">
        <v>1813</v>
      </c>
      <c r="CH66" t="s">
        <v>1814</v>
      </c>
      <c r="CI66" t="s">
        <v>1815</v>
      </c>
      <c r="CJ66" t="s">
        <v>266</v>
      </c>
      <c r="CK66" t="s">
        <v>1800</v>
      </c>
      <c r="CL66" t="s">
        <v>1610</v>
      </c>
      <c r="CM66" t="s">
        <v>193</v>
      </c>
      <c r="CN66" t="s">
        <v>194</v>
      </c>
      <c r="CO66" t="s">
        <v>154</v>
      </c>
      <c r="CP66" t="s">
        <v>195</v>
      </c>
      <c r="CQ66" t="s">
        <v>196</v>
      </c>
      <c r="CR66" t="s">
        <v>154</v>
      </c>
      <c r="CS66" t="s">
        <v>197</v>
      </c>
      <c r="CT66" t="s">
        <v>198</v>
      </c>
      <c r="CU66" t="s">
        <v>199</v>
      </c>
      <c r="CV66" t="s">
        <v>151</v>
      </c>
      <c r="CW66" t="s">
        <v>1799</v>
      </c>
      <c r="CX66" t="s">
        <v>200</v>
      </c>
      <c r="CY66" t="s">
        <v>201</v>
      </c>
      <c r="CZ66" t="s">
        <v>202</v>
      </c>
      <c r="DA66" t="s">
        <v>203</v>
      </c>
      <c r="DB66" t="s">
        <v>204</v>
      </c>
      <c r="DC66" t="s">
        <v>205</v>
      </c>
    </row>
    <row r="67" spans="1:107" x14ac:dyDescent="0.45">
      <c r="A67" t="s">
        <v>1816</v>
      </c>
      <c r="B67" t="s">
        <v>1817</v>
      </c>
      <c r="C67" t="s">
        <v>139</v>
      </c>
      <c r="D67" t="s">
        <v>76</v>
      </c>
      <c r="E67" t="s">
        <v>140</v>
      </c>
      <c r="F67" t="s">
        <v>19</v>
      </c>
      <c r="G67" t="s">
        <v>1818</v>
      </c>
      <c r="H67" t="s">
        <v>19</v>
      </c>
      <c r="I67" t="s">
        <v>19</v>
      </c>
      <c r="J67">
        <f t="shared" si="10"/>
        <v>-4.4883583331916076E-3</v>
      </c>
      <c r="K67">
        <f t="shared" si="11"/>
        <v>2.9050319999999994</v>
      </c>
      <c r="L67">
        <f t="shared" si="12"/>
        <v>-4.4953037072372653E-3</v>
      </c>
      <c r="M67">
        <f t="shared" si="13"/>
        <v>-4.8777514477863333E-2</v>
      </c>
      <c r="N67" t="s">
        <v>1819</v>
      </c>
      <c r="O67" t="s">
        <v>1820</v>
      </c>
      <c r="P67">
        <f t="shared" si="14"/>
        <v>2.6975170517018197</v>
      </c>
      <c r="Q67">
        <f t="shared" si="15"/>
        <v>1.0802780517018196</v>
      </c>
      <c r="R67" t="s">
        <v>1821</v>
      </c>
      <c r="S67" t="s">
        <v>1822</v>
      </c>
      <c r="T67">
        <f t="shared" si="16"/>
        <v>26.521650296940514</v>
      </c>
      <c r="U67">
        <f t="shared" si="17"/>
        <v>0.4417875</v>
      </c>
      <c r="V67" t="s">
        <v>146</v>
      </c>
      <c r="W67" t="s">
        <v>1823</v>
      </c>
      <c r="X67" t="s">
        <v>1824</v>
      </c>
      <c r="Y67" t="s">
        <v>1825</v>
      </c>
      <c r="Z67" t="s">
        <v>1826</v>
      </c>
      <c r="AA67" t="s">
        <v>151</v>
      </c>
      <c r="AB67" t="s">
        <v>151</v>
      </c>
      <c r="AC67" t="s">
        <v>151</v>
      </c>
      <c r="AD67" t="s">
        <v>152</v>
      </c>
      <c r="AE67" t="s">
        <v>153</v>
      </c>
      <c r="AF67">
        <f t="shared" si="18"/>
        <v>0</v>
      </c>
      <c r="AG67" t="s">
        <v>154</v>
      </c>
      <c r="AH67" t="s">
        <v>1827</v>
      </c>
      <c r="AI67" t="s">
        <v>1828</v>
      </c>
      <c r="AJ67" t="s">
        <v>1805</v>
      </c>
      <c r="AK67" t="s">
        <v>1829</v>
      </c>
      <c r="AL67">
        <f t="shared" si="19"/>
        <v>22.27</v>
      </c>
      <c r="AM67" t="s">
        <v>1503</v>
      </c>
      <c r="AN67" t="s">
        <v>160</v>
      </c>
      <c r="AO67" t="s">
        <v>1830</v>
      </c>
      <c r="AP67" t="s">
        <v>1831</v>
      </c>
      <c r="AQ67" t="s">
        <v>163</v>
      </c>
      <c r="AR67" t="s">
        <v>1730</v>
      </c>
      <c r="AS67" t="s">
        <v>1758</v>
      </c>
      <c r="AT67" t="s">
        <v>139</v>
      </c>
      <c r="AU67" t="s">
        <v>1759</v>
      </c>
      <c r="AV67" t="s">
        <v>137</v>
      </c>
      <c r="AW67" t="s">
        <v>317</v>
      </c>
      <c r="AX67" t="s">
        <v>318</v>
      </c>
      <c r="AY67" t="s">
        <v>169</v>
      </c>
      <c r="AZ67" t="s">
        <v>1832</v>
      </c>
      <c r="BA67" t="s">
        <v>1833</v>
      </c>
      <c r="BB67" t="s">
        <v>169</v>
      </c>
      <c r="BC67" t="s">
        <v>137</v>
      </c>
      <c r="BD67" t="s">
        <v>172</v>
      </c>
      <c r="BE67" t="s">
        <v>169</v>
      </c>
      <c r="BF67" t="s">
        <v>173</v>
      </c>
      <c r="BG67" t="s">
        <v>174</v>
      </c>
      <c r="BH67" t="s">
        <v>151</v>
      </c>
      <c r="BI67" t="s">
        <v>175</v>
      </c>
      <c r="BJ67" t="s">
        <v>151</v>
      </c>
      <c r="BK67" t="s">
        <v>151</v>
      </c>
      <c r="BL67" t="s">
        <v>176</v>
      </c>
      <c r="BM67" t="s">
        <v>177</v>
      </c>
      <c r="BN67" t="s">
        <v>137</v>
      </c>
      <c r="BO67" t="s">
        <v>178</v>
      </c>
      <c r="BP67" t="s">
        <v>179</v>
      </c>
      <c r="BQ67" t="s">
        <v>180</v>
      </c>
      <c r="BR67" t="s">
        <v>154</v>
      </c>
      <c r="BS67" t="s">
        <v>181</v>
      </c>
      <c r="BT67" t="s">
        <v>182</v>
      </c>
      <c r="BU67" t="s">
        <v>182</v>
      </c>
      <c r="BV67" t="s">
        <v>182</v>
      </c>
      <c r="BW67" t="s">
        <v>151</v>
      </c>
      <c r="BX67" t="s">
        <v>183</v>
      </c>
      <c r="BY67" t="s">
        <v>151</v>
      </c>
      <c r="BZ67" t="s">
        <v>151</v>
      </c>
      <c r="CA67" t="s">
        <v>151</v>
      </c>
      <c r="CB67" t="s">
        <v>151</v>
      </c>
      <c r="CC67" t="s">
        <v>1834</v>
      </c>
      <c r="CD67" t="s">
        <v>1835</v>
      </c>
      <c r="CE67" t="s">
        <v>1836</v>
      </c>
      <c r="CF67" t="s">
        <v>1837</v>
      </c>
      <c r="CG67" t="s">
        <v>1838</v>
      </c>
      <c r="CH67" t="s">
        <v>1839</v>
      </c>
      <c r="CI67" t="s">
        <v>1840</v>
      </c>
      <c r="CJ67" t="s">
        <v>444</v>
      </c>
      <c r="CK67" t="s">
        <v>1824</v>
      </c>
      <c r="CL67" t="s">
        <v>237</v>
      </c>
      <c r="CM67" t="s">
        <v>193</v>
      </c>
      <c r="CN67" t="s">
        <v>194</v>
      </c>
      <c r="CO67" t="s">
        <v>154</v>
      </c>
      <c r="CP67" t="s">
        <v>195</v>
      </c>
      <c r="CQ67" t="s">
        <v>196</v>
      </c>
      <c r="CR67" t="s">
        <v>154</v>
      </c>
      <c r="CS67" t="s">
        <v>197</v>
      </c>
      <c r="CT67" t="s">
        <v>198</v>
      </c>
      <c r="CU67" t="s">
        <v>199</v>
      </c>
      <c r="CV67" t="s">
        <v>151</v>
      </c>
      <c r="CW67" t="s">
        <v>1823</v>
      </c>
      <c r="CX67" t="s">
        <v>200</v>
      </c>
      <c r="CY67" t="s">
        <v>201</v>
      </c>
      <c r="CZ67" t="s">
        <v>202</v>
      </c>
      <c r="DA67" t="s">
        <v>203</v>
      </c>
      <c r="DB67" t="s">
        <v>204</v>
      </c>
      <c r="DC67" t="s">
        <v>205</v>
      </c>
    </row>
    <row r="68" spans="1:107" x14ac:dyDescent="0.45">
      <c r="A68" t="s">
        <v>1841</v>
      </c>
      <c r="B68" t="s">
        <v>1842</v>
      </c>
      <c r="C68" t="s">
        <v>139</v>
      </c>
      <c r="D68" t="s">
        <v>76</v>
      </c>
      <c r="E68" t="s">
        <v>140</v>
      </c>
      <c r="F68" t="s">
        <v>19</v>
      </c>
      <c r="G68" t="s">
        <v>1843</v>
      </c>
      <c r="H68" t="s">
        <v>19</v>
      </c>
      <c r="I68" t="s">
        <v>19</v>
      </c>
      <c r="J68">
        <f t="shared" ref="J68:J70" si="20">1/((1/L68)-(1/K68))</f>
        <v>-2.293599382804057E-3</v>
      </c>
      <c r="K68">
        <f t="shared" si="11"/>
        <v>2.9050319999999994</v>
      </c>
      <c r="L68">
        <f t="shared" ref="L68:L70" si="21">((M68/1000)*(1000-((T68+S68)/2)))/(T68-S68)</f>
        <v>-2.2954116708585647E-3</v>
      </c>
      <c r="M68">
        <f t="shared" si="13"/>
        <v>-2.5415530550334738E-2</v>
      </c>
      <c r="N68" t="s">
        <v>1844</v>
      </c>
      <c r="O68" t="s">
        <v>1845</v>
      </c>
      <c r="P68">
        <f t="shared" si="14"/>
        <v>2.7073833987485272</v>
      </c>
      <c r="Q68">
        <f t="shared" ref="Q68:Q70" si="22">P68-N68</f>
        <v>1.1022033987485271</v>
      </c>
      <c r="R68" t="s">
        <v>1846</v>
      </c>
      <c r="S68" t="s">
        <v>1847</v>
      </c>
      <c r="T68">
        <f t="shared" si="16"/>
        <v>26.62127235740931</v>
      </c>
      <c r="U68">
        <f t="shared" ref="U68:U70" si="23">V68*BG68</f>
        <v>0.4417875</v>
      </c>
      <c r="V68" t="s">
        <v>146</v>
      </c>
      <c r="W68" t="s">
        <v>1848</v>
      </c>
      <c r="X68" t="s">
        <v>1849</v>
      </c>
      <c r="Y68" t="s">
        <v>1850</v>
      </c>
      <c r="Z68" t="s">
        <v>1851</v>
      </c>
      <c r="AA68" t="s">
        <v>151</v>
      </c>
      <c r="AB68" t="s">
        <v>151</v>
      </c>
      <c r="AC68" t="s">
        <v>151</v>
      </c>
      <c r="AD68" t="s">
        <v>152</v>
      </c>
      <c r="AE68" t="s">
        <v>153</v>
      </c>
      <c r="AF68">
        <f t="shared" ref="AF68:AF70" si="24">AC68*AD68*AE68*AQ68</f>
        <v>0</v>
      </c>
      <c r="AG68" t="s">
        <v>154</v>
      </c>
      <c r="AH68" t="s">
        <v>1852</v>
      </c>
      <c r="AI68" t="s">
        <v>1853</v>
      </c>
      <c r="AJ68" t="s">
        <v>1854</v>
      </c>
      <c r="AK68" t="s">
        <v>1855</v>
      </c>
      <c r="AL68">
        <f t="shared" ref="AL68:AL70" si="25">(AK68-AJ68)*(AJ68*0+0)+AK68</f>
        <v>22.33</v>
      </c>
      <c r="AM68" t="s">
        <v>928</v>
      </c>
      <c r="AN68" t="s">
        <v>160</v>
      </c>
      <c r="AO68" t="s">
        <v>952</v>
      </c>
      <c r="AP68" t="s">
        <v>953</v>
      </c>
      <c r="AQ68" t="s">
        <v>163</v>
      </c>
      <c r="AR68" t="s">
        <v>1856</v>
      </c>
      <c r="AS68" t="s">
        <v>1758</v>
      </c>
      <c r="AT68" t="s">
        <v>139</v>
      </c>
      <c r="AU68" t="s">
        <v>1759</v>
      </c>
      <c r="AV68" t="s">
        <v>137</v>
      </c>
      <c r="AW68" t="s">
        <v>317</v>
      </c>
      <c r="AX68" t="s">
        <v>1052</v>
      </c>
      <c r="AY68" t="s">
        <v>169</v>
      </c>
      <c r="AZ68" t="s">
        <v>1857</v>
      </c>
      <c r="BA68" t="s">
        <v>1858</v>
      </c>
      <c r="BB68" t="s">
        <v>169</v>
      </c>
      <c r="BC68" t="s">
        <v>137</v>
      </c>
      <c r="BD68" t="s">
        <v>172</v>
      </c>
      <c r="BE68" t="s">
        <v>169</v>
      </c>
      <c r="BF68" t="s">
        <v>173</v>
      </c>
      <c r="BG68" t="s">
        <v>174</v>
      </c>
      <c r="BH68" t="s">
        <v>151</v>
      </c>
      <c r="BI68" t="s">
        <v>175</v>
      </c>
      <c r="BJ68" t="s">
        <v>151</v>
      </c>
      <c r="BK68" t="s">
        <v>151</v>
      </c>
      <c r="BL68" t="s">
        <v>176</v>
      </c>
      <c r="BM68" t="s">
        <v>177</v>
      </c>
      <c r="BN68" t="s">
        <v>137</v>
      </c>
      <c r="BO68" t="s">
        <v>178</v>
      </c>
      <c r="BP68" t="s">
        <v>179</v>
      </c>
      <c r="BQ68" t="s">
        <v>180</v>
      </c>
      <c r="BR68" t="s">
        <v>154</v>
      </c>
      <c r="BS68" t="s">
        <v>181</v>
      </c>
      <c r="BT68" t="s">
        <v>182</v>
      </c>
      <c r="BU68" t="s">
        <v>182</v>
      </c>
      <c r="BV68" t="s">
        <v>182</v>
      </c>
      <c r="BW68" t="s">
        <v>151</v>
      </c>
      <c r="BX68" t="s">
        <v>183</v>
      </c>
      <c r="BY68" t="s">
        <v>151</v>
      </c>
      <c r="BZ68" t="s">
        <v>151</v>
      </c>
      <c r="CA68" t="s">
        <v>151</v>
      </c>
      <c r="CB68" t="s">
        <v>151</v>
      </c>
      <c r="CC68" t="s">
        <v>1859</v>
      </c>
      <c r="CD68" t="s">
        <v>1860</v>
      </c>
      <c r="CE68" t="s">
        <v>1861</v>
      </c>
      <c r="CF68" t="s">
        <v>1862</v>
      </c>
      <c r="CG68" t="s">
        <v>1863</v>
      </c>
      <c r="CH68" t="s">
        <v>1864</v>
      </c>
      <c r="CI68" t="s">
        <v>1865</v>
      </c>
      <c r="CJ68" t="s">
        <v>559</v>
      </c>
      <c r="CK68" t="s">
        <v>1849</v>
      </c>
      <c r="CL68" t="s">
        <v>237</v>
      </c>
      <c r="CM68" t="s">
        <v>193</v>
      </c>
      <c r="CN68" t="s">
        <v>194</v>
      </c>
      <c r="CO68" t="s">
        <v>154</v>
      </c>
      <c r="CP68" t="s">
        <v>195</v>
      </c>
      <c r="CQ68" t="s">
        <v>196</v>
      </c>
      <c r="CR68" t="s">
        <v>154</v>
      </c>
      <c r="CS68" t="s">
        <v>197</v>
      </c>
      <c r="CT68" t="s">
        <v>198</v>
      </c>
      <c r="CU68" t="s">
        <v>199</v>
      </c>
      <c r="CV68" t="s">
        <v>151</v>
      </c>
      <c r="CW68" t="s">
        <v>1848</v>
      </c>
      <c r="CX68" t="s">
        <v>200</v>
      </c>
      <c r="CY68" t="s">
        <v>201</v>
      </c>
      <c r="CZ68" t="s">
        <v>202</v>
      </c>
      <c r="DA68" t="s">
        <v>203</v>
      </c>
      <c r="DB68" t="s">
        <v>204</v>
      </c>
      <c r="DC68" t="s">
        <v>205</v>
      </c>
    </row>
    <row r="69" spans="1:107" x14ac:dyDescent="0.45">
      <c r="A69" t="s">
        <v>1866</v>
      </c>
      <c r="B69" t="s">
        <v>1867</v>
      </c>
      <c r="C69" t="s">
        <v>139</v>
      </c>
      <c r="D69" t="s">
        <v>76</v>
      </c>
      <c r="E69" t="s">
        <v>140</v>
      </c>
      <c r="F69" t="s">
        <v>19</v>
      </c>
      <c r="G69" t="s">
        <v>1868</v>
      </c>
      <c r="H69" t="s">
        <v>19</v>
      </c>
      <c r="I69" t="s">
        <v>19</v>
      </c>
      <c r="J69">
        <f t="shared" si="20"/>
        <v>-9.6074755929773242E-3</v>
      </c>
      <c r="K69">
        <f t="shared" si="11"/>
        <v>2.9050319999999994</v>
      </c>
      <c r="L69">
        <f t="shared" si="21"/>
        <v>-9.6393547134626199E-3</v>
      </c>
      <c r="M69">
        <f t="shared" si="13"/>
        <v>-0.10420336535034957</v>
      </c>
      <c r="N69" t="s">
        <v>1869</v>
      </c>
      <c r="O69" t="s">
        <v>1870</v>
      </c>
      <c r="P69">
        <f t="shared" si="14"/>
        <v>2.6893191475892642</v>
      </c>
      <c r="Q69">
        <f t="shared" si="22"/>
        <v>1.0760821475892641</v>
      </c>
      <c r="R69" t="s">
        <v>1871</v>
      </c>
      <c r="S69" t="s">
        <v>1872</v>
      </c>
      <c r="T69">
        <f t="shared" si="16"/>
        <v>26.44364943548932</v>
      </c>
      <c r="U69">
        <f t="shared" si="23"/>
        <v>0.4417875</v>
      </c>
      <c r="V69" t="s">
        <v>146</v>
      </c>
      <c r="W69" t="s">
        <v>1873</v>
      </c>
      <c r="X69" t="s">
        <v>1874</v>
      </c>
      <c r="Y69" t="s">
        <v>1875</v>
      </c>
      <c r="Z69" t="s">
        <v>1876</v>
      </c>
      <c r="AA69" t="s">
        <v>151</v>
      </c>
      <c r="AB69" t="s">
        <v>151</v>
      </c>
      <c r="AC69" t="s">
        <v>151</v>
      </c>
      <c r="AD69" t="s">
        <v>152</v>
      </c>
      <c r="AE69" t="s">
        <v>153</v>
      </c>
      <c r="AF69">
        <f t="shared" si="24"/>
        <v>0</v>
      </c>
      <c r="AG69" t="s">
        <v>154</v>
      </c>
      <c r="AH69" t="s">
        <v>951</v>
      </c>
      <c r="AI69" t="s">
        <v>973</v>
      </c>
      <c r="AJ69" t="s">
        <v>1877</v>
      </c>
      <c r="AK69" t="s">
        <v>1477</v>
      </c>
      <c r="AL69">
        <f t="shared" si="25"/>
        <v>22.22</v>
      </c>
      <c r="AM69" t="s">
        <v>928</v>
      </c>
      <c r="AN69" t="s">
        <v>160</v>
      </c>
      <c r="AO69" t="s">
        <v>1878</v>
      </c>
      <c r="AP69" t="s">
        <v>1625</v>
      </c>
      <c r="AQ69" t="s">
        <v>163</v>
      </c>
      <c r="AR69" t="s">
        <v>1856</v>
      </c>
      <c r="AS69" t="s">
        <v>1758</v>
      </c>
      <c r="AT69" t="s">
        <v>139</v>
      </c>
      <c r="AU69" t="s">
        <v>1759</v>
      </c>
      <c r="AV69" t="s">
        <v>137</v>
      </c>
      <c r="AW69" t="s">
        <v>317</v>
      </c>
      <c r="AX69" t="s">
        <v>749</v>
      </c>
      <c r="AY69" t="s">
        <v>169</v>
      </c>
      <c r="AZ69" t="s">
        <v>1879</v>
      </c>
      <c r="BA69" t="s">
        <v>1880</v>
      </c>
      <c r="BB69" t="s">
        <v>169</v>
      </c>
      <c r="BC69" t="s">
        <v>137</v>
      </c>
      <c r="BD69" t="s">
        <v>172</v>
      </c>
      <c r="BE69" t="s">
        <v>169</v>
      </c>
      <c r="BF69" t="s">
        <v>173</v>
      </c>
      <c r="BG69" t="s">
        <v>174</v>
      </c>
      <c r="BH69" t="s">
        <v>151</v>
      </c>
      <c r="BI69" t="s">
        <v>175</v>
      </c>
      <c r="BJ69" t="s">
        <v>151</v>
      </c>
      <c r="BK69" t="s">
        <v>151</v>
      </c>
      <c r="BL69" t="s">
        <v>176</v>
      </c>
      <c r="BM69" t="s">
        <v>177</v>
      </c>
      <c r="BN69" t="s">
        <v>137</v>
      </c>
      <c r="BO69" t="s">
        <v>178</v>
      </c>
      <c r="BP69" t="s">
        <v>179</v>
      </c>
      <c r="BQ69" t="s">
        <v>180</v>
      </c>
      <c r="BR69" t="s">
        <v>154</v>
      </c>
      <c r="BS69" t="s">
        <v>181</v>
      </c>
      <c r="BT69" t="s">
        <v>182</v>
      </c>
      <c r="BU69" t="s">
        <v>182</v>
      </c>
      <c r="BV69" t="s">
        <v>182</v>
      </c>
      <c r="BW69" t="s">
        <v>151</v>
      </c>
      <c r="BX69" t="s">
        <v>183</v>
      </c>
      <c r="BY69" t="s">
        <v>151</v>
      </c>
      <c r="BZ69" t="s">
        <v>151</v>
      </c>
      <c r="CA69" t="s">
        <v>151</v>
      </c>
      <c r="CB69" t="s">
        <v>151</v>
      </c>
      <c r="CC69" t="s">
        <v>1881</v>
      </c>
      <c r="CD69" t="s">
        <v>1882</v>
      </c>
      <c r="CE69" t="s">
        <v>1883</v>
      </c>
      <c r="CF69" t="s">
        <v>1884</v>
      </c>
      <c r="CG69" t="s">
        <v>1885</v>
      </c>
      <c r="CH69" t="s">
        <v>1886</v>
      </c>
      <c r="CI69" t="s">
        <v>1887</v>
      </c>
      <c r="CJ69" t="s">
        <v>266</v>
      </c>
      <c r="CK69" t="s">
        <v>1874</v>
      </c>
      <c r="CL69" t="s">
        <v>833</v>
      </c>
      <c r="CM69" t="s">
        <v>193</v>
      </c>
      <c r="CN69" t="s">
        <v>194</v>
      </c>
      <c r="CO69" t="s">
        <v>154</v>
      </c>
      <c r="CP69" t="s">
        <v>195</v>
      </c>
      <c r="CQ69" t="s">
        <v>196</v>
      </c>
      <c r="CR69" t="s">
        <v>154</v>
      </c>
      <c r="CS69" t="s">
        <v>197</v>
      </c>
      <c r="CT69" t="s">
        <v>198</v>
      </c>
      <c r="CU69" t="s">
        <v>199</v>
      </c>
      <c r="CV69" t="s">
        <v>151</v>
      </c>
      <c r="CW69" t="s">
        <v>1873</v>
      </c>
      <c r="CX69" t="s">
        <v>200</v>
      </c>
      <c r="CY69" t="s">
        <v>201</v>
      </c>
      <c r="CZ69" t="s">
        <v>202</v>
      </c>
      <c r="DA69" t="s">
        <v>203</v>
      </c>
      <c r="DB69" t="s">
        <v>204</v>
      </c>
      <c r="DC69" t="s">
        <v>205</v>
      </c>
    </row>
    <row r="70" spans="1:107" x14ac:dyDescent="0.45">
      <c r="A70" t="s">
        <v>1888</v>
      </c>
      <c r="B70" t="s">
        <v>1889</v>
      </c>
      <c r="C70" t="s">
        <v>139</v>
      </c>
      <c r="D70" t="s">
        <v>76</v>
      </c>
      <c r="E70" t="s">
        <v>140</v>
      </c>
      <c r="F70" t="s">
        <v>19</v>
      </c>
      <c r="G70" t="s">
        <v>1890</v>
      </c>
      <c r="H70" t="s">
        <v>19</v>
      </c>
      <c r="I70" t="s">
        <v>19</v>
      </c>
      <c r="J70">
        <f t="shared" si="20"/>
        <v>-1.3165142235258677E-3</v>
      </c>
      <c r="K70">
        <f t="shared" si="11"/>
        <v>2.9042299199999997</v>
      </c>
      <c r="L70">
        <f t="shared" si="21"/>
        <v>-1.3171112822246553E-3</v>
      </c>
      <c r="M70">
        <f t="shared" si="13"/>
        <v>-1.3692322409797758E-2</v>
      </c>
      <c r="N70" t="s">
        <v>1891</v>
      </c>
      <c r="O70" t="s">
        <v>1892</v>
      </c>
      <c r="P70">
        <f t="shared" si="14"/>
        <v>2.6632321932458978</v>
      </c>
      <c r="Q70">
        <f t="shared" si="22"/>
        <v>1.0350901932458978</v>
      </c>
      <c r="R70" t="s">
        <v>1893</v>
      </c>
      <c r="S70" t="s">
        <v>1894</v>
      </c>
      <c r="T70">
        <f t="shared" si="16"/>
        <v>26.184565856315977</v>
      </c>
      <c r="U70">
        <f t="shared" si="23"/>
        <v>0.4417875</v>
      </c>
      <c r="V70" t="s">
        <v>146</v>
      </c>
      <c r="W70" t="s">
        <v>1895</v>
      </c>
      <c r="X70" t="s">
        <v>1896</v>
      </c>
      <c r="Y70" t="s">
        <v>1897</v>
      </c>
      <c r="Z70" t="s">
        <v>1898</v>
      </c>
      <c r="AA70" t="s">
        <v>151</v>
      </c>
      <c r="AB70" t="s">
        <v>151</v>
      </c>
      <c r="AC70" t="s">
        <v>151</v>
      </c>
      <c r="AD70" t="s">
        <v>152</v>
      </c>
      <c r="AE70" t="s">
        <v>153</v>
      </c>
      <c r="AF70">
        <f t="shared" si="24"/>
        <v>0</v>
      </c>
      <c r="AG70" t="s">
        <v>154</v>
      </c>
      <c r="AH70" t="s">
        <v>1674</v>
      </c>
      <c r="AI70" t="s">
        <v>1647</v>
      </c>
      <c r="AJ70" t="s">
        <v>1877</v>
      </c>
      <c r="AK70" t="s">
        <v>1899</v>
      </c>
      <c r="AL70">
        <f t="shared" si="25"/>
        <v>22.06</v>
      </c>
      <c r="AM70" t="s">
        <v>1503</v>
      </c>
      <c r="AN70" t="s">
        <v>284</v>
      </c>
      <c r="AO70" t="s">
        <v>1002</v>
      </c>
      <c r="AP70" t="s">
        <v>794</v>
      </c>
      <c r="AQ70" t="s">
        <v>163</v>
      </c>
      <c r="AR70" t="s">
        <v>1856</v>
      </c>
      <c r="AS70" t="s">
        <v>1758</v>
      </c>
      <c r="AT70" t="s">
        <v>139</v>
      </c>
      <c r="AU70" t="s">
        <v>1759</v>
      </c>
      <c r="AV70" t="s">
        <v>137</v>
      </c>
      <c r="AW70" t="s">
        <v>1379</v>
      </c>
      <c r="AX70" t="s">
        <v>348</v>
      </c>
      <c r="AY70" t="s">
        <v>169</v>
      </c>
      <c r="AZ70" t="s">
        <v>1900</v>
      </c>
      <c r="BA70" t="s">
        <v>1901</v>
      </c>
      <c r="BB70" t="s">
        <v>169</v>
      </c>
      <c r="BC70" t="s">
        <v>137</v>
      </c>
      <c r="BD70" t="s">
        <v>172</v>
      </c>
      <c r="BE70" t="s">
        <v>169</v>
      </c>
      <c r="BF70" t="s">
        <v>173</v>
      </c>
      <c r="BG70" t="s">
        <v>174</v>
      </c>
      <c r="BH70" t="s">
        <v>151</v>
      </c>
      <c r="BI70" t="s">
        <v>175</v>
      </c>
      <c r="BJ70" t="s">
        <v>151</v>
      </c>
      <c r="BK70" t="s">
        <v>151</v>
      </c>
      <c r="BL70" t="s">
        <v>176</v>
      </c>
      <c r="BM70" t="s">
        <v>177</v>
      </c>
      <c r="BN70" t="s">
        <v>137</v>
      </c>
      <c r="BO70" t="s">
        <v>178</v>
      </c>
      <c r="BP70" t="s">
        <v>179</v>
      </c>
      <c r="BQ70" t="s">
        <v>180</v>
      </c>
      <c r="BR70" t="s">
        <v>154</v>
      </c>
      <c r="BS70" t="s">
        <v>181</v>
      </c>
      <c r="BT70" t="s">
        <v>182</v>
      </c>
      <c r="BU70" t="s">
        <v>182</v>
      </c>
      <c r="BV70" t="s">
        <v>182</v>
      </c>
      <c r="BW70" t="s">
        <v>151</v>
      </c>
      <c r="BX70" t="s">
        <v>183</v>
      </c>
      <c r="BY70" t="s">
        <v>151</v>
      </c>
      <c r="BZ70" t="s">
        <v>151</v>
      </c>
      <c r="CA70" t="s">
        <v>151</v>
      </c>
      <c r="CB70" t="s">
        <v>151</v>
      </c>
      <c r="CC70" t="s">
        <v>1902</v>
      </c>
      <c r="CD70" t="s">
        <v>1903</v>
      </c>
      <c r="CE70" t="s">
        <v>1904</v>
      </c>
      <c r="CF70" t="s">
        <v>1905</v>
      </c>
      <c r="CG70" t="s">
        <v>1906</v>
      </c>
      <c r="CH70" t="s">
        <v>1907</v>
      </c>
      <c r="CI70" t="s">
        <v>1908</v>
      </c>
      <c r="CJ70" t="s">
        <v>444</v>
      </c>
      <c r="CK70" t="s">
        <v>1896</v>
      </c>
      <c r="CL70" t="s">
        <v>475</v>
      </c>
      <c r="CM70" t="s">
        <v>193</v>
      </c>
      <c r="CN70" t="s">
        <v>194</v>
      </c>
      <c r="CO70" t="s">
        <v>154</v>
      </c>
      <c r="CP70" t="s">
        <v>195</v>
      </c>
      <c r="CQ70" t="s">
        <v>196</v>
      </c>
      <c r="CR70" t="s">
        <v>154</v>
      </c>
      <c r="CS70" t="s">
        <v>197</v>
      </c>
      <c r="CT70" t="s">
        <v>198</v>
      </c>
      <c r="CU70" t="s">
        <v>199</v>
      </c>
      <c r="CV70" t="s">
        <v>151</v>
      </c>
      <c r="CW70" t="s">
        <v>1895</v>
      </c>
      <c r="CX70" t="s">
        <v>200</v>
      </c>
      <c r="CY70" t="s">
        <v>201</v>
      </c>
      <c r="CZ70" t="s">
        <v>202</v>
      </c>
      <c r="DA70" t="s">
        <v>203</v>
      </c>
      <c r="DB70" t="s">
        <v>204</v>
      </c>
      <c r="DC70" t="s">
        <v>205</v>
      </c>
    </row>
  </sheetData>
  <phoneticPr fontId="1" type="noConversion"/>
  <pageMargins left="0.7" right="0.7" top="0.75" bottom="0.75" header="0.3" footer="0.3"/>
  <ignoredErrors>
    <ignoredError sqref="A1:DC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2212-E6FA-4BBA-8981-63691815F123}">
  <dimension ref="A1:DC70"/>
  <sheetViews>
    <sheetView topLeftCell="A49" workbookViewId="0">
      <selection activeCell="C4" sqref="C4:C70"/>
    </sheetView>
  </sheetViews>
  <sheetFormatPr defaultRowHeight="17.5" x14ac:dyDescent="0.45"/>
  <sheetData>
    <row r="1" spans="1:107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6</v>
      </c>
      <c r="AX1" t="s">
        <v>6</v>
      </c>
      <c r="AY1" t="s">
        <v>6</v>
      </c>
      <c r="AZ1" t="s">
        <v>6</v>
      </c>
      <c r="BA1" t="s">
        <v>6</v>
      </c>
      <c r="BB1" t="s">
        <v>6</v>
      </c>
      <c r="BC1" t="s">
        <v>7</v>
      </c>
      <c r="BD1" t="s">
        <v>7</v>
      </c>
      <c r="BE1" t="s">
        <v>7</v>
      </c>
      <c r="BF1" t="s">
        <v>7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  <c r="BU1" t="s">
        <v>8</v>
      </c>
      <c r="BV1" t="s">
        <v>8</v>
      </c>
      <c r="BW1" t="s">
        <v>8</v>
      </c>
      <c r="BX1" t="s">
        <v>8</v>
      </c>
      <c r="BY1" t="s">
        <v>8</v>
      </c>
      <c r="BZ1" t="s">
        <v>8</v>
      </c>
      <c r="CA1" t="s">
        <v>8</v>
      </c>
      <c r="CB1" t="s">
        <v>8</v>
      </c>
      <c r="CC1" t="s">
        <v>9</v>
      </c>
      <c r="CD1" t="s">
        <v>9</v>
      </c>
      <c r="CE1" t="s">
        <v>9</v>
      </c>
      <c r="CF1" t="s">
        <v>9</v>
      </c>
      <c r="CG1" t="s">
        <v>9</v>
      </c>
      <c r="CH1" t="s">
        <v>9</v>
      </c>
      <c r="CI1" t="s">
        <v>9</v>
      </c>
      <c r="CJ1" t="s">
        <v>9</v>
      </c>
      <c r="CK1" t="s">
        <v>9</v>
      </c>
      <c r="CL1" t="s">
        <v>9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10</v>
      </c>
      <c r="CU1" t="s">
        <v>10</v>
      </c>
      <c r="CV1" t="s">
        <v>10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</row>
    <row r="2" spans="1:107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  <c r="AE2" t="s">
        <v>41</v>
      </c>
      <c r="AF2" t="s">
        <v>42</v>
      </c>
      <c r="AG2" t="s">
        <v>43</v>
      </c>
      <c r="AH2" t="s">
        <v>44</v>
      </c>
      <c r="AI2" t="s">
        <v>45</v>
      </c>
      <c r="AJ2" t="s">
        <v>46</v>
      </c>
      <c r="AK2" t="s">
        <v>47</v>
      </c>
      <c r="AL2" t="s">
        <v>48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54</v>
      </c>
      <c r="AS2" t="s">
        <v>55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  <c r="AY2" t="s">
        <v>61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  <c r="BE2" t="s">
        <v>67</v>
      </c>
      <c r="BF2" t="s">
        <v>68</v>
      </c>
      <c r="BG2" t="s">
        <v>69</v>
      </c>
      <c r="BH2" t="s">
        <v>70</v>
      </c>
      <c r="BI2" t="s">
        <v>71</v>
      </c>
      <c r="BJ2" t="s">
        <v>72</v>
      </c>
      <c r="BK2" t="s">
        <v>73</v>
      </c>
      <c r="BL2" t="s">
        <v>74</v>
      </c>
      <c r="BM2" t="s">
        <v>75</v>
      </c>
      <c r="BN2" t="s">
        <v>76</v>
      </c>
      <c r="BO2" t="s">
        <v>77</v>
      </c>
      <c r="BP2" t="s">
        <v>78</v>
      </c>
      <c r="BQ2" t="s">
        <v>79</v>
      </c>
      <c r="BR2" t="s">
        <v>80</v>
      </c>
      <c r="BS2" t="s">
        <v>81</v>
      </c>
      <c r="BT2" t="s">
        <v>82</v>
      </c>
      <c r="BU2" t="s">
        <v>83</v>
      </c>
      <c r="BV2" t="s">
        <v>84</v>
      </c>
      <c r="BW2" t="s">
        <v>85</v>
      </c>
      <c r="BX2" t="s">
        <v>86</v>
      </c>
      <c r="BY2" t="s">
        <v>87</v>
      </c>
      <c r="BZ2" t="s">
        <v>88</v>
      </c>
      <c r="CA2" t="s">
        <v>89</v>
      </c>
      <c r="CB2" t="s">
        <v>90</v>
      </c>
      <c r="CC2" t="s">
        <v>91</v>
      </c>
      <c r="CD2" t="s">
        <v>92</v>
      </c>
      <c r="CE2" t="s">
        <v>93</v>
      </c>
      <c r="CF2" t="s">
        <v>94</v>
      </c>
      <c r="CG2" t="s">
        <v>95</v>
      </c>
      <c r="CH2" t="s">
        <v>96</v>
      </c>
      <c r="CI2" t="s">
        <v>97</v>
      </c>
      <c r="CJ2" t="s">
        <v>98</v>
      </c>
      <c r="CK2" t="s">
        <v>99</v>
      </c>
      <c r="CL2" t="s">
        <v>100</v>
      </c>
      <c r="CM2" t="s">
        <v>101</v>
      </c>
      <c r="CN2" t="s">
        <v>102</v>
      </c>
      <c r="CO2" t="s">
        <v>103</v>
      </c>
      <c r="CP2" t="s">
        <v>104</v>
      </c>
      <c r="CQ2" t="s">
        <v>105</v>
      </c>
      <c r="CR2" t="s">
        <v>106</v>
      </c>
      <c r="CS2" t="s">
        <v>107</v>
      </c>
      <c r="CT2" t="s">
        <v>108</v>
      </c>
      <c r="CU2" t="s">
        <v>109</v>
      </c>
      <c r="CV2" t="s">
        <v>110</v>
      </c>
      <c r="CW2" t="s">
        <v>111</v>
      </c>
      <c r="CX2" t="s">
        <v>112</v>
      </c>
      <c r="CY2" t="s">
        <v>113</v>
      </c>
      <c r="CZ2" t="s">
        <v>114</v>
      </c>
      <c r="DA2" t="s">
        <v>115</v>
      </c>
      <c r="DB2" t="s">
        <v>116</v>
      </c>
      <c r="DC2" t="s">
        <v>117</v>
      </c>
    </row>
    <row r="3" spans="1:107" x14ac:dyDescent="0.45">
      <c r="A3" t="s">
        <v>19</v>
      </c>
      <c r="B3" t="s">
        <v>118</v>
      </c>
      <c r="C3" t="s">
        <v>119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120</v>
      </c>
      <c r="K3" t="s">
        <v>120</v>
      </c>
      <c r="L3" t="s">
        <v>120</v>
      </c>
      <c r="M3" t="s">
        <v>121</v>
      </c>
      <c r="N3" t="s">
        <v>122</v>
      </c>
      <c r="O3" t="s">
        <v>122</v>
      </c>
      <c r="P3" t="s">
        <v>122</v>
      </c>
      <c r="Q3" t="s">
        <v>122</v>
      </c>
      <c r="R3" t="s">
        <v>123</v>
      </c>
      <c r="S3" t="s">
        <v>123</v>
      </c>
      <c r="T3" t="s">
        <v>123</v>
      </c>
      <c r="U3" t="s">
        <v>124</v>
      </c>
      <c r="V3" t="s">
        <v>125</v>
      </c>
      <c r="W3" t="s">
        <v>19</v>
      </c>
      <c r="X3" t="s">
        <v>19</v>
      </c>
      <c r="Y3" t="s">
        <v>19</v>
      </c>
      <c r="Z3" t="s">
        <v>19</v>
      </c>
      <c r="AA3" t="s">
        <v>19</v>
      </c>
      <c r="AB3" t="s">
        <v>19</v>
      </c>
      <c r="AC3" t="s">
        <v>19</v>
      </c>
      <c r="AD3" t="s">
        <v>19</v>
      </c>
      <c r="AE3" t="s">
        <v>19</v>
      </c>
      <c r="AF3" t="s">
        <v>126</v>
      </c>
      <c r="AG3" t="s">
        <v>19</v>
      </c>
      <c r="AH3" t="s">
        <v>127</v>
      </c>
      <c r="AI3" t="s">
        <v>127</v>
      </c>
      <c r="AJ3" t="s">
        <v>128</v>
      </c>
      <c r="AK3" t="s">
        <v>128</v>
      </c>
      <c r="AL3" t="s">
        <v>128</v>
      </c>
      <c r="AM3" t="s">
        <v>122</v>
      </c>
      <c r="AN3" t="s">
        <v>129</v>
      </c>
      <c r="AO3" t="s">
        <v>129</v>
      </c>
      <c r="AP3" t="s">
        <v>127</v>
      </c>
      <c r="AQ3" t="s">
        <v>126</v>
      </c>
      <c r="AR3" t="s">
        <v>130</v>
      </c>
      <c r="AS3" t="s">
        <v>118</v>
      </c>
      <c r="AT3" t="s">
        <v>119</v>
      </c>
      <c r="AU3" t="s">
        <v>127</v>
      </c>
      <c r="AV3" t="s">
        <v>19</v>
      </c>
      <c r="AW3" t="s">
        <v>19</v>
      </c>
      <c r="AX3" t="s">
        <v>19</v>
      </c>
      <c r="AY3" t="s">
        <v>19</v>
      </c>
      <c r="AZ3" t="s">
        <v>19</v>
      </c>
      <c r="BA3" t="s">
        <v>19</v>
      </c>
      <c r="BB3" t="s">
        <v>19</v>
      </c>
      <c r="BC3" t="s">
        <v>19</v>
      </c>
      <c r="BD3" t="s">
        <v>129</v>
      </c>
      <c r="BE3" t="s">
        <v>131</v>
      </c>
      <c r="BF3" t="s">
        <v>132</v>
      </c>
      <c r="BG3" t="s">
        <v>19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19</v>
      </c>
      <c r="BN3" t="s">
        <v>19</v>
      </c>
      <c r="BO3" t="s">
        <v>19</v>
      </c>
      <c r="BP3" t="s">
        <v>126</v>
      </c>
      <c r="BQ3" t="s">
        <v>133</v>
      </c>
      <c r="BR3" t="s">
        <v>134</v>
      </c>
      <c r="BS3" t="s">
        <v>132</v>
      </c>
      <c r="BT3" t="s">
        <v>135</v>
      </c>
      <c r="BU3" t="s">
        <v>135</v>
      </c>
      <c r="BV3" t="s">
        <v>135</v>
      </c>
      <c r="BW3" t="s">
        <v>19</v>
      </c>
      <c r="BX3" t="s">
        <v>127</v>
      </c>
      <c r="BY3" t="s">
        <v>19</v>
      </c>
      <c r="BZ3" t="s">
        <v>19</v>
      </c>
      <c r="CA3" t="s">
        <v>19</v>
      </c>
      <c r="CB3" t="s">
        <v>19</v>
      </c>
      <c r="CC3" t="s">
        <v>130</v>
      </c>
      <c r="CD3" t="s">
        <v>130</v>
      </c>
      <c r="CE3" t="s">
        <v>130</v>
      </c>
      <c r="CF3" t="s">
        <v>130</v>
      </c>
      <c r="CG3" t="s">
        <v>130</v>
      </c>
      <c r="CH3" t="s">
        <v>130</v>
      </c>
      <c r="CI3" t="s">
        <v>130</v>
      </c>
      <c r="CJ3" t="s">
        <v>130</v>
      </c>
      <c r="CK3" t="s">
        <v>130</v>
      </c>
      <c r="CL3" t="s">
        <v>136</v>
      </c>
      <c r="CM3" t="s">
        <v>19</v>
      </c>
      <c r="CN3" t="s">
        <v>19</v>
      </c>
      <c r="CO3" t="s">
        <v>19</v>
      </c>
      <c r="CP3" t="s">
        <v>19</v>
      </c>
      <c r="CQ3" t="s">
        <v>19</v>
      </c>
      <c r="CR3" t="s">
        <v>19</v>
      </c>
      <c r="CS3" t="s">
        <v>19</v>
      </c>
      <c r="CT3" t="s">
        <v>19</v>
      </c>
      <c r="CU3" t="s">
        <v>19</v>
      </c>
      <c r="CV3" t="s">
        <v>19</v>
      </c>
      <c r="CW3" t="s">
        <v>19</v>
      </c>
      <c r="CX3" t="s">
        <v>19</v>
      </c>
      <c r="CY3" t="s">
        <v>19</v>
      </c>
      <c r="CZ3" t="s">
        <v>19</v>
      </c>
      <c r="DA3" t="s">
        <v>19</v>
      </c>
      <c r="DB3" t="s">
        <v>19</v>
      </c>
      <c r="DC3" t="s">
        <v>19</v>
      </c>
    </row>
    <row r="4" spans="1:107" x14ac:dyDescent="0.45">
      <c r="A4" t="s">
        <v>137</v>
      </c>
      <c r="B4" t="s">
        <v>138</v>
      </c>
      <c r="C4" t="s">
        <v>139</v>
      </c>
      <c r="D4" t="s">
        <v>76</v>
      </c>
      <c r="E4" t="s">
        <v>140</v>
      </c>
      <c r="F4" t="s">
        <v>19</v>
      </c>
      <c r="G4" t="s">
        <v>141</v>
      </c>
      <c r="H4" t="s">
        <v>19</v>
      </c>
      <c r="I4" t="s">
        <v>19</v>
      </c>
      <c r="J4">
        <v>4.8616737261269131E-2</v>
      </c>
      <c r="K4">
        <v>2.9050319999999994</v>
      </c>
      <c r="L4">
        <v>4.7816511048817456E-2</v>
      </c>
      <c r="M4">
        <v>0.60804754384540516</v>
      </c>
      <c r="N4" t="s">
        <v>142</v>
      </c>
      <c r="O4" t="s">
        <v>143</v>
      </c>
      <c r="P4">
        <v>2.4867436927280324</v>
      </c>
      <c r="Q4">
        <v>1.2682756927280323</v>
      </c>
      <c r="R4" t="s">
        <v>144</v>
      </c>
      <c r="S4" t="s">
        <v>145</v>
      </c>
      <c r="T4">
        <v>24.478233022226917</v>
      </c>
      <c r="U4">
        <v>0.4417875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151</v>
      </c>
      <c r="AC4" t="s">
        <v>151</v>
      </c>
      <c r="AD4" t="s">
        <v>152</v>
      </c>
      <c r="AE4" t="s">
        <v>153</v>
      </c>
      <c r="AF4">
        <v>0</v>
      </c>
      <c r="AG4" t="s">
        <v>154</v>
      </c>
      <c r="AH4" t="s">
        <v>155</v>
      </c>
      <c r="AI4" t="s">
        <v>156</v>
      </c>
      <c r="AJ4" t="s">
        <v>157</v>
      </c>
      <c r="AK4" t="s">
        <v>158</v>
      </c>
      <c r="AL4">
        <v>20.94</v>
      </c>
      <c r="AM4" t="s">
        <v>159</v>
      </c>
      <c r="AN4" t="s">
        <v>160</v>
      </c>
      <c r="AO4" t="s">
        <v>161</v>
      </c>
      <c r="AP4" t="s">
        <v>162</v>
      </c>
      <c r="AQ4" t="s">
        <v>163</v>
      </c>
      <c r="AR4" t="s">
        <v>164</v>
      </c>
      <c r="AS4" t="s">
        <v>165</v>
      </c>
      <c r="AT4" t="s">
        <v>139</v>
      </c>
      <c r="AU4" t="s">
        <v>166</v>
      </c>
      <c r="AV4" t="s">
        <v>137</v>
      </c>
      <c r="AW4" t="s">
        <v>167</v>
      </c>
      <c r="AX4" t="s">
        <v>168</v>
      </c>
      <c r="AY4" t="s">
        <v>169</v>
      </c>
      <c r="AZ4" t="s">
        <v>170</v>
      </c>
      <c r="BA4" t="s">
        <v>171</v>
      </c>
      <c r="BB4" t="s">
        <v>169</v>
      </c>
      <c r="BC4" t="s">
        <v>137</v>
      </c>
      <c r="BD4" t="s">
        <v>172</v>
      </c>
      <c r="BE4" t="s">
        <v>169</v>
      </c>
      <c r="BF4" t="s">
        <v>173</v>
      </c>
      <c r="BG4" t="s">
        <v>174</v>
      </c>
      <c r="BH4" t="s">
        <v>151</v>
      </c>
      <c r="BI4" t="s">
        <v>175</v>
      </c>
      <c r="BJ4" t="s">
        <v>151</v>
      </c>
      <c r="BK4" t="s">
        <v>151</v>
      </c>
      <c r="BL4" t="s">
        <v>176</v>
      </c>
      <c r="BM4" t="s">
        <v>177</v>
      </c>
      <c r="BN4" t="s">
        <v>137</v>
      </c>
      <c r="BO4" t="s">
        <v>178</v>
      </c>
      <c r="BP4" t="s">
        <v>179</v>
      </c>
      <c r="BQ4" t="s">
        <v>180</v>
      </c>
      <c r="BR4" t="s">
        <v>154</v>
      </c>
      <c r="BS4" t="s">
        <v>181</v>
      </c>
      <c r="BT4" t="s">
        <v>182</v>
      </c>
      <c r="BU4" t="s">
        <v>182</v>
      </c>
      <c r="BV4" t="s">
        <v>182</v>
      </c>
      <c r="BW4" t="s">
        <v>151</v>
      </c>
      <c r="BX4" t="s">
        <v>183</v>
      </c>
      <c r="BY4" t="s">
        <v>151</v>
      </c>
      <c r="BZ4" t="s">
        <v>151</v>
      </c>
      <c r="CA4" t="s">
        <v>151</v>
      </c>
      <c r="CB4" t="s">
        <v>151</v>
      </c>
      <c r="CC4" t="s">
        <v>184</v>
      </c>
      <c r="CD4" t="s">
        <v>185</v>
      </c>
      <c r="CE4" t="s">
        <v>186</v>
      </c>
      <c r="CF4" t="s">
        <v>187</v>
      </c>
      <c r="CG4" t="s">
        <v>188</v>
      </c>
      <c r="CH4" t="s">
        <v>189</v>
      </c>
      <c r="CI4" t="s">
        <v>190</v>
      </c>
      <c r="CJ4" t="s">
        <v>191</v>
      </c>
      <c r="CK4" t="s">
        <v>148</v>
      </c>
      <c r="CL4" t="s">
        <v>192</v>
      </c>
      <c r="CM4" t="s">
        <v>193</v>
      </c>
      <c r="CN4" t="s">
        <v>194</v>
      </c>
      <c r="CO4" t="s">
        <v>154</v>
      </c>
      <c r="CP4" t="s">
        <v>195</v>
      </c>
      <c r="CQ4" t="s">
        <v>196</v>
      </c>
      <c r="CR4" t="s">
        <v>154</v>
      </c>
      <c r="CS4" t="s">
        <v>197</v>
      </c>
      <c r="CT4" t="s">
        <v>198</v>
      </c>
      <c r="CU4" t="s">
        <v>199</v>
      </c>
      <c r="CV4" t="s">
        <v>151</v>
      </c>
      <c r="CW4" t="s">
        <v>147</v>
      </c>
      <c r="CX4" t="s">
        <v>200</v>
      </c>
      <c r="CY4" t="s">
        <v>201</v>
      </c>
      <c r="CZ4" t="s">
        <v>202</v>
      </c>
      <c r="DA4" t="s">
        <v>203</v>
      </c>
      <c r="DB4" t="s">
        <v>204</v>
      </c>
      <c r="DC4" t="s">
        <v>205</v>
      </c>
    </row>
    <row r="5" spans="1:107" x14ac:dyDescent="0.45">
      <c r="A5" t="s">
        <v>206</v>
      </c>
      <c r="B5" t="s">
        <v>207</v>
      </c>
      <c r="C5" t="s">
        <v>139</v>
      </c>
      <c r="D5" t="s">
        <v>76</v>
      </c>
      <c r="E5" t="s">
        <v>140</v>
      </c>
      <c r="F5" t="s">
        <v>19</v>
      </c>
      <c r="G5" t="s">
        <v>208</v>
      </c>
      <c r="H5" t="s">
        <v>19</v>
      </c>
      <c r="I5" t="s">
        <v>19</v>
      </c>
      <c r="J5">
        <v>9.7586509477177341E-2</v>
      </c>
      <c r="K5">
        <v>2.9034264800000003</v>
      </c>
      <c r="L5">
        <v>9.4413205374418926E-2</v>
      </c>
      <c r="M5">
        <v>1.1548685202310203</v>
      </c>
      <c r="N5" t="s">
        <v>209</v>
      </c>
      <c r="O5" t="s">
        <v>210</v>
      </c>
      <c r="P5">
        <v>2.5752397014653479</v>
      </c>
      <c r="Q5">
        <v>1.2186747014653478</v>
      </c>
      <c r="R5" t="s">
        <v>211</v>
      </c>
      <c r="S5" t="s">
        <v>212</v>
      </c>
      <c r="T5">
        <v>25.346847455367602</v>
      </c>
      <c r="U5">
        <v>0.4417875</v>
      </c>
      <c r="V5" t="s">
        <v>146</v>
      </c>
      <c r="W5" t="s">
        <v>213</v>
      </c>
      <c r="X5" t="s">
        <v>214</v>
      </c>
      <c r="Y5" t="s">
        <v>215</v>
      </c>
      <c r="Z5" t="s">
        <v>216</v>
      </c>
      <c r="AA5" t="s">
        <v>151</v>
      </c>
      <c r="AB5" t="s">
        <v>151</v>
      </c>
      <c r="AC5" t="s">
        <v>151</v>
      </c>
      <c r="AD5" t="s">
        <v>152</v>
      </c>
      <c r="AE5" t="s">
        <v>153</v>
      </c>
      <c r="AF5">
        <v>0</v>
      </c>
      <c r="AG5" t="s">
        <v>154</v>
      </c>
      <c r="AH5" t="s">
        <v>217</v>
      </c>
      <c r="AI5" t="s">
        <v>218</v>
      </c>
      <c r="AJ5" t="s">
        <v>219</v>
      </c>
      <c r="AK5" t="s">
        <v>220</v>
      </c>
      <c r="AL5">
        <v>21.51</v>
      </c>
      <c r="AM5" t="s">
        <v>221</v>
      </c>
      <c r="AN5" t="s">
        <v>222</v>
      </c>
      <c r="AO5" t="s">
        <v>160</v>
      </c>
      <c r="AP5" t="s">
        <v>223</v>
      </c>
      <c r="AQ5" t="s">
        <v>163</v>
      </c>
      <c r="AR5" t="s">
        <v>224</v>
      </c>
      <c r="AS5" t="s">
        <v>165</v>
      </c>
      <c r="AT5" t="s">
        <v>139</v>
      </c>
      <c r="AU5" t="s">
        <v>166</v>
      </c>
      <c r="AV5" t="s">
        <v>137</v>
      </c>
      <c r="AW5" t="s">
        <v>225</v>
      </c>
      <c r="AX5" t="s">
        <v>226</v>
      </c>
      <c r="AY5" t="s">
        <v>169</v>
      </c>
      <c r="AZ5" t="s">
        <v>227</v>
      </c>
      <c r="BA5" t="s">
        <v>228</v>
      </c>
      <c r="BB5" t="s">
        <v>169</v>
      </c>
      <c r="BC5" t="s">
        <v>137</v>
      </c>
      <c r="BD5" t="s">
        <v>172</v>
      </c>
      <c r="BE5" t="s">
        <v>169</v>
      </c>
      <c r="BF5" t="s">
        <v>173</v>
      </c>
      <c r="BG5" t="s">
        <v>174</v>
      </c>
      <c r="BH5" t="s">
        <v>151</v>
      </c>
      <c r="BI5" t="s">
        <v>175</v>
      </c>
      <c r="BJ5" t="s">
        <v>151</v>
      </c>
      <c r="BK5" t="s">
        <v>151</v>
      </c>
      <c r="BL5" t="s">
        <v>176</v>
      </c>
      <c r="BM5" t="s">
        <v>177</v>
      </c>
      <c r="BN5" t="s">
        <v>137</v>
      </c>
      <c r="BO5" t="s">
        <v>178</v>
      </c>
      <c r="BP5" t="s">
        <v>179</v>
      </c>
      <c r="BQ5" t="s">
        <v>180</v>
      </c>
      <c r="BR5" t="s">
        <v>154</v>
      </c>
      <c r="BS5" t="s">
        <v>181</v>
      </c>
      <c r="BT5" t="s">
        <v>182</v>
      </c>
      <c r="BU5" t="s">
        <v>182</v>
      </c>
      <c r="BV5" t="s">
        <v>182</v>
      </c>
      <c r="BW5" t="s">
        <v>151</v>
      </c>
      <c r="BX5" t="s">
        <v>183</v>
      </c>
      <c r="BY5" t="s">
        <v>151</v>
      </c>
      <c r="BZ5" t="s">
        <v>151</v>
      </c>
      <c r="CA5" t="s">
        <v>151</v>
      </c>
      <c r="CB5" t="s">
        <v>151</v>
      </c>
      <c r="CC5" t="s">
        <v>229</v>
      </c>
      <c r="CD5" t="s">
        <v>230</v>
      </c>
      <c r="CE5" t="s">
        <v>231</v>
      </c>
      <c r="CF5" t="s">
        <v>232</v>
      </c>
      <c r="CG5" t="s">
        <v>233</v>
      </c>
      <c r="CH5" t="s">
        <v>234</v>
      </c>
      <c r="CI5" t="s">
        <v>235</v>
      </c>
      <c r="CJ5" t="s">
        <v>236</v>
      </c>
      <c r="CK5" t="s">
        <v>214</v>
      </c>
      <c r="CL5" t="s">
        <v>237</v>
      </c>
      <c r="CM5" t="s">
        <v>193</v>
      </c>
      <c r="CN5" t="s">
        <v>194</v>
      </c>
      <c r="CO5" t="s">
        <v>154</v>
      </c>
      <c r="CP5" t="s">
        <v>195</v>
      </c>
      <c r="CQ5" t="s">
        <v>196</v>
      </c>
      <c r="CR5" t="s">
        <v>154</v>
      </c>
      <c r="CS5" t="s">
        <v>197</v>
      </c>
      <c r="CT5" t="s">
        <v>198</v>
      </c>
      <c r="CU5" t="s">
        <v>199</v>
      </c>
      <c r="CV5" t="s">
        <v>151</v>
      </c>
      <c r="CW5" t="s">
        <v>213</v>
      </c>
      <c r="CX5" t="s">
        <v>200</v>
      </c>
      <c r="CY5" t="s">
        <v>201</v>
      </c>
      <c r="CZ5" t="s">
        <v>202</v>
      </c>
      <c r="DA5" t="s">
        <v>203</v>
      </c>
      <c r="DB5" t="s">
        <v>204</v>
      </c>
      <c r="DC5" t="s">
        <v>205</v>
      </c>
    </row>
    <row r="6" spans="1:107" x14ac:dyDescent="0.45">
      <c r="A6" t="s">
        <v>238</v>
      </c>
      <c r="B6" t="s">
        <v>239</v>
      </c>
      <c r="C6" t="s">
        <v>139</v>
      </c>
      <c r="D6" t="s">
        <v>76</v>
      </c>
      <c r="E6" t="s">
        <v>140</v>
      </c>
      <c r="F6" t="s">
        <v>19</v>
      </c>
      <c r="G6" t="s">
        <v>240</v>
      </c>
      <c r="H6" t="s">
        <v>19</v>
      </c>
      <c r="I6" t="s">
        <v>19</v>
      </c>
      <c r="J6">
        <v>6.7746122594704486E-2</v>
      </c>
      <c r="K6">
        <v>2.9050319999999994</v>
      </c>
      <c r="L6">
        <v>6.6202268012442264E-2</v>
      </c>
      <c r="M6">
        <v>0.79079999192966055</v>
      </c>
      <c r="N6" t="s">
        <v>241</v>
      </c>
      <c r="O6" t="s">
        <v>242</v>
      </c>
      <c r="P6">
        <v>2.5005371303371713</v>
      </c>
      <c r="Q6">
        <v>1.1910031303371713</v>
      </c>
      <c r="R6" t="s">
        <v>243</v>
      </c>
      <c r="S6" t="s">
        <v>244</v>
      </c>
      <c r="T6">
        <v>24.609163766727399</v>
      </c>
      <c r="U6">
        <v>0.4417875</v>
      </c>
      <c r="V6" t="s">
        <v>146</v>
      </c>
      <c r="W6" t="s">
        <v>245</v>
      </c>
      <c r="X6" t="s">
        <v>246</v>
      </c>
      <c r="Y6" t="s">
        <v>247</v>
      </c>
      <c r="Z6" t="s">
        <v>248</v>
      </c>
      <c r="AA6" t="s">
        <v>151</v>
      </c>
      <c r="AB6" t="s">
        <v>151</v>
      </c>
      <c r="AC6" t="s">
        <v>151</v>
      </c>
      <c r="AD6" t="s">
        <v>152</v>
      </c>
      <c r="AE6" t="s">
        <v>153</v>
      </c>
      <c r="AF6">
        <v>0</v>
      </c>
      <c r="AG6" t="s">
        <v>154</v>
      </c>
      <c r="AH6" t="s">
        <v>249</v>
      </c>
      <c r="AI6" t="s">
        <v>250</v>
      </c>
      <c r="AJ6" t="s">
        <v>251</v>
      </c>
      <c r="AK6" t="s">
        <v>252</v>
      </c>
      <c r="AL6">
        <v>21.03</v>
      </c>
      <c r="AM6" t="s">
        <v>253</v>
      </c>
      <c r="AN6" t="s">
        <v>160</v>
      </c>
      <c r="AO6" t="s">
        <v>254</v>
      </c>
      <c r="AP6" t="s">
        <v>255</v>
      </c>
      <c r="AQ6" t="s">
        <v>163</v>
      </c>
      <c r="AR6" t="s">
        <v>256</v>
      </c>
      <c r="AS6" t="s">
        <v>165</v>
      </c>
      <c r="AT6" t="s">
        <v>139</v>
      </c>
      <c r="AU6" t="s">
        <v>166</v>
      </c>
      <c r="AV6" t="s">
        <v>137</v>
      </c>
      <c r="AW6" t="s">
        <v>225</v>
      </c>
      <c r="AX6" t="s">
        <v>257</v>
      </c>
      <c r="AY6" t="s">
        <v>169</v>
      </c>
      <c r="AZ6" t="s">
        <v>258</v>
      </c>
      <c r="BA6" t="s">
        <v>225</v>
      </c>
      <c r="BB6" t="s">
        <v>169</v>
      </c>
      <c r="BC6" t="s">
        <v>137</v>
      </c>
      <c r="BD6" t="s">
        <v>172</v>
      </c>
      <c r="BE6" t="s">
        <v>169</v>
      </c>
      <c r="BF6" t="s">
        <v>173</v>
      </c>
      <c r="BG6" t="s">
        <v>174</v>
      </c>
      <c r="BH6" t="s">
        <v>151</v>
      </c>
      <c r="BI6" t="s">
        <v>175</v>
      </c>
      <c r="BJ6" t="s">
        <v>151</v>
      </c>
      <c r="BK6" t="s">
        <v>151</v>
      </c>
      <c r="BL6" t="s">
        <v>176</v>
      </c>
      <c r="BM6" t="s">
        <v>177</v>
      </c>
      <c r="BN6" t="s">
        <v>137</v>
      </c>
      <c r="BO6" t="s">
        <v>178</v>
      </c>
      <c r="BP6" t="s">
        <v>179</v>
      </c>
      <c r="BQ6" t="s">
        <v>180</v>
      </c>
      <c r="BR6" t="s">
        <v>154</v>
      </c>
      <c r="BS6" t="s">
        <v>181</v>
      </c>
      <c r="BT6" t="s">
        <v>182</v>
      </c>
      <c r="BU6" t="s">
        <v>182</v>
      </c>
      <c r="BV6" t="s">
        <v>182</v>
      </c>
      <c r="BW6" t="s">
        <v>151</v>
      </c>
      <c r="BX6" t="s">
        <v>183</v>
      </c>
      <c r="BY6" t="s">
        <v>151</v>
      </c>
      <c r="BZ6" t="s">
        <v>151</v>
      </c>
      <c r="CA6" t="s">
        <v>151</v>
      </c>
      <c r="CB6" t="s">
        <v>151</v>
      </c>
      <c r="CC6" t="s">
        <v>259</v>
      </c>
      <c r="CD6" t="s">
        <v>260</v>
      </c>
      <c r="CE6" t="s">
        <v>261</v>
      </c>
      <c r="CF6" t="s">
        <v>262</v>
      </c>
      <c r="CG6" t="s">
        <v>263</v>
      </c>
      <c r="CH6" t="s">
        <v>264</v>
      </c>
      <c r="CI6" t="s">
        <v>265</v>
      </c>
      <c r="CJ6" t="s">
        <v>266</v>
      </c>
      <c r="CK6" t="s">
        <v>246</v>
      </c>
      <c r="CL6" t="s">
        <v>267</v>
      </c>
      <c r="CM6" t="s">
        <v>193</v>
      </c>
      <c r="CN6" t="s">
        <v>194</v>
      </c>
      <c r="CO6" t="s">
        <v>154</v>
      </c>
      <c r="CP6" t="s">
        <v>195</v>
      </c>
      <c r="CQ6" t="s">
        <v>196</v>
      </c>
      <c r="CR6" t="s">
        <v>154</v>
      </c>
      <c r="CS6" t="s">
        <v>197</v>
      </c>
      <c r="CT6" t="s">
        <v>198</v>
      </c>
      <c r="CU6" t="s">
        <v>199</v>
      </c>
      <c r="CV6" t="s">
        <v>151</v>
      </c>
      <c r="CW6" t="s">
        <v>245</v>
      </c>
      <c r="CX6" t="s">
        <v>200</v>
      </c>
      <c r="CY6" t="s">
        <v>201</v>
      </c>
      <c r="CZ6" t="s">
        <v>202</v>
      </c>
      <c r="DA6" t="s">
        <v>203</v>
      </c>
      <c r="DB6" t="s">
        <v>204</v>
      </c>
      <c r="DC6" t="s">
        <v>205</v>
      </c>
    </row>
    <row r="7" spans="1:107" x14ac:dyDescent="0.45">
      <c r="A7" t="s">
        <v>268</v>
      </c>
      <c r="B7" t="s">
        <v>269</v>
      </c>
      <c r="C7" t="s">
        <v>139</v>
      </c>
      <c r="D7" t="s">
        <v>76</v>
      </c>
      <c r="E7" t="s">
        <v>140</v>
      </c>
      <c r="F7" t="s">
        <v>19</v>
      </c>
      <c r="G7" t="s">
        <v>270</v>
      </c>
      <c r="H7" t="s">
        <v>19</v>
      </c>
      <c r="I7" t="s">
        <v>19</v>
      </c>
      <c r="J7">
        <v>0.32323100244142045</v>
      </c>
      <c r="K7">
        <v>2.9042299199999997</v>
      </c>
      <c r="L7">
        <v>0.29085933832216826</v>
      </c>
      <c r="M7">
        <v>2.8053214234491506</v>
      </c>
      <c r="N7" t="s">
        <v>271</v>
      </c>
      <c r="O7" t="s">
        <v>272</v>
      </c>
      <c r="P7">
        <v>2.4202639165194331</v>
      </c>
      <c r="Q7">
        <v>0.96137291651943313</v>
      </c>
      <c r="R7" t="s">
        <v>273</v>
      </c>
      <c r="S7" t="s">
        <v>274</v>
      </c>
      <c r="T7">
        <v>23.816806893519317</v>
      </c>
      <c r="U7">
        <v>0.4417875</v>
      </c>
      <c r="V7" t="s">
        <v>146</v>
      </c>
      <c r="W7" t="s">
        <v>275</v>
      </c>
      <c r="X7" t="s">
        <v>276</v>
      </c>
      <c r="Y7" t="s">
        <v>277</v>
      </c>
      <c r="Z7" t="s">
        <v>278</v>
      </c>
      <c r="AA7" t="s">
        <v>151</v>
      </c>
      <c r="AB7" t="s">
        <v>151</v>
      </c>
      <c r="AC7" t="s">
        <v>151</v>
      </c>
      <c r="AD7" t="s">
        <v>152</v>
      </c>
      <c r="AE7" t="s">
        <v>153</v>
      </c>
      <c r="AF7">
        <v>0</v>
      </c>
      <c r="AG7" t="s">
        <v>154</v>
      </c>
      <c r="AH7" t="s">
        <v>279</v>
      </c>
      <c r="AI7" t="s">
        <v>280</v>
      </c>
      <c r="AJ7" t="s">
        <v>281</v>
      </c>
      <c r="AK7" t="s">
        <v>282</v>
      </c>
      <c r="AL7">
        <v>20.5</v>
      </c>
      <c r="AM7" t="s">
        <v>283</v>
      </c>
      <c r="AN7" t="s">
        <v>284</v>
      </c>
      <c r="AO7" t="s">
        <v>285</v>
      </c>
      <c r="AP7" t="s">
        <v>286</v>
      </c>
      <c r="AQ7" t="s">
        <v>163</v>
      </c>
      <c r="AR7" t="s">
        <v>287</v>
      </c>
      <c r="AS7" t="s">
        <v>165</v>
      </c>
      <c r="AT7" t="s">
        <v>139</v>
      </c>
      <c r="AU7" t="s">
        <v>166</v>
      </c>
      <c r="AV7" t="s">
        <v>137</v>
      </c>
      <c r="AW7" t="s">
        <v>288</v>
      </c>
      <c r="AX7" t="s">
        <v>289</v>
      </c>
      <c r="AY7" t="s">
        <v>169</v>
      </c>
      <c r="AZ7" t="s">
        <v>290</v>
      </c>
      <c r="BA7" t="s">
        <v>291</v>
      </c>
      <c r="BB7" t="s">
        <v>169</v>
      </c>
      <c r="BC7" t="s">
        <v>137</v>
      </c>
      <c r="BD7" t="s">
        <v>172</v>
      </c>
      <c r="BE7" t="s">
        <v>169</v>
      </c>
      <c r="BF7" t="s">
        <v>173</v>
      </c>
      <c r="BG7" t="s">
        <v>174</v>
      </c>
      <c r="BH7" t="s">
        <v>151</v>
      </c>
      <c r="BI7" t="s">
        <v>175</v>
      </c>
      <c r="BJ7" t="s">
        <v>151</v>
      </c>
      <c r="BK7" t="s">
        <v>151</v>
      </c>
      <c r="BL7" t="s">
        <v>176</v>
      </c>
      <c r="BM7" t="s">
        <v>177</v>
      </c>
      <c r="BN7" t="s">
        <v>137</v>
      </c>
      <c r="BO7" t="s">
        <v>178</v>
      </c>
      <c r="BP7" t="s">
        <v>179</v>
      </c>
      <c r="BQ7" t="s">
        <v>180</v>
      </c>
      <c r="BR7" t="s">
        <v>154</v>
      </c>
      <c r="BS7" t="s">
        <v>181</v>
      </c>
      <c r="BT7" t="s">
        <v>182</v>
      </c>
      <c r="BU7" t="s">
        <v>182</v>
      </c>
      <c r="BV7" t="s">
        <v>182</v>
      </c>
      <c r="BW7" t="s">
        <v>151</v>
      </c>
      <c r="BX7" t="s">
        <v>183</v>
      </c>
      <c r="BY7" t="s">
        <v>151</v>
      </c>
      <c r="BZ7" t="s">
        <v>151</v>
      </c>
      <c r="CA7" t="s">
        <v>151</v>
      </c>
      <c r="CB7" t="s">
        <v>151</v>
      </c>
      <c r="CC7" t="s">
        <v>292</v>
      </c>
      <c r="CD7" t="s">
        <v>293</v>
      </c>
      <c r="CE7" t="s">
        <v>294</v>
      </c>
      <c r="CF7" t="s">
        <v>295</v>
      </c>
      <c r="CG7" t="s">
        <v>296</v>
      </c>
      <c r="CH7" t="s">
        <v>297</v>
      </c>
      <c r="CI7" t="s">
        <v>298</v>
      </c>
      <c r="CJ7" t="s">
        <v>299</v>
      </c>
      <c r="CK7" t="s">
        <v>276</v>
      </c>
      <c r="CL7" t="s">
        <v>192</v>
      </c>
      <c r="CM7" t="s">
        <v>193</v>
      </c>
      <c r="CN7" t="s">
        <v>194</v>
      </c>
      <c r="CO7" t="s">
        <v>154</v>
      </c>
      <c r="CP7" t="s">
        <v>195</v>
      </c>
      <c r="CQ7" t="s">
        <v>196</v>
      </c>
      <c r="CR7" t="s">
        <v>154</v>
      </c>
      <c r="CS7" t="s">
        <v>197</v>
      </c>
      <c r="CT7" t="s">
        <v>198</v>
      </c>
      <c r="CU7" t="s">
        <v>199</v>
      </c>
      <c r="CV7" t="s">
        <v>151</v>
      </c>
      <c r="CW7" t="s">
        <v>275</v>
      </c>
      <c r="CX7" t="s">
        <v>200</v>
      </c>
      <c r="CY7" t="s">
        <v>201</v>
      </c>
      <c r="CZ7" t="s">
        <v>202</v>
      </c>
      <c r="DA7" t="s">
        <v>203</v>
      </c>
      <c r="DB7" t="s">
        <v>204</v>
      </c>
      <c r="DC7" t="s">
        <v>205</v>
      </c>
    </row>
    <row r="8" spans="1:107" x14ac:dyDescent="0.45">
      <c r="A8" t="s">
        <v>180</v>
      </c>
      <c r="B8" t="s">
        <v>300</v>
      </c>
      <c r="C8" t="s">
        <v>139</v>
      </c>
      <c r="D8" t="s">
        <v>76</v>
      </c>
      <c r="E8" t="s">
        <v>140</v>
      </c>
      <c r="F8" t="s">
        <v>19</v>
      </c>
      <c r="G8" t="s">
        <v>301</v>
      </c>
      <c r="H8" t="s">
        <v>19</v>
      </c>
      <c r="I8" t="s">
        <v>19</v>
      </c>
      <c r="J8">
        <v>4.326294996510599E-2</v>
      </c>
      <c r="K8">
        <v>2.9042299199999997</v>
      </c>
      <c r="L8">
        <v>4.26279415283577E-2</v>
      </c>
      <c r="M8">
        <v>0.54212566409457619</v>
      </c>
      <c r="N8" t="s">
        <v>302</v>
      </c>
      <c r="O8" t="s">
        <v>303</v>
      </c>
      <c r="P8">
        <v>2.6778787160859481</v>
      </c>
      <c r="Q8">
        <v>1.2663737160859481</v>
      </c>
      <c r="R8" t="s">
        <v>304</v>
      </c>
      <c r="S8" t="s">
        <v>305</v>
      </c>
      <c r="T8">
        <v>26.351886597972328</v>
      </c>
      <c r="U8">
        <v>0.4417875</v>
      </c>
      <c r="V8" t="s">
        <v>146</v>
      </c>
      <c r="W8" t="s">
        <v>306</v>
      </c>
      <c r="X8" t="s">
        <v>307</v>
      </c>
      <c r="Y8" t="s">
        <v>308</v>
      </c>
      <c r="Z8" t="s">
        <v>309</v>
      </c>
      <c r="AA8" t="s">
        <v>151</v>
      </c>
      <c r="AB8" t="s">
        <v>151</v>
      </c>
      <c r="AC8" t="s">
        <v>151</v>
      </c>
      <c r="AD8" t="s">
        <v>152</v>
      </c>
      <c r="AE8" t="s">
        <v>153</v>
      </c>
      <c r="AF8">
        <v>0</v>
      </c>
      <c r="AG8" t="s">
        <v>154</v>
      </c>
      <c r="AH8" t="s">
        <v>310</v>
      </c>
      <c r="AI8" t="s">
        <v>311</v>
      </c>
      <c r="AJ8" t="s">
        <v>312</v>
      </c>
      <c r="AK8" t="s">
        <v>313</v>
      </c>
      <c r="AL8">
        <v>22.15</v>
      </c>
      <c r="AM8" t="s">
        <v>283</v>
      </c>
      <c r="AN8" t="s">
        <v>284</v>
      </c>
      <c r="AO8" t="s">
        <v>314</v>
      </c>
      <c r="AP8" t="s">
        <v>315</v>
      </c>
      <c r="AQ8" t="s">
        <v>163</v>
      </c>
      <c r="AR8" t="s">
        <v>316</v>
      </c>
      <c r="AS8" t="s">
        <v>165</v>
      </c>
      <c r="AT8" t="s">
        <v>139</v>
      </c>
      <c r="AU8" t="s">
        <v>166</v>
      </c>
      <c r="AV8" t="s">
        <v>137</v>
      </c>
      <c r="AW8" t="s">
        <v>317</v>
      </c>
      <c r="AX8" t="s">
        <v>318</v>
      </c>
      <c r="AY8" t="s">
        <v>169</v>
      </c>
      <c r="AZ8" t="s">
        <v>319</v>
      </c>
      <c r="BA8" t="s">
        <v>320</v>
      </c>
      <c r="BB8" t="s">
        <v>169</v>
      </c>
      <c r="BC8" t="s">
        <v>137</v>
      </c>
      <c r="BD8" t="s">
        <v>172</v>
      </c>
      <c r="BE8" t="s">
        <v>169</v>
      </c>
      <c r="BF8" t="s">
        <v>173</v>
      </c>
      <c r="BG8" t="s">
        <v>174</v>
      </c>
      <c r="BH8" t="s">
        <v>151</v>
      </c>
      <c r="BI8" t="s">
        <v>175</v>
      </c>
      <c r="BJ8" t="s">
        <v>151</v>
      </c>
      <c r="BK8" t="s">
        <v>151</v>
      </c>
      <c r="BL8" t="s">
        <v>176</v>
      </c>
      <c r="BM8" t="s">
        <v>177</v>
      </c>
      <c r="BN8" t="s">
        <v>137</v>
      </c>
      <c r="BO8" t="s">
        <v>178</v>
      </c>
      <c r="BP8" t="s">
        <v>179</v>
      </c>
      <c r="BQ8" t="s">
        <v>180</v>
      </c>
      <c r="BR8" t="s">
        <v>154</v>
      </c>
      <c r="BS8" t="s">
        <v>181</v>
      </c>
      <c r="BT8" t="s">
        <v>182</v>
      </c>
      <c r="BU8" t="s">
        <v>182</v>
      </c>
      <c r="BV8" t="s">
        <v>182</v>
      </c>
      <c r="BW8" t="s">
        <v>151</v>
      </c>
      <c r="BX8" t="s">
        <v>183</v>
      </c>
      <c r="BY8" t="s">
        <v>151</v>
      </c>
      <c r="BZ8" t="s">
        <v>151</v>
      </c>
      <c r="CA8" t="s">
        <v>151</v>
      </c>
      <c r="CB8" t="s">
        <v>151</v>
      </c>
      <c r="CC8" t="s">
        <v>321</v>
      </c>
      <c r="CD8" t="s">
        <v>322</v>
      </c>
      <c r="CE8" t="s">
        <v>323</v>
      </c>
      <c r="CF8" t="s">
        <v>324</v>
      </c>
      <c r="CG8" t="s">
        <v>325</v>
      </c>
      <c r="CH8" t="s">
        <v>326</v>
      </c>
      <c r="CI8" t="s">
        <v>327</v>
      </c>
      <c r="CJ8" t="s">
        <v>328</v>
      </c>
      <c r="CK8" t="s">
        <v>307</v>
      </c>
      <c r="CL8" t="s">
        <v>329</v>
      </c>
      <c r="CM8" t="s">
        <v>193</v>
      </c>
      <c r="CN8" t="s">
        <v>194</v>
      </c>
      <c r="CO8" t="s">
        <v>154</v>
      </c>
      <c r="CP8" t="s">
        <v>195</v>
      </c>
      <c r="CQ8" t="s">
        <v>196</v>
      </c>
      <c r="CR8" t="s">
        <v>154</v>
      </c>
      <c r="CS8" t="s">
        <v>197</v>
      </c>
      <c r="CT8" t="s">
        <v>198</v>
      </c>
      <c r="CU8" t="s">
        <v>199</v>
      </c>
      <c r="CV8" t="s">
        <v>151</v>
      </c>
      <c r="CW8" t="s">
        <v>306</v>
      </c>
      <c r="CX8" t="s">
        <v>200</v>
      </c>
      <c r="CY8" t="s">
        <v>201</v>
      </c>
      <c r="CZ8" t="s">
        <v>202</v>
      </c>
      <c r="DA8" t="s">
        <v>203</v>
      </c>
      <c r="DB8" t="s">
        <v>204</v>
      </c>
      <c r="DC8" t="s">
        <v>205</v>
      </c>
    </row>
    <row r="9" spans="1:107" x14ac:dyDescent="0.45">
      <c r="A9" t="s">
        <v>330</v>
      </c>
      <c r="B9" t="s">
        <v>331</v>
      </c>
      <c r="C9" t="s">
        <v>139</v>
      </c>
      <c r="D9" t="s">
        <v>76</v>
      </c>
      <c r="E9" t="s">
        <v>140</v>
      </c>
      <c r="F9" t="s">
        <v>19</v>
      </c>
      <c r="G9" t="s">
        <v>332</v>
      </c>
      <c r="H9" t="s">
        <v>19</v>
      </c>
      <c r="I9" t="s">
        <v>19</v>
      </c>
      <c r="J9">
        <v>0.10804142426906763</v>
      </c>
      <c r="K9">
        <v>2.9058327199999998</v>
      </c>
      <c r="L9">
        <v>0.10416835299955725</v>
      </c>
      <c r="M9">
        <v>1.08211944615325</v>
      </c>
      <c r="N9" t="s">
        <v>333</v>
      </c>
      <c r="O9" t="s">
        <v>334</v>
      </c>
      <c r="P9">
        <v>2.453306572242393</v>
      </c>
      <c r="Q9">
        <v>1.035480572242393</v>
      </c>
      <c r="R9" t="s">
        <v>335</v>
      </c>
      <c r="S9" t="s">
        <v>336</v>
      </c>
      <c r="T9">
        <v>24.14196587524496</v>
      </c>
      <c r="U9">
        <v>0.4417875</v>
      </c>
      <c r="V9" t="s">
        <v>146</v>
      </c>
      <c r="W9" t="s">
        <v>337</v>
      </c>
      <c r="X9" t="s">
        <v>338</v>
      </c>
      <c r="Y9" t="s">
        <v>339</v>
      </c>
      <c r="Z9" t="s">
        <v>340</v>
      </c>
      <c r="AA9" t="s">
        <v>151</v>
      </c>
      <c r="AB9" t="s">
        <v>151</v>
      </c>
      <c r="AC9" t="s">
        <v>151</v>
      </c>
      <c r="AD9" t="s">
        <v>152</v>
      </c>
      <c r="AE9" t="s">
        <v>153</v>
      </c>
      <c r="AF9">
        <v>0</v>
      </c>
      <c r="AG9" t="s">
        <v>154</v>
      </c>
      <c r="AH9" t="s">
        <v>341</v>
      </c>
      <c r="AI9" t="s">
        <v>342</v>
      </c>
      <c r="AJ9" t="s">
        <v>343</v>
      </c>
      <c r="AK9" t="s">
        <v>344</v>
      </c>
      <c r="AL9">
        <v>20.72</v>
      </c>
      <c r="AM9" t="s">
        <v>283</v>
      </c>
      <c r="AN9" t="s">
        <v>345</v>
      </c>
      <c r="AO9" t="s">
        <v>346</v>
      </c>
      <c r="AP9" t="s">
        <v>347</v>
      </c>
      <c r="AQ9" t="s">
        <v>163</v>
      </c>
      <c r="AR9" t="s">
        <v>316</v>
      </c>
      <c r="AS9" t="s">
        <v>165</v>
      </c>
      <c r="AT9" t="s">
        <v>139</v>
      </c>
      <c r="AU9" t="s">
        <v>166</v>
      </c>
      <c r="AV9" t="s">
        <v>137</v>
      </c>
      <c r="AW9" t="s">
        <v>348</v>
      </c>
      <c r="AX9" t="s">
        <v>349</v>
      </c>
      <c r="AY9" t="s">
        <v>169</v>
      </c>
      <c r="AZ9" t="s">
        <v>350</v>
      </c>
      <c r="BA9" t="s">
        <v>351</v>
      </c>
      <c r="BB9" t="s">
        <v>169</v>
      </c>
      <c r="BC9" t="s">
        <v>137</v>
      </c>
      <c r="BD9" t="s">
        <v>172</v>
      </c>
      <c r="BE9" t="s">
        <v>169</v>
      </c>
      <c r="BF9" t="s">
        <v>173</v>
      </c>
      <c r="BG9" t="s">
        <v>174</v>
      </c>
      <c r="BH9" t="s">
        <v>151</v>
      </c>
      <c r="BI9" t="s">
        <v>175</v>
      </c>
      <c r="BJ9" t="s">
        <v>151</v>
      </c>
      <c r="BK9" t="s">
        <v>151</v>
      </c>
      <c r="BL9" t="s">
        <v>176</v>
      </c>
      <c r="BM9" t="s">
        <v>177</v>
      </c>
      <c r="BN9" t="s">
        <v>137</v>
      </c>
      <c r="BO9" t="s">
        <v>178</v>
      </c>
      <c r="BP9" t="s">
        <v>179</v>
      </c>
      <c r="BQ9" t="s">
        <v>180</v>
      </c>
      <c r="BR9" t="s">
        <v>154</v>
      </c>
      <c r="BS9" t="s">
        <v>181</v>
      </c>
      <c r="BT9" t="s">
        <v>182</v>
      </c>
      <c r="BU9" t="s">
        <v>182</v>
      </c>
      <c r="BV9" t="s">
        <v>182</v>
      </c>
      <c r="BW9" t="s">
        <v>151</v>
      </c>
      <c r="BX9" t="s">
        <v>183</v>
      </c>
      <c r="BY9" t="s">
        <v>151</v>
      </c>
      <c r="BZ9" t="s">
        <v>151</v>
      </c>
      <c r="CA9" t="s">
        <v>151</v>
      </c>
      <c r="CB9" t="s">
        <v>151</v>
      </c>
      <c r="CC9" t="s">
        <v>352</v>
      </c>
      <c r="CD9" t="s">
        <v>353</v>
      </c>
      <c r="CE9" t="s">
        <v>354</v>
      </c>
      <c r="CF9" t="s">
        <v>355</v>
      </c>
      <c r="CG9" t="s">
        <v>356</v>
      </c>
      <c r="CH9" t="s">
        <v>357</v>
      </c>
      <c r="CI9" t="s">
        <v>358</v>
      </c>
      <c r="CJ9" t="s">
        <v>299</v>
      </c>
      <c r="CK9" t="s">
        <v>338</v>
      </c>
      <c r="CL9" t="s">
        <v>359</v>
      </c>
      <c r="CM9" t="s">
        <v>193</v>
      </c>
      <c r="CN9" t="s">
        <v>194</v>
      </c>
      <c r="CO9" t="s">
        <v>154</v>
      </c>
      <c r="CP9" t="s">
        <v>195</v>
      </c>
      <c r="CQ9" t="s">
        <v>196</v>
      </c>
      <c r="CR9" t="s">
        <v>154</v>
      </c>
      <c r="CS9" t="s">
        <v>197</v>
      </c>
      <c r="CT9" t="s">
        <v>198</v>
      </c>
      <c r="CU9" t="s">
        <v>199</v>
      </c>
      <c r="CV9" t="s">
        <v>151</v>
      </c>
      <c r="CW9" t="s">
        <v>337</v>
      </c>
      <c r="CX9" t="s">
        <v>200</v>
      </c>
      <c r="CY9" t="s">
        <v>201</v>
      </c>
      <c r="CZ9" t="s">
        <v>202</v>
      </c>
      <c r="DA9" t="s">
        <v>203</v>
      </c>
      <c r="DB9" t="s">
        <v>204</v>
      </c>
      <c r="DC9" t="s">
        <v>205</v>
      </c>
    </row>
    <row r="10" spans="1:107" x14ac:dyDescent="0.45">
      <c r="A10" t="s">
        <v>360</v>
      </c>
      <c r="B10" t="s">
        <v>361</v>
      </c>
      <c r="C10" t="s">
        <v>139</v>
      </c>
      <c r="D10" t="s">
        <v>76</v>
      </c>
      <c r="E10" t="s">
        <v>140</v>
      </c>
      <c r="F10" t="s">
        <v>19</v>
      </c>
      <c r="G10" t="s">
        <v>362</v>
      </c>
      <c r="H10" t="s">
        <v>19</v>
      </c>
      <c r="I10" t="s">
        <v>19</v>
      </c>
      <c r="J10">
        <v>5.452028745983438E-2</v>
      </c>
      <c r="K10">
        <v>2.9034264800000003</v>
      </c>
      <c r="L10">
        <v>5.3515380347440467E-2</v>
      </c>
      <c r="M10">
        <v>0.60861770296742967</v>
      </c>
      <c r="N10" t="s">
        <v>363</v>
      </c>
      <c r="O10" t="s">
        <v>364</v>
      </c>
      <c r="P10">
        <v>2.5705141988099327</v>
      </c>
      <c r="Q10">
        <v>1.1330581988099326</v>
      </c>
      <c r="R10" t="s">
        <v>365</v>
      </c>
      <c r="S10" t="s">
        <v>366</v>
      </c>
      <c r="T10">
        <v>25.292868235854893</v>
      </c>
      <c r="U10">
        <v>0.4417875</v>
      </c>
      <c r="V10" t="s">
        <v>146</v>
      </c>
      <c r="W10" t="s">
        <v>367</v>
      </c>
      <c r="X10" t="s">
        <v>368</v>
      </c>
      <c r="Y10" t="s">
        <v>369</v>
      </c>
      <c r="Z10" t="s">
        <v>370</v>
      </c>
      <c r="AA10" t="s">
        <v>151</v>
      </c>
      <c r="AB10" t="s">
        <v>151</v>
      </c>
      <c r="AC10" t="s">
        <v>151</v>
      </c>
      <c r="AD10" t="s">
        <v>152</v>
      </c>
      <c r="AE10" t="s">
        <v>153</v>
      </c>
      <c r="AF10">
        <v>0</v>
      </c>
      <c r="AG10" t="s">
        <v>154</v>
      </c>
      <c r="AH10" t="s">
        <v>371</v>
      </c>
      <c r="AI10" t="s">
        <v>372</v>
      </c>
      <c r="AJ10" t="s">
        <v>373</v>
      </c>
      <c r="AK10" t="s">
        <v>374</v>
      </c>
      <c r="AL10">
        <v>21.48</v>
      </c>
      <c r="AM10" t="s">
        <v>375</v>
      </c>
      <c r="AN10" t="s">
        <v>222</v>
      </c>
      <c r="AO10" t="s">
        <v>284</v>
      </c>
      <c r="AP10" t="s">
        <v>223</v>
      </c>
      <c r="AQ10" t="s">
        <v>163</v>
      </c>
      <c r="AR10" t="s">
        <v>376</v>
      </c>
      <c r="AS10" t="s">
        <v>165</v>
      </c>
      <c r="AT10" t="s">
        <v>139</v>
      </c>
      <c r="AU10" t="s">
        <v>166</v>
      </c>
      <c r="AV10" t="s">
        <v>137</v>
      </c>
      <c r="AW10" t="s">
        <v>318</v>
      </c>
      <c r="AX10" t="s">
        <v>257</v>
      </c>
      <c r="AY10" t="s">
        <v>169</v>
      </c>
      <c r="AZ10" t="s">
        <v>377</v>
      </c>
      <c r="BA10" t="s">
        <v>378</v>
      </c>
      <c r="BB10" t="s">
        <v>169</v>
      </c>
      <c r="BC10" t="s">
        <v>137</v>
      </c>
      <c r="BD10" t="s">
        <v>172</v>
      </c>
      <c r="BE10" t="s">
        <v>169</v>
      </c>
      <c r="BF10" t="s">
        <v>173</v>
      </c>
      <c r="BG10" t="s">
        <v>174</v>
      </c>
      <c r="BH10" t="s">
        <v>151</v>
      </c>
      <c r="BI10" t="s">
        <v>175</v>
      </c>
      <c r="BJ10" t="s">
        <v>151</v>
      </c>
      <c r="BK10" t="s">
        <v>151</v>
      </c>
      <c r="BL10" t="s">
        <v>176</v>
      </c>
      <c r="BM10" t="s">
        <v>177</v>
      </c>
      <c r="BN10" t="s">
        <v>137</v>
      </c>
      <c r="BO10" t="s">
        <v>178</v>
      </c>
      <c r="BP10" t="s">
        <v>179</v>
      </c>
      <c r="BQ10" t="s">
        <v>180</v>
      </c>
      <c r="BR10" t="s">
        <v>154</v>
      </c>
      <c r="BS10" t="s">
        <v>181</v>
      </c>
      <c r="BT10" t="s">
        <v>182</v>
      </c>
      <c r="BU10" t="s">
        <v>182</v>
      </c>
      <c r="BV10" t="s">
        <v>182</v>
      </c>
      <c r="BW10" t="s">
        <v>151</v>
      </c>
      <c r="BX10" t="s">
        <v>183</v>
      </c>
      <c r="BY10" t="s">
        <v>151</v>
      </c>
      <c r="BZ10" t="s">
        <v>151</v>
      </c>
      <c r="CA10" t="s">
        <v>151</v>
      </c>
      <c r="CB10" t="s">
        <v>151</v>
      </c>
      <c r="CC10" t="s">
        <v>379</v>
      </c>
      <c r="CD10" t="s">
        <v>380</v>
      </c>
      <c r="CE10" t="s">
        <v>381</v>
      </c>
      <c r="CF10" t="s">
        <v>382</v>
      </c>
      <c r="CG10" t="s">
        <v>383</v>
      </c>
      <c r="CH10" t="s">
        <v>384</v>
      </c>
      <c r="CI10" t="s">
        <v>385</v>
      </c>
      <c r="CJ10" t="s">
        <v>386</v>
      </c>
      <c r="CK10" t="s">
        <v>368</v>
      </c>
      <c r="CL10" t="s">
        <v>267</v>
      </c>
      <c r="CM10" t="s">
        <v>193</v>
      </c>
      <c r="CN10" t="s">
        <v>194</v>
      </c>
      <c r="CO10" t="s">
        <v>154</v>
      </c>
      <c r="CP10" t="s">
        <v>195</v>
      </c>
      <c r="CQ10" t="s">
        <v>196</v>
      </c>
      <c r="CR10" t="s">
        <v>154</v>
      </c>
      <c r="CS10" t="s">
        <v>197</v>
      </c>
      <c r="CT10" t="s">
        <v>198</v>
      </c>
      <c r="CU10" t="s">
        <v>199</v>
      </c>
      <c r="CV10" t="s">
        <v>151</v>
      </c>
      <c r="CW10" t="s">
        <v>367</v>
      </c>
      <c r="CX10" t="s">
        <v>200</v>
      </c>
      <c r="CY10" t="s">
        <v>201</v>
      </c>
      <c r="CZ10" t="s">
        <v>202</v>
      </c>
      <c r="DA10" t="s">
        <v>203</v>
      </c>
      <c r="DB10" t="s">
        <v>204</v>
      </c>
      <c r="DC10" t="s">
        <v>205</v>
      </c>
    </row>
    <row r="11" spans="1:107" x14ac:dyDescent="0.45">
      <c r="A11" t="s">
        <v>387</v>
      </c>
      <c r="B11" t="s">
        <v>388</v>
      </c>
      <c r="C11" t="s">
        <v>139</v>
      </c>
      <c r="D11" t="s">
        <v>76</v>
      </c>
      <c r="E11" t="s">
        <v>140</v>
      </c>
      <c r="F11" t="s">
        <v>19</v>
      </c>
      <c r="G11" t="s">
        <v>389</v>
      </c>
      <c r="H11" t="s">
        <v>19</v>
      </c>
      <c r="I11" t="s">
        <v>19</v>
      </c>
      <c r="J11">
        <v>4.5269562304619301E-2</v>
      </c>
      <c r="K11">
        <v>2.9066320800000001</v>
      </c>
      <c r="L11">
        <v>4.4575320585355301E-2</v>
      </c>
      <c r="M11">
        <v>0.54007360505929625</v>
      </c>
      <c r="N11" t="s">
        <v>390</v>
      </c>
      <c r="O11" t="s">
        <v>391</v>
      </c>
      <c r="P11">
        <v>2.6197124699921552</v>
      </c>
      <c r="Q11">
        <v>1.2068834699921553</v>
      </c>
      <c r="R11" t="s">
        <v>392</v>
      </c>
      <c r="S11" t="s">
        <v>393</v>
      </c>
      <c r="T11">
        <v>25.776960247881092</v>
      </c>
      <c r="U11">
        <v>0.4417875</v>
      </c>
      <c r="V11" t="s">
        <v>146</v>
      </c>
      <c r="W11" t="s">
        <v>394</v>
      </c>
      <c r="X11" t="s">
        <v>395</v>
      </c>
      <c r="Y11" t="s">
        <v>396</v>
      </c>
      <c r="Z11" t="s">
        <v>397</v>
      </c>
      <c r="AA11" t="s">
        <v>151</v>
      </c>
      <c r="AB11" t="s">
        <v>151</v>
      </c>
      <c r="AC11" t="s">
        <v>151</v>
      </c>
      <c r="AD11" t="s">
        <v>152</v>
      </c>
      <c r="AE11" t="s">
        <v>153</v>
      </c>
      <c r="AF11">
        <v>0</v>
      </c>
      <c r="AG11" t="s">
        <v>154</v>
      </c>
      <c r="AH11" t="s">
        <v>398</v>
      </c>
      <c r="AI11" t="s">
        <v>399</v>
      </c>
      <c r="AJ11" t="s">
        <v>343</v>
      </c>
      <c r="AK11" t="s">
        <v>400</v>
      </c>
      <c r="AL11">
        <v>21.79</v>
      </c>
      <c r="AM11" t="s">
        <v>375</v>
      </c>
      <c r="AN11" t="s">
        <v>401</v>
      </c>
      <c r="AO11" t="s">
        <v>402</v>
      </c>
      <c r="AP11" t="s">
        <v>403</v>
      </c>
      <c r="AQ11" t="s">
        <v>163</v>
      </c>
      <c r="AR11" t="s">
        <v>404</v>
      </c>
      <c r="AS11" t="s">
        <v>165</v>
      </c>
      <c r="AT11" t="s">
        <v>139</v>
      </c>
      <c r="AU11" t="s">
        <v>166</v>
      </c>
      <c r="AV11" t="s">
        <v>137</v>
      </c>
      <c r="AW11" t="s">
        <v>351</v>
      </c>
      <c r="AX11" t="s">
        <v>405</v>
      </c>
      <c r="AY11" t="s">
        <v>169</v>
      </c>
      <c r="AZ11" t="s">
        <v>406</v>
      </c>
      <c r="BA11" t="s">
        <v>407</v>
      </c>
      <c r="BB11" t="s">
        <v>169</v>
      </c>
      <c r="BC11" t="s">
        <v>137</v>
      </c>
      <c r="BD11" t="s">
        <v>172</v>
      </c>
      <c r="BE11" t="s">
        <v>169</v>
      </c>
      <c r="BF11" t="s">
        <v>173</v>
      </c>
      <c r="BG11" t="s">
        <v>174</v>
      </c>
      <c r="BH11" t="s">
        <v>151</v>
      </c>
      <c r="BI11" t="s">
        <v>175</v>
      </c>
      <c r="BJ11" t="s">
        <v>151</v>
      </c>
      <c r="BK11" t="s">
        <v>151</v>
      </c>
      <c r="BL11" t="s">
        <v>176</v>
      </c>
      <c r="BM11" t="s">
        <v>177</v>
      </c>
      <c r="BN11" t="s">
        <v>137</v>
      </c>
      <c r="BO11" t="s">
        <v>178</v>
      </c>
      <c r="BP11" t="s">
        <v>179</v>
      </c>
      <c r="BQ11" t="s">
        <v>180</v>
      </c>
      <c r="BR11" t="s">
        <v>154</v>
      </c>
      <c r="BS11" t="s">
        <v>181</v>
      </c>
      <c r="BT11" t="s">
        <v>182</v>
      </c>
      <c r="BU11" t="s">
        <v>182</v>
      </c>
      <c r="BV11" t="s">
        <v>182</v>
      </c>
      <c r="BW11" t="s">
        <v>151</v>
      </c>
      <c r="BX11" t="s">
        <v>183</v>
      </c>
      <c r="BY11" t="s">
        <v>151</v>
      </c>
      <c r="BZ11" t="s">
        <v>151</v>
      </c>
      <c r="CA11" t="s">
        <v>151</v>
      </c>
      <c r="CB11" t="s">
        <v>151</v>
      </c>
      <c r="CC11" t="s">
        <v>408</v>
      </c>
      <c r="CD11" t="s">
        <v>409</v>
      </c>
      <c r="CE11" t="s">
        <v>410</v>
      </c>
      <c r="CF11" t="s">
        <v>411</v>
      </c>
      <c r="CG11" t="s">
        <v>412</v>
      </c>
      <c r="CH11" t="s">
        <v>413</v>
      </c>
      <c r="CI11" t="s">
        <v>414</v>
      </c>
      <c r="CJ11" t="s">
        <v>415</v>
      </c>
      <c r="CK11" t="s">
        <v>395</v>
      </c>
      <c r="CL11" t="s">
        <v>416</v>
      </c>
      <c r="CM11" t="s">
        <v>193</v>
      </c>
      <c r="CN11" t="s">
        <v>194</v>
      </c>
      <c r="CO11" t="s">
        <v>154</v>
      </c>
      <c r="CP11" t="s">
        <v>195</v>
      </c>
      <c r="CQ11" t="s">
        <v>196</v>
      </c>
      <c r="CR11" t="s">
        <v>154</v>
      </c>
      <c r="CS11" t="s">
        <v>197</v>
      </c>
      <c r="CT11" t="s">
        <v>198</v>
      </c>
      <c r="CU11" t="s">
        <v>199</v>
      </c>
      <c r="CV11" t="s">
        <v>151</v>
      </c>
      <c r="CW11" t="s">
        <v>394</v>
      </c>
      <c r="CX11" t="s">
        <v>200</v>
      </c>
      <c r="CY11" t="s">
        <v>201</v>
      </c>
      <c r="CZ11" t="s">
        <v>202</v>
      </c>
      <c r="DA11" t="s">
        <v>203</v>
      </c>
      <c r="DB11" t="s">
        <v>204</v>
      </c>
      <c r="DC11" t="s">
        <v>205</v>
      </c>
    </row>
    <row r="12" spans="1:107" x14ac:dyDescent="0.45">
      <c r="A12" t="s">
        <v>417</v>
      </c>
      <c r="B12" t="s">
        <v>418</v>
      </c>
      <c r="C12" t="s">
        <v>139</v>
      </c>
      <c r="D12" t="s">
        <v>76</v>
      </c>
      <c r="E12" t="s">
        <v>140</v>
      </c>
      <c r="F12" t="s">
        <v>19</v>
      </c>
      <c r="G12" t="s">
        <v>419</v>
      </c>
      <c r="H12" t="s">
        <v>19</v>
      </c>
      <c r="I12" t="s">
        <v>19</v>
      </c>
      <c r="J12">
        <v>6.3723779082334175E-2</v>
      </c>
      <c r="K12">
        <v>2.9042299199999997</v>
      </c>
      <c r="L12">
        <v>6.2355590615718381E-2</v>
      </c>
      <c r="M12">
        <v>0.66663373009031668</v>
      </c>
      <c r="N12" t="s">
        <v>420</v>
      </c>
      <c r="O12" t="s">
        <v>421</v>
      </c>
      <c r="P12">
        <v>2.4959318916862445</v>
      </c>
      <c r="Q12">
        <v>1.0654698916862446</v>
      </c>
      <c r="R12" t="s">
        <v>422</v>
      </c>
      <c r="S12" t="s">
        <v>423</v>
      </c>
      <c r="T12">
        <v>24.559007101114286</v>
      </c>
      <c r="U12">
        <v>0.4417875</v>
      </c>
      <c r="V12" t="s">
        <v>146</v>
      </c>
      <c r="W12" t="s">
        <v>424</v>
      </c>
      <c r="X12" t="s">
        <v>425</v>
      </c>
      <c r="Y12" t="s">
        <v>426</v>
      </c>
      <c r="Z12" t="s">
        <v>427</v>
      </c>
      <c r="AA12" t="s">
        <v>151</v>
      </c>
      <c r="AB12" t="s">
        <v>151</v>
      </c>
      <c r="AC12" t="s">
        <v>151</v>
      </c>
      <c r="AD12" t="s">
        <v>152</v>
      </c>
      <c r="AE12" t="s">
        <v>153</v>
      </c>
      <c r="AF12">
        <v>0</v>
      </c>
      <c r="AG12" t="s">
        <v>154</v>
      </c>
      <c r="AH12" t="s">
        <v>428</v>
      </c>
      <c r="AI12" t="s">
        <v>429</v>
      </c>
      <c r="AJ12" t="s">
        <v>343</v>
      </c>
      <c r="AK12" t="s">
        <v>430</v>
      </c>
      <c r="AL12">
        <v>21</v>
      </c>
      <c r="AM12" t="s">
        <v>375</v>
      </c>
      <c r="AN12" t="s">
        <v>284</v>
      </c>
      <c r="AO12" t="s">
        <v>431</v>
      </c>
      <c r="AP12" t="s">
        <v>432</v>
      </c>
      <c r="AQ12" t="s">
        <v>163</v>
      </c>
      <c r="AR12" t="s">
        <v>433</v>
      </c>
      <c r="AS12" t="s">
        <v>165</v>
      </c>
      <c r="AT12" t="s">
        <v>139</v>
      </c>
      <c r="AU12" t="s">
        <v>166</v>
      </c>
      <c r="AV12" t="s">
        <v>137</v>
      </c>
      <c r="AW12" t="s">
        <v>318</v>
      </c>
      <c r="AX12" t="s">
        <v>434</v>
      </c>
      <c r="AY12" t="s">
        <v>169</v>
      </c>
      <c r="AZ12" t="s">
        <v>435</v>
      </c>
      <c r="BA12" t="s">
        <v>436</v>
      </c>
      <c r="BB12" t="s">
        <v>169</v>
      </c>
      <c r="BC12" t="s">
        <v>137</v>
      </c>
      <c r="BD12" t="s">
        <v>172</v>
      </c>
      <c r="BE12" t="s">
        <v>169</v>
      </c>
      <c r="BF12" t="s">
        <v>173</v>
      </c>
      <c r="BG12" t="s">
        <v>174</v>
      </c>
      <c r="BH12" t="s">
        <v>151</v>
      </c>
      <c r="BI12" t="s">
        <v>175</v>
      </c>
      <c r="BJ12" t="s">
        <v>151</v>
      </c>
      <c r="BK12" t="s">
        <v>151</v>
      </c>
      <c r="BL12" t="s">
        <v>176</v>
      </c>
      <c r="BM12" t="s">
        <v>177</v>
      </c>
      <c r="BN12" t="s">
        <v>137</v>
      </c>
      <c r="BO12" t="s">
        <v>178</v>
      </c>
      <c r="BP12" t="s">
        <v>179</v>
      </c>
      <c r="BQ12" t="s">
        <v>180</v>
      </c>
      <c r="BR12" t="s">
        <v>154</v>
      </c>
      <c r="BS12" t="s">
        <v>181</v>
      </c>
      <c r="BT12" t="s">
        <v>182</v>
      </c>
      <c r="BU12" t="s">
        <v>182</v>
      </c>
      <c r="BV12" t="s">
        <v>182</v>
      </c>
      <c r="BW12" t="s">
        <v>151</v>
      </c>
      <c r="BX12" t="s">
        <v>183</v>
      </c>
      <c r="BY12" t="s">
        <v>151</v>
      </c>
      <c r="BZ12" t="s">
        <v>151</v>
      </c>
      <c r="CA12" t="s">
        <v>151</v>
      </c>
      <c r="CB12" t="s">
        <v>151</v>
      </c>
      <c r="CC12" t="s">
        <v>437</v>
      </c>
      <c r="CD12" t="s">
        <v>438</v>
      </c>
      <c r="CE12" t="s">
        <v>439</v>
      </c>
      <c r="CF12" t="s">
        <v>440</v>
      </c>
      <c r="CG12" t="s">
        <v>441</v>
      </c>
      <c r="CH12" t="s">
        <v>442</v>
      </c>
      <c r="CI12" t="s">
        <v>443</v>
      </c>
      <c r="CJ12" t="s">
        <v>444</v>
      </c>
      <c r="CK12" t="s">
        <v>425</v>
      </c>
      <c r="CL12" t="s">
        <v>445</v>
      </c>
      <c r="CM12" t="s">
        <v>193</v>
      </c>
      <c r="CN12" t="s">
        <v>194</v>
      </c>
      <c r="CO12" t="s">
        <v>154</v>
      </c>
      <c r="CP12" t="s">
        <v>195</v>
      </c>
      <c r="CQ12" t="s">
        <v>196</v>
      </c>
      <c r="CR12" t="s">
        <v>154</v>
      </c>
      <c r="CS12" t="s">
        <v>197</v>
      </c>
      <c r="CT12" t="s">
        <v>198</v>
      </c>
      <c r="CU12" t="s">
        <v>199</v>
      </c>
      <c r="CV12" t="s">
        <v>151</v>
      </c>
      <c r="CW12" t="s">
        <v>424</v>
      </c>
      <c r="CX12" t="s">
        <v>200</v>
      </c>
      <c r="CY12" t="s">
        <v>201</v>
      </c>
      <c r="CZ12" t="s">
        <v>202</v>
      </c>
      <c r="DA12" t="s">
        <v>203</v>
      </c>
      <c r="DB12" t="s">
        <v>204</v>
      </c>
      <c r="DC12" t="s">
        <v>205</v>
      </c>
    </row>
    <row r="13" spans="1:107" x14ac:dyDescent="0.45">
      <c r="A13" t="s">
        <v>446</v>
      </c>
      <c r="B13" t="s">
        <v>447</v>
      </c>
      <c r="C13" t="s">
        <v>139</v>
      </c>
      <c r="D13" t="s">
        <v>76</v>
      </c>
      <c r="E13" t="s">
        <v>140</v>
      </c>
      <c r="F13" t="s">
        <v>19</v>
      </c>
      <c r="G13" t="s">
        <v>448</v>
      </c>
      <c r="H13" t="s">
        <v>19</v>
      </c>
      <c r="I13" t="s">
        <v>19</v>
      </c>
      <c r="J13">
        <v>5.2904331746671293E-2</v>
      </c>
      <c r="K13">
        <v>2.9050319999999994</v>
      </c>
      <c r="L13">
        <v>5.195810843296355E-2</v>
      </c>
      <c r="M13">
        <v>0.61873538269352291</v>
      </c>
      <c r="N13" t="s">
        <v>449</v>
      </c>
      <c r="O13" t="s">
        <v>450</v>
      </c>
      <c r="P13">
        <v>2.6373669925541123</v>
      </c>
      <c r="Q13">
        <v>1.1859809925541123</v>
      </c>
      <c r="R13" t="s">
        <v>451</v>
      </c>
      <c r="S13" t="s">
        <v>452</v>
      </c>
      <c r="T13">
        <v>25.948120745317908</v>
      </c>
      <c r="U13">
        <v>0.4417875</v>
      </c>
      <c r="V13" t="s">
        <v>146</v>
      </c>
      <c r="W13" t="s">
        <v>453</v>
      </c>
      <c r="X13" t="s">
        <v>454</v>
      </c>
      <c r="Y13" t="s">
        <v>455</v>
      </c>
      <c r="Z13" t="s">
        <v>456</v>
      </c>
      <c r="AA13" t="s">
        <v>151</v>
      </c>
      <c r="AB13" t="s">
        <v>151</v>
      </c>
      <c r="AC13" t="s">
        <v>151</v>
      </c>
      <c r="AD13" t="s">
        <v>152</v>
      </c>
      <c r="AE13" t="s">
        <v>153</v>
      </c>
      <c r="AF13">
        <v>0</v>
      </c>
      <c r="AG13" t="s">
        <v>154</v>
      </c>
      <c r="AH13" t="s">
        <v>457</v>
      </c>
      <c r="AI13" t="s">
        <v>458</v>
      </c>
      <c r="AJ13" t="s">
        <v>312</v>
      </c>
      <c r="AK13" t="s">
        <v>459</v>
      </c>
      <c r="AL13">
        <v>21.9</v>
      </c>
      <c r="AM13" t="s">
        <v>460</v>
      </c>
      <c r="AN13" t="s">
        <v>160</v>
      </c>
      <c r="AO13" t="s">
        <v>284</v>
      </c>
      <c r="AP13" t="s">
        <v>461</v>
      </c>
      <c r="AQ13" t="s">
        <v>163</v>
      </c>
      <c r="AR13" t="s">
        <v>462</v>
      </c>
      <c r="AS13" t="s">
        <v>165</v>
      </c>
      <c r="AT13" t="s">
        <v>139</v>
      </c>
      <c r="AU13" t="s">
        <v>166</v>
      </c>
      <c r="AV13" t="s">
        <v>137</v>
      </c>
      <c r="AW13" t="s">
        <v>463</v>
      </c>
      <c r="AX13" t="s">
        <v>464</v>
      </c>
      <c r="AY13" t="s">
        <v>169</v>
      </c>
      <c r="AZ13" t="s">
        <v>465</v>
      </c>
      <c r="BA13" t="s">
        <v>466</v>
      </c>
      <c r="BB13" t="s">
        <v>169</v>
      </c>
      <c r="BC13" t="s">
        <v>137</v>
      </c>
      <c r="BD13" t="s">
        <v>172</v>
      </c>
      <c r="BE13" t="s">
        <v>169</v>
      </c>
      <c r="BF13" t="s">
        <v>173</v>
      </c>
      <c r="BG13" t="s">
        <v>174</v>
      </c>
      <c r="BH13" t="s">
        <v>151</v>
      </c>
      <c r="BI13" t="s">
        <v>175</v>
      </c>
      <c r="BJ13" t="s">
        <v>151</v>
      </c>
      <c r="BK13" t="s">
        <v>151</v>
      </c>
      <c r="BL13" t="s">
        <v>176</v>
      </c>
      <c r="BM13" t="s">
        <v>177</v>
      </c>
      <c r="BN13" t="s">
        <v>137</v>
      </c>
      <c r="BO13" t="s">
        <v>178</v>
      </c>
      <c r="BP13" t="s">
        <v>179</v>
      </c>
      <c r="BQ13" t="s">
        <v>180</v>
      </c>
      <c r="BR13" t="s">
        <v>154</v>
      </c>
      <c r="BS13" t="s">
        <v>181</v>
      </c>
      <c r="BT13" t="s">
        <v>182</v>
      </c>
      <c r="BU13" t="s">
        <v>182</v>
      </c>
      <c r="BV13" t="s">
        <v>182</v>
      </c>
      <c r="BW13" t="s">
        <v>151</v>
      </c>
      <c r="BX13" t="s">
        <v>183</v>
      </c>
      <c r="BY13" t="s">
        <v>151</v>
      </c>
      <c r="BZ13" t="s">
        <v>151</v>
      </c>
      <c r="CA13" t="s">
        <v>151</v>
      </c>
      <c r="CB13" t="s">
        <v>151</v>
      </c>
      <c r="CC13" t="s">
        <v>467</v>
      </c>
      <c r="CD13" t="s">
        <v>468</v>
      </c>
      <c r="CE13" t="s">
        <v>469</v>
      </c>
      <c r="CF13" t="s">
        <v>470</v>
      </c>
      <c r="CG13" t="s">
        <v>471</v>
      </c>
      <c r="CH13" t="s">
        <v>472</v>
      </c>
      <c r="CI13" t="s">
        <v>473</v>
      </c>
      <c r="CJ13" t="s">
        <v>474</v>
      </c>
      <c r="CK13" t="s">
        <v>454</v>
      </c>
      <c r="CL13" t="s">
        <v>475</v>
      </c>
      <c r="CM13" t="s">
        <v>193</v>
      </c>
      <c r="CN13" t="s">
        <v>194</v>
      </c>
      <c r="CO13" t="s">
        <v>154</v>
      </c>
      <c r="CP13" t="s">
        <v>195</v>
      </c>
      <c r="CQ13" t="s">
        <v>196</v>
      </c>
      <c r="CR13" t="s">
        <v>154</v>
      </c>
      <c r="CS13" t="s">
        <v>197</v>
      </c>
      <c r="CT13" t="s">
        <v>198</v>
      </c>
      <c r="CU13" t="s">
        <v>199</v>
      </c>
      <c r="CV13" t="s">
        <v>151</v>
      </c>
      <c r="CW13" t="s">
        <v>453</v>
      </c>
      <c r="CX13" t="s">
        <v>200</v>
      </c>
      <c r="CY13" t="s">
        <v>201</v>
      </c>
      <c r="CZ13" t="s">
        <v>202</v>
      </c>
      <c r="DA13" t="s">
        <v>203</v>
      </c>
      <c r="DB13" t="s">
        <v>204</v>
      </c>
      <c r="DC13" t="s">
        <v>205</v>
      </c>
    </row>
    <row r="14" spans="1:107" x14ac:dyDescent="0.45">
      <c r="A14" t="s">
        <v>476</v>
      </c>
      <c r="B14" t="s">
        <v>477</v>
      </c>
      <c r="C14" t="s">
        <v>139</v>
      </c>
      <c r="D14" t="s">
        <v>76</v>
      </c>
      <c r="E14" t="s">
        <v>140</v>
      </c>
      <c r="F14" t="s">
        <v>19</v>
      </c>
      <c r="G14" t="s">
        <v>478</v>
      </c>
      <c r="H14" t="s">
        <v>19</v>
      </c>
      <c r="I14" t="s">
        <v>19</v>
      </c>
      <c r="J14">
        <v>3.2875247606313114E-2</v>
      </c>
      <c r="K14">
        <v>2.9034264800000003</v>
      </c>
      <c r="L14">
        <v>3.2507171704911304E-2</v>
      </c>
      <c r="M14">
        <v>0.39516291573193985</v>
      </c>
      <c r="N14" t="s">
        <v>479</v>
      </c>
      <c r="O14" t="s">
        <v>480</v>
      </c>
      <c r="P14">
        <v>2.6373669925541123</v>
      </c>
      <c r="Q14">
        <v>1.2107969925541124</v>
      </c>
      <c r="R14" t="s">
        <v>481</v>
      </c>
      <c r="S14" t="s">
        <v>482</v>
      </c>
      <c r="T14">
        <v>25.948120745317908</v>
      </c>
      <c r="U14">
        <v>0.4417875</v>
      </c>
      <c r="V14" t="s">
        <v>146</v>
      </c>
      <c r="W14" t="s">
        <v>483</v>
      </c>
      <c r="X14" t="s">
        <v>484</v>
      </c>
      <c r="Y14" t="s">
        <v>485</v>
      </c>
      <c r="Z14" t="s">
        <v>486</v>
      </c>
      <c r="AA14" t="s">
        <v>151</v>
      </c>
      <c r="AB14" t="s">
        <v>151</v>
      </c>
      <c r="AC14" t="s">
        <v>151</v>
      </c>
      <c r="AD14" t="s">
        <v>152</v>
      </c>
      <c r="AE14" t="s">
        <v>153</v>
      </c>
      <c r="AF14">
        <v>0</v>
      </c>
      <c r="AG14" t="s">
        <v>154</v>
      </c>
      <c r="AH14" t="s">
        <v>487</v>
      </c>
      <c r="AI14" t="s">
        <v>488</v>
      </c>
      <c r="AJ14" t="s">
        <v>489</v>
      </c>
      <c r="AK14" t="s">
        <v>459</v>
      </c>
      <c r="AL14">
        <v>21.9</v>
      </c>
      <c r="AM14" t="s">
        <v>460</v>
      </c>
      <c r="AN14" t="s">
        <v>222</v>
      </c>
      <c r="AO14" t="s">
        <v>490</v>
      </c>
      <c r="AP14" t="s">
        <v>491</v>
      </c>
      <c r="AQ14" t="s">
        <v>163</v>
      </c>
      <c r="AR14" t="s">
        <v>492</v>
      </c>
      <c r="AS14" t="s">
        <v>165</v>
      </c>
      <c r="AT14" t="s">
        <v>139</v>
      </c>
      <c r="AU14" t="s">
        <v>166</v>
      </c>
      <c r="AV14" t="s">
        <v>137</v>
      </c>
      <c r="AW14" t="s">
        <v>493</v>
      </c>
      <c r="AX14" t="s">
        <v>494</v>
      </c>
      <c r="AY14" t="s">
        <v>227</v>
      </c>
      <c r="AZ14" t="s">
        <v>495</v>
      </c>
      <c r="BA14" t="s">
        <v>496</v>
      </c>
      <c r="BB14" t="s">
        <v>497</v>
      </c>
      <c r="BC14" t="s">
        <v>137</v>
      </c>
      <c r="BD14" t="s">
        <v>172</v>
      </c>
      <c r="BE14" t="s">
        <v>169</v>
      </c>
      <c r="BF14" t="s">
        <v>173</v>
      </c>
      <c r="BG14" t="s">
        <v>174</v>
      </c>
      <c r="BH14" t="s">
        <v>151</v>
      </c>
      <c r="BI14" t="s">
        <v>175</v>
      </c>
      <c r="BJ14" t="s">
        <v>151</v>
      </c>
      <c r="BK14" t="s">
        <v>151</v>
      </c>
      <c r="BL14" t="s">
        <v>176</v>
      </c>
      <c r="BM14" t="s">
        <v>177</v>
      </c>
      <c r="BN14" t="s">
        <v>137</v>
      </c>
      <c r="BO14" t="s">
        <v>178</v>
      </c>
      <c r="BP14" t="s">
        <v>179</v>
      </c>
      <c r="BQ14" t="s">
        <v>180</v>
      </c>
      <c r="BR14" t="s">
        <v>154</v>
      </c>
      <c r="BS14" t="s">
        <v>181</v>
      </c>
      <c r="BT14" t="s">
        <v>182</v>
      </c>
      <c r="BU14" t="s">
        <v>182</v>
      </c>
      <c r="BV14" t="s">
        <v>182</v>
      </c>
      <c r="BW14" t="s">
        <v>151</v>
      </c>
      <c r="BX14" t="s">
        <v>183</v>
      </c>
      <c r="BY14" t="s">
        <v>151</v>
      </c>
      <c r="BZ14" t="s">
        <v>151</v>
      </c>
      <c r="CA14" t="s">
        <v>151</v>
      </c>
      <c r="CB14" t="s">
        <v>151</v>
      </c>
      <c r="CC14" t="s">
        <v>498</v>
      </c>
      <c r="CD14" t="s">
        <v>499</v>
      </c>
      <c r="CE14" t="s">
        <v>500</v>
      </c>
      <c r="CF14" t="s">
        <v>501</v>
      </c>
      <c r="CG14" t="s">
        <v>502</v>
      </c>
      <c r="CH14" t="s">
        <v>503</v>
      </c>
      <c r="CI14" t="s">
        <v>504</v>
      </c>
      <c r="CJ14" t="s">
        <v>328</v>
      </c>
      <c r="CK14" t="s">
        <v>484</v>
      </c>
      <c r="CL14" t="s">
        <v>416</v>
      </c>
      <c r="CM14" t="s">
        <v>193</v>
      </c>
      <c r="CN14" t="s">
        <v>194</v>
      </c>
      <c r="CO14" t="s">
        <v>154</v>
      </c>
      <c r="CP14" t="s">
        <v>195</v>
      </c>
      <c r="CQ14" t="s">
        <v>196</v>
      </c>
      <c r="CR14" t="s">
        <v>154</v>
      </c>
      <c r="CS14" t="s">
        <v>197</v>
      </c>
      <c r="CT14" t="s">
        <v>198</v>
      </c>
      <c r="CU14" t="s">
        <v>199</v>
      </c>
      <c r="CV14" t="s">
        <v>151</v>
      </c>
      <c r="CW14" t="s">
        <v>483</v>
      </c>
      <c r="CX14" t="s">
        <v>200</v>
      </c>
      <c r="CY14" t="s">
        <v>201</v>
      </c>
      <c r="CZ14" t="s">
        <v>202</v>
      </c>
      <c r="DA14" t="s">
        <v>203</v>
      </c>
      <c r="DB14" t="s">
        <v>204</v>
      </c>
      <c r="DC14" t="s">
        <v>205</v>
      </c>
    </row>
    <row r="15" spans="1:107" x14ac:dyDescent="0.45">
      <c r="A15" t="s">
        <v>505</v>
      </c>
      <c r="B15" t="s">
        <v>506</v>
      </c>
      <c r="C15" t="s">
        <v>139</v>
      </c>
      <c r="D15" t="s">
        <v>76</v>
      </c>
      <c r="E15" t="s">
        <v>140</v>
      </c>
      <c r="F15" t="s">
        <v>19</v>
      </c>
      <c r="G15" t="s">
        <v>507</v>
      </c>
      <c r="H15" t="s">
        <v>19</v>
      </c>
      <c r="I15" t="s">
        <v>19</v>
      </c>
      <c r="J15">
        <v>5.2979888217499077E-2</v>
      </c>
      <c r="K15">
        <v>2.9042299199999997</v>
      </c>
      <c r="L15">
        <v>5.2030727103621069E-2</v>
      </c>
      <c r="M15">
        <v>0.59619069714564921</v>
      </c>
      <c r="N15" t="s">
        <v>508</v>
      </c>
      <c r="O15" t="s">
        <v>509</v>
      </c>
      <c r="P15">
        <v>2.5783942604128556</v>
      </c>
      <c r="Q15">
        <v>1.1417922604128556</v>
      </c>
      <c r="R15" t="s">
        <v>510</v>
      </c>
      <c r="S15" t="s">
        <v>511</v>
      </c>
      <c r="T15">
        <v>25.365413284927254</v>
      </c>
      <c r="U15">
        <v>0.4417875</v>
      </c>
      <c r="V15" t="s">
        <v>146</v>
      </c>
      <c r="W15" t="s">
        <v>512</v>
      </c>
      <c r="X15" t="s">
        <v>513</v>
      </c>
      <c r="Y15" t="s">
        <v>514</v>
      </c>
      <c r="Z15" t="s">
        <v>515</v>
      </c>
      <c r="AA15" t="s">
        <v>151</v>
      </c>
      <c r="AB15" t="s">
        <v>151</v>
      </c>
      <c r="AC15" t="s">
        <v>151</v>
      </c>
      <c r="AD15" t="s">
        <v>152</v>
      </c>
      <c r="AE15" t="s">
        <v>153</v>
      </c>
      <c r="AF15">
        <v>0</v>
      </c>
      <c r="AG15" t="s">
        <v>154</v>
      </c>
      <c r="AH15" t="s">
        <v>516</v>
      </c>
      <c r="AI15" t="s">
        <v>341</v>
      </c>
      <c r="AJ15" t="s">
        <v>489</v>
      </c>
      <c r="AK15" t="s">
        <v>517</v>
      </c>
      <c r="AL15">
        <v>21.53</v>
      </c>
      <c r="AM15" t="s">
        <v>518</v>
      </c>
      <c r="AN15" t="s">
        <v>284</v>
      </c>
      <c r="AO15" t="s">
        <v>519</v>
      </c>
      <c r="AP15" t="s">
        <v>520</v>
      </c>
      <c r="AQ15" t="s">
        <v>163</v>
      </c>
      <c r="AR15" t="s">
        <v>492</v>
      </c>
      <c r="AS15" t="s">
        <v>165</v>
      </c>
      <c r="AT15" t="s">
        <v>139</v>
      </c>
      <c r="AU15" t="s">
        <v>166</v>
      </c>
      <c r="AV15" t="s">
        <v>137</v>
      </c>
      <c r="AW15" t="s">
        <v>348</v>
      </c>
      <c r="AX15" t="s">
        <v>407</v>
      </c>
      <c r="AY15" t="s">
        <v>169</v>
      </c>
      <c r="AZ15" t="s">
        <v>521</v>
      </c>
      <c r="BA15" t="s">
        <v>522</v>
      </c>
      <c r="BB15" t="s">
        <v>169</v>
      </c>
      <c r="BC15" t="s">
        <v>137</v>
      </c>
      <c r="BD15" t="s">
        <v>172</v>
      </c>
      <c r="BE15" t="s">
        <v>169</v>
      </c>
      <c r="BF15" t="s">
        <v>173</v>
      </c>
      <c r="BG15" t="s">
        <v>174</v>
      </c>
      <c r="BH15" t="s">
        <v>151</v>
      </c>
      <c r="BI15" t="s">
        <v>175</v>
      </c>
      <c r="BJ15" t="s">
        <v>151</v>
      </c>
      <c r="BK15" t="s">
        <v>151</v>
      </c>
      <c r="BL15" t="s">
        <v>176</v>
      </c>
      <c r="BM15" t="s">
        <v>177</v>
      </c>
      <c r="BN15" t="s">
        <v>137</v>
      </c>
      <c r="BO15" t="s">
        <v>178</v>
      </c>
      <c r="BP15" t="s">
        <v>179</v>
      </c>
      <c r="BQ15" t="s">
        <v>180</v>
      </c>
      <c r="BR15" t="s">
        <v>154</v>
      </c>
      <c r="BS15" t="s">
        <v>181</v>
      </c>
      <c r="BT15" t="s">
        <v>182</v>
      </c>
      <c r="BU15" t="s">
        <v>182</v>
      </c>
      <c r="BV15" t="s">
        <v>182</v>
      </c>
      <c r="BW15" t="s">
        <v>151</v>
      </c>
      <c r="BX15" t="s">
        <v>183</v>
      </c>
      <c r="BY15" t="s">
        <v>151</v>
      </c>
      <c r="BZ15" t="s">
        <v>151</v>
      </c>
      <c r="CA15" t="s">
        <v>151</v>
      </c>
      <c r="CB15" t="s">
        <v>151</v>
      </c>
      <c r="CC15" t="s">
        <v>523</v>
      </c>
      <c r="CD15" t="s">
        <v>524</v>
      </c>
      <c r="CE15" t="s">
        <v>525</v>
      </c>
      <c r="CF15" t="s">
        <v>526</v>
      </c>
      <c r="CG15" t="s">
        <v>527</v>
      </c>
      <c r="CH15" t="s">
        <v>528</v>
      </c>
      <c r="CI15" t="s">
        <v>529</v>
      </c>
      <c r="CJ15" t="s">
        <v>266</v>
      </c>
      <c r="CK15" t="s">
        <v>513</v>
      </c>
      <c r="CL15" t="s">
        <v>530</v>
      </c>
      <c r="CM15" t="s">
        <v>193</v>
      </c>
      <c r="CN15" t="s">
        <v>194</v>
      </c>
      <c r="CO15" t="s">
        <v>154</v>
      </c>
      <c r="CP15" t="s">
        <v>195</v>
      </c>
      <c r="CQ15" t="s">
        <v>196</v>
      </c>
      <c r="CR15" t="s">
        <v>154</v>
      </c>
      <c r="CS15" t="s">
        <v>197</v>
      </c>
      <c r="CT15" t="s">
        <v>198</v>
      </c>
      <c r="CU15" t="s">
        <v>199</v>
      </c>
      <c r="CV15" t="s">
        <v>151</v>
      </c>
      <c r="CW15" t="s">
        <v>512</v>
      </c>
      <c r="CX15" t="s">
        <v>200</v>
      </c>
      <c r="CY15" t="s">
        <v>201</v>
      </c>
      <c r="CZ15" t="s">
        <v>202</v>
      </c>
      <c r="DA15" t="s">
        <v>203</v>
      </c>
      <c r="DB15" t="s">
        <v>204</v>
      </c>
      <c r="DC15" t="s">
        <v>205</v>
      </c>
    </row>
    <row r="16" spans="1:107" x14ac:dyDescent="0.45">
      <c r="A16" t="s">
        <v>531</v>
      </c>
      <c r="B16" t="s">
        <v>532</v>
      </c>
      <c r="C16" t="s">
        <v>139</v>
      </c>
      <c r="D16" t="s">
        <v>76</v>
      </c>
      <c r="E16" t="s">
        <v>140</v>
      </c>
      <c r="F16" t="s">
        <v>19</v>
      </c>
      <c r="G16" t="s">
        <v>533</v>
      </c>
      <c r="H16" t="s">
        <v>19</v>
      </c>
      <c r="I16" t="s">
        <v>19</v>
      </c>
      <c r="J16">
        <v>4.7064569003594244E-2</v>
      </c>
      <c r="K16">
        <v>2.9042299199999997</v>
      </c>
      <c r="L16">
        <v>4.631402592368563E-2</v>
      </c>
      <c r="M16">
        <v>0.53238362187479893</v>
      </c>
      <c r="N16" t="s">
        <v>534</v>
      </c>
      <c r="O16" t="s">
        <v>535</v>
      </c>
      <c r="P16">
        <v>2.6133183417857859</v>
      </c>
      <c r="Q16">
        <v>1.1450813417857859</v>
      </c>
      <c r="R16" t="s">
        <v>536</v>
      </c>
      <c r="S16" t="s">
        <v>537</v>
      </c>
      <c r="T16">
        <v>25.708985162673741</v>
      </c>
      <c r="U16">
        <v>0.4417875</v>
      </c>
      <c r="V16" t="s">
        <v>146</v>
      </c>
      <c r="W16" t="s">
        <v>538</v>
      </c>
      <c r="X16" t="s">
        <v>539</v>
      </c>
      <c r="Y16" t="s">
        <v>540</v>
      </c>
      <c r="Z16" t="s">
        <v>541</v>
      </c>
      <c r="AA16" t="s">
        <v>151</v>
      </c>
      <c r="AB16" t="s">
        <v>151</v>
      </c>
      <c r="AC16" t="s">
        <v>151</v>
      </c>
      <c r="AD16" t="s">
        <v>152</v>
      </c>
      <c r="AE16" t="s">
        <v>153</v>
      </c>
      <c r="AF16">
        <v>0</v>
      </c>
      <c r="AG16" t="s">
        <v>154</v>
      </c>
      <c r="AH16" t="s">
        <v>542</v>
      </c>
      <c r="AI16" t="s">
        <v>543</v>
      </c>
      <c r="AJ16" t="s">
        <v>281</v>
      </c>
      <c r="AK16" t="s">
        <v>544</v>
      </c>
      <c r="AL16">
        <v>21.75</v>
      </c>
      <c r="AM16" t="s">
        <v>518</v>
      </c>
      <c r="AN16" t="s">
        <v>284</v>
      </c>
      <c r="AO16" t="s">
        <v>545</v>
      </c>
      <c r="AP16" t="s">
        <v>546</v>
      </c>
      <c r="AQ16" t="s">
        <v>163</v>
      </c>
      <c r="AR16" t="s">
        <v>547</v>
      </c>
      <c r="AS16" t="s">
        <v>165</v>
      </c>
      <c r="AT16" t="s">
        <v>139</v>
      </c>
      <c r="AU16" t="s">
        <v>166</v>
      </c>
      <c r="AV16" t="s">
        <v>137</v>
      </c>
      <c r="AW16" t="s">
        <v>548</v>
      </c>
      <c r="AX16" t="s">
        <v>549</v>
      </c>
      <c r="AY16" t="s">
        <v>169</v>
      </c>
      <c r="AZ16" t="s">
        <v>550</v>
      </c>
      <c r="BA16" t="s">
        <v>551</v>
      </c>
      <c r="BB16" t="s">
        <v>169</v>
      </c>
      <c r="BC16" t="s">
        <v>137</v>
      </c>
      <c r="BD16" t="s">
        <v>172</v>
      </c>
      <c r="BE16" t="s">
        <v>169</v>
      </c>
      <c r="BF16" t="s">
        <v>173</v>
      </c>
      <c r="BG16" t="s">
        <v>174</v>
      </c>
      <c r="BH16" t="s">
        <v>151</v>
      </c>
      <c r="BI16" t="s">
        <v>175</v>
      </c>
      <c r="BJ16" t="s">
        <v>151</v>
      </c>
      <c r="BK16" t="s">
        <v>151</v>
      </c>
      <c r="BL16" t="s">
        <v>176</v>
      </c>
      <c r="BM16" t="s">
        <v>177</v>
      </c>
      <c r="BN16" t="s">
        <v>137</v>
      </c>
      <c r="BO16" t="s">
        <v>178</v>
      </c>
      <c r="BP16" t="s">
        <v>179</v>
      </c>
      <c r="BQ16" t="s">
        <v>180</v>
      </c>
      <c r="BR16" t="s">
        <v>154</v>
      </c>
      <c r="BS16" t="s">
        <v>181</v>
      </c>
      <c r="BT16" t="s">
        <v>182</v>
      </c>
      <c r="BU16" t="s">
        <v>182</v>
      </c>
      <c r="BV16" t="s">
        <v>182</v>
      </c>
      <c r="BW16" t="s">
        <v>151</v>
      </c>
      <c r="BX16" t="s">
        <v>183</v>
      </c>
      <c r="BY16" t="s">
        <v>151</v>
      </c>
      <c r="BZ16" t="s">
        <v>151</v>
      </c>
      <c r="CA16" t="s">
        <v>151</v>
      </c>
      <c r="CB16" t="s">
        <v>151</v>
      </c>
      <c r="CC16" t="s">
        <v>552</v>
      </c>
      <c r="CD16" t="s">
        <v>553</v>
      </c>
      <c r="CE16" t="s">
        <v>554</v>
      </c>
      <c r="CF16" t="s">
        <v>555</v>
      </c>
      <c r="CG16" t="s">
        <v>556</v>
      </c>
      <c r="CH16" t="s">
        <v>557</v>
      </c>
      <c r="CI16" t="s">
        <v>558</v>
      </c>
      <c r="CJ16" t="s">
        <v>559</v>
      </c>
      <c r="CK16" t="s">
        <v>539</v>
      </c>
      <c r="CL16" t="s">
        <v>560</v>
      </c>
      <c r="CM16" t="s">
        <v>193</v>
      </c>
      <c r="CN16" t="s">
        <v>194</v>
      </c>
      <c r="CO16" t="s">
        <v>154</v>
      </c>
      <c r="CP16" t="s">
        <v>195</v>
      </c>
      <c r="CQ16" t="s">
        <v>196</v>
      </c>
      <c r="CR16" t="s">
        <v>154</v>
      </c>
      <c r="CS16" t="s">
        <v>197</v>
      </c>
      <c r="CT16" t="s">
        <v>198</v>
      </c>
      <c r="CU16" t="s">
        <v>199</v>
      </c>
      <c r="CV16" t="s">
        <v>151</v>
      </c>
      <c r="CW16" t="s">
        <v>538</v>
      </c>
      <c r="CX16" t="s">
        <v>200</v>
      </c>
      <c r="CY16" t="s">
        <v>201</v>
      </c>
      <c r="CZ16" t="s">
        <v>202</v>
      </c>
      <c r="DA16" t="s">
        <v>203</v>
      </c>
      <c r="DB16" t="s">
        <v>204</v>
      </c>
      <c r="DC16" t="s">
        <v>205</v>
      </c>
    </row>
    <row r="17" spans="1:107" x14ac:dyDescent="0.45">
      <c r="A17" t="s">
        <v>561</v>
      </c>
      <c r="B17" t="s">
        <v>562</v>
      </c>
      <c r="C17" t="s">
        <v>139</v>
      </c>
      <c r="D17" t="s">
        <v>76</v>
      </c>
      <c r="E17" t="s">
        <v>140</v>
      </c>
      <c r="F17" t="s">
        <v>19</v>
      </c>
      <c r="G17" t="s">
        <v>563</v>
      </c>
      <c r="H17" t="s">
        <v>19</v>
      </c>
      <c r="I17" t="s">
        <v>19</v>
      </c>
      <c r="J17">
        <v>5.3802626224925744E-2</v>
      </c>
      <c r="K17">
        <v>2.9042299199999997</v>
      </c>
      <c r="L17">
        <v>5.2824028950060276E-2</v>
      </c>
      <c r="M17">
        <v>0.62541393483836616</v>
      </c>
      <c r="N17" t="s">
        <v>564</v>
      </c>
      <c r="O17" t="s">
        <v>565</v>
      </c>
      <c r="P17">
        <v>2.6502719738758156</v>
      </c>
      <c r="Q17">
        <v>1.1791269738758157</v>
      </c>
      <c r="R17" t="s">
        <v>566</v>
      </c>
      <c r="S17" t="s">
        <v>567</v>
      </c>
      <c r="T17">
        <v>26.072523107484656</v>
      </c>
      <c r="U17">
        <v>0.4417875</v>
      </c>
      <c r="V17" t="s">
        <v>146</v>
      </c>
      <c r="W17" t="s">
        <v>568</v>
      </c>
      <c r="X17" t="s">
        <v>569</v>
      </c>
      <c r="Y17" t="s">
        <v>570</v>
      </c>
      <c r="Z17" t="s">
        <v>571</v>
      </c>
      <c r="AA17" t="s">
        <v>151</v>
      </c>
      <c r="AB17" t="s">
        <v>151</v>
      </c>
      <c r="AC17" t="s">
        <v>151</v>
      </c>
      <c r="AD17" t="s">
        <v>152</v>
      </c>
      <c r="AE17" t="s">
        <v>153</v>
      </c>
      <c r="AF17">
        <v>0</v>
      </c>
      <c r="AG17" t="s">
        <v>154</v>
      </c>
      <c r="AH17" t="s">
        <v>572</v>
      </c>
      <c r="AI17" t="s">
        <v>543</v>
      </c>
      <c r="AJ17" t="s">
        <v>281</v>
      </c>
      <c r="AK17" t="s">
        <v>573</v>
      </c>
      <c r="AL17">
        <v>21.98</v>
      </c>
      <c r="AM17" t="s">
        <v>518</v>
      </c>
      <c r="AN17" t="s">
        <v>284</v>
      </c>
      <c r="AO17" t="s">
        <v>574</v>
      </c>
      <c r="AP17" t="s">
        <v>575</v>
      </c>
      <c r="AQ17" t="s">
        <v>163</v>
      </c>
      <c r="AR17" t="s">
        <v>576</v>
      </c>
      <c r="AS17" t="s">
        <v>165</v>
      </c>
      <c r="AT17" t="s">
        <v>139</v>
      </c>
      <c r="AU17" t="s">
        <v>166</v>
      </c>
      <c r="AV17" t="s">
        <v>137</v>
      </c>
      <c r="AW17" t="s">
        <v>167</v>
      </c>
      <c r="AX17" t="s">
        <v>577</v>
      </c>
      <c r="AY17" t="s">
        <v>169</v>
      </c>
      <c r="AZ17" t="s">
        <v>578</v>
      </c>
      <c r="BA17" t="s">
        <v>579</v>
      </c>
      <c r="BB17" t="s">
        <v>169</v>
      </c>
      <c r="BC17" t="s">
        <v>137</v>
      </c>
      <c r="BD17" t="s">
        <v>172</v>
      </c>
      <c r="BE17" t="s">
        <v>169</v>
      </c>
      <c r="BF17" t="s">
        <v>173</v>
      </c>
      <c r="BG17" t="s">
        <v>174</v>
      </c>
      <c r="BH17" t="s">
        <v>151</v>
      </c>
      <c r="BI17" t="s">
        <v>175</v>
      </c>
      <c r="BJ17" t="s">
        <v>151</v>
      </c>
      <c r="BK17" t="s">
        <v>151</v>
      </c>
      <c r="BL17" t="s">
        <v>176</v>
      </c>
      <c r="BM17" t="s">
        <v>177</v>
      </c>
      <c r="BN17" t="s">
        <v>137</v>
      </c>
      <c r="BO17" t="s">
        <v>178</v>
      </c>
      <c r="BP17" t="s">
        <v>179</v>
      </c>
      <c r="BQ17" t="s">
        <v>180</v>
      </c>
      <c r="BR17" t="s">
        <v>154</v>
      </c>
      <c r="BS17" t="s">
        <v>181</v>
      </c>
      <c r="BT17" t="s">
        <v>182</v>
      </c>
      <c r="BU17" t="s">
        <v>182</v>
      </c>
      <c r="BV17" t="s">
        <v>182</v>
      </c>
      <c r="BW17" t="s">
        <v>151</v>
      </c>
      <c r="BX17" t="s">
        <v>183</v>
      </c>
      <c r="BY17" t="s">
        <v>151</v>
      </c>
      <c r="BZ17" t="s">
        <v>151</v>
      </c>
      <c r="CA17" t="s">
        <v>151</v>
      </c>
      <c r="CB17" t="s">
        <v>151</v>
      </c>
      <c r="CC17" t="s">
        <v>580</v>
      </c>
      <c r="CD17" t="s">
        <v>581</v>
      </c>
      <c r="CE17" t="s">
        <v>582</v>
      </c>
      <c r="CF17" t="s">
        <v>583</v>
      </c>
      <c r="CG17" t="s">
        <v>584</v>
      </c>
      <c r="CH17" t="s">
        <v>585</v>
      </c>
      <c r="CI17" t="s">
        <v>586</v>
      </c>
      <c r="CJ17" t="s">
        <v>559</v>
      </c>
      <c r="CK17" t="s">
        <v>569</v>
      </c>
      <c r="CL17" t="s">
        <v>530</v>
      </c>
      <c r="CM17" t="s">
        <v>193</v>
      </c>
      <c r="CN17" t="s">
        <v>194</v>
      </c>
      <c r="CO17" t="s">
        <v>154</v>
      </c>
      <c r="CP17" t="s">
        <v>195</v>
      </c>
      <c r="CQ17" t="s">
        <v>196</v>
      </c>
      <c r="CR17" t="s">
        <v>154</v>
      </c>
      <c r="CS17" t="s">
        <v>197</v>
      </c>
      <c r="CT17" t="s">
        <v>198</v>
      </c>
      <c r="CU17" t="s">
        <v>199</v>
      </c>
      <c r="CV17" t="s">
        <v>151</v>
      </c>
      <c r="CW17" t="s">
        <v>568</v>
      </c>
      <c r="CX17" t="s">
        <v>200</v>
      </c>
      <c r="CY17" t="s">
        <v>201</v>
      </c>
      <c r="CZ17" t="s">
        <v>202</v>
      </c>
      <c r="DA17" t="s">
        <v>203</v>
      </c>
      <c r="DB17" t="s">
        <v>204</v>
      </c>
      <c r="DC17" t="s">
        <v>205</v>
      </c>
    </row>
    <row r="18" spans="1:107" x14ac:dyDescent="0.45">
      <c r="A18" t="s">
        <v>587</v>
      </c>
      <c r="B18" t="s">
        <v>588</v>
      </c>
      <c r="C18" t="s">
        <v>139</v>
      </c>
      <c r="D18" t="s">
        <v>76</v>
      </c>
      <c r="E18" t="s">
        <v>140</v>
      </c>
      <c r="F18" t="s">
        <v>19</v>
      </c>
      <c r="G18" t="s">
        <v>589</v>
      </c>
      <c r="H18" t="s">
        <v>19</v>
      </c>
      <c r="I18" t="s">
        <v>19</v>
      </c>
      <c r="J18">
        <v>0.19656998143506574</v>
      </c>
      <c r="K18">
        <v>2.9042299199999997</v>
      </c>
      <c r="L18">
        <v>0.184108758902293</v>
      </c>
      <c r="M18">
        <v>1.8636367398337843</v>
      </c>
      <c r="N18" t="s">
        <v>590</v>
      </c>
      <c r="O18" t="s">
        <v>591</v>
      </c>
      <c r="P18">
        <v>2.5066890231388106</v>
      </c>
      <c r="Q18">
        <v>1.0085980231388105</v>
      </c>
      <c r="R18" t="s">
        <v>592</v>
      </c>
      <c r="S18" t="s">
        <v>593</v>
      </c>
      <c r="T18">
        <v>24.662426437808055</v>
      </c>
      <c r="U18">
        <v>0.4417875</v>
      </c>
      <c r="V18" t="s">
        <v>146</v>
      </c>
      <c r="W18" t="s">
        <v>594</v>
      </c>
      <c r="X18" t="s">
        <v>595</v>
      </c>
      <c r="Y18" t="s">
        <v>596</v>
      </c>
      <c r="Z18" t="s">
        <v>597</v>
      </c>
      <c r="AA18" t="s">
        <v>151</v>
      </c>
      <c r="AB18" t="s">
        <v>151</v>
      </c>
      <c r="AC18" t="s">
        <v>151</v>
      </c>
      <c r="AD18" t="s">
        <v>152</v>
      </c>
      <c r="AE18" t="s">
        <v>153</v>
      </c>
      <c r="AF18">
        <v>0</v>
      </c>
      <c r="AG18" t="s">
        <v>154</v>
      </c>
      <c r="AH18" t="s">
        <v>598</v>
      </c>
      <c r="AI18" t="s">
        <v>371</v>
      </c>
      <c r="AJ18" t="s">
        <v>599</v>
      </c>
      <c r="AK18" t="s">
        <v>600</v>
      </c>
      <c r="AL18">
        <v>21.07</v>
      </c>
      <c r="AM18" t="s">
        <v>460</v>
      </c>
      <c r="AN18" t="s">
        <v>284</v>
      </c>
      <c r="AO18" t="s">
        <v>601</v>
      </c>
      <c r="AP18" t="s">
        <v>162</v>
      </c>
      <c r="AQ18" t="s">
        <v>163</v>
      </c>
      <c r="AR18" t="s">
        <v>602</v>
      </c>
      <c r="AS18" t="s">
        <v>165</v>
      </c>
      <c r="AT18" t="s">
        <v>139</v>
      </c>
      <c r="AU18" t="s">
        <v>166</v>
      </c>
      <c r="AV18" t="s">
        <v>137</v>
      </c>
      <c r="AW18" t="s">
        <v>463</v>
      </c>
      <c r="AX18" t="s">
        <v>603</v>
      </c>
      <c r="AY18" t="s">
        <v>169</v>
      </c>
      <c r="AZ18" t="s">
        <v>604</v>
      </c>
      <c r="BA18" t="s">
        <v>604</v>
      </c>
      <c r="BB18" t="s">
        <v>169</v>
      </c>
      <c r="BC18" t="s">
        <v>137</v>
      </c>
      <c r="BD18" t="s">
        <v>172</v>
      </c>
      <c r="BE18" t="s">
        <v>169</v>
      </c>
      <c r="BF18" t="s">
        <v>173</v>
      </c>
      <c r="BG18" t="s">
        <v>174</v>
      </c>
      <c r="BH18" t="s">
        <v>151</v>
      </c>
      <c r="BI18" t="s">
        <v>175</v>
      </c>
      <c r="BJ18" t="s">
        <v>151</v>
      </c>
      <c r="BK18" t="s">
        <v>151</v>
      </c>
      <c r="BL18" t="s">
        <v>176</v>
      </c>
      <c r="BM18" t="s">
        <v>177</v>
      </c>
      <c r="BN18" t="s">
        <v>137</v>
      </c>
      <c r="BO18" t="s">
        <v>178</v>
      </c>
      <c r="BP18" t="s">
        <v>179</v>
      </c>
      <c r="BQ18" t="s">
        <v>180</v>
      </c>
      <c r="BR18" t="s">
        <v>154</v>
      </c>
      <c r="BS18" t="s">
        <v>181</v>
      </c>
      <c r="BT18" t="s">
        <v>182</v>
      </c>
      <c r="BU18" t="s">
        <v>182</v>
      </c>
      <c r="BV18" t="s">
        <v>182</v>
      </c>
      <c r="BW18" t="s">
        <v>151</v>
      </c>
      <c r="BX18" t="s">
        <v>183</v>
      </c>
      <c r="BY18" t="s">
        <v>151</v>
      </c>
      <c r="BZ18" t="s">
        <v>151</v>
      </c>
      <c r="CA18" t="s">
        <v>151</v>
      </c>
      <c r="CB18" t="s">
        <v>151</v>
      </c>
      <c r="CC18" t="s">
        <v>605</v>
      </c>
      <c r="CD18" t="s">
        <v>606</v>
      </c>
      <c r="CE18" t="s">
        <v>607</v>
      </c>
      <c r="CF18" t="s">
        <v>608</v>
      </c>
      <c r="CG18" t="s">
        <v>609</v>
      </c>
      <c r="CH18" t="s">
        <v>610</v>
      </c>
      <c r="CI18" t="s">
        <v>611</v>
      </c>
      <c r="CJ18" t="s">
        <v>328</v>
      </c>
      <c r="CK18" t="s">
        <v>595</v>
      </c>
      <c r="CL18" t="s">
        <v>329</v>
      </c>
      <c r="CM18" t="s">
        <v>193</v>
      </c>
      <c r="CN18" t="s">
        <v>194</v>
      </c>
      <c r="CO18" t="s">
        <v>154</v>
      </c>
      <c r="CP18" t="s">
        <v>195</v>
      </c>
      <c r="CQ18" t="s">
        <v>196</v>
      </c>
      <c r="CR18" t="s">
        <v>154</v>
      </c>
      <c r="CS18" t="s">
        <v>197</v>
      </c>
      <c r="CT18" t="s">
        <v>198</v>
      </c>
      <c r="CU18" t="s">
        <v>199</v>
      </c>
      <c r="CV18" t="s">
        <v>151</v>
      </c>
      <c r="CW18" t="s">
        <v>594</v>
      </c>
      <c r="CX18" t="s">
        <v>200</v>
      </c>
      <c r="CY18" t="s">
        <v>201</v>
      </c>
      <c r="CZ18" t="s">
        <v>202</v>
      </c>
      <c r="DA18" t="s">
        <v>203</v>
      </c>
      <c r="DB18" t="s">
        <v>204</v>
      </c>
      <c r="DC18" t="s">
        <v>205</v>
      </c>
    </row>
    <row r="19" spans="1:107" x14ac:dyDescent="0.45">
      <c r="A19" t="s">
        <v>137</v>
      </c>
      <c r="B19" t="s">
        <v>612</v>
      </c>
      <c r="C19" t="s">
        <v>139</v>
      </c>
      <c r="D19" t="s">
        <v>76</v>
      </c>
      <c r="E19" t="s">
        <v>140</v>
      </c>
      <c r="F19" t="s">
        <v>19</v>
      </c>
      <c r="G19" t="s">
        <v>141</v>
      </c>
      <c r="H19" t="s">
        <v>19</v>
      </c>
      <c r="I19" t="s">
        <v>19</v>
      </c>
      <c r="J19">
        <v>6.9317990834553644E-2</v>
      </c>
      <c r="K19">
        <v>2.9042299199999997</v>
      </c>
      <c r="L19">
        <v>6.7702081490758778E-2</v>
      </c>
      <c r="M19">
        <v>0.7450822715950034</v>
      </c>
      <c r="N19" t="s">
        <v>613</v>
      </c>
      <c r="O19" t="s">
        <v>614</v>
      </c>
      <c r="P19">
        <v>2.5174867335374107</v>
      </c>
      <c r="Q19">
        <v>1.0969747335374107</v>
      </c>
      <c r="R19" t="s">
        <v>615</v>
      </c>
      <c r="S19" t="s">
        <v>616</v>
      </c>
      <c r="T19">
        <v>24.76622462899568</v>
      </c>
      <c r="U19">
        <v>0.4417875</v>
      </c>
      <c r="V19" t="s">
        <v>146</v>
      </c>
      <c r="W19" t="s">
        <v>617</v>
      </c>
      <c r="X19" t="s">
        <v>618</v>
      </c>
      <c r="Y19" t="s">
        <v>619</v>
      </c>
      <c r="Z19" t="s">
        <v>620</v>
      </c>
      <c r="AA19" t="s">
        <v>151</v>
      </c>
      <c r="AB19" t="s">
        <v>151</v>
      </c>
      <c r="AC19" t="s">
        <v>151</v>
      </c>
      <c r="AD19" t="s">
        <v>152</v>
      </c>
      <c r="AE19" t="s">
        <v>153</v>
      </c>
      <c r="AF19">
        <v>0</v>
      </c>
      <c r="AG19" t="s">
        <v>154</v>
      </c>
      <c r="AH19" t="s">
        <v>621</v>
      </c>
      <c r="AI19" t="s">
        <v>622</v>
      </c>
      <c r="AJ19" t="s">
        <v>343</v>
      </c>
      <c r="AK19" t="s">
        <v>623</v>
      </c>
      <c r="AL19">
        <v>21.14</v>
      </c>
      <c r="AM19" t="s">
        <v>518</v>
      </c>
      <c r="AN19" t="s">
        <v>284</v>
      </c>
      <c r="AO19" t="s">
        <v>624</v>
      </c>
      <c r="AP19" t="s">
        <v>625</v>
      </c>
      <c r="AQ19" t="s">
        <v>163</v>
      </c>
      <c r="AR19" t="s">
        <v>602</v>
      </c>
      <c r="AS19" t="s">
        <v>626</v>
      </c>
      <c r="AT19" t="s">
        <v>139</v>
      </c>
      <c r="AU19" t="s">
        <v>627</v>
      </c>
      <c r="AV19" t="s">
        <v>137</v>
      </c>
      <c r="AW19" t="s">
        <v>628</v>
      </c>
      <c r="AX19" t="s">
        <v>629</v>
      </c>
      <c r="AY19" t="s">
        <v>169</v>
      </c>
      <c r="AZ19" t="s">
        <v>630</v>
      </c>
      <c r="BA19" t="s">
        <v>631</v>
      </c>
      <c r="BB19" t="s">
        <v>169</v>
      </c>
      <c r="BC19" t="s">
        <v>137</v>
      </c>
      <c r="BD19" t="s">
        <v>172</v>
      </c>
      <c r="BE19" t="s">
        <v>169</v>
      </c>
      <c r="BF19" t="s">
        <v>173</v>
      </c>
      <c r="BG19" t="s">
        <v>174</v>
      </c>
      <c r="BH19" t="s">
        <v>151</v>
      </c>
      <c r="BI19" t="s">
        <v>175</v>
      </c>
      <c r="BJ19" t="s">
        <v>151</v>
      </c>
      <c r="BK19" t="s">
        <v>151</v>
      </c>
      <c r="BL19" t="s">
        <v>176</v>
      </c>
      <c r="BM19" t="s">
        <v>177</v>
      </c>
      <c r="BN19" t="s">
        <v>137</v>
      </c>
      <c r="BO19" t="s">
        <v>178</v>
      </c>
      <c r="BP19" t="s">
        <v>179</v>
      </c>
      <c r="BQ19" t="s">
        <v>180</v>
      </c>
      <c r="BR19" t="s">
        <v>154</v>
      </c>
      <c r="BS19" t="s">
        <v>181</v>
      </c>
      <c r="BT19" t="s">
        <v>182</v>
      </c>
      <c r="BU19" t="s">
        <v>182</v>
      </c>
      <c r="BV19" t="s">
        <v>182</v>
      </c>
      <c r="BW19" t="s">
        <v>151</v>
      </c>
      <c r="BX19" t="s">
        <v>183</v>
      </c>
      <c r="BY19" t="s">
        <v>151</v>
      </c>
      <c r="BZ19" t="s">
        <v>151</v>
      </c>
      <c r="CA19" t="s">
        <v>151</v>
      </c>
      <c r="CB19" t="s">
        <v>151</v>
      </c>
      <c r="CC19" t="s">
        <v>632</v>
      </c>
      <c r="CD19" t="s">
        <v>633</v>
      </c>
      <c r="CE19" t="s">
        <v>634</v>
      </c>
      <c r="CF19" t="s">
        <v>635</v>
      </c>
      <c r="CG19" t="s">
        <v>636</v>
      </c>
      <c r="CH19" t="s">
        <v>637</v>
      </c>
      <c r="CI19" t="s">
        <v>638</v>
      </c>
      <c r="CJ19" t="s">
        <v>559</v>
      </c>
      <c r="CK19" t="s">
        <v>618</v>
      </c>
      <c r="CL19" t="s">
        <v>445</v>
      </c>
      <c r="CM19" t="s">
        <v>193</v>
      </c>
      <c r="CN19" t="s">
        <v>194</v>
      </c>
      <c r="CO19" t="s">
        <v>154</v>
      </c>
      <c r="CP19" t="s">
        <v>195</v>
      </c>
      <c r="CQ19" t="s">
        <v>196</v>
      </c>
      <c r="CR19" t="s">
        <v>154</v>
      </c>
      <c r="CS19" t="s">
        <v>197</v>
      </c>
      <c r="CT19" t="s">
        <v>198</v>
      </c>
      <c r="CU19" t="s">
        <v>199</v>
      </c>
      <c r="CV19" t="s">
        <v>151</v>
      </c>
      <c r="CW19" t="s">
        <v>617</v>
      </c>
      <c r="CX19" t="s">
        <v>200</v>
      </c>
      <c r="CY19" t="s">
        <v>201</v>
      </c>
      <c r="CZ19" t="s">
        <v>202</v>
      </c>
      <c r="DA19" t="s">
        <v>203</v>
      </c>
      <c r="DB19" t="s">
        <v>204</v>
      </c>
      <c r="DC19" t="s">
        <v>205</v>
      </c>
    </row>
    <row r="20" spans="1:107" x14ac:dyDescent="0.45">
      <c r="A20" t="s">
        <v>206</v>
      </c>
      <c r="B20" t="s">
        <v>639</v>
      </c>
      <c r="C20" t="s">
        <v>139</v>
      </c>
      <c r="D20" t="s">
        <v>76</v>
      </c>
      <c r="E20" t="s">
        <v>140</v>
      </c>
      <c r="F20" t="s">
        <v>19</v>
      </c>
      <c r="G20" t="s">
        <v>208</v>
      </c>
      <c r="H20" t="s">
        <v>19</v>
      </c>
      <c r="I20" t="s">
        <v>19</v>
      </c>
      <c r="J20">
        <v>4.368065413195308E-2</v>
      </c>
      <c r="K20">
        <v>2.9050319999999994</v>
      </c>
      <c r="L20">
        <v>4.3033592254722801E-2</v>
      </c>
      <c r="M20">
        <v>0.47154627700122509</v>
      </c>
      <c r="N20" t="s">
        <v>640</v>
      </c>
      <c r="O20" t="s">
        <v>641</v>
      </c>
      <c r="P20">
        <v>2.5595175391663725</v>
      </c>
      <c r="Q20">
        <v>1.0916075391663724</v>
      </c>
      <c r="R20" t="s">
        <v>642</v>
      </c>
      <c r="S20" t="s">
        <v>643</v>
      </c>
      <c r="T20">
        <v>25.182187516394848</v>
      </c>
      <c r="U20">
        <v>0.4417875</v>
      </c>
      <c r="V20" t="s">
        <v>146</v>
      </c>
      <c r="W20" t="s">
        <v>644</v>
      </c>
      <c r="X20" t="s">
        <v>645</v>
      </c>
      <c r="Y20" t="s">
        <v>646</v>
      </c>
      <c r="Z20" t="s">
        <v>647</v>
      </c>
      <c r="AA20" t="s">
        <v>151</v>
      </c>
      <c r="AB20" t="s">
        <v>151</v>
      </c>
      <c r="AC20" t="s">
        <v>151</v>
      </c>
      <c r="AD20" t="s">
        <v>152</v>
      </c>
      <c r="AE20" t="s">
        <v>153</v>
      </c>
      <c r="AF20">
        <v>0</v>
      </c>
      <c r="AG20" t="s">
        <v>154</v>
      </c>
      <c r="AH20" t="s">
        <v>648</v>
      </c>
      <c r="AI20" t="s">
        <v>649</v>
      </c>
      <c r="AJ20" t="s">
        <v>373</v>
      </c>
      <c r="AK20" t="s">
        <v>650</v>
      </c>
      <c r="AL20">
        <v>21.41</v>
      </c>
      <c r="AM20" t="s">
        <v>460</v>
      </c>
      <c r="AN20" t="s">
        <v>160</v>
      </c>
      <c r="AO20" t="s">
        <v>651</v>
      </c>
      <c r="AP20" t="s">
        <v>286</v>
      </c>
      <c r="AQ20" t="s">
        <v>163</v>
      </c>
      <c r="AR20" t="s">
        <v>652</v>
      </c>
      <c r="AS20" t="s">
        <v>626</v>
      </c>
      <c r="AT20" t="s">
        <v>139</v>
      </c>
      <c r="AU20" t="s">
        <v>627</v>
      </c>
      <c r="AV20" t="s">
        <v>137</v>
      </c>
      <c r="AW20" t="s">
        <v>167</v>
      </c>
      <c r="AX20" t="s">
        <v>653</v>
      </c>
      <c r="AY20" t="s">
        <v>169</v>
      </c>
      <c r="AZ20" t="s">
        <v>654</v>
      </c>
      <c r="BA20" t="s">
        <v>655</v>
      </c>
      <c r="BB20" t="s">
        <v>169</v>
      </c>
      <c r="BC20" t="s">
        <v>137</v>
      </c>
      <c r="BD20" t="s">
        <v>172</v>
      </c>
      <c r="BE20" t="s">
        <v>169</v>
      </c>
      <c r="BF20" t="s">
        <v>173</v>
      </c>
      <c r="BG20" t="s">
        <v>174</v>
      </c>
      <c r="BH20" t="s">
        <v>151</v>
      </c>
      <c r="BI20" t="s">
        <v>175</v>
      </c>
      <c r="BJ20" t="s">
        <v>151</v>
      </c>
      <c r="BK20" t="s">
        <v>151</v>
      </c>
      <c r="BL20" t="s">
        <v>176</v>
      </c>
      <c r="BM20" t="s">
        <v>177</v>
      </c>
      <c r="BN20" t="s">
        <v>137</v>
      </c>
      <c r="BO20" t="s">
        <v>178</v>
      </c>
      <c r="BP20" t="s">
        <v>179</v>
      </c>
      <c r="BQ20" t="s">
        <v>180</v>
      </c>
      <c r="BR20" t="s">
        <v>154</v>
      </c>
      <c r="BS20" t="s">
        <v>181</v>
      </c>
      <c r="BT20" t="s">
        <v>182</v>
      </c>
      <c r="BU20" t="s">
        <v>182</v>
      </c>
      <c r="BV20" t="s">
        <v>182</v>
      </c>
      <c r="BW20" t="s">
        <v>151</v>
      </c>
      <c r="BX20" t="s">
        <v>183</v>
      </c>
      <c r="BY20" t="s">
        <v>151</v>
      </c>
      <c r="BZ20" t="s">
        <v>151</v>
      </c>
      <c r="CA20" t="s">
        <v>151</v>
      </c>
      <c r="CB20" t="s">
        <v>151</v>
      </c>
      <c r="CC20" t="s">
        <v>656</v>
      </c>
      <c r="CD20" t="s">
        <v>657</v>
      </c>
      <c r="CE20" t="s">
        <v>658</v>
      </c>
      <c r="CF20" t="s">
        <v>659</v>
      </c>
      <c r="CG20" t="s">
        <v>660</v>
      </c>
      <c r="CH20" t="s">
        <v>661</v>
      </c>
      <c r="CI20" t="s">
        <v>662</v>
      </c>
      <c r="CJ20" t="s">
        <v>328</v>
      </c>
      <c r="CK20" t="s">
        <v>645</v>
      </c>
      <c r="CL20" t="s">
        <v>445</v>
      </c>
      <c r="CM20" t="s">
        <v>193</v>
      </c>
      <c r="CN20" t="s">
        <v>194</v>
      </c>
      <c r="CO20" t="s">
        <v>154</v>
      </c>
      <c r="CP20" t="s">
        <v>195</v>
      </c>
      <c r="CQ20" t="s">
        <v>196</v>
      </c>
      <c r="CR20" t="s">
        <v>154</v>
      </c>
      <c r="CS20" t="s">
        <v>197</v>
      </c>
      <c r="CT20" t="s">
        <v>198</v>
      </c>
      <c r="CU20" t="s">
        <v>199</v>
      </c>
      <c r="CV20" t="s">
        <v>151</v>
      </c>
      <c r="CW20" t="s">
        <v>644</v>
      </c>
      <c r="CX20" t="s">
        <v>200</v>
      </c>
      <c r="CY20" t="s">
        <v>201</v>
      </c>
      <c r="CZ20" t="s">
        <v>202</v>
      </c>
      <c r="DA20" t="s">
        <v>203</v>
      </c>
      <c r="DB20" t="s">
        <v>204</v>
      </c>
      <c r="DC20" t="s">
        <v>205</v>
      </c>
    </row>
    <row r="21" spans="1:107" x14ac:dyDescent="0.45">
      <c r="A21" t="s">
        <v>238</v>
      </c>
      <c r="B21" t="s">
        <v>663</v>
      </c>
      <c r="C21" t="s">
        <v>139</v>
      </c>
      <c r="D21" t="s">
        <v>76</v>
      </c>
      <c r="E21" t="s">
        <v>140</v>
      </c>
      <c r="F21" t="s">
        <v>19</v>
      </c>
      <c r="G21" t="s">
        <v>240</v>
      </c>
      <c r="H21" t="s">
        <v>19</v>
      </c>
      <c r="I21" t="s">
        <v>19</v>
      </c>
      <c r="J21">
        <v>1.5283059530437768E-2</v>
      </c>
      <c r="K21">
        <v>2.9042299199999997</v>
      </c>
      <c r="L21">
        <v>1.5203055807128933E-2</v>
      </c>
      <c r="M21">
        <v>0.16925801741422319</v>
      </c>
      <c r="N21" t="s">
        <v>664</v>
      </c>
      <c r="O21" t="s">
        <v>665</v>
      </c>
      <c r="P21">
        <v>2.6053448970028241</v>
      </c>
      <c r="Q21">
        <v>1.1088928970028242</v>
      </c>
      <c r="R21" t="s">
        <v>666</v>
      </c>
      <c r="S21" t="s">
        <v>667</v>
      </c>
      <c r="T21">
        <v>25.630544977893003</v>
      </c>
      <c r="U21">
        <v>0.4417875</v>
      </c>
      <c r="V21" t="s">
        <v>146</v>
      </c>
      <c r="W21" t="s">
        <v>668</v>
      </c>
      <c r="X21" t="s">
        <v>669</v>
      </c>
      <c r="Y21" t="s">
        <v>670</v>
      </c>
      <c r="Z21" t="s">
        <v>671</v>
      </c>
      <c r="AA21" t="s">
        <v>151</v>
      </c>
      <c r="AB21" t="s">
        <v>151</v>
      </c>
      <c r="AC21" t="s">
        <v>151</v>
      </c>
      <c r="AD21" t="s">
        <v>152</v>
      </c>
      <c r="AE21" t="s">
        <v>153</v>
      </c>
      <c r="AF21">
        <v>0</v>
      </c>
      <c r="AG21" t="s">
        <v>154</v>
      </c>
      <c r="AH21" t="s">
        <v>672</v>
      </c>
      <c r="AI21" t="s">
        <v>673</v>
      </c>
      <c r="AJ21" t="s">
        <v>373</v>
      </c>
      <c r="AK21" t="s">
        <v>674</v>
      </c>
      <c r="AL21">
        <v>21.7</v>
      </c>
      <c r="AM21" t="s">
        <v>518</v>
      </c>
      <c r="AN21" t="s">
        <v>284</v>
      </c>
      <c r="AO21" t="s">
        <v>675</v>
      </c>
      <c r="AP21" t="s">
        <v>152</v>
      </c>
      <c r="AQ21" t="s">
        <v>163</v>
      </c>
      <c r="AR21" t="s">
        <v>676</v>
      </c>
      <c r="AS21" t="s">
        <v>626</v>
      </c>
      <c r="AT21" t="s">
        <v>139</v>
      </c>
      <c r="AU21" t="s">
        <v>627</v>
      </c>
      <c r="AV21" t="s">
        <v>137</v>
      </c>
      <c r="AW21" t="s">
        <v>494</v>
      </c>
      <c r="AX21" t="s">
        <v>548</v>
      </c>
      <c r="AY21" t="s">
        <v>169</v>
      </c>
      <c r="AZ21" t="s">
        <v>677</v>
      </c>
      <c r="BA21" t="s">
        <v>678</v>
      </c>
      <c r="BB21" t="s">
        <v>169</v>
      </c>
      <c r="BC21" t="s">
        <v>137</v>
      </c>
      <c r="BD21" t="s">
        <v>172</v>
      </c>
      <c r="BE21" t="s">
        <v>169</v>
      </c>
      <c r="BF21" t="s">
        <v>173</v>
      </c>
      <c r="BG21" t="s">
        <v>174</v>
      </c>
      <c r="BH21" t="s">
        <v>151</v>
      </c>
      <c r="BI21" t="s">
        <v>175</v>
      </c>
      <c r="BJ21" t="s">
        <v>151</v>
      </c>
      <c r="BK21" t="s">
        <v>151</v>
      </c>
      <c r="BL21" t="s">
        <v>176</v>
      </c>
      <c r="BM21" t="s">
        <v>177</v>
      </c>
      <c r="BN21" t="s">
        <v>137</v>
      </c>
      <c r="BO21" t="s">
        <v>178</v>
      </c>
      <c r="BP21" t="s">
        <v>179</v>
      </c>
      <c r="BQ21" t="s">
        <v>180</v>
      </c>
      <c r="BR21" t="s">
        <v>154</v>
      </c>
      <c r="BS21" t="s">
        <v>181</v>
      </c>
      <c r="BT21" t="s">
        <v>182</v>
      </c>
      <c r="BU21" t="s">
        <v>182</v>
      </c>
      <c r="BV21" t="s">
        <v>182</v>
      </c>
      <c r="BW21" t="s">
        <v>151</v>
      </c>
      <c r="BX21" t="s">
        <v>183</v>
      </c>
      <c r="BY21" t="s">
        <v>151</v>
      </c>
      <c r="BZ21" t="s">
        <v>151</v>
      </c>
      <c r="CA21" t="s">
        <v>151</v>
      </c>
      <c r="CB21" t="s">
        <v>151</v>
      </c>
      <c r="CC21" t="s">
        <v>679</v>
      </c>
      <c r="CD21" t="s">
        <v>680</v>
      </c>
      <c r="CE21" t="s">
        <v>681</v>
      </c>
      <c r="CF21" t="s">
        <v>682</v>
      </c>
      <c r="CG21" t="s">
        <v>683</v>
      </c>
      <c r="CH21" t="s">
        <v>684</v>
      </c>
      <c r="CI21" t="s">
        <v>685</v>
      </c>
      <c r="CJ21" t="s">
        <v>328</v>
      </c>
      <c r="CK21" t="s">
        <v>669</v>
      </c>
      <c r="CL21" t="s">
        <v>560</v>
      </c>
      <c r="CM21" t="s">
        <v>193</v>
      </c>
      <c r="CN21" t="s">
        <v>194</v>
      </c>
      <c r="CO21" t="s">
        <v>154</v>
      </c>
      <c r="CP21" t="s">
        <v>195</v>
      </c>
      <c r="CQ21" t="s">
        <v>196</v>
      </c>
      <c r="CR21" t="s">
        <v>154</v>
      </c>
      <c r="CS21" t="s">
        <v>197</v>
      </c>
      <c r="CT21" t="s">
        <v>198</v>
      </c>
      <c r="CU21" t="s">
        <v>199</v>
      </c>
      <c r="CV21" t="s">
        <v>151</v>
      </c>
      <c r="CW21" t="s">
        <v>668</v>
      </c>
      <c r="CX21" t="s">
        <v>200</v>
      </c>
      <c r="CY21" t="s">
        <v>201</v>
      </c>
      <c r="CZ21" t="s">
        <v>202</v>
      </c>
      <c r="DA21" t="s">
        <v>203</v>
      </c>
      <c r="DB21" t="s">
        <v>204</v>
      </c>
      <c r="DC21" t="s">
        <v>205</v>
      </c>
    </row>
    <row r="22" spans="1:107" x14ac:dyDescent="0.45">
      <c r="A22" t="s">
        <v>268</v>
      </c>
      <c r="B22" t="s">
        <v>686</v>
      </c>
      <c r="C22" t="s">
        <v>139</v>
      </c>
      <c r="D22" t="s">
        <v>76</v>
      </c>
      <c r="E22" t="s">
        <v>140</v>
      </c>
      <c r="F22" t="s">
        <v>19</v>
      </c>
      <c r="G22" t="s">
        <v>270</v>
      </c>
      <c r="H22" t="s">
        <v>19</v>
      </c>
      <c r="I22" t="s">
        <v>19</v>
      </c>
      <c r="J22">
        <v>4.9988035932232618E-2</v>
      </c>
      <c r="K22">
        <v>2.9042299199999997</v>
      </c>
      <c r="L22">
        <v>4.9142193217295335E-2</v>
      </c>
      <c r="M22">
        <v>0.53757346078278712</v>
      </c>
      <c r="N22" t="s">
        <v>687</v>
      </c>
      <c r="O22" t="s">
        <v>688</v>
      </c>
      <c r="P22">
        <v>2.6133183417857859</v>
      </c>
      <c r="Q22">
        <v>1.0893453417857859</v>
      </c>
      <c r="R22" t="s">
        <v>689</v>
      </c>
      <c r="S22" t="s">
        <v>690</v>
      </c>
      <c r="T22">
        <v>25.708985162673741</v>
      </c>
      <c r="U22">
        <v>0.4417875</v>
      </c>
      <c r="V22" t="s">
        <v>146</v>
      </c>
      <c r="W22" t="s">
        <v>691</v>
      </c>
      <c r="X22" t="s">
        <v>692</v>
      </c>
      <c r="Y22" t="s">
        <v>693</v>
      </c>
      <c r="Z22" t="s">
        <v>694</v>
      </c>
      <c r="AA22" t="s">
        <v>151</v>
      </c>
      <c r="AB22" t="s">
        <v>151</v>
      </c>
      <c r="AC22" t="s">
        <v>151</v>
      </c>
      <c r="AD22" t="s">
        <v>152</v>
      </c>
      <c r="AE22" t="s">
        <v>153</v>
      </c>
      <c r="AF22">
        <v>0</v>
      </c>
      <c r="AG22" t="s">
        <v>154</v>
      </c>
      <c r="AH22" t="s">
        <v>695</v>
      </c>
      <c r="AI22" t="s">
        <v>696</v>
      </c>
      <c r="AJ22" t="s">
        <v>373</v>
      </c>
      <c r="AK22" t="s">
        <v>544</v>
      </c>
      <c r="AL22">
        <v>21.75</v>
      </c>
      <c r="AM22" t="s">
        <v>518</v>
      </c>
      <c r="AN22" t="s">
        <v>284</v>
      </c>
      <c r="AO22" t="s">
        <v>697</v>
      </c>
      <c r="AP22" t="s">
        <v>698</v>
      </c>
      <c r="AQ22" t="s">
        <v>163</v>
      </c>
      <c r="AR22" t="s">
        <v>699</v>
      </c>
      <c r="AS22" t="s">
        <v>626</v>
      </c>
      <c r="AT22" t="s">
        <v>139</v>
      </c>
      <c r="AU22" t="s">
        <v>627</v>
      </c>
      <c r="AV22" t="s">
        <v>137</v>
      </c>
      <c r="AW22" t="s">
        <v>227</v>
      </c>
      <c r="AX22" t="s">
        <v>700</v>
      </c>
      <c r="AY22" t="s">
        <v>169</v>
      </c>
      <c r="AZ22" t="s">
        <v>701</v>
      </c>
      <c r="BA22" t="s">
        <v>702</v>
      </c>
      <c r="BB22" t="s">
        <v>169</v>
      </c>
      <c r="BC22" t="s">
        <v>137</v>
      </c>
      <c r="BD22" t="s">
        <v>172</v>
      </c>
      <c r="BE22" t="s">
        <v>169</v>
      </c>
      <c r="BF22" t="s">
        <v>173</v>
      </c>
      <c r="BG22" t="s">
        <v>174</v>
      </c>
      <c r="BH22" t="s">
        <v>151</v>
      </c>
      <c r="BI22" t="s">
        <v>175</v>
      </c>
      <c r="BJ22" t="s">
        <v>151</v>
      </c>
      <c r="BK22" t="s">
        <v>151</v>
      </c>
      <c r="BL22" t="s">
        <v>176</v>
      </c>
      <c r="BM22" t="s">
        <v>177</v>
      </c>
      <c r="BN22" t="s">
        <v>137</v>
      </c>
      <c r="BO22" t="s">
        <v>178</v>
      </c>
      <c r="BP22" t="s">
        <v>179</v>
      </c>
      <c r="BQ22" t="s">
        <v>180</v>
      </c>
      <c r="BR22" t="s">
        <v>154</v>
      </c>
      <c r="BS22" t="s">
        <v>181</v>
      </c>
      <c r="BT22" t="s">
        <v>182</v>
      </c>
      <c r="BU22" t="s">
        <v>182</v>
      </c>
      <c r="BV22" t="s">
        <v>182</v>
      </c>
      <c r="BW22" t="s">
        <v>151</v>
      </c>
      <c r="BX22" t="s">
        <v>183</v>
      </c>
      <c r="BY22" t="s">
        <v>151</v>
      </c>
      <c r="BZ22" t="s">
        <v>151</v>
      </c>
      <c r="CA22" t="s">
        <v>151</v>
      </c>
      <c r="CB22" t="s">
        <v>151</v>
      </c>
      <c r="CC22" t="s">
        <v>703</v>
      </c>
      <c r="CD22" t="s">
        <v>704</v>
      </c>
      <c r="CE22" t="s">
        <v>705</v>
      </c>
      <c r="CF22" t="s">
        <v>706</v>
      </c>
      <c r="CG22" t="s">
        <v>707</v>
      </c>
      <c r="CH22" t="s">
        <v>708</v>
      </c>
      <c r="CI22" t="s">
        <v>709</v>
      </c>
      <c r="CJ22" t="s">
        <v>559</v>
      </c>
      <c r="CK22" t="s">
        <v>692</v>
      </c>
      <c r="CL22" t="s">
        <v>710</v>
      </c>
      <c r="CM22" t="s">
        <v>193</v>
      </c>
      <c r="CN22" t="s">
        <v>194</v>
      </c>
      <c r="CO22" t="s">
        <v>154</v>
      </c>
      <c r="CP22" t="s">
        <v>195</v>
      </c>
      <c r="CQ22" t="s">
        <v>196</v>
      </c>
      <c r="CR22" t="s">
        <v>154</v>
      </c>
      <c r="CS22" t="s">
        <v>197</v>
      </c>
      <c r="CT22" t="s">
        <v>198</v>
      </c>
      <c r="CU22" t="s">
        <v>199</v>
      </c>
      <c r="CV22" t="s">
        <v>151</v>
      </c>
      <c r="CW22" t="s">
        <v>691</v>
      </c>
      <c r="CX22" t="s">
        <v>200</v>
      </c>
      <c r="CY22" t="s">
        <v>201</v>
      </c>
      <c r="CZ22" t="s">
        <v>202</v>
      </c>
      <c r="DA22" t="s">
        <v>203</v>
      </c>
      <c r="DB22" t="s">
        <v>204</v>
      </c>
      <c r="DC22" t="s">
        <v>205</v>
      </c>
    </row>
    <row r="23" spans="1:107" x14ac:dyDescent="0.45">
      <c r="A23" t="s">
        <v>180</v>
      </c>
      <c r="B23" t="s">
        <v>711</v>
      </c>
      <c r="C23" t="s">
        <v>139</v>
      </c>
      <c r="D23" t="s">
        <v>76</v>
      </c>
      <c r="E23" t="s">
        <v>140</v>
      </c>
      <c r="F23" t="s">
        <v>19</v>
      </c>
      <c r="G23" t="s">
        <v>301</v>
      </c>
      <c r="H23" t="s">
        <v>19</v>
      </c>
      <c r="I23" t="s">
        <v>19</v>
      </c>
      <c r="J23">
        <v>1.7071275734852414</v>
      </c>
      <c r="K23">
        <v>2.9066320800000001</v>
      </c>
      <c r="L23">
        <v>1.0754768653795097</v>
      </c>
      <c r="M23">
        <v>6.1149501691629249</v>
      </c>
      <c r="N23" t="s">
        <v>712</v>
      </c>
      <c r="O23" t="s">
        <v>713</v>
      </c>
      <c r="P23">
        <v>2.2763481703739656</v>
      </c>
      <c r="Q23">
        <v>0.56660017037396559</v>
      </c>
      <c r="R23" t="s">
        <v>714</v>
      </c>
      <c r="S23" t="s">
        <v>715</v>
      </c>
      <c r="T23">
        <v>22.39398101695982</v>
      </c>
      <c r="U23">
        <v>0.4417875</v>
      </c>
      <c r="V23" t="s">
        <v>146</v>
      </c>
      <c r="W23" t="s">
        <v>716</v>
      </c>
      <c r="X23" t="s">
        <v>717</v>
      </c>
      <c r="Y23" t="s">
        <v>718</v>
      </c>
      <c r="Z23" t="s">
        <v>719</v>
      </c>
      <c r="AA23" t="s">
        <v>151</v>
      </c>
      <c r="AB23" t="s">
        <v>151</v>
      </c>
      <c r="AC23" t="s">
        <v>151</v>
      </c>
      <c r="AD23" t="s">
        <v>152</v>
      </c>
      <c r="AE23" t="s">
        <v>153</v>
      </c>
      <c r="AF23">
        <v>0</v>
      </c>
      <c r="AG23" t="s">
        <v>154</v>
      </c>
      <c r="AH23" t="s">
        <v>720</v>
      </c>
      <c r="AI23" t="s">
        <v>721</v>
      </c>
      <c r="AJ23" t="s">
        <v>373</v>
      </c>
      <c r="AK23" t="s">
        <v>722</v>
      </c>
      <c r="AL23">
        <v>19.510000000000002</v>
      </c>
      <c r="AM23" t="s">
        <v>518</v>
      </c>
      <c r="AN23" t="s">
        <v>401</v>
      </c>
      <c r="AO23" t="s">
        <v>723</v>
      </c>
      <c r="AP23" t="s">
        <v>625</v>
      </c>
      <c r="AQ23" t="s">
        <v>163</v>
      </c>
      <c r="AR23" t="s">
        <v>676</v>
      </c>
      <c r="AS23" t="s">
        <v>626</v>
      </c>
      <c r="AT23" t="s">
        <v>139</v>
      </c>
      <c r="AU23" t="s">
        <v>627</v>
      </c>
      <c r="AV23" t="s">
        <v>137</v>
      </c>
      <c r="AW23" t="s">
        <v>227</v>
      </c>
      <c r="AX23" t="s">
        <v>724</v>
      </c>
      <c r="AY23" t="s">
        <v>169</v>
      </c>
      <c r="AZ23" t="s">
        <v>725</v>
      </c>
      <c r="BA23" t="s">
        <v>726</v>
      </c>
      <c r="BB23" t="s">
        <v>169</v>
      </c>
      <c r="BC23" t="s">
        <v>137</v>
      </c>
      <c r="BD23" t="s">
        <v>172</v>
      </c>
      <c r="BE23" t="s">
        <v>169</v>
      </c>
      <c r="BF23" t="s">
        <v>173</v>
      </c>
      <c r="BG23" t="s">
        <v>174</v>
      </c>
      <c r="BH23" t="s">
        <v>151</v>
      </c>
      <c r="BI23" t="s">
        <v>175</v>
      </c>
      <c r="BJ23" t="s">
        <v>151</v>
      </c>
      <c r="BK23" t="s">
        <v>151</v>
      </c>
      <c r="BL23" t="s">
        <v>176</v>
      </c>
      <c r="BM23" t="s">
        <v>177</v>
      </c>
      <c r="BN23" t="s">
        <v>137</v>
      </c>
      <c r="BO23" t="s">
        <v>178</v>
      </c>
      <c r="BP23" t="s">
        <v>179</v>
      </c>
      <c r="BQ23" t="s">
        <v>180</v>
      </c>
      <c r="BR23" t="s">
        <v>154</v>
      </c>
      <c r="BS23" t="s">
        <v>181</v>
      </c>
      <c r="BT23" t="s">
        <v>182</v>
      </c>
      <c r="BU23" t="s">
        <v>182</v>
      </c>
      <c r="BV23" t="s">
        <v>182</v>
      </c>
      <c r="BW23" t="s">
        <v>151</v>
      </c>
      <c r="BX23" t="s">
        <v>183</v>
      </c>
      <c r="BY23" t="s">
        <v>151</v>
      </c>
      <c r="BZ23" t="s">
        <v>151</v>
      </c>
      <c r="CA23" t="s">
        <v>151</v>
      </c>
      <c r="CB23" t="s">
        <v>151</v>
      </c>
      <c r="CC23" t="s">
        <v>727</v>
      </c>
      <c r="CD23" t="s">
        <v>728</v>
      </c>
      <c r="CE23" t="s">
        <v>729</v>
      </c>
      <c r="CF23" t="s">
        <v>730</v>
      </c>
      <c r="CG23" t="s">
        <v>731</v>
      </c>
      <c r="CH23" t="s">
        <v>732</v>
      </c>
      <c r="CI23" t="s">
        <v>733</v>
      </c>
      <c r="CJ23" t="s">
        <v>328</v>
      </c>
      <c r="CK23" t="s">
        <v>717</v>
      </c>
      <c r="CL23" t="s">
        <v>475</v>
      </c>
      <c r="CM23" t="s">
        <v>193</v>
      </c>
      <c r="CN23" t="s">
        <v>194</v>
      </c>
      <c r="CO23" t="s">
        <v>154</v>
      </c>
      <c r="CP23" t="s">
        <v>195</v>
      </c>
      <c r="CQ23" t="s">
        <v>196</v>
      </c>
      <c r="CR23" t="s">
        <v>154</v>
      </c>
      <c r="CS23" t="s">
        <v>197</v>
      </c>
      <c r="CT23" t="s">
        <v>198</v>
      </c>
      <c r="CU23" t="s">
        <v>199</v>
      </c>
      <c r="CV23" t="s">
        <v>151</v>
      </c>
      <c r="CW23" t="s">
        <v>716</v>
      </c>
      <c r="CX23" t="s">
        <v>200</v>
      </c>
      <c r="CY23" t="s">
        <v>201</v>
      </c>
      <c r="CZ23" t="s">
        <v>202</v>
      </c>
      <c r="DA23" t="s">
        <v>203</v>
      </c>
      <c r="DB23" t="s">
        <v>204</v>
      </c>
      <c r="DC23" t="s">
        <v>205</v>
      </c>
    </row>
    <row r="24" spans="1:107" x14ac:dyDescent="0.45">
      <c r="A24" t="s">
        <v>330</v>
      </c>
      <c r="B24" t="s">
        <v>734</v>
      </c>
      <c r="C24" t="s">
        <v>139</v>
      </c>
      <c r="D24" t="s">
        <v>76</v>
      </c>
      <c r="E24" t="s">
        <v>140</v>
      </c>
      <c r="F24" t="s">
        <v>19</v>
      </c>
      <c r="G24" t="s">
        <v>332</v>
      </c>
      <c r="H24" t="s">
        <v>19</v>
      </c>
      <c r="I24" t="s">
        <v>19</v>
      </c>
      <c r="J24">
        <v>0.13286674545774904</v>
      </c>
      <c r="K24">
        <v>2.9042299199999997</v>
      </c>
      <c r="L24">
        <v>0.12705409805362911</v>
      </c>
      <c r="M24">
        <v>1.1587262383000332</v>
      </c>
      <c r="N24" t="s">
        <v>735</v>
      </c>
      <c r="O24" t="s">
        <v>736</v>
      </c>
      <c r="P24">
        <v>2.509769936876598</v>
      </c>
      <c r="Q24">
        <v>0.90840293687659801</v>
      </c>
      <c r="R24" t="s">
        <v>737</v>
      </c>
      <c r="S24" t="s">
        <v>738</v>
      </c>
      <c r="T24">
        <v>24.687880551609268</v>
      </c>
      <c r="U24">
        <v>0.4417875</v>
      </c>
      <c r="V24" t="s">
        <v>146</v>
      </c>
      <c r="W24" t="s">
        <v>739</v>
      </c>
      <c r="X24" t="s">
        <v>740</v>
      </c>
      <c r="Y24" t="s">
        <v>741</v>
      </c>
      <c r="Z24" t="s">
        <v>742</v>
      </c>
      <c r="AA24" t="s">
        <v>151</v>
      </c>
      <c r="AB24" t="s">
        <v>151</v>
      </c>
      <c r="AC24" t="s">
        <v>151</v>
      </c>
      <c r="AD24" t="s">
        <v>152</v>
      </c>
      <c r="AE24" t="s">
        <v>153</v>
      </c>
      <c r="AF24">
        <v>0</v>
      </c>
      <c r="AG24" t="s">
        <v>154</v>
      </c>
      <c r="AH24" t="s">
        <v>743</v>
      </c>
      <c r="AI24" t="s">
        <v>744</v>
      </c>
      <c r="AJ24" t="s">
        <v>373</v>
      </c>
      <c r="AK24" t="s">
        <v>745</v>
      </c>
      <c r="AL24">
        <v>21.09</v>
      </c>
      <c r="AM24" t="s">
        <v>746</v>
      </c>
      <c r="AN24" t="s">
        <v>284</v>
      </c>
      <c r="AO24" t="s">
        <v>747</v>
      </c>
      <c r="AP24" t="s">
        <v>748</v>
      </c>
      <c r="AQ24" t="s">
        <v>163</v>
      </c>
      <c r="AR24" t="s">
        <v>699</v>
      </c>
      <c r="AS24" t="s">
        <v>626</v>
      </c>
      <c r="AT24" t="s">
        <v>139</v>
      </c>
      <c r="AU24" t="s">
        <v>627</v>
      </c>
      <c r="AV24" t="s">
        <v>137</v>
      </c>
      <c r="AW24" t="s">
        <v>749</v>
      </c>
      <c r="AX24" t="s">
        <v>677</v>
      </c>
      <c r="AY24" t="s">
        <v>169</v>
      </c>
      <c r="AZ24" t="s">
        <v>750</v>
      </c>
      <c r="BA24" t="s">
        <v>751</v>
      </c>
      <c r="BB24" t="s">
        <v>169</v>
      </c>
      <c r="BC24" t="s">
        <v>137</v>
      </c>
      <c r="BD24" t="s">
        <v>172</v>
      </c>
      <c r="BE24" t="s">
        <v>169</v>
      </c>
      <c r="BF24" t="s">
        <v>173</v>
      </c>
      <c r="BG24" t="s">
        <v>174</v>
      </c>
      <c r="BH24" t="s">
        <v>151</v>
      </c>
      <c r="BI24" t="s">
        <v>175</v>
      </c>
      <c r="BJ24" t="s">
        <v>151</v>
      </c>
      <c r="BK24" t="s">
        <v>151</v>
      </c>
      <c r="BL24" t="s">
        <v>176</v>
      </c>
      <c r="BM24" t="s">
        <v>177</v>
      </c>
      <c r="BN24" t="s">
        <v>137</v>
      </c>
      <c r="BO24" t="s">
        <v>178</v>
      </c>
      <c r="BP24" t="s">
        <v>179</v>
      </c>
      <c r="BQ24" t="s">
        <v>180</v>
      </c>
      <c r="BR24" t="s">
        <v>154</v>
      </c>
      <c r="BS24" t="s">
        <v>181</v>
      </c>
      <c r="BT24" t="s">
        <v>182</v>
      </c>
      <c r="BU24" t="s">
        <v>182</v>
      </c>
      <c r="BV24" t="s">
        <v>182</v>
      </c>
      <c r="BW24" t="s">
        <v>151</v>
      </c>
      <c r="BX24" t="s">
        <v>183</v>
      </c>
      <c r="BY24" t="s">
        <v>151</v>
      </c>
      <c r="BZ24" t="s">
        <v>151</v>
      </c>
      <c r="CA24" t="s">
        <v>151</v>
      </c>
      <c r="CB24" t="s">
        <v>151</v>
      </c>
      <c r="CC24" t="s">
        <v>752</v>
      </c>
      <c r="CD24" t="s">
        <v>753</v>
      </c>
      <c r="CE24" t="s">
        <v>754</v>
      </c>
      <c r="CF24" t="s">
        <v>755</v>
      </c>
      <c r="CG24" t="s">
        <v>756</v>
      </c>
      <c r="CH24" t="s">
        <v>757</v>
      </c>
      <c r="CI24" t="s">
        <v>758</v>
      </c>
      <c r="CJ24" t="s">
        <v>444</v>
      </c>
      <c r="CK24" t="s">
        <v>740</v>
      </c>
      <c r="CL24" t="s">
        <v>560</v>
      </c>
      <c r="CM24" t="s">
        <v>193</v>
      </c>
      <c r="CN24" t="s">
        <v>194</v>
      </c>
      <c r="CO24" t="s">
        <v>154</v>
      </c>
      <c r="CP24" t="s">
        <v>195</v>
      </c>
      <c r="CQ24" t="s">
        <v>196</v>
      </c>
      <c r="CR24" t="s">
        <v>154</v>
      </c>
      <c r="CS24" t="s">
        <v>197</v>
      </c>
      <c r="CT24" t="s">
        <v>198</v>
      </c>
      <c r="CU24" t="s">
        <v>199</v>
      </c>
      <c r="CV24" t="s">
        <v>151</v>
      </c>
      <c r="CW24" t="s">
        <v>739</v>
      </c>
      <c r="CX24" t="s">
        <v>200</v>
      </c>
      <c r="CY24" t="s">
        <v>201</v>
      </c>
      <c r="CZ24" t="s">
        <v>202</v>
      </c>
      <c r="DA24" t="s">
        <v>203</v>
      </c>
      <c r="DB24" t="s">
        <v>204</v>
      </c>
      <c r="DC24" t="s">
        <v>205</v>
      </c>
    </row>
    <row r="25" spans="1:107" x14ac:dyDescent="0.45">
      <c r="A25" t="s">
        <v>360</v>
      </c>
      <c r="B25" t="s">
        <v>759</v>
      </c>
      <c r="C25" t="s">
        <v>139</v>
      </c>
      <c r="D25" t="s">
        <v>76</v>
      </c>
      <c r="E25" t="s">
        <v>140</v>
      </c>
      <c r="F25" t="s">
        <v>19</v>
      </c>
      <c r="G25" t="s">
        <v>362</v>
      </c>
      <c r="H25" t="s">
        <v>19</v>
      </c>
      <c r="I25" t="s">
        <v>19</v>
      </c>
      <c r="J25">
        <v>0.23271127120082535</v>
      </c>
      <c r="K25">
        <v>2.9050319999999994</v>
      </c>
      <c r="L25">
        <v>0.21545219961235249</v>
      </c>
      <c r="M25">
        <v>1.7623006738828542</v>
      </c>
      <c r="N25" t="s">
        <v>760</v>
      </c>
      <c r="O25" t="s">
        <v>761</v>
      </c>
      <c r="P25">
        <v>2.4128088250586819</v>
      </c>
      <c r="Q25">
        <v>0.81514582505868183</v>
      </c>
      <c r="R25" t="s">
        <v>762</v>
      </c>
      <c r="S25" t="s">
        <v>763</v>
      </c>
      <c r="T25">
        <v>23.73410215481686</v>
      </c>
      <c r="U25">
        <v>0.4417875</v>
      </c>
      <c r="V25" t="s">
        <v>146</v>
      </c>
      <c r="W25" t="s">
        <v>764</v>
      </c>
      <c r="X25" t="s">
        <v>765</v>
      </c>
      <c r="Y25" t="s">
        <v>766</v>
      </c>
      <c r="Z25" t="s">
        <v>767</v>
      </c>
      <c r="AA25" t="s">
        <v>151</v>
      </c>
      <c r="AB25" t="s">
        <v>151</v>
      </c>
      <c r="AC25" t="s">
        <v>151</v>
      </c>
      <c r="AD25" t="s">
        <v>152</v>
      </c>
      <c r="AE25" t="s">
        <v>153</v>
      </c>
      <c r="AF25">
        <v>0</v>
      </c>
      <c r="AG25" t="s">
        <v>154</v>
      </c>
      <c r="AH25" t="s">
        <v>768</v>
      </c>
      <c r="AI25" t="s">
        <v>769</v>
      </c>
      <c r="AJ25" t="s">
        <v>373</v>
      </c>
      <c r="AK25" t="s">
        <v>770</v>
      </c>
      <c r="AL25">
        <v>20.45</v>
      </c>
      <c r="AM25" t="s">
        <v>746</v>
      </c>
      <c r="AN25" t="s">
        <v>160</v>
      </c>
      <c r="AO25" t="s">
        <v>222</v>
      </c>
      <c r="AP25" t="s">
        <v>461</v>
      </c>
      <c r="AQ25" t="s">
        <v>163</v>
      </c>
      <c r="AR25" t="s">
        <v>699</v>
      </c>
      <c r="AS25" t="s">
        <v>626</v>
      </c>
      <c r="AT25" t="s">
        <v>139</v>
      </c>
      <c r="AU25" t="s">
        <v>627</v>
      </c>
      <c r="AV25" t="s">
        <v>137</v>
      </c>
      <c r="AW25" t="s">
        <v>377</v>
      </c>
      <c r="AX25" t="s">
        <v>771</v>
      </c>
      <c r="AY25" t="s">
        <v>169</v>
      </c>
      <c r="AZ25" t="s">
        <v>772</v>
      </c>
      <c r="BA25" t="s">
        <v>773</v>
      </c>
      <c r="BB25" t="s">
        <v>169</v>
      </c>
      <c r="BC25" t="s">
        <v>137</v>
      </c>
      <c r="BD25" t="s">
        <v>172</v>
      </c>
      <c r="BE25" t="s">
        <v>169</v>
      </c>
      <c r="BF25" t="s">
        <v>173</v>
      </c>
      <c r="BG25" t="s">
        <v>174</v>
      </c>
      <c r="BH25" t="s">
        <v>151</v>
      </c>
      <c r="BI25" t="s">
        <v>175</v>
      </c>
      <c r="BJ25" t="s">
        <v>151</v>
      </c>
      <c r="BK25" t="s">
        <v>151</v>
      </c>
      <c r="BL25" t="s">
        <v>176</v>
      </c>
      <c r="BM25" t="s">
        <v>177</v>
      </c>
      <c r="BN25" t="s">
        <v>137</v>
      </c>
      <c r="BO25" t="s">
        <v>178</v>
      </c>
      <c r="BP25" t="s">
        <v>179</v>
      </c>
      <c r="BQ25" t="s">
        <v>180</v>
      </c>
      <c r="BR25" t="s">
        <v>154</v>
      </c>
      <c r="BS25" t="s">
        <v>181</v>
      </c>
      <c r="BT25" t="s">
        <v>182</v>
      </c>
      <c r="BU25" t="s">
        <v>182</v>
      </c>
      <c r="BV25" t="s">
        <v>182</v>
      </c>
      <c r="BW25" t="s">
        <v>151</v>
      </c>
      <c r="BX25" t="s">
        <v>183</v>
      </c>
      <c r="BY25" t="s">
        <v>151</v>
      </c>
      <c r="BZ25" t="s">
        <v>151</v>
      </c>
      <c r="CA25" t="s">
        <v>151</v>
      </c>
      <c r="CB25" t="s">
        <v>151</v>
      </c>
      <c r="CC25" t="s">
        <v>774</v>
      </c>
      <c r="CD25" t="s">
        <v>775</v>
      </c>
      <c r="CE25" t="s">
        <v>776</v>
      </c>
      <c r="CF25" t="s">
        <v>777</v>
      </c>
      <c r="CG25" t="s">
        <v>778</v>
      </c>
      <c r="CH25" t="s">
        <v>779</v>
      </c>
      <c r="CI25" t="s">
        <v>780</v>
      </c>
      <c r="CJ25" t="s">
        <v>299</v>
      </c>
      <c r="CK25" t="s">
        <v>765</v>
      </c>
      <c r="CL25" t="s">
        <v>267</v>
      </c>
      <c r="CM25" t="s">
        <v>193</v>
      </c>
      <c r="CN25" t="s">
        <v>194</v>
      </c>
      <c r="CO25" t="s">
        <v>154</v>
      </c>
      <c r="CP25" t="s">
        <v>195</v>
      </c>
      <c r="CQ25" t="s">
        <v>196</v>
      </c>
      <c r="CR25" t="s">
        <v>154</v>
      </c>
      <c r="CS25" t="s">
        <v>197</v>
      </c>
      <c r="CT25" t="s">
        <v>198</v>
      </c>
      <c r="CU25" t="s">
        <v>199</v>
      </c>
      <c r="CV25" t="s">
        <v>151</v>
      </c>
      <c r="CW25" t="s">
        <v>764</v>
      </c>
      <c r="CX25" t="s">
        <v>200</v>
      </c>
      <c r="CY25" t="s">
        <v>201</v>
      </c>
      <c r="CZ25" t="s">
        <v>202</v>
      </c>
      <c r="DA25" t="s">
        <v>203</v>
      </c>
      <c r="DB25" t="s">
        <v>204</v>
      </c>
      <c r="DC25" t="s">
        <v>205</v>
      </c>
    </row>
    <row r="26" spans="1:107" x14ac:dyDescent="0.45">
      <c r="A26" t="s">
        <v>387</v>
      </c>
      <c r="B26" t="s">
        <v>781</v>
      </c>
      <c r="C26" t="s">
        <v>139</v>
      </c>
      <c r="D26" t="s">
        <v>76</v>
      </c>
      <c r="E26" t="s">
        <v>140</v>
      </c>
      <c r="F26" t="s">
        <v>19</v>
      </c>
      <c r="G26" t="s">
        <v>389</v>
      </c>
      <c r="H26" t="s">
        <v>19</v>
      </c>
      <c r="I26" t="s">
        <v>19</v>
      </c>
      <c r="J26">
        <v>0.18421531350321949</v>
      </c>
      <c r="K26">
        <v>2.9050319999999994</v>
      </c>
      <c r="L26">
        <v>0.17323034587671804</v>
      </c>
      <c r="M26">
        <v>1.5625450404825301</v>
      </c>
      <c r="N26" t="s">
        <v>782</v>
      </c>
      <c r="O26" t="s">
        <v>783</v>
      </c>
      <c r="P26">
        <v>2.5020738626472876</v>
      </c>
      <c r="Q26">
        <v>0.89848386264728752</v>
      </c>
      <c r="R26" t="s">
        <v>784</v>
      </c>
      <c r="S26" t="s">
        <v>785</v>
      </c>
      <c r="T26">
        <v>24.612176496628837</v>
      </c>
      <c r="U26">
        <v>0.4417875</v>
      </c>
      <c r="V26" t="s">
        <v>146</v>
      </c>
      <c r="W26" t="s">
        <v>786</v>
      </c>
      <c r="X26" t="s">
        <v>787</v>
      </c>
      <c r="Y26" t="s">
        <v>788</v>
      </c>
      <c r="Z26" t="s">
        <v>789</v>
      </c>
      <c r="AA26" t="s">
        <v>151</v>
      </c>
      <c r="AB26" t="s">
        <v>151</v>
      </c>
      <c r="AC26" t="s">
        <v>151</v>
      </c>
      <c r="AD26" t="s">
        <v>152</v>
      </c>
      <c r="AE26" t="s">
        <v>153</v>
      </c>
      <c r="AF26">
        <v>0</v>
      </c>
      <c r="AG26" t="s">
        <v>154</v>
      </c>
      <c r="AH26" t="s">
        <v>790</v>
      </c>
      <c r="AI26" t="s">
        <v>791</v>
      </c>
      <c r="AJ26" t="s">
        <v>373</v>
      </c>
      <c r="AK26" t="s">
        <v>792</v>
      </c>
      <c r="AL26">
        <v>21.04</v>
      </c>
      <c r="AM26" t="s">
        <v>746</v>
      </c>
      <c r="AN26" t="s">
        <v>160</v>
      </c>
      <c r="AO26" t="s">
        <v>793</v>
      </c>
      <c r="AP26" t="s">
        <v>794</v>
      </c>
      <c r="AQ26" t="s">
        <v>163</v>
      </c>
      <c r="AR26" t="s">
        <v>795</v>
      </c>
      <c r="AS26" t="s">
        <v>626</v>
      </c>
      <c r="AT26" t="s">
        <v>139</v>
      </c>
      <c r="AU26" t="s">
        <v>627</v>
      </c>
      <c r="AV26" t="s">
        <v>137</v>
      </c>
      <c r="AW26" t="s">
        <v>749</v>
      </c>
      <c r="AX26" t="s">
        <v>628</v>
      </c>
      <c r="AY26" t="s">
        <v>405</v>
      </c>
      <c r="AZ26" t="s">
        <v>796</v>
      </c>
      <c r="BA26" t="s">
        <v>797</v>
      </c>
      <c r="BB26" t="s">
        <v>798</v>
      </c>
      <c r="BC26" t="s">
        <v>137</v>
      </c>
      <c r="BD26" t="s">
        <v>172</v>
      </c>
      <c r="BE26" t="s">
        <v>169</v>
      </c>
      <c r="BF26" t="s">
        <v>173</v>
      </c>
      <c r="BG26" t="s">
        <v>174</v>
      </c>
      <c r="BH26" t="s">
        <v>151</v>
      </c>
      <c r="BI26" t="s">
        <v>175</v>
      </c>
      <c r="BJ26" t="s">
        <v>151</v>
      </c>
      <c r="BK26" t="s">
        <v>151</v>
      </c>
      <c r="BL26" t="s">
        <v>176</v>
      </c>
      <c r="BM26" t="s">
        <v>177</v>
      </c>
      <c r="BN26" t="s">
        <v>137</v>
      </c>
      <c r="BO26" t="s">
        <v>178</v>
      </c>
      <c r="BP26" t="s">
        <v>179</v>
      </c>
      <c r="BQ26" t="s">
        <v>180</v>
      </c>
      <c r="BR26" t="s">
        <v>154</v>
      </c>
      <c r="BS26" t="s">
        <v>181</v>
      </c>
      <c r="BT26" t="s">
        <v>182</v>
      </c>
      <c r="BU26" t="s">
        <v>182</v>
      </c>
      <c r="BV26" t="s">
        <v>182</v>
      </c>
      <c r="BW26" t="s">
        <v>151</v>
      </c>
      <c r="BX26" t="s">
        <v>183</v>
      </c>
      <c r="BY26" t="s">
        <v>151</v>
      </c>
      <c r="BZ26" t="s">
        <v>151</v>
      </c>
      <c r="CA26" t="s">
        <v>151</v>
      </c>
      <c r="CB26" t="s">
        <v>151</v>
      </c>
      <c r="CC26" t="s">
        <v>799</v>
      </c>
      <c r="CD26" t="s">
        <v>800</v>
      </c>
      <c r="CE26" t="s">
        <v>801</v>
      </c>
      <c r="CF26" t="s">
        <v>802</v>
      </c>
      <c r="CG26" t="s">
        <v>660</v>
      </c>
      <c r="CH26" t="s">
        <v>803</v>
      </c>
      <c r="CI26" t="s">
        <v>804</v>
      </c>
      <c r="CJ26" t="s">
        <v>299</v>
      </c>
      <c r="CK26" t="s">
        <v>787</v>
      </c>
      <c r="CL26" t="s">
        <v>530</v>
      </c>
      <c r="CM26" t="s">
        <v>193</v>
      </c>
      <c r="CN26" t="s">
        <v>194</v>
      </c>
      <c r="CO26" t="s">
        <v>154</v>
      </c>
      <c r="CP26" t="s">
        <v>195</v>
      </c>
      <c r="CQ26" t="s">
        <v>196</v>
      </c>
      <c r="CR26" t="s">
        <v>154</v>
      </c>
      <c r="CS26" t="s">
        <v>197</v>
      </c>
      <c r="CT26" t="s">
        <v>198</v>
      </c>
      <c r="CU26" t="s">
        <v>199</v>
      </c>
      <c r="CV26" t="s">
        <v>151</v>
      </c>
      <c r="CW26" t="s">
        <v>786</v>
      </c>
      <c r="CX26" t="s">
        <v>200</v>
      </c>
      <c r="CY26" t="s">
        <v>201</v>
      </c>
      <c r="CZ26" t="s">
        <v>202</v>
      </c>
      <c r="DA26" t="s">
        <v>203</v>
      </c>
      <c r="DB26" t="s">
        <v>204</v>
      </c>
      <c r="DC26" t="s">
        <v>205</v>
      </c>
    </row>
    <row r="27" spans="1:107" x14ac:dyDescent="0.45">
      <c r="A27" t="s">
        <v>417</v>
      </c>
      <c r="B27" t="s">
        <v>805</v>
      </c>
      <c r="C27" t="s">
        <v>139</v>
      </c>
      <c r="D27" t="s">
        <v>76</v>
      </c>
      <c r="E27" t="s">
        <v>140</v>
      </c>
      <c r="F27" t="s">
        <v>19</v>
      </c>
      <c r="G27" t="s">
        <v>419</v>
      </c>
      <c r="H27" t="s">
        <v>19</v>
      </c>
      <c r="I27" t="s">
        <v>19</v>
      </c>
      <c r="J27">
        <v>0.1389672618626841</v>
      </c>
      <c r="K27">
        <v>2.9042299199999997</v>
      </c>
      <c r="L27">
        <v>0.13262133725920791</v>
      </c>
      <c r="M27">
        <v>1.2518147765029009</v>
      </c>
      <c r="N27" t="s">
        <v>806</v>
      </c>
      <c r="O27" t="s">
        <v>807</v>
      </c>
      <c r="P27">
        <v>2.5205792650741419</v>
      </c>
      <c r="Q27">
        <v>0.94036926507414198</v>
      </c>
      <c r="R27" t="s">
        <v>808</v>
      </c>
      <c r="S27" t="s">
        <v>809</v>
      </c>
      <c r="T27">
        <v>24.7917700902345</v>
      </c>
      <c r="U27">
        <v>0.4417875</v>
      </c>
      <c r="V27" t="s">
        <v>146</v>
      </c>
      <c r="W27" t="s">
        <v>810</v>
      </c>
      <c r="X27" t="s">
        <v>811</v>
      </c>
      <c r="Y27" t="s">
        <v>812</v>
      </c>
      <c r="Z27" t="s">
        <v>813</v>
      </c>
      <c r="AA27" t="s">
        <v>151</v>
      </c>
      <c r="AB27" t="s">
        <v>151</v>
      </c>
      <c r="AC27" t="s">
        <v>151</v>
      </c>
      <c r="AD27" t="s">
        <v>152</v>
      </c>
      <c r="AE27" t="s">
        <v>153</v>
      </c>
      <c r="AF27">
        <v>0</v>
      </c>
      <c r="AG27" t="s">
        <v>154</v>
      </c>
      <c r="AH27" t="s">
        <v>814</v>
      </c>
      <c r="AI27" t="s">
        <v>815</v>
      </c>
      <c r="AJ27" t="s">
        <v>373</v>
      </c>
      <c r="AK27" t="s">
        <v>816</v>
      </c>
      <c r="AL27">
        <v>21.16</v>
      </c>
      <c r="AM27" t="s">
        <v>817</v>
      </c>
      <c r="AN27" t="s">
        <v>284</v>
      </c>
      <c r="AO27" t="s">
        <v>818</v>
      </c>
      <c r="AP27" t="s">
        <v>819</v>
      </c>
      <c r="AQ27" t="s">
        <v>163</v>
      </c>
      <c r="AR27" t="s">
        <v>820</v>
      </c>
      <c r="AS27" t="s">
        <v>626</v>
      </c>
      <c r="AT27" t="s">
        <v>139</v>
      </c>
      <c r="AU27" t="s">
        <v>627</v>
      </c>
      <c r="AV27" t="s">
        <v>137</v>
      </c>
      <c r="AW27" t="s">
        <v>821</v>
      </c>
      <c r="AX27" t="s">
        <v>822</v>
      </c>
      <c r="AY27" t="s">
        <v>169</v>
      </c>
      <c r="AZ27" t="s">
        <v>823</v>
      </c>
      <c r="BA27" t="s">
        <v>824</v>
      </c>
      <c r="BB27" t="s">
        <v>169</v>
      </c>
      <c r="BC27" t="s">
        <v>137</v>
      </c>
      <c r="BD27" t="s">
        <v>172</v>
      </c>
      <c r="BE27" t="s">
        <v>169</v>
      </c>
      <c r="BF27" t="s">
        <v>173</v>
      </c>
      <c r="BG27" t="s">
        <v>174</v>
      </c>
      <c r="BH27" t="s">
        <v>151</v>
      </c>
      <c r="BI27" t="s">
        <v>175</v>
      </c>
      <c r="BJ27" t="s">
        <v>151</v>
      </c>
      <c r="BK27" t="s">
        <v>151</v>
      </c>
      <c r="BL27" t="s">
        <v>176</v>
      </c>
      <c r="BM27" t="s">
        <v>177</v>
      </c>
      <c r="BN27" t="s">
        <v>137</v>
      </c>
      <c r="BO27" t="s">
        <v>178</v>
      </c>
      <c r="BP27" t="s">
        <v>179</v>
      </c>
      <c r="BQ27" t="s">
        <v>180</v>
      </c>
      <c r="BR27" t="s">
        <v>154</v>
      </c>
      <c r="BS27" t="s">
        <v>181</v>
      </c>
      <c r="BT27" t="s">
        <v>182</v>
      </c>
      <c r="BU27" t="s">
        <v>182</v>
      </c>
      <c r="BV27" t="s">
        <v>182</v>
      </c>
      <c r="BW27" t="s">
        <v>151</v>
      </c>
      <c r="BX27" t="s">
        <v>183</v>
      </c>
      <c r="BY27" t="s">
        <v>151</v>
      </c>
      <c r="BZ27" t="s">
        <v>151</v>
      </c>
      <c r="CA27" t="s">
        <v>151</v>
      </c>
      <c r="CB27" t="s">
        <v>151</v>
      </c>
      <c r="CC27" t="s">
        <v>825</v>
      </c>
      <c r="CD27" t="s">
        <v>826</v>
      </c>
      <c r="CE27" t="s">
        <v>827</v>
      </c>
      <c r="CF27" t="s">
        <v>828</v>
      </c>
      <c r="CG27" t="s">
        <v>829</v>
      </c>
      <c r="CH27" t="s">
        <v>830</v>
      </c>
      <c r="CI27" t="s">
        <v>831</v>
      </c>
      <c r="CJ27" t="s">
        <v>832</v>
      </c>
      <c r="CK27" t="s">
        <v>811</v>
      </c>
      <c r="CL27" t="s">
        <v>833</v>
      </c>
      <c r="CM27" t="s">
        <v>193</v>
      </c>
      <c r="CN27" t="s">
        <v>194</v>
      </c>
      <c r="CO27" t="s">
        <v>154</v>
      </c>
      <c r="CP27" t="s">
        <v>195</v>
      </c>
      <c r="CQ27" t="s">
        <v>196</v>
      </c>
      <c r="CR27" t="s">
        <v>154</v>
      </c>
      <c r="CS27" t="s">
        <v>197</v>
      </c>
      <c r="CT27" t="s">
        <v>198</v>
      </c>
      <c r="CU27" t="s">
        <v>199</v>
      </c>
      <c r="CV27" t="s">
        <v>151</v>
      </c>
      <c r="CW27" t="s">
        <v>810</v>
      </c>
      <c r="CX27" t="s">
        <v>200</v>
      </c>
      <c r="CY27" t="s">
        <v>201</v>
      </c>
      <c r="CZ27" t="s">
        <v>202</v>
      </c>
      <c r="DA27" t="s">
        <v>203</v>
      </c>
      <c r="DB27" t="s">
        <v>204</v>
      </c>
      <c r="DC27" t="s">
        <v>205</v>
      </c>
    </row>
    <row r="28" spans="1:107" x14ac:dyDescent="0.45">
      <c r="A28" t="s">
        <v>446</v>
      </c>
      <c r="B28" t="s">
        <v>834</v>
      </c>
      <c r="C28" t="s">
        <v>139</v>
      </c>
      <c r="D28" t="s">
        <v>76</v>
      </c>
      <c r="E28" t="s">
        <v>140</v>
      </c>
      <c r="F28" t="s">
        <v>19</v>
      </c>
      <c r="G28" t="s">
        <v>448</v>
      </c>
      <c r="H28" t="s">
        <v>19</v>
      </c>
      <c r="I28" t="s">
        <v>19</v>
      </c>
      <c r="J28">
        <v>0.21244144244467636</v>
      </c>
      <c r="K28">
        <v>2.9042299199999997</v>
      </c>
      <c r="L28">
        <v>0.19796081191949505</v>
      </c>
      <c r="M28">
        <v>1.6538646328304087</v>
      </c>
      <c r="N28" t="s">
        <v>835</v>
      </c>
      <c r="O28" t="s">
        <v>836</v>
      </c>
      <c r="P28">
        <v>2.4593565919416194</v>
      </c>
      <c r="Q28">
        <v>0.83232859194161946</v>
      </c>
      <c r="R28" t="s">
        <v>837</v>
      </c>
      <c r="S28" t="s">
        <v>838</v>
      </c>
      <c r="T28">
        <v>24.189599605996058</v>
      </c>
      <c r="U28">
        <v>0.4417875</v>
      </c>
      <c r="V28" t="s">
        <v>146</v>
      </c>
      <c r="W28" t="s">
        <v>839</v>
      </c>
      <c r="X28" t="s">
        <v>840</v>
      </c>
      <c r="Y28" t="s">
        <v>841</v>
      </c>
      <c r="Z28" t="s">
        <v>842</v>
      </c>
      <c r="AA28" t="s">
        <v>151</v>
      </c>
      <c r="AB28" t="s">
        <v>151</v>
      </c>
      <c r="AC28" t="s">
        <v>151</v>
      </c>
      <c r="AD28" t="s">
        <v>152</v>
      </c>
      <c r="AE28" t="s">
        <v>153</v>
      </c>
      <c r="AF28">
        <v>0</v>
      </c>
      <c r="AG28" t="s">
        <v>154</v>
      </c>
      <c r="AH28" t="s">
        <v>843</v>
      </c>
      <c r="AI28" t="s">
        <v>844</v>
      </c>
      <c r="AJ28" t="s">
        <v>343</v>
      </c>
      <c r="AK28" t="s">
        <v>845</v>
      </c>
      <c r="AL28">
        <v>20.76</v>
      </c>
      <c r="AM28" t="s">
        <v>817</v>
      </c>
      <c r="AN28" t="s">
        <v>284</v>
      </c>
      <c r="AO28" t="s">
        <v>846</v>
      </c>
      <c r="AP28" t="s">
        <v>847</v>
      </c>
      <c r="AQ28" t="s">
        <v>163</v>
      </c>
      <c r="AR28" t="s">
        <v>820</v>
      </c>
      <c r="AS28" t="s">
        <v>626</v>
      </c>
      <c r="AT28" t="s">
        <v>139</v>
      </c>
      <c r="AU28" t="s">
        <v>627</v>
      </c>
      <c r="AV28" t="s">
        <v>137</v>
      </c>
      <c r="AW28" t="s">
        <v>848</v>
      </c>
      <c r="AX28" t="s">
        <v>849</v>
      </c>
      <c r="AY28" t="s">
        <v>169</v>
      </c>
      <c r="AZ28" t="s">
        <v>850</v>
      </c>
      <c r="BA28" t="s">
        <v>851</v>
      </c>
      <c r="BB28" t="s">
        <v>169</v>
      </c>
      <c r="BC28" t="s">
        <v>137</v>
      </c>
      <c r="BD28" t="s">
        <v>172</v>
      </c>
      <c r="BE28" t="s">
        <v>169</v>
      </c>
      <c r="BF28" t="s">
        <v>173</v>
      </c>
      <c r="BG28" t="s">
        <v>174</v>
      </c>
      <c r="BH28" t="s">
        <v>151</v>
      </c>
      <c r="BI28" t="s">
        <v>175</v>
      </c>
      <c r="BJ28" t="s">
        <v>151</v>
      </c>
      <c r="BK28" t="s">
        <v>151</v>
      </c>
      <c r="BL28" t="s">
        <v>176</v>
      </c>
      <c r="BM28" t="s">
        <v>177</v>
      </c>
      <c r="BN28" t="s">
        <v>137</v>
      </c>
      <c r="BO28" t="s">
        <v>178</v>
      </c>
      <c r="BP28" t="s">
        <v>179</v>
      </c>
      <c r="BQ28" t="s">
        <v>180</v>
      </c>
      <c r="BR28" t="s">
        <v>154</v>
      </c>
      <c r="BS28" t="s">
        <v>181</v>
      </c>
      <c r="BT28" t="s">
        <v>182</v>
      </c>
      <c r="BU28" t="s">
        <v>182</v>
      </c>
      <c r="BV28" t="s">
        <v>182</v>
      </c>
      <c r="BW28" t="s">
        <v>151</v>
      </c>
      <c r="BX28" t="s">
        <v>183</v>
      </c>
      <c r="BY28" t="s">
        <v>151</v>
      </c>
      <c r="BZ28" t="s">
        <v>151</v>
      </c>
      <c r="CA28" t="s">
        <v>151</v>
      </c>
      <c r="CB28" t="s">
        <v>151</v>
      </c>
      <c r="CC28" t="s">
        <v>852</v>
      </c>
      <c r="CD28" t="s">
        <v>853</v>
      </c>
      <c r="CE28" t="s">
        <v>854</v>
      </c>
      <c r="CF28" t="s">
        <v>855</v>
      </c>
      <c r="CG28" t="s">
        <v>856</v>
      </c>
      <c r="CH28" t="s">
        <v>857</v>
      </c>
      <c r="CI28" t="s">
        <v>858</v>
      </c>
      <c r="CJ28" t="s">
        <v>444</v>
      </c>
      <c r="CK28" t="s">
        <v>840</v>
      </c>
      <c r="CL28" t="s">
        <v>833</v>
      </c>
      <c r="CM28" t="s">
        <v>193</v>
      </c>
      <c r="CN28" t="s">
        <v>194</v>
      </c>
      <c r="CO28" t="s">
        <v>154</v>
      </c>
      <c r="CP28" t="s">
        <v>195</v>
      </c>
      <c r="CQ28" t="s">
        <v>196</v>
      </c>
      <c r="CR28" t="s">
        <v>154</v>
      </c>
      <c r="CS28" t="s">
        <v>197</v>
      </c>
      <c r="CT28" t="s">
        <v>198</v>
      </c>
      <c r="CU28" t="s">
        <v>199</v>
      </c>
      <c r="CV28" t="s">
        <v>151</v>
      </c>
      <c r="CW28" t="s">
        <v>839</v>
      </c>
      <c r="CX28" t="s">
        <v>200</v>
      </c>
      <c r="CY28" t="s">
        <v>201</v>
      </c>
      <c r="CZ28" t="s">
        <v>202</v>
      </c>
      <c r="DA28" t="s">
        <v>203</v>
      </c>
      <c r="DB28" t="s">
        <v>204</v>
      </c>
      <c r="DC28" t="s">
        <v>205</v>
      </c>
    </row>
    <row r="29" spans="1:107" x14ac:dyDescent="0.45">
      <c r="A29" t="s">
        <v>137</v>
      </c>
      <c r="B29" t="s">
        <v>859</v>
      </c>
      <c r="C29" t="s">
        <v>139</v>
      </c>
      <c r="D29" t="s">
        <v>76</v>
      </c>
      <c r="E29" t="s">
        <v>140</v>
      </c>
      <c r="F29" t="s">
        <v>19</v>
      </c>
      <c r="G29" t="s">
        <v>141</v>
      </c>
      <c r="H29" t="s">
        <v>19</v>
      </c>
      <c r="I29" t="s">
        <v>19</v>
      </c>
      <c r="J29">
        <v>9.4130533139033037E-3</v>
      </c>
      <c r="K29">
        <v>2.9050319999999994</v>
      </c>
      <c r="L29">
        <v>9.382651103166946E-3</v>
      </c>
      <c r="M29">
        <v>0.1084728788862296</v>
      </c>
      <c r="N29" t="s">
        <v>860</v>
      </c>
      <c r="O29" t="s">
        <v>861</v>
      </c>
      <c r="P29">
        <v>2.5894618753487859</v>
      </c>
      <c r="Q29">
        <v>1.1522718753487859</v>
      </c>
      <c r="R29" t="s">
        <v>862</v>
      </c>
      <c r="S29" t="s">
        <v>863</v>
      </c>
      <c r="T29">
        <v>25.466776901541952</v>
      </c>
      <c r="U29">
        <v>0.4417875</v>
      </c>
      <c r="V29" t="s">
        <v>146</v>
      </c>
      <c r="W29" t="s">
        <v>864</v>
      </c>
      <c r="X29" t="s">
        <v>865</v>
      </c>
      <c r="Y29" t="s">
        <v>866</v>
      </c>
      <c r="Z29" t="s">
        <v>867</v>
      </c>
      <c r="AA29" t="s">
        <v>151</v>
      </c>
      <c r="AB29" t="s">
        <v>151</v>
      </c>
      <c r="AC29" t="s">
        <v>151</v>
      </c>
      <c r="AD29" t="s">
        <v>152</v>
      </c>
      <c r="AE29" t="s">
        <v>153</v>
      </c>
      <c r="AF29">
        <v>0</v>
      </c>
      <c r="AG29" t="s">
        <v>154</v>
      </c>
      <c r="AH29" t="s">
        <v>868</v>
      </c>
      <c r="AI29" t="s">
        <v>869</v>
      </c>
      <c r="AJ29" t="s">
        <v>870</v>
      </c>
      <c r="AK29" t="s">
        <v>871</v>
      </c>
      <c r="AL29">
        <v>21.6</v>
      </c>
      <c r="AM29" t="s">
        <v>872</v>
      </c>
      <c r="AN29" t="s">
        <v>160</v>
      </c>
      <c r="AO29" t="s">
        <v>873</v>
      </c>
      <c r="AP29" t="s">
        <v>874</v>
      </c>
      <c r="AQ29" t="s">
        <v>163</v>
      </c>
      <c r="AR29" t="s">
        <v>875</v>
      </c>
      <c r="AS29" t="s">
        <v>876</v>
      </c>
      <c r="AT29" t="s">
        <v>139</v>
      </c>
      <c r="AU29" t="s">
        <v>877</v>
      </c>
      <c r="AV29" t="s">
        <v>137</v>
      </c>
      <c r="AW29" t="s">
        <v>463</v>
      </c>
      <c r="AX29" t="s">
        <v>878</v>
      </c>
      <c r="AY29" t="s">
        <v>169</v>
      </c>
      <c r="AZ29" t="s">
        <v>628</v>
      </c>
      <c r="BA29" t="s">
        <v>879</v>
      </c>
      <c r="BB29" t="s">
        <v>169</v>
      </c>
      <c r="BC29" t="s">
        <v>137</v>
      </c>
      <c r="BD29" t="s">
        <v>172</v>
      </c>
      <c r="BE29" t="s">
        <v>169</v>
      </c>
      <c r="BF29" t="s">
        <v>173</v>
      </c>
      <c r="BG29" t="s">
        <v>174</v>
      </c>
      <c r="BH29" t="s">
        <v>151</v>
      </c>
      <c r="BI29" t="s">
        <v>175</v>
      </c>
      <c r="BJ29" t="s">
        <v>151</v>
      </c>
      <c r="BK29" t="s">
        <v>151</v>
      </c>
      <c r="BL29" t="s">
        <v>176</v>
      </c>
      <c r="BM29" t="s">
        <v>177</v>
      </c>
      <c r="BN29" t="s">
        <v>137</v>
      </c>
      <c r="BO29" t="s">
        <v>178</v>
      </c>
      <c r="BP29" t="s">
        <v>179</v>
      </c>
      <c r="BQ29" t="s">
        <v>180</v>
      </c>
      <c r="BR29" t="s">
        <v>154</v>
      </c>
      <c r="BS29" t="s">
        <v>181</v>
      </c>
      <c r="BT29" t="s">
        <v>182</v>
      </c>
      <c r="BU29" t="s">
        <v>182</v>
      </c>
      <c r="BV29" t="s">
        <v>182</v>
      </c>
      <c r="BW29" t="s">
        <v>151</v>
      </c>
      <c r="BX29" t="s">
        <v>183</v>
      </c>
      <c r="BY29" t="s">
        <v>151</v>
      </c>
      <c r="BZ29" t="s">
        <v>151</v>
      </c>
      <c r="CA29" t="s">
        <v>151</v>
      </c>
      <c r="CB29" t="s">
        <v>151</v>
      </c>
      <c r="CC29" t="s">
        <v>880</v>
      </c>
      <c r="CD29" t="s">
        <v>881</v>
      </c>
      <c r="CE29" t="s">
        <v>882</v>
      </c>
      <c r="CF29" t="s">
        <v>883</v>
      </c>
      <c r="CG29" t="s">
        <v>884</v>
      </c>
      <c r="CH29" t="s">
        <v>885</v>
      </c>
      <c r="CI29" t="s">
        <v>886</v>
      </c>
      <c r="CJ29" t="s">
        <v>887</v>
      </c>
      <c r="CK29" t="s">
        <v>865</v>
      </c>
      <c r="CL29" t="s">
        <v>329</v>
      </c>
      <c r="CM29" t="s">
        <v>193</v>
      </c>
      <c r="CN29" t="s">
        <v>194</v>
      </c>
      <c r="CO29" t="s">
        <v>154</v>
      </c>
      <c r="CP29" t="s">
        <v>195</v>
      </c>
      <c r="CQ29" t="s">
        <v>196</v>
      </c>
      <c r="CR29" t="s">
        <v>154</v>
      </c>
      <c r="CS29" t="s">
        <v>197</v>
      </c>
      <c r="CT29" t="s">
        <v>198</v>
      </c>
      <c r="CU29" t="s">
        <v>199</v>
      </c>
      <c r="CV29" t="s">
        <v>151</v>
      </c>
      <c r="CW29" t="s">
        <v>864</v>
      </c>
      <c r="CX29" t="s">
        <v>200</v>
      </c>
      <c r="CY29" t="s">
        <v>201</v>
      </c>
      <c r="CZ29" t="s">
        <v>202</v>
      </c>
      <c r="DA29" t="s">
        <v>203</v>
      </c>
      <c r="DB29" t="s">
        <v>204</v>
      </c>
      <c r="DC29" t="s">
        <v>205</v>
      </c>
    </row>
    <row r="30" spans="1:107" x14ac:dyDescent="0.45">
      <c r="A30" t="s">
        <v>206</v>
      </c>
      <c r="B30" t="s">
        <v>888</v>
      </c>
      <c r="C30" t="s">
        <v>139</v>
      </c>
      <c r="D30" t="s">
        <v>76</v>
      </c>
      <c r="E30" t="s">
        <v>140</v>
      </c>
      <c r="F30" t="s">
        <v>19</v>
      </c>
      <c r="G30" t="s">
        <v>208</v>
      </c>
      <c r="H30" t="s">
        <v>19</v>
      </c>
      <c r="I30" t="s">
        <v>19</v>
      </c>
      <c r="J30">
        <v>-6.0273586447306239E-3</v>
      </c>
      <c r="K30">
        <v>2.9058327199999998</v>
      </c>
      <c r="L30">
        <v>-6.0398867449667137E-3</v>
      </c>
      <c r="M30">
        <v>-6.772566522010523E-2</v>
      </c>
      <c r="N30" t="s">
        <v>889</v>
      </c>
      <c r="O30" t="s">
        <v>890</v>
      </c>
      <c r="P30">
        <v>2.6470405577866654</v>
      </c>
      <c r="Q30">
        <v>1.1167845577866653</v>
      </c>
      <c r="R30" t="s">
        <v>891</v>
      </c>
      <c r="S30" t="s">
        <v>892</v>
      </c>
      <c r="T30">
        <v>26.030490291932988</v>
      </c>
      <c r="U30">
        <v>0.4417875</v>
      </c>
      <c r="V30" t="s">
        <v>146</v>
      </c>
      <c r="W30" t="s">
        <v>893</v>
      </c>
      <c r="X30" t="s">
        <v>894</v>
      </c>
      <c r="Y30" t="s">
        <v>895</v>
      </c>
      <c r="Z30" t="s">
        <v>896</v>
      </c>
      <c r="AA30" t="s">
        <v>151</v>
      </c>
      <c r="AB30" t="s">
        <v>151</v>
      </c>
      <c r="AC30" t="s">
        <v>151</v>
      </c>
      <c r="AD30" t="s">
        <v>152</v>
      </c>
      <c r="AE30" t="s">
        <v>153</v>
      </c>
      <c r="AF30">
        <v>0</v>
      </c>
      <c r="AG30" t="s">
        <v>154</v>
      </c>
      <c r="AH30" t="s">
        <v>897</v>
      </c>
      <c r="AI30" t="s">
        <v>898</v>
      </c>
      <c r="AJ30" t="s">
        <v>899</v>
      </c>
      <c r="AK30" t="s">
        <v>900</v>
      </c>
      <c r="AL30">
        <v>21.96</v>
      </c>
      <c r="AM30" t="s">
        <v>901</v>
      </c>
      <c r="AN30" t="s">
        <v>345</v>
      </c>
      <c r="AO30" t="s">
        <v>902</v>
      </c>
      <c r="AP30" t="s">
        <v>903</v>
      </c>
      <c r="AQ30" t="s">
        <v>163</v>
      </c>
      <c r="AR30" t="s">
        <v>904</v>
      </c>
      <c r="AS30" t="s">
        <v>876</v>
      </c>
      <c r="AT30" t="s">
        <v>139</v>
      </c>
      <c r="AU30" t="s">
        <v>877</v>
      </c>
      <c r="AV30" t="s">
        <v>137</v>
      </c>
      <c r="AW30" t="s">
        <v>905</v>
      </c>
      <c r="AX30" t="s">
        <v>906</v>
      </c>
      <c r="AY30" t="s">
        <v>169</v>
      </c>
      <c r="AZ30" t="s">
        <v>550</v>
      </c>
      <c r="BA30" t="s">
        <v>907</v>
      </c>
      <c r="BB30" t="s">
        <v>169</v>
      </c>
      <c r="BC30" t="s">
        <v>137</v>
      </c>
      <c r="BD30" t="s">
        <v>172</v>
      </c>
      <c r="BE30" t="s">
        <v>169</v>
      </c>
      <c r="BF30" t="s">
        <v>173</v>
      </c>
      <c r="BG30" t="s">
        <v>174</v>
      </c>
      <c r="BH30" t="s">
        <v>151</v>
      </c>
      <c r="BI30" t="s">
        <v>175</v>
      </c>
      <c r="BJ30" t="s">
        <v>151</v>
      </c>
      <c r="BK30" t="s">
        <v>151</v>
      </c>
      <c r="BL30" t="s">
        <v>176</v>
      </c>
      <c r="BM30" t="s">
        <v>177</v>
      </c>
      <c r="BN30" t="s">
        <v>137</v>
      </c>
      <c r="BO30" t="s">
        <v>178</v>
      </c>
      <c r="BP30" t="s">
        <v>179</v>
      </c>
      <c r="BQ30" t="s">
        <v>180</v>
      </c>
      <c r="BR30" t="s">
        <v>154</v>
      </c>
      <c r="BS30" t="s">
        <v>181</v>
      </c>
      <c r="BT30" t="s">
        <v>182</v>
      </c>
      <c r="BU30" t="s">
        <v>182</v>
      </c>
      <c r="BV30" t="s">
        <v>182</v>
      </c>
      <c r="BW30" t="s">
        <v>151</v>
      </c>
      <c r="BX30" t="s">
        <v>183</v>
      </c>
      <c r="BY30" t="s">
        <v>151</v>
      </c>
      <c r="BZ30" t="s">
        <v>151</v>
      </c>
      <c r="CA30" t="s">
        <v>151</v>
      </c>
      <c r="CB30" t="s">
        <v>151</v>
      </c>
      <c r="CC30" t="s">
        <v>908</v>
      </c>
      <c r="CD30" t="s">
        <v>909</v>
      </c>
      <c r="CE30" t="s">
        <v>910</v>
      </c>
      <c r="CF30" t="s">
        <v>911</v>
      </c>
      <c r="CG30" t="s">
        <v>912</v>
      </c>
      <c r="CH30" t="s">
        <v>913</v>
      </c>
      <c r="CI30" t="s">
        <v>914</v>
      </c>
      <c r="CJ30" t="s">
        <v>299</v>
      </c>
      <c r="CK30" t="s">
        <v>894</v>
      </c>
      <c r="CL30" t="s">
        <v>359</v>
      </c>
      <c r="CM30" t="s">
        <v>193</v>
      </c>
      <c r="CN30" t="s">
        <v>194</v>
      </c>
      <c r="CO30" t="s">
        <v>154</v>
      </c>
      <c r="CP30" t="s">
        <v>195</v>
      </c>
      <c r="CQ30" t="s">
        <v>196</v>
      </c>
      <c r="CR30" t="s">
        <v>154</v>
      </c>
      <c r="CS30" t="s">
        <v>197</v>
      </c>
      <c r="CT30" t="s">
        <v>198</v>
      </c>
      <c r="CU30" t="s">
        <v>199</v>
      </c>
      <c r="CV30" t="s">
        <v>151</v>
      </c>
      <c r="CW30" t="s">
        <v>893</v>
      </c>
      <c r="CX30" t="s">
        <v>200</v>
      </c>
      <c r="CY30" t="s">
        <v>201</v>
      </c>
      <c r="CZ30" t="s">
        <v>202</v>
      </c>
      <c r="DA30" t="s">
        <v>203</v>
      </c>
      <c r="DB30" t="s">
        <v>204</v>
      </c>
      <c r="DC30" t="s">
        <v>205</v>
      </c>
    </row>
    <row r="31" spans="1:107" x14ac:dyDescent="0.45">
      <c r="A31" t="s">
        <v>238</v>
      </c>
      <c r="B31" t="s">
        <v>915</v>
      </c>
      <c r="C31" t="s">
        <v>139</v>
      </c>
      <c r="D31" t="s">
        <v>76</v>
      </c>
      <c r="E31" t="s">
        <v>140</v>
      </c>
      <c r="F31" t="s">
        <v>19</v>
      </c>
      <c r="G31" t="s">
        <v>240</v>
      </c>
      <c r="H31" t="s">
        <v>19</v>
      </c>
      <c r="I31" t="s">
        <v>19</v>
      </c>
      <c r="J31">
        <v>1.6168543634638821E-2</v>
      </c>
      <c r="K31">
        <v>2.9066320800000001</v>
      </c>
      <c r="L31">
        <v>1.6079101405445599E-2</v>
      </c>
      <c r="M31">
        <v>0.17453670578254502</v>
      </c>
      <c r="N31" t="s">
        <v>916</v>
      </c>
      <c r="O31" t="s">
        <v>917</v>
      </c>
      <c r="P31">
        <v>2.6101264041320711</v>
      </c>
      <c r="Q31">
        <v>1.081519404132071</v>
      </c>
      <c r="R31" t="s">
        <v>918</v>
      </c>
      <c r="S31" t="s">
        <v>919</v>
      </c>
      <c r="T31">
        <v>25.664959725979067</v>
      </c>
      <c r="U31">
        <v>0.4417875</v>
      </c>
      <c r="V31" t="s">
        <v>146</v>
      </c>
      <c r="W31" t="s">
        <v>920</v>
      </c>
      <c r="X31" t="s">
        <v>921</v>
      </c>
      <c r="Y31" t="s">
        <v>922</v>
      </c>
      <c r="Z31" t="s">
        <v>923</v>
      </c>
      <c r="AA31" t="s">
        <v>151</v>
      </c>
      <c r="AB31" t="s">
        <v>151</v>
      </c>
      <c r="AC31" t="s">
        <v>151</v>
      </c>
      <c r="AD31" t="s">
        <v>152</v>
      </c>
      <c r="AE31" t="s">
        <v>153</v>
      </c>
      <c r="AF31">
        <v>0</v>
      </c>
      <c r="AG31" t="s">
        <v>154</v>
      </c>
      <c r="AH31" t="s">
        <v>924</v>
      </c>
      <c r="AI31" t="s">
        <v>925</v>
      </c>
      <c r="AJ31" t="s">
        <v>926</v>
      </c>
      <c r="AK31" t="s">
        <v>927</v>
      </c>
      <c r="AL31">
        <v>21.73</v>
      </c>
      <c r="AM31" t="s">
        <v>928</v>
      </c>
      <c r="AN31" t="s">
        <v>401</v>
      </c>
      <c r="AO31" t="s">
        <v>929</v>
      </c>
      <c r="AP31" t="s">
        <v>930</v>
      </c>
      <c r="AQ31" t="s">
        <v>163</v>
      </c>
      <c r="AR31" t="s">
        <v>931</v>
      </c>
      <c r="AS31" t="s">
        <v>876</v>
      </c>
      <c r="AT31" t="s">
        <v>139</v>
      </c>
      <c r="AU31" t="s">
        <v>877</v>
      </c>
      <c r="AV31" t="s">
        <v>137</v>
      </c>
      <c r="AW31" t="s">
        <v>548</v>
      </c>
      <c r="AX31" t="s">
        <v>932</v>
      </c>
      <c r="AY31" t="s">
        <v>169</v>
      </c>
      <c r="AZ31" t="s">
        <v>496</v>
      </c>
      <c r="BA31" t="s">
        <v>933</v>
      </c>
      <c r="BB31" t="s">
        <v>169</v>
      </c>
      <c r="BC31" t="s">
        <v>137</v>
      </c>
      <c r="BD31" t="s">
        <v>172</v>
      </c>
      <c r="BE31" t="s">
        <v>169</v>
      </c>
      <c r="BF31" t="s">
        <v>173</v>
      </c>
      <c r="BG31" t="s">
        <v>174</v>
      </c>
      <c r="BH31" t="s">
        <v>151</v>
      </c>
      <c r="BI31" t="s">
        <v>175</v>
      </c>
      <c r="BJ31" t="s">
        <v>151</v>
      </c>
      <c r="BK31" t="s">
        <v>151</v>
      </c>
      <c r="BL31" t="s">
        <v>176</v>
      </c>
      <c r="BM31" t="s">
        <v>177</v>
      </c>
      <c r="BN31" t="s">
        <v>137</v>
      </c>
      <c r="BO31" t="s">
        <v>178</v>
      </c>
      <c r="BP31" t="s">
        <v>179</v>
      </c>
      <c r="BQ31" t="s">
        <v>180</v>
      </c>
      <c r="BR31" t="s">
        <v>154</v>
      </c>
      <c r="BS31" t="s">
        <v>181</v>
      </c>
      <c r="BT31" t="s">
        <v>182</v>
      </c>
      <c r="BU31" t="s">
        <v>182</v>
      </c>
      <c r="BV31" t="s">
        <v>182</v>
      </c>
      <c r="BW31" t="s">
        <v>151</v>
      </c>
      <c r="BX31" t="s">
        <v>183</v>
      </c>
      <c r="BY31" t="s">
        <v>151</v>
      </c>
      <c r="BZ31" t="s">
        <v>151</v>
      </c>
      <c r="CA31" t="s">
        <v>151</v>
      </c>
      <c r="CB31" t="s">
        <v>151</v>
      </c>
      <c r="CC31" t="s">
        <v>934</v>
      </c>
      <c r="CD31" t="s">
        <v>935</v>
      </c>
      <c r="CE31" t="s">
        <v>936</v>
      </c>
      <c r="CF31" t="s">
        <v>937</v>
      </c>
      <c r="CG31" t="s">
        <v>938</v>
      </c>
      <c r="CH31" t="s">
        <v>939</v>
      </c>
      <c r="CI31" t="s">
        <v>940</v>
      </c>
      <c r="CJ31" t="s">
        <v>299</v>
      </c>
      <c r="CK31" t="s">
        <v>921</v>
      </c>
      <c r="CL31" t="s">
        <v>329</v>
      </c>
      <c r="CM31" t="s">
        <v>193</v>
      </c>
      <c r="CN31" t="s">
        <v>194</v>
      </c>
      <c r="CO31" t="s">
        <v>154</v>
      </c>
      <c r="CP31" t="s">
        <v>195</v>
      </c>
      <c r="CQ31" t="s">
        <v>196</v>
      </c>
      <c r="CR31" t="s">
        <v>154</v>
      </c>
      <c r="CS31" t="s">
        <v>197</v>
      </c>
      <c r="CT31" t="s">
        <v>198</v>
      </c>
      <c r="CU31" t="s">
        <v>199</v>
      </c>
      <c r="CV31" t="s">
        <v>151</v>
      </c>
      <c r="CW31" t="s">
        <v>920</v>
      </c>
      <c r="CX31" t="s">
        <v>200</v>
      </c>
      <c r="CY31" t="s">
        <v>201</v>
      </c>
      <c r="CZ31" t="s">
        <v>202</v>
      </c>
      <c r="DA31" t="s">
        <v>203</v>
      </c>
      <c r="DB31" t="s">
        <v>204</v>
      </c>
      <c r="DC31" t="s">
        <v>205</v>
      </c>
    </row>
    <row r="32" spans="1:107" x14ac:dyDescent="0.45">
      <c r="A32" t="s">
        <v>268</v>
      </c>
      <c r="B32" t="s">
        <v>941</v>
      </c>
      <c r="C32" t="s">
        <v>139</v>
      </c>
      <c r="D32" t="s">
        <v>76</v>
      </c>
      <c r="E32" t="s">
        <v>140</v>
      </c>
      <c r="F32" t="s">
        <v>19</v>
      </c>
      <c r="G32" t="s">
        <v>270</v>
      </c>
      <c r="H32" t="s">
        <v>19</v>
      </c>
      <c r="I32" t="s">
        <v>19</v>
      </c>
      <c r="J32">
        <v>2.5984728477371011E-3</v>
      </c>
      <c r="K32">
        <v>2.9050319999999994</v>
      </c>
      <c r="L32">
        <v>2.5961506609243406E-3</v>
      </c>
      <c r="M32">
        <v>2.8441224701581412E-2</v>
      </c>
      <c r="N32" t="s">
        <v>942</v>
      </c>
      <c r="O32" t="s">
        <v>943</v>
      </c>
      <c r="P32">
        <v>2.6373669925541123</v>
      </c>
      <c r="Q32">
        <v>1.0910409925541122</v>
      </c>
      <c r="R32" t="s">
        <v>944</v>
      </c>
      <c r="S32" t="s">
        <v>945</v>
      </c>
      <c r="T32">
        <v>25.935362302626732</v>
      </c>
      <c r="U32">
        <v>0.4417875</v>
      </c>
      <c r="V32" t="s">
        <v>146</v>
      </c>
      <c r="W32" t="s">
        <v>946</v>
      </c>
      <c r="X32" t="s">
        <v>947</v>
      </c>
      <c r="Y32" t="s">
        <v>948</v>
      </c>
      <c r="Z32" t="s">
        <v>949</v>
      </c>
      <c r="AA32" t="s">
        <v>151</v>
      </c>
      <c r="AB32" t="s">
        <v>151</v>
      </c>
      <c r="AC32" t="s">
        <v>151</v>
      </c>
      <c r="AD32" t="s">
        <v>152</v>
      </c>
      <c r="AE32" t="s">
        <v>153</v>
      </c>
      <c r="AF32">
        <v>0</v>
      </c>
      <c r="AG32" t="s">
        <v>154</v>
      </c>
      <c r="AH32" t="s">
        <v>950</v>
      </c>
      <c r="AI32" t="s">
        <v>951</v>
      </c>
      <c r="AJ32" t="s">
        <v>926</v>
      </c>
      <c r="AK32" t="s">
        <v>459</v>
      </c>
      <c r="AL32">
        <v>21.9</v>
      </c>
      <c r="AM32" t="s">
        <v>901</v>
      </c>
      <c r="AN32" t="s">
        <v>160</v>
      </c>
      <c r="AO32" t="s">
        <v>952</v>
      </c>
      <c r="AP32" t="s">
        <v>953</v>
      </c>
      <c r="AQ32" t="s">
        <v>163</v>
      </c>
      <c r="AR32" t="s">
        <v>931</v>
      </c>
      <c r="AS32" t="s">
        <v>876</v>
      </c>
      <c r="AT32" t="s">
        <v>139</v>
      </c>
      <c r="AU32" t="s">
        <v>877</v>
      </c>
      <c r="AV32" t="s">
        <v>137</v>
      </c>
      <c r="AW32" t="s">
        <v>954</v>
      </c>
      <c r="AX32" t="s">
        <v>603</v>
      </c>
      <c r="AY32" t="s">
        <v>169</v>
      </c>
      <c r="AZ32" t="s">
        <v>955</v>
      </c>
      <c r="BA32" t="s">
        <v>956</v>
      </c>
      <c r="BB32" t="s">
        <v>169</v>
      </c>
      <c r="BC32" t="s">
        <v>137</v>
      </c>
      <c r="BD32" t="s">
        <v>172</v>
      </c>
      <c r="BE32" t="s">
        <v>169</v>
      </c>
      <c r="BF32" t="s">
        <v>173</v>
      </c>
      <c r="BG32" t="s">
        <v>174</v>
      </c>
      <c r="BH32" t="s">
        <v>151</v>
      </c>
      <c r="BI32" t="s">
        <v>175</v>
      </c>
      <c r="BJ32" t="s">
        <v>151</v>
      </c>
      <c r="BK32" t="s">
        <v>151</v>
      </c>
      <c r="BL32" t="s">
        <v>176</v>
      </c>
      <c r="BM32" t="s">
        <v>177</v>
      </c>
      <c r="BN32" t="s">
        <v>137</v>
      </c>
      <c r="BO32" t="s">
        <v>178</v>
      </c>
      <c r="BP32" t="s">
        <v>179</v>
      </c>
      <c r="BQ32" t="s">
        <v>180</v>
      </c>
      <c r="BR32" t="s">
        <v>154</v>
      </c>
      <c r="BS32" t="s">
        <v>181</v>
      </c>
      <c r="BT32" t="s">
        <v>182</v>
      </c>
      <c r="BU32" t="s">
        <v>182</v>
      </c>
      <c r="BV32" t="s">
        <v>182</v>
      </c>
      <c r="BW32" t="s">
        <v>151</v>
      </c>
      <c r="BX32" t="s">
        <v>183</v>
      </c>
      <c r="BY32" t="s">
        <v>151</v>
      </c>
      <c r="BZ32" t="s">
        <v>151</v>
      </c>
      <c r="CA32" t="s">
        <v>151</v>
      </c>
      <c r="CB32" t="s">
        <v>151</v>
      </c>
      <c r="CC32" t="s">
        <v>957</v>
      </c>
      <c r="CD32" t="s">
        <v>958</v>
      </c>
      <c r="CE32" t="s">
        <v>959</v>
      </c>
      <c r="CF32" t="s">
        <v>960</v>
      </c>
      <c r="CG32" t="s">
        <v>961</v>
      </c>
      <c r="CH32" t="s">
        <v>962</v>
      </c>
      <c r="CI32" t="s">
        <v>963</v>
      </c>
      <c r="CJ32" t="s">
        <v>832</v>
      </c>
      <c r="CK32" t="s">
        <v>947</v>
      </c>
      <c r="CL32" t="s">
        <v>267</v>
      </c>
      <c r="CM32" t="s">
        <v>193</v>
      </c>
      <c r="CN32" t="s">
        <v>194</v>
      </c>
      <c r="CO32" t="s">
        <v>154</v>
      </c>
      <c r="CP32" t="s">
        <v>195</v>
      </c>
      <c r="CQ32" t="s">
        <v>196</v>
      </c>
      <c r="CR32" t="s">
        <v>154</v>
      </c>
      <c r="CS32" t="s">
        <v>197</v>
      </c>
      <c r="CT32" t="s">
        <v>198</v>
      </c>
      <c r="CU32" t="s">
        <v>199</v>
      </c>
      <c r="CV32" t="s">
        <v>151</v>
      </c>
      <c r="CW32" t="s">
        <v>946</v>
      </c>
      <c r="CX32" t="s">
        <v>200</v>
      </c>
      <c r="CY32" t="s">
        <v>201</v>
      </c>
      <c r="CZ32" t="s">
        <v>202</v>
      </c>
      <c r="DA32" t="s">
        <v>203</v>
      </c>
      <c r="DB32" t="s">
        <v>204</v>
      </c>
      <c r="DC32" t="s">
        <v>205</v>
      </c>
    </row>
    <row r="33" spans="1:107" x14ac:dyDescent="0.45">
      <c r="A33" t="s">
        <v>180</v>
      </c>
      <c r="B33" t="s">
        <v>964</v>
      </c>
      <c r="C33" t="s">
        <v>139</v>
      </c>
      <c r="D33" t="s">
        <v>76</v>
      </c>
      <c r="E33" t="s">
        <v>140</v>
      </c>
      <c r="F33" t="s">
        <v>19</v>
      </c>
      <c r="G33" t="s">
        <v>301</v>
      </c>
      <c r="H33" t="s">
        <v>19</v>
      </c>
      <c r="I33" t="s">
        <v>19</v>
      </c>
      <c r="J33">
        <v>8.7724760442865098E-3</v>
      </c>
      <c r="K33">
        <v>2.9042299199999997</v>
      </c>
      <c r="L33">
        <v>8.7460578250457416E-3</v>
      </c>
      <c r="M33">
        <v>9.470312497330903E-2</v>
      </c>
      <c r="N33" t="s">
        <v>965</v>
      </c>
      <c r="O33" t="s">
        <v>966</v>
      </c>
      <c r="P33">
        <v>2.627724386414815</v>
      </c>
      <c r="Q33">
        <v>1.0785023864148149</v>
      </c>
      <c r="R33" t="s">
        <v>967</v>
      </c>
      <c r="S33" t="s">
        <v>968</v>
      </c>
      <c r="T33">
        <v>25.840538759119038</v>
      </c>
      <c r="U33">
        <v>0.4417875</v>
      </c>
      <c r="V33" t="s">
        <v>146</v>
      </c>
      <c r="W33" t="s">
        <v>969</v>
      </c>
      <c r="X33" t="s">
        <v>970</v>
      </c>
      <c r="Y33" t="s">
        <v>971</v>
      </c>
      <c r="Z33" t="s">
        <v>972</v>
      </c>
      <c r="AA33" t="s">
        <v>151</v>
      </c>
      <c r="AB33" t="s">
        <v>151</v>
      </c>
      <c r="AC33" t="s">
        <v>151</v>
      </c>
      <c r="AD33" t="s">
        <v>152</v>
      </c>
      <c r="AE33" t="s">
        <v>153</v>
      </c>
      <c r="AF33">
        <v>0</v>
      </c>
      <c r="AG33" t="s">
        <v>154</v>
      </c>
      <c r="AH33" t="s">
        <v>973</v>
      </c>
      <c r="AI33" t="s">
        <v>974</v>
      </c>
      <c r="AJ33" t="s">
        <v>975</v>
      </c>
      <c r="AK33" t="s">
        <v>976</v>
      </c>
      <c r="AL33">
        <v>21.84</v>
      </c>
      <c r="AM33" t="s">
        <v>901</v>
      </c>
      <c r="AN33" t="s">
        <v>284</v>
      </c>
      <c r="AO33" t="s">
        <v>977</v>
      </c>
      <c r="AP33" t="s">
        <v>978</v>
      </c>
      <c r="AQ33" t="s">
        <v>163</v>
      </c>
      <c r="AR33" t="s">
        <v>462</v>
      </c>
      <c r="AS33" t="s">
        <v>876</v>
      </c>
      <c r="AT33" t="s">
        <v>139</v>
      </c>
      <c r="AU33" t="s">
        <v>877</v>
      </c>
      <c r="AV33" t="s">
        <v>137</v>
      </c>
      <c r="AW33" t="s">
        <v>749</v>
      </c>
      <c r="AX33" t="s">
        <v>979</v>
      </c>
      <c r="AY33" t="s">
        <v>169</v>
      </c>
      <c r="AZ33" t="s">
        <v>980</v>
      </c>
      <c r="BA33" t="s">
        <v>981</v>
      </c>
      <c r="BB33" t="s">
        <v>169</v>
      </c>
      <c r="BC33" t="s">
        <v>137</v>
      </c>
      <c r="BD33" t="s">
        <v>172</v>
      </c>
      <c r="BE33" t="s">
        <v>169</v>
      </c>
      <c r="BF33" t="s">
        <v>173</v>
      </c>
      <c r="BG33" t="s">
        <v>174</v>
      </c>
      <c r="BH33" t="s">
        <v>151</v>
      </c>
      <c r="BI33" t="s">
        <v>175</v>
      </c>
      <c r="BJ33" t="s">
        <v>151</v>
      </c>
      <c r="BK33" t="s">
        <v>151</v>
      </c>
      <c r="BL33" t="s">
        <v>176</v>
      </c>
      <c r="BM33" t="s">
        <v>177</v>
      </c>
      <c r="BN33" t="s">
        <v>137</v>
      </c>
      <c r="BO33" t="s">
        <v>178</v>
      </c>
      <c r="BP33" t="s">
        <v>179</v>
      </c>
      <c r="BQ33" t="s">
        <v>180</v>
      </c>
      <c r="BR33" t="s">
        <v>154</v>
      </c>
      <c r="BS33" t="s">
        <v>181</v>
      </c>
      <c r="BT33" t="s">
        <v>182</v>
      </c>
      <c r="BU33" t="s">
        <v>182</v>
      </c>
      <c r="BV33" t="s">
        <v>182</v>
      </c>
      <c r="BW33" t="s">
        <v>151</v>
      </c>
      <c r="BX33" t="s">
        <v>183</v>
      </c>
      <c r="BY33" t="s">
        <v>151</v>
      </c>
      <c r="BZ33" t="s">
        <v>151</v>
      </c>
      <c r="CA33" t="s">
        <v>151</v>
      </c>
      <c r="CB33" t="s">
        <v>151</v>
      </c>
      <c r="CC33" t="s">
        <v>982</v>
      </c>
      <c r="CD33" t="s">
        <v>983</v>
      </c>
      <c r="CE33" t="s">
        <v>984</v>
      </c>
      <c r="CF33" t="s">
        <v>985</v>
      </c>
      <c r="CG33" t="s">
        <v>986</v>
      </c>
      <c r="CH33" t="s">
        <v>987</v>
      </c>
      <c r="CI33" t="s">
        <v>988</v>
      </c>
      <c r="CJ33" t="s">
        <v>887</v>
      </c>
      <c r="CK33" t="s">
        <v>970</v>
      </c>
      <c r="CL33" t="s">
        <v>530</v>
      </c>
      <c r="CM33" t="s">
        <v>193</v>
      </c>
      <c r="CN33" t="s">
        <v>194</v>
      </c>
      <c r="CO33" t="s">
        <v>154</v>
      </c>
      <c r="CP33" t="s">
        <v>195</v>
      </c>
      <c r="CQ33" t="s">
        <v>196</v>
      </c>
      <c r="CR33" t="s">
        <v>154</v>
      </c>
      <c r="CS33" t="s">
        <v>197</v>
      </c>
      <c r="CT33" t="s">
        <v>198</v>
      </c>
      <c r="CU33" t="s">
        <v>199</v>
      </c>
      <c r="CV33" t="s">
        <v>151</v>
      </c>
      <c r="CW33" t="s">
        <v>969</v>
      </c>
      <c r="CX33" t="s">
        <v>200</v>
      </c>
      <c r="CY33" t="s">
        <v>201</v>
      </c>
      <c r="CZ33" t="s">
        <v>202</v>
      </c>
      <c r="DA33" t="s">
        <v>203</v>
      </c>
      <c r="DB33" t="s">
        <v>204</v>
      </c>
      <c r="DC33" t="s">
        <v>205</v>
      </c>
    </row>
    <row r="34" spans="1:107" x14ac:dyDescent="0.45">
      <c r="A34" t="s">
        <v>330</v>
      </c>
      <c r="B34" t="s">
        <v>989</v>
      </c>
      <c r="C34" t="s">
        <v>139</v>
      </c>
      <c r="D34" t="s">
        <v>76</v>
      </c>
      <c r="E34" t="s">
        <v>140</v>
      </c>
      <c r="F34" t="s">
        <v>19</v>
      </c>
      <c r="G34" t="s">
        <v>332</v>
      </c>
      <c r="H34" t="s">
        <v>19</v>
      </c>
      <c r="I34" t="s">
        <v>19</v>
      </c>
      <c r="J34">
        <v>2.4045982854447128E-2</v>
      </c>
      <c r="K34">
        <v>2.9042299199999997</v>
      </c>
      <c r="L34">
        <v>2.3848525609768533E-2</v>
      </c>
      <c r="M34">
        <v>0.2460481955241802</v>
      </c>
      <c r="N34" t="s">
        <v>990</v>
      </c>
      <c r="O34" t="s">
        <v>991</v>
      </c>
      <c r="P34">
        <v>2.5926316804864129</v>
      </c>
      <c r="Q34">
        <v>1.0278236804864129</v>
      </c>
      <c r="R34" t="s">
        <v>992</v>
      </c>
      <c r="S34" t="s">
        <v>993</v>
      </c>
      <c r="T34">
        <v>25.492936877939162</v>
      </c>
      <c r="U34">
        <v>0.4417875</v>
      </c>
      <c r="V34" t="s">
        <v>146</v>
      </c>
      <c r="W34" t="s">
        <v>994</v>
      </c>
      <c r="X34" t="s">
        <v>995</v>
      </c>
      <c r="Y34" t="s">
        <v>996</v>
      </c>
      <c r="Z34" t="s">
        <v>997</v>
      </c>
      <c r="AA34" t="s">
        <v>151</v>
      </c>
      <c r="AB34" t="s">
        <v>151</v>
      </c>
      <c r="AC34" t="s">
        <v>151</v>
      </c>
      <c r="AD34" t="s">
        <v>152</v>
      </c>
      <c r="AE34" t="s">
        <v>153</v>
      </c>
      <c r="AF34">
        <v>0</v>
      </c>
      <c r="AG34" t="s">
        <v>154</v>
      </c>
      <c r="AH34" t="s">
        <v>998</v>
      </c>
      <c r="AI34" t="s">
        <v>999</v>
      </c>
      <c r="AJ34" t="s">
        <v>1000</v>
      </c>
      <c r="AK34" t="s">
        <v>1001</v>
      </c>
      <c r="AL34">
        <v>21.62</v>
      </c>
      <c r="AM34" t="s">
        <v>928</v>
      </c>
      <c r="AN34" t="s">
        <v>284</v>
      </c>
      <c r="AO34" t="s">
        <v>1002</v>
      </c>
      <c r="AP34" t="s">
        <v>794</v>
      </c>
      <c r="AQ34" t="s">
        <v>163</v>
      </c>
      <c r="AR34" t="s">
        <v>931</v>
      </c>
      <c r="AS34" t="s">
        <v>876</v>
      </c>
      <c r="AT34" t="s">
        <v>139</v>
      </c>
      <c r="AU34" t="s">
        <v>877</v>
      </c>
      <c r="AV34" t="s">
        <v>137</v>
      </c>
      <c r="AW34" t="s">
        <v>749</v>
      </c>
      <c r="AX34" t="s">
        <v>1003</v>
      </c>
      <c r="AY34" t="s">
        <v>169</v>
      </c>
      <c r="AZ34" t="s">
        <v>1004</v>
      </c>
      <c r="BA34" t="s">
        <v>1005</v>
      </c>
      <c r="BB34" t="s">
        <v>169</v>
      </c>
      <c r="BC34" t="s">
        <v>137</v>
      </c>
      <c r="BD34" t="s">
        <v>172</v>
      </c>
      <c r="BE34" t="s">
        <v>169</v>
      </c>
      <c r="BF34" t="s">
        <v>173</v>
      </c>
      <c r="BG34" t="s">
        <v>174</v>
      </c>
      <c r="BH34" t="s">
        <v>151</v>
      </c>
      <c r="BI34" t="s">
        <v>175</v>
      </c>
      <c r="BJ34" t="s">
        <v>151</v>
      </c>
      <c r="BK34" t="s">
        <v>151</v>
      </c>
      <c r="BL34" t="s">
        <v>176</v>
      </c>
      <c r="BM34" t="s">
        <v>177</v>
      </c>
      <c r="BN34" t="s">
        <v>137</v>
      </c>
      <c r="BO34" t="s">
        <v>178</v>
      </c>
      <c r="BP34" t="s">
        <v>179</v>
      </c>
      <c r="BQ34" t="s">
        <v>180</v>
      </c>
      <c r="BR34" t="s">
        <v>154</v>
      </c>
      <c r="BS34" t="s">
        <v>181</v>
      </c>
      <c r="BT34" t="s">
        <v>182</v>
      </c>
      <c r="BU34" t="s">
        <v>182</v>
      </c>
      <c r="BV34" t="s">
        <v>182</v>
      </c>
      <c r="BW34" t="s">
        <v>151</v>
      </c>
      <c r="BX34" t="s">
        <v>183</v>
      </c>
      <c r="BY34" t="s">
        <v>151</v>
      </c>
      <c r="BZ34" t="s">
        <v>151</v>
      </c>
      <c r="CA34" t="s">
        <v>151</v>
      </c>
      <c r="CB34" t="s">
        <v>151</v>
      </c>
      <c r="CC34" t="s">
        <v>1006</v>
      </c>
      <c r="CD34" t="s">
        <v>1007</v>
      </c>
      <c r="CE34" t="s">
        <v>1008</v>
      </c>
      <c r="CF34" t="s">
        <v>1009</v>
      </c>
      <c r="CG34" t="s">
        <v>1010</v>
      </c>
      <c r="CH34" t="s">
        <v>1011</v>
      </c>
      <c r="CI34" t="s">
        <v>1012</v>
      </c>
      <c r="CJ34" t="s">
        <v>266</v>
      </c>
      <c r="CK34" t="s">
        <v>995</v>
      </c>
      <c r="CL34" t="s">
        <v>445</v>
      </c>
      <c r="CM34" t="s">
        <v>193</v>
      </c>
      <c r="CN34" t="s">
        <v>194</v>
      </c>
      <c r="CO34" t="s">
        <v>154</v>
      </c>
      <c r="CP34" t="s">
        <v>195</v>
      </c>
      <c r="CQ34" t="s">
        <v>196</v>
      </c>
      <c r="CR34" t="s">
        <v>154</v>
      </c>
      <c r="CS34" t="s">
        <v>197</v>
      </c>
      <c r="CT34" t="s">
        <v>198</v>
      </c>
      <c r="CU34" t="s">
        <v>199</v>
      </c>
      <c r="CV34" t="s">
        <v>151</v>
      </c>
      <c r="CW34" t="s">
        <v>994</v>
      </c>
      <c r="CX34" t="s">
        <v>200</v>
      </c>
      <c r="CY34" t="s">
        <v>201</v>
      </c>
      <c r="CZ34" t="s">
        <v>202</v>
      </c>
      <c r="DA34" t="s">
        <v>203</v>
      </c>
      <c r="DB34" t="s">
        <v>204</v>
      </c>
      <c r="DC34" t="s">
        <v>205</v>
      </c>
    </row>
    <row r="35" spans="1:107" x14ac:dyDescent="0.45">
      <c r="A35" t="s">
        <v>360</v>
      </c>
      <c r="B35" t="s">
        <v>1013</v>
      </c>
      <c r="C35" t="s">
        <v>139</v>
      </c>
      <c r="D35" t="s">
        <v>76</v>
      </c>
      <c r="E35" t="s">
        <v>140</v>
      </c>
      <c r="F35" t="s">
        <v>19</v>
      </c>
      <c r="G35" t="s">
        <v>362</v>
      </c>
      <c r="H35" t="s">
        <v>19</v>
      </c>
      <c r="I35" t="s">
        <v>19</v>
      </c>
      <c r="J35">
        <v>-5.9082289832908851E-3</v>
      </c>
      <c r="K35">
        <v>2.9050319999999994</v>
      </c>
      <c r="L35">
        <v>-5.9202695764066313E-3</v>
      </c>
      <c r="M35">
        <v>-7.0694654036826954E-2</v>
      </c>
      <c r="N35" t="s">
        <v>1014</v>
      </c>
      <c r="O35" t="s">
        <v>1015</v>
      </c>
      <c r="P35">
        <v>2.7404996834630198</v>
      </c>
      <c r="Q35">
        <v>1.1887026834630197</v>
      </c>
      <c r="R35" t="s">
        <v>1016</v>
      </c>
      <c r="S35" t="s">
        <v>1017</v>
      </c>
      <c r="T35">
        <v>26.94954944894306</v>
      </c>
      <c r="U35">
        <v>0.4417875</v>
      </c>
      <c r="V35" t="s">
        <v>146</v>
      </c>
      <c r="W35" t="s">
        <v>1018</v>
      </c>
      <c r="X35" t="s">
        <v>1019</v>
      </c>
      <c r="Y35" t="s">
        <v>1020</v>
      </c>
      <c r="Z35" t="s">
        <v>1021</v>
      </c>
      <c r="AA35" t="s">
        <v>151</v>
      </c>
      <c r="AB35" t="s">
        <v>151</v>
      </c>
      <c r="AC35" t="s">
        <v>151</v>
      </c>
      <c r="AD35" t="s">
        <v>152</v>
      </c>
      <c r="AE35" t="s">
        <v>153</v>
      </c>
      <c r="AF35">
        <v>0</v>
      </c>
      <c r="AG35" t="s">
        <v>154</v>
      </c>
      <c r="AH35" t="s">
        <v>974</v>
      </c>
      <c r="AI35" t="s">
        <v>791</v>
      </c>
      <c r="AJ35" t="s">
        <v>1022</v>
      </c>
      <c r="AK35" t="s">
        <v>1023</v>
      </c>
      <c r="AL35">
        <v>22.53</v>
      </c>
      <c r="AM35" t="s">
        <v>901</v>
      </c>
      <c r="AN35" t="s">
        <v>160</v>
      </c>
      <c r="AO35" t="s">
        <v>1024</v>
      </c>
      <c r="AP35" t="s">
        <v>1025</v>
      </c>
      <c r="AQ35" t="s">
        <v>163</v>
      </c>
      <c r="AR35" t="s">
        <v>1026</v>
      </c>
      <c r="AS35" t="s">
        <v>876</v>
      </c>
      <c r="AT35" t="s">
        <v>139</v>
      </c>
      <c r="AU35" t="s">
        <v>877</v>
      </c>
      <c r="AV35" t="s">
        <v>137</v>
      </c>
      <c r="AW35" t="s">
        <v>1027</v>
      </c>
      <c r="AX35" t="s">
        <v>493</v>
      </c>
      <c r="AY35" t="s">
        <v>169</v>
      </c>
      <c r="AZ35" t="s">
        <v>1028</v>
      </c>
      <c r="BA35" t="s">
        <v>1029</v>
      </c>
      <c r="BB35" t="s">
        <v>169</v>
      </c>
      <c r="BC35" t="s">
        <v>137</v>
      </c>
      <c r="BD35" t="s">
        <v>172</v>
      </c>
      <c r="BE35" t="s">
        <v>169</v>
      </c>
      <c r="BF35" t="s">
        <v>173</v>
      </c>
      <c r="BG35" t="s">
        <v>174</v>
      </c>
      <c r="BH35" t="s">
        <v>151</v>
      </c>
      <c r="BI35" t="s">
        <v>175</v>
      </c>
      <c r="BJ35" t="s">
        <v>151</v>
      </c>
      <c r="BK35" t="s">
        <v>151</v>
      </c>
      <c r="BL35" t="s">
        <v>176</v>
      </c>
      <c r="BM35" t="s">
        <v>177</v>
      </c>
      <c r="BN35" t="s">
        <v>137</v>
      </c>
      <c r="BO35" t="s">
        <v>178</v>
      </c>
      <c r="BP35" t="s">
        <v>179</v>
      </c>
      <c r="BQ35" t="s">
        <v>180</v>
      </c>
      <c r="BR35" t="s">
        <v>154</v>
      </c>
      <c r="BS35" t="s">
        <v>181</v>
      </c>
      <c r="BT35" t="s">
        <v>182</v>
      </c>
      <c r="BU35" t="s">
        <v>182</v>
      </c>
      <c r="BV35" t="s">
        <v>182</v>
      </c>
      <c r="BW35" t="s">
        <v>151</v>
      </c>
      <c r="BX35" t="s">
        <v>183</v>
      </c>
      <c r="BY35" t="s">
        <v>151</v>
      </c>
      <c r="BZ35" t="s">
        <v>151</v>
      </c>
      <c r="CA35" t="s">
        <v>151</v>
      </c>
      <c r="CB35" t="s">
        <v>151</v>
      </c>
      <c r="CC35" t="s">
        <v>1030</v>
      </c>
      <c r="CD35" t="s">
        <v>1031</v>
      </c>
      <c r="CE35" t="s">
        <v>1032</v>
      </c>
      <c r="CF35" t="s">
        <v>1033</v>
      </c>
      <c r="CG35" t="s">
        <v>1034</v>
      </c>
      <c r="CH35" t="s">
        <v>1035</v>
      </c>
      <c r="CI35" t="s">
        <v>1036</v>
      </c>
      <c r="CJ35" t="s">
        <v>444</v>
      </c>
      <c r="CK35" t="s">
        <v>1019</v>
      </c>
      <c r="CL35" t="s">
        <v>833</v>
      </c>
      <c r="CM35" t="s">
        <v>193</v>
      </c>
      <c r="CN35" t="s">
        <v>194</v>
      </c>
      <c r="CO35" t="s">
        <v>154</v>
      </c>
      <c r="CP35" t="s">
        <v>195</v>
      </c>
      <c r="CQ35" t="s">
        <v>196</v>
      </c>
      <c r="CR35" t="s">
        <v>154</v>
      </c>
      <c r="CS35" t="s">
        <v>197</v>
      </c>
      <c r="CT35" t="s">
        <v>198</v>
      </c>
      <c r="CU35" t="s">
        <v>199</v>
      </c>
      <c r="CV35" t="s">
        <v>151</v>
      </c>
      <c r="CW35" t="s">
        <v>1018</v>
      </c>
      <c r="CX35" t="s">
        <v>200</v>
      </c>
      <c r="CY35" t="s">
        <v>201</v>
      </c>
      <c r="CZ35" t="s">
        <v>202</v>
      </c>
      <c r="DA35" t="s">
        <v>203</v>
      </c>
      <c r="DB35" t="s">
        <v>204</v>
      </c>
      <c r="DC35" t="s">
        <v>205</v>
      </c>
    </row>
    <row r="36" spans="1:107" x14ac:dyDescent="0.45">
      <c r="A36" t="s">
        <v>387</v>
      </c>
      <c r="B36" t="s">
        <v>1037</v>
      </c>
      <c r="C36" t="s">
        <v>139</v>
      </c>
      <c r="D36" t="s">
        <v>76</v>
      </c>
      <c r="E36" t="s">
        <v>140</v>
      </c>
      <c r="F36" t="s">
        <v>19</v>
      </c>
      <c r="G36" t="s">
        <v>389</v>
      </c>
      <c r="H36" t="s">
        <v>19</v>
      </c>
      <c r="I36" t="s">
        <v>19</v>
      </c>
      <c r="J36">
        <v>8.1231936574145559E-3</v>
      </c>
      <c r="K36">
        <v>2.9050319999999994</v>
      </c>
      <c r="L36">
        <v>8.1005425211690425E-3</v>
      </c>
      <c r="M36">
        <v>8.5944824121452615E-2</v>
      </c>
      <c r="N36" t="s">
        <v>1038</v>
      </c>
      <c r="O36" t="s">
        <v>1039</v>
      </c>
      <c r="P36">
        <v>2.6165136960394677</v>
      </c>
      <c r="Q36">
        <v>1.0568016960394677</v>
      </c>
      <c r="R36" t="s">
        <v>1040</v>
      </c>
      <c r="S36" t="s">
        <v>1041</v>
      </c>
      <c r="T36">
        <v>25.730294975311907</v>
      </c>
      <c r="U36">
        <v>0.4417875</v>
      </c>
      <c r="V36" t="s">
        <v>146</v>
      </c>
      <c r="W36" t="s">
        <v>1042</v>
      </c>
      <c r="X36" t="s">
        <v>1043</v>
      </c>
      <c r="Y36" t="s">
        <v>1044</v>
      </c>
      <c r="Z36" t="s">
        <v>1045</v>
      </c>
      <c r="AA36" t="s">
        <v>151</v>
      </c>
      <c r="AB36" t="s">
        <v>151</v>
      </c>
      <c r="AC36" t="s">
        <v>151</v>
      </c>
      <c r="AD36" t="s">
        <v>152</v>
      </c>
      <c r="AE36" t="s">
        <v>153</v>
      </c>
      <c r="AF36">
        <v>0</v>
      </c>
      <c r="AG36" t="s">
        <v>154</v>
      </c>
      <c r="AH36" t="s">
        <v>1046</v>
      </c>
      <c r="AI36" t="s">
        <v>1047</v>
      </c>
      <c r="AJ36" t="s">
        <v>1048</v>
      </c>
      <c r="AK36" t="s">
        <v>1049</v>
      </c>
      <c r="AL36">
        <v>21.77</v>
      </c>
      <c r="AM36" t="s">
        <v>901</v>
      </c>
      <c r="AN36" t="s">
        <v>160</v>
      </c>
      <c r="AO36" t="s">
        <v>1050</v>
      </c>
      <c r="AP36" t="s">
        <v>748</v>
      </c>
      <c r="AQ36" t="s">
        <v>163</v>
      </c>
      <c r="AR36" t="s">
        <v>1051</v>
      </c>
      <c r="AS36" t="s">
        <v>876</v>
      </c>
      <c r="AT36" t="s">
        <v>139</v>
      </c>
      <c r="AU36" t="s">
        <v>877</v>
      </c>
      <c r="AV36" t="s">
        <v>137</v>
      </c>
      <c r="AW36" t="s">
        <v>1052</v>
      </c>
      <c r="AX36" t="s">
        <v>1003</v>
      </c>
      <c r="AY36" t="s">
        <v>169</v>
      </c>
      <c r="AZ36" t="s">
        <v>1053</v>
      </c>
      <c r="BA36" t="s">
        <v>1054</v>
      </c>
      <c r="BB36" t="s">
        <v>169</v>
      </c>
      <c r="BC36" t="s">
        <v>137</v>
      </c>
      <c r="BD36" t="s">
        <v>172</v>
      </c>
      <c r="BE36" t="s">
        <v>169</v>
      </c>
      <c r="BF36" t="s">
        <v>173</v>
      </c>
      <c r="BG36" t="s">
        <v>174</v>
      </c>
      <c r="BH36" t="s">
        <v>151</v>
      </c>
      <c r="BI36" t="s">
        <v>175</v>
      </c>
      <c r="BJ36" t="s">
        <v>151</v>
      </c>
      <c r="BK36" t="s">
        <v>151</v>
      </c>
      <c r="BL36" t="s">
        <v>176</v>
      </c>
      <c r="BM36" t="s">
        <v>177</v>
      </c>
      <c r="BN36" t="s">
        <v>137</v>
      </c>
      <c r="BO36" t="s">
        <v>178</v>
      </c>
      <c r="BP36" t="s">
        <v>179</v>
      </c>
      <c r="BQ36" t="s">
        <v>180</v>
      </c>
      <c r="BR36" t="s">
        <v>154</v>
      </c>
      <c r="BS36" t="s">
        <v>181</v>
      </c>
      <c r="BT36" t="s">
        <v>182</v>
      </c>
      <c r="BU36" t="s">
        <v>182</v>
      </c>
      <c r="BV36" t="s">
        <v>182</v>
      </c>
      <c r="BW36" t="s">
        <v>151</v>
      </c>
      <c r="BX36" t="s">
        <v>183</v>
      </c>
      <c r="BY36" t="s">
        <v>151</v>
      </c>
      <c r="BZ36" t="s">
        <v>151</v>
      </c>
      <c r="CA36" t="s">
        <v>151</v>
      </c>
      <c r="CB36" t="s">
        <v>151</v>
      </c>
      <c r="CC36" t="s">
        <v>1055</v>
      </c>
      <c r="CD36" t="s">
        <v>1056</v>
      </c>
      <c r="CE36" t="s">
        <v>1057</v>
      </c>
      <c r="CF36" t="s">
        <v>1058</v>
      </c>
      <c r="CG36" t="s">
        <v>1059</v>
      </c>
      <c r="CH36" t="s">
        <v>1060</v>
      </c>
      <c r="CI36" t="s">
        <v>1061</v>
      </c>
      <c r="CJ36" t="s">
        <v>832</v>
      </c>
      <c r="CK36" t="s">
        <v>1043</v>
      </c>
      <c r="CL36" t="s">
        <v>1062</v>
      </c>
      <c r="CM36" t="s">
        <v>193</v>
      </c>
      <c r="CN36" t="s">
        <v>194</v>
      </c>
      <c r="CO36" t="s">
        <v>154</v>
      </c>
      <c r="CP36" t="s">
        <v>195</v>
      </c>
      <c r="CQ36" t="s">
        <v>196</v>
      </c>
      <c r="CR36" t="s">
        <v>154</v>
      </c>
      <c r="CS36" t="s">
        <v>197</v>
      </c>
      <c r="CT36" t="s">
        <v>198</v>
      </c>
      <c r="CU36" t="s">
        <v>199</v>
      </c>
      <c r="CV36" t="s">
        <v>151</v>
      </c>
      <c r="CW36" t="s">
        <v>1042</v>
      </c>
      <c r="CX36" t="s">
        <v>200</v>
      </c>
      <c r="CY36" t="s">
        <v>201</v>
      </c>
      <c r="CZ36" t="s">
        <v>202</v>
      </c>
      <c r="DA36" t="s">
        <v>203</v>
      </c>
      <c r="DB36" t="s">
        <v>204</v>
      </c>
      <c r="DC36" t="s">
        <v>205</v>
      </c>
    </row>
    <row r="37" spans="1:107" x14ac:dyDescent="0.45">
      <c r="A37" t="s">
        <v>417</v>
      </c>
      <c r="B37" t="s">
        <v>1063</v>
      </c>
      <c r="C37" t="s">
        <v>139</v>
      </c>
      <c r="D37" t="s">
        <v>76</v>
      </c>
      <c r="E37" t="s">
        <v>140</v>
      </c>
      <c r="F37" t="s">
        <v>19</v>
      </c>
      <c r="G37" t="s">
        <v>419</v>
      </c>
      <c r="H37" t="s">
        <v>19</v>
      </c>
      <c r="I37" t="s">
        <v>19</v>
      </c>
      <c r="J37">
        <v>-2.6196687668701437E-3</v>
      </c>
      <c r="K37">
        <v>2.9050319999999994</v>
      </c>
      <c r="L37">
        <v>-2.6220332360305954E-3</v>
      </c>
      <c r="M37">
        <v>-2.7779373579007852E-2</v>
      </c>
      <c r="N37" t="s">
        <v>1064</v>
      </c>
      <c r="O37" t="s">
        <v>1065</v>
      </c>
      <c r="P37">
        <v>2.6325418248526651</v>
      </c>
      <c r="Q37">
        <v>1.055135824852665</v>
      </c>
      <c r="R37" t="s">
        <v>1066</v>
      </c>
      <c r="S37" t="s">
        <v>1067</v>
      </c>
      <c r="T37">
        <v>25.887912526823339</v>
      </c>
      <c r="U37">
        <v>0.4417875</v>
      </c>
      <c r="V37" t="s">
        <v>146</v>
      </c>
      <c r="W37" t="s">
        <v>1068</v>
      </c>
      <c r="X37" t="s">
        <v>1069</v>
      </c>
      <c r="Y37" t="s">
        <v>1070</v>
      </c>
      <c r="Z37" t="s">
        <v>1071</v>
      </c>
      <c r="AA37" t="s">
        <v>151</v>
      </c>
      <c r="AB37" t="s">
        <v>151</v>
      </c>
      <c r="AC37" t="s">
        <v>151</v>
      </c>
      <c r="AD37" t="s">
        <v>152</v>
      </c>
      <c r="AE37" t="s">
        <v>153</v>
      </c>
      <c r="AF37">
        <v>0</v>
      </c>
      <c r="AG37" t="s">
        <v>154</v>
      </c>
      <c r="AH37" t="s">
        <v>1072</v>
      </c>
      <c r="AI37" t="s">
        <v>1073</v>
      </c>
      <c r="AJ37" t="s">
        <v>1074</v>
      </c>
      <c r="AK37" t="s">
        <v>1075</v>
      </c>
      <c r="AL37">
        <v>21.87</v>
      </c>
      <c r="AM37" t="s">
        <v>901</v>
      </c>
      <c r="AN37" t="s">
        <v>160</v>
      </c>
      <c r="AO37" t="s">
        <v>1076</v>
      </c>
      <c r="AP37" t="s">
        <v>1077</v>
      </c>
      <c r="AQ37" t="s">
        <v>163</v>
      </c>
      <c r="AR37" t="s">
        <v>1078</v>
      </c>
      <c r="AS37" t="s">
        <v>876</v>
      </c>
      <c r="AT37" t="s">
        <v>139</v>
      </c>
      <c r="AU37" t="s">
        <v>877</v>
      </c>
      <c r="AV37" t="s">
        <v>137</v>
      </c>
      <c r="AW37" t="s">
        <v>494</v>
      </c>
      <c r="AX37" t="s">
        <v>749</v>
      </c>
      <c r="AY37" t="s">
        <v>169</v>
      </c>
      <c r="AZ37" t="s">
        <v>1079</v>
      </c>
      <c r="BA37" t="s">
        <v>1080</v>
      </c>
      <c r="BB37" t="s">
        <v>169</v>
      </c>
      <c r="BC37" t="s">
        <v>137</v>
      </c>
      <c r="BD37" t="s">
        <v>172</v>
      </c>
      <c r="BE37" t="s">
        <v>169</v>
      </c>
      <c r="BF37" t="s">
        <v>173</v>
      </c>
      <c r="BG37" t="s">
        <v>174</v>
      </c>
      <c r="BH37" t="s">
        <v>151</v>
      </c>
      <c r="BI37" t="s">
        <v>175</v>
      </c>
      <c r="BJ37" t="s">
        <v>151</v>
      </c>
      <c r="BK37" t="s">
        <v>151</v>
      </c>
      <c r="BL37" t="s">
        <v>176</v>
      </c>
      <c r="BM37" t="s">
        <v>177</v>
      </c>
      <c r="BN37" t="s">
        <v>137</v>
      </c>
      <c r="BO37" t="s">
        <v>178</v>
      </c>
      <c r="BP37" t="s">
        <v>179</v>
      </c>
      <c r="BQ37" t="s">
        <v>180</v>
      </c>
      <c r="BR37" t="s">
        <v>154</v>
      </c>
      <c r="BS37" t="s">
        <v>181</v>
      </c>
      <c r="BT37" t="s">
        <v>182</v>
      </c>
      <c r="BU37" t="s">
        <v>182</v>
      </c>
      <c r="BV37" t="s">
        <v>182</v>
      </c>
      <c r="BW37" t="s">
        <v>151</v>
      </c>
      <c r="BX37" t="s">
        <v>183</v>
      </c>
      <c r="BY37" t="s">
        <v>151</v>
      </c>
      <c r="BZ37" t="s">
        <v>151</v>
      </c>
      <c r="CA37" t="s">
        <v>151</v>
      </c>
      <c r="CB37" t="s">
        <v>151</v>
      </c>
      <c r="CC37" t="s">
        <v>1081</v>
      </c>
      <c r="CD37" t="s">
        <v>1082</v>
      </c>
      <c r="CE37" t="s">
        <v>1083</v>
      </c>
      <c r="CF37" t="s">
        <v>1084</v>
      </c>
      <c r="CG37" t="s">
        <v>1085</v>
      </c>
      <c r="CH37" t="s">
        <v>1086</v>
      </c>
      <c r="CI37" t="s">
        <v>1087</v>
      </c>
      <c r="CJ37" t="s">
        <v>444</v>
      </c>
      <c r="CK37" t="s">
        <v>1069</v>
      </c>
      <c r="CL37" t="s">
        <v>359</v>
      </c>
      <c r="CM37" t="s">
        <v>193</v>
      </c>
      <c r="CN37" t="s">
        <v>194</v>
      </c>
      <c r="CO37" t="s">
        <v>154</v>
      </c>
      <c r="CP37" t="s">
        <v>195</v>
      </c>
      <c r="CQ37" t="s">
        <v>196</v>
      </c>
      <c r="CR37" t="s">
        <v>154</v>
      </c>
      <c r="CS37" t="s">
        <v>197</v>
      </c>
      <c r="CT37" t="s">
        <v>198</v>
      </c>
      <c r="CU37" t="s">
        <v>199</v>
      </c>
      <c r="CV37" t="s">
        <v>151</v>
      </c>
      <c r="CW37" t="s">
        <v>1068</v>
      </c>
      <c r="CX37" t="s">
        <v>200</v>
      </c>
      <c r="CY37" t="s">
        <v>201</v>
      </c>
      <c r="CZ37" t="s">
        <v>202</v>
      </c>
      <c r="DA37" t="s">
        <v>203</v>
      </c>
      <c r="DB37" t="s">
        <v>204</v>
      </c>
      <c r="DC37" t="s">
        <v>205</v>
      </c>
    </row>
    <row r="38" spans="1:107" x14ac:dyDescent="0.45">
      <c r="A38" t="s">
        <v>446</v>
      </c>
      <c r="B38" t="s">
        <v>1088</v>
      </c>
      <c r="C38" t="s">
        <v>139</v>
      </c>
      <c r="D38" t="s">
        <v>76</v>
      </c>
      <c r="E38" t="s">
        <v>140</v>
      </c>
      <c r="F38" t="s">
        <v>19</v>
      </c>
      <c r="G38" t="s">
        <v>448</v>
      </c>
      <c r="H38" t="s">
        <v>19</v>
      </c>
      <c r="I38" t="s">
        <v>19</v>
      </c>
      <c r="J38">
        <v>5.4576350608962201E-3</v>
      </c>
      <c r="K38">
        <v>2.9042299199999997</v>
      </c>
      <c r="L38">
        <v>5.4473982983936223E-3</v>
      </c>
      <c r="M38">
        <v>6.0389251177164309E-2</v>
      </c>
      <c r="N38" t="s">
        <v>1089</v>
      </c>
      <c r="O38" t="s">
        <v>1090</v>
      </c>
      <c r="P38">
        <v>2.6551255721895064</v>
      </c>
      <c r="Q38">
        <v>1.1040665721895064</v>
      </c>
      <c r="R38" t="s">
        <v>1091</v>
      </c>
      <c r="S38" t="s">
        <v>1092</v>
      </c>
      <c r="T38">
        <v>26.109996776374341</v>
      </c>
      <c r="U38">
        <v>0.4417875</v>
      </c>
      <c r="V38" t="s">
        <v>146</v>
      </c>
      <c r="W38" t="s">
        <v>1093</v>
      </c>
      <c r="X38" t="s">
        <v>1094</v>
      </c>
      <c r="Y38" t="s">
        <v>1095</v>
      </c>
      <c r="Z38" t="s">
        <v>1096</v>
      </c>
      <c r="AA38" t="s">
        <v>151</v>
      </c>
      <c r="AB38" t="s">
        <v>151</v>
      </c>
      <c r="AC38" t="s">
        <v>151</v>
      </c>
      <c r="AD38" t="s">
        <v>152</v>
      </c>
      <c r="AE38" t="s">
        <v>153</v>
      </c>
      <c r="AF38">
        <v>0</v>
      </c>
      <c r="AG38" t="s">
        <v>154</v>
      </c>
      <c r="AH38" t="s">
        <v>1097</v>
      </c>
      <c r="AI38" t="s">
        <v>1098</v>
      </c>
      <c r="AJ38" t="s">
        <v>1099</v>
      </c>
      <c r="AK38" t="s">
        <v>1100</v>
      </c>
      <c r="AL38">
        <v>22.01</v>
      </c>
      <c r="AM38" t="s">
        <v>901</v>
      </c>
      <c r="AN38" t="s">
        <v>284</v>
      </c>
      <c r="AO38" t="s">
        <v>1101</v>
      </c>
      <c r="AP38" t="s">
        <v>1102</v>
      </c>
      <c r="AQ38" t="s">
        <v>163</v>
      </c>
      <c r="AR38" t="s">
        <v>1103</v>
      </c>
      <c r="AS38" t="s">
        <v>876</v>
      </c>
      <c r="AT38" t="s">
        <v>139</v>
      </c>
      <c r="AU38" t="s">
        <v>877</v>
      </c>
      <c r="AV38" t="s">
        <v>137</v>
      </c>
      <c r="AW38" t="s">
        <v>1052</v>
      </c>
      <c r="AX38" t="s">
        <v>288</v>
      </c>
      <c r="AY38" t="s">
        <v>169</v>
      </c>
      <c r="AZ38" t="s">
        <v>1104</v>
      </c>
      <c r="BA38" t="s">
        <v>1105</v>
      </c>
      <c r="BB38" t="s">
        <v>169</v>
      </c>
      <c r="BC38" t="s">
        <v>137</v>
      </c>
      <c r="BD38" t="s">
        <v>172</v>
      </c>
      <c r="BE38" t="s">
        <v>169</v>
      </c>
      <c r="BF38" t="s">
        <v>173</v>
      </c>
      <c r="BG38" t="s">
        <v>174</v>
      </c>
      <c r="BH38" t="s">
        <v>151</v>
      </c>
      <c r="BI38" t="s">
        <v>175</v>
      </c>
      <c r="BJ38" t="s">
        <v>151</v>
      </c>
      <c r="BK38" t="s">
        <v>151</v>
      </c>
      <c r="BL38" t="s">
        <v>176</v>
      </c>
      <c r="BM38" t="s">
        <v>177</v>
      </c>
      <c r="BN38" t="s">
        <v>137</v>
      </c>
      <c r="BO38" t="s">
        <v>178</v>
      </c>
      <c r="BP38" t="s">
        <v>179</v>
      </c>
      <c r="BQ38" t="s">
        <v>180</v>
      </c>
      <c r="BR38" t="s">
        <v>154</v>
      </c>
      <c r="BS38" t="s">
        <v>181</v>
      </c>
      <c r="BT38" t="s">
        <v>182</v>
      </c>
      <c r="BU38" t="s">
        <v>182</v>
      </c>
      <c r="BV38" t="s">
        <v>182</v>
      </c>
      <c r="BW38" t="s">
        <v>151</v>
      </c>
      <c r="BX38" t="s">
        <v>183</v>
      </c>
      <c r="BY38" t="s">
        <v>151</v>
      </c>
      <c r="BZ38" t="s">
        <v>151</v>
      </c>
      <c r="CA38" t="s">
        <v>151</v>
      </c>
      <c r="CB38" t="s">
        <v>151</v>
      </c>
      <c r="CC38" t="s">
        <v>1106</v>
      </c>
      <c r="CD38" t="s">
        <v>1107</v>
      </c>
      <c r="CE38" t="s">
        <v>1108</v>
      </c>
      <c r="CF38" t="s">
        <v>1109</v>
      </c>
      <c r="CG38" t="s">
        <v>1110</v>
      </c>
      <c r="CH38" t="s">
        <v>1111</v>
      </c>
      <c r="CI38" t="s">
        <v>1112</v>
      </c>
      <c r="CJ38" t="s">
        <v>266</v>
      </c>
      <c r="CK38" t="s">
        <v>1094</v>
      </c>
      <c r="CL38" t="s">
        <v>560</v>
      </c>
      <c r="CM38" t="s">
        <v>193</v>
      </c>
      <c r="CN38" t="s">
        <v>194</v>
      </c>
      <c r="CO38" t="s">
        <v>154</v>
      </c>
      <c r="CP38" t="s">
        <v>195</v>
      </c>
      <c r="CQ38" t="s">
        <v>196</v>
      </c>
      <c r="CR38" t="s">
        <v>154</v>
      </c>
      <c r="CS38" t="s">
        <v>197</v>
      </c>
      <c r="CT38" t="s">
        <v>198</v>
      </c>
      <c r="CU38" t="s">
        <v>199</v>
      </c>
      <c r="CV38" t="s">
        <v>151</v>
      </c>
      <c r="CW38" t="s">
        <v>1093</v>
      </c>
      <c r="CX38" t="s">
        <v>200</v>
      </c>
      <c r="CY38" t="s">
        <v>201</v>
      </c>
      <c r="CZ38" t="s">
        <v>202</v>
      </c>
      <c r="DA38" t="s">
        <v>203</v>
      </c>
      <c r="DB38" t="s">
        <v>204</v>
      </c>
      <c r="DC38" t="s">
        <v>205</v>
      </c>
    </row>
    <row r="39" spans="1:107" x14ac:dyDescent="0.45">
      <c r="A39" t="s">
        <v>476</v>
      </c>
      <c r="B39" t="s">
        <v>1113</v>
      </c>
      <c r="C39" t="s">
        <v>139</v>
      </c>
      <c r="D39" t="s">
        <v>76</v>
      </c>
      <c r="E39" t="s">
        <v>140</v>
      </c>
      <c r="F39" t="s">
        <v>19</v>
      </c>
      <c r="G39" t="s">
        <v>478</v>
      </c>
      <c r="H39" t="s">
        <v>19</v>
      </c>
      <c r="I39" t="s">
        <v>19</v>
      </c>
      <c r="J39">
        <v>3.8404531276463667E-3</v>
      </c>
      <c r="K39">
        <v>2.9050319999999994</v>
      </c>
      <c r="L39">
        <v>3.8353827505626993E-3</v>
      </c>
      <c r="M39">
        <v>4.1961923372402808E-2</v>
      </c>
      <c r="N39" t="s">
        <v>1114</v>
      </c>
      <c r="O39" t="s">
        <v>1115</v>
      </c>
      <c r="P39">
        <v>2.6681065574155625</v>
      </c>
      <c r="Q39">
        <v>1.0893205574155624</v>
      </c>
      <c r="R39" t="s">
        <v>1116</v>
      </c>
      <c r="S39" t="s">
        <v>1117</v>
      </c>
      <c r="T39">
        <v>26.237649300969245</v>
      </c>
      <c r="U39">
        <v>0.4417875</v>
      </c>
      <c r="V39" t="s">
        <v>146</v>
      </c>
      <c r="W39" t="s">
        <v>1118</v>
      </c>
      <c r="X39" t="s">
        <v>1119</v>
      </c>
      <c r="Y39" t="s">
        <v>1120</v>
      </c>
      <c r="Z39" t="s">
        <v>1121</v>
      </c>
      <c r="AA39" t="s">
        <v>151</v>
      </c>
      <c r="AB39" t="s">
        <v>151</v>
      </c>
      <c r="AC39" t="s">
        <v>151</v>
      </c>
      <c r="AD39" t="s">
        <v>152</v>
      </c>
      <c r="AE39" t="s">
        <v>153</v>
      </c>
      <c r="AF39">
        <v>0</v>
      </c>
      <c r="AG39" t="s">
        <v>154</v>
      </c>
      <c r="AH39" t="s">
        <v>1122</v>
      </c>
      <c r="AI39" t="s">
        <v>1123</v>
      </c>
      <c r="AJ39" t="s">
        <v>373</v>
      </c>
      <c r="AK39" t="s">
        <v>1124</v>
      </c>
      <c r="AL39">
        <v>22.09</v>
      </c>
      <c r="AM39" t="s">
        <v>901</v>
      </c>
      <c r="AN39" t="s">
        <v>160</v>
      </c>
      <c r="AO39" t="s">
        <v>1125</v>
      </c>
      <c r="AP39" t="s">
        <v>1126</v>
      </c>
      <c r="AQ39" t="s">
        <v>163</v>
      </c>
      <c r="AR39" t="s">
        <v>1127</v>
      </c>
      <c r="AS39" t="s">
        <v>876</v>
      </c>
      <c r="AT39" t="s">
        <v>139</v>
      </c>
      <c r="AU39" t="s">
        <v>877</v>
      </c>
      <c r="AV39" t="s">
        <v>137</v>
      </c>
      <c r="AW39" t="s">
        <v>227</v>
      </c>
      <c r="AX39" t="s">
        <v>628</v>
      </c>
      <c r="AY39" t="s">
        <v>169</v>
      </c>
      <c r="AZ39" t="s">
        <v>1128</v>
      </c>
      <c r="BA39" t="s">
        <v>1129</v>
      </c>
      <c r="BB39" t="s">
        <v>169</v>
      </c>
      <c r="BC39" t="s">
        <v>137</v>
      </c>
      <c r="BD39" t="s">
        <v>172</v>
      </c>
      <c r="BE39" t="s">
        <v>169</v>
      </c>
      <c r="BF39" t="s">
        <v>173</v>
      </c>
      <c r="BG39" t="s">
        <v>174</v>
      </c>
      <c r="BH39" t="s">
        <v>151</v>
      </c>
      <c r="BI39" t="s">
        <v>175</v>
      </c>
      <c r="BJ39" t="s">
        <v>151</v>
      </c>
      <c r="BK39" t="s">
        <v>151</v>
      </c>
      <c r="BL39" t="s">
        <v>176</v>
      </c>
      <c r="BM39" t="s">
        <v>177</v>
      </c>
      <c r="BN39" t="s">
        <v>137</v>
      </c>
      <c r="BO39" t="s">
        <v>178</v>
      </c>
      <c r="BP39" t="s">
        <v>179</v>
      </c>
      <c r="BQ39" t="s">
        <v>180</v>
      </c>
      <c r="BR39" t="s">
        <v>154</v>
      </c>
      <c r="BS39" t="s">
        <v>181</v>
      </c>
      <c r="BT39" t="s">
        <v>182</v>
      </c>
      <c r="BU39" t="s">
        <v>182</v>
      </c>
      <c r="BV39" t="s">
        <v>182</v>
      </c>
      <c r="BW39" t="s">
        <v>151</v>
      </c>
      <c r="BX39" t="s">
        <v>183</v>
      </c>
      <c r="BY39" t="s">
        <v>151</v>
      </c>
      <c r="BZ39" t="s">
        <v>151</v>
      </c>
      <c r="CA39" t="s">
        <v>151</v>
      </c>
      <c r="CB39" t="s">
        <v>151</v>
      </c>
      <c r="CC39" t="s">
        <v>1130</v>
      </c>
      <c r="CD39" t="s">
        <v>1131</v>
      </c>
      <c r="CE39" t="s">
        <v>1132</v>
      </c>
      <c r="CF39" t="s">
        <v>1133</v>
      </c>
      <c r="CG39" t="s">
        <v>1134</v>
      </c>
      <c r="CH39" t="s">
        <v>1135</v>
      </c>
      <c r="CI39" t="s">
        <v>1136</v>
      </c>
      <c r="CJ39" t="s">
        <v>832</v>
      </c>
      <c r="CK39" t="s">
        <v>1119</v>
      </c>
      <c r="CL39" t="s">
        <v>359</v>
      </c>
      <c r="CM39" t="s">
        <v>193</v>
      </c>
      <c r="CN39" t="s">
        <v>194</v>
      </c>
      <c r="CO39" t="s">
        <v>154</v>
      </c>
      <c r="CP39" t="s">
        <v>195</v>
      </c>
      <c r="CQ39" t="s">
        <v>196</v>
      </c>
      <c r="CR39" t="s">
        <v>154</v>
      </c>
      <c r="CS39" t="s">
        <v>197</v>
      </c>
      <c r="CT39" t="s">
        <v>198</v>
      </c>
      <c r="CU39" t="s">
        <v>199</v>
      </c>
      <c r="CV39" t="s">
        <v>151</v>
      </c>
      <c r="CW39" t="s">
        <v>1118</v>
      </c>
      <c r="CX39" t="s">
        <v>200</v>
      </c>
      <c r="CY39" t="s">
        <v>201</v>
      </c>
      <c r="CZ39" t="s">
        <v>202</v>
      </c>
      <c r="DA39" t="s">
        <v>203</v>
      </c>
      <c r="DB39" t="s">
        <v>204</v>
      </c>
      <c r="DC39" t="s">
        <v>205</v>
      </c>
    </row>
    <row r="40" spans="1:107" x14ac:dyDescent="0.45">
      <c r="A40" t="s">
        <v>505</v>
      </c>
      <c r="B40" t="s">
        <v>1137</v>
      </c>
      <c r="C40" t="s">
        <v>139</v>
      </c>
      <c r="D40" t="s">
        <v>76</v>
      </c>
      <c r="E40" t="s">
        <v>140</v>
      </c>
      <c r="F40" t="s">
        <v>19</v>
      </c>
      <c r="G40" t="s">
        <v>507</v>
      </c>
      <c r="H40" t="s">
        <v>19</v>
      </c>
      <c r="I40" t="s">
        <v>19</v>
      </c>
      <c r="J40">
        <v>-4.6912537824135448E-3</v>
      </c>
      <c r="K40">
        <v>2.9050319999999994</v>
      </c>
      <c r="L40">
        <v>-4.6988418087789679E-3</v>
      </c>
      <c r="M40">
        <v>-5.2815366606757792E-2</v>
      </c>
      <c r="N40" t="s">
        <v>1138</v>
      </c>
      <c r="O40" t="s">
        <v>1139</v>
      </c>
      <c r="P40">
        <v>2.704091113224417</v>
      </c>
      <c r="Q40">
        <v>1.1188981132244169</v>
      </c>
      <c r="R40" t="s">
        <v>1140</v>
      </c>
      <c r="S40" t="s">
        <v>1141</v>
      </c>
      <c r="T40">
        <v>26.591514536576035</v>
      </c>
      <c r="U40">
        <v>0.4417875</v>
      </c>
      <c r="V40" t="s">
        <v>146</v>
      </c>
      <c r="W40" t="s">
        <v>1142</v>
      </c>
      <c r="X40" t="s">
        <v>1143</v>
      </c>
      <c r="Y40" t="s">
        <v>1144</v>
      </c>
      <c r="Z40" t="s">
        <v>1145</v>
      </c>
      <c r="AA40" t="s">
        <v>151</v>
      </c>
      <c r="AB40" t="s">
        <v>151</v>
      </c>
      <c r="AC40" t="s">
        <v>151</v>
      </c>
      <c r="AD40" t="s">
        <v>152</v>
      </c>
      <c r="AE40" t="s">
        <v>153</v>
      </c>
      <c r="AF40">
        <v>0</v>
      </c>
      <c r="AG40" t="s">
        <v>154</v>
      </c>
      <c r="AH40" t="s">
        <v>1146</v>
      </c>
      <c r="AI40" t="s">
        <v>1147</v>
      </c>
      <c r="AJ40" t="s">
        <v>312</v>
      </c>
      <c r="AK40" t="s">
        <v>1148</v>
      </c>
      <c r="AL40">
        <v>22.31</v>
      </c>
      <c r="AM40" t="s">
        <v>901</v>
      </c>
      <c r="AN40" t="s">
        <v>160</v>
      </c>
      <c r="AO40" t="s">
        <v>1149</v>
      </c>
      <c r="AP40" t="s">
        <v>1150</v>
      </c>
      <c r="AQ40" t="s">
        <v>163</v>
      </c>
      <c r="AR40" t="s">
        <v>1103</v>
      </c>
      <c r="AS40" t="s">
        <v>876</v>
      </c>
      <c r="AT40" t="s">
        <v>139</v>
      </c>
      <c r="AU40" t="s">
        <v>877</v>
      </c>
      <c r="AV40" t="s">
        <v>137</v>
      </c>
      <c r="AW40" t="s">
        <v>905</v>
      </c>
      <c r="AX40" t="s">
        <v>167</v>
      </c>
      <c r="AY40" t="s">
        <v>169</v>
      </c>
      <c r="AZ40" t="s">
        <v>1151</v>
      </c>
      <c r="BA40" t="s">
        <v>1152</v>
      </c>
      <c r="BB40" t="s">
        <v>169</v>
      </c>
      <c r="BC40" t="s">
        <v>137</v>
      </c>
      <c r="BD40" t="s">
        <v>172</v>
      </c>
      <c r="BE40" t="s">
        <v>169</v>
      </c>
      <c r="BF40" t="s">
        <v>173</v>
      </c>
      <c r="BG40" t="s">
        <v>174</v>
      </c>
      <c r="BH40" t="s">
        <v>151</v>
      </c>
      <c r="BI40" t="s">
        <v>175</v>
      </c>
      <c r="BJ40" t="s">
        <v>151</v>
      </c>
      <c r="BK40" t="s">
        <v>151</v>
      </c>
      <c r="BL40" t="s">
        <v>176</v>
      </c>
      <c r="BM40" t="s">
        <v>177</v>
      </c>
      <c r="BN40" t="s">
        <v>137</v>
      </c>
      <c r="BO40" t="s">
        <v>178</v>
      </c>
      <c r="BP40" t="s">
        <v>179</v>
      </c>
      <c r="BQ40" t="s">
        <v>180</v>
      </c>
      <c r="BR40" t="s">
        <v>154</v>
      </c>
      <c r="BS40" t="s">
        <v>181</v>
      </c>
      <c r="BT40" t="s">
        <v>182</v>
      </c>
      <c r="BU40" t="s">
        <v>182</v>
      </c>
      <c r="BV40" t="s">
        <v>182</v>
      </c>
      <c r="BW40" t="s">
        <v>151</v>
      </c>
      <c r="BX40" t="s">
        <v>183</v>
      </c>
      <c r="BY40" t="s">
        <v>151</v>
      </c>
      <c r="BZ40" t="s">
        <v>151</v>
      </c>
      <c r="CA40" t="s">
        <v>151</v>
      </c>
      <c r="CB40" t="s">
        <v>151</v>
      </c>
      <c r="CC40" t="s">
        <v>1153</v>
      </c>
      <c r="CD40" t="s">
        <v>1154</v>
      </c>
      <c r="CE40" t="s">
        <v>1155</v>
      </c>
      <c r="CF40" t="s">
        <v>1156</v>
      </c>
      <c r="CG40" t="s">
        <v>1157</v>
      </c>
      <c r="CH40" t="s">
        <v>1158</v>
      </c>
      <c r="CI40" t="s">
        <v>1159</v>
      </c>
      <c r="CJ40" t="s">
        <v>415</v>
      </c>
      <c r="CK40" t="s">
        <v>1143</v>
      </c>
      <c r="CL40" t="s">
        <v>445</v>
      </c>
      <c r="CM40" t="s">
        <v>193</v>
      </c>
      <c r="CN40" t="s">
        <v>194</v>
      </c>
      <c r="CO40" t="s">
        <v>154</v>
      </c>
      <c r="CP40" t="s">
        <v>195</v>
      </c>
      <c r="CQ40" t="s">
        <v>196</v>
      </c>
      <c r="CR40" t="s">
        <v>154</v>
      </c>
      <c r="CS40" t="s">
        <v>197</v>
      </c>
      <c r="CT40" t="s">
        <v>198</v>
      </c>
      <c r="CU40" t="s">
        <v>199</v>
      </c>
      <c r="CV40" t="s">
        <v>151</v>
      </c>
      <c r="CW40" t="s">
        <v>1142</v>
      </c>
      <c r="CX40" t="s">
        <v>200</v>
      </c>
      <c r="CY40" t="s">
        <v>201</v>
      </c>
      <c r="CZ40" t="s">
        <v>202</v>
      </c>
      <c r="DA40" t="s">
        <v>203</v>
      </c>
      <c r="DB40" t="s">
        <v>204</v>
      </c>
      <c r="DC40" t="s">
        <v>205</v>
      </c>
    </row>
    <row r="41" spans="1:107" x14ac:dyDescent="0.45">
      <c r="A41" t="s">
        <v>531</v>
      </c>
      <c r="B41" t="s">
        <v>1160</v>
      </c>
      <c r="C41" t="s">
        <v>139</v>
      </c>
      <c r="D41" t="s">
        <v>76</v>
      </c>
      <c r="E41" t="s">
        <v>140</v>
      </c>
      <c r="F41" t="s">
        <v>19</v>
      </c>
      <c r="G41" t="s">
        <v>533</v>
      </c>
      <c r="H41" t="s">
        <v>19</v>
      </c>
      <c r="I41" t="s">
        <v>19</v>
      </c>
      <c r="J41">
        <v>2.4009180162262448E-2</v>
      </c>
      <c r="K41">
        <v>2.9058327199999998</v>
      </c>
      <c r="L41">
        <v>2.3812432094719262E-2</v>
      </c>
      <c r="M41">
        <v>0.25631676103628759</v>
      </c>
      <c r="N41" t="s">
        <v>1161</v>
      </c>
      <c r="O41" t="s">
        <v>1162</v>
      </c>
      <c r="P41">
        <v>2.6389771012177308</v>
      </c>
      <c r="Q41">
        <v>1.0721311012177308</v>
      </c>
      <c r="R41" t="s">
        <v>1163</v>
      </c>
      <c r="S41" t="s">
        <v>1164</v>
      </c>
      <c r="T41">
        <v>25.948644063104528</v>
      </c>
      <c r="U41">
        <v>0.4417875</v>
      </c>
      <c r="V41" t="s">
        <v>146</v>
      </c>
      <c r="W41" t="s">
        <v>1165</v>
      </c>
      <c r="X41" t="s">
        <v>1166</v>
      </c>
      <c r="Y41" t="s">
        <v>1167</v>
      </c>
      <c r="Z41" t="s">
        <v>1168</v>
      </c>
      <c r="AA41" t="s">
        <v>151</v>
      </c>
      <c r="AB41" t="s">
        <v>151</v>
      </c>
      <c r="AC41" t="s">
        <v>151</v>
      </c>
      <c r="AD41" t="s">
        <v>152</v>
      </c>
      <c r="AE41" t="s">
        <v>153</v>
      </c>
      <c r="AF41">
        <v>0</v>
      </c>
      <c r="AG41" t="s">
        <v>154</v>
      </c>
      <c r="AH41" t="s">
        <v>1169</v>
      </c>
      <c r="AI41" t="s">
        <v>1170</v>
      </c>
      <c r="AJ41" t="s">
        <v>1171</v>
      </c>
      <c r="AK41" t="s">
        <v>1172</v>
      </c>
      <c r="AL41">
        <v>21.91</v>
      </c>
      <c r="AM41" t="s">
        <v>928</v>
      </c>
      <c r="AN41" t="s">
        <v>345</v>
      </c>
      <c r="AO41" t="s">
        <v>1173</v>
      </c>
      <c r="AP41" t="s">
        <v>1174</v>
      </c>
      <c r="AQ41" t="s">
        <v>163</v>
      </c>
      <c r="AR41" t="s">
        <v>1103</v>
      </c>
      <c r="AS41" t="s">
        <v>876</v>
      </c>
      <c r="AT41" t="s">
        <v>139</v>
      </c>
      <c r="AU41" t="s">
        <v>877</v>
      </c>
      <c r="AV41" t="s">
        <v>137</v>
      </c>
      <c r="AW41" t="s">
        <v>227</v>
      </c>
      <c r="AX41" t="s">
        <v>1175</v>
      </c>
      <c r="AY41" t="s">
        <v>169</v>
      </c>
      <c r="AZ41" t="s">
        <v>1176</v>
      </c>
      <c r="BA41" t="s">
        <v>1177</v>
      </c>
      <c r="BB41" t="s">
        <v>169</v>
      </c>
      <c r="BC41" t="s">
        <v>137</v>
      </c>
      <c r="BD41" t="s">
        <v>172</v>
      </c>
      <c r="BE41" t="s">
        <v>169</v>
      </c>
      <c r="BF41" t="s">
        <v>173</v>
      </c>
      <c r="BG41" t="s">
        <v>174</v>
      </c>
      <c r="BH41" t="s">
        <v>151</v>
      </c>
      <c r="BI41" t="s">
        <v>175</v>
      </c>
      <c r="BJ41" t="s">
        <v>151</v>
      </c>
      <c r="BK41" t="s">
        <v>151</v>
      </c>
      <c r="BL41" t="s">
        <v>176</v>
      </c>
      <c r="BM41" t="s">
        <v>177</v>
      </c>
      <c r="BN41" t="s">
        <v>137</v>
      </c>
      <c r="BO41" t="s">
        <v>178</v>
      </c>
      <c r="BP41" t="s">
        <v>179</v>
      </c>
      <c r="BQ41" t="s">
        <v>180</v>
      </c>
      <c r="BR41" t="s">
        <v>154</v>
      </c>
      <c r="BS41" t="s">
        <v>181</v>
      </c>
      <c r="BT41" t="s">
        <v>182</v>
      </c>
      <c r="BU41" t="s">
        <v>182</v>
      </c>
      <c r="BV41" t="s">
        <v>182</v>
      </c>
      <c r="BW41" t="s">
        <v>151</v>
      </c>
      <c r="BX41" t="s">
        <v>183</v>
      </c>
      <c r="BY41" t="s">
        <v>151</v>
      </c>
      <c r="BZ41" t="s">
        <v>151</v>
      </c>
      <c r="CA41" t="s">
        <v>151</v>
      </c>
      <c r="CB41" t="s">
        <v>151</v>
      </c>
      <c r="CC41" t="s">
        <v>1178</v>
      </c>
      <c r="CD41" t="s">
        <v>1179</v>
      </c>
      <c r="CE41" t="s">
        <v>1180</v>
      </c>
      <c r="CF41" t="s">
        <v>1181</v>
      </c>
      <c r="CG41" t="s">
        <v>1182</v>
      </c>
      <c r="CH41" t="s">
        <v>1183</v>
      </c>
      <c r="CI41" t="s">
        <v>1184</v>
      </c>
      <c r="CJ41" t="s">
        <v>299</v>
      </c>
      <c r="CK41" t="s">
        <v>1166</v>
      </c>
      <c r="CL41" t="s">
        <v>475</v>
      </c>
      <c r="CM41" t="s">
        <v>193</v>
      </c>
      <c r="CN41" t="s">
        <v>194</v>
      </c>
      <c r="CO41" t="s">
        <v>154</v>
      </c>
      <c r="CP41" t="s">
        <v>195</v>
      </c>
      <c r="CQ41" t="s">
        <v>196</v>
      </c>
      <c r="CR41" t="s">
        <v>154</v>
      </c>
      <c r="CS41" t="s">
        <v>197</v>
      </c>
      <c r="CT41" t="s">
        <v>198</v>
      </c>
      <c r="CU41" t="s">
        <v>199</v>
      </c>
      <c r="CV41" t="s">
        <v>151</v>
      </c>
      <c r="CW41" t="s">
        <v>1165</v>
      </c>
      <c r="CX41" t="s">
        <v>200</v>
      </c>
      <c r="CY41" t="s">
        <v>201</v>
      </c>
      <c r="CZ41" t="s">
        <v>202</v>
      </c>
      <c r="DA41" t="s">
        <v>203</v>
      </c>
      <c r="DB41" t="s">
        <v>204</v>
      </c>
      <c r="DC41" t="s">
        <v>205</v>
      </c>
    </row>
    <row r="42" spans="1:107" x14ac:dyDescent="0.45">
      <c r="A42" t="s">
        <v>561</v>
      </c>
      <c r="B42" t="s">
        <v>1185</v>
      </c>
      <c r="C42" t="s">
        <v>139</v>
      </c>
      <c r="D42" t="s">
        <v>76</v>
      </c>
      <c r="E42" t="s">
        <v>140</v>
      </c>
      <c r="F42" t="s">
        <v>19</v>
      </c>
      <c r="G42" t="s">
        <v>563</v>
      </c>
      <c r="H42" t="s">
        <v>19</v>
      </c>
      <c r="I42" t="s">
        <v>19</v>
      </c>
      <c r="J42">
        <v>4.4837619246324073E-3</v>
      </c>
      <c r="K42">
        <v>2.9066320800000001</v>
      </c>
      <c r="L42">
        <v>4.4768559400929905E-3</v>
      </c>
      <c r="M42">
        <v>4.8258009056305493E-2</v>
      </c>
      <c r="N42" t="s">
        <v>1186</v>
      </c>
      <c r="O42" t="s">
        <v>1187</v>
      </c>
      <c r="P42">
        <v>2.6309351537515093</v>
      </c>
      <c r="Q42">
        <v>1.0735681537515094</v>
      </c>
      <c r="R42" t="s">
        <v>1188</v>
      </c>
      <c r="S42" t="s">
        <v>1189</v>
      </c>
      <c r="T42">
        <v>25.872112830676659</v>
      </c>
      <c r="U42">
        <v>0.4417875</v>
      </c>
      <c r="V42" t="s">
        <v>146</v>
      </c>
      <c r="W42" t="s">
        <v>1190</v>
      </c>
      <c r="X42" t="s">
        <v>1191</v>
      </c>
      <c r="Y42" t="s">
        <v>1192</v>
      </c>
      <c r="Z42" t="s">
        <v>1193</v>
      </c>
      <c r="AA42" t="s">
        <v>151</v>
      </c>
      <c r="AB42" t="s">
        <v>151</v>
      </c>
      <c r="AC42" t="s">
        <v>151</v>
      </c>
      <c r="AD42" t="s">
        <v>152</v>
      </c>
      <c r="AE42" t="s">
        <v>153</v>
      </c>
      <c r="AF42">
        <v>0</v>
      </c>
      <c r="AG42" t="s">
        <v>154</v>
      </c>
      <c r="AH42" t="s">
        <v>898</v>
      </c>
      <c r="AI42" t="s">
        <v>1194</v>
      </c>
      <c r="AJ42" t="s">
        <v>1195</v>
      </c>
      <c r="AK42" t="s">
        <v>1196</v>
      </c>
      <c r="AL42">
        <v>21.86</v>
      </c>
      <c r="AM42" t="s">
        <v>901</v>
      </c>
      <c r="AN42" t="s">
        <v>401</v>
      </c>
      <c r="AO42" t="s">
        <v>1197</v>
      </c>
      <c r="AP42" t="s">
        <v>1198</v>
      </c>
      <c r="AQ42" t="s">
        <v>1199</v>
      </c>
      <c r="AR42" t="s">
        <v>1127</v>
      </c>
      <c r="AS42" t="s">
        <v>876</v>
      </c>
      <c r="AT42" t="s">
        <v>139</v>
      </c>
      <c r="AU42" t="s">
        <v>877</v>
      </c>
      <c r="AV42" t="s">
        <v>137</v>
      </c>
      <c r="AW42" t="s">
        <v>227</v>
      </c>
      <c r="AX42" t="s">
        <v>1200</v>
      </c>
      <c r="AY42" t="s">
        <v>169</v>
      </c>
      <c r="AZ42" t="s">
        <v>1201</v>
      </c>
      <c r="BA42" t="s">
        <v>1202</v>
      </c>
      <c r="BB42" t="s">
        <v>169</v>
      </c>
      <c r="BC42" t="s">
        <v>137</v>
      </c>
      <c r="BD42" t="s">
        <v>172</v>
      </c>
      <c r="BE42" t="s">
        <v>169</v>
      </c>
      <c r="BF42" t="s">
        <v>173</v>
      </c>
      <c r="BG42" t="s">
        <v>174</v>
      </c>
      <c r="BH42" t="s">
        <v>151</v>
      </c>
      <c r="BI42" t="s">
        <v>175</v>
      </c>
      <c r="BJ42" t="s">
        <v>151</v>
      </c>
      <c r="BK42" t="s">
        <v>151</v>
      </c>
      <c r="BL42" t="s">
        <v>176</v>
      </c>
      <c r="BM42" t="s">
        <v>177</v>
      </c>
      <c r="BN42" t="s">
        <v>137</v>
      </c>
      <c r="BO42" t="s">
        <v>178</v>
      </c>
      <c r="BP42" t="s">
        <v>179</v>
      </c>
      <c r="BQ42" t="s">
        <v>180</v>
      </c>
      <c r="BR42" t="s">
        <v>154</v>
      </c>
      <c r="BS42" t="s">
        <v>181</v>
      </c>
      <c r="BT42" t="s">
        <v>182</v>
      </c>
      <c r="BU42" t="s">
        <v>182</v>
      </c>
      <c r="BV42" t="s">
        <v>182</v>
      </c>
      <c r="BW42" t="s">
        <v>151</v>
      </c>
      <c r="BX42" t="s">
        <v>183</v>
      </c>
      <c r="BY42" t="s">
        <v>151</v>
      </c>
      <c r="BZ42" t="s">
        <v>151</v>
      </c>
      <c r="CA42" t="s">
        <v>151</v>
      </c>
      <c r="CB42" t="s">
        <v>151</v>
      </c>
      <c r="CC42" t="s">
        <v>1203</v>
      </c>
      <c r="CD42" t="s">
        <v>1204</v>
      </c>
      <c r="CE42" t="s">
        <v>1205</v>
      </c>
      <c r="CF42" t="s">
        <v>1206</v>
      </c>
      <c r="CG42" t="s">
        <v>1207</v>
      </c>
      <c r="CH42" t="s">
        <v>1208</v>
      </c>
      <c r="CI42" t="s">
        <v>1209</v>
      </c>
      <c r="CJ42" t="s">
        <v>1210</v>
      </c>
      <c r="CK42" t="s">
        <v>1191</v>
      </c>
      <c r="CL42" t="s">
        <v>530</v>
      </c>
      <c r="CM42" t="s">
        <v>193</v>
      </c>
      <c r="CN42" t="s">
        <v>194</v>
      </c>
      <c r="CO42" t="s">
        <v>154</v>
      </c>
      <c r="CP42" t="s">
        <v>195</v>
      </c>
      <c r="CQ42" t="s">
        <v>196</v>
      </c>
      <c r="CR42" t="s">
        <v>154</v>
      </c>
      <c r="CS42" t="s">
        <v>197</v>
      </c>
      <c r="CT42" t="s">
        <v>198</v>
      </c>
      <c r="CU42" t="s">
        <v>199</v>
      </c>
      <c r="CV42" t="s">
        <v>151</v>
      </c>
      <c r="CW42" t="s">
        <v>1190</v>
      </c>
      <c r="CX42" t="s">
        <v>200</v>
      </c>
      <c r="CY42" t="s">
        <v>201</v>
      </c>
      <c r="CZ42" t="s">
        <v>202</v>
      </c>
      <c r="DA42" t="s">
        <v>203</v>
      </c>
      <c r="DB42" t="s">
        <v>204</v>
      </c>
      <c r="DC42" t="s">
        <v>205</v>
      </c>
    </row>
    <row r="43" spans="1:107" x14ac:dyDescent="0.45">
      <c r="A43" t="s">
        <v>587</v>
      </c>
      <c r="B43" t="s">
        <v>1211</v>
      </c>
      <c r="C43" t="s">
        <v>139</v>
      </c>
      <c r="D43" t="s">
        <v>76</v>
      </c>
      <c r="E43" t="s">
        <v>140</v>
      </c>
      <c r="F43" t="s">
        <v>19</v>
      </c>
      <c r="G43" t="s">
        <v>589</v>
      </c>
      <c r="H43" t="s">
        <v>19</v>
      </c>
      <c r="I43" t="s">
        <v>19</v>
      </c>
      <c r="J43">
        <v>-4.9977865333640454E-3</v>
      </c>
      <c r="K43">
        <v>2.9042299199999997</v>
      </c>
      <c r="L43">
        <v>-5.0064018732482677E-3</v>
      </c>
      <c r="M43">
        <v>-5.6530244038284189E-2</v>
      </c>
      <c r="N43" t="s">
        <v>1212</v>
      </c>
      <c r="O43" t="s">
        <v>1213</v>
      </c>
      <c r="P43">
        <v>2.6762478508835859</v>
      </c>
      <c r="Q43">
        <v>1.1243018508835858</v>
      </c>
      <c r="R43" t="s">
        <v>1214</v>
      </c>
      <c r="S43" t="s">
        <v>1215</v>
      </c>
      <c r="T43">
        <v>26.317709222967704</v>
      </c>
      <c r="U43">
        <v>0.4417875</v>
      </c>
      <c r="V43" t="s">
        <v>146</v>
      </c>
      <c r="W43" t="s">
        <v>1216</v>
      </c>
      <c r="X43" t="s">
        <v>1217</v>
      </c>
      <c r="Y43" t="s">
        <v>1218</v>
      </c>
      <c r="Z43" t="s">
        <v>1219</v>
      </c>
      <c r="AA43" t="s">
        <v>151</v>
      </c>
      <c r="AB43" t="s">
        <v>151</v>
      </c>
      <c r="AC43" t="s">
        <v>151</v>
      </c>
      <c r="AD43" t="s">
        <v>152</v>
      </c>
      <c r="AE43" t="s">
        <v>153</v>
      </c>
      <c r="AF43">
        <v>0</v>
      </c>
      <c r="AG43" t="s">
        <v>154</v>
      </c>
      <c r="AH43" t="s">
        <v>1220</v>
      </c>
      <c r="AI43" t="s">
        <v>1221</v>
      </c>
      <c r="AJ43" t="s">
        <v>157</v>
      </c>
      <c r="AK43" t="s">
        <v>1222</v>
      </c>
      <c r="AL43">
        <v>22.14</v>
      </c>
      <c r="AM43" t="s">
        <v>901</v>
      </c>
      <c r="AN43" t="s">
        <v>284</v>
      </c>
      <c r="AO43" t="s">
        <v>1223</v>
      </c>
      <c r="AP43" t="s">
        <v>930</v>
      </c>
      <c r="AQ43" t="s">
        <v>1199</v>
      </c>
      <c r="AR43" t="s">
        <v>1127</v>
      </c>
      <c r="AS43" t="s">
        <v>876</v>
      </c>
      <c r="AT43" t="s">
        <v>139</v>
      </c>
      <c r="AU43" t="s">
        <v>877</v>
      </c>
      <c r="AV43" t="s">
        <v>137</v>
      </c>
      <c r="AW43" t="s">
        <v>905</v>
      </c>
      <c r="AX43" t="s">
        <v>628</v>
      </c>
      <c r="AY43" t="s">
        <v>169</v>
      </c>
      <c r="AZ43" t="s">
        <v>1224</v>
      </c>
      <c r="BA43" t="s">
        <v>1225</v>
      </c>
      <c r="BB43" t="s">
        <v>169</v>
      </c>
      <c r="BC43" t="s">
        <v>137</v>
      </c>
      <c r="BD43" t="s">
        <v>172</v>
      </c>
      <c r="BE43" t="s">
        <v>169</v>
      </c>
      <c r="BF43" t="s">
        <v>173</v>
      </c>
      <c r="BG43" t="s">
        <v>174</v>
      </c>
      <c r="BH43" t="s">
        <v>151</v>
      </c>
      <c r="BI43" t="s">
        <v>175</v>
      </c>
      <c r="BJ43" t="s">
        <v>151</v>
      </c>
      <c r="BK43" t="s">
        <v>151</v>
      </c>
      <c r="BL43" t="s">
        <v>176</v>
      </c>
      <c r="BM43" t="s">
        <v>177</v>
      </c>
      <c r="BN43" t="s">
        <v>137</v>
      </c>
      <c r="BO43" t="s">
        <v>178</v>
      </c>
      <c r="BP43" t="s">
        <v>179</v>
      </c>
      <c r="BQ43" t="s">
        <v>180</v>
      </c>
      <c r="BR43" t="s">
        <v>154</v>
      </c>
      <c r="BS43" t="s">
        <v>181</v>
      </c>
      <c r="BT43" t="s">
        <v>182</v>
      </c>
      <c r="BU43" t="s">
        <v>182</v>
      </c>
      <c r="BV43" t="s">
        <v>182</v>
      </c>
      <c r="BW43" t="s">
        <v>151</v>
      </c>
      <c r="BX43" t="s">
        <v>183</v>
      </c>
      <c r="BY43" t="s">
        <v>151</v>
      </c>
      <c r="BZ43" t="s">
        <v>151</v>
      </c>
      <c r="CA43" t="s">
        <v>151</v>
      </c>
      <c r="CB43" t="s">
        <v>151</v>
      </c>
      <c r="CC43" t="s">
        <v>1226</v>
      </c>
      <c r="CD43" t="s">
        <v>1227</v>
      </c>
      <c r="CE43" t="s">
        <v>1228</v>
      </c>
      <c r="CF43" t="s">
        <v>1229</v>
      </c>
      <c r="CG43" t="s">
        <v>1230</v>
      </c>
      <c r="CH43" t="s">
        <v>1231</v>
      </c>
      <c r="CI43" t="s">
        <v>1232</v>
      </c>
      <c r="CJ43" t="s">
        <v>1233</v>
      </c>
      <c r="CK43" t="s">
        <v>1217</v>
      </c>
      <c r="CL43" t="s">
        <v>237</v>
      </c>
      <c r="CM43" t="s">
        <v>193</v>
      </c>
      <c r="CN43" t="s">
        <v>194</v>
      </c>
      <c r="CO43" t="s">
        <v>154</v>
      </c>
      <c r="CP43" t="s">
        <v>195</v>
      </c>
      <c r="CQ43" t="s">
        <v>196</v>
      </c>
      <c r="CR43" t="s">
        <v>154</v>
      </c>
      <c r="CS43" t="s">
        <v>197</v>
      </c>
      <c r="CT43" t="s">
        <v>198</v>
      </c>
      <c r="CU43" t="s">
        <v>199</v>
      </c>
      <c r="CV43" t="s">
        <v>151</v>
      </c>
      <c r="CW43" t="s">
        <v>1216</v>
      </c>
      <c r="CX43" t="s">
        <v>200</v>
      </c>
      <c r="CY43" t="s">
        <v>201</v>
      </c>
      <c r="CZ43" t="s">
        <v>202</v>
      </c>
      <c r="DA43" t="s">
        <v>203</v>
      </c>
      <c r="DB43" t="s">
        <v>204</v>
      </c>
      <c r="DC43" t="s">
        <v>205</v>
      </c>
    </row>
    <row r="44" spans="1:107" x14ac:dyDescent="0.45">
      <c r="A44" t="s">
        <v>1234</v>
      </c>
      <c r="B44" t="s">
        <v>1235</v>
      </c>
      <c r="C44" t="s">
        <v>139</v>
      </c>
      <c r="D44" t="s">
        <v>76</v>
      </c>
      <c r="E44" t="s">
        <v>140</v>
      </c>
      <c r="F44" t="s">
        <v>19</v>
      </c>
      <c r="G44" t="s">
        <v>1236</v>
      </c>
      <c r="H44" t="s">
        <v>19</v>
      </c>
      <c r="I44" t="s">
        <v>19</v>
      </c>
      <c r="J44">
        <v>9.3924117194743714E-4</v>
      </c>
      <c r="K44">
        <v>2.9050319999999994</v>
      </c>
      <c r="L44">
        <v>9.3893759909489721E-4</v>
      </c>
      <c r="M44">
        <v>1.0126557876651536E-2</v>
      </c>
      <c r="N44" t="s">
        <v>1237</v>
      </c>
      <c r="O44" t="s">
        <v>1238</v>
      </c>
      <c r="P44">
        <v>2.627724386414815</v>
      </c>
      <c r="Q44">
        <v>1.074134386414815</v>
      </c>
      <c r="R44" t="s">
        <v>1239</v>
      </c>
      <c r="S44" t="s">
        <v>1240</v>
      </c>
      <c r="T44">
        <v>25.840538759119038</v>
      </c>
      <c r="U44">
        <v>0.4417875</v>
      </c>
      <c r="V44" t="s">
        <v>146</v>
      </c>
      <c r="W44" t="s">
        <v>1241</v>
      </c>
      <c r="X44" t="s">
        <v>1242</v>
      </c>
      <c r="Y44" t="s">
        <v>1243</v>
      </c>
      <c r="Z44" t="s">
        <v>1244</v>
      </c>
      <c r="AA44" t="s">
        <v>151</v>
      </c>
      <c r="AB44" t="s">
        <v>151</v>
      </c>
      <c r="AC44" t="s">
        <v>151</v>
      </c>
      <c r="AD44" t="s">
        <v>152</v>
      </c>
      <c r="AE44" t="s">
        <v>153</v>
      </c>
      <c r="AF44">
        <v>0</v>
      </c>
      <c r="AG44" t="s">
        <v>154</v>
      </c>
      <c r="AH44" t="s">
        <v>1245</v>
      </c>
      <c r="AI44" t="s">
        <v>1220</v>
      </c>
      <c r="AJ44" t="s">
        <v>1246</v>
      </c>
      <c r="AK44" t="s">
        <v>976</v>
      </c>
      <c r="AL44">
        <v>21.84</v>
      </c>
      <c r="AM44" t="s">
        <v>901</v>
      </c>
      <c r="AN44" t="s">
        <v>160</v>
      </c>
      <c r="AO44" t="s">
        <v>1247</v>
      </c>
      <c r="AP44" t="s">
        <v>1248</v>
      </c>
      <c r="AQ44" t="s">
        <v>163</v>
      </c>
      <c r="AR44" t="s">
        <v>1249</v>
      </c>
      <c r="AS44" t="s">
        <v>876</v>
      </c>
      <c r="AT44" t="s">
        <v>139</v>
      </c>
      <c r="AU44" t="s">
        <v>877</v>
      </c>
      <c r="AV44" t="s">
        <v>137</v>
      </c>
      <c r="AW44" t="s">
        <v>348</v>
      </c>
      <c r="AX44" t="s">
        <v>349</v>
      </c>
      <c r="AY44" t="s">
        <v>169</v>
      </c>
      <c r="AZ44" t="s">
        <v>1250</v>
      </c>
      <c r="BA44" t="s">
        <v>1250</v>
      </c>
      <c r="BB44" t="s">
        <v>169</v>
      </c>
      <c r="BC44" t="s">
        <v>137</v>
      </c>
      <c r="BD44" t="s">
        <v>172</v>
      </c>
      <c r="BE44" t="s">
        <v>169</v>
      </c>
      <c r="BF44" t="s">
        <v>173</v>
      </c>
      <c r="BG44" t="s">
        <v>174</v>
      </c>
      <c r="BH44" t="s">
        <v>151</v>
      </c>
      <c r="BI44" t="s">
        <v>175</v>
      </c>
      <c r="BJ44" t="s">
        <v>151</v>
      </c>
      <c r="BK44" t="s">
        <v>151</v>
      </c>
      <c r="BL44" t="s">
        <v>176</v>
      </c>
      <c r="BM44" t="s">
        <v>177</v>
      </c>
      <c r="BN44" t="s">
        <v>137</v>
      </c>
      <c r="BO44" t="s">
        <v>178</v>
      </c>
      <c r="BP44" t="s">
        <v>179</v>
      </c>
      <c r="BQ44" t="s">
        <v>180</v>
      </c>
      <c r="BR44" t="s">
        <v>154</v>
      </c>
      <c r="BS44" t="s">
        <v>181</v>
      </c>
      <c r="BT44" t="s">
        <v>182</v>
      </c>
      <c r="BU44" t="s">
        <v>182</v>
      </c>
      <c r="BV44" t="s">
        <v>182</v>
      </c>
      <c r="BW44" t="s">
        <v>151</v>
      </c>
      <c r="BX44" t="s">
        <v>183</v>
      </c>
      <c r="BY44" t="s">
        <v>151</v>
      </c>
      <c r="BZ44" t="s">
        <v>151</v>
      </c>
      <c r="CA44" t="s">
        <v>151</v>
      </c>
      <c r="CB44" t="s">
        <v>151</v>
      </c>
      <c r="CC44" t="s">
        <v>1251</v>
      </c>
      <c r="CD44" t="s">
        <v>1252</v>
      </c>
      <c r="CE44" t="s">
        <v>1253</v>
      </c>
      <c r="CF44" t="s">
        <v>1254</v>
      </c>
      <c r="CG44" t="s">
        <v>1255</v>
      </c>
      <c r="CH44" t="s">
        <v>1256</v>
      </c>
      <c r="CI44" t="s">
        <v>1257</v>
      </c>
      <c r="CJ44" t="s">
        <v>299</v>
      </c>
      <c r="CK44" t="s">
        <v>1242</v>
      </c>
      <c r="CL44" t="s">
        <v>237</v>
      </c>
      <c r="CM44" t="s">
        <v>193</v>
      </c>
      <c r="CN44" t="s">
        <v>194</v>
      </c>
      <c r="CO44" t="s">
        <v>154</v>
      </c>
      <c r="CP44" t="s">
        <v>195</v>
      </c>
      <c r="CQ44" t="s">
        <v>196</v>
      </c>
      <c r="CR44" t="s">
        <v>154</v>
      </c>
      <c r="CS44" t="s">
        <v>197</v>
      </c>
      <c r="CT44" t="s">
        <v>198</v>
      </c>
      <c r="CU44" t="s">
        <v>199</v>
      </c>
      <c r="CV44" t="s">
        <v>151</v>
      </c>
      <c r="CW44" t="s">
        <v>1241</v>
      </c>
      <c r="CX44" t="s">
        <v>200</v>
      </c>
      <c r="CY44" t="s">
        <v>201</v>
      </c>
      <c r="CZ44" t="s">
        <v>202</v>
      </c>
      <c r="DA44" t="s">
        <v>203</v>
      </c>
      <c r="DB44" t="s">
        <v>204</v>
      </c>
      <c r="DC44" t="s">
        <v>205</v>
      </c>
    </row>
    <row r="45" spans="1:107" x14ac:dyDescent="0.45">
      <c r="A45" t="s">
        <v>1258</v>
      </c>
      <c r="B45" t="s">
        <v>1259</v>
      </c>
      <c r="C45" t="s">
        <v>139</v>
      </c>
      <c r="D45" t="s">
        <v>76</v>
      </c>
      <c r="E45" t="s">
        <v>140</v>
      </c>
      <c r="F45" t="s">
        <v>19</v>
      </c>
      <c r="G45" t="s">
        <v>1260</v>
      </c>
      <c r="H45" t="s">
        <v>19</v>
      </c>
      <c r="I45" t="s">
        <v>19</v>
      </c>
      <c r="J45">
        <v>6.4755469372365934E-3</v>
      </c>
      <c r="K45">
        <v>2.9042299199999997</v>
      </c>
      <c r="L45">
        <v>6.4611405644130048E-3</v>
      </c>
      <c r="M45">
        <v>6.7482085803378347E-2</v>
      </c>
      <c r="N45" t="s">
        <v>1261</v>
      </c>
      <c r="O45" t="s">
        <v>1262</v>
      </c>
      <c r="P45">
        <v>2.6197124699921552</v>
      </c>
      <c r="Q45">
        <v>1.0402214699921553</v>
      </c>
      <c r="R45" t="s">
        <v>1263</v>
      </c>
      <c r="S45" t="s">
        <v>1264</v>
      </c>
      <c r="T45">
        <v>25.759217994023157</v>
      </c>
      <c r="U45">
        <v>0.4417875</v>
      </c>
      <c r="V45" t="s">
        <v>146</v>
      </c>
      <c r="W45" t="s">
        <v>1265</v>
      </c>
      <c r="X45" t="s">
        <v>1266</v>
      </c>
      <c r="Y45" t="s">
        <v>1267</v>
      </c>
      <c r="Z45" t="s">
        <v>1268</v>
      </c>
      <c r="AA45" t="s">
        <v>151</v>
      </c>
      <c r="AB45" t="s">
        <v>151</v>
      </c>
      <c r="AC45" t="s">
        <v>151</v>
      </c>
      <c r="AD45" t="s">
        <v>152</v>
      </c>
      <c r="AE45" t="s">
        <v>153</v>
      </c>
      <c r="AF45">
        <v>0</v>
      </c>
      <c r="AG45" t="s">
        <v>154</v>
      </c>
      <c r="AH45" t="s">
        <v>1269</v>
      </c>
      <c r="AI45" t="s">
        <v>1270</v>
      </c>
      <c r="AJ45" t="s">
        <v>1271</v>
      </c>
      <c r="AK45" t="s">
        <v>400</v>
      </c>
      <c r="AL45">
        <v>21.79</v>
      </c>
      <c r="AM45" t="s">
        <v>928</v>
      </c>
      <c r="AN45" t="s">
        <v>284</v>
      </c>
      <c r="AO45" t="s">
        <v>1272</v>
      </c>
      <c r="AP45" t="s">
        <v>1273</v>
      </c>
      <c r="AQ45" t="s">
        <v>137</v>
      </c>
      <c r="AR45" t="s">
        <v>1249</v>
      </c>
      <c r="AS45" t="s">
        <v>876</v>
      </c>
      <c r="AT45" t="s">
        <v>139</v>
      </c>
      <c r="AU45" t="s">
        <v>877</v>
      </c>
      <c r="AV45" t="s">
        <v>137</v>
      </c>
      <c r="AW45" t="s">
        <v>548</v>
      </c>
      <c r="AX45" t="s">
        <v>1274</v>
      </c>
      <c r="AY45" t="s">
        <v>169</v>
      </c>
      <c r="AZ45" t="s">
        <v>1275</v>
      </c>
      <c r="BA45" t="s">
        <v>1276</v>
      </c>
      <c r="BB45" t="s">
        <v>169</v>
      </c>
      <c r="BC45" t="s">
        <v>137</v>
      </c>
      <c r="BD45" t="s">
        <v>172</v>
      </c>
      <c r="BE45" t="s">
        <v>169</v>
      </c>
      <c r="BF45" t="s">
        <v>173</v>
      </c>
      <c r="BG45" t="s">
        <v>174</v>
      </c>
      <c r="BH45" t="s">
        <v>151</v>
      </c>
      <c r="BI45" t="s">
        <v>175</v>
      </c>
      <c r="BJ45" t="s">
        <v>151</v>
      </c>
      <c r="BK45" t="s">
        <v>151</v>
      </c>
      <c r="BL45" t="s">
        <v>176</v>
      </c>
      <c r="BM45" t="s">
        <v>177</v>
      </c>
      <c r="BN45" t="s">
        <v>137</v>
      </c>
      <c r="BO45" t="s">
        <v>178</v>
      </c>
      <c r="BP45" t="s">
        <v>179</v>
      </c>
      <c r="BQ45" t="s">
        <v>180</v>
      </c>
      <c r="BR45" t="s">
        <v>154</v>
      </c>
      <c r="BS45" t="s">
        <v>181</v>
      </c>
      <c r="BT45" t="s">
        <v>182</v>
      </c>
      <c r="BU45" t="s">
        <v>182</v>
      </c>
      <c r="BV45" t="s">
        <v>182</v>
      </c>
      <c r="BW45" t="s">
        <v>151</v>
      </c>
      <c r="BX45" t="s">
        <v>183</v>
      </c>
      <c r="BY45" t="s">
        <v>151</v>
      </c>
      <c r="BZ45" t="s">
        <v>151</v>
      </c>
      <c r="CA45" t="s">
        <v>151</v>
      </c>
      <c r="CB45" t="s">
        <v>151</v>
      </c>
      <c r="CC45" t="s">
        <v>1277</v>
      </c>
      <c r="CD45" t="s">
        <v>1278</v>
      </c>
      <c r="CE45" t="s">
        <v>1279</v>
      </c>
      <c r="CF45" t="s">
        <v>1280</v>
      </c>
      <c r="CG45" t="s">
        <v>1281</v>
      </c>
      <c r="CH45" t="s">
        <v>1282</v>
      </c>
      <c r="CI45" t="s">
        <v>1283</v>
      </c>
      <c r="CJ45" t="s">
        <v>1284</v>
      </c>
      <c r="CK45" t="s">
        <v>1266</v>
      </c>
      <c r="CL45" t="s">
        <v>1062</v>
      </c>
      <c r="CM45" t="s">
        <v>193</v>
      </c>
      <c r="CN45" t="s">
        <v>194</v>
      </c>
      <c r="CO45" t="s">
        <v>154</v>
      </c>
      <c r="CP45" t="s">
        <v>195</v>
      </c>
      <c r="CQ45" t="s">
        <v>196</v>
      </c>
      <c r="CR45" t="s">
        <v>154</v>
      </c>
      <c r="CS45" t="s">
        <v>197</v>
      </c>
      <c r="CT45" t="s">
        <v>198</v>
      </c>
      <c r="CU45" t="s">
        <v>199</v>
      </c>
      <c r="CV45" t="s">
        <v>151</v>
      </c>
      <c r="CW45" t="s">
        <v>1265</v>
      </c>
      <c r="CX45" t="s">
        <v>200</v>
      </c>
      <c r="CY45" t="s">
        <v>201</v>
      </c>
      <c r="CZ45" t="s">
        <v>202</v>
      </c>
      <c r="DA45" t="s">
        <v>203</v>
      </c>
      <c r="DB45" t="s">
        <v>204</v>
      </c>
      <c r="DC45" t="s">
        <v>205</v>
      </c>
    </row>
    <row r="46" spans="1:107" x14ac:dyDescent="0.45">
      <c r="A46" t="s">
        <v>1285</v>
      </c>
      <c r="B46" t="s">
        <v>1286</v>
      </c>
      <c r="C46" t="s">
        <v>139</v>
      </c>
      <c r="D46" t="s">
        <v>76</v>
      </c>
      <c r="E46" t="s">
        <v>140</v>
      </c>
      <c r="F46" t="s">
        <v>19</v>
      </c>
      <c r="G46" t="s">
        <v>1287</v>
      </c>
      <c r="H46" t="s">
        <v>19</v>
      </c>
      <c r="I46" t="s">
        <v>19</v>
      </c>
      <c r="J46">
        <v>-5.9243847756975093E-3</v>
      </c>
      <c r="K46">
        <v>2.9026216799999998</v>
      </c>
      <c r="L46">
        <v>-5.936501449064927E-3</v>
      </c>
      <c r="M46">
        <v>-6.6454223700059128E-2</v>
      </c>
      <c r="N46" t="s">
        <v>1288</v>
      </c>
      <c r="O46" t="s">
        <v>1289</v>
      </c>
      <c r="P46">
        <v>2.6729887281652482</v>
      </c>
      <c r="Q46">
        <v>1.1147347281652482</v>
      </c>
      <c r="R46" t="s">
        <v>1290</v>
      </c>
      <c r="S46" t="s">
        <v>1291</v>
      </c>
      <c r="T46">
        <v>26.283075006541281</v>
      </c>
      <c r="U46">
        <v>0.4417875</v>
      </c>
      <c r="V46" t="s">
        <v>146</v>
      </c>
      <c r="W46" t="s">
        <v>1292</v>
      </c>
      <c r="X46" t="s">
        <v>1293</v>
      </c>
      <c r="Y46" t="s">
        <v>1294</v>
      </c>
      <c r="Z46" t="s">
        <v>1295</v>
      </c>
      <c r="AA46" t="s">
        <v>151</v>
      </c>
      <c r="AB46" t="s">
        <v>151</v>
      </c>
      <c r="AC46" t="s">
        <v>151</v>
      </c>
      <c r="AD46" t="s">
        <v>152</v>
      </c>
      <c r="AE46" t="s">
        <v>153</v>
      </c>
      <c r="AF46">
        <v>0</v>
      </c>
      <c r="AG46" t="s">
        <v>154</v>
      </c>
      <c r="AH46" t="s">
        <v>1245</v>
      </c>
      <c r="AI46" t="s">
        <v>1296</v>
      </c>
      <c r="AJ46" t="s">
        <v>1297</v>
      </c>
      <c r="AK46" t="s">
        <v>1298</v>
      </c>
      <c r="AL46">
        <v>22.12</v>
      </c>
      <c r="AM46" t="s">
        <v>928</v>
      </c>
      <c r="AN46" t="s">
        <v>1299</v>
      </c>
      <c r="AO46" t="s">
        <v>747</v>
      </c>
      <c r="AP46" t="s">
        <v>1025</v>
      </c>
      <c r="AQ46" t="s">
        <v>163</v>
      </c>
      <c r="AR46" t="s">
        <v>1300</v>
      </c>
      <c r="AS46" t="s">
        <v>876</v>
      </c>
      <c r="AT46" t="s">
        <v>139</v>
      </c>
      <c r="AU46" t="s">
        <v>877</v>
      </c>
      <c r="AV46" t="s">
        <v>137</v>
      </c>
      <c r="AW46" t="s">
        <v>905</v>
      </c>
      <c r="AX46" t="s">
        <v>905</v>
      </c>
      <c r="AY46" t="s">
        <v>169</v>
      </c>
      <c r="AZ46" t="s">
        <v>1301</v>
      </c>
      <c r="BA46" t="s">
        <v>1302</v>
      </c>
      <c r="BB46" t="s">
        <v>169</v>
      </c>
      <c r="BC46" t="s">
        <v>137</v>
      </c>
      <c r="BD46" t="s">
        <v>172</v>
      </c>
      <c r="BE46" t="s">
        <v>169</v>
      </c>
      <c r="BF46" t="s">
        <v>173</v>
      </c>
      <c r="BG46" t="s">
        <v>174</v>
      </c>
      <c r="BH46" t="s">
        <v>151</v>
      </c>
      <c r="BI46" t="s">
        <v>175</v>
      </c>
      <c r="BJ46" t="s">
        <v>151</v>
      </c>
      <c r="BK46" t="s">
        <v>151</v>
      </c>
      <c r="BL46" t="s">
        <v>176</v>
      </c>
      <c r="BM46" t="s">
        <v>177</v>
      </c>
      <c r="BN46" t="s">
        <v>137</v>
      </c>
      <c r="BO46" t="s">
        <v>178</v>
      </c>
      <c r="BP46" t="s">
        <v>179</v>
      </c>
      <c r="BQ46" t="s">
        <v>180</v>
      </c>
      <c r="BR46" t="s">
        <v>154</v>
      </c>
      <c r="BS46" t="s">
        <v>181</v>
      </c>
      <c r="BT46" t="s">
        <v>182</v>
      </c>
      <c r="BU46" t="s">
        <v>182</v>
      </c>
      <c r="BV46" t="s">
        <v>182</v>
      </c>
      <c r="BW46" t="s">
        <v>151</v>
      </c>
      <c r="BX46" t="s">
        <v>183</v>
      </c>
      <c r="BY46" t="s">
        <v>151</v>
      </c>
      <c r="BZ46" t="s">
        <v>151</v>
      </c>
      <c r="CA46" t="s">
        <v>151</v>
      </c>
      <c r="CB46" t="s">
        <v>151</v>
      </c>
      <c r="CC46" t="s">
        <v>1303</v>
      </c>
      <c r="CD46" t="s">
        <v>1304</v>
      </c>
      <c r="CE46" t="s">
        <v>1305</v>
      </c>
      <c r="CF46" t="s">
        <v>1306</v>
      </c>
      <c r="CG46" t="s">
        <v>1307</v>
      </c>
      <c r="CH46" t="s">
        <v>1308</v>
      </c>
      <c r="CI46" t="s">
        <v>1309</v>
      </c>
      <c r="CJ46" t="s">
        <v>474</v>
      </c>
      <c r="CK46" t="s">
        <v>1293</v>
      </c>
      <c r="CL46" t="s">
        <v>475</v>
      </c>
      <c r="CM46" t="s">
        <v>193</v>
      </c>
      <c r="CN46" t="s">
        <v>194</v>
      </c>
      <c r="CO46" t="s">
        <v>154</v>
      </c>
      <c r="CP46" t="s">
        <v>195</v>
      </c>
      <c r="CQ46" t="s">
        <v>196</v>
      </c>
      <c r="CR46" t="s">
        <v>154</v>
      </c>
      <c r="CS46" t="s">
        <v>197</v>
      </c>
      <c r="CT46" t="s">
        <v>198</v>
      </c>
      <c r="CU46" t="s">
        <v>199</v>
      </c>
      <c r="CV46" t="s">
        <v>151</v>
      </c>
      <c r="CW46" t="s">
        <v>1292</v>
      </c>
      <c r="CX46" t="s">
        <v>200</v>
      </c>
      <c r="CY46" t="s">
        <v>201</v>
      </c>
      <c r="CZ46" t="s">
        <v>202</v>
      </c>
      <c r="DA46" t="s">
        <v>203</v>
      </c>
      <c r="DB46" t="s">
        <v>204</v>
      </c>
      <c r="DC46" t="s">
        <v>205</v>
      </c>
    </row>
    <row r="47" spans="1:107" x14ac:dyDescent="0.45">
      <c r="A47" t="s">
        <v>1310</v>
      </c>
      <c r="B47" t="s">
        <v>1311</v>
      </c>
      <c r="C47" t="s">
        <v>139</v>
      </c>
      <c r="D47" t="s">
        <v>76</v>
      </c>
      <c r="E47" t="s">
        <v>140</v>
      </c>
      <c r="F47" t="s">
        <v>19</v>
      </c>
      <c r="G47" t="s">
        <v>1312</v>
      </c>
      <c r="H47" t="s">
        <v>19</v>
      </c>
      <c r="I47" t="s">
        <v>19</v>
      </c>
      <c r="J47">
        <v>-3.227300125904354E-3</v>
      </c>
      <c r="K47">
        <v>2.9050319999999994</v>
      </c>
      <c r="L47">
        <v>-3.2308894322774242E-3</v>
      </c>
      <c r="M47">
        <v>-3.5218602360467588E-2</v>
      </c>
      <c r="N47" t="s">
        <v>1313</v>
      </c>
      <c r="O47" t="s">
        <v>1314</v>
      </c>
      <c r="P47">
        <v>2.643812590949949</v>
      </c>
      <c r="Q47">
        <v>1.085634590949949</v>
      </c>
      <c r="R47" t="s">
        <v>1315</v>
      </c>
      <c r="S47" t="s">
        <v>1316</v>
      </c>
      <c r="T47">
        <v>25.996190668141089</v>
      </c>
      <c r="U47">
        <v>0.4417875</v>
      </c>
      <c r="V47" t="s">
        <v>146</v>
      </c>
      <c r="W47" t="s">
        <v>1317</v>
      </c>
      <c r="X47" t="s">
        <v>1318</v>
      </c>
      <c r="Y47" t="s">
        <v>1319</v>
      </c>
      <c r="Z47" t="s">
        <v>1320</v>
      </c>
      <c r="AA47" t="s">
        <v>151</v>
      </c>
      <c r="AB47" t="s">
        <v>151</v>
      </c>
      <c r="AC47" t="s">
        <v>151</v>
      </c>
      <c r="AD47" t="s">
        <v>152</v>
      </c>
      <c r="AE47" t="s">
        <v>153</v>
      </c>
      <c r="AF47">
        <v>0</v>
      </c>
      <c r="AG47" t="s">
        <v>154</v>
      </c>
      <c r="AH47" t="s">
        <v>1321</v>
      </c>
      <c r="AI47" t="s">
        <v>1322</v>
      </c>
      <c r="AJ47" t="s">
        <v>1323</v>
      </c>
      <c r="AK47" t="s">
        <v>1324</v>
      </c>
      <c r="AL47">
        <v>21.94</v>
      </c>
      <c r="AM47" t="s">
        <v>928</v>
      </c>
      <c r="AN47" t="s">
        <v>160</v>
      </c>
      <c r="AO47" t="s">
        <v>1325</v>
      </c>
      <c r="AP47" t="s">
        <v>1326</v>
      </c>
      <c r="AQ47" t="s">
        <v>163</v>
      </c>
      <c r="AR47" t="s">
        <v>1327</v>
      </c>
      <c r="AS47" t="s">
        <v>876</v>
      </c>
      <c r="AT47" t="s">
        <v>139</v>
      </c>
      <c r="AU47" t="s">
        <v>877</v>
      </c>
      <c r="AV47" t="s">
        <v>137</v>
      </c>
      <c r="AW47" t="s">
        <v>225</v>
      </c>
      <c r="AX47" t="s">
        <v>1328</v>
      </c>
      <c r="AY47" t="s">
        <v>169</v>
      </c>
      <c r="AZ47" t="s">
        <v>1329</v>
      </c>
      <c r="BA47" t="s">
        <v>1330</v>
      </c>
      <c r="BB47" t="s">
        <v>169</v>
      </c>
      <c r="BC47" t="s">
        <v>137</v>
      </c>
      <c r="BD47" t="s">
        <v>172</v>
      </c>
      <c r="BE47" t="s">
        <v>169</v>
      </c>
      <c r="BF47" t="s">
        <v>173</v>
      </c>
      <c r="BG47" t="s">
        <v>174</v>
      </c>
      <c r="BH47" t="s">
        <v>151</v>
      </c>
      <c r="BI47" t="s">
        <v>175</v>
      </c>
      <c r="BJ47" t="s">
        <v>151</v>
      </c>
      <c r="BK47" t="s">
        <v>151</v>
      </c>
      <c r="BL47" t="s">
        <v>176</v>
      </c>
      <c r="BM47" t="s">
        <v>177</v>
      </c>
      <c r="BN47" t="s">
        <v>137</v>
      </c>
      <c r="BO47" t="s">
        <v>178</v>
      </c>
      <c r="BP47" t="s">
        <v>179</v>
      </c>
      <c r="BQ47" t="s">
        <v>180</v>
      </c>
      <c r="BR47" t="s">
        <v>154</v>
      </c>
      <c r="BS47" t="s">
        <v>181</v>
      </c>
      <c r="BT47" t="s">
        <v>182</v>
      </c>
      <c r="BU47" t="s">
        <v>182</v>
      </c>
      <c r="BV47" t="s">
        <v>182</v>
      </c>
      <c r="BW47" t="s">
        <v>151</v>
      </c>
      <c r="BX47" t="s">
        <v>183</v>
      </c>
      <c r="BY47" t="s">
        <v>151</v>
      </c>
      <c r="BZ47" t="s">
        <v>151</v>
      </c>
      <c r="CA47" t="s">
        <v>151</v>
      </c>
      <c r="CB47" t="s">
        <v>151</v>
      </c>
      <c r="CC47" t="s">
        <v>1331</v>
      </c>
      <c r="CD47" t="s">
        <v>1332</v>
      </c>
      <c r="CE47" t="s">
        <v>1333</v>
      </c>
      <c r="CF47" t="s">
        <v>1334</v>
      </c>
      <c r="CG47" t="s">
        <v>1335</v>
      </c>
      <c r="CH47" t="s">
        <v>1336</v>
      </c>
      <c r="CI47" t="s">
        <v>1337</v>
      </c>
      <c r="CJ47" t="s">
        <v>444</v>
      </c>
      <c r="CK47" t="s">
        <v>1318</v>
      </c>
      <c r="CL47" t="s">
        <v>237</v>
      </c>
      <c r="CM47" t="s">
        <v>193</v>
      </c>
      <c r="CN47" t="s">
        <v>194</v>
      </c>
      <c r="CO47" t="s">
        <v>154</v>
      </c>
      <c r="CP47" t="s">
        <v>195</v>
      </c>
      <c r="CQ47" t="s">
        <v>196</v>
      </c>
      <c r="CR47" t="s">
        <v>154</v>
      </c>
      <c r="CS47" t="s">
        <v>197</v>
      </c>
      <c r="CT47" t="s">
        <v>198</v>
      </c>
      <c r="CU47" t="s">
        <v>199</v>
      </c>
      <c r="CV47" t="s">
        <v>151</v>
      </c>
      <c r="CW47" t="s">
        <v>1317</v>
      </c>
      <c r="CX47" t="s">
        <v>200</v>
      </c>
      <c r="CY47" t="s">
        <v>201</v>
      </c>
      <c r="CZ47" t="s">
        <v>202</v>
      </c>
      <c r="DA47" t="s">
        <v>203</v>
      </c>
      <c r="DB47" t="s">
        <v>204</v>
      </c>
      <c r="DC47" t="s">
        <v>205</v>
      </c>
    </row>
    <row r="48" spans="1:107" x14ac:dyDescent="0.45">
      <c r="A48" t="s">
        <v>1338</v>
      </c>
      <c r="B48" t="s">
        <v>1339</v>
      </c>
      <c r="C48" t="s">
        <v>139</v>
      </c>
      <c r="D48" t="s">
        <v>76</v>
      </c>
      <c r="E48" t="s">
        <v>140</v>
      </c>
      <c r="F48" t="s">
        <v>19</v>
      </c>
      <c r="G48" t="s">
        <v>1340</v>
      </c>
      <c r="H48" t="s">
        <v>19</v>
      </c>
      <c r="I48" t="s">
        <v>19</v>
      </c>
      <c r="J48">
        <v>3.1750693738088033E-3</v>
      </c>
      <c r="K48">
        <v>2.9042299199999997</v>
      </c>
      <c r="L48">
        <v>3.1716019980681191E-3</v>
      </c>
      <c r="M48">
        <v>3.4651759460538729E-2</v>
      </c>
      <c r="N48" t="s">
        <v>1341</v>
      </c>
      <c r="O48" t="s">
        <v>1342</v>
      </c>
      <c r="P48">
        <v>2.6681065574155625</v>
      </c>
      <c r="Q48">
        <v>1.0879715574155624</v>
      </c>
      <c r="R48" t="s">
        <v>1343</v>
      </c>
      <c r="S48" t="s">
        <v>1344</v>
      </c>
      <c r="T48">
        <v>26.235069394449976</v>
      </c>
      <c r="U48">
        <v>0.4417875</v>
      </c>
      <c r="V48" t="s">
        <v>146</v>
      </c>
      <c r="W48" t="s">
        <v>1345</v>
      </c>
      <c r="X48" t="s">
        <v>1346</v>
      </c>
      <c r="Y48" t="s">
        <v>1347</v>
      </c>
      <c r="Z48" t="s">
        <v>1348</v>
      </c>
      <c r="AA48" t="s">
        <v>151</v>
      </c>
      <c r="AB48" t="s">
        <v>151</v>
      </c>
      <c r="AC48" t="s">
        <v>151</v>
      </c>
      <c r="AD48" t="s">
        <v>152</v>
      </c>
      <c r="AE48" t="s">
        <v>153</v>
      </c>
      <c r="AF48">
        <v>0</v>
      </c>
      <c r="AG48" t="s">
        <v>154</v>
      </c>
      <c r="AH48" t="s">
        <v>1349</v>
      </c>
      <c r="AI48" t="s">
        <v>1350</v>
      </c>
      <c r="AJ48" t="s">
        <v>1351</v>
      </c>
      <c r="AK48" t="s">
        <v>1124</v>
      </c>
      <c r="AL48">
        <v>22.09</v>
      </c>
      <c r="AM48" t="s">
        <v>928</v>
      </c>
      <c r="AN48" t="s">
        <v>284</v>
      </c>
      <c r="AO48" t="s">
        <v>1352</v>
      </c>
      <c r="AP48" t="s">
        <v>1353</v>
      </c>
      <c r="AQ48" t="s">
        <v>163</v>
      </c>
      <c r="AR48" t="s">
        <v>547</v>
      </c>
      <c r="AS48" t="s">
        <v>876</v>
      </c>
      <c r="AT48" t="s">
        <v>139</v>
      </c>
      <c r="AU48" t="s">
        <v>877</v>
      </c>
      <c r="AV48" t="s">
        <v>137</v>
      </c>
      <c r="AW48" t="s">
        <v>227</v>
      </c>
      <c r="AX48" t="s">
        <v>1354</v>
      </c>
      <c r="AY48" t="s">
        <v>169</v>
      </c>
      <c r="AZ48" t="s">
        <v>1080</v>
      </c>
      <c r="BA48" t="s">
        <v>1355</v>
      </c>
      <c r="BB48" t="s">
        <v>169</v>
      </c>
      <c r="BC48" t="s">
        <v>137</v>
      </c>
      <c r="BD48" t="s">
        <v>172</v>
      </c>
      <c r="BE48" t="s">
        <v>169</v>
      </c>
      <c r="BF48" t="s">
        <v>173</v>
      </c>
      <c r="BG48" t="s">
        <v>174</v>
      </c>
      <c r="BH48" t="s">
        <v>151</v>
      </c>
      <c r="BI48" t="s">
        <v>175</v>
      </c>
      <c r="BJ48" t="s">
        <v>151</v>
      </c>
      <c r="BK48" t="s">
        <v>151</v>
      </c>
      <c r="BL48" t="s">
        <v>176</v>
      </c>
      <c r="BM48" t="s">
        <v>177</v>
      </c>
      <c r="BN48" t="s">
        <v>137</v>
      </c>
      <c r="BO48" t="s">
        <v>178</v>
      </c>
      <c r="BP48" t="s">
        <v>179</v>
      </c>
      <c r="BQ48" t="s">
        <v>180</v>
      </c>
      <c r="BR48" t="s">
        <v>154</v>
      </c>
      <c r="BS48" t="s">
        <v>181</v>
      </c>
      <c r="BT48" t="s">
        <v>182</v>
      </c>
      <c r="BU48" t="s">
        <v>182</v>
      </c>
      <c r="BV48" t="s">
        <v>182</v>
      </c>
      <c r="BW48" t="s">
        <v>151</v>
      </c>
      <c r="BX48" t="s">
        <v>183</v>
      </c>
      <c r="BY48" t="s">
        <v>151</v>
      </c>
      <c r="BZ48" t="s">
        <v>151</v>
      </c>
      <c r="CA48" t="s">
        <v>151</v>
      </c>
      <c r="CB48" t="s">
        <v>151</v>
      </c>
      <c r="CC48" t="s">
        <v>1356</v>
      </c>
      <c r="CD48" t="s">
        <v>1357</v>
      </c>
      <c r="CE48" t="s">
        <v>1358</v>
      </c>
      <c r="CF48" t="s">
        <v>1359</v>
      </c>
      <c r="CG48" t="s">
        <v>1360</v>
      </c>
      <c r="CH48" t="s">
        <v>1361</v>
      </c>
      <c r="CI48" t="s">
        <v>1362</v>
      </c>
      <c r="CJ48" t="s">
        <v>266</v>
      </c>
      <c r="CK48" t="s">
        <v>1346</v>
      </c>
      <c r="CL48" t="s">
        <v>329</v>
      </c>
      <c r="CM48" t="s">
        <v>193</v>
      </c>
      <c r="CN48" t="s">
        <v>194</v>
      </c>
      <c r="CO48" t="s">
        <v>154</v>
      </c>
      <c r="CP48" t="s">
        <v>195</v>
      </c>
      <c r="CQ48" t="s">
        <v>196</v>
      </c>
      <c r="CR48" t="s">
        <v>154</v>
      </c>
      <c r="CS48" t="s">
        <v>197</v>
      </c>
      <c r="CT48" t="s">
        <v>198</v>
      </c>
      <c r="CU48" t="s">
        <v>199</v>
      </c>
      <c r="CV48" t="s">
        <v>151</v>
      </c>
      <c r="CW48" t="s">
        <v>1345</v>
      </c>
      <c r="CX48" t="s">
        <v>200</v>
      </c>
      <c r="CY48" t="s">
        <v>201</v>
      </c>
      <c r="CZ48" t="s">
        <v>202</v>
      </c>
      <c r="DA48" t="s">
        <v>203</v>
      </c>
      <c r="DB48" t="s">
        <v>204</v>
      </c>
      <c r="DC48" t="s">
        <v>205</v>
      </c>
    </row>
    <row r="49" spans="1:107" x14ac:dyDescent="0.45">
      <c r="A49" t="s">
        <v>1363</v>
      </c>
      <c r="B49" t="s">
        <v>1364</v>
      </c>
      <c r="C49" t="s">
        <v>139</v>
      </c>
      <c r="D49" t="s">
        <v>76</v>
      </c>
      <c r="E49" t="s">
        <v>140</v>
      </c>
      <c r="F49" t="s">
        <v>19</v>
      </c>
      <c r="G49" t="s">
        <v>1365</v>
      </c>
      <c r="H49" t="s">
        <v>19</v>
      </c>
      <c r="I49" t="s">
        <v>19</v>
      </c>
      <c r="J49">
        <v>-1.3107626820345834E-2</v>
      </c>
      <c r="K49">
        <v>2.9050319999999994</v>
      </c>
      <c r="L49">
        <v>-1.316703704644125E-2</v>
      </c>
      <c r="M49">
        <v>-0.1453569023272685</v>
      </c>
      <c r="N49" t="s">
        <v>1366</v>
      </c>
      <c r="O49" t="s">
        <v>1367</v>
      </c>
      <c r="P49">
        <v>2.6795104510408301</v>
      </c>
      <c r="Q49">
        <v>1.0992034510408302</v>
      </c>
      <c r="R49" t="s">
        <v>1368</v>
      </c>
      <c r="S49" t="s">
        <v>1369</v>
      </c>
      <c r="T49">
        <v>26.347202075131072</v>
      </c>
      <c r="U49">
        <v>0.4417875</v>
      </c>
      <c r="V49" t="s">
        <v>146</v>
      </c>
      <c r="W49" t="s">
        <v>1370</v>
      </c>
      <c r="X49" t="s">
        <v>1371</v>
      </c>
      <c r="Y49" t="s">
        <v>1372</v>
      </c>
      <c r="Z49" t="s">
        <v>1373</v>
      </c>
      <c r="AA49" t="s">
        <v>151</v>
      </c>
      <c r="AB49" t="s">
        <v>151</v>
      </c>
      <c r="AC49" t="s">
        <v>151</v>
      </c>
      <c r="AD49" t="s">
        <v>152</v>
      </c>
      <c r="AE49" t="s">
        <v>153</v>
      </c>
      <c r="AF49">
        <v>0</v>
      </c>
      <c r="AG49" t="s">
        <v>154</v>
      </c>
      <c r="AH49" t="s">
        <v>1374</v>
      </c>
      <c r="AI49" t="s">
        <v>951</v>
      </c>
      <c r="AJ49" t="s">
        <v>1375</v>
      </c>
      <c r="AK49" t="s">
        <v>1376</v>
      </c>
      <c r="AL49">
        <v>22.16</v>
      </c>
      <c r="AM49" t="s">
        <v>928</v>
      </c>
      <c r="AN49" t="s">
        <v>160</v>
      </c>
      <c r="AO49" t="s">
        <v>1377</v>
      </c>
      <c r="AP49" t="s">
        <v>1378</v>
      </c>
      <c r="AQ49" t="s">
        <v>163</v>
      </c>
      <c r="AR49" t="s">
        <v>1327</v>
      </c>
      <c r="AS49" t="s">
        <v>876</v>
      </c>
      <c r="AT49" t="s">
        <v>139</v>
      </c>
      <c r="AU49" t="s">
        <v>877</v>
      </c>
      <c r="AV49" t="s">
        <v>137</v>
      </c>
      <c r="AW49" t="s">
        <v>1379</v>
      </c>
      <c r="AX49" t="s">
        <v>954</v>
      </c>
      <c r="AY49" t="s">
        <v>169</v>
      </c>
      <c r="AZ49" t="s">
        <v>1380</v>
      </c>
      <c r="BA49" t="s">
        <v>1381</v>
      </c>
      <c r="BB49" t="s">
        <v>169</v>
      </c>
      <c r="BC49" t="s">
        <v>137</v>
      </c>
      <c r="BD49" t="s">
        <v>172</v>
      </c>
      <c r="BE49" t="s">
        <v>169</v>
      </c>
      <c r="BF49" t="s">
        <v>173</v>
      </c>
      <c r="BG49" t="s">
        <v>174</v>
      </c>
      <c r="BH49" t="s">
        <v>151</v>
      </c>
      <c r="BI49" t="s">
        <v>175</v>
      </c>
      <c r="BJ49" t="s">
        <v>151</v>
      </c>
      <c r="BK49" t="s">
        <v>151</v>
      </c>
      <c r="BL49" t="s">
        <v>176</v>
      </c>
      <c r="BM49" t="s">
        <v>177</v>
      </c>
      <c r="BN49" t="s">
        <v>137</v>
      </c>
      <c r="BO49" t="s">
        <v>178</v>
      </c>
      <c r="BP49" t="s">
        <v>179</v>
      </c>
      <c r="BQ49" t="s">
        <v>180</v>
      </c>
      <c r="BR49" t="s">
        <v>154</v>
      </c>
      <c r="BS49" t="s">
        <v>181</v>
      </c>
      <c r="BT49" t="s">
        <v>182</v>
      </c>
      <c r="BU49" t="s">
        <v>182</v>
      </c>
      <c r="BV49" t="s">
        <v>182</v>
      </c>
      <c r="BW49" t="s">
        <v>151</v>
      </c>
      <c r="BX49" t="s">
        <v>183</v>
      </c>
      <c r="BY49" t="s">
        <v>151</v>
      </c>
      <c r="BZ49" t="s">
        <v>151</v>
      </c>
      <c r="CA49" t="s">
        <v>151</v>
      </c>
      <c r="CB49" t="s">
        <v>151</v>
      </c>
      <c r="CC49" t="s">
        <v>1382</v>
      </c>
      <c r="CD49" t="s">
        <v>1383</v>
      </c>
      <c r="CE49" t="s">
        <v>1384</v>
      </c>
      <c r="CF49" t="s">
        <v>1385</v>
      </c>
      <c r="CG49" t="s">
        <v>1386</v>
      </c>
      <c r="CH49" t="s">
        <v>1387</v>
      </c>
      <c r="CI49" t="s">
        <v>1388</v>
      </c>
      <c r="CJ49" t="s">
        <v>559</v>
      </c>
      <c r="CK49" t="s">
        <v>1371</v>
      </c>
      <c r="CL49" t="s">
        <v>833</v>
      </c>
      <c r="CM49" t="s">
        <v>193</v>
      </c>
      <c r="CN49" t="s">
        <v>194</v>
      </c>
      <c r="CO49" t="s">
        <v>154</v>
      </c>
      <c r="CP49" t="s">
        <v>195</v>
      </c>
      <c r="CQ49" t="s">
        <v>196</v>
      </c>
      <c r="CR49" t="s">
        <v>154</v>
      </c>
      <c r="CS49" t="s">
        <v>197</v>
      </c>
      <c r="CT49" t="s">
        <v>198</v>
      </c>
      <c r="CU49" t="s">
        <v>199</v>
      </c>
      <c r="CV49" t="s">
        <v>151</v>
      </c>
      <c r="CW49" t="s">
        <v>1370</v>
      </c>
      <c r="CX49" t="s">
        <v>200</v>
      </c>
      <c r="CY49" t="s">
        <v>201</v>
      </c>
      <c r="CZ49" t="s">
        <v>202</v>
      </c>
      <c r="DA49" t="s">
        <v>203</v>
      </c>
      <c r="DB49" t="s">
        <v>204</v>
      </c>
      <c r="DC49" t="s">
        <v>205</v>
      </c>
    </row>
    <row r="50" spans="1:107" x14ac:dyDescent="0.45">
      <c r="A50" t="s">
        <v>1389</v>
      </c>
      <c r="B50" t="s">
        <v>1390</v>
      </c>
      <c r="C50" t="s">
        <v>139</v>
      </c>
      <c r="D50" t="s">
        <v>76</v>
      </c>
      <c r="E50" t="s">
        <v>140</v>
      </c>
      <c r="F50" t="s">
        <v>19</v>
      </c>
      <c r="G50" t="s">
        <v>1391</v>
      </c>
      <c r="H50" t="s">
        <v>19</v>
      </c>
      <c r="I50" t="s">
        <v>19</v>
      </c>
      <c r="J50">
        <v>1.7869255405518914E-3</v>
      </c>
      <c r="K50">
        <v>2.9042299199999997</v>
      </c>
      <c r="L50">
        <v>1.7858267503324278E-3</v>
      </c>
      <c r="M50">
        <v>1.8275063764758875E-2</v>
      </c>
      <c r="N50" t="s">
        <v>1392</v>
      </c>
      <c r="O50" t="s">
        <v>1393</v>
      </c>
      <c r="P50">
        <v>2.6053448970028241</v>
      </c>
      <c r="Q50">
        <v>1.019258897002824</v>
      </c>
      <c r="R50" t="s">
        <v>1394</v>
      </c>
      <c r="S50" t="s">
        <v>1395</v>
      </c>
      <c r="T50">
        <v>25.617943923331602</v>
      </c>
      <c r="U50">
        <v>0.4417875</v>
      </c>
      <c r="V50" t="s">
        <v>146</v>
      </c>
      <c r="W50" t="s">
        <v>1396</v>
      </c>
      <c r="X50" t="s">
        <v>1397</v>
      </c>
      <c r="Y50" t="s">
        <v>1398</v>
      </c>
      <c r="Z50" t="s">
        <v>1399</v>
      </c>
      <c r="AA50" t="s">
        <v>151</v>
      </c>
      <c r="AB50" t="s">
        <v>151</v>
      </c>
      <c r="AC50" t="s">
        <v>151</v>
      </c>
      <c r="AD50" t="s">
        <v>152</v>
      </c>
      <c r="AE50" t="s">
        <v>153</v>
      </c>
      <c r="AF50">
        <v>0</v>
      </c>
      <c r="AG50" t="s">
        <v>154</v>
      </c>
      <c r="AH50" t="s">
        <v>1400</v>
      </c>
      <c r="AI50" t="s">
        <v>951</v>
      </c>
      <c r="AJ50" t="s">
        <v>1401</v>
      </c>
      <c r="AK50" t="s">
        <v>674</v>
      </c>
      <c r="AL50">
        <v>21.7</v>
      </c>
      <c r="AM50" t="s">
        <v>928</v>
      </c>
      <c r="AN50" t="s">
        <v>284</v>
      </c>
      <c r="AO50" t="s">
        <v>1173</v>
      </c>
      <c r="AP50" t="s">
        <v>1402</v>
      </c>
      <c r="AQ50" t="s">
        <v>163</v>
      </c>
      <c r="AR50" t="s">
        <v>1403</v>
      </c>
      <c r="AS50" t="s">
        <v>876</v>
      </c>
      <c r="AT50" t="s">
        <v>139</v>
      </c>
      <c r="AU50" t="s">
        <v>877</v>
      </c>
      <c r="AV50" t="s">
        <v>137</v>
      </c>
      <c r="AW50" t="s">
        <v>821</v>
      </c>
      <c r="AX50" t="s">
        <v>349</v>
      </c>
      <c r="AY50" t="s">
        <v>169</v>
      </c>
      <c r="AZ50" t="s">
        <v>1404</v>
      </c>
      <c r="BA50" t="s">
        <v>463</v>
      </c>
      <c r="BB50" t="s">
        <v>169</v>
      </c>
      <c r="BC50" t="s">
        <v>137</v>
      </c>
      <c r="BD50" t="s">
        <v>172</v>
      </c>
      <c r="BE50" t="s">
        <v>169</v>
      </c>
      <c r="BF50" t="s">
        <v>173</v>
      </c>
      <c r="BG50" t="s">
        <v>174</v>
      </c>
      <c r="BH50" t="s">
        <v>151</v>
      </c>
      <c r="BI50" t="s">
        <v>175</v>
      </c>
      <c r="BJ50" t="s">
        <v>151</v>
      </c>
      <c r="BK50" t="s">
        <v>151</v>
      </c>
      <c r="BL50" t="s">
        <v>176</v>
      </c>
      <c r="BM50" t="s">
        <v>177</v>
      </c>
      <c r="BN50" t="s">
        <v>137</v>
      </c>
      <c r="BO50" t="s">
        <v>178</v>
      </c>
      <c r="BP50" t="s">
        <v>179</v>
      </c>
      <c r="BQ50" t="s">
        <v>180</v>
      </c>
      <c r="BR50" t="s">
        <v>154</v>
      </c>
      <c r="BS50" t="s">
        <v>181</v>
      </c>
      <c r="BT50" t="s">
        <v>182</v>
      </c>
      <c r="BU50" t="s">
        <v>182</v>
      </c>
      <c r="BV50" t="s">
        <v>182</v>
      </c>
      <c r="BW50" t="s">
        <v>151</v>
      </c>
      <c r="BX50" t="s">
        <v>183</v>
      </c>
      <c r="BY50" t="s">
        <v>151</v>
      </c>
      <c r="BZ50" t="s">
        <v>151</v>
      </c>
      <c r="CA50" t="s">
        <v>151</v>
      </c>
      <c r="CB50" t="s">
        <v>151</v>
      </c>
      <c r="CC50" t="s">
        <v>1405</v>
      </c>
      <c r="CD50" t="s">
        <v>1406</v>
      </c>
      <c r="CE50" t="s">
        <v>1407</v>
      </c>
      <c r="CF50" t="s">
        <v>1408</v>
      </c>
      <c r="CG50" t="s">
        <v>1409</v>
      </c>
      <c r="CH50" t="s">
        <v>1410</v>
      </c>
      <c r="CI50" t="s">
        <v>1411</v>
      </c>
      <c r="CJ50" t="s">
        <v>559</v>
      </c>
      <c r="CK50" t="s">
        <v>1397</v>
      </c>
      <c r="CL50" t="s">
        <v>560</v>
      </c>
      <c r="CM50" t="s">
        <v>193</v>
      </c>
      <c r="CN50" t="s">
        <v>194</v>
      </c>
      <c r="CO50" t="s">
        <v>154</v>
      </c>
      <c r="CP50" t="s">
        <v>195</v>
      </c>
      <c r="CQ50" t="s">
        <v>196</v>
      </c>
      <c r="CR50" t="s">
        <v>154</v>
      </c>
      <c r="CS50" t="s">
        <v>197</v>
      </c>
      <c r="CT50" t="s">
        <v>198</v>
      </c>
      <c r="CU50" t="s">
        <v>199</v>
      </c>
      <c r="CV50" t="s">
        <v>151</v>
      </c>
      <c r="CW50" t="s">
        <v>1396</v>
      </c>
      <c r="CX50" t="s">
        <v>200</v>
      </c>
      <c r="CY50" t="s">
        <v>201</v>
      </c>
      <c r="CZ50" t="s">
        <v>202</v>
      </c>
      <c r="DA50" t="s">
        <v>203</v>
      </c>
      <c r="DB50" t="s">
        <v>204</v>
      </c>
      <c r="DC50" t="s">
        <v>205</v>
      </c>
    </row>
    <row r="51" spans="1:107" x14ac:dyDescent="0.45">
      <c r="A51" t="s">
        <v>1412</v>
      </c>
      <c r="B51" t="s">
        <v>1413</v>
      </c>
      <c r="C51" t="s">
        <v>139</v>
      </c>
      <c r="D51" t="s">
        <v>76</v>
      </c>
      <c r="E51" t="s">
        <v>140</v>
      </c>
      <c r="F51" t="s">
        <v>19</v>
      </c>
      <c r="G51" t="s">
        <v>1414</v>
      </c>
      <c r="H51" t="s">
        <v>19</v>
      </c>
      <c r="I51" t="s">
        <v>19</v>
      </c>
      <c r="J51">
        <v>-1.6872707179107074E-2</v>
      </c>
      <c r="K51">
        <v>2.9042299199999997</v>
      </c>
      <c r="L51">
        <v>-1.6971305387284356E-2</v>
      </c>
      <c r="M51">
        <v>-0.17744444184901501</v>
      </c>
      <c r="N51" t="s">
        <v>1415</v>
      </c>
      <c r="O51" t="s">
        <v>1416</v>
      </c>
      <c r="P51">
        <v>2.6309351537515093</v>
      </c>
      <c r="Q51">
        <v>1.0412771537515093</v>
      </c>
      <c r="R51" t="s">
        <v>1417</v>
      </c>
      <c r="S51" t="s">
        <v>1418</v>
      </c>
      <c r="T51">
        <v>25.869568866779833</v>
      </c>
      <c r="U51">
        <v>0.4417875</v>
      </c>
      <c r="V51" t="s">
        <v>146</v>
      </c>
      <c r="W51" t="s">
        <v>1419</v>
      </c>
      <c r="X51" t="s">
        <v>1420</v>
      </c>
      <c r="Y51" t="s">
        <v>1421</v>
      </c>
      <c r="Z51" t="s">
        <v>1422</v>
      </c>
      <c r="AA51" t="s">
        <v>151</v>
      </c>
      <c r="AB51" t="s">
        <v>151</v>
      </c>
      <c r="AC51" t="s">
        <v>151</v>
      </c>
      <c r="AD51" t="s">
        <v>152</v>
      </c>
      <c r="AE51" t="s">
        <v>153</v>
      </c>
      <c r="AF51">
        <v>0</v>
      </c>
      <c r="AG51" t="s">
        <v>154</v>
      </c>
      <c r="AH51" t="s">
        <v>1423</v>
      </c>
      <c r="AI51" t="s">
        <v>1424</v>
      </c>
      <c r="AJ51" t="s">
        <v>1425</v>
      </c>
      <c r="AK51" t="s">
        <v>1196</v>
      </c>
      <c r="AL51">
        <v>21.86</v>
      </c>
      <c r="AM51" t="s">
        <v>928</v>
      </c>
      <c r="AN51" t="s">
        <v>284</v>
      </c>
      <c r="AO51" t="s">
        <v>1426</v>
      </c>
      <c r="AP51" t="s">
        <v>1427</v>
      </c>
      <c r="AQ51" t="s">
        <v>163</v>
      </c>
      <c r="AR51" t="s">
        <v>1428</v>
      </c>
      <c r="AS51" t="s">
        <v>876</v>
      </c>
      <c r="AT51" t="s">
        <v>139</v>
      </c>
      <c r="AU51" t="s">
        <v>877</v>
      </c>
      <c r="AV51" t="s">
        <v>137</v>
      </c>
      <c r="AW51" t="s">
        <v>317</v>
      </c>
      <c r="AX51" t="s">
        <v>318</v>
      </c>
      <c r="AY51" t="s">
        <v>169</v>
      </c>
      <c r="AZ51" t="s">
        <v>1429</v>
      </c>
      <c r="BA51" t="s">
        <v>290</v>
      </c>
      <c r="BB51" t="s">
        <v>169</v>
      </c>
      <c r="BC51" t="s">
        <v>137</v>
      </c>
      <c r="BD51" t="s">
        <v>172</v>
      </c>
      <c r="BE51" t="s">
        <v>169</v>
      </c>
      <c r="BF51" t="s">
        <v>173</v>
      </c>
      <c r="BG51" t="s">
        <v>174</v>
      </c>
      <c r="BH51" t="s">
        <v>151</v>
      </c>
      <c r="BI51" t="s">
        <v>175</v>
      </c>
      <c r="BJ51" t="s">
        <v>151</v>
      </c>
      <c r="BK51" t="s">
        <v>151</v>
      </c>
      <c r="BL51" t="s">
        <v>176</v>
      </c>
      <c r="BM51" t="s">
        <v>177</v>
      </c>
      <c r="BN51" t="s">
        <v>137</v>
      </c>
      <c r="BO51" t="s">
        <v>178</v>
      </c>
      <c r="BP51" t="s">
        <v>179</v>
      </c>
      <c r="BQ51" t="s">
        <v>180</v>
      </c>
      <c r="BR51" t="s">
        <v>154</v>
      </c>
      <c r="BS51" t="s">
        <v>181</v>
      </c>
      <c r="BT51" t="s">
        <v>182</v>
      </c>
      <c r="BU51" t="s">
        <v>182</v>
      </c>
      <c r="BV51" t="s">
        <v>182</v>
      </c>
      <c r="BW51" t="s">
        <v>151</v>
      </c>
      <c r="BX51" t="s">
        <v>183</v>
      </c>
      <c r="BY51" t="s">
        <v>151</v>
      </c>
      <c r="BZ51" t="s">
        <v>151</v>
      </c>
      <c r="CA51" t="s">
        <v>151</v>
      </c>
      <c r="CB51" t="s">
        <v>151</v>
      </c>
      <c r="CC51" t="s">
        <v>1430</v>
      </c>
      <c r="CD51" t="s">
        <v>1431</v>
      </c>
      <c r="CE51" t="s">
        <v>1432</v>
      </c>
      <c r="CF51" t="s">
        <v>1433</v>
      </c>
      <c r="CG51" t="s">
        <v>1434</v>
      </c>
      <c r="CH51" t="s">
        <v>1435</v>
      </c>
      <c r="CI51" t="s">
        <v>1436</v>
      </c>
      <c r="CJ51" t="s">
        <v>444</v>
      </c>
      <c r="CK51" t="s">
        <v>1420</v>
      </c>
      <c r="CL51" t="s">
        <v>833</v>
      </c>
      <c r="CM51" t="s">
        <v>193</v>
      </c>
      <c r="CN51" t="s">
        <v>194</v>
      </c>
      <c r="CO51" t="s">
        <v>154</v>
      </c>
      <c r="CP51" t="s">
        <v>195</v>
      </c>
      <c r="CQ51" t="s">
        <v>196</v>
      </c>
      <c r="CR51" t="s">
        <v>154</v>
      </c>
      <c r="CS51" t="s">
        <v>197</v>
      </c>
      <c r="CT51" t="s">
        <v>198</v>
      </c>
      <c r="CU51" t="s">
        <v>199</v>
      </c>
      <c r="CV51" t="s">
        <v>151</v>
      </c>
      <c r="CW51" t="s">
        <v>1419</v>
      </c>
      <c r="CX51" t="s">
        <v>200</v>
      </c>
      <c r="CY51" t="s">
        <v>201</v>
      </c>
      <c r="CZ51" t="s">
        <v>202</v>
      </c>
      <c r="DA51" t="s">
        <v>203</v>
      </c>
      <c r="DB51" t="s">
        <v>204</v>
      </c>
      <c r="DC51" t="s">
        <v>205</v>
      </c>
    </row>
    <row r="52" spans="1:107" x14ac:dyDescent="0.45">
      <c r="A52" t="s">
        <v>1437</v>
      </c>
      <c r="B52" t="s">
        <v>1438</v>
      </c>
      <c r="C52" t="s">
        <v>139</v>
      </c>
      <c r="D52" t="s">
        <v>76</v>
      </c>
      <c r="E52" t="s">
        <v>140</v>
      </c>
      <c r="F52" t="s">
        <v>19</v>
      </c>
      <c r="G52" t="s">
        <v>1439</v>
      </c>
      <c r="H52" t="s">
        <v>19</v>
      </c>
      <c r="I52" t="s">
        <v>19</v>
      </c>
      <c r="J52">
        <v>-1.6087538196959187E-2</v>
      </c>
      <c r="K52">
        <v>2.9050319999999994</v>
      </c>
      <c r="L52">
        <v>-1.6177124164657955E-2</v>
      </c>
      <c r="M52">
        <v>-0.16842982871551343</v>
      </c>
      <c r="N52" t="s">
        <v>1440</v>
      </c>
      <c r="O52" t="s">
        <v>1441</v>
      </c>
      <c r="P52">
        <v>2.6229146667451433</v>
      </c>
      <c r="Q52">
        <v>1.0369686667451432</v>
      </c>
      <c r="R52" t="s">
        <v>1442</v>
      </c>
      <c r="S52" t="s">
        <v>1443</v>
      </c>
      <c r="T52">
        <v>25.790704687759522</v>
      </c>
      <c r="U52">
        <v>0.4417875</v>
      </c>
      <c r="V52" t="s">
        <v>146</v>
      </c>
      <c r="W52" t="s">
        <v>1444</v>
      </c>
      <c r="X52" t="s">
        <v>1445</v>
      </c>
      <c r="Y52" t="s">
        <v>1446</v>
      </c>
      <c r="Z52" t="s">
        <v>1447</v>
      </c>
      <c r="AA52" t="s">
        <v>151</v>
      </c>
      <c r="AB52" t="s">
        <v>151</v>
      </c>
      <c r="AC52" t="s">
        <v>151</v>
      </c>
      <c r="AD52" t="s">
        <v>152</v>
      </c>
      <c r="AE52" t="s">
        <v>153</v>
      </c>
      <c r="AF52">
        <v>0</v>
      </c>
      <c r="AG52" t="s">
        <v>154</v>
      </c>
      <c r="AH52" t="s">
        <v>1169</v>
      </c>
      <c r="AI52" t="s">
        <v>1448</v>
      </c>
      <c r="AJ52" t="s">
        <v>1449</v>
      </c>
      <c r="AK52" t="s">
        <v>1450</v>
      </c>
      <c r="AL52">
        <v>21.81</v>
      </c>
      <c r="AM52" t="s">
        <v>928</v>
      </c>
      <c r="AN52" t="s">
        <v>160</v>
      </c>
      <c r="AO52" t="s">
        <v>977</v>
      </c>
      <c r="AP52" t="s">
        <v>1451</v>
      </c>
      <c r="AQ52" t="s">
        <v>163</v>
      </c>
      <c r="AR52" t="s">
        <v>1452</v>
      </c>
      <c r="AS52" t="s">
        <v>876</v>
      </c>
      <c r="AT52" t="s">
        <v>139</v>
      </c>
      <c r="AU52" t="s">
        <v>877</v>
      </c>
      <c r="AV52" t="s">
        <v>137</v>
      </c>
      <c r="AW52" t="s">
        <v>954</v>
      </c>
      <c r="AX52" t="s">
        <v>1453</v>
      </c>
      <c r="AY52" t="s">
        <v>169</v>
      </c>
      <c r="AZ52" t="s">
        <v>1454</v>
      </c>
      <c r="BA52" t="s">
        <v>1455</v>
      </c>
      <c r="BB52" t="s">
        <v>169</v>
      </c>
      <c r="BC52" t="s">
        <v>137</v>
      </c>
      <c r="BD52" t="s">
        <v>172</v>
      </c>
      <c r="BE52" t="s">
        <v>169</v>
      </c>
      <c r="BF52" t="s">
        <v>173</v>
      </c>
      <c r="BG52" t="s">
        <v>174</v>
      </c>
      <c r="BH52" t="s">
        <v>151</v>
      </c>
      <c r="BI52" t="s">
        <v>175</v>
      </c>
      <c r="BJ52" t="s">
        <v>151</v>
      </c>
      <c r="BK52" t="s">
        <v>151</v>
      </c>
      <c r="BL52" t="s">
        <v>176</v>
      </c>
      <c r="BM52" t="s">
        <v>177</v>
      </c>
      <c r="BN52" t="s">
        <v>137</v>
      </c>
      <c r="BO52" t="s">
        <v>178</v>
      </c>
      <c r="BP52" t="s">
        <v>179</v>
      </c>
      <c r="BQ52" t="s">
        <v>180</v>
      </c>
      <c r="BR52" t="s">
        <v>154</v>
      </c>
      <c r="BS52" t="s">
        <v>181</v>
      </c>
      <c r="BT52" t="s">
        <v>182</v>
      </c>
      <c r="BU52" t="s">
        <v>182</v>
      </c>
      <c r="BV52" t="s">
        <v>182</v>
      </c>
      <c r="BW52" t="s">
        <v>151</v>
      </c>
      <c r="BX52" t="s">
        <v>183</v>
      </c>
      <c r="BY52" t="s">
        <v>151</v>
      </c>
      <c r="BZ52" t="s">
        <v>151</v>
      </c>
      <c r="CA52" t="s">
        <v>151</v>
      </c>
      <c r="CB52" t="s">
        <v>151</v>
      </c>
      <c r="CC52" t="s">
        <v>1456</v>
      </c>
      <c r="CD52" t="s">
        <v>1457</v>
      </c>
      <c r="CE52" t="s">
        <v>1458</v>
      </c>
      <c r="CF52" t="s">
        <v>1459</v>
      </c>
      <c r="CG52" t="s">
        <v>1460</v>
      </c>
      <c r="CH52" t="s">
        <v>1461</v>
      </c>
      <c r="CI52" t="s">
        <v>1462</v>
      </c>
      <c r="CJ52" t="s">
        <v>832</v>
      </c>
      <c r="CK52" t="s">
        <v>1445</v>
      </c>
      <c r="CL52" t="s">
        <v>475</v>
      </c>
      <c r="CM52" t="s">
        <v>193</v>
      </c>
      <c r="CN52" t="s">
        <v>194</v>
      </c>
      <c r="CO52" t="s">
        <v>154</v>
      </c>
      <c r="CP52" t="s">
        <v>195</v>
      </c>
      <c r="CQ52" t="s">
        <v>196</v>
      </c>
      <c r="CR52" t="s">
        <v>154</v>
      </c>
      <c r="CS52" t="s">
        <v>197</v>
      </c>
      <c r="CT52" t="s">
        <v>198</v>
      </c>
      <c r="CU52" t="s">
        <v>199</v>
      </c>
      <c r="CV52" t="s">
        <v>151</v>
      </c>
      <c r="CW52" t="s">
        <v>1444</v>
      </c>
      <c r="CX52" t="s">
        <v>200</v>
      </c>
      <c r="CY52" t="s">
        <v>201</v>
      </c>
      <c r="CZ52" t="s">
        <v>202</v>
      </c>
      <c r="DA52" t="s">
        <v>203</v>
      </c>
      <c r="DB52" t="s">
        <v>204</v>
      </c>
      <c r="DC52" t="s">
        <v>205</v>
      </c>
    </row>
    <row r="53" spans="1:107" x14ac:dyDescent="0.45">
      <c r="A53" t="s">
        <v>1463</v>
      </c>
      <c r="B53" t="s">
        <v>1464</v>
      </c>
      <c r="C53" t="s">
        <v>139</v>
      </c>
      <c r="D53" t="s">
        <v>76</v>
      </c>
      <c r="E53" t="s">
        <v>140</v>
      </c>
      <c r="F53" t="s">
        <v>19</v>
      </c>
      <c r="G53" t="s">
        <v>1465</v>
      </c>
      <c r="H53" t="s">
        <v>19</v>
      </c>
      <c r="I53" t="s">
        <v>19</v>
      </c>
      <c r="J53">
        <v>-1.4585918130846521E-2</v>
      </c>
      <c r="K53">
        <v>2.9042299199999997</v>
      </c>
      <c r="L53">
        <v>-1.465954277373753E-2</v>
      </c>
      <c r="M53">
        <v>-0.1625883980529364</v>
      </c>
      <c r="N53" t="s">
        <v>1466</v>
      </c>
      <c r="O53" t="s">
        <v>1467</v>
      </c>
      <c r="P53">
        <v>2.6893191475892642</v>
      </c>
      <c r="Q53">
        <v>1.1042311475892641</v>
      </c>
      <c r="R53" t="s">
        <v>1468</v>
      </c>
      <c r="S53" t="s">
        <v>1469</v>
      </c>
      <c r="T53">
        <v>26.44364943548932</v>
      </c>
      <c r="U53">
        <v>0.4417875</v>
      </c>
      <c r="V53" t="s">
        <v>146</v>
      </c>
      <c r="W53" t="s">
        <v>1470</v>
      </c>
      <c r="X53" t="s">
        <v>1471</v>
      </c>
      <c r="Y53" t="s">
        <v>1472</v>
      </c>
      <c r="Z53" t="s">
        <v>1473</v>
      </c>
      <c r="AA53" t="s">
        <v>151</v>
      </c>
      <c r="AB53" t="s">
        <v>151</v>
      </c>
      <c r="AC53" t="s">
        <v>151</v>
      </c>
      <c r="AD53" t="s">
        <v>152</v>
      </c>
      <c r="AE53" t="s">
        <v>153</v>
      </c>
      <c r="AF53">
        <v>0</v>
      </c>
      <c r="AG53" t="s">
        <v>154</v>
      </c>
      <c r="AH53" t="s">
        <v>1474</v>
      </c>
      <c r="AI53" t="s">
        <v>1475</v>
      </c>
      <c r="AJ53" t="s">
        <v>1476</v>
      </c>
      <c r="AK53" t="s">
        <v>1477</v>
      </c>
      <c r="AL53">
        <v>22.22</v>
      </c>
      <c r="AM53" t="s">
        <v>928</v>
      </c>
      <c r="AN53" t="s">
        <v>284</v>
      </c>
      <c r="AO53" t="s">
        <v>1478</v>
      </c>
      <c r="AP53" t="s">
        <v>874</v>
      </c>
      <c r="AQ53" t="s">
        <v>163</v>
      </c>
      <c r="AR53" t="s">
        <v>1479</v>
      </c>
      <c r="AS53" t="s">
        <v>876</v>
      </c>
      <c r="AT53" t="s">
        <v>139</v>
      </c>
      <c r="AU53" t="s">
        <v>877</v>
      </c>
      <c r="AV53" t="s">
        <v>137</v>
      </c>
      <c r="AW53" t="s">
        <v>954</v>
      </c>
      <c r="AX53" t="s">
        <v>628</v>
      </c>
      <c r="AY53" t="s">
        <v>169</v>
      </c>
      <c r="AZ53" t="s">
        <v>1480</v>
      </c>
      <c r="BA53" t="s">
        <v>291</v>
      </c>
      <c r="BB53" t="s">
        <v>169</v>
      </c>
      <c r="BC53" t="s">
        <v>137</v>
      </c>
      <c r="BD53" t="s">
        <v>172</v>
      </c>
      <c r="BE53" t="s">
        <v>169</v>
      </c>
      <c r="BF53" t="s">
        <v>173</v>
      </c>
      <c r="BG53" t="s">
        <v>174</v>
      </c>
      <c r="BH53" t="s">
        <v>151</v>
      </c>
      <c r="BI53" t="s">
        <v>175</v>
      </c>
      <c r="BJ53" t="s">
        <v>151</v>
      </c>
      <c r="BK53" t="s">
        <v>151</v>
      </c>
      <c r="BL53" t="s">
        <v>176</v>
      </c>
      <c r="BM53" t="s">
        <v>177</v>
      </c>
      <c r="BN53" t="s">
        <v>137</v>
      </c>
      <c r="BO53" t="s">
        <v>178</v>
      </c>
      <c r="BP53" t="s">
        <v>179</v>
      </c>
      <c r="BQ53" t="s">
        <v>180</v>
      </c>
      <c r="BR53" t="s">
        <v>154</v>
      </c>
      <c r="BS53" t="s">
        <v>181</v>
      </c>
      <c r="BT53" t="s">
        <v>182</v>
      </c>
      <c r="BU53" t="s">
        <v>182</v>
      </c>
      <c r="BV53" t="s">
        <v>182</v>
      </c>
      <c r="BW53" t="s">
        <v>151</v>
      </c>
      <c r="BX53" t="s">
        <v>183</v>
      </c>
      <c r="BY53" t="s">
        <v>151</v>
      </c>
      <c r="BZ53" t="s">
        <v>151</v>
      </c>
      <c r="CA53" t="s">
        <v>151</v>
      </c>
      <c r="CB53" t="s">
        <v>151</v>
      </c>
      <c r="CC53" t="s">
        <v>1481</v>
      </c>
      <c r="CD53" t="s">
        <v>1482</v>
      </c>
      <c r="CE53" t="s">
        <v>1483</v>
      </c>
      <c r="CF53" t="s">
        <v>1484</v>
      </c>
      <c r="CG53" t="s">
        <v>1485</v>
      </c>
      <c r="CH53" t="s">
        <v>1486</v>
      </c>
      <c r="CI53" t="s">
        <v>1487</v>
      </c>
      <c r="CJ53" t="s">
        <v>266</v>
      </c>
      <c r="CK53" t="s">
        <v>1471</v>
      </c>
      <c r="CL53" t="s">
        <v>475</v>
      </c>
      <c r="CM53" t="s">
        <v>193</v>
      </c>
      <c r="CN53" t="s">
        <v>194</v>
      </c>
      <c r="CO53" t="s">
        <v>154</v>
      </c>
      <c r="CP53" t="s">
        <v>195</v>
      </c>
      <c r="CQ53" t="s">
        <v>196</v>
      </c>
      <c r="CR53" t="s">
        <v>154</v>
      </c>
      <c r="CS53" t="s">
        <v>197</v>
      </c>
      <c r="CT53" t="s">
        <v>198</v>
      </c>
      <c r="CU53" t="s">
        <v>199</v>
      </c>
      <c r="CV53" t="s">
        <v>151</v>
      </c>
      <c r="CW53" t="s">
        <v>1470</v>
      </c>
      <c r="CX53" t="s">
        <v>200</v>
      </c>
      <c r="CY53" t="s">
        <v>201</v>
      </c>
      <c r="CZ53" t="s">
        <v>202</v>
      </c>
      <c r="DA53" t="s">
        <v>203</v>
      </c>
      <c r="DB53" t="s">
        <v>204</v>
      </c>
      <c r="DC53" t="s">
        <v>205</v>
      </c>
    </row>
    <row r="54" spans="1:107" x14ac:dyDescent="0.45">
      <c r="A54" t="s">
        <v>1488</v>
      </c>
      <c r="B54" t="s">
        <v>1489</v>
      </c>
      <c r="C54" t="s">
        <v>139</v>
      </c>
      <c r="D54" t="s">
        <v>76</v>
      </c>
      <c r="E54" t="s">
        <v>140</v>
      </c>
      <c r="F54" t="s">
        <v>19</v>
      </c>
      <c r="G54" t="s">
        <v>1490</v>
      </c>
      <c r="H54" t="s">
        <v>19</v>
      </c>
      <c r="I54" t="s">
        <v>19</v>
      </c>
      <c r="J54">
        <v>-1.9273357458984529E-2</v>
      </c>
      <c r="K54">
        <v>2.9066320800000001</v>
      </c>
      <c r="L54">
        <v>-1.940200870859957E-2</v>
      </c>
      <c r="M54">
        <v>-0.21076091279519901</v>
      </c>
      <c r="N54" t="s">
        <v>1491</v>
      </c>
      <c r="O54" t="s">
        <v>1492</v>
      </c>
      <c r="P54">
        <v>2.6811430561411993</v>
      </c>
      <c r="Q54">
        <v>1.0816330561411993</v>
      </c>
      <c r="R54" t="s">
        <v>1493</v>
      </c>
      <c r="S54" t="s">
        <v>1494</v>
      </c>
      <c r="T54">
        <v>26.360663220344112</v>
      </c>
      <c r="U54">
        <v>0.4417875</v>
      </c>
      <c r="V54" t="s">
        <v>146</v>
      </c>
      <c r="W54" t="s">
        <v>1495</v>
      </c>
      <c r="X54" t="s">
        <v>1496</v>
      </c>
      <c r="Y54" t="s">
        <v>1497</v>
      </c>
      <c r="Z54" t="s">
        <v>1498</v>
      </c>
      <c r="AA54" t="s">
        <v>151</v>
      </c>
      <c r="AB54" t="s">
        <v>151</v>
      </c>
      <c r="AC54" t="s">
        <v>151</v>
      </c>
      <c r="AD54" t="s">
        <v>152</v>
      </c>
      <c r="AE54" t="s">
        <v>153</v>
      </c>
      <c r="AF54">
        <v>0</v>
      </c>
      <c r="AG54" t="s">
        <v>154</v>
      </c>
      <c r="AH54" t="s">
        <v>1499</v>
      </c>
      <c r="AI54" t="s">
        <v>1500</v>
      </c>
      <c r="AJ54" t="s">
        <v>1501</v>
      </c>
      <c r="AK54" t="s">
        <v>1502</v>
      </c>
      <c r="AL54">
        <v>22.17</v>
      </c>
      <c r="AM54" t="s">
        <v>1503</v>
      </c>
      <c r="AN54" t="s">
        <v>401</v>
      </c>
      <c r="AO54" t="s">
        <v>574</v>
      </c>
      <c r="AP54" t="s">
        <v>1504</v>
      </c>
      <c r="AQ54" t="s">
        <v>163</v>
      </c>
      <c r="AR54" t="s">
        <v>1505</v>
      </c>
      <c r="AS54" t="s">
        <v>876</v>
      </c>
      <c r="AT54" t="s">
        <v>139</v>
      </c>
      <c r="AU54" t="s">
        <v>877</v>
      </c>
      <c r="AV54" t="s">
        <v>137</v>
      </c>
      <c r="AW54" t="s">
        <v>494</v>
      </c>
      <c r="AX54" t="s">
        <v>628</v>
      </c>
      <c r="AY54" t="s">
        <v>169</v>
      </c>
      <c r="AZ54" t="s">
        <v>1506</v>
      </c>
      <c r="BA54" t="s">
        <v>1507</v>
      </c>
      <c r="BB54" t="s">
        <v>169</v>
      </c>
      <c r="BC54" t="s">
        <v>137</v>
      </c>
      <c r="BD54" t="s">
        <v>172</v>
      </c>
      <c r="BE54" t="s">
        <v>169</v>
      </c>
      <c r="BF54" t="s">
        <v>173</v>
      </c>
      <c r="BG54" t="s">
        <v>174</v>
      </c>
      <c r="BH54" t="s">
        <v>151</v>
      </c>
      <c r="BI54" t="s">
        <v>175</v>
      </c>
      <c r="BJ54" t="s">
        <v>151</v>
      </c>
      <c r="BK54" t="s">
        <v>151</v>
      </c>
      <c r="BL54" t="s">
        <v>176</v>
      </c>
      <c r="BM54" t="s">
        <v>177</v>
      </c>
      <c r="BN54" t="s">
        <v>137</v>
      </c>
      <c r="BO54" t="s">
        <v>178</v>
      </c>
      <c r="BP54" t="s">
        <v>179</v>
      </c>
      <c r="BQ54" t="s">
        <v>180</v>
      </c>
      <c r="BR54" t="s">
        <v>154</v>
      </c>
      <c r="BS54" t="s">
        <v>181</v>
      </c>
      <c r="BT54" t="s">
        <v>182</v>
      </c>
      <c r="BU54" t="s">
        <v>182</v>
      </c>
      <c r="BV54" t="s">
        <v>182</v>
      </c>
      <c r="BW54" t="s">
        <v>151</v>
      </c>
      <c r="BX54" t="s">
        <v>183</v>
      </c>
      <c r="BY54" t="s">
        <v>151</v>
      </c>
      <c r="BZ54" t="s">
        <v>151</v>
      </c>
      <c r="CA54" t="s">
        <v>151</v>
      </c>
      <c r="CB54" t="s">
        <v>151</v>
      </c>
      <c r="CC54" t="s">
        <v>1508</v>
      </c>
      <c r="CD54" t="s">
        <v>1509</v>
      </c>
      <c r="CE54" t="s">
        <v>1510</v>
      </c>
      <c r="CF54" t="s">
        <v>1511</v>
      </c>
      <c r="CG54" t="s">
        <v>1512</v>
      </c>
      <c r="CH54" t="s">
        <v>1513</v>
      </c>
      <c r="CI54" t="s">
        <v>1514</v>
      </c>
      <c r="CJ54" t="s">
        <v>266</v>
      </c>
      <c r="CK54" t="s">
        <v>1496</v>
      </c>
      <c r="CL54" t="s">
        <v>1062</v>
      </c>
      <c r="CM54" t="s">
        <v>193</v>
      </c>
      <c r="CN54" t="s">
        <v>194</v>
      </c>
      <c r="CO54" t="s">
        <v>154</v>
      </c>
      <c r="CP54" t="s">
        <v>195</v>
      </c>
      <c r="CQ54" t="s">
        <v>196</v>
      </c>
      <c r="CR54" t="s">
        <v>154</v>
      </c>
      <c r="CS54" t="s">
        <v>197</v>
      </c>
      <c r="CT54" t="s">
        <v>198</v>
      </c>
      <c r="CU54" t="s">
        <v>199</v>
      </c>
      <c r="CV54" t="s">
        <v>151</v>
      </c>
      <c r="CW54" t="s">
        <v>1495</v>
      </c>
      <c r="CX54" t="s">
        <v>200</v>
      </c>
      <c r="CY54" t="s">
        <v>201</v>
      </c>
      <c r="CZ54" t="s">
        <v>202</v>
      </c>
      <c r="DA54" t="s">
        <v>203</v>
      </c>
      <c r="DB54" t="s">
        <v>204</v>
      </c>
      <c r="DC54" t="s">
        <v>205</v>
      </c>
    </row>
    <row r="55" spans="1:107" x14ac:dyDescent="0.45">
      <c r="A55" t="s">
        <v>1515</v>
      </c>
      <c r="B55" t="s">
        <v>1516</v>
      </c>
      <c r="C55" t="s">
        <v>139</v>
      </c>
      <c r="D55" t="s">
        <v>76</v>
      </c>
      <c r="E55" t="s">
        <v>140</v>
      </c>
      <c r="F55" t="s">
        <v>19</v>
      </c>
      <c r="G55" t="s">
        <v>1517</v>
      </c>
      <c r="H55" t="s">
        <v>19</v>
      </c>
      <c r="I55" t="s">
        <v>19</v>
      </c>
      <c r="J55">
        <v>-2.0770528652798412E-2</v>
      </c>
      <c r="K55">
        <v>2.9050319999999994</v>
      </c>
      <c r="L55">
        <v>-2.0920104155852652E-2</v>
      </c>
      <c r="M55">
        <v>-0.22801068399929592</v>
      </c>
      <c r="N55" t="s">
        <v>1518</v>
      </c>
      <c r="O55" t="s">
        <v>1519</v>
      </c>
      <c r="P55">
        <v>2.7008023319289429</v>
      </c>
      <c r="Q55">
        <v>1.0848883319289429</v>
      </c>
      <c r="R55" t="s">
        <v>1520</v>
      </c>
      <c r="S55" t="s">
        <v>1521</v>
      </c>
      <c r="T55">
        <v>26.556561769212809</v>
      </c>
      <c r="U55">
        <v>0.4417875</v>
      </c>
      <c r="V55" t="s">
        <v>146</v>
      </c>
      <c r="W55" t="s">
        <v>1522</v>
      </c>
      <c r="X55" t="s">
        <v>1523</v>
      </c>
      <c r="Y55" t="s">
        <v>1524</v>
      </c>
      <c r="Z55" t="s">
        <v>1525</v>
      </c>
      <c r="AA55" t="s">
        <v>151</v>
      </c>
      <c r="AB55" t="s">
        <v>151</v>
      </c>
      <c r="AC55" t="s">
        <v>151</v>
      </c>
      <c r="AD55" t="s">
        <v>152</v>
      </c>
      <c r="AE55" t="s">
        <v>153</v>
      </c>
      <c r="AF55">
        <v>0</v>
      </c>
      <c r="AG55" t="s">
        <v>154</v>
      </c>
      <c r="AH55" t="s">
        <v>1526</v>
      </c>
      <c r="AI55" t="s">
        <v>1527</v>
      </c>
      <c r="AJ55" t="s">
        <v>1528</v>
      </c>
      <c r="AK55" t="s">
        <v>1529</v>
      </c>
      <c r="AL55">
        <v>22.29</v>
      </c>
      <c r="AM55" t="s">
        <v>928</v>
      </c>
      <c r="AN55" t="s">
        <v>160</v>
      </c>
      <c r="AO55" t="s">
        <v>1530</v>
      </c>
      <c r="AP55" t="s">
        <v>403</v>
      </c>
      <c r="AQ55" t="s">
        <v>163</v>
      </c>
      <c r="AR55" t="s">
        <v>1479</v>
      </c>
      <c r="AS55" t="s">
        <v>876</v>
      </c>
      <c r="AT55" t="s">
        <v>139</v>
      </c>
      <c r="AU55" t="s">
        <v>877</v>
      </c>
      <c r="AV55" t="s">
        <v>137</v>
      </c>
      <c r="AW55" t="s">
        <v>494</v>
      </c>
      <c r="AX55" t="s">
        <v>1052</v>
      </c>
      <c r="AY55" t="s">
        <v>169</v>
      </c>
      <c r="AZ55" t="s">
        <v>1531</v>
      </c>
      <c r="BA55" t="s">
        <v>1532</v>
      </c>
      <c r="BB55" t="s">
        <v>169</v>
      </c>
      <c r="BC55" t="s">
        <v>137</v>
      </c>
      <c r="BD55" t="s">
        <v>172</v>
      </c>
      <c r="BE55" t="s">
        <v>169</v>
      </c>
      <c r="BF55" t="s">
        <v>173</v>
      </c>
      <c r="BG55" t="s">
        <v>174</v>
      </c>
      <c r="BH55" t="s">
        <v>151</v>
      </c>
      <c r="BI55" t="s">
        <v>175</v>
      </c>
      <c r="BJ55" t="s">
        <v>151</v>
      </c>
      <c r="BK55" t="s">
        <v>151</v>
      </c>
      <c r="BL55" t="s">
        <v>176</v>
      </c>
      <c r="BM55" t="s">
        <v>177</v>
      </c>
      <c r="BN55" t="s">
        <v>137</v>
      </c>
      <c r="BO55" t="s">
        <v>178</v>
      </c>
      <c r="BP55" t="s">
        <v>179</v>
      </c>
      <c r="BQ55" t="s">
        <v>180</v>
      </c>
      <c r="BR55" t="s">
        <v>154</v>
      </c>
      <c r="BS55" t="s">
        <v>181</v>
      </c>
      <c r="BT55" t="s">
        <v>182</v>
      </c>
      <c r="BU55" t="s">
        <v>182</v>
      </c>
      <c r="BV55" t="s">
        <v>182</v>
      </c>
      <c r="BW55" t="s">
        <v>151</v>
      </c>
      <c r="BX55" t="s">
        <v>183</v>
      </c>
      <c r="BY55" t="s">
        <v>151</v>
      </c>
      <c r="BZ55" t="s">
        <v>151</v>
      </c>
      <c r="CA55" t="s">
        <v>151</v>
      </c>
      <c r="CB55" t="s">
        <v>151</v>
      </c>
      <c r="CC55" t="s">
        <v>1533</v>
      </c>
      <c r="CD55" t="s">
        <v>1534</v>
      </c>
      <c r="CE55" t="s">
        <v>1535</v>
      </c>
      <c r="CF55" t="s">
        <v>1536</v>
      </c>
      <c r="CG55" t="s">
        <v>1537</v>
      </c>
      <c r="CH55" t="s">
        <v>1538</v>
      </c>
      <c r="CI55" t="s">
        <v>1539</v>
      </c>
      <c r="CJ55" t="s">
        <v>444</v>
      </c>
      <c r="CK55" t="s">
        <v>1523</v>
      </c>
      <c r="CL55" t="s">
        <v>710</v>
      </c>
      <c r="CM55" t="s">
        <v>193</v>
      </c>
      <c r="CN55" t="s">
        <v>194</v>
      </c>
      <c r="CO55" t="s">
        <v>154</v>
      </c>
      <c r="CP55" t="s">
        <v>195</v>
      </c>
      <c r="CQ55" t="s">
        <v>196</v>
      </c>
      <c r="CR55" t="s">
        <v>154</v>
      </c>
      <c r="CS55" t="s">
        <v>197</v>
      </c>
      <c r="CT55" t="s">
        <v>198</v>
      </c>
      <c r="CU55" t="s">
        <v>199</v>
      </c>
      <c r="CV55" t="s">
        <v>151</v>
      </c>
      <c r="CW55" t="s">
        <v>1522</v>
      </c>
      <c r="CX55" t="s">
        <v>200</v>
      </c>
      <c r="CY55" t="s">
        <v>201</v>
      </c>
      <c r="CZ55" t="s">
        <v>202</v>
      </c>
      <c r="DA55" t="s">
        <v>203</v>
      </c>
      <c r="DB55" t="s">
        <v>204</v>
      </c>
      <c r="DC55" t="s">
        <v>205</v>
      </c>
    </row>
    <row r="56" spans="1:107" x14ac:dyDescent="0.45">
      <c r="A56" t="s">
        <v>1540</v>
      </c>
      <c r="B56" t="s">
        <v>1541</v>
      </c>
      <c r="C56" t="s">
        <v>139</v>
      </c>
      <c r="D56" t="s">
        <v>76</v>
      </c>
      <c r="E56" t="s">
        <v>140</v>
      </c>
      <c r="F56" t="s">
        <v>19</v>
      </c>
      <c r="G56" t="s">
        <v>1542</v>
      </c>
      <c r="H56" t="s">
        <v>19</v>
      </c>
      <c r="I56" t="s">
        <v>19</v>
      </c>
      <c r="J56">
        <v>-2.9657171975792161E-3</v>
      </c>
      <c r="K56">
        <v>2.9050319999999994</v>
      </c>
      <c r="L56">
        <v>-2.9687479617447831E-3</v>
      </c>
      <c r="M56">
        <v>-3.1744275288825848E-2</v>
      </c>
      <c r="N56" t="s">
        <v>1543</v>
      </c>
      <c r="O56" t="s">
        <v>1544</v>
      </c>
      <c r="P56">
        <v>2.6697330797449021</v>
      </c>
      <c r="Q56">
        <v>1.0646080797449022</v>
      </c>
      <c r="R56" t="s">
        <v>1545</v>
      </c>
      <c r="S56" t="s">
        <v>1546</v>
      </c>
      <c r="T56">
        <v>26.251062731021651</v>
      </c>
      <c r="U56">
        <v>0.4417875</v>
      </c>
      <c r="V56" t="s">
        <v>146</v>
      </c>
      <c r="W56" t="s">
        <v>1547</v>
      </c>
      <c r="X56" t="s">
        <v>1548</v>
      </c>
      <c r="Y56" t="s">
        <v>1549</v>
      </c>
      <c r="Z56" t="s">
        <v>1550</v>
      </c>
      <c r="AA56" t="s">
        <v>151</v>
      </c>
      <c r="AB56" t="s">
        <v>151</v>
      </c>
      <c r="AC56" t="s">
        <v>151</v>
      </c>
      <c r="AD56" t="s">
        <v>152</v>
      </c>
      <c r="AE56" t="s">
        <v>153</v>
      </c>
      <c r="AF56">
        <v>0</v>
      </c>
      <c r="AG56" t="s">
        <v>154</v>
      </c>
      <c r="AH56" t="s">
        <v>1551</v>
      </c>
      <c r="AI56" t="s">
        <v>1552</v>
      </c>
      <c r="AJ56" t="s">
        <v>1553</v>
      </c>
      <c r="AK56" t="s">
        <v>1554</v>
      </c>
      <c r="AL56">
        <v>22.1</v>
      </c>
      <c r="AM56" t="s">
        <v>928</v>
      </c>
      <c r="AN56" t="s">
        <v>160</v>
      </c>
      <c r="AO56" t="s">
        <v>1247</v>
      </c>
      <c r="AP56" t="s">
        <v>1248</v>
      </c>
      <c r="AQ56" t="s">
        <v>163</v>
      </c>
      <c r="AR56" t="s">
        <v>1555</v>
      </c>
      <c r="AS56" t="s">
        <v>876</v>
      </c>
      <c r="AT56" t="s">
        <v>139</v>
      </c>
      <c r="AU56" t="s">
        <v>877</v>
      </c>
      <c r="AV56" t="s">
        <v>137</v>
      </c>
      <c r="AW56" t="s">
        <v>1027</v>
      </c>
      <c r="AX56" t="s">
        <v>628</v>
      </c>
      <c r="AY56" t="s">
        <v>169</v>
      </c>
      <c r="AZ56" t="s">
        <v>1556</v>
      </c>
      <c r="BA56" t="s">
        <v>1557</v>
      </c>
      <c r="BB56" t="s">
        <v>169</v>
      </c>
      <c r="BC56" t="s">
        <v>137</v>
      </c>
      <c r="BD56" t="s">
        <v>172</v>
      </c>
      <c r="BE56" t="s">
        <v>169</v>
      </c>
      <c r="BF56" t="s">
        <v>173</v>
      </c>
      <c r="BG56" t="s">
        <v>174</v>
      </c>
      <c r="BH56" t="s">
        <v>151</v>
      </c>
      <c r="BI56" t="s">
        <v>175</v>
      </c>
      <c r="BJ56" t="s">
        <v>151</v>
      </c>
      <c r="BK56" t="s">
        <v>151</v>
      </c>
      <c r="BL56" t="s">
        <v>176</v>
      </c>
      <c r="BM56" t="s">
        <v>177</v>
      </c>
      <c r="BN56" t="s">
        <v>137</v>
      </c>
      <c r="BO56" t="s">
        <v>178</v>
      </c>
      <c r="BP56" t="s">
        <v>179</v>
      </c>
      <c r="BQ56" t="s">
        <v>180</v>
      </c>
      <c r="BR56" t="s">
        <v>154</v>
      </c>
      <c r="BS56" t="s">
        <v>181</v>
      </c>
      <c r="BT56" t="s">
        <v>182</v>
      </c>
      <c r="BU56" t="s">
        <v>182</v>
      </c>
      <c r="BV56" t="s">
        <v>182</v>
      </c>
      <c r="BW56" t="s">
        <v>151</v>
      </c>
      <c r="BX56" t="s">
        <v>183</v>
      </c>
      <c r="BY56" t="s">
        <v>151</v>
      </c>
      <c r="BZ56" t="s">
        <v>151</v>
      </c>
      <c r="CA56" t="s">
        <v>151</v>
      </c>
      <c r="CB56" t="s">
        <v>151</v>
      </c>
      <c r="CC56" t="s">
        <v>1558</v>
      </c>
      <c r="CD56" t="s">
        <v>1559</v>
      </c>
      <c r="CE56" t="s">
        <v>1560</v>
      </c>
      <c r="CF56" t="s">
        <v>1561</v>
      </c>
      <c r="CG56" t="s">
        <v>1562</v>
      </c>
      <c r="CH56" t="s">
        <v>1563</v>
      </c>
      <c r="CI56" t="s">
        <v>1564</v>
      </c>
      <c r="CJ56" t="s">
        <v>266</v>
      </c>
      <c r="CK56" t="s">
        <v>1548</v>
      </c>
      <c r="CL56" t="s">
        <v>833</v>
      </c>
      <c r="CM56" t="s">
        <v>193</v>
      </c>
      <c r="CN56" t="s">
        <v>194</v>
      </c>
      <c r="CO56" t="s">
        <v>154</v>
      </c>
      <c r="CP56" t="s">
        <v>195</v>
      </c>
      <c r="CQ56" t="s">
        <v>196</v>
      </c>
      <c r="CR56" t="s">
        <v>154</v>
      </c>
      <c r="CS56" t="s">
        <v>197</v>
      </c>
      <c r="CT56" t="s">
        <v>198</v>
      </c>
      <c r="CU56" t="s">
        <v>199</v>
      </c>
      <c r="CV56" t="s">
        <v>151</v>
      </c>
      <c r="CW56" t="s">
        <v>1547</v>
      </c>
      <c r="CX56" t="s">
        <v>200</v>
      </c>
      <c r="CY56" t="s">
        <v>201</v>
      </c>
      <c r="CZ56" t="s">
        <v>202</v>
      </c>
      <c r="DA56" t="s">
        <v>203</v>
      </c>
      <c r="DB56" t="s">
        <v>204</v>
      </c>
      <c r="DC56" t="s">
        <v>205</v>
      </c>
    </row>
    <row r="57" spans="1:107" x14ac:dyDescent="0.45">
      <c r="A57" t="s">
        <v>1565</v>
      </c>
      <c r="B57" t="s">
        <v>1566</v>
      </c>
      <c r="C57" t="s">
        <v>139</v>
      </c>
      <c r="D57" t="s">
        <v>76</v>
      </c>
      <c r="E57" t="s">
        <v>140</v>
      </c>
      <c r="F57" t="s">
        <v>19</v>
      </c>
      <c r="G57" t="s">
        <v>1567</v>
      </c>
      <c r="H57" t="s">
        <v>19</v>
      </c>
      <c r="I57" t="s">
        <v>19</v>
      </c>
      <c r="J57">
        <v>-1.9416233985404523E-2</v>
      </c>
      <c r="K57">
        <v>2.9042299199999997</v>
      </c>
      <c r="L57">
        <v>-1.9546914917765459E-2</v>
      </c>
      <c r="M57">
        <v>-0.21045675634036309</v>
      </c>
      <c r="N57" t="s">
        <v>1568</v>
      </c>
      <c r="O57" t="s">
        <v>1569</v>
      </c>
      <c r="P57">
        <v>2.6681065574155625</v>
      </c>
      <c r="Q57">
        <v>1.0719955574155624</v>
      </c>
      <c r="R57" t="s">
        <v>1570</v>
      </c>
      <c r="S57" t="s">
        <v>1571</v>
      </c>
      <c r="T57">
        <v>26.235069394449976</v>
      </c>
      <c r="U57">
        <v>0.4417875</v>
      </c>
      <c r="V57" t="s">
        <v>146</v>
      </c>
      <c r="W57" t="s">
        <v>1572</v>
      </c>
      <c r="X57" t="s">
        <v>1573</v>
      </c>
      <c r="Y57" t="s">
        <v>1574</v>
      </c>
      <c r="Z57" t="s">
        <v>1575</v>
      </c>
      <c r="AA57" t="s">
        <v>151</v>
      </c>
      <c r="AB57" t="s">
        <v>151</v>
      </c>
      <c r="AC57" t="s">
        <v>151</v>
      </c>
      <c r="AD57" t="s">
        <v>152</v>
      </c>
      <c r="AE57" t="s">
        <v>153</v>
      </c>
      <c r="AF57">
        <v>0</v>
      </c>
      <c r="AG57" t="s">
        <v>154</v>
      </c>
      <c r="AH57" t="s">
        <v>1576</v>
      </c>
      <c r="AI57" t="s">
        <v>1046</v>
      </c>
      <c r="AJ57" t="s">
        <v>1577</v>
      </c>
      <c r="AK57" t="s">
        <v>1124</v>
      </c>
      <c r="AL57">
        <v>22.09</v>
      </c>
      <c r="AM57" t="s">
        <v>928</v>
      </c>
      <c r="AN57" t="s">
        <v>284</v>
      </c>
      <c r="AO57" t="s">
        <v>402</v>
      </c>
      <c r="AP57" t="s">
        <v>546</v>
      </c>
      <c r="AQ57" t="s">
        <v>163</v>
      </c>
      <c r="AR57" t="s">
        <v>1555</v>
      </c>
      <c r="AS57" t="s">
        <v>876</v>
      </c>
      <c r="AT57" t="s">
        <v>139</v>
      </c>
      <c r="AU57" t="s">
        <v>877</v>
      </c>
      <c r="AV57" t="s">
        <v>137</v>
      </c>
      <c r="AW57" t="s">
        <v>494</v>
      </c>
      <c r="AX57" t="s">
        <v>167</v>
      </c>
      <c r="AY57" t="s">
        <v>169</v>
      </c>
      <c r="AZ57" t="s">
        <v>1578</v>
      </c>
      <c r="BA57" t="s">
        <v>1225</v>
      </c>
      <c r="BB57" t="s">
        <v>169</v>
      </c>
      <c r="BC57" t="s">
        <v>137</v>
      </c>
      <c r="BD57" t="s">
        <v>172</v>
      </c>
      <c r="BE57" t="s">
        <v>169</v>
      </c>
      <c r="BF57" t="s">
        <v>173</v>
      </c>
      <c r="BG57" t="s">
        <v>174</v>
      </c>
      <c r="BH57" t="s">
        <v>151</v>
      </c>
      <c r="BI57" t="s">
        <v>175</v>
      </c>
      <c r="BJ57" t="s">
        <v>151</v>
      </c>
      <c r="BK57" t="s">
        <v>151</v>
      </c>
      <c r="BL57" t="s">
        <v>176</v>
      </c>
      <c r="BM57" t="s">
        <v>177</v>
      </c>
      <c r="BN57" t="s">
        <v>137</v>
      </c>
      <c r="BO57" t="s">
        <v>178</v>
      </c>
      <c r="BP57" t="s">
        <v>179</v>
      </c>
      <c r="BQ57" t="s">
        <v>180</v>
      </c>
      <c r="BR57" t="s">
        <v>154</v>
      </c>
      <c r="BS57" t="s">
        <v>181</v>
      </c>
      <c r="BT57" t="s">
        <v>182</v>
      </c>
      <c r="BU57" t="s">
        <v>182</v>
      </c>
      <c r="BV57" t="s">
        <v>182</v>
      </c>
      <c r="BW57" t="s">
        <v>151</v>
      </c>
      <c r="BX57" t="s">
        <v>183</v>
      </c>
      <c r="BY57" t="s">
        <v>151</v>
      </c>
      <c r="BZ57" t="s">
        <v>151</v>
      </c>
      <c r="CA57" t="s">
        <v>151</v>
      </c>
      <c r="CB57" t="s">
        <v>151</v>
      </c>
      <c r="CC57" t="s">
        <v>1579</v>
      </c>
      <c r="CD57" t="s">
        <v>1580</v>
      </c>
      <c r="CE57" t="s">
        <v>1581</v>
      </c>
      <c r="CF57" t="s">
        <v>1582</v>
      </c>
      <c r="CG57" t="s">
        <v>1583</v>
      </c>
      <c r="CH57" t="s">
        <v>1584</v>
      </c>
      <c r="CI57" t="s">
        <v>1585</v>
      </c>
      <c r="CJ57" t="s">
        <v>299</v>
      </c>
      <c r="CK57" t="s">
        <v>1573</v>
      </c>
      <c r="CL57" t="s">
        <v>530</v>
      </c>
      <c r="CM57" t="s">
        <v>193</v>
      </c>
      <c r="CN57" t="s">
        <v>194</v>
      </c>
      <c r="CO57" t="s">
        <v>154</v>
      </c>
      <c r="CP57" t="s">
        <v>195</v>
      </c>
      <c r="CQ57" t="s">
        <v>196</v>
      </c>
      <c r="CR57" t="s">
        <v>154</v>
      </c>
      <c r="CS57" t="s">
        <v>197</v>
      </c>
      <c r="CT57" t="s">
        <v>198</v>
      </c>
      <c r="CU57" t="s">
        <v>199</v>
      </c>
      <c r="CV57" t="s">
        <v>151</v>
      </c>
      <c r="CW57" t="s">
        <v>1572</v>
      </c>
      <c r="CX57" t="s">
        <v>200</v>
      </c>
      <c r="CY57" t="s">
        <v>201</v>
      </c>
      <c r="CZ57" t="s">
        <v>202</v>
      </c>
      <c r="DA57" t="s">
        <v>203</v>
      </c>
      <c r="DB57" t="s">
        <v>204</v>
      </c>
      <c r="DC57" t="s">
        <v>205</v>
      </c>
    </row>
    <row r="58" spans="1:107" x14ac:dyDescent="0.45">
      <c r="A58" t="s">
        <v>1586</v>
      </c>
      <c r="B58" t="s">
        <v>1587</v>
      </c>
      <c r="C58" t="s">
        <v>139</v>
      </c>
      <c r="D58" t="s">
        <v>76</v>
      </c>
      <c r="E58" t="s">
        <v>140</v>
      </c>
      <c r="F58" t="s">
        <v>19</v>
      </c>
      <c r="G58" t="s">
        <v>1588</v>
      </c>
      <c r="H58" t="s">
        <v>19</v>
      </c>
      <c r="I58" t="s">
        <v>19</v>
      </c>
      <c r="J58">
        <v>-2.4751592645038224E-2</v>
      </c>
      <c r="K58">
        <v>2.9050319999999994</v>
      </c>
      <c r="L58">
        <v>-2.496429462256149E-2</v>
      </c>
      <c r="M58">
        <v>-0.26738242078752433</v>
      </c>
      <c r="N58" t="s">
        <v>1589</v>
      </c>
      <c r="O58" t="s">
        <v>1590</v>
      </c>
      <c r="P58">
        <v>2.6486558344795665</v>
      </c>
      <c r="Q58">
        <v>1.0666338344795665</v>
      </c>
      <c r="R58" t="s">
        <v>1591</v>
      </c>
      <c r="S58" t="s">
        <v>1592</v>
      </c>
      <c r="T58">
        <v>26.043813515039986</v>
      </c>
      <c r="U58">
        <v>0.4417875</v>
      </c>
      <c r="V58" t="s">
        <v>146</v>
      </c>
      <c r="W58" t="s">
        <v>1593</v>
      </c>
      <c r="X58" t="s">
        <v>1594</v>
      </c>
      <c r="Y58" t="s">
        <v>1595</v>
      </c>
      <c r="Z58" t="s">
        <v>1596</v>
      </c>
      <c r="AA58" t="s">
        <v>151</v>
      </c>
      <c r="AB58" t="s">
        <v>151</v>
      </c>
      <c r="AC58" t="s">
        <v>151</v>
      </c>
      <c r="AD58" t="s">
        <v>152</v>
      </c>
      <c r="AE58" t="s">
        <v>153</v>
      </c>
      <c r="AF58">
        <v>0</v>
      </c>
      <c r="AG58" t="s">
        <v>154</v>
      </c>
      <c r="AH58" t="s">
        <v>1194</v>
      </c>
      <c r="AI58" t="s">
        <v>1474</v>
      </c>
      <c r="AJ58" t="s">
        <v>1577</v>
      </c>
      <c r="AK58" t="s">
        <v>1597</v>
      </c>
      <c r="AL58">
        <v>21.97</v>
      </c>
      <c r="AM58" t="s">
        <v>928</v>
      </c>
      <c r="AN58" t="s">
        <v>160</v>
      </c>
      <c r="AO58" t="s">
        <v>1598</v>
      </c>
      <c r="AP58" t="s">
        <v>1599</v>
      </c>
      <c r="AQ58" t="s">
        <v>163</v>
      </c>
      <c r="AR58" t="s">
        <v>1600</v>
      </c>
      <c r="AS58" t="s">
        <v>876</v>
      </c>
      <c r="AT58" t="s">
        <v>139</v>
      </c>
      <c r="AU58" t="s">
        <v>877</v>
      </c>
      <c r="AV58" t="s">
        <v>137</v>
      </c>
      <c r="AW58" t="s">
        <v>1379</v>
      </c>
      <c r="AX58" t="s">
        <v>463</v>
      </c>
      <c r="AY58" t="s">
        <v>169</v>
      </c>
      <c r="AZ58" t="s">
        <v>1601</v>
      </c>
      <c r="BA58" t="s">
        <v>1602</v>
      </c>
      <c r="BB58" t="s">
        <v>169</v>
      </c>
      <c r="BC58" t="s">
        <v>137</v>
      </c>
      <c r="BD58" t="s">
        <v>172</v>
      </c>
      <c r="BE58" t="s">
        <v>169</v>
      </c>
      <c r="BF58" t="s">
        <v>173</v>
      </c>
      <c r="BG58" t="s">
        <v>174</v>
      </c>
      <c r="BH58" t="s">
        <v>151</v>
      </c>
      <c r="BI58" t="s">
        <v>175</v>
      </c>
      <c r="BJ58" t="s">
        <v>151</v>
      </c>
      <c r="BK58" t="s">
        <v>151</v>
      </c>
      <c r="BL58" t="s">
        <v>176</v>
      </c>
      <c r="BM58" t="s">
        <v>177</v>
      </c>
      <c r="BN58" t="s">
        <v>137</v>
      </c>
      <c r="BO58" t="s">
        <v>178</v>
      </c>
      <c r="BP58" t="s">
        <v>179</v>
      </c>
      <c r="BQ58" t="s">
        <v>180</v>
      </c>
      <c r="BR58" t="s">
        <v>154</v>
      </c>
      <c r="BS58" t="s">
        <v>181</v>
      </c>
      <c r="BT58" t="s">
        <v>182</v>
      </c>
      <c r="BU58" t="s">
        <v>182</v>
      </c>
      <c r="BV58" t="s">
        <v>182</v>
      </c>
      <c r="BW58" t="s">
        <v>151</v>
      </c>
      <c r="BX58" t="s">
        <v>183</v>
      </c>
      <c r="BY58" t="s">
        <v>151</v>
      </c>
      <c r="BZ58" t="s">
        <v>151</v>
      </c>
      <c r="CA58" t="s">
        <v>151</v>
      </c>
      <c r="CB58" t="s">
        <v>151</v>
      </c>
      <c r="CC58" t="s">
        <v>1603</v>
      </c>
      <c r="CD58" t="s">
        <v>1604</v>
      </c>
      <c r="CE58" t="s">
        <v>1605</v>
      </c>
      <c r="CF58" t="s">
        <v>1606</v>
      </c>
      <c r="CG58" t="s">
        <v>1607</v>
      </c>
      <c r="CH58" t="s">
        <v>1608</v>
      </c>
      <c r="CI58" t="s">
        <v>1609</v>
      </c>
      <c r="CJ58" t="s">
        <v>415</v>
      </c>
      <c r="CK58" t="s">
        <v>1594</v>
      </c>
      <c r="CL58" t="s">
        <v>1610</v>
      </c>
      <c r="CM58" t="s">
        <v>193</v>
      </c>
      <c r="CN58" t="s">
        <v>194</v>
      </c>
      <c r="CO58" t="s">
        <v>154</v>
      </c>
      <c r="CP58" t="s">
        <v>195</v>
      </c>
      <c r="CQ58" t="s">
        <v>196</v>
      </c>
      <c r="CR58" t="s">
        <v>154</v>
      </c>
      <c r="CS58" t="s">
        <v>197</v>
      </c>
      <c r="CT58" t="s">
        <v>198</v>
      </c>
      <c r="CU58" t="s">
        <v>199</v>
      </c>
      <c r="CV58" t="s">
        <v>151</v>
      </c>
      <c r="CW58" t="s">
        <v>1593</v>
      </c>
      <c r="CX58" t="s">
        <v>200</v>
      </c>
      <c r="CY58" t="s">
        <v>201</v>
      </c>
      <c r="CZ58" t="s">
        <v>202</v>
      </c>
      <c r="DA58" t="s">
        <v>203</v>
      </c>
      <c r="DB58" t="s">
        <v>204</v>
      </c>
      <c r="DC58" t="s">
        <v>205</v>
      </c>
    </row>
    <row r="59" spans="1:107" x14ac:dyDescent="0.45">
      <c r="A59" t="s">
        <v>1611</v>
      </c>
      <c r="B59" t="s">
        <v>1612</v>
      </c>
      <c r="C59" t="s">
        <v>139</v>
      </c>
      <c r="D59" t="s">
        <v>76</v>
      </c>
      <c r="E59" t="s">
        <v>140</v>
      </c>
      <c r="F59" t="s">
        <v>19</v>
      </c>
      <c r="G59" t="s">
        <v>1613</v>
      </c>
      <c r="H59" t="s">
        <v>19</v>
      </c>
      <c r="I59" t="s">
        <v>19</v>
      </c>
      <c r="J59">
        <v>-1.3175739093933658E-2</v>
      </c>
      <c r="K59">
        <v>2.9058327199999998</v>
      </c>
      <c r="L59">
        <v>-1.3235753157757098E-2</v>
      </c>
      <c r="M59">
        <v>-0.14723288189584632</v>
      </c>
      <c r="N59" t="s">
        <v>1614</v>
      </c>
      <c r="O59" t="s">
        <v>1615</v>
      </c>
      <c r="P59">
        <v>2.704091113224417</v>
      </c>
      <c r="Q59">
        <v>1.107342113224417</v>
      </c>
      <c r="R59" t="s">
        <v>1616</v>
      </c>
      <c r="S59" t="s">
        <v>1617</v>
      </c>
      <c r="T59">
        <v>26.588899835048345</v>
      </c>
      <c r="U59">
        <v>0.4417875</v>
      </c>
      <c r="V59" t="s">
        <v>146</v>
      </c>
      <c r="W59" t="s">
        <v>1618</v>
      </c>
      <c r="X59" t="s">
        <v>1619</v>
      </c>
      <c r="Y59" t="s">
        <v>1620</v>
      </c>
      <c r="Z59" t="s">
        <v>1621</v>
      </c>
      <c r="AA59" t="s">
        <v>151</v>
      </c>
      <c r="AB59" t="s">
        <v>151</v>
      </c>
      <c r="AC59" t="s">
        <v>151</v>
      </c>
      <c r="AD59" t="s">
        <v>152</v>
      </c>
      <c r="AE59" t="s">
        <v>153</v>
      </c>
      <c r="AF59">
        <v>0</v>
      </c>
      <c r="AG59" t="s">
        <v>154</v>
      </c>
      <c r="AH59" t="s">
        <v>1475</v>
      </c>
      <c r="AI59" t="s">
        <v>1622</v>
      </c>
      <c r="AJ59" t="s">
        <v>1623</v>
      </c>
      <c r="AK59" t="s">
        <v>1148</v>
      </c>
      <c r="AL59">
        <v>22.31</v>
      </c>
      <c r="AM59" t="s">
        <v>928</v>
      </c>
      <c r="AN59" t="s">
        <v>345</v>
      </c>
      <c r="AO59" t="s">
        <v>1624</v>
      </c>
      <c r="AP59" t="s">
        <v>1625</v>
      </c>
      <c r="AQ59" t="s">
        <v>1199</v>
      </c>
      <c r="AR59" t="s">
        <v>1505</v>
      </c>
      <c r="AS59" t="s">
        <v>876</v>
      </c>
      <c r="AT59" t="s">
        <v>139</v>
      </c>
      <c r="AU59" t="s">
        <v>877</v>
      </c>
      <c r="AV59" t="s">
        <v>137</v>
      </c>
      <c r="AW59" t="s">
        <v>494</v>
      </c>
      <c r="AX59" t="s">
        <v>749</v>
      </c>
      <c r="AY59" t="s">
        <v>169</v>
      </c>
      <c r="AZ59" t="s">
        <v>1626</v>
      </c>
      <c r="BA59" t="s">
        <v>1627</v>
      </c>
      <c r="BB59" t="s">
        <v>169</v>
      </c>
      <c r="BC59" t="s">
        <v>137</v>
      </c>
      <c r="BD59" t="s">
        <v>172</v>
      </c>
      <c r="BE59" t="s">
        <v>169</v>
      </c>
      <c r="BF59" t="s">
        <v>173</v>
      </c>
      <c r="BG59" t="s">
        <v>174</v>
      </c>
      <c r="BH59" t="s">
        <v>151</v>
      </c>
      <c r="BI59" t="s">
        <v>175</v>
      </c>
      <c r="BJ59" t="s">
        <v>151</v>
      </c>
      <c r="BK59" t="s">
        <v>151</v>
      </c>
      <c r="BL59" t="s">
        <v>176</v>
      </c>
      <c r="BM59" t="s">
        <v>177</v>
      </c>
      <c r="BN59" t="s">
        <v>137</v>
      </c>
      <c r="BO59" t="s">
        <v>178</v>
      </c>
      <c r="BP59" t="s">
        <v>179</v>
      </c>
      <c r="BQ59" t="s">
        <v>180</v>
      </c>
      <c r="BR59" t="s">
        <v>154</v>
      </c>
      <c r="BS59" t="s">
        <v>181</v>
      </c>
      <c r="BT59" t="s">
        <v>182</v>
      </c>
      <c r="BU59" t="s">
        <v>182</v>
      </c>
      <c r="BV59" t="s">
        <v>182</v>
      </c>
      <c r="BW59" t="s">
        <v>151</v>
      </c>
      <c r="BX59" t="s">
        <v>183</v>
      </c>
      <c r="BY59" t="s">
        <v>151</v>
      </c>
      <c r="BZ59" t="s">
        <v>151</v>
      </c>
      <c r="CA59" t="s">
        <v>151</v>
      </c>
      <c r="CB59" t="s">
        <v>151</v>
      </c>
      <c r="CC59" t="s">
        <v>1628</v>
      </c>
      <c r="CD59" t="s">
        <v>1629</v>
      </c>
      <c r="CE59" t="s">
        <v>1630</v>
      </c>
      <c r="CF59" t="s">
        <v>1631</v>
      </c>
      <c r="CG59" t="s">
        <v>1632</v>
      </c>
      <c r="CH59" t="s">
        <v>1633</v>
      </c>
      <c r="CI59" t="s">
        <v>1634</v>
      </c>
      <c r="CJ59" t="s">
        <v>1635</v>
      </c>
      <c r="CK59" t="s">
        <v>1619</v>
      </c>
      <c r="CL59" t="s">
        <v>560</v>
      </c>
      <c r="CM59" t="s">
        <v>193</v>
      </c>
      <c r="CN59" t="s">
        <v>194</v>
      </c>
      <c r="CO59" t="s">
        <v>154</v>
      </c>
      <c r="CP59" t="s">
        <v>195</v>
      </c>
      <c r="CQ59" t="s">
        <v>196</v>
      </c>
      <c r="CR59" t="s">
        <v>154</v>
      </c>
      <c r="CS59" t="s">
        <v>197</v>
      </c>
      <c r="CT59" t="s">
        <v>198</v>
      </c>
      <c r="CU59" t="s">
        <v>199</v>
      </c>
      <c r="CV59" t="s">
        <v>151</v>
      </c>
      <c r="CW59" t="s">
        <v>1618</v>
      </c>
      <c r="CX59" t="s">
        <v>200</v>
      </c>
      <c r="CY59" t="s">
        <v>201</v>
      </c>
      <c r="CZ59" t="s">
        <v>202</v>
      </c>
      <c r="DA59" t="s">
        <v>203</v>
      </c>
      <c r="DB59" t="s">
        <v>204</v>
      </c>
      <c r="DC59" t="s">
        <v>205</v>
      </c>
    </row>
    <row r="60" spans="1:107" x14ac:dyDescent="0.45">
      <c r="A60" t="s">
        <v>1636</v>
      </c>
      <c r="B60" t="s">
        <v>1637</v>
      </c>
      <c r="C60" t="s">
        <v>139</v>
      </c>
      <c r="D60" t="s">
        <v>76</v>
      </c>
      <c r="E60" t="s">
        <v>140</v>
      </c>
      <c r="F60" t="s">
        <v>19</v>
      </c>
      <c r="G60" t="s">
        <v>1638</v>
      </c>
      <c r="H60" t="s">
        <v>19</v>
      </c>
      <c r="I60" t="s">
        <v>19</v>
      </c>
      <c r="J60">
        <v>-2.3331291300914114E-2</v>
      </c>
      <c r="K60">
        <v>2.9066320800000001</v>
      </c>
      <c r="L60">
        <v>-2.3520085045882259E-2</v>
      </c>
      <c r="M60">
        <v>-0.27175575928044082</v>
      </c>
      <c r="N60" t="s">
        <v>1639</v>
      </c>
      <c r="O60" t="s">
        <v>1640</v>
      </c>
      <c r="P60">
        <v>2.7638914730462183</v>
      </c>
      <c r="Q60">
        <v>1.1497384730462183</v>
      </c>
      <c r="R60" t="s">
        <v>1641</v>
      </c>
      <c r="S60" t="s">
        <v>1642</v>
      </c>
      <c r="T60">
        <v>27.176907306255835</v>
      </c>
      <c r="U60">
        <v>0.4417875</v>
      </c>
      <c r="V60" t="s">
        <v>146</v>
      </c>
      <c r="W60" t="s">
        <v>1643</v>
      </c>
      <c r="X60" t="s">
        <v>1644</v>
      </c>
      <c r="Y60" t="s">
        <v>1645</v>
      </c>
      <c r="Z60" t="s">
        <v>1646</v>
      </c>
      <c r="AA60" t="s">
        <v>151</v>
      </c>
      <c r="AB60" t="s">
        <v>151</v>
      </c>
      <c r="AC60" t="s">
        <v>151</v>
      </c>
      <c r="AD60" t="s">
        <v>152</v>
      </c>
      <c r="AE60" t="s">
        <v>153</v>
      </c>
      <c r="AF60">
        <v>0</v>
      </c>
      <c r="AG60" t="s">
        <v>154</v>
      </c>
      <c r="AH60" t="s">
        <v>1647</v>
      </c>
      <c r="AI60" t="s">
        <v>1648</v>
      </c>
      <c r="AJ60" t="s">
        <v>1649</v>
      </c>
      <c r="AK60" t="s">
        <v>1650</v>
      </c>
      <c r="AL60">
        <v>22.67</v>
      </c>
      <c r="AM60" t="s">
        <v>928</v>
      </c>
      <c r="AN60" t="s">
        <v>401</v>
      </c>
      <c r="AO60" t="s">
        <v>1651</v>
      </c>
      <c r="AP60" t="s">
        <v>1652</v>
      </c>
      <c r="AQ60" t="s">
        <v>163</v>
      </c>
      <c r="AR60" t="s">
        <v>1653</v>
      </c>
      <c r="AS60" t="s">
        <v>876</v>
      </c>
      <c r="AT60" t="s">
        <v>139</v>
      </c>
      <c r="AU60" t="s">
        <v>877</v>
      </c>
      <c r="AV60" t="s">
        <v>137</v>
      </c>
      <c r="AW60" t="s">
        <v>493</v>
      </c>
      <c r="AX60" t="s">
        <v>493</v>
      </c>
      <c r="AY60" t="s">
        <v>169</v>
      </c>
      <c r="AZ60" t="s">
        <v>1654</v>
      </c>
      <c r="BA60" t="s">
        <v>1655</v>
      </c>
      <c r="BB60" t="s">
        <v>169</v>
      </c>
      <c r="BC60" t="s">
        <v>137</v>
      </c>
      <c r="BD60" t="s">
        <v>172</v>
      </c>
      <c r="BE60" t="s">
        <v>169</v>
      </c>
      <c r="BF60" t="s">
        <v>173</v>
      </c>
      <c r="BG60" t="s">
        <v>174</v>
      </c>
      <c r="BH60" t="s">
        <v>151</v>
      </c>
      <c r="BI60" t="s">
        <v>175</v>
      </c>
      <c r="BJ60" t="s">
        <v>151</v>
      </c>
      <c r="BK60" t="s">
        <v>151</v>
      </c>
      <c r="BL60" t="s">
        <v>176</v>
      </c>
      <c r="BM60" t="s">
        <v>177</v>
      </c>
      <c r="BN60" t="s">
        <v>137</v>
      </c>
      <c r="BO60" t="s">
        <v>178</v>
      </c>
      <c r="BP60" t="s">
        <v>179</v>
      </c>
      <c r="BQ60" t="s">
        <v>180</v>
      </c>
      <c r="BR60" t="s">
        <v>154</v>
      </c>
      <c r="BS60" t="s">
        <v>181</v>
      </c>
      <c r="BT60" t="s">
        <v>182</v>
      </c>
      <c r="BU60" t="s">
        <v>182</v>
      </c>
      <c r="BV60" t="s">
        <v>182</v>
      </c>
      <c r="BW60" t="s">
        <v>151</v>
      </c>
      <c r="BX60" t="s">
        <v>183</v>
      </c>
      <c r="BY60" t="s">
        <v>151</v>
      </c>
      <c r="BZ60" t="s">
        <v>151</v>
      </c>
      <c r="CA60" t="s">
        <v>151</v>
      </c>
      <c r="CB60" t="s">
        <v>151</v>
      </c>
      <c r="CC60" t="s">
        <v>1656</v>
      </c>
      <c r="CD60" t="s">
        <v>1657</v>
      </c>
      <c r="CE60" t="s">
        <v>1658</v>
      </c>
      <c r="CF60" t="s">
        <v>1659</v>
      </c>
      <c r="CG60" t="s">
        <v>1660</v>
      </c>
      <c r="CH60" t="s">
        <v>1661</v>
      </c>
      <c r="CI60" t="s">
        <v>1662</v>
      </c>
      <c r="CJ60" t="s">
        <v>415</v>
      </c>
      <c r="CK60" t="s">
        <v>1644</v>
      </c>
      <c r="CL60" t="s">
        <v>267</v>
      </c>
      <c r="CM60" t="s">
        <v>193</v>
      </c>
      <c r="CN60" t="s">
        <v>194</v>
      </c>
      <c r="CO60" t="s">
        <v>154</v>
      </c>
      <c r="CP60" t="s">
        <v>195</v>
      </c>
      <c r="CQ60" t="s">
        <v>196</v>
      </c>
      <c r="CR60" t="s">
        <v>154</v>
      </c>
      <c r="CS60" t="s">
        <v>197</v>
      </c>
      <c r="CT60" t="s">
        <v>198</v>
      </c>
      <c r="CU60" t="s">
        <v>199</v>
      </c>
      <c r="CV60" t="s">
        <v>151</v>
      </c>
      <c r="CW60" t="s">
        <v>1643</v>
      </c>
      <c r="CX60" t="s">
        <v>200</v>
      </c>
      <c r="CY60" t="s">
        <v>201</v>
      </c>
      <c r="CZ60" t="s">
        <v>202</v>
      </c>
      <c r="DA60" t="s">
        <v>203</v>
      </c>
      <c r="DB60" t="s">
        <v>204</v>
      </c>
      <c r="DC60" t="s">
        <v>205</v>
      </c>
    </row>
    <row r="61" spans="1:107" x14ac:dyDescent="0.45">
      <c r="A61" t="s">
        <v>1663</v>
      </c>
      <c r="B61" t="s">
        <v>1664</v>
      </c>
      <c r="C61" t="s">
        <v>139</v>
      </c>
      <c r="D61" t="s">
        <v>76</v>
      </c>
      <c r="E61" t="s">
        <v>140</v>
      </c>
      <c r="F61" t="s">
        <v>19</v>
      </c>
      <c r="G61" t="s">
        <v>1665</v>
      </c>
      <c r="H61" t="s">
        <v>19</v>
      </c>
      <c r="I61" t="s">
        <v>19</v>
      </c>
      <c r="J61">
        <v>-1.675294595945815E-2</v>
      </c>
      <c r="K61">
        <v>2.9050319999999994</v>
      </c>
      <c r="L61">
        <v>-1.6850118425507751E-2</v>
      </c>
      <c r="M61">
        <v>-0.18019007279435906</v>
      </c>
      <c r="N61" t="s">
        <v>1666</v>
      </c>
      <c r="O61" t="s">
        <v>1667</v>
      </c>
      <c r="P61">
        <v>2.6795104510408301</v>
      </c>
      <c r="Q61">
        <v>1.06452745104083</v>
      </c>
      <c r="R61" t="s">
        <v>1668</v>
      </c>
      <c r="S61" t="s">
        <v>1669</v>
      </c>
      <c r="T61">
        <v>26.347202075131072</v>
      </c>
      <c r="U61">
        <v>0.4417875</v>
      </c>
      <c r="V61" t="s">
        <v>146</v>
      </c>
      <c r="W61" t="s">
        <v>1670</v>
      </c>
      <c r="X61" t="s">
        <v>1671</v>
      </c>
      <c r="Y61" t="s">
        <v>1672</v>
      </c>
      <c r="Z61" t="s">
        <v>1673</v>
      </c>
      <c r="AA61" t="s">
        <v>151</v>
      </c>
      <c r="AB61" t="s">
        <v>151</v>
      </c>
      <c r="AC61" t="s">
        <v>151</v>
      </c>
      <c r="AD61" t="s">
        <v>152</v>
      </c>
      <c r="AE61" t="s">
        <v>153</v>
      </c>
      <c r="AF61">
        <v>0</v>
      </c>
      <c r="AG61" t="s">
        <v>154</v>
      </c>
      <c r="AH61" t="s">
        <v>1674</v>
      </c>
      <c r="AI61" t="s">
        <v>1675</v>
      </c>
      <c r="AJ61" t="s">
        <v>1676</v>
      </c>
      <c r="AK61" t="s">
        <v>1376</v>
      </c>
      <c r="AL61">
        <v>22.16</v>
      </c>
      <c r="AM61" t="s">
        <v>928</v>
      </c>
      <c r="AN61" t="s">
        <v>160</v>
      </c>
      <c r="AO61" t="s">
        <v>1677</v>
      </c>
      <c r="AP61" t="s">
        <v>1678</v>
      </c>
      <c r="AQ61" t="s">
        <v>137</v>
      </c>
      <c r="AR61" t="s">
        <v>1653</v>
      </c>
      <c r="AS61" t="s">
        <v>876</v>
      </c>
      <c r="AT61" t="s">
        <v>139</v>
      </c>
      <c r="AU61" t="s">
        <v>877</v>
      </c>
      <c r="AV61" t="s">
        <v>137</v>
      </c>
      <c r="AW61" t="s">
        <v>954</v>
      </c>
      <c r="AX61" t="s">
        <v>464</v>
      </c>
      <c r="AY61" t="s">
        <v>169</v>
      </c>
      <c r="AZ61" t="s">
        <v>1679</v>
      </c>
      <c r="BA61" t="s">
        <v>578</v>
      </c>
      <c r="BB61" t="s">
        <v>169</v>
      </c>
      <c r="BC61" t="s">
        <v>137</v>
      </c>
      <c r="BD61" t="s">
        <v>172</v>
      </c>
      <c r="BE61" t="s">
        <v>169</v>
      </c>
      <c r="BF61" t="s">
        <v>173</v>
      </c>
      <c r="BG61" t="s">
        <v>174</v>
      </c>
      <c r="BH61" t="s">
        <v>151</v>
      </c>
      <c r="BI61" t="s">
        <v>175</v>
      </c>
      <c r="BJ61" t="s">
        <v>151</v>
      </c>
      <c r="BK61" t="s">
        <v>151</v>
      </c>
      <c r="BL61" t="s">
        <v>176</v>
      </c>
      <c r="BM61" t="s">
        <v>177</v>
      </c>
      <c r="BN61" t="s">
        <v>137</v>
      </c>
      <c r="BO61" t="s">
        <v>178</v>
      </c>
      <c r="BP61" t="s">
        <v>179</v>
      </c>
      <c r="BQ61" t="s">
        <v>180</v>
      </c>
      <c r="BR61" t="s">
        <v>154</v>
      </c>
      <c r="BS61" t="s">
        <v>181</v>
      </c>
      <c r="BT61" t="s">
        <v>182</v>
      </c>
      <c r="BU61" t="s">
        <v>182</v>
      </c>
      <c r="BV61" t="s">
        <v>182</v>
      </c>
      <c r="BW61" t="s">
        <v>151</v>
      </c>
      <c r="BX61" t="s">
        <v>183</v>
      </c>
      <c r="BY61" t="s">
        <v>151</v>
      </c>
      <c r="BZ61" t="s">
        <v>151</v>
      </c>
      <c r="CA61" t="s">
        <v>151</v>
      </c>
      <c r="CB61" t="s">
        <v>151</v>
      </c>
      <c r="CC61" t="s">
        <v>1680</v>
      </c>
      <c r="CD61" t="s">
        <v>1681</v>
      </c>
      <c r="CE61" t="s">
        <v>1682</v>
      </c>
      <c r="CF61" t="s">
        <v>1683</v>
      </c>
      <c r="CG61" t="s">
        <v>1684</v>
      </c>
      <c r="CH61" t="s">
        <v>1685</v>
      </c>
      <c r="CI61" t="s">
        <v>1686</v>
      </c>
      <c r="CJ61" t="s">
        <v>1687</v>
      </c>
      <c r="CK61" t="s">
        <v>1671</v>
      </c>
      <c r="CL61" t="s">
        <v>1688</v>
      </c>
      <c r="CM61" t="s">
        <v>193</v>
      </c>
      <c r="CN61" t="s">
        <v>194</v>
      </c>
      <c r="CO61" t="s">
        <v>154</v>
      </c>
      <c r="CP61" t="s">
        <v>195</v>
      </c>
      <c r="CQ61" t="s">
        <v>196</v>
      </c>
      <c r="CR61" t="s">
        <v>154</v>
      </c>
      <c r="CS61" t="s">
        <v>197</v>
      </c>
      <c r="CT61" t="s">
        <v>198</v>
      </c>
      <c r="CU61" t="s">
        <v>199</v>
      </c>
      <c r="CV61" t="s">
        <v>151</v>
      </c>
      <c r="CW61" t="s">
        <v>1670</v>
      </c>
      <c r="CX61" t="s">
        <v>200</v>
      </c>
      <c r="CY61" t="s">
        <v>201</v>
      </c>
      <c r="CZ61" t="s">
        <v>202</v>
      </c>
      <c r="DA61" t="s">
        <v>203</v>
      </c>
      <c r="DB61" t="s">
        <v>204</v>
      </c>
      <c r="DC61" t="s">
        <v>205</v>
      </c>
    </row>
    <row r="62" spans="1:107" x14ac:dyDescent="0.45">
      <c r="A62" t="s">
        <v>1689</v>
      </c>
      <c r="B62" t="s">
        <v>1690</v>
      </c>
      <c r="C62" t="s">
        <v>139</v>
      </c>
      <c r="D62" t="s">
        <v>76</v>
      </c>
      <c r="E62" t="s">
        <v>140</v>
      </c>
      <c r="F62" t="s">
        <v>19</v>
      </c>
      <c r="G62" t="s">
        <v>1691</v>
      </c>
      <c r="H62" t="s">
        <v>19</v>
      </c>
      <c r="I62" t="s">
        <v>19</v>
      </c>
      <c r="J62">
        <v>-1.8632842126369002E-2</v>
      </c>
      <c r="K62">
        <v>2.9034264800000003</v>
      </c>
      <c r="L62">
        <v>-1.875319139542871E-2</v>
      </c>
      <c r="M62">
        <v>-0.20011953740655053</v>
      </c>
      <c r="N62" t="s">
        <v>1692</v>
      </c>
      <c r="O62" t="s">
        <v>1693</v>
      </c>
      <c r="P62">
        <v>2.6860460962470651</v>
      </c>
      <c r="Q62">
        <v>1.0622480962470651</v>
      </c>
      <c r="R62" t="s">
        <v>1694</v>
      </c>
      <c r="S62" t="s">
        <v>1695</v>
      </c>
      <c r="T62">
        <v>26.411466039794149</v>
      </c>
      <c r="U62">
        <v>0.4417875</v>
      </c>
      <c r="V62" t="s">
        <v>146</v>
      </c>
      <c r="W62" t="s">
        <v>1696</v>
      </c>
      <c r="X62" t="s">
        <v>1697</v>
      </c>
      <c r="Y62" t="s">
        <v>1698</v>
      </c>
      <c r="Z62" t="s">
        <v>1699</v>
      </c>
      <c r="AA62" t="s">
        <v>151</v>
      </c>
      <c r="AB62" t="s">
        <v>151</v>
      </c>
      <c r="AC62" t="s">
        <v>151</v>
      </c>
      <c r="AD62" t="s">
        <v>152</v>
      </c>
      <c r="AE62" t="s">
        <v>153</v>
      </c>
      <c r="AF62">
        <v>0</v>
      </c>
      <c r="AG62" t="s">
        <v>154</v>
      </c>
      <c r="AH62" t="s">
        <v>1700</v>
      </c>
      <c r="AI62" t="s">
        <v>1147</v>
      </c>
      <c r="AJ62" t="s">
        <v>1676</v>
      </c>
      <c r="AK62" t="s">
        <v>1701</v>
      </c>
      <c r="AL62">
        <v>22.2</v>
      </c>
      <c r="AM62" t="s">
        <v>928</v>
      </c>
      <c r="AN62" t="s">
        <v>222</v>
      </c>
      <c r="AO62" t="s">
        <v>1702</v>
      </c>
      <c r="AP62" t="s">
        <v>1703</v>
      </c>
      <c r="AQ62" t="s">
        <v>163</v>
      </c>
      <c r="AR62" t="s">
        <v>1653</v>
      </c>
      <c r="AS62" t="s">
        <v>876</v>
      </c>
      <c r="AT62" t="s">
        <v>139</v>
      </c>
      <c r="AU62" t="s">
        <v>877</v>
      </c>
      <c r="AV62" t="s">
        <v>137</v>
      </c>
      <c r="AW62" t="s">
        <v>954</v>
      </c>
      <c r="AX62" t="s">
        <v>225</v>
      </c>
      <c r="AY62" t="s">
        <v>169</v>
      </c>
      <c r="AZ62" t="s">
        <v>1704</v>
      </c>
      <c r="BA62" t="s">
        <v>1705</v>
      </c>
      <c r="BB62" t="s">
        <v>169</v>
      </c>
      <c r="BC62" t="s">
        <v>137</v>
      </c>
      <c r="BD62" t="s">
        <v>172</v>
      </c>
      <c r="BE62" t="s">
        <v>169</v>
      </c>
      <c r="BF62" t="s">
        <v>173</v>
      </c>
      <c r="BG62" t="s">
        <v>174</v>
      </c>
      <c r="BH62" t="s">
        <v>151</v>
      </c>
      <c r="BI62" t="s">
        <v>175</v>
      </c>
      <c r="BJ62" t="s">
        <v>151</v>
      </c>
      <c r="BK62" t="s">
        <v>151</v>
      </c>
      <c r="BL62" t="s">
        <v>176</v>
      </c>
      <c r="BM62" t="s">
        <v>177</v>
      </c>
      <c r="BN62" t="s">
        <v>137</v>
      </c>
      <c r="BO62" t="s">
        <v>178</v>
      </c>
      <c r="BP62" t="s">
        <v>179</v>
      </c>
      <c r="BQ62" t="s">
        <v>180</v>
      </c>
      <c r="BR62" t="s">
        <v>154</v>
      </c>
      <c r="BS62" t="s">
        <v>181</v>
      </c>
      <c r="BT62" t="s">
        <v>182</v>
      </c>
      <c r="BU62" t="s">
        <v>182</v>
      </c>
      <c r="BV62" t="s">
        <v>182</v>
      </c>
      <c r="BW62" t="s">
        <v>151</v>
      </c>
      <c r="BX62" t="s">
        <v>183</v>
      </c>
      <c r="BY62" t="s">
        <v>151</v>
      </c>
      <c r="BZ62" t="s">
        <v>151</v>
      </c>
      <c r="CA62" t="s">
        <v>151</v>
      </c>
      <c r="CB62" t="s">
        <v>151</v>
      </c>
      <c r="CC62" t="s">
        <v>1706</v>
      </c>
      <c r="CD62" t="s">
        <v>1707</v>
      </c>
      <c r="CE62" t="s">
        <v>1708</v>
      </c>
      <c r="CF62" t="s">
        <v>1709</v>
      </c>
      <c r="CG62" t="s">
        <v>1710</v>
      </c>
      <c r="CH62" t="s">
        <v>1711</v>
      </c>
      <c r="CI62" t="s">
        <v>1712</v>
      </c>
      <c r="CJ62" t="s">
        <v>559</v>
      </c>
      <c r="CK62" t="s">
        <v>1697</v>
      </c>
      <c r="CL62" t="s">
        <v>1062</v>
      </c>
      <c r="CM62" t="s">
        <v>193</v>
      </c>
      <c r="CN62" t="s">
        <v>194</v>
      </c>
      <c r="CO62" t="s">
        <v>154</v>
      </c>
      <c r="CP62" t="s">
        <v>195</v>
      </c>
      <c r="CQ62" t="s">
        <v>196</v>
      </c>
      <c r="CR62" t="s">
        <v>154</v>
      </c>
      <c r="CS62" t="s">
        <v>197</v>
      </c>
      <c r="CT62" t="s">
        <v>198</v>
      </c>
      <c r="CU62" t="s">
        <v>199</v>
      </c>
      <c r="CV62" t="s">
        <v>151</v>
      </c>
      <c r="CW62" t="s">
        <v>1696</v>
      </c>
      <c r="CX62" t="s">
        <v>200</v>
      </c>
      <c r="CY62" t="s">
        <v>201</v>
      </c>
      <c r="CZ62" t="s">
        <v>202</v>
      </c>
      <c r="DA62" t="s">
        <v>203</v>
      </c>
      <c r="DB62" t="s">
        <v>204</v>
      </c>
      <c r="DC62" t="s">
        <v>205</v>
      </c>
    </row>
    <row r="63" spans="1:107" x14ac:dyDescent="0.45">
      <c r="A63" t="s">
        <v>1713</v>
      </c>
      <c r="B63" t="s">
        <v>1714</v>
      </c>
      <c r="C63" t="s">
        <v>139</v>
      </c>
      <c r="D63" t="s">
        <v>76</v>
      </c>
      <c r="E63" t="s">
        <v>140</v>
      </c>
      <c r="F63" t="s">
        <v>19</v>
      </c>
      <c r="G63" t="s">
        <v>1715</v>
      </c>
      <c r="H63" t="s">
        <v>19</v>
      </c>
      <c r="I63" t="s">
        <v>19</v>
      </c>
      <c r="J63">
        <v>-1.4661138346011873E-2</v>
      </c>
      <c r="K63">
        <v>2.9066320800000001</v>
      </c>
      <c r="L63">
        <v>-1.4735464465443061E-2</v>
      </c>
      <c r="M63">
        <v>-0.15842384348656677</v>
      </c>
      <c r="N63" t="s">
        <v>1716</v>
      </c>
      <c r="O63" t="s">
        <v>1717</v>
      </c>
      <c r="P63">
        <v>2.699159254379266</v>
      </c>
      <c r="Q63">
        <v>1.070186254379266</v>
      </c>
      <c r="R63" t="s">
        <v>1718</v>
      </c>
      <c r="S63" t="s">
        <v>1719</v>
      </c>
      <c r="T63">
        <v>26.540405647780393</v>
      </c>
      <c r="U63">
        <v>0.4417875</v>
      </c>
      <c r="V63" t="s">
        <v>146</v>
      </c>
      <c r="W63" t="s">
        <v>1720</v>
      </c>
      <c r="X63" t="s">
        <v>1721</v>
      </c>
      <c r="Y63" t="s">
        <v>1722</v>
      </c>
      <c r="Z63" t="s">
        <v>1723</v>
      </c>
      <c r="AA63" t="s">
        <v>151</v>
      </c>
      <c r="AB63" t="s">
        <v>151</v>
      </c>
      <c r="AC63" t="s">
        <v>151</v>
      </c>
      <c r="AD63" t="s">
        <v>152</v>
      </c>
      <c r="AE63" t="s">
        <v>153</v>
      </c>
      <c r="AF63">
        <v>0</v>
      </c>
      <c r="AG63" t="s">
        <v>154</v>
      </c>
      <c r="AH63" t="s">
        <v>1724</v>
      </c>
      <c r="AI63" t="s">
        <v>1725</v>
      </c>
      <c r="AJ63" t="s">
        <v>1726</v>
      </c>
      <c r="AK63" t="s">
        <v>1727</v>
      </c>
      <c r="AL63">
        <v>22.28</v>
      </c>
      <c r="AM63" t="s">
        <v>928</v>
      </c>
      <c r="AN63" t="s">
        <v>401</v>
      </c>
      <c r="AO63" t="s">
        <v>1728</v>
      </c>
      <c r="AP63" t="s">
        <v>1729</v>
      </c>
      <c r="AQ63" t="s">
        <v>163</v>
      </c>
      <c r="AR63" t="s">
        <v>1730</v>
      </c>
      <c r="AS63" t="s">
        <v>876</v>
      </c>
      <c r="AT63" t="s">
        <v>139</v>
      </c>
      <c r="AU63" t="s">
        <v>877</v>
      </c>
      <c r="AV63" t="s">
        <v>137</v>
      </c>
      <c r="AW63" t="s">
        <v>317</v>
      </c>
      <c r="AX63" t="s">
        <v>351</v>
      </c>
      <c r="AY63" t="s">
        <v>169</v>
      </c>
      <c r="AZ63" t="s">
        <v>1731</v>
      </c>
      <c r="BA63" t="s">
        <v>1732</v>
      </c>
      <c r="BB63" t="s">
        <v>169</v>
      </c>
      <c r="BC63" t="s">
        <v>137</v>
      </c>
      <c r="BD63" t="s">
        <v>172</v>
      </c>
      <c r="BE63" t="s">
        <v>169</v>
      </c>
      <c r="BF63" t="s">
        <v>173</v>
      </c>
      <c r="BG63" t="s">
        <v>174</v>
      </c>
      <c r="BH63" t="s">
        <v>151</v>
      </c>
      <c r="BI63" t="s">
        <v>175</v>
      </c>
      <c r="BJ63" t="s">
        <v>151</v>
      </c>
      <c r="BK63" t="s">
        <v>151</v>
      </c>
      <c r="BL63" t="s">
        <v>176</v>
      </c>
      <c r="BM63" t="s">
        <v>177</v>
      </c>
      <c r="BN63" t="s">
        <v>137</v>
      </c>
      <c r="BO63" t="s">
        <v>178</v>
      </c>
      <c r="BP63" t="s">
        <v>179</v>
      </c>
      <c r="BQ63" t="s">
        <v>180</v>
      </c>
      <c r="BR63" t="s">
        <v>154</v>
      </c>
      <c r="BS63" t="s">
        <v>181</v>
      </c>
      <c r="BT63" t="s">
        <v>182</v>
      </c>
      <c r="BU63" t="s">
        <v>182</v>
      </c>
      <c r="BV63" t="s">
        <v>182</v>
      </c>
      <c r="BW63" t="s">
        <v>151</v>
      </c>
      <c r="BX63" t="s">
        <v>183</v>
      </c>
      <c r="BY63" t="s">
        <v>151</v>
      </c>
      <c r="BZ63" t="s">
        <v>151</v>
      </c>
      <c r="CA63" t="s">
        <v>151</v>
      </c>
      <c r="CB63" t="s">
        <v>151</v>
      </c>
      <c r="CC63" t="s">
        <v>1733</v>
      </c>
      <c r="CD63" t="s">
        <v>1734</v>
      </c>
      <c r="CE63" t="s">
        <v>1735</v>
      </c>
      <c r="CF63" t="s">
        <v>1736</v>
      </c>
      <c r="CG63" t="s">
        <v>1737</v>
      </c>
      <c r="CH63" t="s">
        <v>1738</v>
      </c>
      <c r="CI63" t="s">
        <v>1739</v>
      </c>
      <c r="CJ63" t="s">
        <v>1740</v>
      </c>
      <c r="CK63" t="s">
        <v>1721</v>
      </c>
      <c r="CL63" t="s">
        <v>329</v>
      </c>
      <c r="CM63" t="s">
        <v>193</v>
      </c>
      <c r="CN63" t="s">
        <v>194</v>
      </c>
      <c r="CO63" t="s">
        <v>154</v>
      </c>
      <c r="CP63" t="s">
        <v>195</v>
      </c>
      <c r="CQ63" t="s">
        <v>196</v>
      </c>
      <c r="CR63" t="s">
        <v>154</v>
      </c>
      <c r="CS63" t="s">
        <v>197</v>
      </c>
      <c r="CT63" t="s">
        <v>198</v>
      </c>
      <c r="CU63" t="s">
        <v>199</v>
      </c>
      <c r="CV63" t="s">
        <v>151</v>
      </c>
      <c r="CW63" t="s">
        <v>1720</v>
      </c>
      <c r="CX63" t="s">
        <v>200</v>
      </c>
      <c r="CY63" t="s">
        <v>201</v>
      </c>
      <c r="CZ63" t="s">
        <v>202</v>
      </c>
      <c r="DA63" t="s">
        <v>203</v>
      </c>
      <c r="DB63" t="s">
        <v>204</v>
      </c>
      <c r="DC63" t="s">
        <v>205</v>
      </c>
    </row>
    <row r="64" spans="1:107" x14ac:dyDescent="0.45">
      <c r="A64" t="s">
        <v>1741</v>
      </c>
      <c r="B64" t="s">
        <v>1742</v>
      </c>
      <c r="C64" t="s">
        <v>139</v>
      </c>
      <c r="D64" t="s">
        <v>76</v>
      </c>
      <c r="E64" t="s">
        <v>140</v>
      </c>
      <c r="F64" t="s">
        <v>19</v>
      </c>
      <c r="G64" t="s">
        <v>1743</v>
      </c>
      <c r="H64" t="s">
        <v>19</v>
      </c>
      <c r="I64" t="s">
        <v>19</v>
      </c>
      <c r="J64">
        <v>-3.3792958296633359E-3</v>
      </c>
      <c r="K64">
        <v>2.9066320800000001</v>
      </c>
      <c r="L64">
        <v>-3.3832292247733468E-3</v>
      </c>
      <c r="M64">
        <v>-3.6084722694991342E-2</v>
      </c>
      <c r="N64" t="s">
        <v>1744</v>
      </c>
      <c r="O64" t="s">
        <v>1745</v>
      </c>
      <c r="P64">
        <v>2.7057368177602843</v>
      </c>
      <c r="Q64">
        <v>1.0615708177602843</v>
      </c>
      <c r="R64" t="s">
        <v>1746</v>
      </c>
      <c r="S64" t="s">
        <v>1747</v>
      </c>
      <c r="T64">
        <v>26.605081787220101</v>
      </c>
      <c r="U64">
        <v>0.4417875</v>
      </c>
      <c r="V64" t="s">
        <v>146</v>
      </c>
      <c r="W64" t="s">
        <v>1748</v>
      </c>
      <c r="X64" t="s">
        <v>1749</v>
      </c>
      <c r="Y64" t="s">
        <v>1750</v>
      </c>
      <c r="Z64" t="s">
        <v>1751</v>
      </c>
      <c r="AA64" t="s">
        <v>151</v>
      </c>
      <c r="AB64" t="s">
        <v>151</v>
      </c>
      <c r="AC64" t="s">
        <v>151</v>
      </c>
      <c r="AD64" t="s">
        <v>152</v>
      </c>
      <c r="AE64" t="s">
        <v>153</v>
      </c>
      <c r="AF64">
        <v>0</v>
      </c>
      <c r="AG64" t="s">
        <v>154</v>
      </c>
      <c r="AH64" t="s">
        <v>1752</v>
      </c>
      <c r="AI64" t="s">
        <v>1753</v>
      </c>
      <c r="AJ64" t="s">
        <v>1754</v>
      </c>
      <c r="AK64" t="s">
        <v>1755</v>
      </c>
      <c r="AL64">
        <v>22.32</v>
      </c>
      <c r="AM64" t="s">
        <v>928</v>
      </c>
      <c r="AN64" t="s">
        <v>401</v>
      </c>
      <c r="AO64" t="s">
        <v>1756</v>
      </c>
      <c r="AP64" t="s">
        <v>1757</v>
      </c>
      <c r="AQ64" t="s">
        <v>163</v>
      </c>
      <c r="AR64" t="s">
        <v>1730</v>
      </c>
      <c r="AS64" t="s">
        <v>1758</v>
      </c>
      <c r="AT64" t="s">
        <v>139</v>
      </c>
      <c r="AU64" t="s">
        <v>1759</v>
      </c>
      <c r="AV64" t="s">
        <v>137</v>
      </c>
      <c r="AW64" t="s">
        <v>494</v>
      </c>
      <c r="AX64" t="s">
        <v>821</v>
      </c>
      <c r="AY64" t="s">
        <v>169</v>
      </c>
      <c r="AZ64" t="s">
        <v>496</v>
      </c>
      <c r="BA64" t="s">
        <v>1760</v>
      </c>
      <c r="BB64" t="s">
        <v>169</v>
      </c>
      <c r="BC64" t="s">
        <v>137</v>
      </c>
      <c r="BD64" t="s">
        <v>172</v>
      </c>
      <c r="BE64" t="s">
        <v>169</v>
      </c>
      <c r="BF64" t="s">
        <v>173</v>
      </c>
      <c r="BG64" t="s">
        <v>174</v>
      </c>
      <c r="BH64" t="s">
        <v>151</v>
      </c>
      <c r="BI64" t="s">
        <v>175</v>
      </c>
      <c r="BJ64" t="s">
        <v>151</v>
      </c>
      <c r="BK64" t="s">
        <v>151</v>
      </c>
      <c r="BL64" t="s">
        <v>176</v>
      </c>
      <c r="BM64" t="s">
        <v>177</v>
      </c>
      <c r="BN64" t="s">
        <v>137</v>
      </c>
      <c r="BO64" t="s">
        <v>178</v>
      </c>
      <c r="BP64" t="s">
        <v>179</v>
      </c>
      <c r="BQ64" t="s">
        <v>180</v>
      </c>
      <c r="BR64" t="s">
        <v>154</v>
      </c>
      <c r="BS64" t="s">
        <v>181</v>
      </c>
      <c r="BT64" t="s">
        <v>182</v>
      </c>
      <c r="BU64" t="s">
        <v>182</v>
      </c>
      <c r="BV64" t="s">
        <v>182</v>
      </c>
      <c r="BW64" t="s">
        <v>151</v>
      </c>
      <c r="BX64" t="s">
        <v>183</v>
      </c>
      <c r="BY64" t="s">
        <v>151</v>
      </c>
      <c r="BZ64" t="s">
        <v>151</v>
      </c>
      <c r="CA64" t="s">
        <v>151</v>
      </c>
      <c r="CB64" t="s">
        <v>151</v>
      </c>
      <c r="CC64" t="s">
        <v>1761</v>
      </c>
      <c r="CD64" t="s">
        <v>1762</v>
      </c>
      <c r="CE64" t="s">
        <v>1763</v>
      </c>
      <c r="CF64" t="s">
        <v>1764</v>
      </c>
      <c r="CG64" t="s">
        <v>1765</v>
      </c>
      <c r="CH64" t="s">
        <v>1766</v>
      </c>
      <c r="CI64" t="s">
        <v>1767</v>
      </c>
      <c r="CJ64" t="s">
        <v>328</v>
      </c>
      <c r="CK64" t="s">
        <v>1749</v>
      </c>
      <c r="CL64" t="s">
        <v>475</v>
      </c>
      <c r="CM64" t="s">
        <v>193</v>
      </c>
      <c r="CN64" t="s">
        <v>194</v>
      </c>
      <c r="CO64" t="s">
        <v>154</v>
      </c>
      <c r="CP64" t="s">
        <v>195</v>
      </c>
      <c r="CQ64" t="s">
        <v>196</v>
      </c>
      <c r="CR64" t="s">
        <v>154</v>
      </c>
      <c r="CS64" t="s">
        <v>197</v>
      </c>
      <c r="CT64" t="s">
        <v>198</v>
      </c>
      <c r="CU64" t="s">
        <v>199</v>
      </c>
      <c r="CV64" t="s">
        <v>151</v>
      </c>
      <c r="CW64" t="s">
        <v>1748</v>
      </c>
      <c r="CX64" t="s">
        <v>200</v>
      </c>
      <c r="CY64" t="s">
        <v>201</v>
      </c>
      <c r="CZ64" t="s">
        <v>202</v>
      </c>
      <c r="DA64" t="s">
        <v>203</v>
      </c>
      <c r="DB64" t="s">
        <v>204</v>
      </c>
      <c r="DC64" t="s">
        <v>205</v>
      </c>
    </row>
    <row r="65" spans="1:107" x14ac:dyDescent="0.45">
      <c r="A65" t="s">
        <v>1768</v>
      </c>
      <c r="B65" t="s">
        <v>1769</v>
      </c>
      <c r="C65" t="s">
        <v>139</v>
      </c>
      <c r="D65" t="s">
        <v>76</v>
      </c>
      <c r="E65" t="s">
        <v>140</v>
      </c>
      <c r="F65" t="s">
        <v>19</v>
      </c>
      <c r="G65" t="s">
        <v>1770</v>
      </c>
      <c r="H65" t="s">
        <v>19</v>
      </c>
      <c r="I65" t="s">
        <v>19</v>
      </c>
      <c r="J65">
        <v>-2.0432721481348937E-3</v>
      </c>
      <c r="K65">
        <v>2.9050319999999994</v>
      </c>
      <c r="L65">
        <v>-2.0447103077223866E-3</v>
      </c>
      <c r="M65">
        <v>-2.2665530492349595E-2</v>
      </c>
      <c r="N65" t="s">
        <v>1771</v>
      </c>
      <c r="O65" t="s">
        <v>1772</v>
      </c>
      <c r="P65">
        <v>2.7008023319289429</v>
      </c>
      <c r="Q65">
        <v>1.103451331928943</v>
      </c>
      <c r="R65" t="s">
        <v>1773</v>
      </c>
      <c r="S65" t="s">
        <v>1774</v>
      </c>
      <c r="T65">
        <v>26.556561769212809</v>
      </c>
      <c r="U65">
        <v>0.4417875</v>
      </c>
      <c r="V65" t="s">
        <v>146</v>
      </c>
      <c r="W65" t="s">
        <v>1775</v>
      </c>
      <c r="X65" t="s">
        <v>1776</v>
      </c>
      <c r="Y65" t="s">
        <v>1777</v>
      </c>
      <c r="Z65" t="s">
        <v>1778</v>
      </c>
      <c r="AA65" t="s">
        <v>151</v>
      </c>
      <c r="AB65" t="s">
        <v>151</v>
      </c>
      <c r="AC65" t="s">
        <v>151</v>
      </c>
      <c r="AD65" t="s">
        <v>152</v>
      </c>
      <c r="AE65" t="s">
        <v>153</v>
      </c>
      <c r="AF65">
        <v>0</v>
      </c>
      <c r="AG65" t="s">
        <v>154</v>
      </c>
      <c r="AH65" t="s">
        <v>1779</v>
      </c>
      <c r="AI65" t="s">
        <v>815</v>
      </c>
      <c r="AJ65" t="s">
        <v>1780</v>
      </c>
      <c r="AK65" t="s">
        <v>1529</v>
      </c>
      <c r="AL65">
        <v>22.29</v>
      </c>
      <c r="AM65" t="s">
        <v>928</v>
      </c>
      <c r="AN65" t="s">
        <v>160</v>
      </c>
      <c r="AO65" t="s">
        <v>1781</v>
      </c>
      <c r="AP65" t="s">
        <v>1757</v>
      </c>
      <c r="AQ65" t="s">
        <v>163</v>
      </c>
      <c r="AR65" t="s">
        <v>1782</v>
      </c>
      <c r="AS65" t="s">
        <v>1758</v>
      </c>
      <c r="AT65" t="s">
        <v>139</v>
      </c>
      <c r="AU65" t="s">
        <v>1759</v>
      </c>
      <c r="AV65" t="s">
        <v>137</v>
      </c>
      <c r="AW65" t="s">
        <v>1379</v>
      </c>
      <c r="AX65" t="s">
        <v>1052</v>
      </c>
      <c r="AY65" t="s">
        <v>169</v>
      </c>
      <c r="AZ65" t="s">
        <v>1783</v>
      </c>
      <c r="BA65" t="s">
        <v>1784</v>
      </c>
      <c r="BB65" t="s">
        <v>169</v>
      </c>
      <c r="BC65" t="s">
        <v>137</v>
      </c>
      <c r="BD65" t="s">
        <v>172</v>
      </c>
      <c r="BE65" t="s">
        <v>169</v>
      </c>
      <c r="BF65" t="s">
        <v>173</v>
      </c>
      <c r="BG65" t="s">
        <v>174</v>
      </c>
      <c r="BH65" t="s">
        <v>151</v>
      </c>
      <c r="BI65" t="s">
        <v>175</v>
      </c>
      <c r="BJ65" t="s">
        <v>151</v>
      </c>
      <c r="BK65" t="s">
        <v>151</v>
      </c>
      <c r="BL65" t="s">
        <v>176</v>
      </c>
      <c r="BM65" t="s">
        <v>177</v>
      </c>
      <c r="BN65" t="s">
        <v>137</v>
      </c>
      <c r="BO65" t="s">
        <v>178</v>
      </c>
      <c r="BP65" t="s">
        <v>179</v>
      </c>
      <c r="BQ65" t="s">
        <v>180</v>
      </c>
      <c r="BR65" t="s">
        <v>154</v>
      </c>
      <c r="BS65" t="s">
        <v>181</v>
      </c>
      <c r="BT65" t="s">
        <v>182</v>
      </c>
      <c r="BU65" t="s">
        <v>182</v>
      </c>
      <c r="BV65" t="s">
        <v>182</v>
      </c>
      <c r="BW65" t="s">
        <v>151</v>
      </c>
      <c r="BX65" t="s">
        <v>183</v>
      </c>
      <c r="BY65" t="s">
        <v>151</v>
      </c>
      <c r="BZ65" t="s">
        <v>151</v>
      </c>
      <c r="CA65" t="s">
        <v>151</v>
      </c>
      <c r="CB65" t="s">
        <v>151</v>
      </c>
      <c r="CC65" t="s">
        <v>1785</v>
      </c>
      <c r="CD65" t="s">
        <v>1786</v>
      </c>
      <c r="CE65" t="s">
        <v>1787</v>
      </c>
      <c r="CF65" t="s">
        <v>1788</v>
      </c>
      <c r="CG65" t="s">
        <v>1789</v>
      </c>
      <c r="CH65" t="s">
        <v>1790</v>
      </c>
      <c r="CI65" t="s">
        <v>1791</v>
      </c>
      <c r="CJ65" t="s">
        <v>328</v>
      </c>
      <c r="CK65" t="s">
        <v>1776</v>
      </c>
      <c r="CL65" t="s">
        <v>833</v>
      </c>
      <c r="CM65" t="s">
        <v>193</v>
      </c>
      <c r="CN65" t="s">
        <v>194</v>
      </c>
      <c r="CO65" t="s">
        <v>154</v>
      </c>
      <c r="CP65" t="s">
        <v>195</v>
      </c>
      <c r="CQ65" t="s">
        <v>196</v>
      </c>
      <c r="CR65" t="s">
        <v>154</v>
      </c>
      <c r="CS65" t="s">
        <v>197</v>
      </c>
      <c r="CT65" t="s">
        <v>198</v>
      </c>
      <c r="CU65" t="s">
        <v>199</v>
      </c>
      <c r="CV65" t="s">
        <v>151</v>
      </c>
      <c r="CW65" t="s">
        <v>1775</v>
      </c>
      <c r="CX65" t="s">
        <v>200</v>
      </c>
      <c r="CY65" t="s">
        <v>201</v>
      </c>
      <c r="CZ65" t="s">
        <v>202</v>
      </c>
      <c r="DA65" t="s">
        <v>203</v>
      </c>
      <c r="DB65" t="s">
        <v>204</v>
      </c>
      <c r="DC65" t="s">
        <v>205</v>
      </c>
    </row>
    <row r="66" spans="1:107" x14ac:dyDescent="0.45">
      <c r="A66" t="s">
        <v>1792</v>
      </c>
      <c r="B66" t="s">
        <v>1793</v>
      </c>
      <c r="C66" t="s">
        <v>139</v>
      </c>
      <c r="D66" t="s">
        <v>76</v>
      </c>
      <c r="E66" t="s">
        <v>140</v>
      </c>
      <c r="F66" t="s">
        <v>19</v>
      </c>
      <c r="G66" t="s">
        <v>1794</v>
      </c>
      <c r="H66" t="s">
        <v>19</v>
      </c>
      <c r="I66" t="s">
        <v>19</v>
      </c>
      <c r="J66">
        <v>2.6482952957047642E-3</v>
      </c>
      <c r="K66">
        <v>2.9042299199999997</v>
      </c>
      <c r="L66">
        <v>2.6458825809455603E-3</v>
      </c>
      <c r="M66">
        <v>2.865015859509315E-2</v>
      </c>
      <c r="N66" t="s">
        <v>1795</v>
      </c>
      <c r="O66" t="s">
        <v>1796</v>
      </c>
      <c r="P66">
        <v>2.6795104510408301</v>
      </c>
      <c r="Q66">
        <v>1.0780194510408301</v>
      </c>
      <c r="R66" t="s">
        <v>1797</v>
      </c>
      <c r="S66" t="s">
        <v>1798</v>
      </c>
      <c r="T66">
        <v>26.347202075131072</v>
      </c>
      <c r="U66">
        <v>0.4417875</v>
      </c>
      <c r="V66" t="s">
        <v>146</v>
      </c>
      <c r="W66" t="s">
        <v>1799</v>
      </c>
      <c r="X66" t="s">
        <v>1800</v>
      </c>
      <c r="Y66" t="s">
        <v>1801</v>
      </c>
      <c r="Z66" t="s">
        <v>1802</v>
      </c>
      <c r="AA66" t="s">
        <v>151</v>
      </c>
      <c r="AB66" t="s">
        <v>151</v>
      </c>
      <c r="AC66" t="s">
        <v>151</v>
      </c>
      <c r="AD66" t="s">
        <v>152</v>
      </c>
      <c r="AE66" t="s">
        <v>153</v>
      </c>
      <c r="AF66">
        <v>0</v>
      </c>
      <c r="AG66" t="s">
        <v>154</v>
      </c>
      <c r="AH66" t="s">
        <v>1803</v>
      </c>
      <c r="AI66" t="s">
        <v>1804</v>
      </c>
      <c r="AJ66" t="s">
        <v>1805</v>
      </c>
      <c r="AK66" t="s">
        <v>1376</v>
      </c>
      <c r="AL66">
        <v>22.16</v>
      </c>
      <c r="AM66" t="s">
        <v>928</v>
      </c>
      <c r="AN66" t="s">
        <v>284</v>
      </c>
      <c r="AO66" t="s">
        <v>1806</v>
      </c>
      <c r="AP66" t="s">
        <v>347</v>
      </c>
      <c r="AQ66" t="s">
        <v>163</v>
      </c>
      <c r="AR66" t="s">
        <v>1730</v>
      </c>
      <c r="AS66" t="s">
        <v>1758</v>
      </c>
      <c r="AT66" t="s">
        <v>139</v>
      </c>
      <c r="AU66" t="s">
        <v>1759</v>
      </c>
      <c r="AV66" t="s">
        <v>137</v>
      </c>
      <c r="AW66" t="s">
        <v>1379</v>
      </c>
      <c r="AX66" t="s">
        <v>905</v>
      </c>
      <c r="AY66" t="s">
        <v>169</v>
      </c>
      <c r="AZ66" t="s">
        <v>1807</v>
      </c>
      <c r="BA66" t="s">
        <v>1808</v>
      </c>
      <c r="BB66" t="s">
        <v>169</v>
      </c>
      <c r="BC66" t="s">
        <v>137</v>
      </c>
      <c r="BD66" t="s">
        <v>172</v>
      </c>
      <c r="BE66" t="s">
        <v>169</v>
      </c>
      <c r="BF66" t="s">
        <v>173</v>
      </c>
      <c r="BG66" t="s">
        <v>174</v>
      </c>
      <c r="BH66" t="s">
        <v>151</v>
      </c>
      <c r="BI66" t="s">
        <v>175</v>
      </c>
      <c r="BJ66" t="s">
        <v>151</v>
      </c>
      <c r="BK66" t="s">
        <v>151</v>
      </c>
      <c r="BL66" t="s">
        <v>176</v>
      </c>
      <c r="BM66" t="s">
        <v>177</v>
      </c>
      <c r="BN66" t="s">
        <v>137</v>
      </c>
      <c r="BO66" t="s">
        <v>178</v>
      </c>
      <c r="BP66" t="s">
        <v>179</v>
      </c>
      <c r="BQ66" t="s">
        <v>180</v>
      </c>
      <c r="BR66" t="s">
        <v>154</v>
      </c>
      <c r="BS66" t="s">
        <v>181</v>
      </c>
      <c r="BT66" t="s">
        <v>182</v>
      </c>
      <c r="BU66" t="s">
        <v>182</v>
      </c>
      <c r="BV66" t="s">
        <v>182</v>
      </c>
      <c r="BW66" t="s">
        <v>151</v>
      </c>
      <c r="BX66" t="s">
        <v>183</v>
      </c>
      <c r="BY66" t="s">
        <v>151</v>
      </c>
      <c r="BZ66" t="s">
        <v>151</v>
      </c>
      <c r="CA66" t="s">
        <v>151</v>
      </c>
      <c r="CB66" t="s">
        <v>151</v>
      </c>
      <c r="CC66" t="s">
        <v>1809</v>
      </c>
      <c r="CD66" t="s">
        <v>1810</v>
      </c>
      <c r="CE66" t="s">
        <v>1811</v>
      </c>
      <c r="CF66" t="s">
        <v>1812</v>
      </c>
      <c r="CG66" t="s">
        <v>1813</v>
      </c>
      <c r="CH66" t="s">
        <v>1814</v>
      </c>
      <c r="CI66" t="s">
        <v>1815</v>
      </c>
      <c r="CJ66" t="s">
        <v>266</v>
      </c>
      <c r="CK66" t="s">
        <v>1800</v>
      </c>
      <c r="CL66" t="s">
        <v>1610</v>
      </c>
      <c r="CM66" t="s">
        <v>193</v>
      </c>
      <c r="CN66" t="s">
        <v>194</v>
      </c>
      <c r="CO66" t="s">
        <v>154</v>
      </c>
      <c r="CP66" t="s">
        <v>195</v>
      </c>
      <c r="CQ66" t="s">
        <v>196</v>
      </c>
      <c r="CR66" t="s">
        <v>154</v>
      </c>
      <c r="CS66" t="s">
        <v>197</v>
      </c>
      <c r="CT66" t="s">
        <v>198</v>
      </c>
      <c r="CU66" t="s">
        <v>199</v>
      </c>
      <c r="CV66" t="s">
        <v>151</v>
      </c>
      <c r="CW66" t="s">
        <v>1799</v>
      </c>
      <c r="CX66" t="s">
        <v>200</v>
      </c>
      <c r="CY66" t="s">
        <v>201</v>
      </c>
      <c r="CZ66" t="s">
        <v>202</v>
      </c>
      <c r="DA66" t="s">
        <v>203</v>
      </c>
      <c r="DB66" t="s">
        <v>204</v>
      </c>
      <c r="DC66" t="s">
        <v>205</v>
      </c>
    </row>
    <row r="67" spans="1:107" x14ac:dyDescent="0.45">
      <c r="A67" t="s">
        <v>1816</v>
      </c>
      <c r="B67" t="s">
        <v>1817</v>
      </c>
      <c r="C67" t="s">
        <v>139</v>
      </c>
      <c r="D67" t="s">
        <v>76</v>
      </c>
      <c r="E67" t="s">
        <v>140</v>
      </c>
      <c r="F67" t="s">
        <v>19</v>
      </c>
      <c r="G67" t="s">
        <v>1818</v>
      </c>
      <c r="H67" t="s">
        <v>19</v>
      </c>
      <c r="I67" t="s">
        <v>19</v>
      </c>
      <c r="J67">
        <v>-4.4883583331916076E-3</v>
      </c>
      <c r="K67">
        <v>2.9050319999999994</v>
      </c>
      <c r="L67">
        <v>-4.4953037072372653E-3</v>
      </c>
      <c r="M67">
        <v>-4.8777514477863333E-2</v>
      </c>
      <c r="N67" t="s">
        <v>1819</v>
      </c>
      <c r="O67" t="s">
        <v>1820</v>
      </c>
      <c r="P67">
        <v>2.6975170517018197</v>
      </c>
      <c r="Q67">
        <v>1.0802780517018196</v>
      </c>
      <c r="R67" t="s">
        <v>1821</v>
      </c>
      <c r="S67" t="s">
        <v>1822</v>
      </c>
      <c r="T67">
        <v>26.521650296940514</v>
      </c>
      <c r="U67">
        <v>0.4417875</v>
      </c>
      <c r="V67" t="s">
        <v>146</v>
      </c>
      <c r="W67" t="s">
        <v>1823</v>
      </c>
      <c r="X67" t="s">
        <v>1824</v>
      </c>
      <c r="Y67" t="s">
        <v>1825</v>
      </c>
      <c r="Z67" t="s">
        <v>1826</v>
      </c>
      <c r="AA67" t="s">
        <v>151</v>
      </c>
      <c r="AB67" t="s">
        <v>151</v>
      </c>
      <c r="AC67" t="s">
        <v>151</v>
      </c>
      <c r="AD67" t="s">
        <v>152</v>
      </c>
      <c r="AE67" t="s">
        <v>153</v>
      </c>
      <c r="AF67">
        <v>0</v>
      </c>
      <c r="AG67" t="s">
        <v>154</v>
      </c>
      <c r="AH67" t="s">
        <v>1827</v>
      </c>
      <c r="AI67" t="s">
        <v>1828</v>
      </c>
      <c r="AJ67" t="s">
        <v>1805</v>
      </c>
      <c r="AK67" t="s">
        <v>1829</v>
      </c>
      <c r="AL67">
        <v>22.27</v>
      </c>
      <c r="AM67" t="s">
        <v>1503</v>
      </c>
      <c r="AN67" t="s">
        <v>160</v>
      </c>
      <c r="AO67" t="s">
        <v>1830</v>
      </c>
      <c r="AP67" t="s">
        <v>1831</v>
      </c>
      <c r="AQ67" t="s">
        <v>163</v>
      </c>
      <c r="AR67" t="s">
        <v>1730</v>
      </c>
      <c r="AS67" t="s">
        <v>1758</v>
      </c>
      <c r="AT67" t="s">
        <v>139</v>
      </c>
      <c r="AU67" t="s">
        <v>1759</v>
      </c>
      <c r="AV67" t="s">
        <v>137</v>
      </c>
      <c r="AW67" t="s">
        <v>317</v>
      </c>
      <c r="AX67" t="s">
        <v>318</v>
      </c>
      <c r="AY67" t="s">
        <v>169</v>
      </c>
      <c r="AZ67" t="s">
        <v>1832</v>
      </c>
      <c r="BA67" t="s">
        <v>1833</v>
      </c>
      <c r="BB67" t="s">
        <v>169</v>
      </c>
      <c r="BC67" t="s">
        <v>137</v>
      </c>
      <c r="BD67" t="s">
        <v>172</v>
      </c>
      <c r="BE67" t="s">
        <v>169</v>
      </c>
      <c r="BF67" t="s">
        <v>173</v>
      </c>
      <c r="BG67" t="s">
        <v>174</v>
      </c>
      <c r="BH67" t="s">
        <v>151</v>
      </c>
      <c r="BI67" t="s">
        <v>175</v>
      </c>
      <c r="BJ67" t="s">
        <v>151</v>
      </c>
      <c r="BK67" t="s">
        <v>151</v>
      </c>
      <c r="BL67" t="s">
        <v>176</v>
      </c>
      <c r="BM67" t="s">
        <v>177</v>
      </c>
      <c r="BN67" t="s">
        <v>137</v>
      </c>
      <c r="BO67" t="s">
        <v>178</v>
      </c>
      <c r="BP67" t="s">
        <v>179</v>
      </c>
      <c r="BQ67" t="s">
        <v>180</v>
      </c>
      <c r="BR67" t="s">
        <v>154</v>
      </c>
      <c r="BS67" t="s">
        <v>181</v>
      </c>
      <c r="BT67" t="s">
        <v>182</v>
      </c>
      <c r="BU67" t="s">
        <v>182</v>
      </c>
      <c r="BV67" t="s">
        <v>182</v>
      </c>
      <c r="BW67" t="s">
        <v>151</v>
      </c>
      <c r="BX67" t="s">
        <v>183</v>
      </c>
      <c r="BY67" t="s">
        <v>151</v>
      </c>
      <c r="BZ67" t="s">
        <v>151</v>
      </c>
      <c r="CA67" t="s">
        <v>151</v>
      </c>
      <c r="CB67" t="s">
        <v>151</v>
      </c>
      <c r="CC67" t="s">
        <v>1834</v>
      </c>
      <c r="CD67" t="s">
        <v>1835</v>
      </c>
      <c r="CE67" t="s">
        <v>1836</v>
      </c>
      <c r="CF67" t="s">
        <v>1837</v>
      </c>
      <c r="CG67" t="s">
        <v>1838</v>
      </c>
      <c r="CH67" t="s">
        <v>1839</v>
      </c>
      <c r="CI67" t="s">
        <v>1840</v>
      </c>
      <c r="CJ67" t="s">
        <v>444</v>
      </c>
      <c r="CK67" t="s">
        <v>1824</v>
      </c>
      <c r="CL67" t="s">
        <v>237</v>
      </c>
      <c r="CM67" t="s">
        <v>193</v>
      </c>
      <c r="CN67" t="s">
        <v>194</v>
      </c>
      <c r="CO67" t="s">
        <v>154</v>
      </c>
      <c r="CP67" t="s">
        <v>195</v>
      </c>
      <c r="CQ67" t="s">
        <v>196</v>
      </c>
      <c r="CR67" t="s">
        <v>154</v>
      </c>
      <c r="CS67" t="s">
        <v>197</v>
      </c>
      <c r="CT67" t="s">
        <v>198</v>
      </c>
      <c r="CU67" t="s">
        <v>199</v>
      </c>
      <c r="CV67" t="s">
        <v>151</v>
      </c>
      <c r="CW67" t="s">
        <v>1823</v>
      </c>
      <c r="CX67" t="s">
        <v>200</v>
      </c>
      <c r="CY67" t="s">
        <v>201</v>
      </c>
      <c r="CZ67" t="s">
        <v>202</v>
      </c>
      <c r="DA67" t="s">
        <v>203</v>
      </c>
      <c r="DB67" t="s">
        <v>204</v>
      </c>
      <c r="DC67" t="s">
        <v>205</v>
      </c>
    </row>
    <row r="68" spans="1:107" x14ac:dyDescent="0.45">
      <c r="A68" t="s">
        <v>1841</v>
      </c>
      <c r="B68" t="s">
        <v>1842</v>
      </c>
      <c r="C68" t="s">
        <v>139</v>
      </c>
      <c r="D68" t="s">
        <v>76</v>
      </c>
      <c r="E68" t="s">
        <v>140</v>
      </c>
      <c r="F68" t="s">
        <v>19</v>
      </c>
      <c r="G68" t="s">
        <v>1843</v>
      </c>
      <c r="H68" t="s">
        <v>19</v>
      </c>
      <c r="I68" t="s">
        <v>19</v>
      </c>
      <c r="J68">
        <v>-2.293599382804057E-3</v>
      </c>
      <c r="K68">
        <v>2.9050319999999994</v>
      </c>
      <c r="L68">
        <v>-2.2954116708585647E-3</v>
      </c>
      <c r="M68">
        <v>-2.5415530550334738E-2</v>
      </c>
      <c r="N68" t="s">
        <v>1844</v>
      </c>
      <c r="O68" t="s">
        <v>1845</v>
      </c>
      <c r="P68">
        <v>2.7073833987485272</v>
      </c>
      <c r="Q68">
        <v>1.1022033987485271</v>
      </c>
      <c r="R68" t="s">
        <v>1846</v>
      </c>
      <c r="S68" t="s">
        <v>1847</v>
      </c>
      <c r="T68">
        <v>26.62127235740931</v>
      </c>
      <c r="U68">
        <v>0.4417875</v>
      </c>
      <c r="V68" t="s">
        <v>146</v>
      </c>
      <c r="W68" t="s">
        <v>1848</v>
      </c>
      <c r="X68" t="s">
        <v>1849</v>
      </c>
      <c r="Y68" t="s">
        <v>1850</v>
      </c>
      <c r="Z68" t="s">
        <v>1851</v>
      </c>
      <c r="AA68" t="s">
        <v>151</v>
      </c>
      <c r="AB68" t="s">
        <v>151</v>
      </c>
      <c r="AC68" t="s">
        <v>151</v>
      </c>
      <c r="AD68" t="s">
        <v>152</v>
      </c>
      <c r="AE68" t="s">
        <v>153</v>
      </c>
      <c r="AF68">
        <v>0</v>
      </c>
      <c r="AG68" t="s">
        <v>154</v>
      </c>
      <c r="AH68" t="s">
        <v>1852</v>
      </c>
      <c r="AI68" t="s">
        <v>1853</v>
      </c>
      <c r="AJ68" t="s">
        <v>1854</v>
      </c>
      <c r="AK68" t="s">
        <v>1855</v>
      </c>
      <c r="AL68">
        <v>22.33</v>
      </c>
      <c r="AM68" t="s">
        <v>928</v>
      </c>
      <c r="AN68" t="s">
        <v>160</v>
      </c>
      <c r="AO68" t="s">
        <v>952</v>
      </c>
      <c r="AP68" t="s">
        <v>953</v>
      </c>
      <c r="AQ68" t="s">
        <v>163</v>
      </c>
      <c r="AR68" t="s">
        <v>1856</v>
      </c>
      <c r="AS68" t="s">
        <v>1758</v>
      </c>
      <c r="AT68" t="s">
        <v>139</v>
      </c>
      <c r="AU68" t="s">
        <v>1759</v>
      </c>
      <c r="AV68" t="s">
        <v>137</v>
      </c>
      <c r="AW68" t="s">
        <v>317</v>
      </c>
      <c r="AX68" t="s">
        <v>1052</v>
      </c>
      <c r="AY68" t="s">
        <v>169</v>
      </c>
      <c r="AZ68" t="s">
        <v>1857</v>
      </c>
      <c r="BA68" t="s">
        <v>1858</v>
      </c>
      <c r="BB68" t="s">
        <v>169</v>
      </c>
      <c r="BC68" t="s">
        <v>137</v>
      </c>
      <c r="BD68" t="s">
        <v>172</v>
      </c>
      <c r="BE68" t="s">
        <v>169</v>
      </c>
      <c r="BF68" t="s">
        <v>173</v>
      </c>
      <c r="BG68" t="s">
        <v>174</v>
      </c>
      <c r="BH68" t="s">
        <v>151</v>
      </c>
      <c r="BI68" t="s">
        <v>175</v>
      </c>
      <c r="BJ68" t="s">
        <v>151</v>
      </c>
      <c r="BK68" t="s">
        <v>151</v>
      </c>
      <c r="BL68" t="s">
        <v>176</v>
      </c>
      <c r="BM68" t="s">
        <v>177</v>
      </c>
      <c r="BN68" t="s">
        <v>137</v>
      </c>
      <c r="BO68" t="s">
        <v>178</v>
      </c>
      <c r="BP68" t="s">
        <v>179</v>
      </c>
      <c r="BQ68" t="s">
        <v>180</v>
      </c>
      <c r="BR68" t="s">
        <v>154</v>
      </c>
      <c r="BS68" t="s">
        <v>181</v>
      </c>
      <c r="BT68" t="s">
        <v>182</v>
      </c>
      <c r="BU68" t="s">
        <v>182</v>
      </c>
      <c r="BV68" t="s">
        <v>182</v>
      </c>
      <c r="BW68" t="s">
        <v>151</v>
      </c>
      <c r="BX68" t="s">
        <v>183</v>
      </c>
      <c r="BY68" t="s">
        <v>151</v>
      </c>
      <c r="BZ68" t="s">
        <v>151</v>
      </c>
      <c r="CA68" t="s">
        <v>151</v>
      </c>
      <c r="CB68" t="s">
        <v>151</v>
      </c>
      <c r="CC68" t="s">
        <v>1859</v>
      </c>
      <c r="CD68" t="s">
        <v>1860</v>
      </c>
      <c r="CE68" t="s">
        <v>1861</v>
      </c>
      <c r="CF68" t="s">
        <v>1862</v>
      </c>
      <c r="CG68" t="s">
        <v>1863</v>
      </c>
      <c r="CH68" t="s">
        <v>1864</v>
      </c>
      <c r="CI68" t="s">
        <v>1865</v>
      </c>
      <c r="CJ68" t="s">
        <v>559</v>
      </c>
      <c r="CK68" t="s">
        <v>1849</v>
      </c>
      <c r="CL68" t="s">
        <v>237</v>
      </c>
      <c r="CM68" t="s">
        <v>193</v>
      </c>
      <c r="CN68" t="s">
        <v>194</v>
      </c>
      <c r="CO68" t="s">
        <v>154</v>
      </c>
      <c r="CP68" t="s">
        <v>195</v>
      </c>
      <c r="CQ68" t="s">
        <v>196</v>
      </c>
      <c r="CR68" t="s">
        <v>154</v>
      </c>
      <c r="CS68" t="s">
        <v>197</v>
      </c>
      <c r="CT68" t="s">
        <v>198</v>
      </c>
      <c r="CU68" t="s">
        <v>199</v>
      </c>
      <c r="CV68" t="s">
        <v>151</v>
      </c>
      <c r="CW68" t="s">
        <v>1848</v>
      </c>
      <c r="CX68" t="s">
        <v>200</v>
      </c>
      <c r="CY68" t="s">
        <v>201</v>
      </c>
      <c r="CZ68" t="s">
        <v>202</v>
      </c>
      <c r="DA68" t="s">
        <v>203</v>
      </c>
      <c r="DB68" t="s">
        <v>204</v>
      </c>
      <c r="DC68" t="s">
        <v>205</v>
      </c>
    </row>
    <row r="69" spans="1:107" x14ac:dyDescent="0.45">
      <c r="A69" t="s">
        <v>1866</v>
      </c>
      <c r="B69" t="s">
        <v>1867</v>
      </c>
      <c r="C69" t="s">
        <v>139</v>
      </c>
      <c r="D69" t="s">
        <v>76</v>
      </c>
      <c r="E69" t="s">
        <v>140</v>
      </c>
      <c r="F69" t="s">
        <v>19</v>
      </c>
      <c r="G69" t="s">
        <v>1868</v>
      </c>
      <c r="H69" t="s">
        <v>19</v>
      </c>
      <c r="I69" t="s">
        <v>19</v>
      </c>
      <c r="J69">
        <v>-9.6074755929773242E-3</v>
      </c>
      <c r="K69">
        <v>2.9050319999999994</v>
      </c>
      <c r="L69">
        <v>-9.6393547134626199E-3</v>
      </c>
      <c r="M69">
        <v>-0.10420336535034957</v>
      </c>
      <c r="N69" t="s">
        <v>1869</v>
      </c>
      <c r="O69" t="s">
        <v>1870</v>
      </c>
      <c r="P69">
        <v>2.6893191475892642</v>
      </c>
      <c r="Q69">
        <v>1.0760821475892641</v>
      </c>
      <c r="R69" t="s">
        <v>1871</v>
      </c>
      <c r="S69" t="s">
        <v>1872</v>
      </c>
      <c r="T69">
        <v>26.44364943548932</v>
      </c>
      <c r="U69">
        <v>0.4417875</v>
      </c>
      <c r="V69" t="s">
        <v>146</v>
      </c>
      <c r="W69" t="s">
        <v>1873</v>
      </c>
      <c r="X69" t="s">
        <v>1874</v>
      </c>
      <c r="Y69" t="s">
        <v>1875</v>
      </c>
      <c r="Z69" t="s">
        <v>1876</v>
      </c>
      <c r="AA69" t="s">
        <v>151</v>
      </c>
      <c r="AB69" t="s">
        <v>151</v>
      </c>
      <c r="AC69" t="s">
        <v>151</v>
      </c>
      <c r="AD69" t="s">
        <v>152</v>
      </c>
      <c r="AE69" t="s">
        <v>153</v>
      </c>
      <c r="AF69">
        <v>0</v>
      </c>
      <c r="AG69" t="s">
        <v>154</v>
      </c>
      <c r="AH69" t="s">
        <v>951</v>
      </c>
      <c r="AI69" t="s">
        <v>973</v>
      </c>
      <c r="AJ69" t="s">
        <v>1877</v>
      </c>
      <c r="AK69" t="s">
        <v>1477</v>
      </c>
      <c r="AL69">
        <v>22.22</v>
      </c>
      <c r="AM69" t="s">
        <v>928</v>
      </c>
      <c r="AN69" t="s">
        <v>160</v>
      </c>
      <c r="AO69" t="s">
        <v>1878</v>
      </c>
      <c r="AP69" t="s">
        <v>1625</v>
      </c>
      <c r="AQ69" t="s">
        <v>163</v>
      </c>
      <c r="AR69" t="s">
        <v>1856</v>
      </c>
      <c r="AS69" t="s">
        <v>1758</v>
      </c>
      <c r="AT69" t="s">
        <v>139</v>
      </c>
      <c r="AU69" t="s">
        <v>1759</v>
      </c>
      <c r="AV69" t="s">
        <v>137</v>
      </c>
      <c r="AW69" t="s">
        <v>317</v>
      </c>
      <c r="AX69" t="s">
        <v>749</v>
      </c>
      <c r="AY69" t="s">
        <v>169</v>
      </c>
      <c r="AZ69" t="s">
        <v>1879</v>
      </c>
      <c r="BA69" t="s">
        <v>1880</v>
      </c>
      <c r="BB69" t="s">
        <v>169</v>
      </c>
      <c r="BC69" t="s">
        <v>137</v>
      </c>
      <c r="BD69" t="s">
        <v>172</v>
      </c>
      <c r="BE69" t="s">
        <v>169</v>
      </c>
      <c r="BF69" t="s">
        <v>173</v>
      </c>
      <c r="BG69" t="s">
        <v>174</v>
      </c>
      <c r="BH69" t="s">
        <v>151</v>
      </c>
      <c r="BI69" t="s">
        <v>175</v>
      </c>
      <c r="BJ69" t="s">
        <v>151</v>
      </c>
      <c r="BK69" t="s">
        <v>151</v>
      </c>
      <c r="BL69" t="s">
        <v>176</v>
      </c>
      <c r="BM69" t="s">
        <v>177</v>
      </c>
      <c r="BN69" t="s">
        <v>137</v>
      </c>
      <c r="BO69" t="s">
        <v>178</v>
      </c>
      <c r="BP69" t="s">
        <v>179</v>
      </c>
      <c r="BQ69" t="s">
        <v>180</v>
      </c>
      <c r="BR69" t="s">
        <v>154</v>
      </c>
      <c r="BS69" t="s">
        <v>181</v>
      </c>
      <c r="BT69" t="s">
        <v>182</v>
      </c>
      <c r="BU69" t="s">
        <v>182</v>
      </c>
      <c r="BV69" t="s">
        <v>182</v>
      </c>
      <c r="BW69" t="s">
        <v>151</v>
      </c>
      <c r="BX69" t="s">
        <v>183</v>
      </c>
      <c r="BY69" t="s">
        <v>151</v>
      </c>
      <c r="BZ69" t="s">
        <v>151</v>
      </c>
      <c r="CA69" t="s">
        <v>151</v>
      </c>
      <c r="CB69" t="s">
        <v>151</v>
      </c>
      <c r="CC69" t="s">
        <v>1881</v>
      </c>
      <c r="CD69" t="s">
        <v>1882</v>
      </c>
      <c r="CE69" t="s">
        <v>1883</v>
      </c>
      <c r="CF69" t="s">
        <v>1884</v>
      </c>
      <c r="CG69" t="s">
        <v>1885</v>
      </c>
      <c r="CH69" t="s">
        <v>1886</v>
      </c>
      <c r="CI69" t="s">
        <v>1887</v>
      </c>
      <c r="CJ69" t="s">
        <v>266</v>
      </c>
      <c r="CK69" t="s">
        <v>1874</v>
      </c>
      <c r="CL69" t="s">
        <v>833</v>
      </c>
      <c r="CM69" t="s">
        <v>193</v>
      </c>
      <c r="CN69" t="s">
        <v>194</v>
      </c>
      <c r="CO69" t="s">
        <v>154</v>
      </c>
      <c r="CP69" t="s">
        <v>195</v>
      </c>
      <c r="CQ69" t="s">
        <v>196</v>
      </c>
      <c r="CR69" t="s">
        <v>154</v>
      </c>
      <c r="CS69" t="s">
        <v>197</v>
      </c>
      <c r="CT69" t="s">
        <v>198</v>
      </c>
      <c r="CU69" t="s">
        <v>199</v>
      </c>
      <c r="CV69" t="s">
        <v>151</v>
      </c>
      <c r="CW69" t="s">
        <v>1873</v>
      </c>
      <c r="CX69" t="s">
        <v>200</v>
      </c>
      <c r="CY69" t="s">
        <v>201</v>
      </c>
      <c r="CZ69" t="s">
        <v>202</v>
      </c>
      <c r="DA69" t="s">
        <v>203</v>
      </c>
      <c r="DB69" t="s">
        <v>204</v>
      </c>
      <c r="DC69" t="s">
        <v>205</v>
      </c>
    </row>
    <row r="70" spans="1:107" x14ac:dyDescent="0.45">
      <c r="A70" t="s">
        <v>1888</v>
      </c>
      <c r="B70" t="s">
        <v>1889</v>
      </c>
      <c r="C70" t="s">
        <v>139</v>
      </c>
      <c r="D70" t="s">
        <v>76</v>
      </c>
      <c r="E70" t="s">
        <v>140</v>
      </c>
      <c r="F70" t="s">
        <v>19</v>
      </c>
      <c r="G70" t="s">
        <v>1890</v>
      </c>
      <c r="H70" t="s">
        <v>19</v>
      </c>
      <c r="I70" t="s">
        <v>19</v>
      </c>
      <c r="J70">
        <v>-1.3165142235258677E-3</v>
      </c>
      <c r="K70">
        <v>2.9042299199999997</v>
      </c>
      <c r="L70">
        <v>-1.3171112822246553E-3</v>
      </c>
      <c r="M70">
        <v>-1.3692322409797758E-2</v>
      </c>
      <c r="N70" t="s">
        <v>1891</v>
      </c>
      <c r="O70" t="s">
        <v>1892</v>
      </c>
      <c r="P70">
        <v>2.6632321932458978</v>
      </c>
      <c r="Q70">
        <v>1.0350901932458978</v>
      </c>
      <c r="R70" t="s">
        <v>1893</v>
      </c>
      <c r="S70" t="s">
        <v>1894</v>
      </c>
      <c r="T70">
        <v>26.184565856315977</v>
      </c>
      <c r="U70">
        <v>0.4417875</v>
      </c>
      <c r="V70" t="s">
        <v>146</v>
      </c>
      <c r="W70" t="s">
        <v>1895</v>
      </c>
      <c r="X70" t="s">
        <v>1896</v>
      </c>
      <c r="Y70" t="s">
        <v>1897</v>
      </c>
      <c r="Z70" t="s">
        <v>1898</v>
      </c>
      <c r="AA70" t="s">
        <v>151</v>
      </c>
      <c r="AB70" t="s">
        <v>151</v>
      </c>
      <c r="AC70" t="s">
        <v>151</v>
      </c>
      <c r="AD70" t="s">
        <v>152</v>
      </c>
      <c r="AE70" t="s">
        <v>153</v>
      </c>
      <c r="AF70">
        <v>0</v>
      </c>
      <c r="AG70" t="s">
        <v>154</v>
      </c>
      <c r="AH70" t="s">
        <v>1674</v>
      </c>
      <c r="AI70" t="s">
        <v>1647</v>
      </c>
      <c r="AJ70" t="s">
        <v>1877</v>
      </c>
      <c r="AK70" t="s">
        <v>1899</v>
      </c>
      <c r="AL70">
        <v>22.06</v>
      </c>
      <c r="AM70" t="s">
        <v>1503</v>
      </c>
      <c r="AN70" t="s">
        <v>284</v>
      </c>
      <c r="AO70" t="s">
        <v>1002</v>
      </c>
      <c r="AP70" t="s">
        <v>794</v>
      </c>
      <c r="AQ70" t="s">
        <v>163</v>
      </c>
      <c r="AR70" t="s">
        <v>1856</v>
      </c>
      <c r="AS70" t="s">
        <v>1758</v>
      </c>
      <c r="AT70" t="s">
        <v>139</v>
      </c>
      <c r="AU70" t="s">
        <v>1759</v>
      </c>
      <c r="AV70" t="s">
        <v>137</v>
      </c>
      <c r="AW70" t="s">
        <v>1379</v>
      </c>
      <c r="AX70" t="s">
        <v>348</v>
      </c>
      <c r="AY70" t="s">
        <v>169</v>
      </c>
      <c r="AZ70" t="s">
        <v>1900</v>
      </c>
      <c r="BA70" t="s">
        <v>1901</v>
      </c>
      <c r="BB70" t="s">
        <v>169</v>
      </c>
      <c r="BC70" t="s">
        <v>137</v>
      </c>
      <c r="BD70" t="s">
        <v>172</v>
      </c>
      <c r="BE70" t="s">
        <v>169</v>
      </c>
      <c r="BF70" t="s">
        <v>173</v>
      </c>
      <c r="BG70" t="s">
        <v>174</v>
      </c>
      <c r="BH70" t="s">
        <v>151</v>
      </c>
      <c r="BI70" t="s">
        <v>175</v>
      </c>
      <c r="BJ70" t="s">
        <v>151</v>
      </c>
      <c r="BK70" t="s">
        <v>151</v>
      </c>
      <c r="BL70" t="s">
        <v>176</v>
      </c>
      <c r="BM70" t="s">
        <v>177</v>
      </c>
      <c r="BN70" t="s">
        <v>137</v>
      </c>
      <c r="BO70" t="s">
        <v>178</v>
      </c>
      <c r="BP70" t="s">
        <v>179</v>
      </c>
      <c r="BQ70" t="s">
        <v>180</v>
      </c>
      <c r="BR70" t="s">
        <v>154</v>
      </c>
      <c r="BS70" t="s">
        <v>181</v>
      </c>
      <c r="BT70" t="s">
        <v>182</v>
      </c>
      <c r="BU70" t="s">
        <v>182</v>
      </c>
      <c r="BV70" t="s">
        <v>182</v>
      </c>
      <c r="BW70" t="s">
        <v>151</v>
      </c>
      <c r="BX70" t="s">
        <v>183</v>
      </c>
      <c r="BY70" t="s">
        <v>151</v>
      </c>
      <c r="BZ70" t="s">
        <v>151</v>
      </c>
      <c r="CA70" t="s">
        <v>151</v>
      </c>
      <c r="CB70" t="s">
        <v>151</v>
      </c>
      <c r="CC70" t="s">
        <v>1902</v>
      </c>
      <c r="CD70" t="s">
        <v>1903</v>
      </c>
      <c r="CE70" t="s">
        <v>1904</v>
      </c>
      <c r="CF70" t="s">
        <v>1905</v>
      </c>
      <c r="CG70" t="s">
        <v>1906</v>
      </c>
      <c r="CH70" t="s">
        <v>1907</v>
      </c>
      <c r="CI70" t="s">
        <v>1908</v>
      </c>
      <c r="CJ70" t="s">
        <v>444</v>
      </c>
      <c r="CK70" t="s">
        <v>1896</v>
      </c>
      <c r="CL70" t="s">
        <v>475</v>
      </c>
      <c r="CM70" t="s">
        <v>193</v>
      </c>
      <c r="CN70" t="s">
        <v>194</v>
      </c>
      <c r="CO70" t="s">
        <v>154</v>
      </c>
      <c r="CP70" t="s">
        <v>195</v>
      </c>
      <c r="CQ70" t="s">
        <v>196</v>
      </c>
      <c r="CR70" t="s">
        <v>154</v>
      </c>
      <c r="CS70" t="s">
        <v>197</v>
      </c>
      <c r="CT70" t="s">
        <v>198</v>
      </c>
      <c r="CU70" t="s">
        <v>199</v>
      </c>
      <c r="CV70" t="s">
        <v>151</v>
      </c>
      <c r="CW70" t="s">
        <v>1895</v>
      </c>
      <c r="CX70" t="s">
        <v>200</v>
      </c>
      <c r="CY70" t="s">
        <v>201</v>
      </c>
      <c r="CZ70" t="s">
        <v>202</v>
      </c>
      <c r="DA70" t="s">
        <v>203</v>
      </c>
      <c r="DB70" t="s">
        <v>204</v>
      </c>
      <c r="DC70" t="s">
        <v>205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0D86-B43F-416B-AF5B-82B9F247AF12}">
  <dimension ref="A1:F38"/>
  <sheetViews>
    <sheetView tabSelected="1" workbookViewId="0">
      <selection activeCell="J29" sqref="J29"/>
    </sheetView>
  </sheetViews>
  <sheetFormatPr defaultRowHeight="17.5" x14ac:dyDescent="0.45"/>
  <cols>
    <col min="1" max="1" width="11.84375" bestFit="1" customWidth="1"/>
    <col min="2" max="2" width="5.3046875" bestFit="1" customWidth="1"/>
  </cols>
  <sheetData>
    <row r="1" spans="1:6" x14ac:dyDescent="0.45">
      <c r="A1" t="s">
        <v>14</v>
      </c>
      <c r="B1" t="s">
        <v>1909</v>
      </c>
      <c r="C1" t="s">
        <v>1910</v>
      </c>
      <c r="D1" t="s">
        <v>34</v>
      </c>
      <c r="E1" t="s">
        <v>35</v>
      </c>
      <c r="F1" t="s">
        <v>36</v>
      </c>
    </row>
    <row r="2" spans="1:6" x14ac:dyDescent="0.45">
      <c r="A2" t="s">
        <v>119</v>
      </c>
    </row>
    <row r="3" spans="1:6" x14ac:dyDescent="0.45">
      <c r="A3" t="s">
        <v>139</v>
      </c>
      <c r="B3">
        <v>100</v>
      </c>
      <c r="C3">
        <v>1</v>
      </c>
      <c r="D3">
        <v>96.917152000000002</v>
      </c>
      <c r="E3">
        <v>577.88085899999999</v>
      </c>
      <c r="F3">
        <v>0.83228899999999995</v>
      </c>
    </row>
    <row r="4" spans="1:6" x14ac:dyDescent="0.45">
      <c r="A4" t="s">
        <v>139</v>
      </c>
      <c r="B4">
        <v>100</v>
      </c>
      <c r="C4">
        <v>2</v>
      </c>
      <c r="D4">
        <v>84.483863999999997</v>
      </c>
      <c r="E4">
        <v>555.75158699999997</v>
      </c>
      <c r="F4">
        <v>0.84798300000000004</v>
      </c>
    </row>
    <row r="5" spans="1:6" x14ac:dyDescent="0.45">
      <c r="A5" t="s">
        <v>139</v>
      </c>
      <c r="B5">
        <v>100</v>
      </c>
      <c r="C5">
        <v>3</v>
      </c>
      <c r="D5">
        <v>95.514893000000001</v>
      </c>
      <c r="E5">
        <v>583.46093800000006</v>
      </c>
      <c r="F5">
        <v>0.83629600000000004</v>
      </c>
    </row>
    <row r="6" spans="1:6" x14ac:dyDescent="0.45">
      <c r="A6" t="s">
        <v>139</v>
      </c>
      <c r="B6">
        <v>100</v>
      </c>
      <c r="C6">
        <v>4</v>
      </c>
      <c r="D6">
        <v>94.855789000000001</v>
      </c>
      <c r="E6">
        <v>588.73486300000002</v>
      </c>
      <c r="F6">
        <v>0.83888200000000002</v>
      </c>
    </row>
    <row r="7" spans="1:6" x14ac:dyDescent="0.45">
      <c r="A7" t="s">
        <v>139</v>
      </c>
      <c r="B7">
        <v>100</v>
      </c>
      <c r="C7">
        <v>5</v>
      </c>
      <c r="D7">
        <v>100.499512</v>
      </c>
      <c r="E7">
        <v>570.54913299999998</v>
      </c>
      <c r="F7">
        <v>0.823855</v>
      </c>
    </row>
    <row r="8" spans="1:6" x14ac:dyDescent="0.45">
      <c r="A8" t="s">
        <v>139</v>
      </c>
      <c r="B8">
        <v>100</v>
      </c>
      <c r="C8">
        <v>6</v>
      </c>
      <c r="D8">
        <v>99.849700999999996</v>
      </c>
      <c r="E8">
        <v>581.81475799999998</v>
      </c>
      <c r="F8">
        <v>0.82838199999999995</v>
      </c>
    </row>
    <row r="9" spans="1:6" x14ac:dyDescent="0.45">
      <c r="A9" t="s">
        <v>139</v>
      </c>
      <c r="B9">
        <v>75</v>
      </c>
      <c r="C9">
        <v>1</v>
      </c>
      <c r="D9">
        <v>98.533630000000002</v>
      </c>
      <c r="E9">
        <v>631.19671600000004</v>
      </c>
      <c r="F9">
        <v>0.84389400000000003</v>
      </c>
    </row>
    <row r="10" spans="1:6" x14ac:dyDescent="0.45">
      <c r="A10" t="s">
        <v>139</v>
      </c>
      <c r="B10">
        <v>75</v>
      </c>
      <c r="C10">
        <v>2</v>
      </c>
      <c r="D10">
        <v>91.940398999999999</v>
      </c>
      <c r="E10">
        <v>559.18194600000004</v>
      </c>
      <c r="F10">
        <v>0.83558100000000002</v>
      </c>
    </row>
    <row r="11" spans="1:6" x14ac:dyDescent="0.45">
      <c r="A11" t="s">
        <v>139</v>
      </c>
      <c r="B11">
        <v>75</v>
      </c>
      <c r="C11">
        <v>3</v>
      </c>
      <c r="D11">
        <v>109.67731499999999</v>
      </c>
      <c r="E11">
        <v>608.89758300000005</v>
      </c>
      <c r="F11">
        <v>0.81987600000000005</v>
      </c>
    </row>
    <row r="12" spans="1:6" x14ac:dyDescent="0.45">
      <c r="A12" t="s">
        <v>139</v>
      </c>
      <c r="B12">
        <v>75</v>
      </c>
      <c r="C12">
        <v>4</v>
      </c>
      <c r="D12">
        <v>83.649512999999999</v>
      </c>
      <c r="E12">
        <v>562.50073199999997</v>
      </c>
      <c r="F12">
        <v>0.85128999999999999</v>
      </c>
    </row>
    <row r="13" spans="1:6" x14ac:dyDescent="0.45">
      <c r="A13" t="s">
        <v>139</v>
      </c>
      <c r="B13">
        <v>75</v>
      </c>
      <c r="C13">
        <v>5</v>
      </c>
      <c r="D13">
        <v>100.093605</v>
      </c>
      <c r="E13">
        <v>573.88470500000005</v>
      </c>
      <c r="F13">
        <v>0.82558600000000004</v>
      </c>
    </row>
    <row r="14" spans="1:6" x14ac:dyDescent="0.45">
      <c r="A14" t="s">
        <v>139</v>
      </c>
      <c r="B14">
        <v>75</v>
      </c>
      <c r="C14">
        <v>6</v>
      </c>
      <c r="D14">
        <v>88.075164999999998</v>
      </c>
      <c r="E14">
        <v>546.64562999999998</v>
      </c>
      <c r="F14">
        <v>0.83888099999999999</v>
      </c>
    </row>
    <row r="15" spans="1:6" x14ac:dyDescent="0.45">
      <c r="A15" t="s">
        <v>139</v>
      </c>
      <c r="B15">
        <v>50</v>
      </c>
      <c r="C15">
        <v>1</v>
      </c>
      <c r="D15">
        <v>94.428421</v>
      </c>
      <c r="E15">
        <v>582.62731900000006</v>
      </c>
      <c r="F15">
        <v>0.83792699999999998</v>
      </c>
    </row>
    <row r="16" spans="1:6" x14ac:dyDescent="0.45">
      <c r="A16" t="s">
        <v>139</v>
      </c>
      <c r="B16">
        <v>50</v>
      </c>
      <c r="C16">
        <v>2</v>
      </c>
      <c r="D16">
        <v>96.270920000000004</v>
      </c>
      <c r="E16">
        <v>592.24676499999998</v>
      </c>
      <c r="F16">
        <v>0.83744799999999997</v>
      </c>
    </row>
    <row r="17" spans="1:6" x14ac:dyDescent="0.45">
      <c r="A17" t="s">
        <v>139</v>
      </c>
      <c r="B17">
        <v>50</v>
      </c>
      <c r="C17">
        <v>3</v>
      </c>
      <c r="D17">
        <v>90.549591000000007</v>
      </c>
      <c r="E17">
        <v>561.308044</v>
      </c>
      <c r="F17">
        <v>0.83868100000000001</v>
      </c>
    </row>
    <row r="18" spans="1:6" x14ac:dyDescent="0.45">
      <c r="A18" t="s">
        <v>139</v>
      </c>
      <c r="B18">
        <v>50</v>
      </c>
      <c r="C18">
        <v>4</v>
      </c>
      <c r="D18">
        <v>90.503456</v>
      </c>
      <c r="E18">
        <v>567.32476799999995</v>
      </c>
      <c r="F18">
        <v>0.84047300000000003</v>
      </c>
    </row>
    <row r="19" spans="1:6" x14ac:dyDescent="0.45">
      <c r="A19" t="s">
        <v>139</v>
      </c>
      <c r="B19">
        <v>50</v>
      </c>
      <c r="C19">
        <v>5</v>
      </c>
      <c r="D19">
        <v>87.400313999999995</v>
      </c>
      <c r="E19">
        <v>581.83374000000003</v>
      </c>
      <c r="F19">
        <v>0.84978500000000001</v>
      </c>
    </row>
    <row r="20" spans="1:6" x14ac:dyDescent="0.45">
      <c r="A20" t="s">
        <v>139</v>
      </c>
      <c r="B20">
        <v>50</v>
      </c>
      <c r="C20">
        <v>6</v>
      </c>
      <c r="D20">
        <v>93.584778</v>
      </c>
      <c r="E20">
        <v>529.20233199999996</v>
      </c>
      <c r="F20">
        <v>0.82315899999999997</v>
      </c>
    </row>
    <row r="21" spans="1:6" x14ac:dyDescent="0.45">
      <c r="A21" t="s">
        <v>139</v>
      </c>
      <c r="B21">
        <v>25</v>
      </c>
      <c r="C21">
        <v>1</v>
      </c>
      <c r="D21">
        <v>95.220207000000002</v>
      </c>
      <c r="E21">
        <v>601.40631099999996</v>
      </c>
      <c r="F21">
        <v>0.84167099999999995</v>
      </c>
    </row>
    <row r="22" spans="1:6" x14ac:dyDescent="0.45">
      <c r="A22" t="s">
        <v>139</v>
      </c>
      <c r="B22">
        <v>25</v>
      </c>
      <c r="C22">
        <v>2</v>
      </c>
      <c r="D22">
        <v>90.795638999999994</v>
      </c>
      <c r="E22">
        <v>578.28137200000003</v>
      </c>
      <c r="F22">
        <v>0.84299100000000005</v>
      </c>
    </row>
    <row r="23" spans="1:6" x14ac:dyDescent="0.45">
      <c r="A23" t="s">
        <v>139</v>
      </c>
      <c r="B23">
        <v>25</v>
      </c>
      <c r="C23">
        <v>3</v>
      </c>
      <c r="D23">
        <v>99.288939999999997</v>
      </c>
      <c r="E23">
        <v>605.20898399999999</v>
      </c>
      <c r="F23">
        <v>0.83594299999999999</v>
      </c>
    </row>
    <row r="24" spans="1:6" x14ac:dyDescent="0.45">
      <c r="A24" t="s">
        <v>139</v>
      </c>
      <c r="B24">
        <v>25</v>
      </c>
      <c r="C24">
        <v>4</v>
      </c>
      <c r="D24">
        <v>88.522552000000005</v>
      </c>
      <c r="E24">
        <v>544.99945100000002</v>
      </c>
      <c r="F24">
        <v>0.83757300000000001</v>
      </c>
    </row>
    <row r="25" spans="1:6" x14ac:dyDescent="0.45">
      <c r="A25" t="s">
        <v>139</v>
      </c>
      <c r="B25">
        <v>25</v>
      </c>
      <c r="C25">
        <v>5</v>
      </c>
      <c r="D25">
        <v>99.944114999999996</v>
      </c>
      <c r="E25">
        <v>558.138733</v>
      </c>
      <c r="F25">
        <v>0.82093300000000002</v>
      </c>
    </row>
    <row r="26" spans="1:6" x14ac:dyDescent="0.45">
      <c r="A26" t="s">
        <v>139</v>
      </c>
      <c r="B26">
        <v>25</v>
      </c>
      <c r="C26">
        <v>6</v>
      </c>
      <c r="D26">
        <v>92.466117999999994</v>
      </c>
      <c r="E26">
        <v>571.50433299999997</v>
      </c>
      <c r="F26">
        <v>0.83820600000000001</v>
      </c>
    </row>
    <row r="27" spans="1:6" x14ac:dyDescent="0.45">
      <c r="A27" t="s">
        <v>139</v>
      </c>
      <c r="B27" t="s">
        <v>1911</v>
      </c>
      <c r="C27">
        <v>1</v>
      </c>
      <c r="D27">
        <v>96.447945000000004</v>
      </c>
      <c r="E27">
        <v>574.87573199999997</v>
      </c>
      <c r="F27">
        <v>0.83222799999999997</v>
      </c>
    </row>
    <row r="28" spans="1:6" x14ac:dyDescent="0.45">
      <c r="A28" t="s">
        <v>139</v>
      </c>
      <c r="B28" t="s">
        <v>1911</v>
      </c>
      <c r="C28">
        <v>2</v>
      </c>
      <c r="D28">
        <v>87.092040999999995</v>
      </c>
      <c r="E28">
        <v>547.76141399999995</v>
      </c>
      <c r="F28">
        <v>0.84100399999999997</v>
      </c>
    </row>
    <row r="29" spans="1:6" x14ac:dyDescent="0.45">
      <c r="A29" t="s">
        <v>139</v>
      </c>
      <c r="B29" t="s">
        <v>1911</v>
      </c>
      <c r="C29">
        <v>3</v>
      </c>
      <c r="D29">
        <v>87.739349000000004</v>
      </c>
      <c r="E29">
        <v>543.52783199999999</v>
      </c>
      <c r="F29">
        <v>0.83857400000000004</v>
      </c>
    </row>
    <row r="30" spans="1:6" x14ac:dyDescent="0.45">
      <c r="A30" t="s">
        <v>139</v>
      </c>
      <c r="B30" t="s">
        <v>1911</v>
      </c>
      <c r="C30">
        <v>4</v>
      </c>
      <c r="D30">
        <v>90.353249000000005</v>
      </c>
      <c r="E30">
        <v>567.38519299999996</v>
      </c>
      <c r="F30">
        <v>0.84075500000000003</v>
      </c>
    </row>
    <row r="31" spans="1:6" x14ac:dyDescent="0.45">
      <c r="A31" t="s">
        <v>139</v>
      </c>
      <c r="B31" t="s">
        <v>1911</v>
      </c>
      <c r="C31">
        <v>5</v>
      </c>
      <c r="D31">
        <v>100.20339199999999</v>
      </c>
      <c r="E31">
        <v>576.118469</v>
      </c>
      <c r="F31">
        <v>0.82607200000000003</v>
      </c>
    </row>
    <row r="32" spans="1:6" x14ac:dyDescent="0.45">
      <c r="A32" t="s">
        <v>139</v>
      </c>
      <c r="B32" t="s">
        <v>1911</v>
      </c>
      <c r="C32">
        <v>6</v>
      </c>
      <c r="D32">
        <v>90.345023999999995</v>
      </c>
      <c r="E32">
        <v>552.33123799999998</v>
      </c>
      <c r="F32">
        <v>0.83643000000000001</v>
      </c>
    </row>
    <row r="33" spans="1:6" x14ac:dyDescent="0.45">
      <c r="A33" t="s">
        <v>139</v>
      </c>
      <c r="B33" t="s">
        <v>1912</v>
      </c>
      <c r="C33">
        <v>1</v>
      </c>
      <c r="D33">
        <v>100.337509</v>
      </c>
      <c r="E33">
        <v>552.31011999999998</v>
      </c>
      <c r="F33">
        <v>0.81833100000000003</v>
      </c>
    </row>
    <row r="34" spans="1:6" x14ac:dyDescent="0.45">
      <c r="A34" t="s">
        <v>139</v>
      </c>
      <c r="B34" t="s">
        <v>1912</v>
      </c>
      <c r="C34">
        <v>2</v>
      </c>
      <c r="D34">
        <v>86.522696999999994</v>
      </c>
      <c r="E34">
        <v>561.03228799999999</v>
      </c>
      <c r="F34">
        <v>0.84577899999999995</v>
      </c>
    </row>
    <row r="35" spans="1:6" x14ac:dyDescent="0.45">
      <c r="A35" t="s">
        <v>139</v>
      </c>
      <c r="B35" t="s">
        <v>1912</v>
      </c>
      <c r="C35">
        <v>3</v>
      </c>
      <c r="D35">
        <v>99.445221000000004</v>
      </c>
      <c r="E35">
        <v>573.20452899999998</v>
      </c>
      <c r="F35">
        <v>0.82650999999999997</v>
      </c>
    </row>
    <row r="36" spans="1:6" x14ac:dyDescent="0.45">
      <c r="A36" t="s">
        <v>139</v>
      </c>
      <c r="B36" t="s">
        <v>1912</v>
      </c>
      <c r="C36">
        <v>4</v>
      </c>
      <c r="D36">
        <v>101.524475</v>
      </c>
      <c r="E36">
        <v>612.20636000000002</v>
      </c>
      <c r="F36">
        <v>0.83416599999999996</v>
      </c>
    </row>
    <row r="37" spans="1:6" x14ac:dyDescent="0.45">
      <c r="A37" t="s">
        <v>139</v>
      </c>
      <c r="B37" t="s">
        <v>1912</v>
      </c>
      <c r="C37">
        <v>5</v>
      </c>
      <c r="D37">
        <v>96.531631000000004</v>
      </c>
      <c r="E37">
        <v>585.489014</v>
      </c>
      <c r="F37">
        <v>0.83512699999999995</v>
      </c>
    </row>
    <row r="38" spans="1:6" x14ac:dyDescent="0.45">
      <c r="A38" t="s">
        <v>139</v>
      </c>
      <c r="B38" t="s">
        <v>1912</v>
      </c>
      <c r="C38">
        <v>6</v>
      </c>
      <c r="D38">
        <v>98.316551000000004</v>
      </c>
      <c r="E38">
        <v>556.07665999999995</v>
      </c>
      <c r="F38">
        <v>0.82319600000000004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dark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오류경</cp:lastModifiedBy>
  <dcterms:modified xsi:type="dcterms:W3CDTF">2026-09-11T08:26:13Z</dcterms:modified>
</cp:coreProperties>
</file>