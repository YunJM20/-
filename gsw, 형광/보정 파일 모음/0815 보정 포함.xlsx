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22" documentId="11_28438BAF8E41426F10F54340C87A4809E5973D8D" xr6:coauthVersionLast="47" xr6:coauthVersionMax="47" xr10:uidLastSave="{4E4D9DAD-488E-4CE2-9CC6-27ABF5F564E9}"/>
  <bookViews>
    <workbookView xWindow="28680" yWindow="-120" windowWidth="29040" windowHeight="15720" activeTab="2" xr2:uid="{00000000-000D-0000-FFFF-FFFF00000000}"/>
  </bookViews>
  <sheets>
    <sheet name="Original" sheetId="1" r:id="rId1"/>
    <sheet name="Corrected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/>
  <c r="T2" i="3"/>
  <c r="U2" i="3"/>
  <c r="N3" i="3"/>
  <c r="O3" i="3"/>
  <c r="P3" i="3"/>
  <c r="Q3" i="3"/>
  <c r="R3" i="3"/>
  <c r="S3" i="3"/>
  <c r="T3" i="3"/>
  <c r="U3" i="3"/>
  <c r="N2" i="3"/>
  <c r="O2" i="3"/>
  <c r="P2" i="3"/>
  <c r="Q2" i="3"/>
  <c r="R2" i="3"/>
  <c r="M3" i="3"/>
  <c r="M2" i="3"/>
</calcChain>
</file>

<file path=xl/sharedStrings.xml><?xml version="1.0" encoding="utf-8"?>
<sst xmlns="http://schemas.openxmlformats.org/spreadsheetml/2006/main" count="565" uniqueCount="203">
  <si>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</si>
  <si>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</si>
  <si>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</si>
  <si>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</si>
  <si>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</si>
  <si>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</si>
  <si>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</si>
  <si>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</si>
  <si>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</si>
  <si>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</si>
  <si>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</si>
  <si>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</si>
  <si>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</si>
  <si>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</si>
  <si>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</si>
  <si>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</si>
  <si>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</si>
  <si>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</si>
  <si>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</si>
  <si>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</si>
  <si>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</si>
  <si>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</si>
  <si>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</si>
  <si>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</si>
  <si>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</si>
  <si>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</si>
  <si>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</si>
  <si>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</si>
  <si>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</si>
  <si>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</si>
  <si>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</si>
  <si>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</si>
  <si>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</si>
  <si>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</si>
  <si>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</si>
  <si>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</si>
  <si>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</si>
  <si>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</si>
  <si>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</si>
  <si>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</si>
  <si>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</si>
  <si>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</si>
  <si>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</si>
  <si>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</si>
  <si>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</si>
  <si>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</si>
  <si>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</si>
  <si>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</si>
  <si>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</si>
  <si>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</si>
  <si>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</si>
  <si>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</si>
  <si>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</si>
  <si>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</si>
  <si>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</si>
  <si>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</si>
  <si>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</si>
  <si>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</si>
  <si>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</si>
  <si>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</si>
  <si>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</si>
  <si>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</si>
  <si>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</si>
  <si>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</si>
  <si>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</si>
  <si>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</si>
  <si>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</si>
  <si>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</si>
  <si>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</si>
  <si>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</si>
  <si>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</si>
  <si>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</si>
  <si>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</si>
  <si>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</si>
  <si>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</si>
  <si>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</si>
  <si>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</si>
  <si>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</si>
  <si>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</si>
  <si>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</si>
  <si>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</si>
  <si>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</si>
  <si>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</si>
  <si>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</si>
  <si>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</si>
  <si>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</si>
  <si>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</si>
  <si>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</si>
  <si>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</si>
  <si>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</si>
  <si>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</si>
  <si>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</si>
  <si>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</si>
  <si>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</si>
  <si>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</si>
  <si>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</si>
  <si>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</si>
  <si>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</si>
  <si>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</si>
  <si>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</si>
  <si>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</si>
  <si>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</si>
  <si>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</si>
  <si>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</si>
  <si>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</si>
  <si>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</si>
  <si>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</si>
  <si>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</si>
  <si>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</si>
  <si>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</si>
  <si>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</si>
  <si>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</si>
  <si>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</si>
  <si>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</si>
  <si>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</si>
  <si>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</si>
  <si>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</si>
  <si>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</si>
  <si>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</si>
  <si>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</si>
  <si>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</si>
  <si>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</si>
  <si>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</si>
  <si>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</si>
  <si>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gsw_corrected</t>
  </si>
  <si>
    <t>T_in_corrected</t>
  </si>
  <si>
    <t>Ta_chamb_corrected</t>
  </si>
  <si>
    <t>T_out_corrected</t>
  </si>
  <si>
    <t>W_chamb_corrected</t>
  </si>
  <si>
    <t>stomatal_sidedness</t>
  </si>
  <si>
    <t>8:31:28</t>
  </si>
  <si>
    <t>2026-08-15</t>
  </si>
  <si>
    <t>lightfluoromete</t>
  </si>
  <si>
    <t>yun</t>
  </si>
  <si>
    <t>PSF-01106_20260815083128_3b7</t>
  </si>
  <si>
    <t>0:00:00</t>
  </si>
  <si>
    <t>0000-00-00</t>
  </si>
  <si>
    <t>8:31:02</t>
  </si>
  <si>
    <t>standard</t>
  </si>
  <si>
    <t>rectangular</t>
  </si>
  <si>
    <t>PFA-01006</t>
  </si>
  <si>
    <t>PSA-01011</t>
  </si>
  <si>
    <t>PSF-01106</t>
  </si>
  <si>
    <t>RHS-01988</t>
  </si>
  <si>
    <t>3.0.0</t>
  </si>
  <si>
    <t>2026-02-03T01:17:36.552Z</t>
  </si>
  <si>
    <t>8:32:07</t>
  </si>
  <si>
    <t>PSF-01106_20260815083207_36a</t>
  </si>
  <si>
    <t>8:32:49</t>
  </si>
  <si>
    <t>PSF-01106_20260815083249_034</t>
  </si>
  <si>
    <t>23:32:27</t>
  </si>
  <si>
    <t>2026-08-14</t>
  </si>
  <si>
    <t>8:33:14</t>
  </si>
  <si>
    <t>PSF-01106_20260815083314_694</t>
  </si>
  <si>
    <t>23:32:50</t>
  </si>
  <si>
    <t>8:33:37</t>
  </si>
  <si>
    <t>PSF-01106_20260815083337_9b8</t>
  </si>
  <si>
    <t>23:33:15</t>
  </si>
  <si>
    <t>8:34:23</t>
  </si>
  <si>
    <t>PSF-01106_20260815083423_e92</t>
  </si>
  <si>
    <t>23:34:01</t>
  </si>
  <si>
    <t>8:34:49</t>
  </si>
  <si>
    <t>PSF-01106_20260815083449_296</t>
  </si>
  <si>
    <t>23:34:27</t>
  </si>
  <si>
    <t>8:35:20</t>
  </si>
  <si>
    <t>PSF-01106_20260815083520_eee</t>
  </si>
  <si>
    <t>23:34:58</t>
  </si>
  <si>
    <t>8:35:56</t>
  </si>
  <si>
    <t>PSF-01106_20260815083556_069</t>
  </si>
  <si>
    <t>23:35:33</t>
  </si>
  <si>
    <t>8:37:30</t>
  </si>
  <si>
    <t>PSF-01106_20260815083730_6d4</t>
  </si>
  <si>
    <t>23:37:08</t>
  </si>
  <si>
    <t>8:37:51</t>
  </si>
  <si>
    <t>PSF-01106_20260815083751_d9e</t>
  </si>
  <si>
    <t>23:37:28</t>
  </si>
  <si>
    <t>8:38:15</t>
  </si>
  <si>
    <t>PSF-01106_20260815083815_2e5</t>
  </si>
  <si>
    <t>23:37:53</t>
  </si>
  <si>
    <t>8:38:43</t>
  </si>
  <si>
    <t>PSF-01106_20260815083843_4ef</t>
  </si>
  <si>
    <t>23:38:21</t>
  </si>
  <si>
    <t>8:39:06</t>
  </si>
  <si>
    <t>PSF-01106_20260815083906_ecd</t>
  </si>
  <si>
    <t>23:38:43</t>
  </si>
  <si>
    <t>8:39:45</t>
  </si>
  <si>
    <t>PSF-01106_20260815083945_512</t>
  </si>
  <si>
    <t>23:39:23</t>
  </si>
  <si>
    <t>8:40:00</t>
  </si>
  <si>
    <t>PSF-01106_20260815084000_4c1</t>
  </si>
  <si>
    <t>23:39:38</t>
  </si>
  <si>
    <t>8:40:35</t>
  </si>
  <si>
    <t>PSF-01106_20260815084035_f07</t>
  </si>
  <si>
    <t>23:40:13</t>
  </si>
  <si>
    <t>8:40:51</t>
  </si>
  <si>
    <t>PSF-01106_20260815084051_a05</t>
  </si>
  <si>
    <t>23:40:30</t>
  </si>
  <si>
    <t>보정gsw</t>
    <phoneticPr fontId="2" type="noConversion"/>
  </si>
  <si>
    <t>평균gsw</t>
    <phoneticPr fontId="2" type="noConversion"/>
  </si>
  <si>
    <t>처리</t>
    <phoneticPr fontId="2" type="noConversion"/>
  </si>
  <si>
    <t>처리_</t>
    <phoneticPr fontId="2" type="noConversion"/>
  </si>
  <si>
    <t>ETc</t>
    <phoneticPr fontId="2" type="noConversion"/>
  </si>
  <si>
    <t>ETc_침수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</si>
</sst>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" fontId="0" fillId="0" borderId="0" xfId="0" applyNumberFormat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gsw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Sheet1!$D$2:$D$25</c:f>
              <c:numCache>
                <c:formatCode>General</c:formatCode>
                <c:ptCount val="24"/>
                <c:pt idx="0">
                  <c:v>0.336204</c:v>
                </c:pt>
                <c:pt idx="1">
                  <c:v>0.46157500000000001</c:v>
                </c:pt>
                <c:pt idx="2">
                  <c:v>0.46071400000000001</c:v>
                </c:pt>
                <c:pt idx="3">
                  <c:v>0.39153500000000002</c:v>
                </c:pt>
                <c:pt idx="4">
                  <c:v>0.37562400000000001</c:v>
                </c:pt>
                <c:pt idx="5">
                  <c:v>0.40018399999999998</c:v>
                </c:pt>
                <c:pt idx="6">
                  <c:v>0.45441199999999998</c:v>
                </c:pt>
                <c:pt idx="7">
                  <c:v>0.462418</c:v>
                </c:pt>
                <c:pt idx="8">
                  <c:v>0.39863900000000002</c:v>
                </c:pt>
                <c:pt idx="12">
                  <c:v>0.30906099999999997</c:v>
                </c:pt>
                <c:pt idx="13">
                  <c:v>0.44106200000000001</c:v>
                </c:pt>
                <c:pt idx="14">
                  <c:v>0.41996299999999998</c:v>
                </c:pt>
                <c:pt idx="15">
                  <c:v>0.267148</c:v>
                </c:pt>
                <c:pt idx="16">
                  <c:v>0.25615100000000002</c:v>
                </c:pt>
                <c:pt idx="17">
                  <c:v>0.230521</c:v>
                </c:pt>
                <c:pt idx="18">
                  <c:v>0.27087800000000001</c:v>
                </c:pt>
                <c:pt idx="19">
                  <c:v>0.36256100000000002</c:v>
                </c:pt>
                <c:pt idx="20">
                  <c:v>0.32481599999999999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E-41FE-AB25-D3B3041D8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65039"/>
        <c:axId val="2075887408"/>
      </c:scatterChart>
      <c:valAx>
        <c:axId val="4096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5887408"/>
        <c:crosses val="autoZero"/>
        <c:crossBetween val="midCat"/>
      </c:valAx>
      <c:valAx>
        <c:axId val="20758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6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보정 </a:t>
            </a:r>
            <a:r>
              <a:rPr lang="en-US" altLang="ko-KR"/>
              <a:t>gsw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xVal>
          <c:yVal>
            <c:numRef>
              <c:f>Sheet1!$E$2:$E$25</c:f>
              <c:numCache>
                <c:formatCode>General</c:formatCode>
                <c:ptCount val="24"/>
                <c:pt idx="0">
                  <c:v>0.29422020409540051</c:v>
                </c:pt>
                <c:pt idx="1">
                  <c:v>0.38230750930837448</c:v>
                </c:pt>
                <c:pt idx="2">
                  <c:v>0.38146549284593878</c:v>
                </c:pt>
                <c:pt idx="3">
                  <c:v>0.33371069065716458</c:v>
                </c:pt>
                <c:pt idx="4">
                  <c:v>0.32240966523507908</c:v>
                </c:pt>
                <c:pt idx="5">
                  <c:v>0.33849894341239117</c:v>
                </c:pt>
                <c:pt idx="6">
                  <c:v>0.37695756568258548</c:v>
                </c:pt>
                <c:pt idx="7">
                  <c:v>0.38036709803141211</c:v>
                </c:pt>
                <c:pt idx="8">
                  <c:v>0.33672633718298861</c:v>
                </c:pt>
                <c:pt idx="12">
                  <c:v>0.27211453163217181</c:v>
                </c:pt>
                <c:pt idx="13">
                  <c:v>0.36780247514811748</c:v>
                </c:pt>
                <c:pt idx="14">
                  <c:v>0.35217053014476613</c:v>
                </c:pt>
                <c:pt idx="15">
                  <c:v>0.23907384162150519</c:v>
                </c:pt>
                <c:pt idx="16">
                  <c:v>0.23139620536004499</c:v>
                </c:pt>
                <c:pt idx="17">
                  <c:v>0.2109123357492827</c:v>
                </c:pt>
                <c:pt idx="18">
                  <c:v>0.24304267183917641</c:v>
                </c:pt>
                <c:pt idx="19">
                  <c:v>0.3103583483833427</c:v>
                </c:pt>
                <c:pt idx="20">
                  <c:v>0.28400294216022631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9-4D1F-9085-D4ACB2C2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28383"/>
        <c:axId val="2075874448"/>
      </c:scatterChart>
      <c:valAx>
        <c:axId val="4092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5874448"/>
        <c:crosses val="autoZero"/>
        <c:crossBetween val="midCat"/>
      </c:valAx>
      <c:valAx>
        <c:axId val="20758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92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305752</xdr:colOff>
      <xdr:row>8</xdr:row>
      <xdr:rowOff>188595</xdr:rowOff>
    </xdr:from>
    <xdr:to>
      <xdr:col>15</xdr:col>
      <xdr:colOff>199072</xdr:colOff>
      <xdr:row>21</xdr:row>
      <xdr:rowOff>74295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AA9E277-D2F4-6114-9D12-6103422F3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627697</xdr:colOff>
      <xdr:row>8</xdr:row>
      <xdr:rowOff>160020</xdr:rowOff>
    </xdr:from>
    <xdr:to>
      <xdr:col>22</xdr:col>
      <xdr:colOff>521017</xdr:colOff>
      <xdr:row>21</xdr:row>
      <xdr:rowOff>45720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A66BA85-0C6C-D482-0675-26E19E5E6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9"/>
  <sheetViews>
    <sheetView workbookViewId="0"/>
  </sheetViews>
  <sheetFormatPr defaultRowHeight="17.399999999999999" x14ac:dyDescent="0.4"/>
  <sheetData>
    <row r="1" spans="1:1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4">
      <c r="A2">
        <v>1</v>
      </c>
      <c r="B2" t="s">
        <v>130</v>
      </c>
      <c r="C2" t="s">
        <v>131</v>
      </c>
      <c r="D2" t="s">
        <v>132</v>
      </c>
      <c r="E2" t="s">
        <v>133</v>
      </c>
      <c r="I2">
        <v>1</v>
      </c>
      <c r="J2">
        <v>0.336204</v>
      </c>
      <c r="K2">
        <v>2.9168059999999998</v>
      </c>
      <c r="L2">
        <v>0.30145699999999997</v>
      </c>
      <c r="M2">
        <v>3.135383</v>
      </c>
      <c r="N2">
        <v>2.2283870000000001</v>
      </c>
      <c r="O2">
        <v>2.1412270000000002</v>
      </c>
      <c r="P2">
        <v>3.244691</v>
      </c>
      <c r="Q2">
        <v>1.0163040000000001</v>
      </c>
      <c r="R2">
        <v>21.316186999999999</v>
      </c>
      <c r="S2">
        <v>22.183878</v>
      </c>
      <c r="T2">
        <v>32.301310999999998</v>
      </c>
      <c r="U2">
        <v>0.44178600000000001</v>
      </c>
      <c r="V2">
        <v>7.5</v>
      </c>
      <c r="W2" t="s">
        <v>134</v>
      </c>
      <c r="X2">
        <v>0</v>
      </c>
      <c r="Y2">
        <v>0</v>
      </c>
      <c r="Z2">
        <v>0</v>
      </c>
      <c r="AA2">
        <v>137.01010099999999</v>
      </c>
      <c r="AB2">
        <v>553.09045400000002</v>
      </c>
      <c r="AC2">
        <v>0.75228300000000004</v>
      </c>
      <c r="AD2">
        <v>0.5</v>
      </c>
      <c r="AE2">
        <v>0.84</v>
      </c>
      <c r="AF2">
        <v>56.507438999999998</v>
      </c>
      <c r="AG2">
        <v>1</v>
      </c>
      <c r="AH2">
        <v>64.89</v>
      </c>
      <c r="AI2">
        <v>62.36</v>
      </c>
      <c r="AJ2">
        <v>26.3</v>
      </c>
      <c r="AK2">
        <v>25.34</v>
      </c>
      <c r="AL2">
        <v>25.34</v>
      </c>
      <c r="AM2">
        <v>100.45</v>
      </c>
      <c r="AN2">
        <v>156.1</v>
      </c>
      <c r="AO2">
        <v>156</v>
      </c>
      <c r="AP2">
        <v>0.1</v>
      </c>
      <c r="AQ2">
        <v>179</v>
      </c>
      <c r="AR2">
        <v>3.91</v>
      </c>
      <c r="AS2">
        <v>-31</v>
      </c>
      <c r="AT2">
        <v>-81</v>
      </c>
      <c r="AU2">
        <v>184</v>
      </c>
      <c r="AX2">
        <v>82.29</v>
      </c>
      <c r="AY2">
        <v>-81.34</v>
      </c>
      <c r="BC2" t="s">
        <v>135</v>
      </c>
      <c r="BD2" t="s">
        <v>136</v>
      </c>
      <c r="BH2">
        <v>0</v>
      </c>
      <c r="BJ2" t="s">
        <v>137</v>
      </c>
      <c r="BK2" t="s">
        <v>131</v>
      </c>
      <c r="BL2">
        <v>-2.44</v>
      </c>
      <c r="BM2">
        <v>1</v>
      </c>
      <c r="BN2">
        <v>-2E-3</v>
      </c>
      <c r="BO2">
        <v>1E-3</v>
      </c>
      <c r="BP2">
        <v>0</v>
      </c>
      <c r="BQ2">
        <v>-0.14699999999999999</v>
      </c>
      <c r="BR2">
        <v>-0.11</v>
      </c>
      <c r="BS2">
        <v>-0.622</v>
      </c>
      <c r="BT2">
        <v>1</v>
      </c>
      <c r="BU2">
        <v>150</v>
      </c>
      <c r="BV2">
        <v>1E-3</v>
      </c>
      <c r="BW2">
        <v>2</v>
      </c>
      <c r="BX2">
        <v>5.8904999999999999E-2</v>
      </c>
      <c r="BY2">
        <v>0</v>
      </c>
      <c r="BZ2">
        <v>2.9229999999999999E-2</v>
      </c>
      <c r="CA2">
        <v>0</v>
      </c>
      <c r="CB2">
        <v>0</v>
      </c>
      <c r="CC2">
        <v>-6.7999999999999999E-5</v>
      </c>
      <c r="CD2" t="s">
        <v>138</v>
      </c>
      <c r="CE2">
        <v>0</v>
      </c>
      <c r="CF2" t="s">
        <v>139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2.5219079999999998</v>
      </c>
      <c r="CU2">
        <v>2.4651480000000001</v>
      </c>
      <c r="CV2">
        <v>1.6709069999999999</v>
      </c>
      <c r="CW2">
        <v>0.94404200000000005</v>
      </c>
      <c r="CX2">
        <v>0.25899800000000001</v>
      </c>
      <c r="CY2">
        <v>-1.0364E-2</v>
      </c>
      <c r="CZ2">
        <v>7.0382E-2</v>
      </c>
      <c r="DA2">
        <v>0.26302300000000001</v>
      </c>
      <c r="DB2">
        <v>137.01010099999999</v>
      </c>
      <c r="DC2">
        <v>3.4099999999999999E-4</v>
      </c>
      <c r="DD2">
        <v>2.4228710000000002</v>
      </c>
      <c r="DE2">
        <v>-2.6999999999999999E-5</v>
      </c>
      <c r="DF2">
        <v>1</v>
      </c>
      <c r="DG2">
        <v>2.36666</v>
      </c>
      <c r="DH2">
        <v>-1.1E-5</v>
      </c>
      <c r="DI2">
        <v>1</v>
      </c>
      <c r="DJ2">
        <v>0.600352</v>
      </c>
      <c r="DK2">
        <v>0.60130700000000004</v>
      </c>
      <c r="DL2">
        <v>0.107059</v>
      </c>
      <c r="DM2">
        <v>0</v>
      </c>
      <c r="DN2" t="s">
        <v>134</v>
      </c>
      <c r="DO2" t="s">
        <v>140</v>
      </c>
      <c r="DP2" t="s">
        <v>141</v>
      </c>
      <c r="DQ2" t="s">
        <v>142</v>
      </c>
      <c r="DR2" t="s">
        <v>143</v>
      </c>
      <c r="DS2" t="s">
        <v>144</v>
      </c>
      <c r="DT2" t="s">
        <v>145</v>
      </c>
      <c r="DU2">
        <v>0.29422020409540051</v>
      </c>
      <c r="DV2">
        <v>26.3</v>
      </c>
      <c r="DW2">
        <v>25.384921372513251</v>
      </c>
      <c r="DX2">
        <v>24.469842745026501</v>
      </c>
      <c r="DY2">
        <v>2.0606916660934779E-2</v>
      </c>
      <c r="DZ2">
        <v>1</v>
      </c>
    </row>
    <row r="3" spans="1:130" x14ac:dyDescent="0.4">
      <c r="A3">
        <v>2</v>
      </c>
      <c r="B3" t="s">
        <v>146</v>
      </c>
      <c r="C3" t="s">
        <v>131</v>
      </c>
      <c r="D3" t="s">
        <v>132</v>
      </c>
      <c r="E3" t="s">
        <v>133</v>
      </c>
      <c r="I3">
        <v>2</v>
      </c>
      <c r="J3">
        <v>0.46157500000000001</v>
      </c>
      <c r="K3">
        <v>2.9145810000000001</v>
      </c>
      <c r="L3">
        <v>0.39846999999999999</v>
      </c>
      <c r="M3">
        <v>3.8536540000000001</v>
      </c>
      <c r="N3">
        <v>2.29786</v>
      </c>
      <c r="O3">
        <v>2.1906099999999999</v>
      </c>
      <c r="P3">
        <v>3.2426360000000001</v>
      </c>
      <c r="Q3">
        <v>0.94477599999999995</v>
      </c>
      <c r="R3">
        <v>21.805634000000001</v>
      </c>
      <c r="S3">
        <v>22.873211000000001</v>
      </c>
      <c r="T3">
        <v>32.277645</v>
      </c>
      <c r="U3">
        <v>0.44178600000000001</v>
      </c>
      <c r="V3">
        <v>7.5</v>
      </c>
      <c r="W3" t="s">
        <v>147</v>
      </c>
      <c r="X3">
        <v>0</v>
      </c>
      <c r="Y3">
        <v>0</v>
      </c>
      <c r="Z3">
        <v>0</v>
      </c>
      <c r="AA3">
        <v>115.610359</v>
      </c>
      <c r="AB3">
        <v>498.522156</v>
      </c>
      <c r="AC3">
        <v>0.76809400000000005</v>
      </c>
      <c r="AD3">
        <v>0.5</v>
      </c>
      <c r="AE3">
        <v>0.84</v>
      </c>
      <c r="AF3">
        <v>96.388458</v>
      </c>
      <c r="AG3">
        <v>1</v>
      </c>
      <c r="AH3">
        <v>66.45</v>
      </c>
      <c r="AI3">
        <v>63.35</v>
      </c>
      <c r="AJ3">
        <v>26.41</v>
      </c>
      <c r="AK3">
        <v>25.33</v>
      </c>
      <c r="AL3">
        <v>25.33</v>
      </c>
      <c r="AM3">
        <v>100.46</v>
      </c>
      <c r="AN3">
        <v>155.80000000000001</v>
      </c>
      <c r="AO3">
        <v>154.80000000000001</v>
      </c>
      <c r="AP3">
        <v>0.7</v>
      </c>
      <c r="AQ3">
        <v>299</v>
      </c>
      <c r="AR3">
        <v>3.9079999999999999</v>
      </c>
      <c r="AS3">
        <v>-26</v>
      </c>
      <c r="AT3">
        <v>-1</v>
      </c>
      <c r="AU3">
        <v>194</v>
      </c>
      <c r="AX3">
        <v>26.02</v>
      </c>
      <c r="AY3">
        <v>11.72</v>
      </c>
      <c r="BC3" t="s">
        <v>135</v>
      </c>
      <c r="BD3" t="s">
        <v>136</v>
      </c>
      <c r="BH3">
        <v>0</v>
      </c>
      <c r="BJ3" t="s">
        <v>137</v>
      </c>
      <c r="BK3" t="s">
        <v>131</v>
      </c>
      <c r="BL3">
        <v>-2.44</v>
      </c>
      <c r="BM3">
        <v>1</v>
      </c>
      <c r="BN3">
        <v>-2E-3</v>
      </c>
      <c r="BO3">
        <v>0</v>
      </c>
      <c r="BP3">
        <v>2E-3</v>
      </c>
      <c r="BQ3">
        <v>0.13400000000000001</v>
      </c>
      <c r="BR3">
        <v>0.13200000000000001</v>
      </c>
      <c r="BS3">
        <v>-0.24299999999999999</v>
      </c>
      <c r="BT3">
        <v>1</v>
      </c>
      <c r="BU3">
        <v>150</v>
      </c>
      <c r="BV3">
        <v>1E-3</v>
      </c>
      <c r="BW3">
        <v>2</v>
      </c>
      <c r="BX3">
        <v>5.8904999999999999E-2</v>
      </c>
      <c r="BY3">
        <v>0</v>
      </c>
      <c r="BZ3">
        <v>2.9229999999999999E-2</v>
      </c>
      <c r="CA3">
        <v>0</v>
      </c>
      <c r="CB3">
        <v>0</v>
      </c>
      <c r="CC3">
        <v>-6.7999999999999999E-5</v>
      </c>
      <c r="CD3" t="s">
        <v>138</v>
      </c>
      <c r="CE3">
        <v>0</v>
      </c>
      <c r="CF3" t="s">
        <v>139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2.523253</v>
      </c>
      <c r="CU3">
        <v>2.4670879999999999</v>
      </c>
      <c r="CV3">
        <v>1.6685719999999999</v>
      </c>
      <c r="CW3">
        <v>0.94098899999999996</v>
      </c>
      <c r="CX3">
        <v>0.25778200000000001</v>
      </c>
      <c r="CY3">
        <v>-1.1894E-2</v>
      </c>
      <c r="CZ3">
        <v>7.6472999999999999E-2</v>
      </c>
      <c r="DA3">
        <v>0.36762</v>
      </c>
      <c r="DB3">
        <v>115.610359</v>
      </c>
      <c r="DC3">
        <v>3.3399999999999999E-4</v>
      </c>
      <c r="DD3">
        <v>2.4228710000000002</v>
      </c>
      <c r="DE3">
        <v>-2.6999999999999999E-5</v>
      </c>
      <c r="DF3">
        <v>1</v>
      </c>
      <c r="DG3">
        <v>2.36666</v>
      </c>
      <c r="DH3">
        <v>-1.1E-5</v>
      </c>
      <c r="DI3">
        <v>1</v>
      </c>
      <c r="DJ3">
        <v>0.600352</v>
      </c>
      <c r="DK3">
        <v>0.60130700000000004</v>
      </c>
      <c r="DL3">
        <v>0.107059</v>
      </c>
      <c r="DM3">
        <v>0</v>
      </c>
      <c r="DN3" t="s">
        <v>147</v>
      </c>
      <c r="DO3" t="s">
        <v>140</v>
      </c>
      <c r="DP3" t="s">
        <v>141</v>
      </c>
      <c r="DQ3" t="s">
        <v>142</v>
      </c>
      <c r="DR3" t="s">
        <v>143</v>
      </c>
      <c r="DS3" t="s">
        <v>144</v>
      </c>
      <c r="DT3" t="s">
        <v>145</v>
      </c>
      <c r="DU3">
        <v>0.38230750930837448</v>
      </c>
      <c r="DV3">
        <v>26.41</v>
      </c>
      <c r="DW3">
        <v>25.282863589686219</v>
      </c>
      <c r="DX3">
        <v>24.155727179372441</v>
      </c>
      <c r="DY3">
        <v>2.0890594571455989E-2</v>
      </c>
      <c r="DZ3">
        <v>1</v>
      </c>
    </row>
    <row r="4" spans="1:130" x14ac:dyDescent="0.4">
      <c r="A4">
        <v>3</v>
      </c>
      <c r="B4" t="s">
        <v>148</v>
      </c>
      <c r="C4" t="s">
        <v>131</v>
      </c>
      <c r="D4" t="s">
        <v>132</v>
      </c>
      <c r="E4" t="s">
        <v>133</v>
      </c>
      <c r="I4">
        <v>3</v>
      </c>
      <c r="J4">
        <v>0.46071400000000001</v>
      </c>
      <c r="K4">
        <v>2.917468</v>
      </c>
      <c r="L4">
        <v>0.39788200000000001</v>
      </c>
      <c r="M4">
        <v>3.7499120000000001</v>
      </c>
      <c r="N4">
        <v>2.352716</v>
      </c>
      <c r="O4">
        <v>2.2486419999999998</v>
      </c>
      <c r="P4">
        <v>3.2730700000000001</v>
      </c>
      <c r="Q4">
        <v>0.92035400000000001</v>
      </c>
      <c r="R4">
        <v>22.382006000000001</v>
      </c>
      <c r="S4">
        <v>23.417912000000001</v>
      </c>
      <c r="T4">
        <v>32.578716</v>
      </c>
      <c r="U4">
        <v>0.44178600000000001</v>
      </c>
      <c r="V4">
        <v>7.5</v>
      </c>
      <c r="W4" t="s">
        <v>149</v>
      </c>
      <c r="X4">
        <v>0</v>
      </c>
      <c r="Y4">
        <v>0</v>
      </c>
      <c r="Z4">
        <v>0</v>
      </c>
      <c r="AA4">
        <v>134.12081900000001</v>
      </c>
      <c r="AB4">
        <v>525.72259499999996</v>
      </c>
      <c r="AC4">
        <v>0.74488299999999996</v>
      </c>
      <c r="AD4">
        <v>0.5</v>
      </c>
      <c r="AE4">
        <v>0.84</v>
      </c>
      <c r="AF4">
        <v>87.168571</v>
      </c>
      <c r="AG4">
        <v>1</v>
      </c>
      <c r="AH4">
        <v>67.489999999999995</v>
      </c>
      <c r="AI4">
        <v>64.5</v>
      </c>
      <c r="AJ4">
        <v>26.55</v>
      </c>
      <c r="AK4">
        <v>25.49</v>
      </c>
      <c r="AL4">
        <v>25.49</v>
      </c>
      <c r="AM4">
        <v>100.47</v>
      </c>
      <c r="AN4">
        <v>156.19999999999999</v>
      </c>
      <c r="AO4">
        <v>155.19999999999999</v>
      </c>
      <c r="AP4">
        <v>0.6</v>
      </c>
      <c r="AQ4">
        <v>279</v>
      </c>
      <c r="AR4">
        <v>3.9079999999999999</v>
      </c>
      <c r="AS4">
        <v>-13</v>
      </c>
      <c r="AT4">
        <v>-42</v>
      </c>
      <c r="AU4">
        <v>114</v>
      </c>
      <c r="AV4">
        <v>45.76</v>
      </c>
      <c r="AW4">
        <v>69.760000000000005</v>
      </c>
      <c r="AX4">
        <v>43.61</v>
      </c>
      <c r="AY4">
        <v>-141.97</v>
      </c>
      <c r="AZ4">
        <v>14.11</v>
      </c>
      <c r="BA4">
        <v>95.23</v>
      </c>
      <c r="BB4">
        <v>58.39</v>
      </c>
      <c r="BC4" t="s">
        <v>150</v>
      </c>
      <c r="BD4" t="s">
        <v>151</v>
      </c>
      <c r="BE4">
        <v>35.850417999999998</v>
      </c>
      <c r="BF4">
        <v>127.129715</v>
      </c>
      <c r="BG4">
        <v>-0.8</v>
      </c>
      <c r="BH4">
        <v>5</v>
      </c>
      <c r="BI4">
        <v>1.86</v>
      </c>
      <c r="BJ4" t="s">
        <v>137</v>
      </c>
      <c r="BK4" t="s">
        <v>131</v>
      </c>
      <c r="BL4">
        <v>-2.44</v>
      </c>
      <c r="BM4">
        <v>1</v>
      </c>
      <c r="BN4">
        <v>0</v>
      </c>
      <c r="BO4">
        <v>1E-3</v>
      </c>
      <c r="BP4">
        <v>-2E-3</v>
      </c>
      <c r="BQ4">
        <v>0.02</v>
      </c>
      <c r="BR4">
        <v>-0.13100000000000001</v>
      </c>
      <c r="BS4">
        <v>-0.1</v>
      </c>
      <c r="BT4">
        <v>1</v>
      </c>
      <c r="BU4">
        <v>150</v>
      </c>
      <c r="BV4">
        <v>1E-3</v>
      </c>
      <c r="BW4">
        <v>2</v>
      </c>
      <c r="BX4">
        <v>5.8904999999999999E-2</v>
      </c>
      <c r="BY4">
        <v>0</v>
      </c>
      <c r="BZ4">
        <v>2.9229999999999999E-2</v>
      </c>
      <c r="CA4">
        <v>0</v>
      </c>
      <c r="CB4">
        <v>0</v>
      </c>
      <c r="CC4">
        <v>-6.7999999999999999E-5</v>
      </c>
      <c r="CD4" t="s">
        <v>138</v>
      </c>
      <c r="CE4">
        <v>0</v>
      </c>
      <c r="CF4" t="s">
        <v>139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2.5248059999999999</v>
      </c>
      <c r="CU4">
        <v>2.4683660000000001</v>
      </c>
      <c r="CV4">
        <v>1.671605</v>
      </c>
      <c r="CW4">
        <v>0.94198400000000004</v>
      </c>
      <c r="CX4">
        <v>0.25637100000000002</v>
      </c>
      <c r="CY4">
        <v>-1.1690000000000001E-2</v>
      </c>
      <c r="CZ4">
        <v>8.2869999999999999E-2</v>
      </c>
      <c r="DA4">
        <v>0.35003899999999999</v>
      </c>
      <c r="DB4">
        <v>134.12081900000001</v>
      </c>
      <c r="DC4">
        <v>3.3399999999999999E-4</v>
      </c>
      <c r="DD4">
        <v>2.4228710000000002</v>
      </c>
      <c r="DE4">
        <v>-2.6999999999999999E-5</v>
      </c>
      <c r="DF4">
        <v>1</v>
      </c>
      <c r="DG4">
        <v>2.36666</v>
      </c>
      <c r="DH4">
        <v>-1.1E-5</v>
      </c>
      <c r="DI4">
        <v>1</v>
      </c>
      <c r="DJ4">
        <v>0.600352</v>
      </c>
      <c r="DK4">
        <v>0.60130700000000004</v>
      </c>
      <c r="DL4">
        <v>0.107059</v>
      </c>
      <c r="DM4">
        <v>0</v>
      </c>
      <c r="DN4" t="s">
        <v>149</v>
      </c>
      <c r="DO4" t="s">
        <v>140</v>
      </c>
      <c r="DP4" t="s">
        <v>141</v>
      </c>
      <c r="DQ4" t="s">
        <v>142</v>
      </c>
      <c r="DR4" t="s">
        <v>143</v>
      </c>
      <c r="DS4" t="s">
        <v>144</v>
      </c>
      <c r="DT4" t="s">
        <v>145</v>
      </c>
      <c r="DU4">
        <v>0.38146549284593878</v>
      </c>
      <c r="DV4">
        <v>26.55</v>
      </c>
      <c r="DW4">
        <v>25.450415043748588</v>
      </c>
      <c r="DX4">
        <v>24.350830087497179</v>
      </c>
      <c r="DY4">
        <v>2.1453603803299241E-2</v>
      </c>
      <c r="DZ4">
        <v>1</v>
      </c>
    </row>
    <row r="5" spans="1:130" x14ac:dyDescent="0.4">
      <c r="A5">
        <v>4</v>
      </c>
      <c r="B5" t="s">
        <v>152</v>
      </c>
      <c r="C5" t="s">
        <v>131</v>
      </c>
      <c r="D5" t="s">
        <v>132</v>
      </c>
      <c r="E5" t="s">
        <v>133</v>
      </c>
      <c r="I5">
        <v>4</v>
      </c>
      <c r="J5">
        <v>0.39153500000000002</v>
      </c>
      <c r="K5">
        <v>2.9165860000000001</v>
      </c>
      <c r="L5">
        <v>0.34519499999999997</v>
      </c>
      <c r="M5">
        <v>3.448232</v>
      </c>
      <c r="N5">
        <v>2.3363109999999998</v>
      </c>
      <c r="O5">
        <v>2.2405240000000002</v>
      </c>
      <c r="P5">
        <v>3.311712</v>
      </c>
      <c r="Q5">
        <v>0.97540099999999996</v>
      </c>
      <c r="R5">
        <v>22.300598000000001</v>
      </c>
      <c r="S5">
        <v>23.253986000000001</v>
      </c>
      <c r="T5">
        <v>32.962440000000001</v>
      </c>
      <c r="U5">
        <v>0.44178600000000001</v>
      </c>
      <c r="V5">
        <v>7.5</v>
      </c>
      <c r="W5" t="s">
        <v>153</v>
      </c>
      <c r="X5">
        <v>0</v>
      </c>
      <c r="Y5">
        <v>0</v>
      </c>
      <c r="Z5">
        <v>0</v>
      </c>
      <c r="AA5">
        <v>117.353081</v>
      </c>
      <c r="AB5">
        <v>498.17275999999998</v>
      </c>
      <c r="AC5">
        <v>0.76443300000000003</v>
      </c>
      <c r="AD5">
        <v>0.5</v>
      </c>
      <c r="AE5">
        <v>0.84</v>
      </c>
      <c r="AF5">
        <v>92.912070999999997</v>
      </c>
      <c r="AG5">
        <v>1</v>
      </c>
      <c r="AH5">
        <v>66.709999999999994</v>
      </c>
      <c r="AI5">
        <v>63.98</v>
      </c>
      <c r="AJ5">
        <v>26.63</v>
      </c>
      <c r="AK5">
        <v>25.68</v>
      </c>
      <c r="AL5">
        <v>25.68</v>
      </c>
      <c r="AM5">
        <v>100.47</v>
      </c>
      <c r="AN5">
        <v>156.1</v>
      </c>
      <c r="AO5">
        <v>144.4</v>
      </c>
      <c r="AP5">
        <v>7.5</v>
      </c>
      <c r="AQ5">
        <v>289</v>
      </c>
      <c r="AR5">
        <v>3.907</v>
      </c>
      <c r="AS5">
        <v>-30</v>
      </c>
      <c r="AT5">
        <v>-34</v>
      </c>
      <c r="AU5">
        <v>127</v>
      </c>
      <c r="AV5">
        <v>22</v>
      </c>
      <c r="AW5">
        <v>92.72</v>
      </c>
      <c r="AX5">
        <v>44.11</v>
      </c>
      <c r="AY5">
        <v>-106.45</v>
      </c>
      <c r="AZ5">
        <v>14.11</v>
      </c>
      <c r="BA5">
        <v>95.23</v>
      </c>
      <c r="BB5">
        <v>58.39</v>
      </c>
      <c r="BC5" t="s">
        <v>154</v>
      </c>
      <c r="BD5" t="s">
        <v>151</v>
      </c>
      <c r="BE5">
        <v>35.850349000000001</v>
      </c>
      <c r="BF5">
        <v>127.129677</v>
      </c>
      <c r="BG5">
        <v>38.900002000000001</v>
      </c>
      <c r="BH5">
        <v>7</v>
      </c>
      <c r="BI5">
        <v>1.51</v>
      </c>
      <c r="BJ5" t="s">
        <v>137</v>
      </c>
      <c r="BK5" t="s">
        <v>131</v>
      </c>
      <c r="BL5">
        <v>-2.44</v>
      </c>
      <c r="BM5">
        <v>1</v>
      </c>
      <c r="BN5">
        <v>-2E-3</v>
      </c>
      <c r="BO5">
        <v>0</v>
      </c>
      <c r="BP5">
        <v>-5.0000000000000001E-3</v>
      </c>
      <c r="BQ5">
        <v>0.16600000000000001</v>
      </c>
      <c r="BR5">
        <v>-0.27700000000000002</v>
      </c>
      <c r="BS5">
        <v>-0.34399999999999997</v>
      </c>
      <c r="BT5">
        <v>1</v>
      </c>
      <c r="BU5">
        <v>150</v>
      </c>
      <c r="BV5">
        <v>1E-3</v>
      </c>
      <c r="BW5">
        <v>2</v>
      </c>
      <c r="BX5">
        <v>5.8904999999999999E-2</v>
      </c>
      <c r="BY5">
        <v>0</v>
      </c>
      <c r="BZ5">
        <v>2.9229999999999999E-2</v>
      </c>
      <c r="CA5">
        <v>0</v>
      </c>
      <c r="CB5">
        <v>0</v>
      </c>
      <c r="CC5">
        <v>-6.7999999999999999E-5</v>
      </c>
      <c r="CD5" t="s">
        <v>138</v>
      </c>
      <c r="CE5">
        <v>0</v>
      </c>
      <c r="CF5" t="s">
        <v>139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2.5240710000000002</v>
      </c>
      <c r="CU5">
        <v>2.4673780000000001</v>
      </c>
      <c r="CV5">
        <v>1.670676</v>
      </c>
      <c r="CW5">
        <v>0.91445600000000005</v>
      </c>
      <c r="CX5">
        <v>0.25558700000000001</v>
      </c>
      <c r="CY5">
        <v>-1.0279999999999999E-2</v>
      </c>
      <c r="CZ5">
        <v>8.6482000000000003E-2</v>
      </c>
      <c r="DA5">
        <v>0.35942600000000002</v>
      </c>
      <c r="DB5">
        <v>117.353081</v>
      </c>
      <c r="DC5">
        <v>3.3700000000000001E-4</v>
      </c>
      <c r="DD5">
        <v>2.4228710000000002</v>
      </c>
      <c r="DE5">
        <v>-2.6999999999999999E-5</v>
      </c>
      <c r="DF5">
        <v>1</v>
      </c>
      <c r="DG5">
        <v>2.36666</v>
      </c>
      <c r="DH5">
        <v>-1.1E-5</v>
      </c>
      <c r="DI5">
        <v>1</v>
      </c>
      <c r="DJ5">
        <v>0.600352</v>
      </c>
      <c r="DK5">
        <v>0.60130700000000004</v>
      </c>
      <c r="DL5">
        <v>0.107059</v>
      </c>
      <c r="DM5">
        <v>0</v>
      </c>
      <c r="DN5" t="s">
        <v>153</v>
      </c>
      <c r="DO5" t="s">
        <v>140</v>
      </c>
      <c r="DP5" t="s">
        <v>141</v>
      </c>
      <c r="DQ5" t="s">
        <v>142</v>
      </c>
      <c r="DR5" t="s">
        <v>143</v>
      </c>
      <c r="DS5" t="s">
        <v>144</v>
      </c>
      <c r="DT5" t="s">
        <v>145</v>
      </c>
      <c r="DU5">
        <v>0.33371069065716458</v>
      </c>
      <c r="DV5">
        <v>26.63</v>
      </c>
      <c r="DW5">
        <v>25.622042245799769</v>
      </c>
      <c r="DX5">
        <v>24.614084491599542</v>
      </c>
      <c r="DY5">
        <v>2.1459892105350799E-2</v>
      </c>
      <c r="DZ5">
        <v>1</v>
      </c>
    </row>
    <row r="6" spans="1:130" x14ac:dyDescent="0.4">
      <c r="A6">
        <v>5</v>
      </c>
      <c r="B6" t="s">
        <v>155</v>
      </c>
      <c r="C6" t="s">
        <v>131</v>
      </c>
      <c r="D6" t="s">
        <v>132</v>
      </c>
      <c r="E6" t="s">
        <v>133</v>
      </c>
      <c r="I6">
        <v>5</v>
      </c>
      <c r="J6">
        <v>0.37562400000000001</v>
      </c>
      <c r="K6">
        <v>2.9168059999999998</v>
      </c>
      <c r="L6">
        <v>0.33277000000000001</v>
      </c>
      <c r="M6">
        <v>3.1994349999999998</v>
      </c>
      <c r="N6">
        <v>2.3794309999999999</v>
      </c>
      <c r="O6">
        <v>2.2906040000000001</v>
      </c>
      <c r="P6">
        <v>3.318076</v>
      </c>
      <c r="Q6">
        <v>0.93864499999999995</v>
      </c>
      <c r="R6">
        <v>22.797466</v>
      </c>
      <c r="S6">
        <v>23.681524</v>
      </c>
      <c r="T6">
        <v>33.023482999999999</v>
      </c>
      <c r="U6">
        <v>0.44178600000000001</v>
      </c>
      <c r="V6">
        <v>7.5</v>
      </c>
      <c r="W6" t="s">
        <v>156</v>
      </c>
      <c r="X6">
        <v>0</v>
      </c>
      <c r="Y6">
        <v>0</v>
      </c>
      <c r="Z6">
        <v>0</v>
      </c>
      <c r="AA6">
        <v>118.705276</v>
      </c>
      <c r="AB6">
        <v>507.21896400000003</v>
      </c>
      <c r="AC6">
        <v>0.76596799999999998</v>
      </c>
      <c r="AD6">
        <v>0.5</v>
      </c>
      <c r="AE6">
        <v>0.84</v>
      </c>
      <c r="AF6">
        <v>99.480796999999995</v>
      </c>
      <c r="AG6">
        <v>1</v>
      </c>
      <c r="AH6">
        <v>67.63</v>
      </c>
      <c r="AI6">
        <v>65.099999999999994</v>
      </c>
      <c r="AJ6">
        <v>26.71</v>
      </c>
      <c r="AK6">
        <v>25.72</v>
      </c>
      <c r="AL6">
        <v>25.72</v>
      </c>
      <c r="AM6">
        <v>100.48</v>
      </c>
      <c r="AN6">
        <v>156.1</v>
      </c>
      <c r="AO6">
        <v>152</v>
      </c>
      <c r="AP6">
        <v>2.6</v>
      </c>
      <c r="AQ6">
        <v>309</v>
      </c>
      <c r="AR6">
        <v>3.9060000000000001</v>
      </c>
      <c r="AS6">
        <v>-17</v>
      </c>
      <c r="AT6">
        <v>-13</v>
      </c>
      <c r="AU6">
        <v>131</v>
      </c>
      <c r="AV6">
        <v>36.94</v>
      </c>
      <c r="AW6">
        <v>79.92</v>
      </c>
      <c r="AX6">
        <v>21.28</v>
      </c>
      <c r="AY6">
        <v>-87.3</v>
      </c>
      <c r="AZ6">
        <v>14.11</v>
      </c>
      <c r="BA6">
        <v>95.39</v>
      </c>
      <c r="BB6">
        <v>58.19</v>
      </c>
      <c r="BC6" t="s">
        <v>157</v>
      </c>
      <c r="BD6" t="s">
        <v>151</v>
      </c>
      <c r="BE6">
        <v>35.850327</v>
      </c>
      <c r="BF6">
        <v>127.129677</v>
      </c>
      <c r="BG6">
        <v>40.799999</v>
      </c>
      <c r="BH6">
        <v>7</v>
      </c>
      <c r="BI6">
        <v>1.49</v>
      </c>
      <c r="BJ6" t="s">
        <v>137</v>
      </c>
      <c r="BK6" t="s">
        <v>131</v>
      </c>
      <c r="BL6">
        <v>-2.44</v>
      </c>
      <c r="BM6">
        <v>1</v>
      </c>
      <c r="BN6">
        <v>0</v>
      </c>
      <c r="BO6">
        <v>-1E-3</v>
      </c>
      <c r="BP6">
        <v>-4.0000000000000001E-3</v>
      </c>
      <c r="BQ6">
        <v>0.114</v>
      </c>
      <c r="BR6">
        <v>-1E-3</v>
      </c>
      <c r="BS6">
        <v>0.16</v>
      </c>
      <c r="BT6">
        <v>1</v>
      </c>
      <c r="BU6">
        <v>150</v>
      </c>
      <c r="BV6">
        <v>1E-3</v>
      </c>
      <c r="BW6">
        <v>2</v>
      </c>
      <c r="BX6">
        <v>5.8904999999999999E-2</v>
      </c>
      <c r="BY6">
        <v>0</v>
      </c>
      <c r="BZ6">
        <v>2.9229999999999999E-2</v>
      </c>
      <c r="CA6">
        <v>0</v>
      </c>
      <c r="CB6">
        <v>0</v>
      </c>
      <c r="CC6">
        <v>-6.7999999999999999E-5</v>
      </c>
      <c r="CD6" t="s">
        <v>138</v>
      </c>
      <c r="CE6">
        <v>0</v>
      </c>
      <c r="CF6" t="s">
        <v>139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2.525604</v>
      </c>
      <c r="CU6">
        <v>2.4685190000000001</v>
      </c>
      <c r="CV6">
        <v>1.6709080000000001</v>
      </c>
      <c r="CW6">
        <v>0.93374999999999997</v>
      </c>
      <c r="CX6">
        <v>0.25478899999999999</v>
      </c>
      <c r="CY6">
        <v>-1.0836E-2</v>
      </c>
      <c r="CZ6">
        <v>8.9884000000000006E-2</v>
      </c>
      <c r="DA6">
        <v>0.37672600000000001</v>
      </c>
      <c r="DB6">
        <v>118.705276</v>
      </c>
      <c r="DC6">
        <v>3.39E-4</v>
      </c>
      <c r="DD6">
        <v>2.4228710000000002</v>
      </c>
      <c r="DE6">
        <v>-2.6999999999999999E-5</v>
      </c>
      <c r="DF6">
        <v>1</v>
      </c>
      <c r="DG6">
        <v>2.36666</v>
      </c>
      <c r="DH6">
        <v>-1.1E-5</v>
      </c>
      <c r="DI6">
        <v>1</v>
      </c>
      <c r="DJ6">
        <v>0.600352</v>
      </c>
      <c r="DK6">
        <v>0.60130700000000004</v>
      </c>
      <c r="DL6">
        <v>0.107059</v>
      </c>
      <c r="DM6">
        <v>0</v>
      </c>
      <c r="DN6" t="s">
        <v>156</v>
      </c>
      <c r="DO6" t="s">
        <v>140</v>
      </c>
      <c r="DP6" t="s">
        <v>141</v>
      </c>
      <c r="DQ6" t="s">
        <v>142</v>
      </c>
      <c r="DR6" t="s">
        <v>143</v>
      </c>
      <c r="DS6" t="s">
        <v>144</v>
      </c>
      <c r="DT6" t="s">
        <v>145</v>
      </c>
      <c r="DU6">
        <v>0.32240966523507908</v>
      </c>
      <c r="DV6">
        <v>26.71</v>
      </c>
      <c r="DW6">
        <v>25.771101279147821</v>
      </c>
      <c r="DX6">
        <v>24.832202558295641</v>
      </c>
      <c r="DY6">
        <v>2.1986210549580221E-2</v>
      </c>
      <c r="DZ6">
        <v>1</v>
      </c>
    </row>
    <row r="7" spans="1:130" x14ac:dyDescent="0.4">
      <c r="A7">
        <v>6</v>
      </c>
      <c r="B7" t="s">
        <v>158</v>
      </c>
      <c r="C7" t="s">
        <v>131</v>
      </c>
      <c r="D7" t="s">
        <v>132</v>
      </c>
      <c r="E7" t="s">
        <v>133</v>
      </c>
      <c r="I7">
        <v>6</v>
      </c>
      <c r="J7">
        <v>0.40018399999999998</v>
      </c>
      <c r="K7">
        <v>2.916903</v>
      </c>
      <c r="L7">
        <v>0.35190500000000002</v>
      </c>
      <c r="M7">
        <v>3.330355</v>
      </c>
      <c r="N7">
        <v>2.4073410000000002</v>
      </c>
      <c r="O7">
        <v>2.314924</v>
      </c>
      <c r="P7">
        <v>3.3309579999999999</v>
      </c>
      <c r="Q7">
        <v>0.92361800000000005</v>
      </c>
      <c r="R7">
        <v>23.04232</v>
      </c>
      <c r="S7">
        <v>23.962221</v>
      </c>
      <c r="T7">
        <v>33.155743000000001</v>
      </c>
      <c r="U7">
        <v>0.44178600000000001</v>
      </c>
      <c r="V7">
        <v>7.5</v>
      </c>
      <c r="W7" t="s">
        <v>159</v>
      </c>
      <c r="X7">
        <v>0</v>
      </c>
      <c r="Y7">
        <v>0</v>
      </c>
      <c r="Z7">
        <v>0</v>
      </c>
      <c r="AA7">
        <v>126.167534</v>
      </c>
      <c r="AB7">
        <v>545.34313999999995</v>
      </c>
      <c r="AC7">
        <v>0.76864600000000005</v>
      </c>
      <c r="AD7">
        <v>0.5</v>
      </c>
      <c r="AE7">
        <v>0.84</v>
      </c>
      <c r="AF7">
        <v>75.336181999999994</v>
      </c>
      <c r="AG7">
        <v>1</v>
      </c>
      <c r="AH7">
        <v>67.81</v>
      </c>
      <c r="AI7">
        <v>65.209999999999994</v>
      </c>
      <c r="AJ7">
        <v>26.86</v>
      </c>
      <c r="AK7">
        <v>25.78</v>
      </c>
      <c r="AL7">
        <v>25.78</v>
      </c>
      <c r="AM7">
        <v>100.46</v>
      </c>
      <c r="AN7">
        <v>156.1</v>
      </c>
      <c r="AO7">
        <v>147.9</v>
      </c>
      <c r="AP7">
        <v>5.3</v>
      </c>
      <c r="AQ7">
        <v>233</v>
      </c>
      <c r="AR7">
        <v>3.9039999999999999</v>
      </c>
      <c r="AS7">
        <v>-9</v>
      </c>
      <c r="AT7">
        <v>6</v>
      </c>
      <c r="AU7">
        <v>138</v>
      </c>
      <c r="AV7">
        <v>56.07</v>
      </c>
      <c r="AW7">
        <v>55.82</v>
      </c>
      <c r="AX7">
        <v>10.8</v>
      </c>
      <c r="AY7">
        <v>-8.1</v>
      </c>
      <c r="AZ7">
        <v>14.11</v>
      </c>
      <c r="BA7">
        <v>95.55</v>
      </c>
      <c r="BB7">
        <v>57.99</v>
      </c>
      <c r="BC7" t="s">
        <v>160</v>
      </c>
      <c r="BD7" t="s">
        <v>151</v>
      </c>
      <c r="BE7">
        <v>35.850262000000001</v>
      </c>
      <c r="BF7">
        <v>127.129707</v>
      </c>
      <c r="BG7">
        <v>41.599997999999999</v>
      </c>
      <c r="BH7">
        <v>7</v>
      </c>
      <c r="BI7">
        <v>1.02</v>
      </c>
      <c r="BJ7" t="s">
        <v>137</v>
      </c>
      <c r="BK7" t="s">
        <v>131</v>
      </c>
      <c r="BL7">
        <v>-2.44</v>
      </c>
      <c r="BM7">
        <v>1</v>
      </c>
      <c r="BN7">
        <v>-1E-3</v>
      </c>
      <c r="BO7">
        <v>1E-3</v>
      </c>
      <c r="BP7">
        <v>-1E-3</v>
      </c>
      <c r="BQ7">
        <v>0.28000000000000003</v>
      </c>
      <c r="BR7">
        <v>0.41199999999999998</v>
      </c>
      <c r="BS7">
        <v>0.46300000000000002</v>
      </c>
      <c r="BT7">
        <v>1</v>
      </c>
      <c r="BU7">
        <v>150</v>
      </c>
      <c r="BV7">
        <v>1E-3</v>
      </c>
      <c r="BW7">
        <v>2</v>
      </c>
      <c r="BX7">
        <v>5.8904999999999999E-2</v>
      </c>
      <c r="BY7">
        <v>0</v>
      </c>
      <c r="BZ7">
        <v>2.9229999999999999E-2</v>
      </c>
      <c r="CA7">
        <v>0</v>
      </c>
      <c r="CB7">
        <v>0</v>
      </c>
      <c r="CC7">
        <v>-6.7999999999999999E-5</v>
      </c>
      <c r="CD7" t="s">
        <v>138</v>
      </c>
      <c r="CE7">
        <v>0</v>
      </c>
      <c r="CF7" t="s">
        <v>139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2.525712</v>
      </c>
      <c r="CU7">
        <v>2.4687190000000001</v>
      </c>
      <c r="CV7">
        <v>1.6710100000000001</v>
      </c>
      <c r="CW7">
        <v>0.92330400000000001</v>
      </c>
      <c r="CX7">
        <v>0.253245</v>
      </c>
      <c r="CY7">
        <v>-1.1889E-2</v>
      </c>
      <c r="CZ7">
        <v>9.6587999999999993E-2</v>
      </c>
      <c r="DA7">
        <v>0.31056499999999998</v>
      </c>
      <c r="DB7">
        <v>126.167534</v>
      </c>
      <c r="DC7">
        <v>3.39E-4</v>
      </c>
      <c r="DD7">
        <v>2.4228710000000002</v>
      </c>
      <c r="DE7">
        <v>-2.6999999999999999E-5</v>
      </c>
      <c r="DF7">
        <v>1</v>
      </c>
      <c r="DG7">
        <v>2.36666</v>
      </c>
      <c r="DH7">
        <v>-1.1E-5</v>
      </c>
      <c r="DI7">
        <v>1</v>
      </c>
      <c r="DJ7">
        <v>0.600352</v>
      </c>
      <c r="DK7">
        <v>0.60130700000000004</v>
      </c>
      <c r="DL7">
        <v>0.107059</v>
      </c>
      <c r="DM7">
        <v>0</v>
      </c>
      <c r="DN7" t="s">
        <v>159</v>
      </c>
      <c r="DO7" t="s">
        <v>140</v>
      </c>
      <c r="DP7" t="s">
        <v>141</v>
      </c>
      <c r="DQ7" t="s">
        <v>142</v>
      </c>
      <c r="DR7" t="s">
        <v>143</v>
      </c>
      <c r="DS7" t="s">
        <v>144</v>
      </c>
      <c r="DT7" t="s">
        <v>145</v>
      </c>
      <c r="DU7">
        <v>0.33849894341239117</v>
      </c>
      <c r="DV7">
        <v>26.86</v>
      </c>
      <c r="DW7">
        <v>25.885995229101709</v>
      </c>
      <c r="DX7">
        <v>24.911990458203409</v>
      </c>
      <c r="DY7">
        <v>2.2189172078107548E-2</v>
      </c>
      <c r="DZ7">
        <v>1</v>
      </c>
    </row>
    <row r="8" spans="1:130" x14ac:dyDescent="0.4">
      <c r="A8">
        <v>7</v>
      </c>
      <c r="B8" t="s">
        <v>161</v>
      </c>
      <c r="C8" t="s">
        <v>131</v>
      </c>
      <c r="D8" t="s">
        <v>132</v>
      </c>
      <c r="E8" t="s">
        <v>133</v>
      </c>
      <c r="I8">
        <v>7</v>
      </c>
      <c r="J8">
        <v>0.45441199999999998</v>
      </c>
      <c r="K8">
        <v>2.9157999999999999</v>
      </c>
      <c r="L8">
        <v>0.39314300000000002</v>
      </c>
      <c r="M8">
        <v>3.6905559999999999</v>
      </c>
      <c r="N8">
        <v>2.4287999999999998</v>
      </c>
      <c r="O8">
        <v>2.3263150000000001</v>
      </c>
      <c r="P8">
        <v>3.3448370000000001</v>
      </c>
      <c r="Q8">
        <v>0.91603800000000002</v>
      </c>
      <c r="R8">
        <v>23.154499000000001</v>
      </c>
      <c r="S8">
        <v>24.174557</v>
      </c>
      <c r="T8">
        <v>33.292149000000002</v>
      </c>
      <c r="U8">
        <v>0.44178600000000001</v>
      </c>
      <c r="V8">
        <v>7.5</v>
      </c>
      <c r="W8" t="s">
        <v>162</v>
      </c>
      <c r="X8">
        <v>0</v>
      </c>
      <c r="Y8">
        <v>0</v>
      </c>
      <c r="Z8">
        <v>0</v>
      </c>
      <c r="AA8">
        <v>120.755554</v>
      </c>
      <c r="AB8">
        <v>506.51907299999999</v>
      </c>
      <c r="AC8">
        <v>0.76159699999999997</v>
      </c>
      <c r="AD8">
        <v>0.5</v>
      </c>
      <c r="AE8">
        <v>0.84</v>
      </c>
      <c r="AF8">
        <v>99.473350999999994</v>
      </c>
      <c r="AG8">
        <v>1</v>
      </c>
      <c r="AH8">
        <v>68.069999999999993</v>
      </c>
      <c r="AI8">
        <v>65.19</v>
      </c>
      <c r="AJ8">
        <v>26.95</v>
      </c>
      <c r="AK8">
        <v>25.85</v>
      </c>
      <c r="AL8">
        <v>25.85</v>
      </c>
      <c r="AM8">
        <v>100.47</v>
      </c>
      <c r="AN8">
        <v>156</v>
      </c>
      <c r="AO8">
        <v>152</v>
      </c>
      <c r="AP8">
        <v>2.6</v>
      </c>
      <c r="AQ8">
        <v>311</v>
      </c>
      <c r="AR8">
        <v>3.903</v>
      </c>
      <c r="AS8">
        <v>-26</v>
      </c>
      <c r="AT8">
        <v>-5</v>
      </c>
      <c r="AU8">
        <v>140</v>
      </c>
      <c r="AV8">
        <v>37.75</v>
      </c>
      <c r="AW8">
        <v>79.069999999999993</v>
      </c>
      <c r="AX8">
        <v>26.44</v>
      </c>
      <c r="AY8">
        <v>-51.29</v>
      </c>
      <c r="AZ8">
        <v>14.11</v>
      </c>
      <c r="BA8">
        <v>95.55</v>
      </c>
      <c r="BB8">
        <v>57.99</v>
      </c>
      <c r="BC8" t="s">
        <v>163</v>
      </c>
      <c r="BD8" t="s">
        <v>151</v>
      </c>
      <c r="BE8">
        <v>35.850250000000003</v>
      </c>
      <c r="BF8">
        <v>127.1297</v>
      </c>
      <c r="BG8">
        <v>42.799999</v>
      </c>
      <c r="BH8">
        <v>8</v>
      </c>
      <c r="BI8">
        <v>0.91</v>
      </c>
      <c r="BJ8" t="s">
        <v>137</v>
      </c>
      <c r="BK8" t="s">
        <v>131</v>
      </c>
      <c r="BL8">
        <v>-2.44</v>
      </c>
      <c r="BM8">
        <v>1</v>
      </c>
      <c r="BN8">
        <v>0</v>
      </c>
      <c r="BO8">
        <v>-1E-3</v>
      </c>
      <c r="BP8">
        <v>1.0999999999999999E-2</v>
      </c>
      <c r="BQ8">
        <v>-8.5999999999999993E-2</v>
      </c>
      <c r="BR8">
        <v>-1.0999999999999999E-2</v>
      </c>
      <c r="BS8">
        <v>0.27700000000000002</v>
      </c>
      <c r="BT8">
        <v>1</v>
      </c>
      <c r="BU8">
        <v>150</v>
      </c>
      <c r="BV8">
        <v>1E-3</v>
      </c>
      <c r="BW8">
        <v>2</v>
      </c>
      <c r="BX8">
        <v>5.8904999999999999E-2</v>
      </c>
      <c r="BY8">
        <v>0</v>
      </c>
      <c r="BZ8">
        <v>2.9229999999999999E-2</v>
      </c>
      <c r="CA8">
        <v>0</v>
      </c>
      <c r="CB8">
        <v>0</v>
      </c>
      <c r="CC8">
        <v>-6.7999999999999999E-5</v>
      </c>
      <c r="CD8" t="s">
        <v>138</v>
      </c>
      <c r="CE8">
        <v>0</v>
      </c>
      <c r="CF8" t="s">
        <v>139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2.5256780000000001</v>
      </c>
      <c r="CU8">
        <v>2.4690279999999998</v>
      </c>
      <c r="CV8">
        <v>1.6698500000000001</v>
      </c>
      <c r="CW8">
        <v>0.93370500000000001</v>
      </c>
      <c r="CX8">
        <v>0.25237500000000002</v>
      </c>
      <c r="CY8">
        <v>-1.2095E-2</v>
      </c>
      <c r="CZ8">
        <v>0.100189</v>
      </c>
      <c r="DA8">
        <v>0.37825300000000001</v>
      </c>
      <c r="DB8">
        <v>120.755554</v>
      </c>
      <c r="DC8">
        <v>3.4499999999999998E-4</v>
      </c>
      <c r="DD8">
        <v>2.4228710000000002</v>
      </c>
      <c r="DE8">
        <v>-2.6999999999999999E-5</v>
      </c>
      <c r="DF8">
        <v>1</v>
      </c>
      <c r="DG8">
        <v>2.36666</v>
      </c>
      <c r="DH8">
        <v>-1.1E-5</v>
      </c>
      <c r="DI8">
        <v>1</v>
      </c>
      <c r="DJ8">
        <v>0.600352</v>
      </c>
      <c r="DK8">
        <v>0.60130700000000004</v>
      </c>
      <c r="DL8">
        <v>0.107059</v>
      </c>
      <c r="DM8">
        <v>0</v>
      </c>
      <c r="DN8" t="s">
        <v>162</v>
      </c>
      <c r="DO8" t="s">
        <v>140</v>
      </c>
      <c r="DP8" t="s">
        <v>141</v>
      </c>
      <c r="DQ8" t="s">
        <v>142</v>
      </c>
      <c r="DR8" t="s">
        <v>143</v>
      </c>
      <c r="DS8" t="s">
        <v>144</v>
      </c>
      <c r="DT8" t="s">
        <v>145</v>
      </c>
      <c r="DU8">
        <v>0.37695756568258548</v>
      </c>
      <c r="DV8">
        <v>26.95</v>
      </c>
      <c r="DW8">
        <v>25.86587148694186</v>
      </c>
      <c r="DX8">
        <v>24.78174297388373</v>
      </c>
      <c r="DY8">
        <v>2.2200517672037859E-2</v>
      </c>
      <c r="DZ8">
        <v>1</v>
      </c>
    </row>
    <row r="9" spans="1:130" x14ac:dyDescent="0.4">
      <c r="A9">
        <v>8</v>
      </c>
      <c r="B9" t="s">
        <v>164</v>
      </c>
      <c r="C9" t="s">
        <v>131</v>
      </c>
      <c r="D9" t="s">
        <v>132</v>
      </c>
      <c r="E9" t="s">
        <v>133</v>
      </c>
      <c r="I9">
        <v>8</v>
      </c>
      <c r="J9">
        <v>0.462418</v>
      </c>
      <c r="K9">
        <v>2.9155350000000002</v>
      </c>
      <c r="L9">
        <v>0.39911600000000003</v>
      </c>
      <c r="M9">
        <v>3.6571229999999999</v>
      </c>
      <c r="N9">
        <v>2.462364</v>
      </c>
      <c r="O9">
        <v>2.3608120000000001</v>
      </c>
      <c r="P9">
        <v>3.3563960000000002</v>
      </c>
      <c r="Q9">
        <v>0.89403200000000005</v>
      </c>
      <c r="R9">
        <v>23.495697</v>
      </c>
      <c r="S9">
        <v>24.506378000000002</v>
      </c>
      <c r="T9">
        <v>33.404117999999997</v>
      </c>
      <c r="U9">
        <v>0.44178600000000001</v>
      </c>
      <c r="V9">
        <v>7.5</v>
      </c>
      <c r="W9" t="s">
        <v>165</v>
      </c>
      <c r="X9">
        <v>0</v>
      </c>
      <c r="Y9">
        <v>0</v>
      </c>
      <c r="Z9">
        <v>0</v>
      </c>
      <c r="AA9">
        <v>130.22197</v>
      </c>
      <c r="AB9">
        <v>517.18963599999995</v>
      </c>
      <c r="AC9">
        <v>0.74821199999999999</v>
      </c>
      <c r="AD9">
        <v>0.5</v>
      </c>
      <c r="AE9">
        <v>0.84</v>
      </c>
      <c r="AF9">
        <v>99.366439999999997</v>
      </c>
      <c r="AG9">
        <v>1</v>
      </c>
      <c r="AH9">
        <v>68.55</v>
      </c>
      <c r="AI9">
        <v>65.72</v>
      </c>
      <c r="AJ9">
        <v>27.06</v>
      </c>
      <c r="AK9">
        <v>25.91</v>
      </c>
      <c r="AL9">
        <v>25.91</v>
      </c>
      <c r="AM9">
        <v>100.48</v>
      </c>
      <c r="AN9">
        <v>155.9</v>
      </c>
      <c r="AO9">
        <v>152.80000000000001</v>
      </c>
      <c r="AP9">
        <v>2</v>
      </c>
      <c r="AQ9">
        <v>316</v>
      </c>
      <c r="AR9">
        <v>3.903</v>
      </c>
      <c r="AS9">
        <v>-18</v>
      </c>
      <c r="AT9">
        <v>-14</v>
      </c>
      <c r="AU9">
        <v>116</v>
      </c>
      <c r="AV9">
        <v>36.96</v>
      </c>
      <c r="AW9">
        <v>79.900000000000006</v>
      </c>
      <c r="AX9">
        <v>22.66</v>
      </c>
      <c r="AY9">
        <v>-102.9</v>
      </c>
      <c r="AZ9">
        <v>14.11</v>
      </c>
      <c r="BA9">
        <v>95.55</v>
      </c>
      <c r="BB9">
        <v>57.99</v>
      </c>
      <c r="BC9" t="s">
        <v>166</v>
      </c>
      <c r="BD9" t="s">
        <v>151</v>
      </c>
      <c r="BE9">
        <v>35.850268999999997</v>
      </c>
      <c r="BF9">
        <v>127.12966900000001</v>
      </c>
      <c r="BG9">
        <v>41.599997999999999</v>
      </c>
      <c r="BH9">
        <v>10</v>
      </c>
      <c r="BI9">
        <v>0.87</v>
      </c>
      <c r="BJ9" t="s">
        <v>137</v>
      </c>
      <c r="BK9" t="s">
        <v>131</v>
      </c>
      <c r="BL9">
        <v>-2.44</v>
      </c>
      <c r="BM9">
        <v>1</v>
      </c>
      <c r="BN9">
        <v>3.0000000000000001E-3</v>
      </c>
      <c r="BO9">
        <v>-1E-3</v>
      </c>
      <c r="BP9">
        <v>-1E-3</v>
      </c>
      <c r="BQ9">
        <v>0.16600000000000001</v>
      </c>
      <c r="BR9">
        <v>0.27</v>
      </c>
      <c r="BS9">
        <v>1.8680000000000001</v>
      </c>
      <c r="BT9">
        <v>1</v>
      </c>
      <c r="BU9">
        <v>150</v>
      </c>
      <c r="BV9">
        <v>1E-3</v>
      </c>
      <c r="BW9">
        <v>2</v>
      </c>
      <c r="BX9">
        <v>5.8904999999999999E-2</v>
      </c>
      <c r="BY9">
        <v>0</v>
      </c>
      <c r="BZ9">
        <v>2.9229999999999999E-2</v>
      </c>
      <c r="CA9">
        <v>0</v>
      </c>
      <c r="CB9">
        <v>0</v>
      </c>
      <c r="CC9">
        <v>-6.7999999999999999E-5</v>
      </c>
      <c r="CD9" t="s">
        <v>138</v>
      </c>
      <c r="CE9">
        <v>0</v>
      </c>
      <c r="CF9" t="s">
        <v>139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2.5263789999999999</v>
      </c>
      <c r="CU9">
        <v>2.4696159999999998</v>
      </c>
      <c r="CV9">
        <v>1.669573</v>
      </c>
      <c r="CW9">
        <v>0.93584000000000001</v>
      </c>
      <c r="CX9">
        <v>0.25124200000000002</v>
      </c>
      <c r="CY9">
        <v>-1.2761E-2</v>
      </c>
      <c r="CZ9">
        <v>0.104602</v>
      </c>
      <c r="DA9">
        <v>0.38280799999999998</v>
      </c>
      <c r="DB9">
        <v>130.22197</v>
      </c>
      <c r="DC9">
        <v>3.3599999999999998E-4</v>
      </c>
      <c r="DD9">
        <v>2.4228710000000002</v>
      </c>
      <c r="DE9">
        <v>-2.6999999999999999E-5</v>
      </c>
      <c r="DF9">
        <v>1</v>
      </c>
      <c r="DG9">
        <v>2.36666</v>
      </c>
      <c r="DH9">
        <v>-1.1E-5</v>
      </c>
      <c r="DI9">
        <v>1</v>
      </c>
      <c r="DJ9">
        <v>0.600352</v>
      </c>
      <c r="DK9">
        <v>0.60130700000000004</v>
      </c>
      <c r="DL9">
        <v>0.107059</v>
      </c>
      <c r="DM9">
        <v>0</v>
      </c>
      <c r="DN9" t="s">
        <v>165</v>
      </c>
      <c r="DO9" t="s">
        <v>140</v>
      </c>
      <c r="DP9" t="s">
        <v>141</v>
      </c>
      <c r="DQ9" t="s">
        <v>142</v>
      </c>
      <c r="DR9" t="s">
        <v>143</v>
      </c>
      <c r="DS9" t="s">
        <v>144</v>
      </c>
      <c r="DT9" t="s">
        <v>145</v>
      </c>
      <c r="DU9">
        <v>0.38036709803141211</v>
      </c>
      <c r="DV9">
        <v>27.06</v>
      </c>
      <c r="DW9">
        <v>25.988139586121331</v>
      </c>
      <c r="DX9">
        <v>24.91627917224265</v>
      </c>
      <c r="DY9">
        <v>2.2529051073972201E-2</v>
      </c>
      <c r="DZ9">
        <v>1</v>
      </c>
    </row>
    <row r="10" spans="1:130" x14ac:dyDescent="0.4">
      <c r="A10">
        <v>9</v>
      </c>
      <c r="B10" t="s">
        <v>167</v>
      </c>
      <c r="C10" t="s">
        <v>131</v>
      </c>
      <c r="D10" t="s">
        <v>132</v>
      </c>
      <c r="E10" t="s">
        <v>133</v>
      </c>
      <c r="I10">
        <v>9</v>
      </c>
      <c r="J10">
        <v>0.39863900000000002</v>
      </c>
      <c r="K10">
        <v>2.9169429999999998</v>
      </c>
      <c r="L10">
        <v>0.35071000000000002</v>
      </c>
      <c r="M10">
        <v>3.2193879999999999</v>
      </c>
      <c r="N10">
        <v>2.499158</v>
      </c>
      <c r="O10">
        <v>2.409894</v>
      </c>
      <c r="P10">
        <v>3.3944549999999998</v>
      </c>
      <c r="Q10">
        <v>0.89529700000000001</v>
      </c>
      <c r="R10">
        <v>23.984418999999999</v>
      </c>
      <c r="S10">
        <v>24.872812</v>
      </c>
      <c r="T10">
        <v>33.783230000000003</v>
      </c>
      <c r="U10">
        <v>0.44178600000000001</v>
      </c>
      <c r="V10">
        <v>7.5</v>
      </c>
      <c r="W10" t="s">
        <v>168</v>
      </c>
      <c r="X10">
        <v>0</v>
      </c>
      <c r="Y10">
        <v>0</v>
      </c>
      <c r="Z10">
        <v>0</v>
      </c>
      <c r="AA10">
        <v>117.898819</v>
      </c>
      <c r="AB10">
        <v>510.55740400000002</v>
      </c>
      <c r="AC10">
        <v>0.76907800000000004</v>
      </c>
      <c r="AD10">
        <v>0.5</v>
      </c>
      <c r="AE10">
        <v>0.84</v>
      </c>
      <c r="AF10">
        <v>86.526741000000001</v>
      </c>
      <c r="AG10">
        <v>1</v>
      </c>
      <c r="AH10">
        <v>69.040000000000006</v>
      </c>
      <c r="AI10">
        <v>66.569999999999993</v>
      </c>
      <c r="AJ10">
        <v>27.19</v>
      </c>
      <c r="AK10">
        <v>26.1</v>
      </c>
      <c r="AL10">
        <v>26.1</v>
      </c>
      <c r="AM10">
        <v>100.48</v>
      </c>
      <c r="AN10">
        <v>156.1</v>
      </c>
      <c r="AO10">
        <v>153.80000000000001</v>
      </c>
      <c r="AP10">
        <v>1.5</v>
      </c>
      <c r="AQ10">
        <v>268</v>
      </c>
      <c r="AR10">
        <v>3.9020000000000001</v>
      </c>
      <c r="AS10">
        <v>-34</v>
      </c>
      <c r="AT10">
        <v>-33</v>
      </c>
      <c r="AU10">
        <v>104</v>
      </c>
      <c r="AV10">
        <v>33.93</v>
      </c>
      <c r="AW10">
        <v>82.97</v>
      </c>
      <c r="AX10">
        <v>45.95</v>
      </c>
      <c r="AY10">
        <v>-125.27</v>
      </c>
      <c r="AZ10">
        <v>14.11</v>
      </c>
      <c r="BA10">
        <v>95.71</v>
      </c>
      <c r="BB10">
        <v>57.79</v>
      </c>
      <c r="BC10" t="s">
        <v>169</v>
      </c>
      <c r="BD10" t="s">
        <v>151</v>
      </c>
      <c r="BE10">
        <v>35.850257999999997</v>
      </c>
      <c r="BF10">
        <v>127.129677</v>
      </c>
      <c r="BG10">
        <v>42.099997999999999</v>
      </c>
      <c r="BH10">
        <v>8</v>
      </c>
      <c r="BI10">
        <v>0.99</v>
      </c>
      <c r="BJ10" t="s">
        <v>137</v>
      </c>
      <c r="BK10" t="s">
        <v>131</v>
      </c>
      <c r="BL10">
        <v>-2.44</v>
      </c>
      <c r="BM10">
        <v>1</v>
      </c>
      <c r="BN10">
        <v>1E-3</v>
      </c>
      <c r="BO10">
        <v>-1E-3</v>
      </c>
      <c r="BP10">
        <v>-1E-3</v>
      </c>
      <c r="BQ10">
        <v>0.17</v>
      </c>
      <c r="BR10">
        <v>0.27</v>
      </c>
      <c r="BS10">
        <v>0.19800000000000001</v>
      </c>
      <c r="BT10">
        <v>1</v>
      </c>
      <c r="BU10">
        <v>150</v>
      </c>
      <c r="BV10">
        <v>1E-3</v>
      </c>
      <c r="BW10">
        <v>2</v>
      </c>
      <c r="BX10">
        <v>5.8904999999999999E-2</v>
      </c>
      <c r="BY10">
        <v>0</v>
      </c>
      <c r="BZ10">
        <v>2.9229999999999999E-2</v>
      </c>
      <c r="CA10">
        <v>0</v>
      </c>
      <c r="CB10">
        <v>0</v>
      </c>
      <c r="CC10">
        <v>-6.7999999999999999E-5</v>
      </c>
      <c r="CD10" t="s">
        <v>138</v>
      </c>
      <c r="CE10">
        <v>0</v>
      </c>
      <c r="CF10" t="s">
        <v>139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2.527517</v>
      </c>
      <c r="CU10">
        <v>2.470208</v>
      </c>
      <c r="CV10">
        <v>1.671052</v>
      </c>
      <c r="CW10">
        <v>0.93842700000000001</v>
      </c>
      <c r="CX10">
        <v>0.24993099999999999</v>
      </c>
      <c r="CY10">
        <v>-1.2086E-2</v>
      </c>
      <c r="CZ10">
        <v>0.109573</v>
      </c>
      <c r="DA10">
        <v>0.34066200000000002</v>
      </c>
      <c r="DB10">
        <v>117.898819</v>
      </c>
      <c r="DC10">
        <v>3.4299999999999999E-4</v>
      </c>
      <c r="DD10">
        <v>2.4228710000000002</v>
      </c>
      <c r="DE10">
        <v>-2.6999999999999999E-5</v>
      </c>
      <c r="DF10">
        <v>1</v>
      </c>
      <c r="DG10">
        <v>2.36666</v>
      </c>
      <c r="DH10">
        <v>-1.1E-5</v>
      </c>
      <c r="DI10">
        <v>1</v>
      </c>
      <c r="DJ10">
        <v>0.600352</v>
      </c>
      <c r="DK10">
        <v>0.60130700000000004</v>
      </c>
      <c r="DL10">
        <v>0.107059</v>
      </c>
      <c r="DM10">
        <v>0</v>
      </c>
      <c r="DN10" t="s">
        <v>168</v>
      </c>
      <c r="DO10" t="s">
        <v>140</v>
      </c>
      <c r="DP10" t="s">
        <v>141</v>
      </c>
      <c r="DQ10" t="s">
        <v>142</v>
      </c>
      <c r="DR10" t="s">
        <v>143</v>
      </c>
      <c r="DS10" t="s">
        <v>144</v>
      </c>
      <c r="DT10" t="s">
        <v>145</v>
      </c>
      <c r="DU10">
        <v>0.33672633718298861</v>
      </c>
      <c r="DV10">
        <v>27.19</v>
      </c>
      <c r="DW10">
        <v>26.245675457262049</v>
      </c>
      <c r="DX10">
        <v>25.30135091452409</v>
      </c>
      <c r="DY10">
        <v>2.3102988172179428E-2</v>
      </c>
      <c r="DZ10">
        <v>1</v>
      </c>
    </row>
    <row r="11" spans="1:130" x14ac:dyDescent="0.4">
      <c r="A11">
        <v>10</v>
      </c>
      <c r="B11" t="s">
        <v>170</v>
      </c>
      <c r="C11" t="s">
        <v>131</v>
      </c>
      <c r="D11" t="s">
        <v>132</v>
      </c>
      <c r="E11" t="s">
        <v>133</v>
      </c>
      <c r="I11">
        <v>10</v>
      </c>
      <c r="J11">
        <v>0.30906099999999997</v>
      </c>
      <c r="K11">
        <v>2.9154689999999999</v>
      </c>
      <c r="L11">
        <v>0.27943800000000002</v>
      </c>
      <c r="M11">
        <v>3.01119</v>
      </c>
      <c r="N11">
        <v>2.426202</v>
      </c>
      <c r="O11">
        <v>2.3425470000000002</v>
      </c>
      <c r="P11">
        <v>3.477195</v>
      </c>
      <c r="Q11">
        <v>1.0509919999999999</v>
      </c>
      <c r="R11">
        <v>23.312692999999999</v>
      </c>
      <c r="S11">
        <v>24.145218</v>
      </c>
      <c r="T11">
        <v>34.604545999999999</v>
      </c>
      <c r="U11">
        <v>0.44178600000000001</v>
      </c>
      <c r="V11">
        <v>7.5</v>
      </c>
      <c r="W11" t="s">
        <v>171</v>
      </c>
      <c r="X11">
        <v>0</v>
      </c>
      <c r="Y11">
        <v>0</v>
      </c>
      <c r="Z11">
        <v>0</v>
      </c>
      <c r="AA11">
        <v>146.27230800000001</v>
      </c>
      <c r="AB11">
        <v>540.137878</v>
      </c>
      <c r="AC11">
        <v>0.72919500000000004</v>
      </c>
      <c r="AD11">
        <v>0.5</v>
      </c>
      <c r="AE11">
        <v>0.84</v>
      </c>
      <c r="AF11">
        <v>92.170624000000004</v>
      </c>
      <c r="AG11">
        <v>1</v>
      </c>
      <c r="AH11">
        <v>65.680000000000007</v>
      </c>
      <c r="AI11">
        <v>63.42</v>
      </c>
      <c r="AJ11">
        <v>27.54</v>
      </c>
      <c r="AK11">
        <v>26.51</v>
      </c>
      <c r="AL11">
        <v>26.51</v>
      </c>
      <c r="AM11">
        <v>100.48</v>
      </c>
      <c r="AN11">
        <v>155.9</v>
      </c>
      <c r="AO11">
        <v>150.19999999999999</v>
      </c>
      <c r="AP11">
        <v>3.6</v>
      </c>
      <c r="AQ11">
        <v>301</v>
      </c>
      <c r="AR11">
        <v>3.899</v>
      </c>
      <c r="AS11">
        <v>-24</v>
      </c>
      <c r="AT11">
        <v>0</v>
      </c>
      <c r="AU11">
        <v>134</v>
      </c>
      <c r="AV11">
        <v>40.32</v>
      </c>
      <c r="AW11">
        <v>76.239999999999995</v>
      </c>
      <c r="AX11">
        <v>24</v>
      </c>
      <c r="AY11">
        <v>-46</v>
      </c>
      <c r="AZ11">
        <v>14.11</v>
      </c>
      <c r="BA11">
        <v>96.03</v>
      </c>
      <c r="BB11">
        <v>57.39</v>
      </c>
      <c r="BC11" t="s">
        <v>172</v>
      </c>
      <c r="BD11" t="s">
        <v>151</v>
      </c>
      <c r="BE11">
        <v>35.850181999999997</v>
      </c>
      <c r="BF11">
        <v>127.12964599999999</v>
      </c>
      <c r="BG11">
        <v>45.599997999999999</v>
      </c>
      <c r="BH11">
        <v>9</v>
      </c>
      <c r="BI11">
        <v>0.98</v>
      </c>
      <c r="BJ11" t="s">
        <v>137</v>
      </c>
      <c r="BK11" t="s">
        <v>131</v>
      </c>
      <c r="BL11">
        <v>-2.44</v>
      </c>
      <c r="BM11">
        <v>1</v>
      </c>
      <c r="BN11">
        <v>0</v>
      </c>
      <c r="BO11">
        <v>0</v>
      </c>
      <c r="BP11">
        <v>0</v>
      </c>
      <c r="BQ11">
        <v>-0.113</v>
      </c>
      <c r="BR11">
        <v>-5.1999999999999998E-2</v>
      </c>
      <c r="BS11">
        <v>-0.52400000000000002</v>
      </c>
      <c r="BT11">
        <v>1</v>
      </c>
      <c r="BU11">
        <v>150</v>
      </c>
      <c r="BV11">
        <v>1E-3</v>
      </c>
      <c r="BW11">
        <v>2</v>
      </c>
      <c r="BX11">
        <v>5.8904999999999999E-2</v>
      </c>
      <c r="BY11">
        <v>0</v>
      </c>
      <c r="BZ11">
        <v>2.9229999999999999E-2</v>
      </c>
      <c r="CA11">
        <v>0</v>
      </c>
      <c r="CB11">
        <v>0</v>
      </c>
      <c r="CC11">
        <v>-6.7999999999999999E-5</v>
      </c>
      <c r="CD11" t="s">
        <v>138</v>
      </c>
      <c r="CE11">
        <v>0</v>
      </c>
      <c r="CF11" t="s">
        <v>139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2.5231140000000001</v>
      </c>
      <c r="CU11">
        <v>2.4659179999999998</v>
      </c>
      <c r="CV11">
        <v>1.669503</v>
      </c>
      <c r="CW11">
        <v>0.92926900000000001</v>
      </c>
      <c r="CX11">
        <v>0.246533</v>
      </c>
      <c r="CY11">
        <v>-1.1389E-2</v>
      </c>
      <c r="CZ11">
        <v>0.12256400000000001</v>
      </c>
      <c r="DA11">
        <v>0.36951000000000001</v>
      </c>
      <c r="DB11">
        <v>146.27230800000001</v>
      </c>
      <c r="DC11">
        <v>3.3500000000000001E-4</v>
      </c>
      <c r="DD11">
        <v>2.4228710000000002</v>
      </c>
      <c r="DE11">
        <v>-2.6999999999999999E-5</v>
      </c>
      <c r="DF11">
        <v>1</v>
      </c>
      <c r="DG11">
        <v>2.36666</v>
      </c>
      <c r="DH11">
        <v>-1.1E-5</v>
      </c>
      <c r="DI11">
        <v>1</v>
      </c>
      <c r="DJ11">
        <v>0.600352</v>
      </c>
      <c r="DK11">
        <v>0.60130700000000004</v>
      </c>
      <c r="DL11">
        <v>0.107059</v>
      </c>
      <c r="DM11">
        <v>0</v>
      </c>
      <c r="DN11" t="s">
        <v>171</v>
      </c>
      <c r="DO11" t="s">
        <v>140</v>
      </c>
      <c r="DP11" t="s">
        <v>141</v>
      </c>
      <c r="DQ11" t="s">
        <v>142</v>
      </c>
      <c r="DR11" t="s">
        <v>143</v>
      </c>
      <c r="DS11" t="s">
        <v>144</v>
      </c>
      <c r="DT11" t="s">
        <v>145</v>
      </c>
      <c r="DU11">
        <v>0.27211453163217181</v>
      </c>
      <c r="DV11">
        <v>27.54</v>
      </c>
      <c r="DW11">
        <v>26.659623874775338</v>
      </c>
      <c r="DX11">
        <v>25.779247749550692</v>
      </c>
      <c r="DY11">
        <v>2.2537441667779601E-2</v>
      </c>
      <c r="DZ11">
        <v>1</v>
      </c>
    </row>
    <row r="12" spans="1:130" x14ac:dyDescent="0.4">
      <c r="A12">
        <v>11</v>
      </c>
      <c r="B12" t="s">
        <v>173</v>
      </c>
      <c r="C12" t="s">
        <v>131</v>
      </c>
      <c r="D12" t="s">
        <v>132</v>
      </c>
      <c r="E12" t="s">
        <v>133</v>
      </c>
      <c r="I12">
        <v>11</v>
      </c>
      <c r="J12">
        <v>0.44106200000000001</v>
      </c>
      <c r="K12">
        <v>2.9163649999999999</v>
      </c>
      <c r="L12">
        <v>0.38312000000000002</v>
      </c>
      <c r="M12">
        <v>3.9214530000000001</v>
      </c>
      <c r="N12">
        <v>2.4452790000000002</v>
      </c>
      <c r="O12">
        <v>2.336427</v>
      </c>
      <c r="P12">
        <v>3.4437090000000001</v>
      </c>
      <c r="Q12">
        <v>0.99842900000000001</v>
      </c>
      <c r="R12">
        <v>23.250461999999999</v>
      </c>
      <c r="S12">
        <v>24.333679</v>
      </c>
      <c r="T12">
        <v>34.269337</v>
      </c>
      <c r="U12">
        <v>0.44178600000000001</v>
      </c>
      <c r="V12">
        <v>7.5</v>
      </c>
      <c r="W12" t="s">
        <v>174</v>
      </c>
      <c r="X12">
        <v>0</v>
      </c>
      <c r="Y12">
        <v>0</v>
      </c>
      <c r="Z12">
        <v>0</v>
      </c>
      <c r="AA12">
        <v>118.714569</v>
      </c>
      <c r="AB12">
        <v>482.50759900000003</v>
      </c>
      <c r="AC12">
        <v>0.75396300000000005</v>
      </c>
      <c r="AD12">
        <v>0.5</v>
      </c>
      <c r="AE12">
        <v>0.84</v>
      </c>
      <c r="AF12">
        <v>95.037650999999997</v>
      </c>
      <c r="AG12">
        <v>1</v>
      </c>
      <c r="AH12">
        <v>65.92</v>
      </c>
      <c r="AI12">
        <v>62.98</v>
      </c>
      <c r="AJ12">
        <v>27.61</v>
      </c>
      <c r="AK12">
        <v>26.34</v>
      </c>
      <c r="AL12">
        <v>26.34</v>
      </c>
      <c r="AM12">
        <v>100.49</v>
      </c>
      <c r="AN12">
        <v>156</v>
      </c>
      <c r="AO12">
        <v>153.4</v>
      </c>
      <c r="AP12">
        <v>1.7</v>
      </c>
      <c r="AQ12">
        <v>300</v>
      </c>
      <c r="AR12">
        <v>3.8980000000000001</v>
      </c>
      <c r="AS12">
        <v>-18</v>
      </c>
      <c r="AT12">
        <v>-17</v>
      </c>
      <c r="AU12">
        <v>97</v>
      </c>
      <c r="AV12">
        <v>41.99</v>
      </c>
      <c r="AW12">
        <v>74.319999999999993</v>
      </c>
      <c r="AX12">
        <v>24.56</v>
      </c>
      <c r="AY12">
        <v>-127.69</v>
      </c>
      <c r="AZ12">
        <v>14.11</v>
      </c>
      <c r="BA12">
        <v>96.03</v>
      </c>
      <c r="BB12">
        <v>57.39</v>
      </c>
      <c r="BC12" t="s">
        <v>175</v>
      </c>
      <c r="BD12" t="s">
        <v>151</v>
      </c>
      <c r="BE12">
        <v>35.850181999999997</v>
      </c>
      <c r="BF12">
        <v>127.12966900000001</v>
      </c>
      <c r="BG12">
        <v>45.799999</v>
      </c>
      <c r="BH12">
        <v>10</v>
      </c>
      <c r="BI12">
        <v>0.87</v>
      </c>
      <c r="BJ12" t="s">
        <v>137</v>
      </c>
      <c r="BK12" t="s">
        <v>131</v>
      </c>
      <c r="BL12">
        <v>-2.44</v>
      </c>
      <c r="BM12">
        <v>1</v>
      </c>
      <c r="BN12">
        <v>0</v>
      </c>
      <c r="BO12">
        <v>-1E-3</v>
      </c>
      <c r="BP12">
        <v>4.0000000000000001E-3</v>
      </c>
      <c r="BQ12">
        <v>-0.09</v>
      </c>
      <c r="BR12">
        <v>-0.19700000000000001</v>
      </c>
      <c r="BS12">
        <v>-0.375</v>
      </c>
      <c r="BT12">
        <v>1</v>
      </c>
      <c r="BU12">
        <v>150</v>
      </c>
      <c r="BV12">
        <v>1E-3</v>
      </c>
      <c r="BW12">
        <v>2</v>
      </c>
      <c r="BX12">
        <v>5.8904999999999999E-2</v>
      </c>
      <c r="BY12">
        <v>0</v>
      </c>
      <c r="BZ12">
        <v>2.9229999999999999E-2</v>
      </c>
      <c r="CA12">
        <v>0</v>
      </c>
      <c r="CB12">
        <v>0</v>
      </c>
      <c r="CC12">
        <v>-6.7999999999999999E-5</v>
      </c>
      <c r="CD12" t="s">
        <v>138</v>
      </c>
      <c r="CE12">
        <v>0</v>
      </c>
      <c r="CF12" t="s">
        <v>139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2.5225019999999998</v>
      </c>
      <c r="CU12">
        <v>2.466202</v>
      </c>
      <c r="CV12">
        <v>1.670444</v>
      </c>
      <c r="CW12">
        <v>0.937307</v>
      </c>
      <c r="CX12">
        <v>0.24582399999999999</v>
      </c>
      <c r="CY12">
        <v>-1.4204E-2</v>
      </c>
      <c r="CZ12">
        <v>0.125301</v>
      </c>
      <c r="DA12">
        <v>0.368784</v>
      </c>
      <c r="DB12">
        <v>118.714569</v>
      </c>
      <c r="DC12">
        <v>3.48E-4</v>
      </c>
      <c r="DD12">
        <v>2.4228710000000002</v>
      </c>
      <c r="DE12">
        <v>-2.6999999999999999E-5</v>
      </c>
      <c r="DF12">
        <v>1</v>
      </c>
      <c r="DG12">
        <v>2.36666</v>
      </c>
      <c r="DH12">
        <v>-1.1E-5</v>
      </c>
      <c r="DI12">
        <v>1</v>
      </c>
      <c r="DJ12">
        <v>0.600352</v>
      </c>
      <c r="DK12">
        <v>0.60130700000000004</v>
      </c>
      <c r="DL12">
        <v>0.107059</v>
      </c>
      <c r="DM12">
        <v>0</v>
      </c>
      <c r="DN12" t="s">
        <v>174</v>
      </c>
      <c r="DO12" t="s">
        <v>140</v>
      </c>
      <c r="DP12" t="s">
        <v>141</v>
      </c>
      <c r="DQ12" t="s">
        <v>142</v>
      </c>
      <c r="DR12" t="s">
        <v>143</v>
      </c>
      <c r="DS12" t="s">
        <v>144</v>
      </c>
      <c r="DT12" t="s">
        <v>145</v>
      </c>
      <c r="DU12">
        <v>0.36780247514811748</v>
      </c>
      <c r="DV12">
        <v>27.61</v>
      </c>
      <c r="DW12">
        <v>26.45913426896265</v>
      </c>
      <c r="DX12">
        <v>25.308268537925301</v>
      </c>
      <c r="DY12">
        <v>2.2236031705383411E-2</v>
      </c>
      <c r="DZ12">
        <v>1</v>
      </c>
    </row>
    <row r="13" spans="1:130" x14ac:dyDescent="0.4">
      <c r="A13">
        <v>12</v>
      </c>
      <c r="B13" t="s">
        <v>176</v>
      </c>
      <c r="C13" t="s">
        <v>131</v>
      </c>
      <c r="D13" t="s">
        <v>132</v>
      </c>
      <c r="E13" t="s">
        <v>133</v>
      </c>
      <c r="I13">
        <v>12</v>
      </c>
      <c r="J13">
        <v>0.41996299999999998</v>
      </c>
      <c r="K13">
        <v>2.9149820000000002</v>
      </c>
      <c r="L13">
        <v>0.36707800000000002</v>
      </c>
      <c r="M13">
        <v>3.6447959999999999</v>
      </c>
      <c r="N13">
        <v>2.4945119999999998</v>
      </c>
      <c r="O13">
        <v>2.3932760000000002</v>
      </c>
      <c r="P13">
        <v>3.462758</v>
      </c>
      <c r="Q13">
        <v>0.96824600000000005</v>
      </c>
      <c r="R13">
        <v>23.815232999999999</v>
      </c>
      <c r="S13">
        <v>24.822620000000001</v>
      </c>
      <c r="T13">
        <v>34.457535</v>
      </c>
      <c r="U13">
        <v>0.44178600000000001</v>
      </c>
      <c r="V13">
        <v>7.5</v>
      </c>
      <c r="W13" t="s">
        <v>177</v>
      </c>
      <c r="X13">
        <v>0</v>
      </c>
      <c r="Y13">
        <v>0</v>
      </c>
      <c r="Z13">
        <v>0</v>
      </c>
      <c r="AA13">
        <v>138.985275</v>
      </c>
      <c r="AB13">
        <v>510.47946200000001</v>
      </c>
      <c r="AC13">
        <v>0.72773600000000005</v>
      </c>
      <c r="AD13">
        <v>0.5</v>
      </c>
      <c r="AE13">
        <v>0.84</v>
      </c>
      <c r="AF13">
        <v>94.799728000000002</v>
      </c>
      <c r="AG13">
        <v>1</v>
      </c>
      <c r="AH13">
        <v>66.900000000000006</v>
      </c>
      <c r="AI13">
        <v>64.180000000000007</v>
      </c>
      <c r="AJ13">
        <v>27.7</v>
      </c>
      <c r="AK13">
        <v>26.44</v>
      </c>
      <c r="AL13">
        <v>26.44</v>
      </c>
      <c r="AM13">
        <v>100.49</v>
      </c>
      <c r="AN13">
        <v>155.9</v>
      </c>
      <c r="AO13">
        <v>152.4</v>
      </c>
      <c r="AP13">
        <v>2.2000000000000002</v>
      </c>
      <c r="AQ13">
        <v>310</v>
      </c>
      <c r="AR13">
        <v>3.8980000000000001</v>
      </c>
      <c r="AS13">
        <v>-25</v>
      </c>
      <c r="AT13">
        <v>-18</v>
      </c>
      <c r="AU13">
        <v>127</v>
      </c>
      <c r="AV13">
        <v>27.28</v>
      </c>
      <c r="AW13">
        <v>88.88</v>
      </c>
      <c r="AX13">
        <v>30.46</v>
      </c>
      <c r="AY13">
        <v>-90.55</v>
      </c>
      <c r="AZ13">
        <v>14.11</v>
      </c>
      <c r="BA13">
        <v>96.03</v>
      </c>
      <c r="BB13">
        <v>57.39</v>
      </c>
      <c r="BC13" t="s">
        <v>178</v>
      </c>
      <c r="BD13" t="s">
        <v>151</v>
      </c>
      <c r="BE13">
        <v>35.850185000000003</v>
      </c>
      <c r="BF13">
        <v>127.129654</v>
      </c>
      <c r="BG13">
        <v>45.5</v>
      </c>
      <c r="BH13">
        <v>8</v>
      </c>
      <c r="BI13">
        <v>1.46</v>
      </c>
      <c r="BJ13" t="s">
        <v>137</v>
      </c>
      <c r="BK13" t="s">
        <v>131</v>
      </c>
      <c r="BL13">
        <v>-2.44</v>
      </c>
      <c r="BM13">
        <v>1</v>
      </c>
      <c r="BN13">
        <v>-3.0000000000000001E-3</v>
      </c>
      <c r="BO13">
        <v>0</v>
      </c>
      <c r="BP13">
        <v>-8.0000000000000002E-3</v>
      </c>
      <c r="BQ13">
        <v>2E-3</v>
      </c>
      <c r="BR13">
        <v>-2.9000000000000001E-2</v>
      </c>
      <c r="BS13">
        <v>7.6999999999999999E-2</v>
      </c>
      <c r="BT13">
        <v>1</v>
      </c>
      <c r="BU13">
        <v>150</v>
      </c>
      <c r="BV13">
        <v>1E-3</v>
      </c>
      <c r="BW13">
        <v>2</v>
      </c>
      <c r="BX13">
        <v>5.8904999999999999E-2</v>
      </c>
      <c r="BY13">
        <v>0</v>
      </c>
      <c r="BZ13">
        <v>2.9229999999999999E-2</v>
      </c>
      <c r="CA13">
        <v>0</v>
      </c>
      <c r="CB13">
        <v>0</v>
      </c>
      <c r="CC13">
        <v>-6.7999999999999999E-5</v>
      </c>
      <c r="CD13" t="s">
        <v>138</v>
      </c>
      <c r="CE13">
        <v>0</v>
      </c>
      <c r="CF13" t="s">
        <v>139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2.5241289999999998</v>
      </c>
      <c r="CU13">
        <v>2.4674179999999999</v>
      </c>
      <c r="CV13">
        <v>1.668992</v>
      </c>
      <c r="CW13">
        <v>0.93488700000000002</v>
      </c>
      <c r="CX13">
        <v>0.24495400000000001</v>
      </c>
      <c r="CY13">
        <v>-1.4171E-2</v>
      </c>
      <c r="CZ13">
        <v>0.12845999999999999</v>
      </c>
      <c r="DA13">
        <v>0.37753700000000001</v>
      </c>
      <c r="DB13">
        <v>138.985275</v>
      </c>
      <c r="DC13">
        <v>3.4499999999999998E-4</v>
      </c>
      <c r="DD13">
        <v>2.4228710000000002</v>
      </c>
      <c r="DE13">
        <v>-2.6999999999999999E-5</v>
      </c>
      <c r="DF13">
        <v>1</v>
      </c>
      <c r="DG13">
        <v>2.36666</v>
      </c>
      <c r="DH13">
        <v>-1.1E-5</v>
      </c>
      <c r="DI13">
        <v>1</v>
      </c>
      <c r="DJ13">
        <v>0.600352</v>
      </c>
      <c r="DK13">
        <v>0.60130700000000004</v>
      </c>
      <c r="DL13">
        <v>0.107059</v>
      </c>
      <c r="DM13">
        <v>0</v>
      </c>
      <c r="DN13" t="s">
        <v>177</v>
      </c>
      <c r="DO13" t="s">
        <v>140</v>
      </c>
      <c r="DP13" t="s">
        <v>141</v>
      </c>
      <c r="DQ13" t="s">
        <v>142</v>
      </c>
      <c r="DR13" t="s">
        <v>143</v>
      </c>
      <c r="DS13" t="s">
        <v>144</v>
      </c>
      <c r="DT13" t="s">
        <v>145</v>
      </c>
      <c r="DU13">
        <v>0.35217053014476613</v>
      </c>
      <c r="DV13">
        <v>27.7</v>
      </c>
      <c r="DW13">
        <v>26.629714921817719</v>
      </c>
      <c r="DX13">
        <v>25.559429843635439</v>
      </c>
      <c r="DY13">
        <v>2.2840555690524761E-2</v>
      </c>
      <c r="DZ13">
        <v>1</v>
      </c>
    </row>
    <row r="14" spans="1:130" x14ac:dyDescent="0.4">
      <c r="A14">
        <v>13</v>
      </c>
      <c r="B14" t="s">
        <v>179</v>
      </c>
      <c r="C14" t="s">
        <v>131</v>
      </c>
      <c r="D14" t="s">
        <v>132</v>
      </c>
      <c r="E14" t="s">
        <v>133</v>
      </c>
      <c r="I14">
        <v>13</v>
      </c>
      <c r="J14">
        <v>0.267148</v>
      </c>
      <c r="K14">
        <v>2.9157069999999998</v>
      </c>
      <c r="L14">
        <v>0.244726</v>
      </c>
      <c r="M14">
        <v>2.5066030000000001</v>
      </c>
      <c r="N14">
        <v>2.542805</v>
      </c>
      <c r="O14">
        <v>2.4732560000000001</v>
      </c>
      <c r="P14">
        <v>3.540969</v>
      </c>
      <c r="Q14">
        <v>0.99816400000000005</v>
      </c>
      <c r="R14">
        <v>24.610731000000001</v>
      </c>
      <c r="S14">
        <v>25.302797000000002</v>
      </c>
      <c r="T14">
        <v>35.235270999999997</v>
      </c>
      <c r="U14">
        <v>0.44178600000000001</v>
      </c>
      <c r="V14">
        <v>7.5</v>
      </c>
      <c r="W14" t="s">
        <v>180</v>
      </c>
      <c r="X14">
        <v>0</v>
      </c>
      <c r="Y14">
        <v>0</v>
      </c>
      <c r="Z14">
        <v>0</v>
      </c>
      <c r="AA14">
        <v>118.660568</v>
      </c>
      <c r="AB14">
        <v>478.75857500000001</v>
      </c>
      <c r="AC14">
        <v>0.75214999999999999</v>
      </c>
      <c r="AD14">
        <v>0.5</v>
      </c>
      <c r="AE14">
        <v>0.84</v>
      </c>
      <c r="AF14">
        <v>94.707329000000001</v>
      </c>
      <c r="AG14">
        <v>1</v>
      </c>
      <c r="AH14">
        <v>67.77</v>
      </c>
      <c r="AI14">
        <v>65.92</v>
      </c>
      <c r="AJ14">
        <v>27.81</v>
      </c>
      <c r="AK14">
        <v>26.82</v>
      </c>
      <c r="AL14">
        <v>26.82</v>
      </c>
      <c r="AM14">
        <v>100.5</v>
      </c>
      <c r="AN14">
        <v>156</v>
      </c>
      <c r="AO14">
        <v>136.30000000000001</v>
      </c>
      <c r="AP14">
        <v>12.6</v>
      </c>
      <c r="AQ14">
        <v>300</v>
      </c>
      <c r="AR14">
        <v>3.8980000000000001</v>
      </c>
      <c r="AS14">
        <v>-19</v>
      </c>
      <c r="AT14">
        <v>-1</v>
      </c>
      <c r="AU14">
        <v>154</v>
      </c>
      <c r="AV14">
        <v>47.9</v>
      </c>
      <c r="AW14">
        <v>67.040000000000006</v>
      </c>
      <c r="AX14">
        <v>19.03</v>
      </c>
      <c r="AY14">
        <v>-29.07</v>
      </c>
      <c r="AZ14">
        <v>14.11</v>
      </c>
      <c r="BA14">
        <v>96.19</v>
      </c>
      <c r="BB14">
        <v>57.19</v>
      </c>
      <c r="BC14" t="s">
        <v>181</v>
      </c>
      <c r="BD14" t="s">
        <v>151</v>
      </c>
      <c r="BE14">
        <v>35.850178</v>
      </c>
      <c r="BF14">
        <v>127.12966900000001</v>
      </c>
      <c r="BG14">
        <v>45.400002000000001</v>
      </c>
      <c r="BH14">
        <v>8</v>
      </c>
      <c r="BI14">
        <v>1.1299999999999999</v>
      </c>
      <c r="BJ14" t="s">
        <v>137</v>
      </c>
      <c r="BK14" t="s">
        <v>131</v>
      </c>
      <c r="BL14">
        <v>-2.44</v>
      </c>
      <c r="BM14">
        <v>1</v>
      </c>
      <c r="BN14">
        <v>1E-3</v>
      </c>
      <c r="BO14">
        <v>0</v>
      </c>
      <c r="BP14">
        <v>-4.0000000000000001E-3</v>
      </c>
      <c r="BQ14">
        <v>2.7E-2</v>
      </c>
      <c r="BR14">
        <v>-0.156</v>
      </c>
      <c r="BS14">
        <v>-0.216</v>
      </c>
      <c r="BT14">
        <v>1</v>
      </c>
      <c r="BU14">
        <v>150</v>
      </c>
      <c r="BV14">
        <v>1E-3</v>
      </c>
      <c r="BW14">
        <v>2</v>
      </c>
      <c r="BX14">
        <v>5.8904999999999999E-2</v>
      </c>
      <c r="BY14">
        <v>0</v>
      </c>
      <c r="BZ14">
        <v>2.9229999999999999E-2</v>
      </c>
      <c r="CA14">
        <v>0</v>
      </c>
      <c r="CB14">
        <v>0</v>
      </c>
      <c r="CC14">
        <v>-6.7999999999999999E-5</v>
      </c>
      <c r="CD14" t="s">
        <v>138</v>
      </c>
      <c r="CE14">
        <v>0</v>
      </c>
      <c r="CF14" t="s">
        <v>139</v>
      </c>
      <c r="CG14">
        <v>6000</v>
      </c>
      <c r="CH14">
        <v>500</v>
      </c>
      <c r="CI14">
        <v>1</v>
      </c>
      <c r="CJ14">
        <v>2</v>
      </c>
      <c r="CK14">
        <v>55537</v>
      </c>
      <c r="CL14">
        <v>55537</v>
      </c>
      <c r="CM14">
        <v>55537</v>
      </c>
      <c r="CN14">
        <v>0</v>
      </c>
      <c r="CO14">
        <v>-9999</v>
      </c>
      <c r="CP14">
        <v>0</v>
      </c>
      <c r="CQ14">
        <v>0</v>
      </c>
      <c r="CR14">
        <v>0</v>
      </c>
      <c r="CS14">
        <v>0</v>
      </c>
      <c r="CT14">
        <v>2.5264890000000002</v>
      </c>
      <c r="CU14">
        <v>2.4685000000000001</v>
      </c>
      <c r="CV14">
        <v>1.669753</v>
      </c>
      <c r="CW14">
        <v>0.89421600000000001</v>
      </c>
      <c r="CX14">
        <v>0.243924</v>
      </c>
      <c r="CY14">
        <v>-1.0946000000000001E-2</v>
      </c>
      <c r="CZ14">
        <v>0.132272</v>
      </c>
      <c r="DA14">
        <v>0.36850300000000002</v>
      </c>
      <c r="DB14">
        <v>118.660568</v>
      </c>
      <c r="DC14">
        <v>3.4900000000000003E-4</v>
      </c>
      <c r="DD14">
        <v>2.4228710000000002</v>
      </c>
      <c r="DE14">
        <v>-2.6999999999999999E-5</v>
      </c>
      <c r="DF14">
        <v>1</v>
      </c>
      <c r="DG14">
        <v>2.36666</v>
      </c>
      <c r="DH14">
        <v>-1.1E-5</v>
      </c>
      <c r="DI14">
        <v>1</v>
      </c>
      <c r="DJ14">
        <v>0.600352</v>
      </c>
      <c r="DK14">
        <v>0.60130700000000004</v>
      </c>
      <c r="DL14">
        <v>0.107059</v>
      </c>
      <c r="DM14">
        <v>0</v>
      </c>
      <c r="DN14" t="s">
        <v>180</v>
      </c>
      <c r="DO14" t="s">
        <v>140</v>
      </c>
      <c r="DP14" t="s">
        <v>141</v>
      </c>
      <c r="DQ14" t="s">
        <v>142</v>
      </c>
      <c r="DR14" t="s">
        <v>143</v>
      </c>
      <c r="DS14" t="s">
        <v>144</v>
      </c>
      <c r="DT14" t="s">
        <v>145</v>
      </c>
      <c r="DU14">
        <v>0.23907384162150519</v>
      </c>
      <c r="DV14">
        <v>27.81</v>
      </c>
      <c r="DW14">
        <v>27.07653910014821</v>
      </c>
      <c r="DX14">
        <v>26.343078200296421</v>
      </c>
      <c r="DY14">
        <v>2.3913089080448442E-2</v>
      </c>
      <c r="DZ14">
        <v>1</v>
      </c>
    </row>
    <row r="15" spans="1:130" x14ac:dyDescent="0.4">
      <c r="A15">
        <v>14</v>
      </c>
      <c r="B15" t="s">
        <v>182</v>
      </c>
      <c r="C15" t="s">
        <v>131</v>
      </c>
      <c r="D15" t="s">
        <v>132</v>
      </c>
      <c r="E15" t="s">
        <v>133</v>
      </c>
      <c r="I15">
        <v>14</v>
      </c>
      <c r="J15">
        <v>0.25615100000000002</v>
      </c>
      <c r="K15">
        <v>2.9158279999999999</v>
      </c>
      <c r="L15">
        <v>0.23546500000000001</v>
      </c>
      <c r="M15">
        <v>2.5342009999999999</v>
      </c>
      <c r="N15">
        <v>2.4999099999999999</v>
      </c>
      <c r="O15">
        <v>2.429576</v>
      </c>
      <c r="P15">
        <v>3.5488620000000002</v>
      </c>
      <c r="Q15">
        <v>1.048951</v>
      </c>
      <c r="R15">
        <v>24.177837</v>
      </c>
      <c r="S15">
        <v>24.877762000000001</v>
      </c>
      <c r="T15">
        <v>35.316364</v>
      </c>
      <c r="U15">
        <v>0.44178600000000001</v>
      </c>
      <c r="V15">
        <v>7.5</v>
      </c>
      <c r="W15" t="s">
        <v>183</v>
      </c>
      <c r="X15">
        <v>0</v>
      </c>
      <c r="Y15">
        <v>0</v>
      </c>
      <c r="Z15">
        <v>0</v>
      </c>
      <c r="AA15">
        <v>154.36935399999999</v>
      </c>
      <c r="AB15">
        <v>541.87561000000005</v>
      </c>
      <c r="AC15">
        <v>0.71511999999999998</v>
      </c>
      <c r="AD15">
        <v>0.5</v>
      </c>
      <c r="AE15">
        <v>0.84</v>
      </c>
      <c r="AF15">
        <v>88.284782000000007</v>
      </c>
      <c r="AG15">
        <v>1</v>
      </c>
      <c r="AH15">
        <v>66.34</v>
      </c>
      <c r="AI15">
        <v>64.47</v>
      </c>
      <c r="AJ15">
        <v>27.88</v>
      </c>
      <c r="AK15">
        <v>26.86</v>
      </c>
      <c r="AL15">
        <v>26.86</v>
      </c>
      <c r="AM15">
        <v>100.49</v>
      </c>
      <c r="AN15">
        <v>156</v>
      </c>
      <c r="AO15">
        <v>154</v>
      </c>
      <c r="AP15">
        <v>1.2</v>
      </c>
      <c r="AQ15">
        <v>294</v>
      </c>
      <c r="AR15">
        <v>3.8969999999999998</v>
      </c>
      <c r="AS15">
        <v>-17</v>
      </c>
      <c r="AT15">
        <v>15</v>
      </c>
      <c r="AU15">
        <v>170</v>
      </c>
      <c r="AV15">
        <v>69.03</v>
      </c>
      <c r="AW15">
        <v>35.78</v>
      </c>
      <c r="AX15">
        <v>22.52</v>
      </c>
      <c r="AY15">
        <v>32.5</v>
      </c>
      <c r="AZ15">
        <v>14.11</v>
      </c>
      <c r="BA15">
        <v>96.19</v>
      </c>
      <c r="BB15">
        <v>57.19</v>
      </c>
      <c r="BC15" t="s">
        <v>184</v>
      </c>
      <c r="BD15" t="s">
        <v>151</v>
      </c>
      <c r="BE15">
        <v>35.850181999999997</v>
      </c>
      <c r="BF15">
        <v>127.12973</v>
      </c>
      <c r="BG15">
        <v>45.299999</v>
      </c>
      <c r="BH15">
        <v>9</v>
      </c>
      <c r="BI15">
        <v>0.97</v>
      </c>
      <c r="BJ15" t="s">
        <v>137</v>
      </c>
      <c r="BK15" t="s">
        <v>131</v>
      </c>
      <c r="BL15">
        <v>-2.44</v>
      </c>
      <c r="BM15">
        <v>1</v>
      </c>
      <c r="BN15">
        <v>0</v>
      </c>
      <c r="BO15">
        <v>0</v>
      </c>
      <c r="BP15">
        <v>-1E-3</v>
      </c>
      <c r="BQ15">
        <v>-4.2999999999999997E-2</v>
      </c>
      <c r="BR15">
        <v>-0.61099999999999999</v>
      </c>
      <c r="BS15">
        <v>-0.45</v>
      </c>
      <c r="BT15">
        <v>1</v>
      </c>
      <c r="BU15">
        <v>150</v>
      </c>
      <c r="BV15">
        <v>1E-3</v>
      </c>
      <c r="BW15">
        <v>2</v>
      </c>
      <c r="BX15">
        <v>5.8904999999999999E-2</v>
      </c>
      <c r="BY15">
        <v>0</v>
      </c>
      <c r="BZ15">
        <v>2.9229999999999999E-2</v>
      </c>
      <c r="CA15">
        <v>0</v>
      </c>
      <c r="CB15">
        <v>0</v>
      </c>
      <c r="CC15">
        <v>-6.7999999999999999E-5</v>
      </c>
      <c r="CD15" t="s">
        <v>138</v>
      </c>
      <c r="CE15">
        <v>0</v>
      </c>
      <c r="CF15" t="s">
        <v>139</v>
      </c>
      <c r="CG15">
        <v>6000</v>
      </c>
      <c r="CH15">
        <v>500</v>
      </c>
      <c r="CI15">
        <v>1</v>
      </c>
      <c r="CJ15">
        <v>2</v>
      </c>
      <c r="CK15">
        <v>55537</v>
      </c>
      <c r="CL15">
        <v>55537</v>
      </c>
      <c r="CM15">
        <v>55537</v>
      </c>
      <c r="CN15">
        <v>0</v>
      </c>
      <c r="CO15">
        <v>-9999</v>
      </c>
      <c r="CP15">
        <v>0</v>
      </c>
      <c r="CQ15">
        <v>0</v>
      </c>
      <c r="CR15">
        <v>0</v>
      </c>
      <c r="CS15">
        <v>0</v>
      </c>
      <c r="CT15">
        <v>2.524489</v>
      </c>
      <c r="CU15">
        <v>2.4666800000000002</v>
      </c>
      <c r="CV15">
        <v>1.6698789999999999</v>
      </c>
      <c r="CW15">
        <v>0.93898300000000001</v>
      </c>
      <c r="CX15">
        <v>0.243204</v>
      </c>
      <c r="CY15">
        <v>-1.1393E-2</v>
      </c>
      <c r="CZ15">
        <v>0.13522999999999999</v>
      </c>
      <c r="DA15">
        <v>0.36339300000000002</v>
      </c>
      <c r="DB15">
        <v>154.36935399999999</v>
      </c>
      <c r="DC15">
        <v>3.4600000000000001E-4</v>
      </c>
      <c r="DD15">
        <v>2.4228710000000002</v>
      </c>
      <c r="DE15">
        <v>-2.6999999999999999E-5</v>
      </c>
      <c r="DF15">
        <v>1</v>
      </c>
      <c r="DG15">
        <v>2.36666</v>
      </c>
      <c r="DH15">
        <v>-1.1E-5</v>
      </c>
      <c r="DI15">
        <v>1</v>
      </c>
      <c r="DJ15">
        <v>0.600352</v>
      </c>
      <c r="DK15">
        <v>0.60130700000000004</v>
      </c>
      <c r="DL15">
        <v>0.107059</v>
      </c>
      <c r="DM15">
        <v>0</v>
      </c>
      <c r="DN15" t="s">
        <v>183</v>
      </c>
      <c r="DO15" t="s">
        <v>140</v>
      </c>
      <c r="DP15" t="s">
        <v>141</v>
      </c>
      <c r="DQ15" t="s">
        <v>142</v>
      </c>
      <c r="DR15" t="s">
        <v>143</v>
      </c>
      <c r="DS15" t="s">
        <v>144</v>
      </c>
      <c r="DT15" t="s">
        <v>145</v>
      </c>
      <c r="DU15">
        <v>0.23139620536004499</v>
      </c>
      <c r="DV15">
        <v>27.88</v>
      </c>
      <c r="DW15">
        <v>27.135791401139471</v>
      </c>
      <c r="DX15">
        <v>26.39158280227894</v>
      </c>
      <c r="DY15">
        <v>2.3481783655517591E-2</v>
      </c>
      <c r="DZ15">
        <v>1</v>
      </c>
    </row>
    <row r="16" spans="1:130" x14ac:dyDescent="0.4">
      <c r="A16">
        <v>15</v>
      </c>
      <c r="B16" t="s">
        <v>185</v>
      </c>
      <c r="C16" t="s">
        <v>131</v>
      </c>
      <c r="D16" t="s">
        <v>132</v>
      </c>
      <c r="E16" t="s">
        <v>133</v>
      </c>
      <c r="I16">
        <v>15</v>
      </c>
      <c r="J16">
        <v>0.230521</v>
      </c>
      <c r="K16">
        <v>2.9151609999999999</v>
      </c>
      <c r="L16">
        <v>0.21362800000000001</v>
      </c>
      <c r="M16">
        <v>2.3046160000000002</v>
      </c>
      <c r="N16">
        <v>2.4996489999999998</v>
      </c>
      <c r="O16">
        <v>2.435657</v>
      </c>
      <c r="P16">
        <v>3.5510060000000001</v>
      </c>
      <c r="Q16">
        <v>1.0513570000000001</v>
      </c>
      <c r="R16">
        <v>24.239795999999998</v>
      </c>
      <c r="S16">
        <v>24.876643999999999</v>
      </c>
      <c r="T16">
        <v>35.339806000000003</v>
      </c>
      <c r="U16">
        <v>0.44178600000000001</v>
      </c>
      <c r="V16">
        <v>7.5</v>
      </c>
      <c r="W16" t="s">
        <v>186</v>
      </c>
      <c r="X16">
        <v>0</v>
      </c>
      <c r="Y16">
        <v>0</v>
      </c>
      <c r="Z16">
        <v>0</v>
      </c>
      <c r="AA16">
        <v>135.53774999999999</v>
      </c>
      <c r="AB16">
        <v>517.421021</v>
      </c>
      <c r="AC16">
        <v>0.73805100000000001</v>
      </c>
      <c r="AD16">
        <v>0.5</v>
      </c>
      <c r="AE16">
        <v>0.84</v>
      </c>
      <c r="AF16">
        <v>75.133628999999999</v>
      </c>
      <c r="AG16">
        <v>1</v>
      </c>
      <c r="AH16">
        <v>65.819999999999993</v>
      </c>
      <c r="AI16">
        <v>64.13</v>
      </c>
      <c r="AJ16">
        <v>28.01</v>
      </c>
      <c r="AK16">
        <v>26.87</v>
      </c>
      <c r="AL16">
        <v>26.87</v>
      </c>
      <c r="AM16">
        <v>100.48</v>
      </c>
      <c r="AN16">
        <v>155.9</v>
      </c>
      <c r="AO16">
        <v>153.19999999999999</v>
      </c>
      <c r="AP16">
        <v>1.7</v>
      </c>
      <c r="AQ16">
        <v>242</v>
      </c>
      <c r="AR16">
        <v>3.8959999999999999</v>
      </c>
      <c r="AS16">
        <v>-26</v>
      </c>
      <c r="AT16">
        <v>-23</v>
      </c>
      <c r="AU16">
        <v>292</v>
      </c>
      <c r="AV16">
        <v>87.9</v>
      </c>
      <c r="AW16">
        <v>3.66</v>
      </c>
      <c r="AX16">
        <v>34.17</v>
      </c>
      <c r="AY16">
        <v>67.92</v>
      </c>
      <c r="AZ16">
        <v>14.11</v>
      </c>
      <c r="BA16">
        <v>96.35</v>
      </c>
      <c r="BB16">
        <v>56.99</v>
      </c>
      <c r="BC16" t="s">
        <v>187</v>
      </c>
      <c r="BD16" t="s">
        <v>151</v>
      </c>
      <c r="BE16">
        <v>35.850181999999997</v>
      </c>
      <c r="BF16">
        <v>127.129791</v>
      </c>
      <c r="BG16">
        <v>45.099997999999999</v>
      </c>
      <c r="BH16">
        <v>8</v>
      </c>
      <c r="BI16">
        <v>1</v>
      </c>
      <c r="BJ16" t="s">
        <v>137</v>
      </c>
      <c r="BK16" t="s">
        <v>131</v>
      </c>
      <c r="BL16">
        <v>-2.44</v>
      </c>
      <c r="BM16">
        <v>1</v>
      </c>
      <c r="BN16">
        <v>-1E-3</v>
      </c>
      <c r="BO16">
        <v>-1E-3</v>
      </c>
      <c r="BP16">
        <v>2E-3</v>
      </c>
      <c r="BQ16">
        <v>-0.31</v>
      </c>
      <c r="BR16">
        <v>-0.40699999999999997</v>
      </c>
      <c r="BS16">
        <v>-0.58199999999999996</v>
      </c>
      <c r="BT16">
        <v>1</v>
      </c>
      <c r="BU16">
        <v>150</v>
      </c>
      <c r="BV16">
        <v>1E-3</v>
      </c>
      <c r="BW16">
        <v>2</v>
      </c>
      <c r="BX16">
        <v>5.8904999999999999E-2</v>
      </c>
      <c r="BY16">
        <v>0</v>
      </c>
      <c r="BZ16">
        <v>2.9229999999999999E-2</v>
      </c>
      <c r="CA16">
        <v>0</v>
      </c>
      <c r="CB16">
        <v>0</v>
      </c>
      <c r="CC16">
        <v>-6.7999999999999999E-5</v>
      </c>
      <c r="CD16" t="s">
        <v>138</v>
      </c>
      <c r="CE16">
        <v>0</v>
      </c>
      <c r="CF16" t="s">
        <v>139</v>
      </c>
      <c r="CG16">
        <v>6000</v>
      </c>
      <c r="CH16">
        <v>500</v>
      </c>
      <c r="CI16">
        <v>1</v>
      </c>
      <c r="CJ16">
        <v>2</v>
      </c>
      <c r="CK16">
        <v>55537</v>
      </c>
      <c r="CL16">
        <v>55537</v>
      </c>
      <c r="CM16">
        <v>55537</v>
      </c>
      <c r="CN16">
        <v>0</v>
      </c>
      <c r="CO16">
        <v>-9999</v>
      </c>
      <c r="CP16">
        <v>0</v>
      </c>
      <c r="CQ16">
        <v>0</v>
      </c>
      <c r="CR16">
        <v>0</v>
      </c>
      <c r="CS16">
        <v>0</v>
      </c>
      <c r="CT16">
        <v>2.5240010000000002</v>
      </c>
      <c r="CU16">
        <v>2.466005</v>
      </c>
      <c r="CV16">
        <v>1.669179</v>
      </c>
      <c r="CW16">
        <v>0.93684199999999995</v>
      </c>
      <c r="CX16">
        <v>0.24193300000000001</v>
      </c>
      <c r="CY16">
        <v>-1.2862999999999999E-2</v>
      </c>
      <c r="CZ16">
        <v>0.14024700000000001</v>
      </c>
      <c r="DA16">
        <v>0.31843100000000002</v>
      </c>
      <c r="DB16">
        <v>135.53774999999999</v>
      </c>
      <c r="DC16">
        <v>3.5100000000000002E-4</v>
      </c>
      <c r="DD16">
        <v>2.4228710000000002</v>
      </c>
      <c r="DE16">
        <v>-2.6999999999999999E-5</v>
      </c>
      <c r="DF16">
        <v>1</v>
      </c>
      <c r="DG16">
        <v>2.36666</v>
      </c>
      <c r="DH16">
        <v>-1.1E-5</v>
      </c>
      <c r="DI16">
        <v>1</v>
      </c>
      <c r="DJ16">
        <v>0.600352</v>
      </c>
      <c r="DK16">
        <v>0.60130700000000004</v>
      </c>
      <c r="DL16">
        <v>0.107059</v>
      </c>
      <c r="DM16">
        <v>0</v>
      </c>
      <c r="DN16" t="s">
        <v>186</v>
      </c>
      <c r="DO16" t="s">
        <v>140</v>
      </c>
      <c r="DP16" t="s">
        <v>141</v>
      </c>
      <c r="DQ16" t="s">
        <v>142</v>
      </c>
      <c r="DR16" t="s">
        <v>143</v>
      </c>
      <c r="DS16" t="s">
        <v>144</v>
      </c>
      <c r="DT16" t="s">
        <v>145</v>
      </c>
      <c r="DU16">
        <v>0.2109123357492827</v>
      </c>
      <c r="DV16">
        <v>28.01</v>
      </c>
      <c r="DW16">
        <v>27.332614597606138</v>
      </c>
      <c r="DX16">
        <v>26.655229195212272</v>
      </c>
      <c r="DY16">
        <v>2.3600504330422559E-2</v>
      </c>
      <c r="DZ16">
        <v>1</v>
      </c>
    </row>
    <row r="17" spans="1:130" x14ac:dyDescent="0.4">
      <c r="A17">
        <v>16</v>
      </c>
      <c r="B17" t="s">
        <v>188</v>
      </c>
      <c r="C17" t="s">
        <v>131</v>
      </c>
      <c r="D17" t="s">
        <v>132</v>
      </c>
      <c r="E17" t="s">
        <v>133</v>
      </c>
      <c r="I17">
        <v>16</v>
      </c>
      <c r="J17">
        <v>0.27087800000000001</v>
      </c>
      <c r="K17">
        <v>2.914539</v>
      </c>
      <c r="L17">
        <v>0.24784400000000001</v>
      </c>
      <c r="M17">
        <v>2.7627619999999999</v>
      </c>
      <c r="N17">
        <v>2.5113970000000001</v>
      </c>
      <c r="O17">
        <v>2.4346480000000001</v>
      </c>
      <c r="P17">
        <v>3.5975549999999998</v>
      </c>
      <c r="Q17">
        <v>1.086158</v>
      </c>
      <c r="R17">
        <v>24.227217</v>
      </c>
      <c r="S17">
        <v>24.990952</v>
      </c>
      <c r="T17">
        <v>35.799328000000003</v>
      </c>
      <c r="U17">
        <v>0.44178600000000001</v>
      </c>
      <c r="V17">
        <v>7.5</v>
      </c>
      <c r="W17" t="s">
        <v>189</v>
      </c>
      <c r="X17">
        <v>0</v>
      </c>
      <c r="Y17">
        <v>0</v>
      </c>
      <c r="Z17">
        <v>0</v>
      </c>
      <c r="AA17">
        <v>127.44605300000001</v>
      </c>
      <c r="AB17">
        <v>492.11203</v>
      </c>
      <c r="AC17">
        <v>0.74102199999999996</v>
      </c>
      <c r="AD17">
        <v>0.5</v>
      </c>
      <c r="AE17">
        <v>0.84</v>
      </c>
      <c r="AF17">
        <v>93.433494999999994</v>
      </c>
      <c r="AG17">
        <v>1</v>
      </c>
      <c r="AH17">
        <v>65.94</v>
      </c>
      <c r="AI17">
        <v>63.92</v>
      </c>
      <c r="AJ17">
        <v>28.06</v>
      </c>
      <c r="AK17">
        <v>27.09</v>
      </c>
      <c r="AL17">
        <v>27.09</v>
      </c>
      <c r="AM17">
        <v>100.49</v>
      </c>
      <c r="AN17">
        <v>155.80000000000001</v>
      </c>
      <c r="AO17">
        <v>154.69999999999999</v>
      </c>
      <c r="AP17">
        <v>0.7</v>
      </c>
      <c r="AQ17">
        <v>300</v>
      </c>
      <c r="AR17">
        <v>3.8959999999999999</v>
      </c>
      <c r="AS17">
        <v>-1</v>
      </c>
      <c r="AT17">
        <v>13</v>
      </c>
      <c r="AU17">
        <v>345</v>
      </c>
      <c r="AV17">
        <v>45.47</v>
      </c>
      <c r="AW17">
        <v>70.13</v>
      </c>
      <c r="AX17">
        <v>13.04</v>
      </c>
      <c r="AY17">
        <v>-109.32</v>
      </c>
      <c r="AZ17">
        <v>14.11</v>
      </c>
      <c r="BA17">
        <v>96.35</v>
      </c>
      <c r="BB17">
        <v>56.99</v>
      </c>
      <c r="BC17" t="s">
        <v>190</v>
      </c>
      <c r="BD17" t="s">
        <v>151</v>
      </c>
      <c r="BE17">
        <v>35.850169999999999</v>
      </c>
      <c r="BF17">
        <v>127.12979900000001</v>
      </c>
      <c r="BG17">
        <v>45.200001</v>
      </c>
      <c r="BH17">
        <v>10</v>
      </c>
      <c r="BI17">
        <v>0.87</v>
      </c>
      <c r="BJ17" t="s">
        <v>137</v>
      </c>
      <c r="BK17" t="s">
        <v>131</v>
      </c>
      <c r="BL17">
        <v>-2.44</v>
      </c>
      <c r="BM17">
        <v>1</v>
      </c>
      <c r="BN17">
        <v>1E-3</v>
      </c>
      <c r="BO17">
        <v>0</v>
      </c>
      <c r="BP17">
        <v>-5.0000000000000001E-3</v>
      </c>
      <c r="BQ17">
        <v>-4.8000000000000001E-2</v>
      </c>
      <c r="BR17">
        <v>-0.216</v>
      </c>
      <c r="BS17">
        <v>-1.093</v>
      </c>
      <c r="BT17">
        <v>1</v>
      </c>
      <c r="BU17">
        <v>150</v>
      </c>
      <c r="BV17">
        <v>1E-3</v>
      </c>
      <c r="BW17">
        <v>2</v>
      </c>
      <c r="BX17">
        <v>5.8904999999999999E-2</v>
      </c>
      <c r="BY17">
        <v>0</v>
      </c>
      <c r="BZ17">
        <v>2.9229999999999999E-2</v>
      </c>
      <c r="CA17">
        <v>0</v>
      </c>
      <c r="CB17">
        <v>0</v>
      </c>
      <c r="CC17">
        <v>-6.7999999999999999E-5</v>
      </c>
      <c r="CD17" t="s">
        <v>138</v>
      </c>
      <c r="CE17">
        <v>0</v>
      </c>
      <c r="CF17" t="s">
        <v>139</v>
      </c>
      <c r="CG17">
        <v>6000</v>
      </c>
      <c r="CH17">
        <v>500</v>
      </c>
      <c r="CI17">
        <v>1</v>
      </c>
      <c r="CJ17">
        <v>2</v>
      </c>
      <c r="CK17">
        <v>55537</v>
      </c>
      <c r="CL17">
        <v>55537</v>
      </c>
      <c r="CM17">
        <v>55537</v>
      </c>
      <c r="CN17">
        <v>0</v>
      </c>
      <c r="CO17">
        <v>-9999</v>
      </c>
      <c r="CP17">
        <v>0</v>
      </c>
      <c r="CQ17">
        <v>0</v>
      </c>
      <c r="CR17">
        <v>0</v>
      </c>
      <c r="CS17">
        <v>0</v>
      </c>
      <c r="CT17">
        <v>2.5236999999999998</v>
      </c>
      <c r="CU17">
        <v>2.4661460000000002</v>
      </c>
      <c r="CV17">
        <v>1.668528</v>
      </c>
      <c r="CW17">
        <v>0.94072999999999996</v>
      </c>
      <c r="CX17">
        <v>0.24145900000000001</v>
      </c>
      <c r="CY17">
        <v>-1.0819E-2</v>
      </c>
      <c r="CZ17">
        <v>0.14217399999999999</v>
      </c>
      <c r="DA17">
        <v>0.36886000000000002</v>
      </c>
      <c r="DB17">
        <v>127.44605300000001</v>
      </c>
      <c r="DC17">
        <v>3.4699999999999998E-4</v>
      </c>
      <c r="DD17">
        <v>2.4228710000000002</v>
      </c>
      <c r="DE17">
        <v>-2.6999999999999999E-5</v>
      </c>
      <c r="DF17">
        <v>1</v>
      </c>
      <c r="DG17">
        <v>2.36666</v>
      </c>
      <c r="DH17">
        <v>-1.1E-5</v>
      </c>
      <c r="DI17">
        <v>1</v>
      </c>
      <c r="DJ17">
        <v>0.600352</v>
      </c>
      <c r="DK17">
        <v>0.60130700000000004</v>
      </c>
      <c r="DL17">
        <v>0.107059</v>
      </c>
      <c r="DM17">
        <v>0</v>
      </c>
      <c r="DN17" t="s">
        <v>189</v>
      </c>
      <c r="DO17" t="s">
        <v>140</v>
      </c>
      <c r="DP17" t="s">
        <v>141</v>
      </c>
      <c r="DQ17" t="s">
        <v>142</v>
      </c>
      <c r="DR17" t="s">
        <v>143</v>
      </c>
      <c r="DS17" t="s">
        <v>144</v>
      </c>
      <c r="DT17" t="s">
        <v>145</v>
      </c>
      <c r="DU17">
        <v>0.24304267183917641</v>
      </c>
      <c r="DV17">
        <v>28.06</v>
      </c>
      <c r="DW17">
        <v>27.248457397081221</v>
      </c>
      <c r="DX17">
        <v>26.436914794162441</v>
      </c>
      <c r="DY17">
        <v>2.3465791743682261E-2</v>
      </c>
      <c r="DZ17">
        <v>1</v>
      </c>
    </row>
    <row r="18" spans="1:130" x14ac:dyDescent="0.4">
      <c r="A18">
        <v>17</v>
      </c>
      <c r="B18" t="s">
        <v>191</v>
      </c>
      <c r="C18" t="s">
        <v>131</v>
      </c>
      <c r="D18" t="s">
        <v>132</v>
      </c>
      <c r="E18" t="s">
        <v>133</v>
      </c>
      <c r="I18">
        <v>17</v>
      </c>
      <c r="J18">
        <v>0.36256100000000002</v>
      </c>
      <c r="K18">
        <v>2.9172169999999999</v>
      </c>
      <c r="L18">
        <v>0.32248199999999999</v>
      </c>
      <c r="M18">
        <v>3.1587339999999999</v>
      </c>
      <c r="N18">
        <v>2.558684</v>
      </c>
      <c r="O18">
        <v>2.4711599999999998</v>
      </c>
      <c r="P18">
        <v>3.5132859999999999</v>
      </c>
      <c r="Q18">
        <v>0.95460199999999995</v>
      </c>
      <c r="R18">
        <v>24.590312999999998</v>
      </c>
      <c r="S18">
        <v>25.461254</v>
      </c>
      <c r="T18">
        <v>34.960419000000002</v>
      </c>
      <c r="U18">
        <v>0.44178600000000001</v>
      </c>
      <c r="V18">
        <v>7.5</v>
      </c>
      <c r="W18" t="s">
        <v>192</v>
      </c>
      <c r="X18">
        <v>0</v>
      </c>
      <c r="Y18">
        <v>0</v>
      </c>
      <c r="Z18">
        <v>0</v>
      </c>
      <c r="AA18">
        <v>118.752121</v>
      </c>
      <c r="AB18">
        <v>495.69903599999998</v>
      </c>
      <c r="AC18">
        <v>0.76043499999999997</v>
      </c>
      <c r="AD18">
        <v>0.5</v>
      </c>
      <c r="AE18">
        <v>0.84</v>
      </c>
      <c r="AF18">
        <v>79.489311000000001</v>
      </c>
      <c r="AG18">
        <v>1</v>
      </c>
      <c r="AH18">
        <v>66.77</v>
      </c>
      <c r="AI18">
        <v>64.489999999999995</v>
      </c>
      <c r="AJ18">
        <v>28.17</v>
      </c>
      <c r="AK18">
        <v>26.68</v>
      </c>
      <c r="AL18">
        <v>26.68</v>
      </c>
      <c r="AM18">
        <v>100.49</v>
      </c>
      <c r="AN18">
        <v>156.1</v>
      </c>
      <c r="AO18">
        <v>153.80000000000001</v>
      </c>
      <c r="AP18">
        <v>1.5</v>
      </c>
      <c r="AQ18">
        <v>249</v>
      </c>
      <c r="AR18">
        <v>3.895</v>
      </c>
      <c r="AS18">
        <v>-16</v>
      </c>
      <c r="AT18">
        <v>-21</v>
      </c>
      <c r="AU18">
        <v>307</v>
      </c>
      <c r="AV18">
        <v>81.14</v>
      </c>
      <c r="AW18">
        <v>15.4</v>
      </c>
      <c r="AX18">
        <v>26.18</v>
      </c>
      <c r="AY18">
        <v>72.680000000000007</v>
      </c>
      <c r="AZ18">
        <v>14.11</v>
      </c>
      <c r="BA18">
        <v>96.51</v>
      </c>
      <c r="BB18">
        <v>56.78</v>
      </c>
      <c r="BC18" t="s">
        <v>193</v>
      </c>
      <c r="BD18" t="s">
        <v>151</v>
      </c>
      <c r="BE18">
        <v>35.850158999999998</v>
      </c>
      <c r="BF18">
        <v>127.129791</v>
      </c>
      <c r="BG18">
        <v>45.299999</v>
      </c>
      <c r="BH18">
        <v>9</v>
      </c>
      <c r="BI18">
        <v>0.97</v>
      </c>
      <c r="BJ18" t="s">
        <v>137</v>
      </c>
      <c r="BK18" t="s">
        <v>131</v>
      </c>
      <c r="BL18">
        <v>-2.44</v>
      </c>
      <c r="BM18">
        <v>1</v>
      </c>
      <c r="BN18">
        <v>-2E-3</v>
      </c>
      <c r="BO18">
        <v>1E-3</v>
      </c>
      <c r="BP18">
        <v>0</v>
      </c>
      <c r="BQ18">
        <v>0.41499999999999998</v>
      </c>
      <c r="BR18">
        <v>-3.0000000000000001E-3</v>
      </c>
      <c r="BS18">
        <v>-0.252</v>
      </c>
      <c r="BT18">
        <v>1</v>
      </c>
      <c r="BU18">
        <v>150</v>
      </c>
      <c r="BV18">
        <v>1E-3</v>
      </c>
      <c r="BW18">
        <v>2</v>
      </c>
      <c r="BX18">
        <v>5.8904999999999999E-2</v>
      </c>
      <c r="BY18">
        <v>0</v>
      </c>
      <c r="BZ18">
        <v>2.9229999999999999E-2</v>
      </c>
      <c r="CA18">
        <v>0</v>
      </c>
      <c r="CB18">
        <v>0</v>
      </c>
      <c r="CC18">
        <v>-6.7999999999999999E-5</v>
      </c>
      <c r="CD18" t="s">
        <v>138</v>
      </c>
      <c r="CE18">
        <v>0</v>
      </c>
      <c r="CF18" t="s">
        <v>139</v>
      </c>
      <c r="CG18">
        <v>6000</v>
      </c>
      <c r="CH18">
        <v>500</v>
      </c>
      <c r="CI18">
        <v>1</v>
      </c>
      <c r="CJ18">
        <v>2</v>
      </c>
      <c r="CK18">
        <v>55537</v>
      </c>
      <c r="CL18">
        <v>55537</v>
      </c>
      <c r="CM18">
        <v>55537</v>
      </c>
      <c r="CN18">
        <v>0</v>
      </c>
      <c r="CO18">
        <v>-9999</v>
      </c>
      <c r="CP18">
        <v>0</v>
      </c>
      <c r="CQ18">
        <v>0</v>
      </c>
      <c r="CR18">
        <v>0</v>
      </c>
      <c r="CS18">
        <v>0</v>
      </c>
      <c r="CT18">
        <v>2.5244550000000001</v>
      </c>
      <c r="CU18">
        <v>2.4671789999999998</v>
      </c>
      <c r="CV18">
        <v>1.67134</v>
      </c>
      <c r="CW18">
        <v>0.93833699999999998</v>
      </c>
      <c r="CX18">
        <v>0.24046100000000001</v>
      </c>
      <c r="CY18">
        <v>-1.6875999999999999E-2</v>
      </c>
      <c r="CZ18">
        <v>0.14674499999999999</v>
      </c>
      <c r="DA18">
        <v>0.324102</v>
      </c>
      <c r="DB18">
        <v>118.752121</v>
      </c>
      <c r="DC18">
        <v>3.4400000000000001E-4</v>
      </c>
      <c r="DD18">
        <v>2.4228710000000002</v>
      </c>
      <c r="DE18">
        <v>-2.6999999999999999E-5</v>
      </c>
      <c r="DF18">
        <v>1</v>
      </c>
      <c r="DG18">
        <v>2.36666</v>
      </c>
      <c r="DH18">
        <v>-1.1E-5</v>
      </c>
      <c r="DI18">
        <v>1</v>
      </c>
      <c r="DJ18">
        <v>0.600352</v>
      </c>
      <c r="DK18">
        <v>0.60130700000000004</v>
      </c>
      <c r="DL18">
        <v>0.107059</v>
      </c>
      <c r="DM18">
        <v>0</v>
      </c>
      <c r="DN18" t="s">
        <v>192</v>
      </c>
      <c r="DO18" t="s">
        <v>140</v>
      </c>
      <c r="DP18" t="s">
        <v>141</v>
      </c>
      <c r="DQ18" t="s">
        <v>142</v>
      </c>
      <c r="DR18" t="s">
        <v>143</v>
      </c>
      <c r="DS18" t="s">
        <v>144</v>
      </c>
      <c r="DT18" t="s">
        <v>145</v>
      </c>
      <c r="DU18">
        <v>0.3103583483833427</v>
      </c>
      <c r="DV18">
        <v>28.17</v>
      </c>
      <c r="DW18">
        <v>27.245812919921821</v>
      </c>
      <c r="DX18">
        <v>26.321625839843641</v>
      </c>
      <c r="DY18">
        <v>2.3715095860558911E-2</v>
      </c>
      <c r="DZ18">
        <v>1</v>
      </c>
    </row>
    <row r="19" spans="1:130" x14ac:dyDescent="0.4">
      <c r="A19">
        <v>18</v>
      </c>
      <c r="B19" t="s">
        <v>194</v>
      </c>
      <c r="C19" t="s">
        <v>131</v>
      </c>
      <c r="D19" t="s">
        <v>132</v>
      </c>
      <c r="E19" t="s">
        <v>133</v>
      </c>
      <c r="I19">
        <v>18</v>
      </c>
      <c r="J19">
        <v>0.32481599999999999</v>
      </c>
      <c r="K19">
        <v>2.9168310000000002</v>
      </c>
      <c r="L19">
        <v>0.292269</v>
      </c>
      <c r="M19">
        <v>2.8998460000000001</v>
      </c>
      <c r="N19">
        <v>2.5663670000000001</v>
      </c>
      <c r="O19">
        <v>2.4860030000000002</v>
      </c>
      <c r="P19">
        <v>3.5331389999999998</v>
      </c>
      <c r="Q19">
        <v>0.96677100000000005</v>
      </c>
      <c r="R19">
        <v>24.739177999999999</v>
      </c>
      <c r="S19">
        <v>25.538916</v>
      </c>
      <c r="T19">
        <v>35.15963</v>
      </c>
      <c r="U19">
        <v>0.44178600000000001</v>
      </c>
      <c r="V19">
        <v>7.5</v>
      </c>
      <c r="W19" t="s">
        <v>195</v>
      </c>
      <c r="X19">
        <v>0</v>
      </c>
      <c r="Y19">
        <v>0</v>
      </c>
      <c r="Z19">
        <v>0</v>
      </c>
      <c r="AA19">
        <v>121.536255</v>
      </c>
      <c r="AB19">
        <v>489.86505099999999</v>
      </c>
      <c r="AC19">
        <v>0.75189899999999998</v>
      </c>
      <c r="AD19">
        <v>0.5</v>
      </c>
      <c r="AE19">
        <v>0.84</v>
      </c>
      <c r="AF19">
        <v>82.121505999999997</v>
      </c>
      <c r="AG19">
        <v>1</v>
      </c>
      <c r="AH19">
        <v>66.8</v>
      </c>
      <c r="AI19">
        <v>64.7</v>
      </c>
      <c r="AJ19">
        <v>28.21</v>
      </c>
      <c r="AK19">
        <v>26.78</v>
      </c>
      <c r="AL19">
        <v>26.78</v>
      </c>
      <c r="AM19">
        <v>100.49</v>
      </c>
      <c r="AN19">
        <v>156.1</v>
      </c>
      <c r="AO19">
        <v>150</v>
      </c>
      <c r="AP19">
        <v>3.9</v>
      </c>
      <c r="AQ19">
        <v>260</v>
      </c>
      <c r="AR19">
        <v>3.8940000000000001</v>
      </c>
      <c r="AS19">
        <v>-17</v>
      </c>
      <c r="AT19">
        <v>-4</v>
      </c>
      <c r="AU19">
        <v>302</v>
      </c>
      <c r="AV19">
        <v>73.91</v>
      </c>
      <c r="AW19">
        <v>27.72</v>
      </c>
      <c r="AX19">
        <v>17.45</v>
      </c>
      <c r="AY19">
        <v>108.55</v>
      </c>
      <c r="AZ19">
        <v>14.11</v>
      </c>
      <c r="BA19">
        <v>96.51</v>
      </c>
      <c r="BB19">
        <v>56.78</v>
      </c>
      <c r="BC19" t="s">
        <v>196</v>
      </c>
      <c r="BD19" t="s">
        <v>151</v>
      </c>
      <c r="BE19">
        <v>35.850140000000003</v>
      </c>
      <c r="BF19">
        <v>127.129784</v>
      </c>
      <c r="BG19">
        <v>45.299999</v>
      </c>
      <c r="BH19">
        <v>7</v>
      </c>
      <c r="BI19">
        <v>1.03</v>
      </c>
      <c r="BJ19" t="s">
        <v>137</v>
      </c>
      <c r="BK19" t="s">
        <v>131</v>
      </c>
      <c r="BL19">
        <v>-2.44</v>
      </c>
      <c r="BM19">
        <v>1</v>
      </c>
      <c r="BN19">
        <v>-1E-3</v>
      </c>
      <c r="BO19">
        <v>0</v>
      </c>
      <c r="BP19">
        <v>3.0000000000000001E-3</v>
      </c>
      <c r="BQ19">
        <v>-0.11600000000000001</v>
      </c>
      <c r="BR19">
        <v>-0.251</v>
      </c>
      <c r="BS19">
        <v>-0.58899999999999997</v>
      </c>
      <c r="BT19">
        <v>1</v>
      </c>
      <c r="BU19">
        <v>150</v>
      </c>
      <c r="BV19">
        <v>1E-3</v>
      </c>
      <c r="BW19">
        <v>2</v>
      </c>
      <c r="BX19">
        <v>5.8904999999999999E-2</v>
      </c>
      <c r="BY19">
        <v>0</v>
      </c>
      <c r="BZ19">
        <v>2.9229999999999999E-2</v>
      </c>
      <c r="CA19">
        <v>0</v>
      </c>
      <c r="CB19">
        <v>0</v>
      </c>
      <c r="CC19">
        <v>-6.7999999999999999E-5</v>
      </c>
      <c r="CD19" t="s">
        <v>138</v>
      </c>
      <c r="CE19">
        <v>0</v>
      </c>
      <c r="CF19" t="s">
        <v>139</v>
      </c>
      <c r="CG19">
        <v>6000</v>
      </c>
      <c r="CH19">
        <v>500</v>
      </c>
      <c r="CI19">
        <v>1</v>
      </c>
      <c r="CJ19">
        <v>2</v>
      </c>
      <c r="CK19">
        <v>55537</v>
      </c>
      <c r="CL19">
        <v>55537</v>
      </c>
      <c r="CM19">
        <v>55537</v>
      </c>
      <c r="CN19">
        <v>0</v>
      </c>
      <c r="CO19">
        <v>-9999</v>
      </c>
      <c r="CP19">
        <v>0</v>
      </c>
      <c r="CQ19">
        <v>0</v>
      </c>
      <c r="CR19">
        <v>0</v>
      </c>
      <c r="CS19">
        <v>0</v>
      </c>
      <c r="CT19">
        <v>2.5247419999999998</v>
      </c>
      <c r="CU19">
        <v>2.4672000000000001</v>
      </c>
      <c r="CV19">
        <v>1.6709350000000001</v>
      </c>
      <c r="CW19">
        <v>0.92854899999999996</v>
      </c>
      <c r="CX19">
        <v>0.24002699999999999</v>
      </c>
      <c r="CY19">
        <v>-1.6289000000000001E-2</v>
      </c>
      <c r="CZ19">
        <v>0.148757</v>
      </c>
      <c r="DA19">
        <v>0.33383499999999999</v>
      </c>
      <c r="DB19">
        <v>121.536255</v>
      </c>
      <c r="DC19">
        <v>3.4900000000000003E-4</v>
      </c>
      <c r="DD19">
        <v>2.4228710000000002</v>
      </c>
      <c r="DE19">
        <v>-2.6999999999999999E-5</v>
      </c>
      <c r="DF19">
        <v>1</v>
      </c>
      <c r="DG19">
        <v>2.36666</v>
      </c>
      <c r="DH19">
        <v>-1.1E-5</v>
      </c>
      <c r="DI19">
        <v>1</v>
      </c>
      <c r="DJ19">
        <v>0.600352</v>
      </c>
      <c r="DK19">
        <v>0.60130700000000004</v>
      </c>
      <c r="DL19">
        <v>0.107059</v>
      </c>
      <c r="DM19">
        <v>0</v>
      </c>
      <c r="DN19" t="s">
        <v>195</v>
      </c>
      <c r="DO19" t="s">
        <v>140</v>
      </c>
      <c r="DP19" t="s">
        <v>141</v>
      </c>
      <c r="DQ19" t="s">
        <v>142</v>
      </c>
      <c r="DR19" t="s">
        <v>143</v>
      </c>
      <c r="DS19" t="s">
        <v>144</v>
      </c>
      <c r="DT19" t="s">
        <v>145</v>
      </c>
      <c r="DU19">
        <v>0.28400294216022631</v>
      </c>
      <c r="DV19">
        <v>28.21</v>
      </c>
      <c r="DW19">
        <v>27.356703970625901</v>
      </c>
      <c r="DX19">
        <v>26.503407941251801</v>
      </c>
      <c r="DY19">
        <v>2.3913349296499759E-2</v>
      </c>
      <c r="DZ1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activeCell="B2" sqref="B2:B19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9</v>
      </c>
      <c r="E1" s="1" t="s">
        <v>124</v>
      </c>
      <c r="F1" s="1" t="s">
        <v>16</v>
      </c>
      <c r="G1" s="1" t="s">
        <v>26</v>
      </c>
      <c r="H1" s="1" t="s">
        <v>27</v>
      </c>
      <c r="I1" s="1" t="s">
        <v>28</v>
      </c>
      <c r="J1" s="1" t="s">
        <v>31</v>
      </c>
      <c r="K1" s="1" t="s">
        <v>37</v>
      </c>
      <c r="L1" s="1" t="s">
        <v>42</v>
      </c>
    </row>
    <row r="2" spans="1:12" x14ac:dyDescent="0.4">
      <c r="A2">
        <v>1</v>
      </c>
      <c r="B2" t="s">
        <v>130</v>
      </c>
      <c r="C2" t="s">
        <v>131</v>
      </c>
      <c r="D2">
        <v>0.336204</v>
      </c>
      <c r="E2">
        <v>0.29422020409540051</v>
      </c>
      <c r="F2">
        <v>1.0163040000000001</v>
      </c>
      <c r="G2">
        <v>137.01010099999999</v>
      </c>
      <c r="H2">
        <v>553.09045400000002</v>
      </c>
      <c r="I2">
        <v>0.75228300000000004</v>
      </c>
      <c r="J2">
        <v>56.507438999999998</v>
      </c>
      <c r="K2">
        <v>25.34</v>
      </c>
      <c r="L2">
        <v>179</v>
      </c>
    </row>
    <row r="3" spans="1:12" x14ac:dyDescent="0.4">
      <c r="A3">
        <v>2</v>
      </c>
      <c r="B3" t="s">
        <v>146</v>
      </c>
      <c r="C3" t="s">
        <v>131</v>
      </c>
      <c r="D3">
        <v>0.46157500000000001</v>
      </c>
      <c r="E3">
        <v>0.38230750930837448</v>
      </c>
      <c r="F3">
        <v>0.94477599999999995</v>
      </c>
      <c r="G3">
        <v>115.610359</v>
      </c>
      <c r="H3">
        <v>498.522156</v>
      </c>
      <c r="I3">
        <v>0.76809400000000005</v>
      </c>
      <c r="J3">
        <v>96.388458</v>
      </c>
      <c r="K3">
        <v>25.33</v>
      </c>
      <c r="L3">
        <v>299</v>
      </c>
    </row>
    <row r="4" spans="1:12" x14ac:dyDescent="0.4">
      <c r="A4">
        <v>3</v>
      </c>
      <c r="B4" t="s">
        <v>148</v>
      </c>
      <c r="C4" t="s">
        <v>131</v>
      </c>
      <c r="D4">
        <v>0.46071400000000001</v>
      </c>
      <c r="E4">
        <v>0.38146549284593878</v>
      </c>
      <c r="F4">
        <v>0.92035400000000001</v>
      </c>
      <c r="G4">
        <v>134.12081900000001</v>
      </c>
      <c r="H4">
        <v>525.72259499999996</v>
      </c>
      <c r="I4">
        <v>0.74488299999999996</v>
      </c>
      <c r="J4">
        <v>87.168571</v>
      </c>
      <c r="K4">
        <v>25.49</v>
      </c>
      <c r="L4">
        <v>279</v>
      </c>
    </row>
    <row r="5" spans="1:12" x14ac:dyDescent="0.4">
      <c r="A5">
        <v>4</v>
      </c>
      <c r="B5" t="s">
        <v>152</v>
      </c>
      <c r="C5" t="s">
        <v>131</v>
      </c>
      <c r="D5">
        <v>0.39153500000000002</v>
      </c>
      <c r="E5">
        <v>0.33371069065716458</v>
      </c>
      <c r="F5">
        <v>0.97540099999999996</v>
      </c>
      <c r="G5">
        <v>117.353081</v>
      </c>
      <c r="H5">
        <v>498.17275999999998</v>
      </c>
      <c r="I5">
        <v>0.76443300000000003</v>
      </c>
      <c r="J5">
        <v>92.912070999999997</v>
      </c>
      <c r="K5">
        <v>25.68</v>
      </c>
      <c r="L5">
        <v>289</v>
      </c>
    </row>
    <row r="6" spans="1:12" x14ac:dyDescent="0.4">
      <c r="A6">
        <v>5</v>
      </c>
      <c r="B6" t="s">
        <v>155</v>
      </c>
      <c r="C6" t="s">
        <v>131</v>
      </c>
      <c r="D6">
        <v>0.37562400000000001</v>
      </c>
      <c r="E6">
        <v>0.32240966523507908</v>
      </c>
      <c r="F6">
        <v>0.93864499999999995</v>
      </c>
      <c r="G6">
        <v>118.705276</v>
      </c>
      <c r="H6">
        <v>507.21896400000003</v>
      </c>
      <c r="I6">
        <v>0.76596799999999998</v>
      </c>
      <c r="J6">
        <v>99.480796999999995</v>
      </c>
      <c r="K6">
        <v>25.72</v>
      </c>
      <c r="L6">
        <v>309</v>
      </c>
    </row>
    <row r="7" spans="1:12" x14ac:dyDescent="0.4">
      <c r="A7">
        <v>6</v>
      </c>
      <c r="B7" t="s">
        <v>158</v>
      </c>
      <c r="C7" t="s">
        <v>131</v>
      </c>
      <c r="D7">
        <v>0.40018399999999998</v>
      </c>
      <c r="E7">
        <v>0.33849894341239117</v>
      </c>
      <c r="F7">
        <v>0.92361800000000005</v>
      </c>
      <c r="G7">
        <v>126.167534</v>
      </c>
      <c r="H7">
        <v>545.34313999999995</v>
      </c>
      <c r="I7">
        <v>0.76864600000000005</v>
      </c>
      <c r="J7">
        <v>75.336181999999994</v>
      </c>
      <c r="K7">
        <v>25.78</v>
      </c>
      <c r="L7">
        <v>233</v>
      </c>
    </row>
    <row r="8" spans="1:12" x14ac:dyDescent="0.4">
      <c r="A8">
        <v>7</v>
      </c>
      <c r="B8" t="s">
        <v>161</v>
      </c>
      <c r="C8" t="s">
        <v>131</v>
      </c>
      <c r="D8">
        <v>0.45441199999999998</v>
      </c>
      <c r="E8">
        <v>0.37695756568258548</v>
      </c>
      <c r="F8">
        <v>0.91603800000000002</v>
      </c>
      <c r="G8">
        <v>120.755554</v>
      </c>
      <c r="H8">
        <v>506.51907299999999</v>
      </c>
      <c r="I8">
        <v>0.76159699999999997</v>
      </c>
      <c r="J8">
        <v>99.473350999999994</v>
      </c>
      <c r="K8">
        <v>25.85</v>
      </c>
      <c r="L8">
        <v>311</v>
      </c>
    </row>
    <row r="9" spans="1:12" x14ac:dyDescent="0.4">
      <c r="A9">
        <v>8</v>
      </c>
      <c r="B9" t="s">
        <v>164</v>
      </c>
      <c r="C9" t="s">
        <v>131</v>
      </c>
      <c r="D9">
        <v>0.462418</v>
      </c>
      <c r="E9">
        <v>0.38036709803141211</v>
      </c>
      <c r="F9">
        <v>0.89403200000000005</v>
      </c>
      <c r="G9">
        <v>130.22197</v>
      </c>
      <c r="H9">
        <v>517.18963599999995</v>
      </c>
      <c r="I9">
        <v>0.74821199999999999</v>
      </c>
      <c r="J9">
        <v>99.366439999999997</v>
      </c>
      <c r="K9">
        <v>25.91</v>
      </c>
      <c r="L9">
        <v>316</v>
      </c>
    </row>
    <row r="10" spans="1:12" x14ac:dyDescent="0.4">
      <c r="A10">
        <v>9</v>
      </c>
      <c r="B10" t="s">
        <v>167</v>
      </c>
      <c r="C10" t="s">
        <v>131</v>
      </c>
      <c r="D10">
        <v>0.39863900000000002</v>
      </c>
      <c r="E10">
        <v>0.33672633718298861</v>
      </c>
      <c r="F10">
        <v>0.89529700000000001</v>
      </c>
      <c r="G10">
        <v>117.898819</v>
      </c>
      <c r="H10">
        <v>510.55740400000002</v>
      </c>
      <c r="I10">
        <v>0.76907800000000004</v>
      </c>
      <c r="J10">
        <v>86.526741000000001</v>
      </c>
      <c r="K10">
        <v>26.1</v>
      </c>
      <c r="L10">
        <v>268</v>
      </c>
    </row>
    <row r="11" spans="1:12" x14ac:dyDescent="0.4">
      <c r="A11">
        <v>10</v>
      </c>
      <c r="B11" t="s">
        <v>170</v>
      </c>
      <c r="C11" t="s">
        <v>131</v>
      </c>
      <c r="D11">
        <v>0.30906099999999997</v>
      </c>
      <c r="E11">
        <v>0.27211453163217181</v>
      </c>
      <c r="F11">
        <v>1.0509919999999999</v>
      </c>
      <c r="G11">
        <v>146.27230800000001</v>
      </c>
      <c r="H11">
        <v>540.137878</v>
      </c>
      <c r="I11">
        <v>0.72919500000000004</v>
      </c>
      <c r="J11">
        <v>92.170624000000004</v>
      </c>
      <c r="K11">
        <v>26.51</v>
      </c>
      <c r="L11">
        <v>301</v>
      </c>
    </row>
    <row r="12" spans="1:12" x14ac:dyDescent="0.4">
      <c r="A12">
        <v>11</v>
      </c>
      <c r="B12" t="s">
        <v>173</v>
      </c>
      <c r="C12" t="s">
        <v>131</v>
      </c>
      <c r="D12">
        <v>0.44106200000000001</v>
      </c>
      <c r="E12">
        <v>0.36780247514811748</v>
      </c>
      <c r="F12">
        <v>0.99842900000000001</v>
      </c>
      <c r="G12">
        <v>118.714569</v>
      </c>
      <c r="H12">
        <v>482.50759900000003</v>
      </c>
      <c r="I12">
        <v>0.75396300000000005</v>
      </c>
      <c r="J12">
        <v>95.037650999999997</v>
      </c>
      <c r="K12">
        <v>26.34</v>
      </c>
      <c r="L12">
        <v>300</v>
      </c>
    </row>
    <row r="13" spans="1:12" x14ac:dyDescent="0.4">
      <c r="A13">
        <v>12</v>
      </c>
      <c r="B13" t="s">
        <v>176</v>
      </c>
      <c r="C13" t="s">
        <v>131</v>
      </c>
      <c r="D13">
        <v>0.41996299999999998</v>
      </c>
      <c r="E13">
        <v>0.35217053014476613</v>
      </c>
      <c r="F13">
        <v>0.96824600000000005</v>
      </c>
      <c r="G13">
        <v>138.985275</v>
      </c>
      <c r="H13">
        <v>510.47946200000001</v>
      </c>
      <c r="I13">
        <v>0.72773600000000005</v>
      </c>
      <c r="J13">
        <v>94.799728000000002</v>
      </c>
      <c r="K13">
        <v>26.44</v>
      </c>
      <c r="L13">
        <v>310</v>
      </c>
    </row>
    <row r="14" spans="1:12" x14ac:dyDescent="0.4">
      <c r="A14">
        <v>13</v>
      </c>
      <c r="B14" t="s">
        <v>179</v>
      </c>
      <c r="C14" t="s">
        <v>131</v>
      </c>
      <c r="D14">
        <v>0.267148</v>
      </c>
      <c r="E14">
        <v>0.23907384162150519</v>
      </c>
      <c r="F14">
        <v>0.99816400000000005</v>
      </c>
      <c r="G14">
        <v>118.660568</v>
      </c>
      <c r="H14">
        <v>478.75857500000001</v>
      </c>
      <c r="I14">
        <v>0.75214999999999999</v>
      </c>
      <c r="J14">
        <v>94.707329000000001</v>
      </c>
      <c r="K14">
        <v>26.82</v>
      </c>
      <c r="L14">
        <v>300</v>
      </c>
    </row>
    <row r="15" spans="1:12" x14ac:dyDescent="0.4">
      <c r="A15">
        <v>14</v>
      </c>
      <c r="B15" t="s">
        <v>182</v>
      </c>
      <c r="C15" t="s">
        <v>131</v>
      </c>
      <c r="D15">
        <v>0.25615100000000002</v>
      </c>
      <c r="E15">
        <v>0.23139620536004499</v>
      </c>
      <c r="F15">
        <v>1.048951</v>
      </c>
      <c r="G15">
        <v>154.36935399999999</v>
      </c>
      <c r="H15">
        <v>541.87561000000005</v>
      </c>
      <c r="I15">
        <v>0.71511999999999998</v>
      </c>
      <c r="J15">
        <v>88.284782000000007</v>
      </c>
      <c r="K15">
        <v>26.86</v>
      </c>
      <c r="L15">
        <v>294</v>
      </c>
    </row>
    <row r="16" spans="1:12" x14ac:dyDescent="0.4">
      <c r="A16">
        <v>15</v>
      </c>
      <c r="B16" t="s">
        <v>185</v>
      </c>
      <c r="C16" t="s">
        <v>131</v>
      </c>
      <c r="D16">
        <v>0.230521</v>
      </c>
      <c r="E16">
        <v>0.2109123357492827</v>
      </c>
      <c r="F16">
        <v>1.0513570000000001</v>
      </c>
      <c r="G16">
        <v>135.53774999999999</v>
      </c>
      <c r="H16">
        <v>517.421021</v>
      </c>
      <c r="I16">
        <v>0.73805100000000001</v>
      </c>
      <c r="J16">
        <v>75.133628999999999</v>
      </c>
      <c r="K16">
        <v>26.87</v>
      </c>
      <c r="L16">
        <v>242</v>
      </c>
    </row>
    <row r="17" spans="1:12" x14ac:dyDescent="0.4">
      <c r="A17">
        <v>16</v>
      </c>
      <c r="B17" t="s">
        <v>188</v>
      </c>
      <c r="C17" t="s">
        <v>131</v>
      </c>
      <c r="D17">
        <v>0.27087800000000001</v>
      </c>
      <c r="E17">
        <v>0.24304267183917641</v>
      </c>
      <c r="F17">
        <v>1.086158</v>
      </c>
      <c r="G17">
        <v>127.44605300000001</v>
      </c>
      <c r="H17">
        <v>492.11203</v>
      </c>
      <c r="I17">
        <v>0.74102199999999996</v>
      </c>
      <c r="J17">
        <v>93.433494999999994</v>
      </c>
      <c r="K17">
        <v>27.09</v>
      </c>
      <c r="L17">
        <v>300</v>
      </c>
    </row>
    <row r="18" spans="1:12" x14ac:dyDescent="0.4">
      <c r="A18">
        <v>17</v>
      </c>
      <c r="B18" t="s">
        <v>191</v>
      </c>
      <c r="C18" t="s">
        <v>131</v>
      </c>
      <c r="D18">
        <v>0.36256100000000002</v>
      </c>
      <c r="E18">
        <v>0.3103583483833427</v>
      </c>
      <c r="F18">
        <v>0.95460199999999995</v>
      </c>
      <c r="G18">
        <v>118.752121</v>
      </c>
      <c r="H18">
        <v>495.69903599999998</v>
      </c>
      <c r="I18">
        <v>0.76043499999999997</v>
      </c>
      <c r="J18">
        <v>79.489311000000001</v>
      </c>
      <c r="K18">
        <v>26.68</v>
      </c>
      <c r="L18">
        <v>249</v>
      </c>
    </row>
    <row r="19" spans="1:12" x14ac:dyDescent="0.4">
      <c r="A19">
        <v>18</v>
      </c>
      <c r="B19" t="s">
        <v>194</v>
      </c>
      <c r="C19" t="s">
        <v>131</v>
      </c>
      <c r="D19">
        <v>0.32481599999999999</v>
      </c>
      <c r="E19">
        <v>0.28400294216022631</v>
      </c>
      <c r="F19">
        <v>0.96677100000000005</v>
      </c>
      <c r="G19">
        <v>121.536255</v>
      </c>
      <c r="H19">
        <v>489.86505099999999</v>
      </c>
      <c r="I19">
        <v>0.75189899999999998</v>
      </c>
      <c r="J19">
        <v>82.121505999999997</v>
      </c>
      <c r="K19">
        <v>26.78</v>
      </c>
      <c r="L19">
        <v>260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1F24-EC1E-4472-9567-8EF74AC2EA05}">
  <dimension ref="A1:U25"/>
  <sheetViews>
    <sheetView tabSelected="1" workbookViewId="0">
      <selection activeCell="Y10" sqref="Y10"/>
    </sheetView>
  </sheetViews>
  <sheetFormatPr defaultRowHeight="17.399999999999999" x14ac:dyDescent="0.4"/>
  <sheetData>
    <row r="1" spans="1:21" ht="18" thickBot="1" x14ac:dyDescent="0.45">
      <c r="A1" s="6" t="s">
        <v>199</v>
      </c>
      <c r="B1" s="2" t="s">
        <v>200</v>
      </c>
      <c r="C1" s="2" t="s">
        <v>1</v>
      </c>
      <c r="D1" s="2" t="s">
        <v>9</v>
      </c>
      <c r="E1" s="2" t="s">
        <v>197</v>
      </c>
      <c r="F1" s="2" t="s">
        <v>16</v>
      </c>
      <c r="G1" s="2" t="s">
        <v>26</v>
      </c>
      <c r="H1" s="2" t="s">
        <v>27</v>
      </c>
      <c r="I1" s="2" t="s">
        <v>28</v>
      </c>
      <c r="J1" s="2" t="s">
        <v>31</v>
      </c>
      <c r="K1" s="2" t="s">
        <v>42</v>
      </c>
      <c r="L1" s="3" t="s">
        <v>37</v>
      </c>
      <c r="M1" t="s">
        <v>198</v>
      </c>
      <c r="N1" s="4" t="s">
        <v>197</v>
      </c>
      <c r="O1" s="2" t="s">
        <v>16</v>
      </c>
      <c r="P1" s="2" t="s">
        <v>26</v>
      </c>
      <c r="Q1" s="2" t="s">
        <v>27</v>
      </c>
      <c r="R1" s="2" t="s">
        <v>28</v>
      </c>
      <c r="S1" s="2" t="s">
        <v>31</v>
      </c>
      <c r="T1" s="2" t="s">
        <v>42</v>
      </c>
      <c r="U1" s="3" t="s">
        <v>37</v>
      </c>
    </row>
    <row r="2" spans="1:21" ht="18" thickTop="1" x14ac:dyDescent="0.4">
      <c r="A2" s="7" t="s">
        <v>201</v>
      </c>
      <c r="B2">
        <v>1</v>
      </c>
      <c r="C2" t="s">
        <v>130</v>
      </c>
      <c r="D2">
        <v>0.336204</v>
      </c>
      <c r="E2">
        <v>0.29422020409540051</v>
      </c>
      <c r="F2">
        <v>1.0163040000000001</v>
      </c>
      <c r="G2">
        <v>137.01010099999999</v>
      </c>
      <c r="H2">
        <v>553.09045400000002</v>
      </c>
      <c r="I2">
        <v>0.75228300000000004</v>
      </c>
      <c r="J2">
        <v>56.507438999999998</v>
      </c>
      <c r="K2">
        <v>179</v>
      </c>
      <c r="L2">
        <v>25.34</v>
      </c>
      <c r="M2" s="5">
        <f>AVERAGE(D2:D13)</f>
        <v>0.41570055555555557</v>
      </c>
      <c r="N2" s="5">
        <f t="shared" ref="N2:U2" si="0">AVERAGE(E2:E13)</f>
        <v>0.3496292784945928</v>
      </c>
      <c r="O2" s="5">
        <f t="shared" si="0"/>
        <v>0.93605166666666684</v>
      </c>
      <c r="P2" s="5">
        <f t="shared" si="0"/>
        <v>124.20483477777778</v>
      </c>
      <c r="Q2" s="5">
        <f t="shared" si="0"/>
        <v>518.03735355555557</v>
      </c>
      <c r="R2" s="5">
        <f t="shared" si="0"/>
        <v>0.76035488888888891</v>
      </c>
      <c r="S2" s="5">
        <f t="shared" ref="S2" si="1">AVERAGE(J2:J13)</f>
        <v>88.128894444444455</v>
      </c>
      <c r="T2" s="5">
        <f t="shared" ref="T2" si="2">AVERAGE(K2:K13)</f>
        <v>275.88888888888891</v>
      </c>
      <c r="U2" s="5">
        <f t="shared" ref="U2" si="3">AVERAGE(L2:L13)</f>
        <v>25.688888888888886</v>
      </c>
    </row>
    <row r="3" spans="1:21" x14ac:dyDescent="0.4">
      <c r="A3" s="7" t="s">
        <v>201</v>
      </c>
      <c r="B3">
        <v>1</v>
      </c>
      <c r="C3" t="s">
        <v>146</v>
      </c>
      <c r="D3">
        <v>0.46157500000000001</v>
      </c>
      <c r="E3">
        <v>0.38230750930837448</v>
      </c>
      <c r="F3">
        <v>0.94477599999999995</v>
      </c>
      <c r="G3">
        <v>115.610359</v>
      </c>
      <c r="H3">
        <v>498.522156</v>
      </c>
      <c r="I3">
        <v>0.76809400000000005</v>
      </c>
      <c r="J3">
        <v>96.388458</v>
      </c>
      <c r="K3">
        <v>299</v>
      </c>
      <c r="L3">
        <v>25.33</v>
      </c>
      <c r="M3" s="5">
        <f>AVERAGE(D14:D25)</f>
        <v>0.32024011111111111</v>
      </c>
      <c r="N3" s="5">
        <f t="shared" ref="N3:U3" si="4">AVERAGE(E14:E25)</f>
        <v>0.27898598689318155</v>
      </c>
      <c r="O3" s="5">
        <f t="shared" si="4"/>
        <v>1.0137411111111112</v>
      </c>
      <c r="P3" s="5">
        <f t="shared" si="4"/>
        <v>131.14158366666666</v>
      </c>
      <c r="Q3" s="5">
        <f t="shared" si="4"/>
        <v>505.42847355555557</v>
      </c>
      <c r="R3" s="5">
        <f t="shared" si="4"/>
        <v>0.74106344444444439</v>
      </c>
      <c r="S3" s="5">
        <f t="shared" si="4"/>
        <v>88.353117222222238</v>
      </c>
      <c r="T3" s="5">
        <f t="shared" si="4"/>
        <v>284</v>
      </c>
      <c r="U3" s="5">
        <f t="shared" si="4"/>
        <v>26.710000000000004</v>
      </c>
    </row>
    <row r="4" spans="1:21" x14ac:dyDescent="0.4">
      <c r="A4" s="7" t="s">
        <v>201</v>
      </c>
      <c r="B4">
        <v>1</v>
      </c>
      <c r="C4" t="s">
        <v>148</v>
      </c>
      <c r="D4">
        <v>0.46071400000000001</v>
      </c>
      <c r="E4">
        <v>0.38146549284593878</v>
      </c>
      <c r="F4">
        <v>0.92035400000000001</v>
      </c>
      <c r="G4">
        <v>134.12081900000001</v>
      </c>
      <c r="H4">
        <v>525.72259499999996</v>
      </c>
      <c r="I4">
        <v>0.74488299999999996</v>
      </c>
      <c r="J4">
        <v>87.168571</v>
      </c>
      <c r="K4">
        <v>279</v>
      </c>
      <c r="L4">
        <v>25.49</v>
      </c>
    </row>
    <row r="5" spans="1:21" x14ac:dyDescent="0.4">
      <c r="A5" s="7" t="s">
        <v>201</v>
      </c>
      <c r="B5">
        <v>1</v>
      </c>
      <c r="C5" t="s">
        <v>152</v>
      </c>
      <c r="D5">
        <v>0.39153500000000002</v>
      </c>
      <c r="E5">
        <v>0.33371069065716458</v>
      </c>
      <c r="F5">
        <v>0.97540099999999996</v>
      </c>
      <c r="G5">
        <v>117.353081</v>
      </c>
      <c r="H5">
        <v>498.17275999999998</v>
      </c>
      <c r="I5">
        <v>0.76443300000000003</v>
      </c>
      <c r="J5">
        <v>92.912070999999997</v>
      </c>
      <c r="K5">
        <v>289</v>
      </c>
      <c r="L5">
        <v>25.68</v>
      </c>
    </row>
    <row r="6" spans="1:21" x14ac:dyDescent="0.4">
      <c r="A6" s="7" t="s">
        <v>201</v>
      </c>
      <c r="B6">
        <v>1</v>
      </c>
      <c r="C6" t="s">
        <v>155</v>
      </c>
      <c r="D6">
        <v>0.37562400000000001</v>
      </c>
      <c r="E6">
        <v>0.32240966523507908</v>
      </c>
      <c r="F6">
        <v>0.93864499999999995</v>
      </c>
      <c r="G6">
        <v>118.705276</v>
      </c>
      <c r="H6">
        <v>507.21896400000003</v>
      </c>
      <c r="I6">
        <v>0.76596799999999998</v>
      </c>
      <c r="J6">
        <v>99.480796999999995</v>
      </c>
      <c r="K6">
        <v>309</v>
      </c>
      <c r="L6">
        <v>25.72</v>
      </c>
    </row>
    <row r="7" spans="1:21" x14ac:dyDescent="0.4">
      <c r="A7" s="7" t="s">
        <v>201</v>
      </c>
      <c r="B7">
        <v>1</v>
      </c>
      <c r="C7" t="s">
        <v>158</v>
      </c>
      <c r="D7">
        <v>0.40018399999999998</v>
      </c>
      <c r="E7">
        <v>0.33849894341239117</v>
      </c>
      <c r="F7">
        <v>0.92361800000000005</v>
      </c>
      <c r="G7">
        <v>126.167534</v>
      </c>
      <c r="H7">
        <v>545.34313999999995</v>
      </c>
      <c r="I7">
        <v>0.76864600000000005</v>
      </c>
      <c r="J7">
        <v>75.336181999999994</v>
      </c>
      <c r="K7">
        <v>233</v>
      </c>
      <c r="L7">
        <v>25.78</v>
      </c>
    </row>
    <row r="8" spans="1:21" x14ac:dyDescent="0.4">
      <c r="A8" s="7" t="s">
        <v>201</v>
      </c>
      <c r="B8">
        <v>1</v>
      </c>
      <c r="C8" t="s">
        <v>161</v>
      </c>
      <c r="D8">
        <v>0.45441199999999998</v>
      </c>
      <c r="E8">
        <v>0.37695756568258548</v>
      </c>
      <c r="F8">
        <v>0.91603800000000002</v>
      </c>
      <c r="G8">
        <v>120.755554</v>
      </c>
      <c r="H8">
        <v>506.51907299999999</v>
      </c>
      <c r="I8">
        <v>0.76159699999999997</v>
      </c>
      <c r="J8">
        <v>99.473350999999994</v>
      </c>
      <c r="K8">
        <v>311</v>
      </c>
      <c r="L8">
        <v>25.85</v>
      </c>
    </row>
    <row r="9" spans="1:21" x14ac:dyDescent="0.4">
      <c r="A9" s="7" t="s">
        <v>201</v>
      </c>
      <c r="B9">
        <v>1</v>
      </c>
      <c r="C9" t="s">
        <v>164</v>
      </c>
      <c r="D9">
        <v>0.462418</v>
      </c>
      <c r="E9">
        <v>0.38036709803141211</v>
      </c>
      <c r="F9">
        <v>0.89403200000000005</v>
      </c>
      <c r="G9">
        <v>130.22197</v>
      </c>
      <c r="H9">
        <v>517.18963599999995</v>
      </c>
      <c r="I9">
        <v>0.74821199999999999</v>
      </c>
      <c r="J9">
        <v>99.366439999999997</v>
      </c>
      <c r="K9">
        <v>316</v>
      </c>
      <c r="L9">
        <v>25.91</v>
      </c>
    </row>
    <row r="10" spans="1:21" x14ac:dyDescent="0.4">
      <c r="A10" s="7" t="s">
        <v>201</v>
      </c>
      <c r="B10">
        <v>1</v>
      </c>
      <c r="C10" t="s">
        <v>167</v>
      </c>
      <c r="D10">
        <v>0.39863900000000002</v>
      </c>
      <c r="E10">
        <v>0.33672633718298861</v>
      </c>
      <c r="F10">
        <v>0.89529700000000001</v>
      </c>
      <c r="G10">
        <v>117.898819</v>
      </c>
      <c r="H10">
        <v>510.55740400000002</v>
      </c>
      <c r="I10">
        <v>0.76907800000000004</v>
      </c>
      <c r="J10">
        <v>86.526741000000001</v>
      </c>
      <c r="K10">
        <v>268</v>
      </c>
      <c r="L10">
        <v>26.1</v>
      </c>
    </row>
    <row r="11" spans="1:21" x14ac:dyDescent="0.4">
      <c r="A11" s="7" t="s">
        <v>201</v>
      </c>
      <c r="B11">
        <v>1</v>
      </c>
    </row>
    <row r="12" spans="1:21" x14ac:dyDescent="0.4">
      <c r="A12" s="7" t="s">
        <v>201</v>
      </c>
      <c r="B12">
        <v>1</v>
      </c>
    </row>
    <row r="13" spans="1:21" ht="18" thickBot="1" x14ac:dyDescent="0.45">
      <c r="A13" s="8" t="s">
        <v>201</v>
      </c>
      <c r="B13" s="9">
        <v>1</v>
      </c>
    </row>
    <row r="14" spans="1:21" x14ac:dyDescent="0.4">
      <c r="A14" s="7" t="s">
        <v>202</v>
      </c>
      <c r="B14">
        <v>2</v>
      </c>
      <c r="C14" t="s">
        <v>170</v>
      </c>
      <c r="D14">
        <v>0.30906099999999997</v>
      </c>
      <c r="E14">
        <v>0.27211453163217181</v>
      </c>
      <c r="F14">
        <v>1.0509919999999999</v>
      </c>
      <c r="G14">
        <v>146.27230800000001</v>
      </c>
      <c r="H14">
        <v>540.137878</v>
      </c>
      <c r="I14">
        <v>0.72919500000000004</v>
      </c>
      <c r="J14">
        <v>92.170624000000004</v>
      </c>
      <c r="K14">
        <v>301</v>
      </c>
      <c r="L14">
        <v>26.51</v>
      </c>
    </row>
    <row r="15" spans="1:21" x14ac:dyDescent="0.4">
      <c r="A15" s="7" t="s">
        <v>202</v>
      </c>
      <c r="B15">
        <v>2</v>
      </c>
      <c r="C15" t="s">
        <v>173</v>
      </c>
      <c r="D15">
        <v>0.44106200000000001</v>
      </c>
      <c r="E15">
        <v>0.36780247514811748</v>
      </c>
      <c r="F15">
        <v>0.99842900000000001</v>
      </c>
      <c r="G15">
        <v>118.714569</v>
      </c>
      <c r="H15">
        <v>482.50759900000003</v>
      </c>
      <c r="I15">
        <v>0.75396300000000005</v>
      </c>
      <c r="J15">
        <v>95.037650999999997</v>
      </c>
      <c r="K15">
        <v>300</v>
      </c>
      <c r="L15">
        <v>26.34</v>
      </c>
    </row>
    <row r="16" spans="1:21" x14ac:dyDescent="0.4">
      <c r="A16" s="7" t="s">
        <v>202</v>
      </c>
      <c r="B16">
        <v>2</v>
      </c>
      <c r="C16" t="s">
        <v>176</v>
      </c>
      <c r="D16">
        <v>0.41996299999999998</v>
      </c>
      <c r="E16">
        <v>0.35217053014476613</v>
      </c>
      <c r="F16">
        <v>0.96824600000000005</v>
      </c>
      <c r="G16">
        <v>138.985275</v>
      </c>
      <c r="H16">
        <v>510.47946200000001</v>
      </c>
      <c r="I16">
        <v>0.72773600000000005</v>
      </c>
      <c r="J16">
        <v>94.799728000000002</v>
      </c>
      <c r="K16">
        <v>310</v>
      </c>
      <c r="L16">
        <v>26.44</v>
      </c>
    </row>
    <row r="17" spans="1:12" x14ac:dyDescent="0.4">
      <c r="A17" s="7" t="s">
        <v>202</v>
      </c>
      <c r="B17">
        <v>2</v>
      </c>
      <c r="C17" t="s">
        <v>179</v>
      </c>
      <c r="D17">
        <v>0.267148</v>
      </c>
      <c r="E17">
        <v>0.23907384162150519</v>
      </c>
      <c r="F17">
        <v>0.99816400000000005</v>
      </c>
      <c r="G17">
        <v>118.660568</v>
      </c>
      <c r="H17">
        <v>478.75857500000001</v>
      </c>
      <c r="I17">
        <v>0.75214999999999999</v>
      </c>
      <c r="J17">
        <v>94.707329000000001</v>
      </c>
      <c r="K17">
        <v>300</v>
      </c>
      <c r="L17">
        <v>26.82</v>
      </c>
    </row>
    <row r="18" spans="1:12" x14ac:dyDescent="0.4">
      <c r="A18" s="7" t="s">
        <v>202</v>
      </c>
      <c r="B18">
        <v>2</v>
      </c>
      <c r="C18" t="s">
        <v>182</v>
      </c>
      <c r="D18">
        <v>0.25615100000000002</v>
      </c>
      <c r="E18">
        <v>0.23139620536004499</v>
      </c>
      <c r="F18">
        <v>1.048951</v>
      </c>
      <c r="G18">
        <v>154.36935399999999</v>
      </c>
      <c r="H18">
        <v>541.87561000000005</v>
      </c>
      <c r="I18">
        <v>0.71511999999999998</v>
      </c>
      <c r="J18">
        <v>88.284782000000007</v>
      </c>
      <c r="K18">
        <v>294</v>
      </c>
      <c r="L18">
        <v>26.86</v>
      </c>
    </row>
    <row r="19" spans="1:12" x14ac:dyDescent="0.4">
      <c r="A19" s="7" t="s">
        <v>202</v>
      </c>
      <c r="B19">
        <v>2</v>
      </c>
      <c r="C19" t="s">
        <v>185</v>
      </c>
      <c r="D19">
        <v>0.230521</v>
      </c>
      <c r="E19">
        <v>0.2109123357492827</v>
      </c>
      <c r="F19">
        <v>1.0513570000000001</v>
      </c>
      <c r="G19">
        <v>135.53774999999999</v>
      </c>
      <c r="H19">
        <v>517.421021</v>
      </c>
      <c r="I19">
        <v>0.73805100000000001</v>
      </c>
      <c r="J19">
        <v>75.133628999999999</v>
      </c>
      <c r="K19">
        <v>242</v>
      </c>
      <c r="L19">
        <v>26.87</v>
      </c>
    </row>
    <row r="20" spans="1:12" x14ac:dyDescent="0.4">
      <c r="A20" s="7" t="s">
        <v>202</v>
      </c>
      <c r="B20">
        <v>2</v>
      </c>
      <c r="C20" t="s">
        <v>188</v>
      </c>
      <c r="D20">
        <v>0.27087800000000001</v>
      </c>
      <c r="E20">
        <v>0.24304267183917641</v>
      </c>
      <c r="F20">
        <v>1.086158</v>
      </c>
      <c r="G20">
        <v>127.44605300000001</v>
      </c>
      <c r="H20">
        <v>492.11203</v>
      </c>
      <c r="I20">
        <v>0.74102199999999996</v>
      </c>
      <c r="J20">
        <v>93.433494999999994</v>
      </c>
      <c r="K20">
        <v>300</v>
      </c>
      <c r="L20">
        <v>27.09</v>
      </c>
    </row>
    <row r="21" spans="1:12" x14ac:dyDescent="0.4">
      <c r="A21" s="7" t="s">
        <v>202</v>
      </c>
      <c r="B21">
        <v>2</v>
      </c>
      <c r="C21" t="s">
        <v>191</v>
      </c>
      <c r="D21">
        <v>0.36256100000000002</v>
      </c>
      <c r="E21">
        <v>0.3103583483833427</v>
      </c>
      <c r="F21">
        <v>0.95460199999999995</v>
      </c>
      <c r="G21">
        <v>118.752121</v>
      </c>
      <c r="H21">
        <v>495.69903599999998</v>
      </c>
      <c r="I21">
        <v>0.76043499999999997</v>
      </c>
      <c r="J21">
        <v>79.489311000000001</v>
      </c>
      <c r="K21">
        <v>249</v>
      </c>
      <c r="L21">
        <v>26.68</v>
      </c>
    </row>
    <row r="22" spans="1:12" x14ac:dyDescent="0.4">
      <c r="A22" s="7" t="s">
        <v>202</v>
      </c>
      <c r="B22">
        <v>2</v>
      </c>
      <c r="C22" t="s">
        <v>194</v>
      </c>
      <c r="D22">
        <v>0.32481599999999999</v>
      </c>
      <c r="E22">
        <v>0.28400294216022631</v>
      </c>
      <c r="F22">
        <v>0.96677100000000005</v>
      </c>
      <c r="G22">
        <v>121.536255</v>
      </c>
      <c r="H22">
        <v>489.86505099999999</v>
      </c>
      <c r="I22">
        <v>0.75189899999999998</v>
      </c>
      <c r="J22">
        <v>82.121505999999997</v>
      </c>
      <c r="K22">
        <v>260</v>
      </c>
      <c r="L22">
        <v>26.78</v>
      </c>
    </row>
    <row r="23" spans="1:12" x14ac:dyDescent="0.4">
      <c r="A23" s="7" t="s">
        <v>202</v>
      </c>
      <c r="B23">
        <v>2</v>
      </c>
    </row>
    <row r="24" spans="1:12" x14ac:dyDescent="0.4">
      <c r="A24" s="7" t="s">
        <v>202</v>
      </c>
      <c r="B24">
        <v>2</v>
      </c>
    </row>
    <row r="25" spans="1:12" ht="18" thickBot="1" x14ac:dyDescent="0.45">
      <c r="A25" s="8" t="s">
        <v>202</v>
      </c>
      <c r="B25" s="9">
        <v>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Original</vt:lpstr>
      <vt:lpstr>Corrected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2026-08-15T10:14:21Z</dcterms:created>
  <dcterms:modified xsi:type="dcterms:W3CDTF">2026-08-15T10:19:13Z</dcterms:modified>
</cp:coreProperties>
</file>